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4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9440" windowHeight="12240"/>
  </bookViews>
  <sheets>
    <sheet name="mapActivity.xml" sheetId="1" r:id="rId1"/>
    <sheet name="map-客户端" sheetId="2" r:id="rId2"/>
    <sheet name="掉落权重" sheetId="4" r:id="rId3"/>
    <sheet name="精英副本" sheetId="5" r:id="rId4"/>
    <sheet name="精英副本客户端" sheetId="6" r:id="rId5"/>
    <sheet name="精英副本掉落" sheetId="7" r:id="rId6"/>
    <sheet name="Sheet3" sheetId="3" r:id="rId7"/>
    <sheet name="eliteMapLevelIndex" sheetId="8" r:id="rId8"/>
  </sheets>
  <functionGroups/>
  <externalReferences>
    <externalReference r:id="rId9"/>
    <externalReference r:id="rId10"/>
    <externalReference r:id="rId11"/>
    <externalReference r:id="rId12"/>
  </externalReferences>
  <calcPr calcId="124519"/>
</workbook>
</file>

<file path=xl/calcChain.xml><?xml version="1.0" encoding="utf-8"?>
<calcChain xmlns="http://schemas.openxmlformats.org/spreadsheetml/2006/main">
  <c r="G59" i="1"/>
  <c r="H59"/>
  <c r="I59"/>
  <c r="J59"/>
  <c r="G60"/>
  <c r="H60"/>
  <c r="I60"/>
  <c r="J60"/>
  <c r="G61"/>
  <c r="H61"/>
  <c r="I61"/>
  <c r="J61"/>
  <c r="G62"/>
  <c r="H62"/>
  <c r="I62"/>
  <c r="J62"/>
  <c r="G63"/>
  <c r="H63"/>
  <c r="I63"/>
  <c r="J63"/>
  <c r="G64"/>
  <c r="H64"/>
  <c r="I64"/>
  <c r="J64"/>
  <c r="G65"/>
  <c r="H65"/>
  <c r="I65"/>
  <c r="J65"/>
  <c r="G66"/>
  <c r="H66"/>
  <c r="I66"/>
  <c r="J66"/>
  <c r="G67"/>
  <c r="H67"/>
  <c r="I67"/>
  <c r="J67"/>
  <c r="G68"/>
  <c r="H68"/>
  <c r="I68"/>
  <c r="J68"/>
  <c r="G69"/>
  <c r="H69"/>
  <c r="I69"/>
  <c r="J69"/>
  <c r="G70"/>
  <c r="H70"/>
  <c r="I70"/>
  <c r="J70"/>
  <c r="G71"/>
  <c r="H71"/>
  <c r="I71"/>
  <c r="J71"/>
  <c r="G72"/>
  <c r="H72"/>
  <c r="I72"/>
  <c r="J72"/>
  <c r="G73"/>
  <c r="H73"/>
  <c r="I73"/>
  <c r="J73"/>
  <c r="G74"/>
  <c r="H74"/>
  <c r="I74"/>
  <c r="J74"/>
  <c r="G75"/>
  <c r="H75"/>
  <c r="I75"/>
  <c r="J75"/>
  <c r="G76"/>
  <c r="H76"/>
  <c r="I76"/>
  <c r="J76"/>
  <c r="G77"/>
  <c r="H77"/>
  <c r="I77"/>
  <c r="J77"/>
  <c r="G78"/>
  <c r="H78"/>
  <c r="I78"/>
  <c r="J78"/>
  <c r="G79"/>
  <c r="H79"/>
  <c r="I79"/>
  <c r="J79"/>
  <c r="G80"/>
  <c r="H80"/>
  <c r="I80"/>
  <c r="J80"/>
  <c r="G81"/>
  <c r="H81"/>
  <c r="I81"/>
  <c r="J81"/>
  <c r="G82"/>
  <c r="H82"/>
  <c r="I82"/>
  <c r="J82"/>
  <c r="G83"/>
  <c r="H83"/>
  <c r="I83"/>
  <c r="J83"/>
  <c r="G84"/>
  <c r="H84"/>
  <c r="I84"/>
  <c r="J84"/>
  <c r="G85"/>
  <c r="H85"/>
  <c r="I85"/>
  <c r="J85"/>
  <c r="G86"/>
  <c r="H86"/>
  <c r="I86"/>
  <c r="J86"/>
  <c r="G87"/>
  <c r="H87"/>
  <c r="I87"/>
  <c r="J87"/>
  <c r="G88"/>
  <c r="H88"/>
  <c r="I88"/>
  <c r="J88"/>
  <c r="G89"/>
  <c r="H89"/>
  <c r="I89"/>
  <c r="J89"/>
  <c r="G90"/>
  <c r="H90"/>
  <c r="I90"/>
  <c r="J90"/>
  <c r="G91"/>
  <c r="H91"/>
  <c r="I91"/>
  <c r="J91"/>
  <c r="G92"/>
  <c r="H92"/>
  <c r="I92"/>
  <c r="J92"/>
  <c r="G93"/>
  <c r="H93"/>
  <c r="I93"/>
  <c r="J93"/>
  <c r="G94"/>
  <c r="H94"/>
  <c r="I94"/>
  <c r="J94"/>
  <c r="G95"/>
  <c r="H95"/>
  <c r="I95"/>
  <c r="J95"/>
  <c r="G96"/>
  <c r="H96"/>
  <c r="I96"/>
  <c r="J96"/>
  <c r="G97"/>
  <c r="H97"/>
  <c r="I97"/>
  <c r="J97"/>
  <c r="G98"/>
  <c r="H98"/>
  <c r="I98"/>
  <c r="J98"/>
  <c r="G99"/>
  <c r="H99"/>
  <c r="I99"/>
  <c r="J99"/>
  <c r="G100"/>
  <c r="H100"/>
  <c r="I100"/>
  <c r="J100"/>
  <c r="G101"/>
  <c r="H101"/>
  <c r="I101"/>
  <c r="J101"/>
  <c r="G102"/>
  <c r="H102"/>
  <c r="I102"/>
  <c r="J102"/>
  <c r="G103"/>
  <c r="H103"/>
  <c r="I103"/>
  <c r="J103"/>
  <c r="G104"/>
  <c r="H104"/>
  <c r="I104"/>
  <c r="J104"/>
  <c r="G105"/>
  <c r="H105"/>
  <c r="I105"/>
  <c r="J105"/>
  <c r="G106"/>
  <c r="H106"/>
  <c r="I106"/>
  <c r="J106"/>
  <c r="G107"/>
  <c r="H107"/>
  <c r="I107"/>
  <c r="J107"/>
  <c r="G108"/>
  <c r="H108"/>
  <c r="I108"/>
  <c r="J108"/>
  <c r="G109"/>
  <c r="H109"/>
  <c r="I109"/>
  <c r="J109"/>
  <c r="G110"/>
  <c r="H110"/>
  <c r="I110"/>
  <c r="J110"/>
  <c r="G111"/>
  <c r="H111"/>
  <c r="I111"/>
  <c r="J111"/>
  <c r="G112"/>
  <c r="H112"/>
  <c r="I112"/>
  <c r="J112"/>
  <c r="G113"/>
  <c r="H113"/>
  <c r="I113"/>
  <c r="J113"/>
  <c r="G114"/>
  <c r="H114"/>
  <c r="I114"/>
  <c r="J114"/>
  <c r="G115"/>
  <c r="H115"/>
  <c r="I115"/>
  <c r="J115"/>
  <c r="G116"/>
  <c r="H116"/>
  <c r="I116"/>
  <c r="J116"/>
  <c r="G117"/>
  <c r="H117"/>
  <c r="I117"/>
  <c r="J117"/>
  <c r="G118"/>
  <c r="H118"/>
  <c r="I118"/>
  <c r="J118"/>
  <c r="G119"/>
  <c r="H119"/>
  <c r="I119"/>
  <c r="J119"/>
  <c r="G120"/>
  <c r="H120"/>
  <c r="I120"/>
  <c r="J120"/>
  <c r="G121"/>
  <c r="H121"/>
  <c r="I121"/>
  <c r="J121"/>
  <c r="G122"/>
  <c r="H122"/>
  <c r="I122"/>
  <c r="J122"/>
  <c r="G123"/>
  <c r="H123"/>
  <c r="I123"/>
  <c r="J123"/>
  <c r="G124"/>
  <c r="H124"/>
  <c r="I124"/>
  <c r="J124"/>
  <c r="G125"/>
  <c r="H125"/>
  <c r="I125"/>
  <c r="J125"/>
  <c r="G126"/>
  <c r="H126"/>
  <c r="I126"/>
  <c r="J126"/>
  <c r="G127"/>
  <c r="H127"/>
  <c r="I127"/>
  <c r="J127"/>
  <c r="G128"/>
  <c r="H128"/>
  <c r="I128"/>
  <c r="J128"/>
  <c r="G129"/>
  <c r="H129"/>
  <c r="I129"/>
  <c r="J129"/>
  <c r="G130"/>
  <c r="H130"/>
  <c r="I130"/>
  <c r="J130"/>
  <c r="G131"/>
  <c r="H131"/>
  <c r="I131"/>
  <c r="J131"/>
  <c r="G132"/>
  <c r="H132"/>
  <c r="I132"/>
  <c r="J132"/>
  <c r="G133"/>
  <c r="H133"/>
  <c r="I133"/>
  <c r="J133"/>
  <c r="G134"/>
  <c r="H134"/>
  <c r="I134"/>
  <c r="J134"/>
  <c r="G135"/>
  <c r="H135"/>
  <c r="I135"/>
  <c r="J135"/>
  <c r="G136"/>
  <c r="H136"/>
  <c r="I136"/>
  <c r="J136"/>
  <c r="G137"/>
  <c r="H137"/>
  <c r="I137"/>
  <c r="J137"/>
  <c r="G138"/>
  <c r="H138"/>
  <c r="I138"/>
  <c r="J138"/>
  <c r="G139"/>
  <c r="H139"/>
  <c r="I139"/>
  <c r="J139"/>
  <c r="G140"/>
  <c r="H140"/>
  <c r="I140"/>
  <c r="J140"/>
  <c r="G141"/>
  <c r="H141"/>
  <c r="I141"/>
  <c r="J141"/>
  <c r="G142"/>
  <c r="H142"/>
  <c r="I142"/>
  <c r="J142"/>
  <c r="G143"/>
  <c r="H143"/>
  <c r="I143"/>
  <c r="J143"/>
  <c r="G144"/>
  <c r="H144"/>
  <c r="I144"/>
  <c r="J144"/>
  <c r="G145"/>
  <c r="H145"/>
  <c r="I145"/>
  <c r="J145"/>
  <c r="G146"/>
  <c r="H146"/>
  <c r="I146"/>
  <c r="J146"/>
  <c r="G147"/>
  <c r="H147"/>
  <c r="I147"/>
  <c r="J147"/>
  <c r="G148"/>
  <c r="H148"/>
  <c r="I148"/>
  <c r="J148"/>
  <c r="G149"/>
  <c r="H149"/>
  <c r="I149"/>
  <c r="J149"/>
  <c r="G150"/>
  <c r="H150"/>
  <c r="I150"/>
  <c r="J150"/>
  <c r="G151"/>
  <c r="H151"/>
  <c r="I151"/>
  <c r="J151"/>
  <c r="G152"/>
  <c r="H152"/>
  <c r="I152"/>
  <c r="J152"/>
  <c r="G153"/>
  <c r="H153"/>
  <c r="I153"/>
  <c r="J153"/>
  <c r="G154"/>
  <c r="H154"/>
  <c r="I154"/>
  <c r="J154"/>
  <c r="G155"/>
  <c r="H155"/>
  <c r="I155"/>
  <c r="J155"/>
  <c r="G156"/>
  <c r="H156"/>
  <c r="I156"/>
  <c r="J156"/>
  <c r="G157"/>
  <c r="H157"/>
  <c r="I157"/>
  <c r="J157"/>
  <c r="G158"/>
  <c r="H158"/>
  <c r="I158"/>
  <c r="J158"/>
  <c r="G159"/>
  <c r="H159"/>
  <c r="I159"/>
  <c r="J159"/>
  <c r="G160"/>
  <c r="H160"/>
  <c r="I160"/>
  <c r="J160"/>
  <c r="G161"/>
  <c r="H161"/>
  <c r="I161"/>
  <c r="J161"/>
  <c r="G162"/>
  <c r="H162"/>
  <c r="I162"/>
  <c r="J162"/>
  <c r="G163"/>
  <c r="H163"/>
  <c r="I163"/>
  <c r="J163"/>
  <c r="G164"/>
  <c r="H164"/>
  <c r="I164"/>
  <c r="J164"/>
  <c r="G165"/>
  <c r="H165"/>
  <c r="I165"/>
  <c r="J165"/>
  <c r="G166"/>
  <c r="H166"/>
  <c r="I166"/>
  <c r="J166"/>
  <c r="G167"/>
  <c r="H167"/>
  <c r="I167"/>
  <c r="J167"/>
  <c r="G168"/>
  <c r="H168"/>
  <c r="I168"/>
  <c r="J168"/>
  <c r="G169"/>
  <c r="H169"/>
  <c r="I169"/>
  <c r="J169"/>
  <c r="G170"/>
  <c r="H170"/>
  <c r="I170"/>
  <c r="J170"/>
  <c r="G171"/>
  <c r="H171"/>
  <c r="I171"/>
  <c r="J171"/>
  <c r="G172"/>
  <c r="H172"/>
  <c r="I172"/>
  <c r="J172"/>
  <c r="G173"/>
  <c r="H173"/>
  <c r="I173"/>
  <c r="J173"/>
  <c r="G174"/>
  <c r="H174"/>
  <c r="I174"/>
  <c r="J174"/>
  <c r="G175"/>
  <c r="H175"/>
  <c r="I175"/>
  <c r="J175"/>
  <c r="G176"/>
  <c r="H176"/>
  <c r="I176"/>
  <c r="J176"/>
  <c r="G177"/>
  <c r="H177"/>
  <c r="I177"/>
  <c r="J177"/>
  <c r="G178"/>
  <c r="H178"/>
  <c r="I178"/>
  <c r="J178"/>
  <c r="G179"/>
  <c r="H179"/>
  <c r="I179"/>
  <c r="J179"/>
  <c r="G180"/>
  <c r="H180"/>
  <c r="I180"/>
  <c r="J180"/>
  <c r="G181"/>
  <c r="H181"/>
  <c r="I181"/>
  <c r="J181"/>
  <c r="G182"/>
  <c r="H182"/>
  <c r="I182"/>
  <c r="J182"/>
  <c r="G183"/>
  <c r="H183"/>
  <c r="I183"/>
  <c r="J183"/>
  <c r="G184"/>
  <c r="H184"/>
  <c r="I184"/>
  <c r="J184"/>
  <c r="G185"/>
  <c r="H185"/>
  <c r="I185"/>
  <c r="J185"/>
  <c r="G186"/>
  <c r="H186"/>
  <c r="I186"/>
  <c r="J186"/>
  <c r="G187"/>
  <c r="H187"/>
  <c r="I187"/>
  <c r="J187"/>
  <c r="G188"/>
  <c r="H188"/>
  <c r="I188"/>
  <c r="J188"/>
  <c r="G189"/>
  <c r="H189"/>
  <c r="I189"/>
  <c r="J189"/>
  <c r="G190"/>
  <c r="H190"/>
  <c r="I190"/>
  <c r="J190"/>
  <c r="G191"/>
  <c r="H191"/>
  <c r="I191"/>
  <c r="J191"/>
  <c r="G192"/>
  <c r="H192"/>
  <c r="I192"/>
  <c r="J192"/>
  <c r="G193"/>
  <c r="H193"/>
  <c r="I193"/>
  <c r="J193"/>
  <c r="G194"/>
  <c r="H194"/>
  <c r="I194"/>
  <c r="J194"/>
  <c r="G195"/>
  <c r="H195"/>
  <c r="I195"/>
  <c r="J195"/>
  <c r="G196"/>
  <c r="H196"/>
  <c r="I196"/>
  <c r="J196"/>
  <c r="G197"/>
  <c r="H197"/>
  <c r="I197"/>
  <c r="J197"/>
  <c r="G198"/>
  <c r="H198"/>
  <c r="I198"/>
  <c r="J198"/>
  <c r="G199"/>
  <c r="H199"/>
  <c r="I199"/>
  <c r="J199"/>
  <c r="G200"/>
  <c r="H200"/>
  <c r="I200"/>
  <c r="J200"/>
  <c r="G201"/>
  <c r="H201"/>
  <c r="I201"/>
  <c r="J201"/>
  <c r="G202"/>
  <c r="H202"/>
  <c r="I202"/>
  <c r="J202"/>
  <c r="G203"/>
  <c r="H203"/>
  <c r="I203"/>
  <c r="J203"/>
  <c r="G204"/>
  <c r="H204"/>
  <c r="I204"/>
  <c r="J204"/>
  <c r="G205"/>
  <c r="H205"/>
  <c r="I205"/>
  <c r="J205"/>
  <c r="G206"/>
  <c r="H206"/>
  <c r="I206"/>
  <c r="J206"/>
  <c r="G207"/>
  <c r="H207"/>
  <c r="I207"/>
  <c r="J207"/>
  <c r="G208"/>
  <c r="H208"/>
  <c r="I208"/>
  <c r="J208"/>
  <c r="G209"/>
  <c r="H209"/>
  <c r="I209"/>
  <c r="J209"/>
  <c r="G210"/>
  <c r="H210"/>
  <c r="I210"/>
  <c r="J210"/>
  <c r="G211"/>
  <c r="H211"/>
  <c r="I211"/>
  <c r="J211"/>
  <c r="G212"/>
  <c r="H212"/>
  <c r="I212"/>
  <c r="J212"/>
  <c r="G213"/>
  <c r="H213"/>
  <c r="I213"/>
  <c r="J213"/>
  <c r="G214"/>
  <c r="H214"/>
  <c r="I214"/>
  <c r="J214"/>
  <c r="G215"/>
  <c r="H215"/>
  <c r="I215"/>
  <c r="J215"/>
  <c r="G216"/>
  <c r="H216"/>
  <c r="I216"/>
  <c r="J216"/>
  <c r="G217"/>
  <c r="H217"/>
  <c r="I217"/>
  <c r="J217"/>
  <c r="G218"/>
  <c r="H218"/>
  <c r="I218"/>
  <c r="J218"/>
  <c r="G219"/>
  <c r="H219"/>
  <c r="I219"/>
  <c r="J219"/>
  <c r="G220"/>
  <c r="H220"/>
  <c r="I220"/>
  <c r="J220"/>
  <c r="G221"/>
  <c r="H221"/>
  <c r="I221"/>
  <c r="J221"/>
  <c r="G222"/>
  <c r="H222"/>
  <c r="I222"/>
  <c r="J222"/>
  <c r="G223"/>
  <c r="H223"/>
  <c r="I223"/>
  <c r="J223"/>
  <c r="G224"/>
  <c r="H224"/>
  <c r="I224"/>
  <c r="J224"/>
  <c r="G225"/>
  <c r="H225"/>
  <c r="I225"/>
  <c r="J225"/>
  <c r="G226"/>
  <c r="H226"/>
  <c r="I226"/>
  <c r="J226"/>
  <c r="G227"/>
  <c r="H227"/>
  <c r="I227"/>
  <c r="J227"/>
  <c r="G228"/>
  <c r="H228"/>
  <c r="I228"/>
  <c r="J228"/>
  <c r="G229"/>
  <c r="H229"/>
  <c r="I229"/>
  <c r="J229"/>
  <c r="G230"/>
  <c r="H230"/>
  <c r="I230"/>
  <c r="J230"/>
  <c r="G231"/>
  <c r="H231"/>
  <c r="I231"/>
  <c r="J231"/>
  <c r="G232"/>
  <c r="H232"/>
  <c r="I232"/>
  <c r="J232"/>
  <c r="G233"/>
  <c r="H233"/>
  <c r="I233"/>
  <c r="J233"/>
  <c r="G234"/>
  <c r="H234"/>
  <c r="I234"/>
  <c r="J234"/>
  <c r="G235"/>
  <c r="H235"/>
  <c r="I235"/>
  <c r="J235"/>
  <c r="G236"/>
  <c r="H236"/>
  <c r="I236"/>
  <c r="J236"/>
  <c r="G237"/>
  <c r="H237"/>
  <c r="I237"/>
  <c r="J237"/>
  <c r="G238"/>
  <c r="H238"/>
  <c r="I238"/>
  <c r="J238"/>
  <c r="G239"/>
  <c r="H239"/>
  <c r="I239"/>
  <c r="J239"/>
  <c r="G240"/>
  <c r="H240"/>
  <c r="I240"/>
  <c r="J240"/>
  <c r="G241"/>
  <c r="H241"/>
  <c r="I241"/>
  <c r="J241"/>
  <c r="G242"/>
  <c r="H242"/>
  <c r="I242"/>
  <c r="J242"/>
  <c r="G243"/>
  <c r="H243"/>
  <c r="I243"/>
  <c r="J243"/>
  <c r="G244"/>
  <c r="H244"/>
  <c r="I244"/>
  <c r="J244"/>
  <c r="G245"/>
  <c r="H245"/>
  <c r="I245"/>
  <c r="J245"/>
  <c r="G246"/>
  <c r="H246"/>
  <c r="I246"/>
  <c r="J246"/>
  <c r="G247"/>
  <c r="H247"/>
  <c r="I247"/>
  <c r="J247"/>
  <c r="G248"/>
  <c r="H248"/>
  <c r="I248"/>
  <c r="J248"/>
  <c r="G249"/>
  <c r="H249"/>
  <c r="I249"/>
  <c r="J249"/>
  <c r="G250"/>
  <c r="H250"/>
  <c r="I250"/>
  <c r="J250"/>
  <c r="G251"/>
  <c r="H251"/>
  <c r="I251"/>
  <c r="J251"/>
  <c r="G252"/>
  <c r="H252"/>
  <c r="I252"/>
  <c r="J252"/>
  <c r="G253"/>
  <c r="H253"/>
  <c r="I253"/>
  <c r="J253"/>
  <c r="G254"/>
  <c r="H254"/>
  <c r="I254"/>
  <c r="J254"/>
  <c r="G255"/>
  <c r="H255"/>
  <c r="I255"/>
  <c r="J255"/>
  <c r="G256"/>
  <c r="H256"/>
  <c r="I256"/>
  <c r="J256"/>
  <c r="G257"/>
  <c r="H257"/>
  <c r="I257"/>
  <c r="J257"/>
  <c r="G258"/>
  <c r="H258"/>
  <c r="I258"/>
  <c r="J258"/>
  <c r="G259"/>
  <c r="H259"/>
  <c r="I259"/>
  <c r="J259"/>
  <c r="G260"/>
  <c r="H260"/>
  <c r="I260"/>
  <c r="J260"/>
  <c r="G261"/>
  <c r="H261"/>
  <c r="I261"/>
  <c r="J261"/>
  <c r="G262"/>
  <c r="H262"/>
  <c r="I262"/>
  <c r="J262"/>
  <c r="G263"/>
  <c r="H263"/>
  <c r="I263"/>
  <c r="J263"/>
  <c r="G264"/>
  <c r="H264"/>
  <c r="I264"/>
  <c r="J264"/>
  <c r="G265"/>
  <c r="H265"/>
  <c r="I265"/>
  <c r="J265"/>
  <c r="G266"/>
  <c r="H266"/>
  <c r="I266"/>
  <c r="J266"/>
  <c r="G267"/>
  <c r="H267"/>
  <c r="I267"/>
  <c r="J267"/>
  <c r="G268"/>
  <c r="H268"/>
  <c r="I268"/>
  <c r="J268"/>
  <c r="G269"/>
  <c r="H269"/>
  <c r="I269"/>
  <c r="J269"/>
  <c r="G270"/>
  <c r="H270"/>
  <c r="I270"/>
  <c r="J270"/>
  <c r="G271"/>
  <c r="H271"/>
  <c r="I271"/>
  <c r="J271"/>
  <c r="G272"/>
  <c r="H272"/>
  <c r="I272"/>
  <c r="J272"/>
  <c r="G273"/>
  <c r="H273"/>
  <c r="I273"/>
  <c r="J273"/>
  <c r="G274"/>
  <c r="H274"/>
  <c r="I274"/>
  <c r="J274"/>
  <c r="G275"/>
  <c r="H275"/>
  <c r="I275"/>
  <c r="J275"/>
  <c r="G276"/>
  <c r="H276"/>
  <c r="I276"/>
  <c r="J276"/>
  <c r="G277"/>
  <c r="H277"/>
  <c r="I277"/>
  <c r="J277"/>
  <c r="G278"/>
  <c r="H278"/>
  <c r="I278"/>
  <c r="J278"/>
  <c r="G279"/>
  <c r="H279"/>
  <c r="I279"/>
  <c r="J279"/>
  <c r="G280"/>
  <c r="H280"/>
  <c r="I280"/>
  <c r="J280"/>
  <c r="G281"/>
  <c r="H281"/>
  <c r="I281"/>
  <c r="J281"/>
  <c r="G282"/>
  <c r="H282"/>
  <c r="I282"/>
  <c r="J282"/>
  <c r="G283"/>
  <c r="H283"/>
  <c r="I283"/>
  <c r="J283"/>
  <c r="G284"/>
  <c r="H284"/>
  <c r="I284"/>
  <c r="J284"/>
  <c r="G285"/>
  <c r="H285"/>
  <c r="I285"/>
  <c r="J285"/>
  <c r="G286"/>
  <c r="H286"/>
  <c r="I286"/>
  <c r="J286"/>
  <c r="G287"/>
  <c r="H287"/>
  <c r="I287"/>
  <c r="J287"/>
  <c r="G288"/>
  <c r="H288"/>
  <c r="I288"/>
  <c r="J288"/>
  <c r="G289"/>
  <c r="H289"/>
  <c r="I289"/>
  <c r="J289"/>
  <c r="G290"/>
  <c r="H290"/>
  <c r="I290"/>
  <c r="J290"/>
  <c r="G291"/>
  <c r="H291"/>
  <c r="I291"/>
  <c r="J291"/>
  <c r="G292"/>
  <c r="H292"/>
  <c r="I292"/>
  <c r="J292"/>
  <c r="G293"/>
  <c r="H293"/>
  <c r="I293"/>
  <c r="J293"/>
  <c r="G294"/>
  <c r="H294"/>
  <c r="I294"/>
  <c r="J294"/>
  <c r="G295"/>
  <c r="H295"/>
  <c r="I295"/>
  <c r="J295"/>
  <c r="G296"/>
  <c r="H296"/>
  <c r="I296"/>
  <c r="J296"/>
  <c r="G297"/>
  <c r="H297"/>
  <c r="I297"/>
  <c r="J297"/>
  <c r="G298"/>
  <c r="H298"/>
  <c r="I298"/>
  <c r="J298"/>
  <c r="G299"/>
  <c r="H299"/>
  <c r="I299"/>
  <c r="J299"/>
  <c r="G300"/>
  <c r="H300"/>
  <c r="I300"/>
  <c r="J300"/>
  <c r="G301"/>
  <c r="H301"/>
  <c r="I301"/>
  <c r="J301"/>
  <c r="G302"/>
  <c r="H302"/>
  <c r="I302"/>
  <c r="J302"/>
  <c r="G303"/>
  <c r="H303"/>
  <c r="I303"/>
  <c r="J303"/>
  <c r="G304"/>
  <c r="H304"/>
  <c r="I304"/>
  <c r="J304"/>
  <c r="G305"/>
  <c r="H305"/>
  <c r="I305"/>
  <c r="J305"/>
  <c r="G306"/>
  <c r="H306"/>
  <c r="I306"/>
  <c r="J306"/>
  <c r="G307"/>
  <c r="H307"/>
  <c r="I307"/>
  <c r="J307"/>
  <c r="G308"/>
  <c r="H308"/>
  <c r="I308"/>
  <c r="J308"/>
  <c r="G309"/>
  <c r="H309"/>
  <c r="I309"/>
  <c r="J309"/>
  <c r="G310"/>
  <c r="H310"/>
  <c r="I310"/>
  <c r="J310"/>
  <c r="G311"/>
  <c r="H311"/>
  <c r="I311"/>
  <c r="J311"/>
  <c r="G312"/>
  <c r="H312"/>
  <c r="I312"/>
  <c r="J312"/>
  <c r="G313"/>
  <c r="H313"/>
  <c r="I313"/>
  <c r="J313"/>
  <c r="G314"/>
  <c r="H314"/>
  <c r="I314"/>
  <c r="J314"/>
  <c r="G315"/>
  <c r="H315"/>
  <c r="I315"/>
  <c r="J315"/>
  <c r="G316"/>
  <c r="H316"/>
  <c r="I316"/>
  <c r="J316"/>
  <c r="G317"/>
  <c r="H317"/>
  <c r="I317"/>
  <c r="J317"/>
  <c r="G318"/>
  <c r="H318"/>
  <c r="I318"/>
  <c r="J318"/>
  <c r="G319"/>
  <c r="H319"/>
  <c r="I319"/>
  <c r="J319"/>
  <c r="G320"/>
  <c r="H320"/>
  <c r="I320"/>
  <c r="J320"/>
  <c r="G321"/>
  <c r="H321"/>
  <c r="I321"/>
  <c r="J321"/>
  <c r="G322"/>
  <c r="H322"/>
  <c r="I322"/>
  <c r="J322"/>
  <c r="G323"/>
  <c r="H323"/>
  <c r="I323"/>
  <c r="J323"/>
  <c r="G324"/>
  <c r="H324"/>
  <c r="I324"/>
  <c r="J324"/>
  <c r="G325"/>
  <c r="H325"/>
  <c r="I325"/>
  <c r="J325"/>
  <c r="G326"/>
  <c r="H326"/>
  <c r="I326"/>
  <c r="J326"/>
  <c r="G327"/>
  <c r="H327"/>
  <c r="I327"/>
  <c r="J327"/>
  <c r="G328"/>
  <c r="H328"/>
  <c r="I328"/>
  <c r="J328"/>
  <c r="G329"/>
  <c r="H329"/>
  <c r="I329"/>
  <c r="J329"/>
  <c r="G330"/>
  <c r="H330"/>
  <c r="I330"/>
  <c r="J330"/>
  <c r="G331"/>
  <c r="H331"/>
  <c r="I331"/>
  <c r="J331"/>
  <c r="G332"/>
  <c r="H332"/>
  <c r="I332"/>
  <c r="J332"/>
  <c r="G333"/>
  <c r="H333"/>
  <c r="I333"/>
  <c r="J333"/>
  <c r="G334"/>
  <c r="H334"/>
  <c r="I334"/>
  <c r="J334"/>
  <c r="G335"/>
  <c r="H335"/>
  <c r="I335"/>
  <c r="J335"/>
  <c r="G336"/>
  <c r="H336"/>
  <c r="I336"/>
  <c r="J336"/>
  <c r="G337"/>
  <c r="H337"/>
  <c r="I337"/>
  <c r="J337"/>
  <c r="G338"/>
  <c r="H338"/>
  <c r="I338"/>
  <c r="J338"/>
  <c r="G339"/>
  <c r="H339"/>
  <c r="I339"/>
  <c r="J339"/>
  <c r="G340"/>
  <c r="H340"/>
  <c r="I340"/>
  <c r="J340"/>
  <c r="G341"/>
  <c r="H341"/>
  <c r="I341"/>
  <c r="J341"/>
  <c r="G342"/>
  <c r="H342"/>
  <c r="I342"/>
  <c r="J342"/>
  <c r="G343"/>
  <c r="H343"/>
  <c r="I343"/>
  <c r="J343"/>
  <c r="G344"/>
  <c r="H344"/>
  <c r="I344"/>
  <c r="J344"/>
  <c r="G345"/>
  <c r="H345"/>
  <c r="I345"/>
  <c r="J345"/>
  <c r="G346"/>
  <c r="H346"/>
  <c r="I346"/>
  <c r="J346"/>
  <c r="G347"/>
  <c r="H347"/>
  <c r="I347"/>
  <c r="J347"/>
  <c r="G348"/>
  <c r="H348"/>
  <c r="I348"/>
  <c r="J348"/>
  <c r="G349"/>
  <c r="H349"/>
  <c r="I349"/>
  <c r="J349"/>
  <c r="G350"/>
  <c r="H350"/>
  <c r="I350"/>
  <c r="J350"/>
  <c r="G351"/>
  <c r="H351"/>
  <c r="I351"/>
  <c r="J351"/>
  <c r="G352"/>
  <c r="H352"/>
  <c r="I352"/>
  <c r="J352"/>
  <c r="G353"/>
  <c r="H353"/>
  <c r="I353"/>
  <c r="J353"/>
  <c r="G354"/>
  <c r="H354"/>
  <c r="I354"/>
  <c r="J354"/>
  <c r="G355"/>
  <c r="H355"/>
  <c r="I355"/>
  <c r="J355"/>
  <c r="G356"/>
  <c r="H356"/>
  <c r="I356"/>
  <c r="J356"/>
  <c r="G357"/>
  <c r="H357"/>
  <c r="I357"/>
  <c r="J357"/>
  <c r="G358"/>
  <c r="H358"/>
  <c r="I358"/>
  <c r="J358"/>
  <c r="G359"/>
  <c r="H359"/>
  <c r="I359"/>
  <c r="J359"/>
  <c r="G360"/>
  <c r="H360"/>
  <c r="I360"/>
  <c r="J360"/>
  <c r="G361"/>
  <c r="H361"/>
  <c r="I361"/>
  <c r="J361"/>
  <c r="G362"/>
  <c r="H362"/>
  <c r="I362"/>
  <c r="J362"/>
  <c r="G363"/>
  <c r="H363"/>
  <c r="I363"/>
  <c r="J363"/>
  <c r="G364"/>
  <c r="H364"/>
  <c r="I364"/>
  <c r="J364"/>
  <c r="G365"/>
  <c r="H365"/>
  <c r="I365"/>
  <c r="J365"/>
  <c r="G366"/>
  <c r="H366"/>
  <c r="I366"/>
  <c r="J366"/>
  <c r="G367"/>
  <c r="H367"/>
  <c r="I367"/>
  <c r="J367"/>
  <c r="G368"/>
  <c r="H368"/>
  <c r="I368"/>
  <c r="J368"/>
  <c r="G369"/>
  <c r="H369"/>
  <c r="I369"/>
  <c r="J369"/>
  <c r="G370"/>
  <c r="H370"/>
  <c r="I370"/>
  <c r="J370"/>
  <c r="G371"/>
  <c r="H371"/>
  <c r="I371"/>
  <c r="J371"/>
  <c r="G372"/>
  <c r="H372"/>
  <c r="I372"/>
  <c r="J372"/>
  <c r="G373"/>
  <c r="H373"/>
  <c r="I373"/>
  <c r="J373"/>
  <c r="G374"/>
  <c r="H374"/>
  <c r="I374"/>
  <c r="J374"/>
  <c r="G375"/>
  <c r="H375"/>
  <c r="I375"/>
  <c r="J375"/>
  <c r="G376"/>
  <c r="H376"/>
  <c r="I376"/>
  <c r="J376"/>
  <c r="G377"/>
  <c r="H377"/>
  <c r="I377"/>
  <c r="J377"/>
  <c r="G378"/>
  <c r="H378"/>
  <c r="I378"/>
  <c r="J378"/>
  <c r="G379"/>
  <c r="H379"/>
  <c r="I379"/>
  <c r="J379"/>
  <c r="G380"/>
  <c r="H380"/>
  <c r="I380"/>
  <c r="J380"/>
  <c r="G381"/>
  <c r="H381"/>
  <c r="I381"/>
  <c r="J381"/>
  <c r="G382"/>
  <c r="H382"/>
  <c r="I382"/>
  <c r="J382"/>
  <c r="G383"/>
  <c r="H383"/>
  <c r="I383"/>
  <c r="J383"/>
  <c r="G384"/>
  <c r="H384"/>
  <c r="I384"/>
  <c r="J384"/>
  <c r="G385"/>
  <c r="H385"/>
  <c r="I385"/>
  <c r="J385"/>
  <c r="G386"/>
  <c r="H386"/>
  <c r="I386"/>
  <c r="J386"/>
  <c r="G387"/>
  <c r="H387"/>
  <c r="I387"/>
  <c r="J387"/>
  <c r="G388"/>
  <c r="H388"/>
  <c r="I388"/>
  <c r="J388"/>
  <c r="G389"/>
  <c r="H389"/>
  <c r="I389"/>
  <c r="J389"/>
  <c r="G390"/>
  <c r="H390"/>
  <c r="I390"/>
  <c r="J390"/>
  <c r="G391"/>
  <c r="H391"/>
  <c r="I391"/>
  <c r="J391"/>
  <c r="G392"/>
  <c r="H392"/>
  <c r="I392"/>
  <c r="J392"/>
  <c r="G393"/>
  <c r="H393"/>
  <c r="I393"/>
  <c r="J393"/>
  <c r="G394"/>
  <c r="H394"/>
  <c r="I394"/>
  <c r="J394"/>
  <c r="G395"/>
  <c r="H395"/>
  <c r="I395"/>
  <c r="J395"/>
  <c r="G396"/>
  <c r="H396"/>
  <c r="I396"/>
  <c r="J396"/>
  <c r="G397"/>
  <c r="H397"/>
  <c r="I397"/>
  <c r="J397"/>
  <c r="G398"/>
  <c r="H398"/>
  <c r="I398"/>
  <c r="J398"/>
  <c r="G399"/>
  <c r="H399"/>
  <c r="I399"/>
  <c r="J399"/>
  <c r="G400"/>
  <c r="H400"/>
  <c r="I400"/>
  <c r="J400"/>
  <c r="G401"/>
  <c r="H401"/>
  <c r="I401"/>
  <c r="J401"/>
  <c r="G402"/>
  <c r="H402"/>
  <c r="I402"/>
  <c r="J402"/>
  <c r="G403"/>
  <c r="H403"/>
  <c r="I403"/>
  <c r="J403"/>
  <c r="G404"/>
  <c r="H404"/>
  <c r="I404"/>
  <c r="J404"/>
  <c r="G405"/>
  <c r="H405"/>
  <c r="I405"/>
  <c r="J405"/>
  <c r="G406"/>
  <c r="H406"/>
  <c r="I406"/>
  <c r="J406"/>
  <c r="G407"/>
  <c r="H407"/>
  <c r="I407"/>
  <c r="J407"/>
  <c r="G408"/>
  <c r="H408"/>
  <c r="I408"/>
  <c r="J408"/>
  <c r="G409"/>
  <c r="H409"/>
  <c r="I409"/>
  <c r="J409"/>
  <c r="G410"/>
  <c r="H410"/>
  <c r="I410"/>
  <c r="J410"/>
  <c r="G411"/>
  <c r="H411"/>
  <c r="I411"/>
  <c r="J411"/>
  <c r="G412"/>
  <c r="H412"/>
  <c r="I412"/>
  <c r="J412"/>
  <c r="G413"/>
  <c r="H413"/>
  <c r="I413"/>
  <c r="J413"/>
  <c r="G414"/>
  <c r="H414"/>
  <c r="I414"/>
  <c r="J414"/>
  <c r="G415"/>
  <c r="H415"/>
  <c r="I415"/>
  <c r="J415"/>
  <c r="G416"/>
  <c r="H416"/>
  <c r="I416"/>
  <c r="J416"/>
  <c r="G417"/>
  <c r="H417"/>
  <c r="I417"/>
  <c r="J417"/>
  <c r="G418"/>
  <c r="H418"/>
  <c r="I418"/>
  <c r="J418"/>
  <c r="G419"/>
  <c r="H419"/>
  <c r="I419"/>
  <c r="J419"/>
  <c r="G420"/>
  <c r="H420"/>
  <c r="I420"/>
  <c r="J420"/>
  <c r="G421"/>
  <c r="H421"/>
  <c r="I421"/>
  <c r="J421"/>
  <c r="G422"/>
  <c r="H422"/>
  <c r="I422"/>
  <c r="J422"/>
  <c r="G423"/>
  <c r="H423"/>
  <c r="I423"/>
  <c r="J423"/>
  <c r="G424"/>
  <c r="H424"/>
  <c r="I424"/>
  <c r="J424"/>
  <c r="G425"/>
  <c r="H425"/>
  <c r="I425"/>
  <c r="J425"/>
  <c r="G426"/>
  <c r="H426"/>
  <c r="I426"/>
  <c r="J426"/>
  <c r="G427"/>
  <c r="H427"/>
  <c r="I427"/>
  <c r="J427"/>
  <c r="G428"/>
  <c r="H428"/>
  <c r="I428"/>
  <c r="J428"/>
  <c r="G429"/>
  <c r="H429"/>
  <c r="I429"/>
  <c r="J429"/>
  <c r="G430"/>
  <c r="H430"/>
  <c r="I430"/>
  <c r="J430"/>
  <c r="G431"/>
  <c r="H431"/>
  <c r="I431"/>
  <c r="J431"/>
  <c r="G432"/>
  <c r="H432"/>
  <c r="I432"/>
  <c r="J432"/>
  <c r="G433"/>
  <c r="H433"/>
  <c r="I433"/>
  <c r="J433"/>
  <c r="G434"/>
  <c r="H434"/>
  <c r="I434"/>
  <c r="J434"/>
  <c r="G435"/>
  <c r="H435"/>
  <c r="I435"/>
  <c r="J435"/>
  <c r="G436"/>
  <c r="H436"/>
  <c r="I436"/>
  <c r="J436"/>
  <c r="G437"/>
  <c r="H437"/>
  <c r="I437"/>
  <c r="J437"/>
  <c r="G438"/>
  <c r="H438"/>
  <c r="I438"/>
  <c r="J438"/>
  <c r="G439"/>
  <c r="H439"/>
  <c r="I439"/>
  <c r="J439"/>
  <c r="G440"/>
  <c r="H440"/>
  <c r="I440"/>
  <c r="J440"/>
  <c r="G441"/>
  <c r="H441"/>
  <c r="I441"/>
  <c r="J441"/>
  <c r="G442"/>
  <c r="H442"/>
  <c r="I442"/>
  <c r="J442"/>
  <c r="G443"/>
  <c r="H443"/>
  <c r="I443"/>
  <c r="J443"/>
  <c r="G444"/>
  <c r="H444"/>
  <c r="I444"/>
  <c r="J444"/>
  <c r="G445"/>
  <c r="H445"/>
  <c r="I445"/>
  <c r="J445"/>
  <c r="G446"/>
  <c r="H446"/>
  <c r="I446"/>
  <c r="J446"/>
  <c r="G447"/>
  <c r="H447"/>
  <c r="I447"/>
  <c r="J447"/>
  <c r="G448"/>
  <c r="H448"/>
  <c r="I448"/>
  <c r="J448"/>
  <c r="G449"/>
  <c r="H449"/>
  <c r="I449"/>
  <c r="J449"/>
  <c r="G450"/>
  <c r="H450"/>
  <c r="I450"/>
  <c r="J450"/>
  <c r="G451"/>
  <c r="H451"/>
  <c r="I451"/>
  <c r="J451"/>
  <c r="G452"/>
  <c r="H452"/>
  <c r="I452"/>
  <c r="J452"/>
  <c r="G453"/>
  <c r="H453"/>
  <c r="I453"/>
  <c r="J453"/>
  <c r="G454"/>
  <c r="H454"/>
  <c r="I454"/>
  <c r="J454"/>
  <c r="G455"/>
  <c r="H455"/>
  <c r="I455"/>
  <c r="J455"/>
  <c r="G456"/>
  <c r="H456"/>
  <c r="I456"/>
  <c r="J456"/>
  <c r="G457"/>
  <c r="H457"/>
  <c r="I457"/>
  <c r="J457"/>
  <c r="G458"/>
  <c r="H458"/>
  <c r="I458"/>
  <c r="J458"/>
  <c r="G459"/>
  <c r="H459"/>
  <c r="I459"/>
  <c r="J459"/>
  <c r="G460"/>
  <c r="H460"/>
  <c r="I460"/>
  <c r="J460"/>
  <c r="G461"/>
  <c r="H461"/>
  <c r="I461"/>
  <c r="J461"/>
  <c r="G462"/>
  <c r="H462"/>
  <c r="I462"/>
  <c r="J462"/>
  <c r="H58"/>
  <c r="I58"/>
  <c r="J58"/>
  <c r="G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F161"/>
  <c r="F162"/>
  <c r="F163"/>
  <c r="F164"/>
  <c r="F165"/>
  <c r="F166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357"/>
  <c r="F358"/>
  <c r="F359"/>
  <c r="F360"/>
  <c r="F361"/>
  <c r="F362"/>
  <c r="F363"/>
  <c r="F364"/>
  <c r="F365"/>
  <c r="F366"/>
  <c r="F367"/>
  <c r="F368"/>
  <c r="F369"/>
  <c r="F370"/>
  <c r="F371"/>
  <c r="F372"/>
  <c r="F373"/>
  <c r="F374"/>
  <c r="F375"/>
  <c r="F376"/>
  <c r="F377"/>
  <c r="F378"/>
  <c r="F379"/>
  <c r="F380"/>
  <c r="F381"/>
  <c r="F382"/>
  <c r="F383"/>
  <c r="F384"/>
  <c r="F385"/>
  <c r="F386"/>
  <c r="F387"/>
  <c r="F388"/>
  <c r="F389"/>
  <c r="F390"/>
  <c r="F391"/>
  <c r="F392"/>
  <c r="F393"/>
  <c r="F394"/>
  <c r="F395"/>
  <c r="F396"/>
  <c r="F397"/>
  <c r="F398"/>
  <c r="F399"/>
  <c r="F400"/>
  <c r="F401"/>
  <c r="F402"/>
  <c r="F403"/>
  <c r="F404"/>
  <c r="F405"/>
  <c r="F406"/>
  <c r="F407"/>
  <c r="F408"/>
  <c r="F409"/>
  <c r="F410"/>
  <c r="F411"/>
  <c r="F412"/>
  <c r="F413"/>
  <c r="F414"/>
  <c r="F415"/>
  <c r="F416"/>
  <c r="F417"/>
  <c r="F418"/>
  <c r="F419"/>
  <c r="F420"/>
  <c r="F421"/>
  <c r="F422"/>
  <c r="F423"/>
  <c r="F424"/>
  <c r="F425"/>
  <c r="F426"/>
  <c r="F427"/>
  <c r="F428"/>
  <c r="F429"/>
  <c r="F430"/>
  <c r="F431"/>
  <c r="F432"/>
  <c r="F433"/>
  <c r="F434"/>
  <c r="F435"/>
  <c r="F436"/>
  <c r="F437"/>
  <c r="F438"/>
  <c r="F439"/>
  <c r="F440"/>
  <c r="F441"/>
  <c r="F442"/>
  <c r="F443"/>
  <c r="F444"/>
  <c r="F445"/>
  <c r="F446"/>
  <c r="F447"/>
  <c r="F448"/>
  <c r="F449"/>
  <c r="F450"/>
  <c r="F451"/>
  <c r="F452"/>
  <c r="F453"/>
  <c r="F454"/>
  <c r="F455"/>
  <c r="F456"/>
  <c r="F457"/>
  <c r="F458"/>
  <c r="F459"/>
  <c r="F460"/>
  <c r="F461"/>
  <c r="F462"/>
  <c r="F58"/>
  <c r="E58"/>
  <c r="E65" l="1"/>
  <c r="E62"/>
  <c r="E63"/>
  <c r="E60"/>
  <c r="E61"/>
  <c r="E66"/>
  <c r="E64"/>
  <c r="E59"/>
  <c r="E199" l="1"/>
  <c r="E68"/>
  <c r="E73"/>
  <c r="E201"/>
  <c r="E200"/>
  <c r="E195"/>
  <c r="E67"/>
  <c r="E196"/>
  <c r="E71"/>
  <c r="E70"/>
  <c r="E194"/>
  <c r="E75"/>
  <c r="E193"/>
  <c r="E69"/>
  <c r="E74"/>
  <c r="E72"/>
  <c r="E197"/>
  <c r="E333"/>
  <c r="E198"/>
  <c r="E202" l="1"/>
  <c r="E82"/>
  <c r="E78"/>
  <c r="E205"/>
  <c r="E76"/>
  <c r="E332"/>
  <c r="E330"/>
  <c r="E80"/>
  <c r="E208"/>
  <c r="E204"/>
  <c r="E77"/>
  <c r="E210"/>
  <c r="E209"/>
  <c r="E334"/>
  <c r="E331"/>
  <c r="E84"/>
  <c r="E83"/>
  <c r="E328"/>
  <c r="E207"/>
  <c r="E79"/>
  <c r="E206"/>
  <c r="E329"/>
  <c r="E81"/>
  <c r="E203"/>
  <c r="E335"/>
  <c r="E336"/>
  <c r="E92" l="1"/>
  <c r="E213"/>
  <c r="E214"/>
  <c r="E215"/>
  <c r="E85"/>
  <c r="E343"/>
  <c r="E219"/>
  <c r="E338"/>
  <c r="E341"/>
  <c r="E93"/>
  <c r="E86"/>
  <c r="E339"/>
  <c r="E217"/>
  <c r="E342"/>
  <c r="E90"/>
  <c r="E218"/>
  <c r="E91"/>
  <c r="E337"/>
  <c r="E340"/>
  <c r="E211"/>
  <c r="E344"/>
  <c r="E87"/>
  <c r="E88"/>
  <c r="E212"/>
  <c r="E89"/>
  <c r="E345"/>
  <c r="E216"/>
  <c r="E97" l="1"/>
  <c r="E98"/>
  <c r="E348"/>
  <c r="E225"/>
  <c r="E96"/>
  <c r="E99"/>
  <c r="E350"/>
  <c r="E95"/>
  <c r="E100"/>
  <c r="E220"/>
  <c r="E347"/>
  <c r="E222"/>
  <c r="E101"/>
  <c r="E102"/>
  <c r="E94"/>
  <c r="E221"/>
  <c r="E351"/>
  <c r="E226"/>
  <c r="E353"/>
  <c r="E352"/>
  <c r="E223"/>
  <c r="E224"/>
  <c r="E227"/>
  <c r="E346"/>
  <c r="E354"/>
  <c r="E349"/>
  <c r="E228"/>
  <c r="E356" l="1"/>
  <c r="E358"/>
  <c r="E360"/>
  <c r="E103"/>
  <c r="E111"/>
  <c r="E230"/>
  <c r="E232"/>
  <c r="E233"/>
  <c r="E231"/>
  <c r="E357"/>
  <c r="E229"/>
  <c r="E237"/>
  <c r="E109"/>
  <c r="E110"/>
  <c r="E359"/>
  <c r="E361"/>
  <c r="E234"/>
  <c r="E104"/>
  <c r="E106"/>
  <c r="E355"/>
  <c r="E363"/>
  <c r="E362"/>
  <c r="E107"/>
  <c r="E108"/>
  <c r="E235"/>
  <c r="E236"/>
  <c r="E105"/>
  <c r="E246" l="1"/>
  <c r="E242"/>
  <c r="E120"/>
  <c r="E367"/>
  <c r="E238"/>
  <c r="E244"/>
  <c r="E117"/>
  <c r="E369"/>
  <c r="E365"/>
  <c r="E239"/>
  <c r="E240"/>
  <c r="E245"/>
  <c r="E112"/>
  <c r="E115"/>
  <c r="E371"/>
  <c r="E243"/>
  <c r="E116"/>
  <c r="E241"/>
  <c r="E118"/>
  <c r="E372"/>
  <c r="E366"/>
  <c r="E368"/>
  <c r="E364"/>
  <c r="E113"/>
  <c r="E114"/>
  <c r="E119"/>
  <c r="E370"/>
  <c r="E378" l="1"/>
  <c r="E250"/>
  <c r="E380"/>
  <c r="E128"/>
  <c r="E248"/>
  <c r="E379"/>
  <c r="E125"/>
  <c r="E127"/>
  <c r="E122"/>
  <c r="E375"/>
  <c r="E376"/>
  <c r="E255"/>
  <c r="E252"/>
  <c r="E377"/>
  <c r="E123"/>
  <c r="E121"/>
  <c r="E251"/>
  <c r="E253"/>
  <c r="E124"/>
  <c r="E374"/>
  <c r="E381"/>
  <c r="E249"/>
  <c r="E129"/>
  <c r="E126"/>
  <c r="E373"/>
  <c r="E247"/>
  <c r="E254"/>
  <c r="E261" l="1"/>
  <c r="E133"/>
  <c r="E256"/>
  <c r="E385"/>
  <c r="E382"/>
  <c r="E384"/>
  <c r="E386"/>
  <c r="E136"/>
  <c r="E134"/>
  <c r="E263"/>
  <c r="E130"/>
  <c r="E388"/>
  <c r="E264"/>
  <c r="E131"/>
  <c r="E390"/>
  <c r="E132"/>
  <c r="E387"/>
  <c r="E257"/>
  <c r="E389"/>
  <c r="E262"/>
  <c r="E260"/>
  <c r="E137"/>
  <c r="E135"/>
  <c r="E258"/>
  <c r="E259"/>
  <c r="E138"/>
  <c r="E383"/>
  <c r="E392" l="1"/>
  <c r="E266"/>
  <c r="E396"/>
  <c r="E272"/>
  <c r="E144"/>
  <c r="E271"/>
  <c r="E268"/>
  <c r="E391"/>
  <c r="E146"/>
  <c r="E269"/>
  <c r="E399"/>
  <c r="E267"/>
  <c r="E394"/>
  <c r="E395"/>
  <c r="E273"/>
  <c r="E139"/>
  <c r="E142"/>
  <c r="E143"/>
  <c r="E140"/>
  <c r="E145"/>
  <c r="E141"/>
  <c r="E147"/>
  <c r="E393"/>
  <c r="E397"/>
  <c r="E270"/>
  <c r="E265"/>
  <c r="E398"/>
  <c r="E274" l="1"/>
  <c r="E401"/>
  <c r="E404"/>
  <c r="E281"/>
  <c r="E408"/>
  <c r="E154"/>
  <c r="E148"/>
  <c r="E279"/>
  <c r="E400"/>
  <c r="E403"/>
  <c r="E278"/>
  <c r="E151"/>
  <c r="E406"/>
  <c r="E156"/>
  <c r="E149"/>
  <c r="E405"/>
  <c r="E282"/>
  <c r="E402"/>
  <c r="E276"/>
  <c r="E155"/>
  <c r="E280"/>
  <c r="E407"/>
  <c r="E150"/>
  <c r="E152"/>
  <c r="E277"/>
  <c r="E153"/>
  <c r="E275"/>
  <c r="E411" l="1"/>
  <c r="E283"/>
  <c r="E417"/>
  <c r="E284"/>
  <c r="E409"/>
  <c r="E287"/>
  <c r="E159"/>
  <c r="E286"/>
  <c r="E164"/>
  <c r="E157"/>
  <c r="E158"/>
  <c r="E289"/>
  <c r="E416"/>
  <c r="E161"/>
  <c r="E290"/>
  <c r="E414"/>
  <c r="E163"/>
  <c r="E291"/>
  <c r="E288"/>
  <c r="E415"/>
  <c r="E413"/>
  <c r="E410"/>
  <c r="E412"/>
  <c r="E285"/>
  <c r="E160"/>
  <c r="E165"/>
  <c r="E162"/>
  <c r="E171" l="1"/>
  <c r="E293"/>
  <c r="E424"/>
  <c r="E418"/>
  <c r="E421"/>
  <c r="E296"/>
  <c r="E419"/>
  <c r="E170"/>
  <c r="E292"/>
  <c r="E425"/>
  <c r="E174"/>
  <c r="E423"/>
  <c r="E298"/>
  <c r="E426"/>
  <c r="E173"/>
  <c r="E295"/>
  <c r="E167"/>
  <c r="E299"/>
  <c r="E422"/>
  <c r="E169"/>
  <c r="E168"/>
  <c r="E172"/>
  <c r="E297"/>
  <c r="E166"/>
  <c r="E294"/>
  <c r="E300"/>
  <c r="E420"/>
  <c r="E177" l="1"/>
  <c r="E178"/>
  <c r="E432"/>
  <c r="E307"/>
  <c r="E434"/>
  <c r="E179"/>
  <c r="E180"/>
  <c r="E435"/>
  <c r="E301"/>
  <c r="E309"/>
  <c r="E431"/>
  <c r="E175"/>
  <c r="E181"/>
  <c r="E183"/>
  <c r="E429"/>
  <c r="E176"/>
  <c r="E308"/>
  <c r="E427"/>
  <c r="E305"/>
  <c r="E302"/>
  <c r="E182"/>
  <c r="E303"/>
  <c r="E304"/>
  <c r="E306"/>
  <c r="E433"/>
  <c r="E430"/>
  <c r="E428"/>
  <c r="E186" l="1"/>
  <c r="E184"/>
  <c r="E314"/>
  <c r="E442"/>
  <c r="E318"/>
  <c r="E188"/>
  <c r="E437"/>
  <c r="E313"/>
  <c r="E311"/>
  <c r="E192"/>
  <c r="E190"/>
  <c r="E438"/>
  <c r="E315"/>
  <c r="E439"/>
  <c r="E187"/>
  <c r="E185"/>
  <c r="E191"/>
  <c r="E444"/>
  <c r="E316"/>
  <c r="E441"/>
  <c r="E312"/>
  <c r="E310"/>
  <c r="E317"/>
  <c r="E440"/>
  <c r="E436"/>
  <c r="E189"/>
  <c r="E443"/>
  <c r="E446" l="1"/>
  <c r="E445"/>
  <c r="E453"/>
  <c r="E322"/>
  <c r="E452"/>
  <c r="E450"/>
  <c r="E325"/>
  <c r="E451"/>
  <c r="E449"/>
  <c r="E326"/>
  <c r="E323"/>
  <c r="E319"/>
  <c r="E327"/>
  <c r="E324"/>
  <c r="E320"/>
  <c r="E448"/>
  <c r="E447"/>
  <c r="E321"/>
  <c r="E458" l="1"/>
  <c r="E455"/>
  <c r="E457"/>
  <c r="E460"/>
  <c r="E461"/>
  <c r="E462"/>
  <c r="E459"/>
  <c r="E456"/>
  <c r="E454"/>
  <c r="I165" i="4" l="1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164"/>
  <c r="B215" l="1"/>
  <c r="B199"/>
  <c r="B200"/>
  <c r="B201"/>
  <c r="B202"/>
  <c r="B203"/>
  <c r="B204"/>
  <c r="B205"/>
  <c r="B206"/>
  <c r="B207"/>
  <c r="B208"/>
  <c r="B209"/>
  <c r="B210"/>
  <c r="B211"/>
  <c r="B212"/>
  <c r="B213"/>
  <c r="B214"/>
  <c r="B198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193"/>
  <c r="B194"/>
  <c r="B195"/>
  <c r="B196"/>
  <c r="B197"/>
  <c r="B164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E7" i="5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6"/>
  <c r="AB3" i="7" l="1"/>
  <c r="AB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7"/>
  <c r="AB108"/>
  <c r="AB109"/>
  <c r="AB110"/>
  <c r="AB111"/>
  <c r="AB112"/>
  <c r="AB113"/>
  <c r="AB114"/>
  <c r="AB115"/>
  <c r="AB116"/>
  <c r="AB117"/>
  <c r="AB118"/>
  <c r="AB119"/>
  <c r="AB120"/>
  <c r="AB121"/>
  <c r="AB122"/>
  <c r="AB123"/>
  <c r="AB124"/>
  <c r="AB125"/>
  <c r="AB126"/>
  <c r="AB127"/>
  <c r="AB128"/>
  <c r="AB129"/>
  <c r="AB130"/>
  <c r="AB131"/>
  <c r="AB132"/>
  <c r="AB133"/>
  <c r="AB134"/>
  <c r="AB135"/>
  <c r="AB136"/>
  <c r="AB137"/>
  <c r="AB138"/>
  <c r="AB139"/>
  <c r="AB140"/>
  <c r="AB141"/>
  <c r="AB142"/>
  <c r="AB143"/>
  <c r="AB144"/>
  <c r="AB145"/>
  <c r="AB146"/>
  <c r="AB147"/>
  <c r="AB148"/>
  <c r="AB149"/>
  <c r="AB150"/>
  <c r="AB151"/>
  <c r="AB152"/>
  <c r="AB153"/>
  <c r="AB154"/>
  <c r="AB155"/>
  <c r="AB156"/>
  <c r="AB157"/>
  <c r="AB158"/>
  <c r="AB159"/>
  <c r="AB160"/>
  <c r="AB161"/>
  <c r="AB162"/>
  <c r="AB163"/>
  <c r="AB164"/>
  <c r="AB165"/>
  <c r="AB166"/>
  <c r="AB167"/>
  <c r="AB168"/>
  <c r="AB169"/>
  <c r="AB170"/>
  <c r="AB171"/>
  <c r="AB172"/>
  <c r="AB173"/>
  <c r="AB174"/>
  <c r="AB175"/>
  <c r="AB176"/>
  <c r="AB177"/>
  <c r="AB178"/>
  <c r="AB179"/>
  <c r="AB180"/>
  <c r="AB181"/>
  <c r="AB182"/>
  <c r="AB183"/>
  <c r="AB184"/>
  <c r="AB185"/>
  <c r="AB186"/>
  <c r="AB187"/>
  <c r="AB188"/>
  <c r="AB189"/>
  <c r="AB190"/>
  <c r="AB191"/>
  <c r="AB192"/>
  <c r="AB193"/>
  <c r="AB194"/>
  <c r="AB195"/>
  <c r="AB196"/>
  <c r="AB197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264"/>
  <c r="AB265"/>
  <c r="AB266"/>
  <c r="AB267"/>
  <c r="AB268"/>
  <c r="AB269"/>
  <c r="AB270"/>
  <c r="AB271"/>
  <c r="AB272"/>
  <c r="AB273"/>
  <c r="AB274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2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I273" i="6" l="1"/>
  <c r="I274"/>
  <c r="I275"/>
  <c r="I276"/>
  <c r="I277"/>
  <c r="I278"/>
  <c r="I279"/>
  <c r="I280"/>
  <c r="I281"/>
  <c r="I282"/>
  <c r="I283"/>
  <c r="I284"/>
  <c r="I285"/>
  <c r="I286"/>
  <c r="I287"/>
  <c r="I288"/>
  <c r="I289"/>
  <c r="I290"/>
  <c r="I291"/>
  <c r="I292"/>
  <c r="I293"/>
  <c r="I294"/>
  <c r="I295"/>
  <c r="I296"/>
  <c r="I297"/>
  <c r="I298"/>
  <c r="I299"/>
  <c r="I300"/>
  <c r="I301"/>
  <c r="I302"/>
  <c r="I303"/>
  <c r="I304"/>
  <c r="I305"/>
  <c r="I306"/>
  <c r="I307"/>
  <c r="I308"/>
  <c r="I309"/>
  <c r="I310"/>
  <c r="I311"/>
  <c r="I312"/>
  <c r="I313"/>
  <c r="I314"/>
  <c r="I315"/>
  <c r="I316"/>
  <c r="I317"/>
  <c r="I318"/>
  <c r="I319"/>
  <c r="I320"/>
  <c r="I321"/>
  <c r="I322"/>
  <c r="I323"/>
  <c r="I324"/>
  <c r="I325"/>
  <c r="I326"/>
  <c r="I327"/>
  <c r="I328"/>
  <c r="I329"/>
  <c r="I330"/>
  <c r="I331"/>
  <c r="I332"/>
  <c r="I333"/>
  <c r="I334"/>
  <c r="I335"/>
  <c r="I336"/>
  <c r="I337"/>
  <c r="I338"/>
  <c r="I339"/>
  <c r="I340"/>
  <c r="I341"/>
  <c r="I342"/>
  <c r="I343"/>
  <c r="I344"/>
  <c r="I345"/>
  <c r="I346"/>
  <c r="I347"/>
  <c r="I348"/>
  <c r="I349"/>
  <c r="I350"/>
  <c r="I351"/>
  <c r="I352"/>
  <c r="I353"/>
  <c r="I354"/>
  <c r="I355"/>
  <c r="I356"/>
  <c r="I357"/>
  <c r="I358"/>
  <c r="I359"/>
  <c r="I360"/>
  <c r="I361"/>
  <c r="I362"/>
  <c r="I363"/>
  <c r="I364"/>
  <c r="I365"/>
  <c r="I366"/>
  <c r="I367"/>
  <c r="I368"/>
  <c r="I369"/>
  <c r="I370"/>
  <c r="I371"/>
  <c r="I372"/>
  <c r="I373"/>
  <c r="I374"/>
  <c r="I375"/>
  <c r="I376"/>
  <c r="I377"/>
  <c r="I378"/>
  <c r="I379"/>
  <c r="I380"/>
  <c r="I381"/>
  <c r="I382"/>
  <c r="I383"/>
  <c r="I384"/>
  <c r="I385"/>
  <c r="I386"/>
  <c r="I387"/>
  <c r="I388"/>
  <c r="I389"/>
  <c r="I390"/>
  <c r="I391"/>
  <c r="I392"/>
  <c r="I393"/>
  <c r="I394"/>
  <c r="I395"/>
  <c r="I396"/>
  <c r="I397"/>
  <c r="I398"/>
  <c r="I399"/>
  <c r="I400"/>
  <c r="I401"/>
  <c r="I402"/>
  <c r="I403"/>
  <c r="I404"/>
  <c r="I405"/>
  <c r="I406"/>
  <c r="I272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I217"/>
  <c r="I218"/>
  <c r="I219"/>
  <c r="I220"/>
  <c r="I221"/>
  <c r="I222"/>
  <c r="I223"/>
  <c r="I224"/>
  <c r="I225"/>
  <c r="I226"/>
  <c r="I227"/>
  <c r="I228"/>
  <c r="I229"/>
  <c r="I230"/>
  <c r="I231"/>
  <c r="I232"/>
  <c r="I233"/>
  <c r="I234"/>
  <c r="I235"/>
  <c r="I236"/>
  <c r="I237"/>
  <c r="I238"/>
  <c r="I239"/>
  <c r="I240"/>
  <c r="I241"/>
  <c r="I242"/>
  <c r="I243"/>
  <c r="I244"/>
  <c r="I245"/>
  <c r="I246"/>
  <c r="I247"/>
  <c r="I248"/>
  <c r="I249"/>
  <c r="I250"/>
  <c r="I251"/>
  <c r="I252"/>
  <c r="I253"/>
  <c r="I254"/>
  <c r="I255"/>
  <c r="I256"/>
  <c r="I257"/>
  <c r="I258"/>
  <c r="I259"/>
  <c r="I260"/>
  <c r="I261"/>
  <c r="I262"/>
  <c r="I263"/>
  <c r="I264"/>
  <c r="I265"/>
  <c r="I266"/>
  <c r="I267"/>
  <c r="I268"/>
  <c r="I269"/>
  <c r="I270"/>
  <c r="I271"/>
  <c r="I137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2"/>
  <c r="B329" i="1"/>
  <c r="B330"/>
  <c r="B331"/>
  <c r="B332"/>
  <c r="B333"/>
  <c r="B334"/>
  <c r="B335"/>
  <c r="B336"/>
  <c r="B337"/>
  <c r="B338"/>
  <c r="B339"/>
  <c r="B340"/>
  <c r="B341"/>
  <c r="B342"/>
  <c r="B343"/>
  <c r="B344"/>
  <c r="B345"/>
  <c r="B346"/>
  <c r="B347"/>
  <c r="B348"/>
  <c r="B349"/>
  <c r="B350"/>
  <c r="B351"/>
  <c r="B352"/>
  <c r="B353"/>
  <c r="B354"/>
  <c r="B355"/>
  <c r="B356"/>
  <c r="B357"/>
  <c r="B358"/>
  <c r="B359"/>
  <c r="B360"/>
  <c r="B361"/>
  <c r="B362"/>
  <c r="B363"/>
  <c r="B364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B382"/>
  <c r="B383"/>
  <c r="B384"/>
  <c r="B385"/>
  <c r="B386"/>
  <c r="B387"/>
  <c r="B388"/>
  <c r="B389"/>
  <c r="B390"/>
  <c r="B391"/>
  <c r="B392"/>
  <c r="B393"/>
  <c r="B394"/>
  <c r="B395"/>
  <c r="B396"/>
  <c r="B397"/>
  <c r="B398"/>
  <c r="B399"/>
  <c r="B400"/>
  <c r="B401"/>
  <c r="B402"/>
  <c r="B403"/>
  <c r="B404"/>
  <c r="B405"/>
  <c r="B406"/>
  <c r="B407"/>
  <c r="B408"/>
  <c r="B409"/>
  <c r="B410"/>
  <c r="B411"/>
  <c r="B412"/>
  <c r="B413"/>
  <c r="B414"/>
  <c r="B415"/>
  <c r="B416"/>
  <c r="B417"/>
  <c r="B418"/>
  <c r="B419"/>
  <c r="B420"/>
  <c r="B421"/>
  <c r="B422"/>
  <c r="B423"/>
  <c r="B424"/>
  <c r="B425"/>
  <c r="B426"/>
  <c r="B427"/>
  <c r="B428"/>
  <c r="B429"/>
  <c r="B430"/>
  <c r="B431"/>
  <c r="B432"/>
  <c r="B433"/>
  <c r="B434"/>
  <c r="B435"/>
  <c r="B436"/>
  <c r="B437"/>
  <c r="B438"/>
  <c r="B439"/>
  <c r="B440"/>
  <c r="B441"/>
  <c r="B442"/>
  <c r="B443"/>
  <c r="B444"/>
  <c r="B445"/>
  <c r="B446"/>
  <c r="B447"/>
  <c r="B448"/>
  <c r="B449"/>
  <c r="B450"/>
  <c r="B451"/>
  <c r="B452"/>
  <c r="B453"/>
  <c r="B454"/>
  <c r="B455"/>
  <c r="B456"/>
  <c r="B457"/>
  <c r="B458"/>
  <c r="B459"/>
  <c r="B460"/>
  <c r="B461"/>
  <c r="B462"/>
  <c r="B328"/>
  <c r="B194"/>
  <c r="B195"/>
  <c r="B196"/>
  <c r="B197"/>
  <c r="B198"/>
  <c r="B199"/>
  <c r="B200"/>
  <c r="B201"/>
  <c r="B202"/>
  <c r="B203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B226"/>
  <c r="B227"/>
  <c r="B228"/>
  <c r="B229"/>
  <c r="B230"/>
  <c r="B231"/>
  <c r="B232"/>
  <c r="B233"/>
  <c r="B234"/>
  <c r="B235"/>
  <c r="B236"/>
  <c r="B237"/>
  <c r="B238"/>
  <c r="B239"/>
  <c r="B240"/>
  <c r="B241"/>
  <c r="B242"/>
  <c r="B243"/>
  <c r="B244"/>
  <c r="B245"/>
  <c r="B246"/>
  <c r="B247"/>
  <c r="B248"/>
  <c r="B249"/>
  <c r="B250"/>
  <c r="B251"/>
  <c r="B252"/>
  <c r="B253"/>
  <c r="B254"/>
  <c r="B255"/>
  <c r="B256"/>
  <c r="B257"/>
  <c r="B258"/>
  <c r="B259"/>
  <c r="B260"/>
  <c r="B261"/>
  <c r="B262"/>
  <c r="B263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B283"/>
  <c r="B284"/>
  <c r="B285"/>
  <c r="B286"/>
  <c r="B287"/>
  <c r="B288"/>
  <c r="B289"/>
  <c r="B290"/>
  <c r="B291"/>
  <c r="B292"/>
  <c r="B293"/>
  <c r="B294"/>
  <c r="B295"/>
  <c r="B296"/>
  <c r="B297"/>
  <c r="B298"/>
  <c r="B299"/>
  <c r="B300"/>
  <c r="B301"/>
  <c r="B302"/>
  <c r="B303"/>
  <c r="B304"/>
  <c r="B305"/>
  <c r="B306"/>
  <c r="B307"/>
  <c r="B308"/>
  <c r="B309"/>
  <c r="B310"/>
  <c r="B311"/>
  <c r="B312"/>
  <c r="B313"/>
  <c r="B314"/>
  <c r="B315"/>
  <c r="B316"/>
  <c r="B317"/>
  <c r="B318"/>
  <c r="B319"/>
  <c r="B320"/>
  <c r="B321"/>
  <c r="B322"/>
  <c r="B323"/>
  <c r="B324"/>
  <c r="B325"/>
  <c r="B326"/>
  <c r="B327"/>
  <c r="B193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  <c r="B182"/>
  <c r="B183"/>
  <c r="B184"/>
  <c r="B185"/>
  <c r="B186"/>
  <c r="B187"/>
  <c r="B188"/>
  <c r="B189"/>
  <c r="B190"/>
  <c r="B191"/>
  <c r="B192"/>
  <c r="B58"/>
  <c r="Y538" i="5"/>
  <c r="Y539"/>
  <c r="Y540"/>
  <c r="Y541"/>
  <c r="Y542"/>
  <c r="Y543"/>
  <c r="Y544"/>
  <c r="Y545"/>
  <c r="Y546"/>
  <c r="Y547"/>
  <c r="Y548"/>
  <c r="Y549"/>
  <c r="Y550"/>
  <c r="Y551"/>
  <c r="Y552"/>
  <c r="Y553"/>
  <c r="Y554"/>
  <c r="Y555"/>
  <c r="Y556"/>
  <c r="Y557"/>
  <c r="Y558"/>
  <c r="Y559"/>
  <c r="Y560"/>
  <c r="Y561"/>
  <c r="Y562"/>
  <c r="Y563"/>
  <c r="Y564"/>
  <c r="Y565"/>
  <c r="Y566"/>
  <c r="Y567"/>
  <c r="Y568"/>
  <c r="Y569"/>
  <c r="Y570"/>
  <c r="Y571"/>
  <c r="Y572"/>
  <c r="Y537"/>
  <c r="Y493"/>
  <c r="Y494"/>
  <c r="Y495"/>
  <c r="Y496"/>
  <c r="Y497"/>
  <c r="Y498"/>
  <c r="Y499"/>
  <c r="Y500"/>
  <c r="Y501"/>
  <c r="Y502"/>
  <c r="Y503"/>
  <c r="Y504"/>
  <c r="Y505"/>
  <c r="Y506"/>
  <c r="Y507"/>
  <c r="Y508"/>
  <c r="Y509"/>
  <c r="Y510"/>
  <c r="Y511"/>
  <c r="Y512"/>
  <c r="Y513"/>
  <c r="Y514"/>
  <c r="Y515"/>
  <c r="Y516"/>
  <c r="Y517"/>
  <c r="Y518"/>
  <c r="Y519"/>
  <c r="Y520"/>
  <c r="Y521"/>
  <c r="Y522"/>
  <c r="Y523"/>
  <c r="Y524"/>
  <c r="Y525"/>
  <c r="Y526"/>
  <c r="Y527"/>
  <c r="Y528"/>
  <c r="Y529"/>
  <c r="Y530"/>
  <c r="Y531"/>
  <c r="Y532"/>
  <c r="Y533"/>
  <c r="Y534"/>
  <c r="Y535"/>
  <c r="Y536"/>
  <c r="Y492"/>
  <c r="Y385"/>
  <c r="Y386"/>
  <c r="Y387"/>
  <c r="Y388"/>
  <c r="Y389"/>
  <c r="Y390"/>
  <c r="Y391"/>
  <c r="Y392"/>
  <c r="Y393"/>
  <c r="Y394"/>
  <c r="Y395"/>
  <c r="Y396"/>
  <c r="Y397"/>
  <c r="Y398"/>
  <c r="Y399"/>
  <c r="Y400"/>
  <c r="Y401"/>
  <c r="Y402"/>
  <c r="Y403"/>
  <c r="Y404"/>
  <c r="Y405"/>
  <c r="Y406"/>
  <c r="Y407"/>
  <c r="Y408"/>
  <c r="Y409"/>
  <c r="Y410"/>
  <c r="Y411"/>
  <c r="Y412"/>
  <c r="Y413"/>
  <c r="Y414"/>
  <c r="Y415"/>
  <c r="Y416"/>
  <c r="Y417"/>
  <c r="Y418"/>
  <c r="Y419"/>
  <c r="Y420"/>
  <c r="Y421"/>
  <c r="Y422"/>
  <c r="Y423"/>
  <c r="Y424"/>
  <c r="Y425"/>
  <c r="Y426"/>
  <c r="Y427"/>
  <c r="Y428"/>
  <c r="Y429"/>
  <c r="Y430"/>
  <c r="Y431"/>
  <c r="Y432"/>
  <c r="Y433"/>
  <c r="Y434"/>
  <c r="Y435"/>
  <c r="Y436"/>
  <c r="Y437"/>
  <c r="Y438"/>
  <c r="Y439"/>
  <c r="Y440"/>
  <c r="Y441"/>
  <c r="Y442"/>
  <c r="Y443"/>
  <c r="Y444"/>
  <c r="Y445"/>
  <c r="Y446"/>
  <c r="Y447"/>
  <c r="Y448"/>
  <c r="Y449"/>
  <c r="Y450"/>
  <c r="Y451"/>
  <c r="Y452"/>
  <c r="Y453"/>
  <c r="Y454"/>
  <c r="Y455"/>
  <c r="Y456"/>
  <c r="Y457"/>
  <c r="Y458"/>
  <c r="Y459"/>
  <c r="Y460"/>
  <c r="Y461"/>
  <c r="Y462"/>
  <c r="Y463"/>
  <c r="Y464"/>
  <c r="Y465"/>
  <c r="Y466"/>
  <c r="Y467"/>
  <c r="Y468"/>
  <c r="Y469"/>
  <c r="Y470"/>
  <c r="Y471"/>
  <c r="Y472"/>
  <c r="Y473"/>
  <c r="Y474"/>
  <c r="Y475"/>
  <c r="Y476"/>
  <c r="Y477"/>
  <c r="Y478"/>
  <c r="Y479"/>
  <c r="Y480"/>
  <c r="Y481"/>
  <c r="Y482"/>
  <c r="Y483"/>
  <c r="Y484"/>
  <c r="Y485"/>
  <c r="Y486"/>
  <c r="Y487"/>
  <c r="Y488"/>
  <c r="Y489"/>
  <c r="Y490"/>
  <c r="Y491"/>
  <c r="Y384"/>
  <c r="U76" i="1"/>
  <c r="U77"/>
  <c r="U78"/>
  <c r="U79"/>
  <c r="U80"/>
  <c r="U82"/>
  <c r="U83"/>
  <c r="U84"/>
  <c r="U85"/>
  <c r="U86"/>
  <c r="U87"/>
  <c r="U88"/>
  <c r="U89"/>
  <c r="U91"/>
  <c r="U92"/>
  <c r="U93"/>
  <c r="U94"/>
  <c r="U95"/>
  <c r="U96"/>
  <c r="U97"/>
  <c r="U98"/>
  <c r="U100"/>
  <c r="U101"/>
  <c r="U102"/>
  <c r="U103"/>
  <c r="U104"/>
  <c r="U105"/>
  <c r="U106"/>
  <c r="U107"/>
  <c r="U109"/>
  <c r="U110"/>
  <c r="U112"/>
  <c r="U113"/>
  <c r="U114"/>
  <c r="U115"/>
  <c r="U116"/>
  <c r="U118"/>
  <c r="U119"/>
  <c r="U121"/>
  <c r="U122"/>
  <c r="U123"/>
  <c r="U124"/>
  <c r="U125"/>
  <c r="U128"/>
  <c r="U130"/>
  <c r="U131"/>
  <c r="U132"/>
  <c r="U133"/>
  <c r="U134"/>
  <c r="U137"/>
  <c r="U139"/>
  <c r="U140"/>
  <c r="U141"/>
  <c r="U142"/>
  <c r="U143"/>
  <c r="U146"/>
  <c r="U148"/>
  <c r="U149"/>
  <c r="U150"/>
  <c r="U151"/>
  <c r="U152"/>
  <c r="U155"/>
  <c r="U157"/>
  <c r="U158"/>
  <c r="U159"/>
  <c r="U160"/>
  <c r="U161"/>
  <c r="U164"/>
  <c r="U166"/>
  <c r="U167"/>
  <c r="U168"/>
  <c r="U169"/>
  <c r="U170"/>
  <c r="U173"/>
  <c r="U175"/>
  <c r="U176"/>
  <c r="U177"/>
  <c r="U178"/>
  <c r="U179"/>
  <c r="U182"/>
  <c r="U184"/>
  <c r="U185"/>
  <c r="U186"/>
  <c r="U187"/>
  <c r="U188"/>
  <c r="U191"/>
  <c r="U193"/>
  <c r="U194"/>
  <c r="U195"/>
  <c r="U196"/>
  <c r="U197"/>
  <c r="U198"/>
  <c r="U199"/>
  <c r="U200"/>
  <c r="U201"/>
  <c r="U202"/>
  <c r="U203"/>
  <c r="U204"/>
  <c r="U205"/>
  <c r="U207"/>
  <c r="U208"/>
  <c r="U209"/>
  <c r="U210"/>
  <c r="U211"/>
  <c r="U212"/>
  <c r="U213"/>
  <c r="U214"/>
  <c r="U215"/>
  <c r="U217"/>
  <c r="U218"/>
  <c r="U219"/>
  <c r="U220"/>
  <c r="U221"/>
  <c r="U222"/>
  <c r="U223"/>
  <c r="U224"/>
  <c r="U226"/>
  <c r="U227"/>
  <c r="U228"/>
  <c r="U229"/>
  <c r="U230"/>
  <c r="U231"/>
  <c r="U232"/>
  <c r="U233"/>
  <c r="U235"/>
  <c r="U236"/>
  <c r="U237"/>
  <c r="U238"/>
  <c r="U239"/>
  <c r="U240"/>
  <c r="U241"/>
  <c r="U242"/>
  <c r="U244"/>
  <c r="U245"/>
  <c r="U247"/>
  <c r="U248"/>
  <c r="U249"/>
  <c r="U250"/>
  <c r="U251"/>
  <c r="U253"/>
  <c r="U254"/>
  <c r="U256"/>
  <c r="U257"/>
  <c r="U258"/>
  <c r="U259"/>
  <c r="U260"/>
  <c r="U263"/>
  <c r="U265"/>
  <c r="U266"/>
  <c r="U267"/>
  <c r="U268"/>
  <c r="U269"/>
  <c r="U272"/>
  <c r="U274"/>
  <c r="U275"/>
  <c r="U276"/>
  <c r="U277"/>
  <c r="U278"/>
  <c r="U281"/>
  <c r="U283"/>
  <c r="U284"/>
  <c r="U285"/>
  <c r="U286"/>
  <c r="U287"/>
  <c r="U290"/>
  <c r="U292"/>
  <c r="U293"/>
  <c r="U294"/>
  <c r="U295"/>
  <c r="U296"/>
  <c r="U299"/>
  <c r="U301"/>
  <c r="U302"/>
  <c r="U303"/>
  <c r="U304"/>
  <c r="U305"/>
  <c r="U308"/>
  <c r="U310"/>
  <c r="U311"/>
  <c r="U312"/>
  <c r="U313"/>
  <c r="U314"/>
  <c r="U317"/>
  <c r="U319"/>
  <c r="U320"/>
  <c r="U321"/>
  <c r="U322"/>
  <c r="U323"/>
  <c r="U326"/>
  <c r="U328"/>
  <c r="U329"/>
  <c r="U330"/>
  <c r="U331"/>
  <c r="U332"/>
  <c r="U333"/>
  <c r="U334"/>
  <c r="U335"/>
  <c r="U336"/>
  <c r="U337"/>
  <c r="U338"/>
  <c r="U339"/>
  <c r="U340"/>
  <c r="U342"/>
  <c r="U343"/>
  <c r="U344"/>
  <c r="U345"/>
  <c r="U346"/>
  <c r="U347"/>
  <c r="U348"/>
  <c r="U349"/>
  <c r="U350"/>
  <c r="U352"/>
  <c r="U353"/>
  <c r="U354"/>
  <c r="U355"/>
  <c r="U356"/>
  <c r="U357"/>
  <c r="U358"/>
  <c r="U359"/>
  <c r="U361"/>
  <c r="U362"/>
  <c r="U363"/>
  <c r="U364"/>
  <c r="U365"/>
  <c r="U366"/>
  <c r="U367"/>
  <c r="U368"/>
  <c r="U370"/>
  <c r="U371"/>
  <c r="U372"/>
  <c r="U373"/>
  <c r="U374"/>
  <c r="U375"/>
  <c r="U376"/>
  <c r="U377"/>
  <c r="U379"/>
  <c r="U380"/>
  <c r="U382"/>
  <c r="U383"/>
  <c r="U384"/>
  <c r="U385"/>
  <c r="U386"/>
  <c r="U388"/>
  <c r="U389"/>
  <c r="U391"/>
  <c r="U392"/>
  <c r="U393"/>
  <c r="U394"/>
  <c r="U395"/>
  <c r="U398"/>
  <c r="U400"/>
  <c r="U401"/>
  <c r="U402"/>
  <c r="U403"/>
  <c r="U404"/>
  <c r="U407"/>
  <c r="U409"/>
  <c r="U410"/>
  <c r="U411"/>
  <c r="U412"/>
  <c r="U413"/>
  <c r="U416"/>
  <c r="U418"/>
  <c r="U419"/>
  <c r="U420"/>
  <c r="U421"/>
  <c r="U422"/>
  <c r="U425"/>
  <c r="U427"/>
  <c r="U428"/>
  <c r="U429"/>
  <c r="U430"/>
  <c r="U431"/>
  <c r="U434"/>
  <c r="U436"/>
  <c r="U437"/>
  <c r="U438"/>
  <c r="U439"/>
  <c r="U440"/>
  <c r="U443"/>
  <c r="U445"/>
  <c r="U446"/>
  <c r="U447"/>
  <c r="U448"/>
  <c r="U449"/>
  <c r="U452"/>
  <c r="U454"/>
  <c r="U455"/>
  <c r="U456"/>
  <c r="U457"/>
  <c r="U458"/>
  <c r="U461"/>
  <c r="U67"/>
  <c r="Y196" i="5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Y217"/>
  <c r="Y218"/>
  <c r="Y219"/>
  <c r="Y220"/>
  <c r="Y221"/>
  <c r="Y222"/>
  <c r="Y223"/>
  <c r="Y224"/>
  <c r="Y225"/>
  <c r="Y226"/>
  <c r="Y227"/>
  <c r="Y228"/>
  <c r="Y229"/>
  <c r="Y230"/>
  <c r="Y231"/>
  <c r="Y232"/>
  <c r="Y233"/>
  <c r="Y234"/>
  <c r="Y235"/>
  <c r="Y236"/>
  <c r="Y237"/>
  <c r="Y238"/>
  <c r="Y239"/>
  <c r="Y240"/>
  <c r="Y241"/>
  <c r="Y242"/>
  <c r="Y243"/>
  <c r="Y244"/>
  <c r="Y245"/>
  <c r="Y246"/>
  <c r="Y247"/>
  <c r="Y248"/>
  <c r="Y249"/>
  <c r="Y250"/>
  <c r="Y251"/>
  <c r="Y252"/>
  <c r="Y253"/>
  <c r="Y254"/>
  <c r="Y255"/>
  <c r="Y256"/>
  <c r="Y257"/>
  <c r="Y258"/>
  <c r="Y259"/>
  <c r="Y260"/>
  <c r="Y261"/>
  <c r="Y262"/>
  <c r="Y263"/>
  <c r="Y264"/>
  <c r="Y265"/>
  <c r="Y266"/>
  <c r="Y267"/>
  <c r="Y268"/>
  <c r="Y269"/>
  <c r="Y270"/>
  <c r="Y271"/>
  <c r="Y272"/>
  <c r="Y273"/>
  <c r="Y274"/>
  <c r="Y275"/>
  <c r="Y276"/>
  <c r="Y277"/>
  <c r="Y278"/>
  <c r="Y279"/>
  <c r="Y280"/>
  <c r="Y281"/>
  <c r="Y282"/>
  <c r="Y283"/>
  <c r="Y284"/>
  <c r="Y285"/>
  <c r="Y286"/>
  <c r="Y287"/>
  <c r="Y288"/>
  <c r="Y289"/>
  <c r="Y290"/>
  <c r="Y291"/>
  <c r="Y292"/>
  <c r="Y293"/>
  <c r="Y294"/>
  <c r="Y295"/>
  <c r="Y296"/>
  <c r="Y297"/>
  <c r="Y298"/>
  <c r="Y299"/>
  <c r="Y300"/>
  <c r="Y301"/>
  <c r="Y302"/>
  <c r="Y19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349"/>
  <c r="Y350"/>
  <c r="Y351"/>
  <c r="Y352"/>
  <c r="Y353"/>
  <c r="Y354"/>
  <c r="Y355"/>
  <c r="Y356"/>
  <c r="Y357"/>
  <c r="Y358"/>
  <c r="Y359"/>
  <c r="Y360"/>
  <c r="Y361"/>
  <c r="Y362"/>
  <c r="Y363"/>
  <c r="Y364"/>
  <c r="Y365"/>
  <c r="Y366"/>
  <c r="Y367"/>
  <c r="Y368"/>
  <c r="Y369"/>
  <c r="Y370"/>
  <c r="Y371"/>
  <c r="Y372"/>
  <c r="Y373"/>
  <c r="Y374"/>
  <c r="Y375"/>
  <c r="Y376"/>
  <c r="Y377"/>
  <c r="Y378"/>
  <c r="Y379"/>
  <c r="Y380"/>
  <c r="Y381"/>
  <c r="Y382"/>
  <c r="Y383"/>
  <c r="Y348"/>
  <c r="Y304"/>
  <c r="Y305"/>
  <c r="Y306"/>
  <c r="Y307"/>
  <c r="Y308"/>
  <c r="Y309"/>
  <c r="Y310"/>
  <c r="Y311"/>
  <c r="Y312"/>
  <c r="Y313"/>
  <c r="Y314"/>
  <c r="Y315"/>
  <c r="Y316"/>
  <c r="Y317"/>
  <c r="Y318"/>
  <c r="Y319"/>
  <c r="Y320"/>
  <c r="Y321"/>
  <c r="Y322"/>
  <c r="Y323"/>
  <c r="Y324"/>
  <c r="Y325"/>
  <c r="Y326"/>
  <c r="Y327"/>
  <c r="Y328"/>
  <c r="Y329"/>
  <c r="Y330"/>
  <c r="Y331"/>
  <c r="Y332"/>
  <c r="Y333"/>
  <c r="Y334"/>
  <c r="Y335"/>
  <c r="Y336"/>
  <c r="Y337"/>
  <c r="Y338"/>
  <c r="Y339"/>
  <c r="Y340"/>
  <c r="Y341"/>
  <c r="Y342"/>
  <c r="Y343"/>
  <c r="Y344"/>
  <c r="Y345"/>
  <c r="Y346"/>
  <c r="Y347"/>
  <c r="Y303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60"/>
  <c r="Y161"/>
  <c r="Y162"/>
  <c r="Y163"/>
  <c r="Y164"/>
  <c r="Y165"/>
  <c r="Y166"/>
  <c r="Y167"/>
  <c r="Y159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60"/>
  <c r="B9" i="8" l="1"/>
  <c r="B14" s="1"/>
  <c r="B19" s="1"/>
  <c r="B24" s="1"/>
  <c r="B29" s="1"/>
  <c r="B34" s="1"/>
  <c r="B39" s="1"/>
  <c r="B44" s="1"/>
  <c r="B49" s="1"/>
  <c r="B54" s="1"/>
  <c r="B59" s="1"/>
  <c r="B64" s="1"/>
  <c r="B69" s="1"/>
  <c r="B10"/>
  <c r="B15" s="1"/>
  <c r="B20" s="1"/>
  <c r="B25" s="1"/>
  <c r="B30" s="1"/>
  <c r="B35" s="1"/>
  <c r="B40" s="1"/>
  <c r="B45" s="1"/>
  <c r="B50" s="1"/>
  <c r="B55" s="1"/>
  <c r="B60" s="1"/>
  <c r="B65" s="1"/>
  <c r="B70" s="1"/>
  <c r="B11"/>
  <c r="B16" s="1"/>
  <c r="B21" s="1"/>
  <c r="B26" s="1"/>
  <c r="B31" s="1"/>
  <c r="B36" s="1"/>
  <c r="B41" s="1"/>
  <c r="B46" s="1"/>
  <c r="B51" s="1"/>
  <c r="B56" s="1"/>
  <c r="B61" s="1"/>
  <c r="B66" s="1"/>
  <c r="B71" s="1"/>
  <c r="B12"/>
  <c r="B17" s="1"/>
  <c r="B22" s="1"/>
  <c r="B27" s="1"/>
  <c r="B32" s="1"/>
  <c r="B37" s="1"/>
  <c r="B42" s="1"/>
  <c r="B47" s="1"/>
  <c r="B52" s="1"/>
  <c r="B57" s="1"/>
  <c r="B62" s="1"/>
  <c r="B67" s="1"/>
  <c r="B72" s="1"/>
  <c r="B8"/>
  <c r="B13" s="1"/>
  <c r="B18" s="1"/>
  <c r="B23" s="1"/>
  <c r="B28" s="1"/>
  <c r="B33" s="1"/>
  <c r="B38" s="1"/>
  <c r="B43" s="1"/>
  <c r="B48" s="1"/>
  <c r="B53" s="1"/>
  <c r="B58" s="1"/>
  <c r="B63" s="1"/>
  <c r="B68" s="1"/>
  <c r="J3" i="6" l="1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5"/>
  <c r="J26"/>
  <c r="J27"/>
  <c r="J28"/>
  <c r="J29"/>
  <c r="J30"/>
  <c r="J31"/>
  <c r="J32"/>
  <c r="J34"/>
  <c r="J35"/>
  <c r="J36"/>
  <c r="J37"/>
  <c r="J38"/>
  <c r="J39"/>
  <c r="J40"/>
  <c r="J41"/>
  <c r="J43"/>
  <c r="J44"/>
  <c r="J45"/>
  <c r="J46"/>
  <c r="J47"/>
  <c r="J48"/>
  <c r="J49"/>
  <c r="J50"/>
  <c r="J52"/>
  <c r="J53"/>
  <c r="J55"/>
  <c r="J56"/>
  <c r="J57"/>
  <c r="J58"/>
  <c r="J59"/>
  <c r="J61"/>
  <c r="J62"/>
  <c r="J64"/>
  <c r="J65"/>
  <c r="J66"/>
  <c r="J67"/>
  <c r="J68"/>
  <c r="J71"/>
  <c r="J73"/>
  <c r="J74"/>
  <c r="J75"/>
  <c r="J76"/>
  <c r="J77"/>
  <c r="J80"/>
  <c r="J82"/>
  <c r="J83"/>
  <c r="J84"/>
  <c r="J85"/>
  <c r="J86"/>
  <c r="J89"/>
  <c r="J91"/>
  <c r="J92"/>
  <c r="J93"/>
  <c r="J94"/>
  <c r="J95"/>
  <c r="J98"/>
  <c r="J100"/>
  <c r="J101"/>
  <c r="J102"/>
  <c r="J103"/>
  <c r="J104"/>
  <c r="J107"/>
  <c r="J109"/>
  <c r="J110"/>
  <c r="J111"/>
  <c r="J112"/>
  <c r="J113"/>
  <c r="J116"/>
  <c r="J118"/>
  <c r="J119"/>
  <c r="J120"/>
  <c r="J121"/>
  <c r="J122"/>
  <c r="J125"/>
  <c r="J127"/>
  <c r="J128"/>
  <c r="J129"/>
  <c r="J130"/>
  <c r="J131"/>
  <c r="J134"/>
  <c r="J136"/>
  <c r="J137"/>
  <c r="J138"/>
  <c r="J139"/>
  <c r="J140"/>
  <c r="J141"/>
  <c r="J142"/>
  <c r="J143"/>
  <c r="J144"/>
  <c r="J145"/>
  <c r="J146"/>
  <c r="J147"/>
  <c r="J148"/>
  <c r="J150"/>
  <c r="J151"/>
  <c r="J152"/>
  <c r="J153"/>
  <c r="J154"/>
  <c r="J155"/>
  <c r="J156"/>
  <c r="J157"/>
  <c r="J158"/>
  <c r="J160"/>
  <c r="J161"/>
  <c r="J162"/>
  <c r="J163"/>
  <c r="J164"/>
  <c r="J165"/>
  <c r="J166"/>
  <c r="J167"/>
  <c r="J169"/>
  <c r="J170"/>
  <c r="J171"/>
  <c r="J172"/>
  <c r="J173"/>
  <c r="J174"/>
  <c r="J175"/>
  <c r="J176"/>
  <c r="J178"/>
  <c r="J179"/>
  <c r="J180"/>
  <c r="J181"/>
  <c r="J182"/>
  <c r="J183"/>
  <c r="J184"/>
  <c r="J185"/>
  <c r="J187"/>
  <c r="J188"/>
  <c r="J190"/>
  <c r="J191"/>
  <c r="J192"/>
  <c r="J193"/>
  <c r="J194"/>
  <c r="J196"/>
  <c r="J197"/>
  <c r="J199"/>
  <c r="J200"/>
  <c r="J201"/>
  <c r="J202"/>
  <c r="J203"/>
  <c r="J206"/>
  <c r="J208"/>
  <c r="J209"/>
  <c r="J210"/>
  <c r="J211"/>
  <c r="J212"/>
  <c r="J215"/>
  <c r="J217"/>
  <c r="J218"/>
  <c r="J219"/>
  <c r="J220"/>
  <c r="J221"/>
  <c r="J224"/>
  <c r="J226"/>
  <c r="J227"/>
  <c r="J228"/>
  <c r="J229"/>
  <c r="J230"/>
  <c r="J233"/>
  <c r="J235"/>
  <c r="J236"/>
  <c r="J237"/>
  <c r="J238"/>
  <c r="J239"/>
  <c r="J242"/>
  <c r="J244"/>
  <c r="J245"/>
  <c r="J246"/>
  <c r="J247"/>
  <c r="J248"/>
  <c r="J251"/>
  <c r="J253"/>
  <c r="J254"/>
  <c r="J255"/>
  <c r="J256"/>
  <c r="J257"/>
  <c r="J260"/>
  <c r="J262"/>
  <c r="J263"/>
  <c r="J264"/>
  <c r="J265"/>
  <c r="J266"/>
  <c r="J269"/>
  <c r="J271"/>
  <c r="J272"/>
  <c r="J273"/>
  <c r="J274"/>
  <c r="J275"/>
  <c r="J276"/>
  <c r="J277"/>
  <c r="J278"/>
  <c r="J279"/>
  <c r="J280"/>
  <c r="J281"/>
  <c r="J282"/>
  <c r="J283"/>
  <c r="J285"/>
  <c r="J286"/>
  <c r="J287"/>
  <c r="J288"/>
  <c r="J289"/>
  <c r="J290"/>
  <c r="J291"/>
  <c r="J292"/>
  <c r="J293"/>
  <c r="J295"/>
  <c r="J296"/>
  <c r="J297"/>
  <c r="J298"/>
  <c r="J299"/>
  <c r="J300"/>
  <c r="J301"/>
  <c r="J302"/>
  <c r="J304"/>
  <c r="J305"/>
  <c r="J306"/>
  <c r="J307"/>
  <c r="J308"/>
  <c r="J309"/>
  <c r="J310"/>
  <c r="J311"/>
  <c r="J313"/>
  <c r="J314"/>
  <c r="J315"/>
  <c r="J316"/>
  <c r="J317"/>
  <c r="J318"/>
  <c r="J319"/>
  <c r="J320"/>
  <c r="J322"/>
  <c r="J323"/>
  <c r="J325"/>
  <c r="J326"/>
  <c r="J327"/>
  <c r="J328"/>
  <c r="J329"/>
  <c r="J331"/>
  <c r="J332"/>
  <c r="J334"/>
  <c r="J335"/>
  <c r="J336"/>
  <c r="J337"/>
  <c r="J338"/>
  <c r="J341"/>
  <c r="J343"/>
  <c r="J344"/>
  <c r="J345"/>
  <c r="J346"/>
  <c r="J347"/>
  <c r="J350"/>
  <c r="J352"/>
  <c r="J353"/>
  <c r="J354"/>
  <c r="J355"/>
  <c r="J356"/>
  <c r="J359"/>
  <c r="J361"/>
  <c r="J362"/>
  <c r="J363"/>
  <c r="J364"/>
  <c r="J365"/>
  <c r="J368"/>
  <c r="J370"/>
  <c r="J371"/>
  <c r="J372"/>
  <c r="J373"/>
  <c r="J374"/>
  <c r="J377"/>
  <c r="J379"/>
  <c r="J380"/>
  <c r="J381"/>
  <c r="J382"/>
  <c r="J383"/>
  <c r="J386"/>
  <c r="J388"/>
  <c r="J389"/>
  <c r="J390"/>
  <c r="J391"/>
  <c r="J392"/>
  <c r="J395"/>
  <c r="J397"/>
  <c r="J398"/>
  <c r="J399"/>
  <c r="J400"/>
  <c r="J401"/>
  <c r="J404"/>
  <c r="J406"/>
  <c r="J2"/>
  <c r="C45" i="1" l="1"/>
  <c r="C46"/>
  <c r="C47"/>
  <c r="C48"/>
  <c r="C49"/>
  <c r="E136" i="6"/>
  <c r="E406"/>
  <c r="AN273" i="7"/>
  <c r="AN274"/>
  <c r="AN275"/>
  <c r="AN276"/>
  <c r="AN277"/>
  <c r="AN278"/>
  <c r="AN279"/>
  <c r="AN280"/>
  <c r="AN281"/>
  <c r="AN282"/>
  <c r="AN283"/>
  <c r="AN284"/>
  <c r="AN285"/>
  <c r="AN286"/>
  <c r="AN287"/>
  <c r="AN288"/>
  <c r="AN289"/>
  <c r="AN290"/>
  <c r="AN291"/>
  <c r="AN292"/>
  <c r="AN293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330"/>
  <c r="AN331"/>
  <c r="AN332"/>
  <c r="AN333"/>
  <c r="AN334"/>
  <c r="AN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85"/>
  <c r="AN386"/>
  <c r="AN387"/>
  <c r="AN388"/>
  <c r="AN389"/>
  <c r="AN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272"/>
  <c r="AN138"/>
  <c r="AN139"/>
  <c r="AN140"/>
  <c r="AN141"/>
  <c r="AN142"/>
  <c r="AN143"/>
  <c r="AN144"/>
  <c r="AN145"/>
  <c r="AN146"/>
  <c r="AN147"/>
  <c r="AN148"/>
  <c r="AN149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97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245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137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AN53"/>
  <c r="AN54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N78"/>
  <c r="AN79"/>
  <c r="AN80"/>
  <c r="AN81"/>
  <c r="AN82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101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3"/>
  <c r="AN4"/>
  <c r="AN5"/>
  <c r="AN6"/>
  <c r="AN7"/>
  <c r="AN8"/>
  <c r="AN9"/>
  <c r="AN10"/>
  <c r="AN11"/>
  <c r="AN12"/>
  <c r="AN13"/>
  <c r="AN14"/>
  <c r="AN15"/>
  <c r="AN2"/>
  <c r="W273"/>
  <c r="Z391"/>
  <c r="Z387"/>
  <c r="Z383"/>
  <c r="Z377"/>
  <c r="Z373"/>
  <c r="Z370"/>
  <c r="Y370"/>
  <c r="Y379" s="1"/>
  <c r="Y388" s="1"/>
  <c r="Y397" s="1"/>
  <c r="Z369"/>
  <c r="Y369"/>
  <c r="Y378" s="1"/>
  <c r="Y387" s="1"/>
  <c r="Y396" s="1"/>
  <c r="Z368"/>
  <c r="Y368"/>
  <c r="Y377" s="1"/>
  <c r="Y386" s="1"/>
  <c r="Y395" s="1"/>
  <c r="Z367"/>
  <c r="Y367"/>
  <c r="Y376" s="1"/>
  <c r="Y385" s="1"/>
  <c r="Y394" s="1"/>
  <c r="Z366"/>
  <c r="Y366"/>
  <c r="Y375" s="1"/>
  <c r="Y384" s="1"/>
  <c r="Y393" s="1"/>
  <c r="Z365"/>
  <c r="Y365"/>
  <c r="Y374" s="1"/>
  <c r="Y383" s="1"/>
  <c r="Y392" s="1"/>
  <c r="Y401" s="1"/>
  <c r="Z401" s="1"/>
  <c r="Z364"/>
  <c r="Y364"/>
  <c r="Y373" s="1"/>
  <c r="Y382" s="1"/>
  <c r="Y391" s="1"/>
  <c r="Y400" s="1"/>
  <c r="Z400" s="1"/>
  <c r="Z363"/>
  <c r="Y363"/>
  <c r="Y372" s="1"/>
  <c r="Y381" s="1"/>
  <c r="Y390" s="1"/>
  <c r="Y399" s="1"/>
  <c r="Z399" s="1"/>
  <c r="Z362"/>
  <c r="Y362"/>
  <c r="Y371" s="1"/>
  <c r="Y380" s="1"/>
  <c r="Y389" s="1"/>
  <c r="Y398" s="1"/>
  <c r="Z398" s="1"/>
  <c r="Z361"/>
  <c r="Z360"/>
  <c r="Z359"/>
  <c r="Z358"/>
  <c r="Z357"/>
  <c r="Z356"/>
  <c r="Z355"/>
  <c r="Z354"/>
  <c r="Z353"/>
  <c r="Y298"/>
  <c r="Z298" s="1"/>
  <c r="Y296"/>
  <c r="Z296" s="1"/>
  <c r="Y294"/>
  <c r="Z294" s="1"/>
  <c r="Y292"/>
  <c r="Z292" s="1"/>
  <c r="Y290"/>
  <c r="Z290" s="1"/>
  <c r="Z289"/>
  <c r="Y289"/>
  <c r="Y288"/>
  <c r="Z288" s="1"/>
  <c r="Z287"/>
  <c r="Y287"/>
  <c r="Y286"/>
  <c r="Z286" s="1"/>
  <c r="Z285"/>
  <c r="Y285"/>
  <c r="Y284"/>
  <c r="Z284" s="1"/>
  <c r="Z283"/>
  <c r="Y283"/>
  <c r="Y282"/>
  <c r="Z282" s="1"/>
  <c r="Z281"/>
  <c r="Y281"/>
  <c r="Z280"/>
  <c r="Z279"/>
  <c r="Z278"/>
  <c r="Z277"/>
  <c r="Z276"/>
  <c r="Z275"/>
  <c r="Z274"/>
  <c r="Z273"/>
  <c r="Z272"/>
  <c r="Z235"/>
  <c r="Y235"/>
  <c r="Y244" s="1"/>
  <c r="Z234"/>
  <c r="Y234"/>
  <c r="Y243" s="1"/>
  <c r="Z233"/>
  <c r="Y233"/>
  <c r="Y242" s="1"/>
  <c r="Z232"/>
  <c r="Y232"/>
  <c r="Y241" s="1"/>
  <c r="Z231"/>
  <c r="Y231"/>
  <c r="Y240" s="1"/>
  <c r="Z230"/>
  <c r="Y230"/>
  <c r="Y239" s="1"/>
  <c r="Z229"/>
  <c r="Y229"/>
  <c r="Y238" s="1"/>
  <c r="Z228"/>
  <c r="Y228"/>
  <c r="Y237" s="1"/>
  <c r="Z227"/>
  <c r="Y227"/>
  <c r="Y236" s="1"/>
  <c r="Z226"/>
  <c r="Z225"/>
  <c r="Z224"/>
  <c r="Z223"/>
  <c r="Z222"/>
  <c r="Z221"/>
  <c r="Z220"/>
  <c r="Z219"/>
  <c r="Z218"/>
  <c r="Z204"/>
  <c r="Z202"/>
  <c r="Z200"/>
  <c r="Z199"/>
  <c r="Z195"/>
  <c r="Z191"/>
  <c r="Z190"/>
  <c r="Z188"/>
  <c r="Z186"/>
  <c r="Z184"/>
  <c r="Z182"/>
  <c r="Z179"/>
  <c r="Z175"/>
  <c r="Z172"/>
  <c r="Z170"/>
  <c r="Z168"/>
  <c r="Z166"/>
  <c r="Z164"/>
  <c r="Z163"/>
  <c r="Z159"/>
  <c r="Z155"/>
  <c r="Z154"/>
  <c r="Y154"/>
  <c r="Y163" s="1"/>
  <c r="Y172" s="1"/>
  <c r="Y181" s="1"/>
  <c r="Y190" s="1"/>
  <c r="Y199" s="1"/>
  <c r="Y208" s="1"/>
  <c r="Z153"/>
  <c r="Y153"/>
  <c r="Y162" s="1"/>
  <c r="Y171" s="1"/>
  <c r="Y180" s="1"/>
  <c r="Y189" s="1"/>
  <c r="Y198" s="1"/>
  <c r="Y207" s="1"/>
  <c r="Z152"/>
  <c r="Y152"/>
  <c r="Y161" s="1"/>
  <c r="Y170" s="1"/>
  <c r="Y179" s="1"/>
  <c r="Y188" s="1"/>
  <c r="Y197" s="1"/>
  <c r="Y206" s="1"/>
  <c r="Z151"/>
  <c r="Y151"/>
  <c r="Y160" s="1"/>
  <c r="Y169" s="1"/>
  <c r="Y178" s="1"/>
  <c r="Y187" s="1"/>
  <c r="Y196" s="1"/>
  <c r="Y205" s="1"/>
  <c r="Z150"/>
  <c r="Y150"/>
  <c r="Y159" s="1"/>
  <c r="Y168" s="1"/>
  <c r="Y177" s="1"/>
  <c r="Y186" s="1"/>
  <c r="Y195" s="1"/>
  <c r="Y204" s="1"/>
  <c r="Y213" s="1"/>
  <c r="Z213" s="1"/>
  <c r="Z149"/>
  <c r="Y149"/>
  <c r="Y158" s="1"/>
  <c r="Y167" s="1"/>
  <c r="Y176" s="1"/>
  <c r="Y185" s="1"/>
  <c r="Y194" s="1"/>
  <c r="Y203" s="1"/>
  <c r="Y212" s="1"/>
  <c r="Z212" s="1"/>
  <c r="Z148"/>
  <c r="Y148"/>
  <c r="Y157" s="1"/>
  <c r="Y166" s="1"/>
  <c r="Y175" s="1"/>
  <c r="Y184" s="1"/>
  <c r="Y193" s="1"/>
  <c r="Y202" s="1"/>
  <c r="Y211" s="1"/>
  <c r="Z211" s="1"/>
  <c r="Z147"/>
  <c r="Y147"/>
  <c r="Y156" s="1"/>
  <c r="Y165" s="1"/>
  <c r="Y174" s="1"/>
  <c r="Y183" s="1"/>
  <c r="Y192" s="1"/>
  <c r="Y201" s="1"/>
  <c r="Y210" s="1"/>
  <c r="Z210" s="1"/>
  <c r="Z146"/>
  <c r="Y146"/>
  <c r="Y155" s="1"/>
  <c r="Y164" s="1"/>
  <c r="Y173" s="1"/>
  <c r="Y182" s="1"/>
  <c r="Y191" s="1"/>
  <c r="Y200" s="1"/>
  <c r="Y209" s="1"/>
  <c r="Z209" s="1"/>
  <c r="Z145"/>
  <c r="Z144"/>
  <c r="Z143"/>
  <c r="Z142"/>
  <c r="Z141"/>
  <c r="Z140"/>
  <c r="W140"/>
  <c r="Z139"/>
  <c r="W139"/>
  <c r="Z138"/>
  <c r="W138"/>
  <c r="Z137"/>
  <c r="T406"/>
  <c r="T405"/>
  <c r="T404"/>
  <c r="T403"/>
  <c r="T402"/>
  <c r="T401"/>
  <c r="T400"/>
  <c r="T399"/>
  <c r="T398"/>
  <c r="T397"/>
  <c r="T396"/>
  <c r="T395"/>
  <c r="T394"/>
  <c r="T393"/>
  <c r="T392"/>
  <c r="T391"/>
  <c r="T390"/>
  <c r="T389"/>
  <c r="T388"/>
  <c r="T387"/>
  <c r="T386"/>
  <c r="T385"/>
  <c r="T384"/>
  <c r="T383"/>
  <c r="T382"/>
  <c r="T381"/>
  <c r="T380"/>
  <c r="T379"/>
  <c r="T378"/>
  <c r="T377"/>
  <c r="T376"/>
  <c r="T375"/>
  <c r="T374"/>
  <c r="T373"/>
  <c r="T372"/>
  <c r="T371"/>
  <c r="T370"/>
  <c r="T369"/>
  <c r="T368"/>
  <c r="T367"/>
  <c r="T366"/>
  <c r="T365"/>
  <c r="T364"/>
  <c r="T363"/>
  <c r="T362"/>
  <c r="T361"/>
  <c r="T360"/>
  <c r="T359"/>
  <c r="T358"/>
  <c r="T357"/>
  <c r="T356"/>
  <c r="T355"/>
  <c r="T354"/>
  <c r="T353"/>
  <c r="T352"/>
  <c r="T351"/>
  <c r="T350"/>
  <c r="T349"/>
  <c r="T348"/>
  <c r="T347"/>
  <c r="T346"/>
  <c r="T345"/>
  <c r="T344"/>
  <c r="T343"/>
  <c r="T342"/>
  <c r="T341"/>
  <c r="T340"/>
  <c r="T339"/>
  <c r="T338"/>
  <c r="T337"/>
  <c r="T336"/>
  <c r="T335"/>
  <c r="T334"/>
  <c r="T333"/>
  <c r="T332"/>
  <c r="T331"/>
  <c r="T330"/>
  <c r="T329"/>
  <c r="T328"/>
  <c r="T327"/>
  <c r="T326"/>
  <c r="T325"/>
  <c r="T324"/>
  <c r="T323"/>
  <c r="T322"/>
  <c r="T321"/>
  <c r="T320"/>
  <c r="T319"/>
  <c r="T318"/>
  <c r="T317"/>
  <c r="T316"/>
  <c r="T315"/>
  <c r="T314"/>
  <c r="T313"/>
  <c r="T312"/>
  <c r="T311"/>
  <c r="T310"/>
  <c r="T309"/>
  <c r="T308"/>
  <c r="T307"/>
  <c r="T306"/>
  <c r="T305"/>
  <c r="T304"/>
  <c r="T303"/>
  <c r="T302"/>
  <c r="T301"/>
  <c r="T300"/>
  <c r="T299"/>
  <c r="T298"/>
  <c r="T297"/>
  <c r="T296"/>
  <c r="T295"/>
  <c r="T294"/>
  <c r="T293"/>
  <c r="T292"/>
  <c r="T291"/>
  <c r="T290"/>
  <c r="T289"/>
  <c r="T288"/>
  <c r="T287"/>
  <c r="T286"/>
  <c r="T285"/>
  <c r="T284"/>
  <c r="T283"/>
  <c r="T282"/>
  <c r="T281"/>
  <c r="T280"/>
  <c r="T279"/>
  <c r="T278"/>
  <c r="T277"/>
  <c r="T276"/>
  <c r="T275"/>
  <c r="T274"/>
  <c r="T273"/>
  <c r="T272"/>
  <c r="T270"/>
  <c r="T269"/>
  <c r="T268"/>
  <c r="T267"/>
  <c r="T266"/>
  <c r="T265"/>
  <c r="T264"/>
  <c r="T263"/>
  <c r="T262"/>
  <c r="T261"/>
  <c r="T260"/>
  <c r="T259"/>
  <c r="T258"/>
  <c r="T257"/>
  <c r="T256"/>
  <c r="T255"/>
  <c r="T254"/>
  <c r="T253"/>
  <c r="T252"/>
  <c r="T251"/>
  <c r="T250"/>
  <c r="T249"/>
  <c r="T248"/>
  <c r="T247"/>
  <c r="T246"/>
  <c r="T245"/>
  <c r="T244"/>
  <c r="T243"/>
  <c r="T242"/>
  <c r="T241"/>
  <c r="T240"/>
  <c r="T239"/>
  <c r="T238"/>
  <c r="T237"/>
  <c r="T236"/>
  <c r="T235"/>
  <c r="T234"/>
  <c r="T233"/>
  <c r="T232"/>
  <c r="T231"/>
  <c r="T230"/>
  <c r="T229"/>
  <c r="T228"/>
  <c r="T227"/>
  <c r="T226"/>
  <c r="T225"/>
  <c r="T224"/>
  <c r="T223"/>
  <c r="T222"/>
  <c r="T221"/>
  <c r="T220"/>
  <c r="T219"/>
  <c r="T218"/>
  <c r="T217"/>
  <c r="T216"/>
  <c r="T215"/>
  <c r="T214"/>
  <c r="T213"/>
  <c r="T212"/>
  <c r="T211"/>
  <c r="T210"/>
  <c r="T209"/>
  <c r="T208"/>
  <c r="T207"/>
  <c r="T206"/>
  <c r="T205"/>
  <c r="T204"/>
  <c r="T203"/>
  <c r="T202"/>
  <c r="T201"/>
  <c r="T200"/>
  <c r="T199"/>
  <c r="T198"/>
  <c r="T197"/>
  <c r="T196"/>
  <c r="T195"/>
  <c r="T194"/>
  <c r="T193"/>
  <c r="T192"/>
  <c r="T191"/>
  <c r="T190"/>
  <c r="T189"/>
  <c r="T188"/>
  <c r="T187"/>
  <c r="T186"/>
  <c r="T185"/>
  <c r="T184"/>
  <c r="T183"/>
  <c r="T182"/>
  <c r="T181"/>
  <c r="T180"/>
  <c r="T179"/>
  <c r="T178"/>
  <c r="T177"/>
  <c r="T176"/>
  <c r="T175"/>
  <c r="T174"/>
  <c r="T173"/>
  <c r="T172"/>
  <c r="T171"/>
  <c r="T170"/>
  <c r="T169"/>
  <c r="T168"/>
  <c r="T167"/>
  <c r="T166"/>
  <c r="T165"/>
  <c r="T164"/>
  <c r="T163"/>
  <c r="T162"/>
  <c r="T161"/>
  <c r="T160"/>
  <c r="T159"/>
  <c r="T158"/>
  <c r="T157"/>
  <c r="T156"/>
  <c r="T155"/>
  <c r="T154"/>
  <c r="T153"/>
  <c r="T152"/>
  <c r="T151"/>
  <c r="T150"/>
  <c r="T149"/>
  <c r="T148"/>
  <c r="T147"/>
  <c r="T146"/>
  <c r="T145"/>
  <c r="T144"/>
  <c r="T143"/>
  <c r="T142"/>
  <c r="T141"/>
  <c r="T140"/>
  <c r="T139"/>
  <c r="T138"/>
  <c r="T137"/>
  <c r="R140"/>
  <c r="R144"/>
  <c r="R148"/>
  <c r="R152"/>
  <c r="R156"/>
  <c r="R160"/>
  <c r="R164"/>
  <c r="R168"/>
  <c r="R172"/>
  <c r="R176"/>
  <c r="R180"/>
  <c r="R184"/>
  <c r="R188"/>
  <c r="R192"/>
  <c r="R196"/>
  <c r="R200"/>
  <c r="R204"/>
  <c r="R208"/>
  <c r="R212"/>
  <c r="R216"/>
  <c r="R220"/>
  <c r="R224"/>
  <c r="R228"/>
  <c r="R232"/>
  <c r="R236"/>
  <c r="R240"/>
  <c r="R244"/>
  <c r="R248"/>
  <c r="R252"/>
  <c r="R256"/>
  <c r="R260"/>
  <c r="R264"/>
  <c r="R268"/>
  <c r="R272"/>
  <c r="R276"/>
  <c r="R280"/>
  <c r="R284"/>
  <c r="R285"/>
  <c r="R288"/>
  <c r="R292"/>
  <c r="R296"/>
  <c r="R300"/>
  <c r="R301"/>
  <c r="R304"/>
  <c r="R308"/>
  <c r="R312"/>
  <c r="R316"/>
  <c r="R317"/>
  <c r="R320"/>
  <c r="R324"/>
  <c r="R328"/>
  <c r="R332"/>
  <c r="R333"/>
  <c r="R336"/>
  <c r="R340"/>
  <c r="R344"/>
  <c r="R348"/>
  <c r="R349"/>
  <c r="R352"/>
  <c r="R356"/>
  <c r="R360"/>
  <c r="R364"/>
  <c r="R365"/>
  <c r="R368"/>
  <c r="R372"/>
  <c r="R376"/>
  <c r="R380"/>
  <c r="R381"/>
  <c r="R384"/>
  <c r="R388"/>
  <c r="R392"/>
  <c r="R396"/>
  <c r="R397"/>
  <c r="R400"/>
  <c r="R404"/>
  <c r="R137"/>
  <c r="R138"/>
  <c r="R141"/>
  <c r="R142"/>
  <c r="R145"/>
  <c r="R146"/>
  <c r="R149"/>
  <c r="R150"/>
  <c r="R153"/>
  <c r="R154"/>
  <c r="R157"/>
  <c r="R158"/>
  <c r="R161"/>
  <c r="R162"/>
  <c r="R165"/>
  <c r="R166"/>
  <c r="R169"/>
  <c r="R170"/>
  <c r="R173"/>
  <c r="R174"/>
  <c r="R177"/>
  <c r="R178"/>
  <c r="R181"/>
  <c r="R182"/>
  <c r="R185"/>
  <c r="R186"/>
  <c r="R189"/>
  <c r="R190"/>
  <c r="R193"/>
  <c r="R194"/>
  <c r="R197"/>
  <c r="R198"/>
  <c r="R201"/>
  <c r="R202"/>
  <c r="R205"/>
  <c r="R206"/>
  <c r="R209"/>
  <c r="R210"/>
  <c r="R213"/>
  <c r="R214"/>
  <c r="R217"/>
  <c r="R218"/>
  <c r="R221"/>
  <c r="R222"/>
  <c r="R225"/>
  <c r="R226"/>
  <c r="R229"/>
  <c r="R230"/>
  <c r="R233"/>
  <c r="R234"/>
  <c r="R237"/>
  <c r="R238"/>
  <c r="R241"/>
  <c r="R242"/>
  <c r="R245"/>
  <c r="R246"/>
  <c r="R249"/>
  <c r="R250"/>
  <c r="R253"/>
  <c r="R254"/>
  <c r="R257"/>
  <c r="R258"/>
  <c r="R261"/>
  <c r="R262"/>
  <c r="R265"/>
  <c r="R266"/>
  <c r="R269"/>
  <c r="R270"/>
  <c r="R273"/>
  <c r="R277"/>
  <c r="R281"/>
  <c r="R289"/>
  <c r="R293"/>
  <c r="R297"/>
  <c r="R305"/>
  <c r="R309"/>
  <c r="R313"/>
  <c r="R321"/>
  <c r="R325"/>
  <c r="R329"/>
  <c r="R337"/>
  <c r="R341"/>
  <c r="R345"/>
  <c r="R353"/>
  <c r="R357"/>
  <c r="R361"/>
  <c r="R369"/>
  <c r="R373"/>
  <c r="R377"/>
  <c r="R385"/>
  <c r="R389"/>
  <c r="R393"/>
  <c r="R401"/>
  <c r="R405"/>
  <c r="Z3"/>
  <c r="Z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8"/>
  <c r="Z109"/>
  <c r="Z110"/>
  <c r="Z111"/>
  <c r="Z112"/>
  <c r="Z113"/>
  <c r="Z114"/>
  <c r="Z115"/>
  <c r="Z116"/>
  <c r="Z117"/>
  <c r="Z118"/>
  <c r="Z119"/>
  <c r="Z120"/>
  <c r="Z121"/>
  <c r="Z122"/>
  <c r="Z123"/>
  <c r="Z124"/>
  <c r="Z125"/>
  <c r="Z126"/>
  <c r="Z127"/>
  <c r="Z128"/>
  <c r="Z129"/>
  <c r="Z130"/>
  <c r="Z131"/>
  <c r="Z132"/>
  <c r="Z133"/>
  <c r="Z134"/>
  <c r="Z135"/>
  <c r="Z136"/>
  <c r="Z2"/>
  <c r="Y93"/>
  <c r="Y94"/>
  <c r="Y103" s="1"/>
  <c r="Y112" s="1"/>
  <c r="Y121" s="1"/>
  <c r="Y130" s="1"/>
  <c r="Y95"/>
  <c r="Y104" s="1"/>
  <c r="Y113" s="1"/>
  <c r="Y122" s="1"/>
  <c r="Y131" s="1"/>
  <c r="Y96"/>
  <c r="Y105" s="1"/>
  <c r="Y114" s="1"/>
  <c r="Y123" s="1"/>
  <c r="Y132" s="1"/>
  <c r="Y97"/>
  <c r="Y98"/>
  <c r="Y107" s="1"/>
  <c r="Y116" s="1"/>
  <c r="Y125" s="1"/>
  <c r="Y134" s="1"/>
  <c r="Y99"/>
  <c r="Y108" s="1"/>
  <c r="Y117" s="1"/>
  <c r="Y126" s="1"/>
  <c r="Y135" s="1"/>
  <c r="Y100"/>
  <c r="Y109" s="1"/>
  <c r="Y118" s="1"/>
  <c r="Y127" s="1"/>
  <c r="Y136" s="1"/>
  <c r="Y101"/>
  <c r="Y102"/>
  <c r="Y111" s="1"/>
  <c r="Y120" s="1"/>
  <c r="Y129" s="1"/>
  <c r="Y106"/>
  <c r="Y115" s="1"/>
  <c r="Y124" s="1"/>
  <c r="Y133" s="1"/>
  <c r="Y110"/>
  <c r="Y119" s="1"/>
  <c r="Y128" s="1"/>
  <c r="Y92"/>
  <c r="Y12"/>
  <c r="Y13"/>
  <c r="Y22" s="1"/>
  <c r="Y31" s="1"/>
  <c r="Y40" s="1"/>
  <c r="Y49" s="1"/>
  <c r="Y58" s="1"/>
  <c r="Y67" s="1"/>
  <c r="Y76" s="1"/>
  <c r="Y14"/>
  <c r="Y23" s="1"/>
  <c r="Y32" s="1"/>
  <c r="Y41" s="1"/>
  <c r="Y50" s="1"/>
  <c r="Y59" s="1"/>
  <c r="Y68" s="1"/>
  <c r="Y77" s="1"/>
  <c r="Y15"/>
  <c r="Y16"/>
  <c r="Y17"/>
  <c r="Y26" s="1"/>
  <c r="Y35" s="1"/>
  <c r="Y44" s="1"/>
  <c r="Y53" s="1"/>
  <c r="Y62" s="1"/>
  <c r="Y71" s="1"/>
  <c r="Y80" s="1"/>
  <c r="Y18"/>
  <c r="Y27" s="1"/>
  <c r="Y36" s="1"/>
  <c r="Y45" s="1"/>
  <c r="Y54" s="1"/>
  <c r="Y63" s="1"/>
  <c r="Y72" s="1"/>
  <c r="Y81" s="1"/>
  <c r="Y19"/>
  <c r="Y20"/>
  <c r="Y21"/>
  <c r="Y30" s="1"/>
  <c r="Y39" s="1"/>
  <c r="Y48" s="1"/>
  <c r="Y57" s="1"/>
  <c r="Y66" s="1"/>
  <c r="Y75" s="1"/>
  <c r="Y24"/>
  <c r="Y25"/>
  <c r="Y34" s="1"/>
  <c r="Y43" s="1"/>
  <c r="Y52" s="1"/>
  <c r="Y61" s="1"/>
  <c r="Y70" s="1"/>
  <c r="Y79" s="1"/>
  <c r="Y28"/>
  <c r="Y29"/>
  <c r="Y38" s="1"/>
  <c r="Y47" s="1"/>
  <c r="Y56" s="1"/>
  <c r="Y65" s="1"/>
  <c r="Y74" s="1"/>
  <c r="Y33"/>
  <c r="Y42" s="1"/>
  <c r="Y51" s="1"/>
  <c r="Y60" s="1"/>
  <c r="Y69" s="1"/>
  <c r="Y78" s="1"/>
  <c r="Y37"/>
  <c r="Y46" s="1"/>
  <c r="Y55" s="1"/>
  <c r="Y64" s="1"/>
  <c r="Y73" s="1"/>
  <c r="Y82" s="1"/>
  <c r="Y11"/>
  <c r="W274" l="1"/>
  <c r="Y402"/>
  <c r="Z402" s="1"/>
  <c r="Z393"/>
  <c r="Y406"/>
  <c r="Z406" s="1"/>
  <c r="Z397"/>
  <c r="Y404"/>
  <c r="Z404" s="1"/>
  <c r="Z395"/>
  <c r="Z375"/>
  <c r="Z385"/>
  <c r="Y291"/>
  <c r="Y293"/>
  <c r="Y295"/>
  <c r="Y297"/>
  <c r="Y299"/>
  <c r="Y301"/>
  <c r="Y303"/>
  <c r="Y305"/>
  <c r="Y307"/>
  <c r="Y403"/>
  <c r="Z403" s="1"/>
  <c r="Z394"/>
  <c r="Y405"/>
  <c r="Z405" s="1"/>
  <c r="Z396"/>
  <c r="Z371"/>
  <c r="Z379"/>
  <c r="Z381"/>
  <c r="Z389"/>
  <c r="Z372"/>
  <c r="Z374"/>
  <c r="Z376"/>
  <c r="Z378"/>
  <c r="Z380"/>
  <c r="Z382"/>
  <c r="Z384"/>
  <c r="Z386"/>
  <c r="Z388"/>
  <c r="Z390"/>
  <c r="Z392"/>
  <c r="Z205"/>
  <c r="Y214"/>
  <c r="Z214" s="1"/>
  <c r="Z207"/>
  <c r="Y216"/>
  <c r="Z216" s="1"/>
  <c r="Y245"/>
  <c r="Z236"/>
  <c r="Y247"/>
  <c r="Z238"/>
  <c r="Y249"/>
  <c r="Z240"/>
  <c r="Y251"/>
  <c r="Z242"/>
  <c r="Y253"/>
  <c r="Z244"/>
  <c r="Y215"/>
  <c r="Z215" s="1"/>
  <c r="Z206"/>
  <c r="Y217"/>
  <c r="Z217" s="1"/>
  <c r="Z208"/>
  <c r="Z167"/>
  <c r="Z171"/>
  <c r="Z183"/>
  <c r="Z187"/>
  <c r="Z203"/>
  <c r="Z158"/>
  <c r="Z162"/>
  <c r="Z174"/>
  <c r="Z178"/>
  <c r="Z194"/>
  <c r="Z198"/>
  <c r="Z157"/>
  <c r="Z161"/>
  <c r="Z165"/>
  <c r="Z169"/>
  <c r="Z173"/>
  <c r="Z177"/>
  <c r="Z181"/>
  <c r="Z185"/>
  <c r="Z189"/>
  <c r="Z193"/>
  <c r="Z197"/>
  <c r="Z201"/>
  <c r="W141"/>
  <c r="Y246"/>
  <c r="Z237"/>
  <c r="Y248"/>
  <c r="Z239"/>
  <c r="Y250"/>
  <c r="Z241"/>
  <c r="Y252"/>
  <c r="Z243"/>
  <c r="Z156"/>
  <c r="Z160"/>
  <c r="Z176"/>
  <c r="Z180"/>
  <c r="Z192"/>
  <c r="Z196"/>
  <c r="T271"/>
  <c r="R387"/>
  <c r="R355"/>
  <c r="R323"/>
  <c r="R291"/>
  <c r="R383"/>
  <c r="R351"/>
  <c r="R319"/>
  <c r="R287"/>
  <c r="R267"/>
  <c r="R259"/>
  <c r="R251"/>
  <c r="R243"/>
  <c r="R235"/>
  <c r="R215"/>
  <c r="R143"/>
  <c r="R395"/>
  <c r="R379"/>
  <c r="R363"/>
  <c r="R347"/>
  <c r="R331"/>
  <c r="R315"/>
  <c r="R299"/>
  <c r="R283"/>
  <c r="R403"/>
  <c r="R371"/>
  <c r="R339"/>
  <c r="R307"/>
  <c r="R275"/>
  <c r="R399"/>
  <c r="R367"/>
  <c r="R335"/>
  <c r="R303"/>
  <c r="R271"/>
  <c r="R263"/>
  <c r="R255"/>
  <c r="R247"/>
  <c r="R239"/>
  <c r="R231"/>
  <c r="R227"/>
  <c r="R223"/>
  <c r="R219"/>
  <c r="R211"/>
  <c r="R207"/>
  <c r="R203"/>
  <c r="R199"/>
  <c r="R195"/>
  <c r="R191"/>
  <c r="R187"/>
  <c r="R183"/>
  <c r="R179"/>
  <c r="R175"/>
  <c r="R171"/>
  <c r="R167"/>
  <c r="R163"/>
  <c r="R159"/>
  <c r="R155"/>
  <c r="R151"/>
  <c r="R147"/>
  <c r="R139"/>
  <c r="R391"/>
  <c r="R375"/>
  <c r="R359"/>
  <c r="R343"/>
  <c r="R327"/>
  <c r="R311"/>
  <c r="R295"/>
  <c r="R279"/>
  <c r="W275" l="1"/>
  <c r="Z307"/>
  <c r="Y316"/>
  <c r="Z299"/>
  <c r="Y308"/>
  <c r="Z291"/>
  <c r="Y300"/>
  <c r="Z301"/>
  <c r="Y310"/>
  <c r="Z293"/>
  <c r="Y302"/>
  <c r="Z303"/>
  <c r="Y312"/>
  <c r="Z295"/>
  <c r="Y304"/>
  <c r="Z305"/>
  <c r="Y314"/>
  <c r="Z297"/>
  <c r="Y306"/>
  <c r="Y261"/>
  <c r="Z252"/>
  <c r="Y257"/>
  <c r="Z248"/>
  <c r="W142"/>
  <c r="Y260"/>
  <c r="Z251"/>
  <c r="Y256"/>
  <c r="Z247"/>
  <c r="Y262"/>
  <c r="Z253"/>
  <c r="Y258"/>
  <c r="Z249"/>
  <c r="Y254"/>
  <c r="Z245"/>
  <c r="Y259"/>
  <c r="Z250"/>
  <c r="Y255"/>
  <c r="Z246"/>
  <c r="R350"/>
  <c r="R378"/>
  <c r="R394"/>
  <c r="R282"/>
  <c r="R290"/>
  <c r="R298"/>
  <c r="R306"/>
  <c r="R314"/>
  <c r="R322"/>
  <c r="R330"/>
  <c r="R338"/>
  <c r="R346"/>
  <c r="R358"/>
  <c r="R366"/>
  <c r="R382"/>
  <c r="R398"/>
  <c r="R274"/>
  <c r="R286"/>
  <c r="R294"/>
  <c r="R302"/>
  <c r="R310"/>
  <c r="R318"/>
  <c r="R326"/>
  <c r="R334"/>
  <c r="R342"/>
  <c r="R354"/>
  <c r="R362"/>
  <c r="R374"/>
  <c r="R390"/>
  <c r="R406"/>
  <c r="R278"/>
  <c r="R370"/>
  <c r="R386"/>
  <c r="R402"/>
  <c r="W276" l="1"/>
  <c r="Z314"/>
  <c r="Y323"/>
  <c r="Z312"/>
  <c r="Y321"/>
  <c r="Z302"/>
  <c r="Y311"/>
  <c r="Z300"/>
  <c r="Y309"/>
  <c r="Z316"/>
  <c r="Y325"/>
  <c r="Z306"/>
  <c r="Y315"/>
  <c r="Z304"/>
  <c r="Y313"/>
  <c r="Z310"/>
  <c r="Y319"/>
  <c r="Z308"/>
  <c r="Y317"/>
  <c r="W143"/>
  <c r="Y264"/>
  <c r="Z264" s="1"/>
  <c r="Z255"/>
  <c r="Y263"/>
  <c r="Z263" s="1"/>
  <c r="Z254"/>
  <c r="Y271"/>
  <c r="Z271" s="1"/>
  <c r="Z262"/>
  <c r="Y269"/>
  <c r="Z269" s="1"/>
  <c r="Z260"/>
  <c r="Y266"/>
  <c r="Z266" s="1"/>
  <c r="Z257"/>
  <c r="Y268"/>
  <c r="Z268" s="1"/>
  <c r="Z259"/>
  <c r="Y267"/>
  <c r="Z267" s="1"/>
  <c r="Z258"/>
  <c r="Y265"/>
  <c r="Z265" s="1"/>
  <c r="Z256"/>
  <c r="Y270"/>
  <c r="Z270" s="1"/>
  <c r="Z261"/>
  <c r="W277" l="1"/>
  <c r="Z317"/>
  <c r="Y326"/>
  <c r="Z313"/>
  <c r="Y322"/>
  <c r="Z325"/>
  <c r="Y334"/>
  <c r="Y332"/>
  <c r="Z323"/>
  <c r="Z311"/>
  <c r="Y320"/>
  <c r="Y328"/>
  <c r="Z319"/>
  <c r="Z315"/>
  <c r="Y324"/>
  <c r="Z309"/>
  <c r="Y318"/>
  <c r="Z321"/>
  <c r="Y330"/>
  <c r="W144"/>
  <c r="W278" l="1"/>
  <c r="Z318"/>
  <c r="Y327"/>
  <c r="Z326"/>
  <c r="Y335"/>
  <c r="Z328"/>
  <c r="Y337"/>
  <c r="Z320"/>
  <c r="Y329"/>
  <c r="Z334"/>
  <c r="Y343"/>
  <c r="Z332"/>
  <c r="Y341"/>
  <c r="Z330"/>
  <c r="Y339"/>
  <c r="Z324"/>
  <c r="Y333"/>
  <c r="Z322"/>
  <c r="Y331"/>
  <c r="W145"/>
  <c r="W279" l="1"/>
  <c r="Y346"/>
  <c r="Z346" s="1"/>
  <c r="Z337"/>
  <c r="Z339"/>
  <c r="Y348"/>
  <c r="Z348" s="1"/>
  <c r="Z343"/>
  <c r="Y352"/>
  <c r="Z352" s="1"/>
  <c r="Y336"/>
  <c r="Z327"/>
  <c r="Z331"/>
  <c r="Y340"/>
  <c r="Y342"/>
  <c r="Z333"/>
  <c r="Z341"/>
  <c r="Y350"/>
  <c r="Z350" s="1"/>
  <c r="Z329"/>
  <c r="Y338"/>
  <c r="Z335"/>
  <c r="Y344"/>
  <c r="Z344" s="1"/>
  <c r="W146"/>
  <c r="W280" l="1"/>
  <c r="Z338"/>
  <c r="Y347"/>
  <c r="Z347" s="1"/>
  <c r="Z342"/>
  <c r="Y351"/>
  <c r="Z351" s="1"/>
  <c r="Z336"/>
  <c r="Y345"/>
  <c r="Z345" s="1"/>
  <c r="Z340"/>
  <c r="Y349"/>
  <c r="Z349" s="1"/>
  <c r="W147"/>
  <c r="W281" l="1"/>
  <c r="W148"/>
  <c r="W282" l="1"/>
  <c r="W149"/>
  <c r="W283" l="1"/>
  <c r="W150"/>
  <c r="W284" l="1"/>
  <c r="W151"/>
  <c r="W285" l="1"/>
  <c r="W152"/>
  <c r="W286" l="1"/>
  <c r="W153"/>
  <c r="W287" l="1"/>
  <c r="W154"/>
  <c r="W288" l="1"/>
  <c r="W155"/>
  <c r="W289" l="1"/>
  <c r="W156"/>
  <c r="W290" l="1"/>
  <c r="W157"/>
  <c r="W291" l="1"/>
  <c r="W158"/>
  <c r="W292" l="1"/>
  <c r="W159"/>
  <c r="W293" l="1"/>
  <c r="W160"/>
  <c r="W294" l="1"/>
  <c r="W161"/>
  <c r="W295" l="1"/>
  <c r="W162"/>
  <c r="W296" l="1"/>
  <c r="W163"/>
  <c r="W297" l="1"/>
  <c r="W164"/>
  <c r="W298" l="1"/>
  <c r="W165"/>
  <c r="W299" l="1"/>
  <c r="W166"/>
  <c r="W300" l="1"/>
  <c r="W167"/>
  <c r="W301" l="1"/>
  <c r="W168"/>
  <c r="W302" l="1"/>
  <c r="W169"/>
  <c r="W303" l="1"/>
  <c r="W170"/>
  <c r="W304" l="1"/>
  <c r="W171"/>
  <c r="W305" l="1"/>
  <c r="W172"/>
  <c r="W306" l="1"/>
  <c r="W173"/>
  <c r="W307" l="1"/>
  <c r="W174"/>
  <c r="W308" l="1"/>
  <c r="W175"/>
  <c r="W309" l="1"/>
  <c r="W176"/>
  <c r="W310" l="1"/>
  <c r="W177"/>
  <c r="W311" l="1"/>
  <c r="W178"/>
  <c r="W312" l="1"/>
  <c r="W179"/>
  <c r="W313" l="1"/>
  <c r="W180"/>
  <c r="W314" l="1"/>
  <c r="W181"/>
  <c r="W315" l="1"/>
  <c r="W182"/>
  <c r="W316" l="1"/>
  <c r="W183"/>
  <c r="W317" l="1"/>
  <c r="W184"/>
  <c r="W318" l="1"/>
  <c r="W185"/>
  <c r="W319" l="1"/>
  <c r="W186"/>
  <c r="W320" l="1"/>
  <c r="W187"/>
  <c r="W321" l="1"/>
  <c r="W188"/>
  <c r="W322" l="1"/>
  <c r="W189"/>
  <c r="W323" l="1"/>
  <c r="W190"/>
  <c r="W324" l="1"/>
  <c r="W191"/>
  <c r="R2"/>
  <c r="T2"/>
  <c r="R3"/>
  <c r="T3"/>
  <c r="W3"/>
  <c r="R4"/>
  <c r="T4"/>
  <c r="R5"/>
  <c r="T5"/>
  <c r="R6"/>
  <c r="T6"/>
  <c r="R7"/>
  <c r="T7"/>
  <c r="R8"/>
  <c r="T8"/>
  <c r="R9"/>
  <c r="T9"/>
  <c r="R10"/>
  <c r="T10"/>
  <c r="R11"/>
  <c r="T11"/>
  <c r="R12"/>
  <c r="T12"/>
  <c r="R13"/>
  <c r="T13"/>
  <c r="R14"/>
  <c r="T14"/>
  <c r="R15"/>
  <c r="T15"/>
  <c r="R16"/>
  <c r="T16"/>
  <c r="R17"/>
  <c r="T17"/>
  <c r="R18"/>
  <c r="T18"/>
  <c r="R19"/>
  <c r="T19"/>
  <c r="R20"/>
  <c r="T20"/>
  <c r="R21"/>
  <c r="T21"/>
  <c r="R22"/>
  <c r="T22"/>
  <c r="R23"/>
  <c r="T23"/>
  <c r="R24"/>
  <c r="T24"/>
  <c r="R25"/>
  <c r="T25"/>
  <c r="R26"/>
  <c r="T26"/>
  <c r="R27"/>
  <c r="T27"/>
  <c r="R28"/>
  <c r="T28"/>
  <c r="R29"/>
  <c r="T29"/>
  <c r="R30"/>
  <c r="T30"/>
  <c r="R31"/>
  <c r="T31"/>
  <c r="R32"/>
  <c r="T32"/>
  <c r="R33"/>
  <c r="T33"/>
  <c r="R34"/>
  <c r="T34"/>
  <c r="R35"/>
  <c r="T35"/>
  <c r="R36"/>
  <c r="T36"/>
  <c r="R37"/>
  <c r="T37"/>
  <c r="R38"/>
  <c r="T38"/>
  <c r="R39"/>
  <c r="T39"/>
  <c r="R40"/>
  <c r="T40"/>
  <c r="R41"/>
  <c r="T41"/>
  <c r="R42"/>
  <c r="T42"/>
  <c r="R43"/>
  <c r="T43"/>
  <c r="R44"/>
  <c r="T44"/>
  <c r="R45"/>
  <c r="T45"/>
  <c r="R46"/>
  <c r="T46"/>
  <c r="R47"/>
  <c r="T47"/>
  <c r="R48"/>
  <c r="T48"/>
  <c r="R49"/>
  <c r="T49"/>
  <c r="R50"/>
  <c r="T50"/>
  <c r="R51"/>
  <c r="T51"/>
  <c r="R52"/>
  <c r="T52"/>
  <c r="R53"/>
  <c r="T53"/>
  <c r="R54"/>
  <c r="T54"/>
  <c r="R55"/>
  <c r="T55"/>
  <c r="R56"/>
  <c r="T56"/>
  <c r="R57"/>
  <c r="T57"/>
  <c r="R58"/>
  <c r="T58"/>
  <c r="R59"/>
  <c r="T59"/>
  <c r="R60"/>
  <c r="T60"/>
  <c r="R61"/>
  <c r="T61"/>
  <c r="R62"/>
  <c r="T62"/>
  <c r="R63"/>
  <c r="T63"/>
  <c r="R64"/>
  <c r="T64"/>
  <c r="R65"/>
  <c r="T65"/>
  <c r="R66"/>
  <c r="T66"/>
  <c r="R67"/>
  <c r="T67"/>
  <c r="R68"/>
  <c r="T68"/>
  <c r="R69"/>
  <c r="T69"/>
  <c r="R70"/>
  <c r="T70"/>
  <c r="R71"/>
  <c r="T71"/>
  <c r="R72"/>
  <c r="T72"/>
  <c r="R73"/>
  <c r="T73"/>
  <c r="R74"/>
  <c r="T74"/>
  <c r="R75"/>
  <c r="T75"/>
  <c r="R76"/>
  <c r="T76"/>
  <c r="R77"/>
  <c r="T77"/>
  <c r="R78"/>
  <c r="T78"/>
  <c r="R79"/>
  <c r="T79"/>
  <c r="R80"/>
  <c r="T80"/>
  <c r="R81"/>
  <c r="T81"/>
  <c r="R82"/>
  <c r="T82"/>
  <c r="R83"/>
  <c r="T83"/>
  <c r="R84"/>
  <c r="T84"/>
  <c r="R85"/>
  <c r="T85"/>
  <c r="R86"/>
  <c r="T86"/>
  <c r="R87"/>
  <c r="T87"/>
  <c r="R88"/>
  <c r="T88"/>
  <c r="R89"/>
  <c r="T89"/>
  <c r="R90"/>
  <c r="T90"/>
  <c r="R91"/>
  <c r="T91"/>
  <c r="R92"/>
  <c r="T92"/>
  <c r="R93"/>
  <c r="T93"/>
  <c r="R94"/>
  <c r="T94"/>
  <c r="R95"/>
  <c r="T95"/>
  <c r="R96"/>
  <c r="T96"/>
  <c r="R97"/>
  <c r="T97"/>
  <c r="R98"/>
  <c r="T98"/>
  <c r="R99"/>
  <c r="T99"/>
  <c r="R100"/>
  <c r="T100"/>
  <c r="R101"/>
  <c r="T101"/>
  <c r="R102"/>
  <c r="T102"/>
  <c r="R103"/>
  <c r="T103"/>
  <c r="R104"/>
  <c r="T104"/>
  <c r="R105"/>
  <c r="T105"/>
  <c r="R106"/>
  <c r="T106"/>
  <c r="R107"/>
  <c r="T107"/>
  <c r="R108"/>
  <c r="T108"/>
  <c r="R109"/>
  <c r="T109"/>
  <c r="R110"/>
  <c r="T110"/>
  <c r="R111"/>
  <c r="T111"/>
  <c r="R112"/>
  <c r="T112"/>
  <c r="R113"/>
  <c r="T113"/>
  <c r="R114"/>
  <c r="T114"/>
  <c r="R115"/>
  <c r="T115"/>
  <c r="R116"/>
  <c r="T116"/>
  <c r="R117"/>
  <c r="T117"/>
  <c r="R118"/>
  <c r="T118"/>
  <c r="S119"/>
  <c r="R119" s="1"/>
  <c r="T119"/>
  <c r="R120"/>
  <c r="S120"/>
  <c r="T120"/>
  <c r="R121"/>
  <c r="S121"/>
  <c r="S130" s="1"/>
  <c r="R130" s="1"/>
  <c r="T121"/>
  <c r="S122"/>
  <c r="S131" s="1"/>
  <c r="R131" s="1"/>
  <c r="T122"/>
  <c r="S123"/>
  <c r="R123" s="1"/>
  <c r="T123"/>
  <c r="R124"/>
  <c r="S124"/>
  <c r="T124"/>
  <c r="R125"/>
  <c r="S125"/>
  <c r="T125"/>
  <c r="S126"/>
  <c r="R126" s="1"/>
  <c r="T126"/>
  <c r="S127"/>
  <c r="R127" s="1"/>
  <c r="T127"/>
  <c r="T136"/>
  <c r="T128"/>
  <c r="R129"/>
  <c r="S129"/>
  <c r="T129"/>
  <c r="T130"/>
  <c r="T131"/>
  <c r="S132"/>
  <c r="R132" s="1"/>
  <c r="T132"/>
  <c r="S133"/>
  <c r="R133" s="1"/>
  <c r="T133"/>
  <c r="S134"/>
  <c r="R134" s="1"/>
  <c r="T134"/>
  <c r="T135"/>
  <c r="W325" l="1"/>
  <c r="W192"/>
  <c r="S135"/>
  <c r="R135" s="1"/>
  <c r="R122"/>
  <c r="W4"/>
  <c r="S136"/>
  <c r="R136" s="1"/>
  <c r="S128"/>
  <c r="R128" s="1"/>
  <c r="W326" l="1"/>
  <c r="W193"/>
  <c r="W5"/>
  <c r="W327" l="1"/>
  <c r="W194"/>
  <c r="W6"/>
  <c r="W328" l="1"/>
  <c r="W195"/>
  <c r="W7"/>
  <c r="W329" l="1"/>
  <c r="W196"/>
  <c r="W8"/>
  <c r="W330" l="1"/>
  <c r="W197"/>
  <c r="W9"/>
  <c r="W331" l="1"/>
  <c r="W198"/>
  <c r="W10"/>
  <c r="W332" l="1"/>
  <c r="W199"/>
  <c r="W11"/>
  <c r="W333" l="1"/>
  <c r="W200"/>
  <c r="W12"/>
  <c r="W334" l="1"/>
  <c r="W201"/>
  <c r="W13"/>
  <c r="W335" l="1"/>
  <c r="W202"/>
  <c r="W14"/>
  <c r="W336" l="1"/>
  <c r="W203"/>
  <c r="W15"/>
  <c r="W337" l="1"/>
  <c r="W204"/>
  <c r="W16"/>
  <c r="W338" l="1"/>
  <c r="W205"/>
  <c r="W17"/>
  <c r="W339" l="1"/>
  <c r="W206"/>
  <c r="W18"/>
  <c r="W340" l="1"/>
  <c r="W207"/>
  <c r="W19"/>
  <c r="W341" l="1"/>
  <c r="W208"/>
  <c r="W20"/>
  <c r="W342" l="1"/>
  <c r="W209"/>
  <c r="W21"/>
  <c r="W343" l="1"/>
  <c r="W210"/>
  <c r="W22"/>
  <c r="W344" l="1"/>
  <c r="W211"/>
  <c r="W23"/>
  <c r="W345" l="1"/>
  <c r="W212"/>
  <c r="W24"/>
  <c r="W346" l="1"/>
  <c r="W213"/>
  <c r="W25"/>
  <c r="W347" l="1"/>
  <c r="W214"/>
  <c r="W26"/>
  <c r="W348" l="1"/>
  <c r="W215"/>
  <c r="W27"/>
  <c r="W349" l="1"/>
  <c r="W216"/>
  <c r="W28"/>
  <c r="W350" l="1"/>
  <c r="W217"/>
  <c r="W29"/>
  <c r="AA12" i="6"/>
  <c r="AA13"/>
  <c r="AA22" s="1"/>
  <c r="AA14"/>
  <c r="AA23" s="1"/>
  <c r="AA32" s="1"/>
  <c r="AA41" s="1"/>
  <c r="AA50" s="1"/>
  <c r="AA59" s="1"/>
  <c r="AA68" s="1"/>
  <c r="AA77" s="1"/>
  <c r="AA86" s="1"/>
  <c r="AA95" s="1"/>
  <c r="AA104" s="1"/>
  <c r="AA113" s="1"/>
  <c r="AA122" s="1"/>
  <c r="AA131" s="1"/>
  <c r="AA140" s="1"/>
  <c r="AA149" s="1"/>
  <c r="AA158" s="1"/>
  <c r="AA167" s="1"/>
  <c r="AA176" s="1"/>
  <c r="AA185" s="1"/>
  <c r="AA194" s="1"/>
  <c r="AA203" s="1"/>
  <c r="AA212" s="1"/>
  <c r="AA221" s="1"/>
  <c r="AA230" s="1"/>
  <c r="AA239" s="1"/>
  <c r="AA248" s="1"/>
  <c r="AA257" s="1"/>
  <c r="AA266" s="1"/>
  <c r="AA275" s="1"/>
  <c r="AA284" s="1"/>
  <c r="AA293" s="1"/>
  <c r="AA302" s="1"/>
  <c r="AA311" s="1"/>
  <c r="AA320" s="1"/>
  <c r="AA329" s="1"/>
  <c r="AA338" s="1"/>
  <c r="AA347" s="1"/>
  <c r="AA356" s="1"/>
  <c r="AA365" s="1"/>
  <c r="AA374" s="1"/>
  <c r="AA383" s="1"/>
  <c r="AA392" s="1"/>
  <c r="AA401" s="1"/>
  <c r="AA15"/>
  <c r="AA24" s="1"/>
  <c r="AA33" s="1"/>
  <c r="AA42" s="1"/>
  <c r="AA51" s="1"/>
  <c r="AA60" s="1"/>
  <c r="AA69" s="1"/>
  <c r="AA78" s="1"/>
  <c r="AA87" s="1"/>
  <c r="AA96" s="1"/>
  <c r="AA105" s="1"/>
  <c r="AA114" s="1"/>
  <c r="AA123" s="1"/>
  <c r="AA132" s="1"/>
  <c r="AA141" s="1"/>
  <c r="AA150" s="1"/>
  <c r="AA159" s="1"/>
  <c r="AA168" s="1"/>
  <c r="AA177" s="1"/>
  <c r="AA186" s="1"/>
  <c r="AA195" s="1"/>
  <c r="AA204" s="1"/>
  <c r="AA213" s="1"/>
  <c r="AA222" s="1"/>
  <c r="AA231" s="1"/>
  <c r="AA240" s="1"/>
  <c r="AA249" s="1"/>
  <c r="AA258" s="1"/>
  <c r="AA267" s="1"/>
  <c r="AA276" s="1"/>
  <c r="AA285" s="1"/>
  <c r="AA294" s="1"/>
  <c r="AA303" s="1"/>
  <c r="AA312" s="1"/>
  <c r="AA321" s="1"/>
  <c r="AA330" s="1"/>
  <c r="AA339" s="1"/>
  <c r="AA348" s="1"/>
  <c r="AA357" s="1"/>
  <c r="AA366" s="1"/>
  <c r="AA375" s="1"/>
  <c r="AA384" s="1"/>
  <c r="AA393" s="1"/>
  <c r="AA402" s="1"/>
  <c r="AA16"/>
  <c r="AA25" s="1"/>
  <c r="AA34" s="1"/>
  <c r="AA43" s="1"/>
  <c r="AA52" s="1"/>
  <c r="AA61" s="1"/>
  <c r="AA70" s="1"/>
  <c r="AA79" s="1"/>
  <c r="AA88" s="1"/>
  <c r="AA97" s="1"/>
  <c r="AA106" s="1"/>
  <c r="AA115" s="1"/>
  <c r="AA124" s="1"/>
  <c r="AA133" s="1"/>
  <c r="AA142" s="1"/>
  <c r="AA151" s="1"/>
  <c r="AA160" s="1"/>
  <c r="AA169" s="1"/>
  <c r="AA178" s="1"/>
  <c r="AA187" s="1"/>
  <c r="AA196" s="1"/>
  <c r="AA205" s="1"/>
  <c r="AA214" s="1"/>
  <c r="AA223" s="1"/>
  <c r="AA232" s="1"/>
  <c r="AA241" s="1"/>
  <c r="AA250" s="1"/>
  <c r="AA259" s="1"/>
  <c r="AA268" s="1"/>
  <c r="AA277" s="1"/>
  <c r="AA286" s="1"/>
  <c r="AA295" s="1"/>
  <c r="AA304" s="1"/>
  <c r="AA313" s="1"/>
  <c r="AA322" s="1"/>
  <c r="AA331" s="1"/>
  <c r="AA340" s="1"/>
  <c r="AA349" s="1"/>
  <c r="AA358" s="1"/>
  <c r="AA367" s="1"/>
  <c r="AA376" s="1"/>
  <c r="AA385" s="1"/>
  <c r="AA394" s="1"/>
  <c r="AA403" s="1"/>
  <c r="AA17"/>
  <c r="AA26" s="1"/>
  <c r="AA18"/>
  <c r="AA27" s="1"/>
  <c r="AA36" s="1"/>
  <c r="AA45" s="1"/>
  <c r="AA54" s="1"/>
  <c r="AA63" s="1"/>
  <c r="AA72" s="1"/>
  <c r="AA81" s="1"/>
  <c r="AA90" s="1"/>
  <c r="AA99" s="1"/>
  <c r="AA108" s="1"/>
  <c r="AA117" s="1"/>
  <c r="AA126" s="1"/>
  <c r="AA135" s="1"/>
  <c r="AA144" s="1"/>
  <c r="AA153" s="1"/>
  <c r="AA162" s="1"/>
  <c r="AA171" s="1"/>
  <c r="AA180" s="1"/>
  <c r="AA189" s="1"/>
  <c r="AA198" s="1"/>
  <c r="AA207" s="1"/>
  <c r="AA216" s="1"/>
  <c r="AA225" s="1"/>
  <c r="AA234" s="1"/>
  <c r="AA243" s="1"/>
  <c r="AA252" s="1"/>
  <c r="AA261" s="1"/>
  <c r="AA270" s="1"/>
  <c r="AA279" s="1"/>
  <c r="AA288" s="1"/>
  <c r="AA297" s="1"/>
  <c r="AA306" s="1"/>
  <c r="AA315" s="1"/>
  <c r="AA324" s="1"/>
  <c r="AA333" s="1"/>
  <c r="AA342" s="1"/>
  <c r="AA351" s="1"/>
  <c r="AA360" s="1"/>
  <c r="AA369" s="1"/>
  <c r="AA378" s="1"/>
  <c r="AA387" s="1"/>
  <c r="AA396" s="1"/>
  <c r="AA405" s="1"/>
  <c r="AA19"/>
  <c r="AA28" s="1"/>
  <c r="AA37" s="1"/>
  <c r="AA46" s="1"/>
  <c r="AA55" s="1"/>
  <c r="AA64" s="1"/>
  <c r="AA73" s="1"/>
  <c r="AA82" s="1"/>
  <c r="AA91" s="1"/>
  <c r="AA100" s="1"/>
  <c r="AA109" s="1"/>
  <c r="AA118" s="1"/>
  <c r="AA127" s="1"/>
  <c r="AA136" s="1"/>
  <c r="AA145" s="1"/>
  <c r="AA154" s="1"/>
  <c r="AA163" s="1"/>
  <c r="AA172" s="1"/>
  <c r="AA181" s="1"/>
  <c r="AA190" s="1"/>
  <c r="AA199" s="1"/>
  <c r="AA208" s="1"/>
  <c r="AA217" s="1"/>
  <c r="AA226" s="1"/>
  <c r="AA235" s="1"/>
  <c r="AA244" s="1"/>
  <c r="AA253" s="1"/>
  <c r="AA262" s="1"/>
  <c r="AA271" s="1"/>
  <c r="AA280" s="1"/>
  <c r="AA289" s="1"/>
  <c r="AA298" s="1"/>
  <c r="AA307" s="1"/>
  <c r="AA316" s="1"/>
  <c r="AA325" s="1"/>
  <c r="AA334" s="1"/>
  <c r="AA343" s="1"/>
  <c r="AA352" s="1"/>
  <c r="AA361" s="1"/>
  <c r="AA370" s="1"/>
  <c r="AA379" s="1"/>
  <c r="AA388" s="1"/>
  <c r="AA397" s="1"/>
  <c r="AA406" s="1"/>
  <c r="AA11"/>
  <c r="AA20" s="1"/>
  <c r="F11"/>
  <c r="F3"/>
  <c r="U59" i="1" s="1"/>
  <c r="F4" i="6"/>
  <c r="U60" i="1" s="1"/>
  <c r="F5" i="6"/>
  <c r="U61" i="1" s="1"/>
  <c r="F6" i="6"/>
  <c r="U62" i="1" s="1"/>
  <c r="F7" i="6"/>
  <c r="U63" i="1" s="1"/>
  <c r="F8" i="6"/>
  <c r="U64" i="1" s="1"/>
  <c r="F9" i="6"/>
  <c r="U65" i="1" s="1"/>
  <c r="F10" i="6"/>
  <c r="U66" i="1" s="1"/>
  <c r="E10" i="6" l="1"/>
  <c r="W351" i="7"/>
  <c r="W218"/>
  <c r="W30"/>
  <c r="F20" i="6"/>
  <c r="E19" s="1"/>
  <c r="AA35"/>
  <c r="AA44" s="1"/>
  <c r="AA53" s="1"/>
  <c r="AA62" s="1"/>
  <c r="AA71" s="1"/>
  <c r="AA80" s="1"/>
  <c r="AA89" s="1"/>
  <c r="AA98" s="1"/>
  <c r="AA107" s="1"/>
  <c r="AA116" s="1"/>
  <c r="AA125" s="1"/>
  <c r="AA134" s="1"/>
  <c r="AA143" s="1"/>
  <c r="AA152" s="1"/>
  <c r="AA161" s="1"/>
  <c r="AA170" s="1"/>
  <c r="AA179" s="1"/>
  <c r="AA188" s="1"/>
  <c r="AA197" s="1"/>
  <c r="AA206" s="1"/>
  <c r="AA215" s="1"/>
  <c r="AA224" s="1"/>
  <c r="AA233" s="1"/>
  <c r="AA242" s="1"/>
  <c r="AA251" s="1"/>
  <c r="AA260" s="1"/>
  <c r="AA269" s="1"/>
  <c r="AA278" s="1"/>
  <c r="AA287" s="1"/>
  <c r="AA296" s="1"/>
  <c r="AA305" s="1"/>
  <c r="AA314" s="1"/>
  <c r="AA323" s="1"/>
  <c r="AA332" s="1"/>
  <c r="AA341" s="1"/>
  <c r="AA350" s="1"/>
  <c r="AA359" s="1"/>
  <c r="AA368" s="1"/>
  <c r="AA377" s="1"/>
  <c r="AA386" s="1"/>
  <c r="AA395" s="1"/>
  <c r="AA404" s="1"/>
  <c r="AA31"/>
  <c r="AA40" s="1"/>
  <c r="AA49" s="1"/>
  <c r="AA58" s="1"/>
  <c r="AA67" s="1"/>
  <c r="AA76" s="1"/>
  <c r="AA85" s="1"/>
  <c r="AA94" s="1"/>
  <c r="AA103" s="1"/>
  <c r="AA112" s="1"/>
  <c r="AA121" s="1"/>
  <c r="AA130" s="1"/>
  <c r="AA139" s="1"/>
  <c r="AA148" s="1"/>
  <c r="AA157" s="1"/>
  <c r="AA166" s="1"/>
  <c r="AA175" s="1"/>
  <c r="AA184" s="1"/>
  <c r="AA193" s="1"/>
  <c r="AA202" s="1"/>
  <c r="AA211" s="1"/>
  <c r="AA220" s="1"/>
  <c r="AA229" s="1"/>
  <c r="AA238" s="1"/>
  <c r="AA247" s="1"/>
  <c r="AA256" s="1"/>
  <c r="AA265" s="1"/>
  <c r="AA274" s="1"/>
  <c r="AA283" s="1"/>
  <c r="AA292" s="1"/>
  <c r="AA301" s="1"/>
  <c r="AA310" s="1"/>
  <c r="AA319" s="1"/>
  <c r="AA328" s="1"/>
  <c r="AA337" s="1"/>
  <c r="AA346" s="1"/>
  <c r="AA355" s="1"/>
  <c r="AA364" s="1"/>
  <c r="AA373" s="1"/>
  <c r="AA382" s="1"/>
  <c r="AA391" s="1"/>
  <c r="AA400" s="1"/>
  <c r="AA29"/>
  <c r="AA38" s="1"/>
  <c r="AA47" s="1"/>
  <c r="AA56" s="1"/>
  <c r="AA65" s="1"/>
  <c r="AA74" s="1"/>
  <c r="AA83" s="1"/>
  <c r="AA92" s="1"/>
  <c r="AA101" s="1"/>
  <c r="AA110" s="1"/>
  <c r="AA119" s="1"/>
  <c r="AA128" s="1"/>
  <c r="AA137" s="1"/>
  <c r="AA146" s="1"/>
  <c r="AA155" s="1"/>
  <c r="AA164" s="1"/>
  <c r="AA173" s="1"/>
  <c r="AA182" s="1"/>
  <c r="AA191" s="1"/>
  <c r="AA200" s="1"/>
  <c r="AA209" s="1"/>
  <c r="AA218" s="1"/>
  <c r="AA227" s="1"/>
  <c r="AA236" s="1"/>
  <c r="AA245" s="1"/>
  <c r="AA254" s="1"/>
  <c r="AA263" s="1"/>
  <c r="AA272" s="1"/>
  <c r="AA281" s="1"/>
  <c r="AA290" s="1"/>
  <c r="AA299" s="1"/>
  <c r="AA308" s="1"/>
  <c r="AA317" s="1"/>
  <c r="AA326" s="1"/>
  <c r="AA335" s="1"/>
  <c r="AA344" s="1"/>
  <c r="AA353" s="1"/>
  <c r="AA362" s="1"/>
  <c r="AA371" s="1"/>
  <c r="AA380" s="1"/>
  <c r="AA389" s="1"/>
  <c r="AA398" s="1"/>
  <c r="AA21"/>
  <c r="AA30" s="1"/>
  <c r="W352" i="7" l="1"/>
  <c r="W219"/>
  <c r="W31"/>
  <c r="AA39" i="6"/>
  <c r="AA48" s="1"/>
  <c r="AA57" s="1"/>
  <c r="AA66" s="1"/>
  <c r="AA75" s="1"/>
  <c r="AA84" s="1"/>
  <c r="AA93" s="1"/>
  <c r="AA102" s="1"/>
  <c r="AA111" s="1"/>
  <c r="AA120" s="1"/>
  <c r="AA129" s="1"/>
  <c r="AA138" s="1"/>
  <c r="AA147" s="1"/>
  <c r="AA156" s="1"/>
  <c r="AA165" s="1"/>
  <c r="AA174" s="1"/>
  <c r="AA183" s="1"/>
  <c r="AA192" s="1"/>
  <c r="AA201" s="1"/>
  <c r="AA210" s="1"/>
  <c r="AA219" s="1"/>
  <c r="AA228" s="1"/>
  <c r="AA237" s="1"/>
  <c r="AA246" s="1"/>
  <c r="AA255" s="1"/>
  <c r="AA264" s="1"/>
  <c r="AA273" s="1"/>
  <c r="AA282" s="1"/>
  <c r="AA291" s="1"/>
  <c r="AA300" s="1"/>
  <c r="AA309" s="1"/>
  <c r="AA318" s="1"/>
  <c r="AA327" s="1"/>
  <c r="AA336" s="1"/>
  <c r="AA345" s="1"/>
  <c r="AA354" s="1"/>
  <c r="AA363" s="1"/>
  <c r="AA372" s="1"/>
  <c r="AA381" s="1"/>
  <c r="AA390" s="1"/>
  <c r="AA399" s="1"/>
  <c r="F29"/>
  <c r="E28" s="1"/>
  <c r="K2"/>
  <c r="H2"/>
  <c r="D2"/>
  <c r="H3"/>
  <c r="D3"/>
  <c r="H4"/>
  <c r="D4"/>
  <c r="L4"/>
  <c r="H5"/>
  <c r="D5"/>
  <c r="H6"/>
  <c r="D6"/>
  <c r="L6"/>
  <c r="H7"/>
  <c r="D7"/>
  <c r="H8"/>
  <c r="D8"/>
  <c r="L8"/>
  <c r="H9"/>
  <c r="D9"/>
  <c r="H10"/>
  <c r="D10"/>
  <c r="L10"/>
  <c r="C194" i="1"/>
  <c r="D194"/>
  <c r="K194"/>
  <c r="L194"/>
  <c r="M194"/>
  <c r="N194"/>
  <c r="O194"/>
  <c r="P194"/>
  <c r="Q194"/>
  <c r="R194"/>
  <c r="C195"/>
  <c r="D195"/>
  <c r="K195"/>
  <c r="L195"/>
  <c r="M195"/>
  <c r="N195"/>
  <c r="O195"/>
  <c r="P195"/>
  <c r="Q195"/>
  <c r="R195"/>
  <c r="C196"/>
  <c r="D196"/>
  <c r="K196"/>
  <c r="L196"/>
  <c r="M196"/>
  <c r="N196"/>
  <c r="O196"/>
  <c r="P196"/>
  <c r="Q196"/>
  <c r="R196"/>
  <c r="C197"/>
  <c r="D197"/>
  <c r="K197"/>
  <c r="L197"/>
  <c r="M197"/>
  <c r="N197"/>
  <c r="O197"/>
  <c r="P197"/>
  <c r="Q197"/>
  <c r="R197"/>
  <c r="C198"/>
  <c r="D198"/>
  <c r="K198"/>
  <c r="L198"/>
  <c r="M198"/>
  <c r="N198"/>
  <c r="O198"/>
  <c r="P198"/>
  <c r="Q198"/>
  <c r="R198"/>
  <c r="C199"/>
  <c r="D199"/>
  <c r="K199"/>
  <c r="L199"/>
  <c r="M199"/>
  <c r="N199"/>
  <c r="O199"/>
  <c r="P199"/>
  <c r="Q199"/>
  <c r="R199"/>
  <c r="C200"/>
  <c r="D200"/>
  <c r="K200"/>
  <c r="L200"/>
  <c r="M200"/>
  <c r="N200"/>
  <c r="O200"/>
  <c r="P200"/>
  <c r="Q200"/>
  <c r="R200"/>
  <c r="C201"/>
  <c r="D201"/>
  <c r="K201"/>
  <c r="L201"/>
  <c r="M201"/>
  <c r="N201"/>
  <c r="O201"/>
  <c r="P201"/>
  <c r="Q201"/>
  <c r="R201"/>
  <c r="C202"/>
  <c r="D202"/>
  <c r="K202"/>
  <c r="L202"/>
  <c r="M202"/>
  <c r="N202"/>
  <c r="O202"/>
  <c r="P202"/>
  <c r="Q202"/>
  <c r="R202"/>
  <c r="C203"/>
  <c r="D203"/>
  <c r="K203"/>
  <c r="L203"/>
  <c r="M203"/>
  <c r="N203"/>
  <c r="O203"/>
  <c r="P203"/>
  <c r="Q203"/>
  <c r="R203"/>
  <c r="C204"/>
  <c r="D204"/>
  <c r="K204"/>
  <c r="L204"/>
  <c r="M204"/>
  <c r="N204"/>
  <c r="O204"/>
  <c r="P204"/>
  <c r="Q204"/>
  <c r="R204"/>
  <c r="C205"/>
  <c r="D205"/>
  <c r="K205"/>
  <c r="L205"/>
  <c r="M205"/>
  <c r="N205"/>
  <c r="O205"/>
  <c r="P205"/>
  <c r="Q205"/>
  <c r="R205"/>
  <c r="C206"/>
  <c r="D206"/>
  <c r="K206"/>
  <c r="L206"/>
  <c r="M206"/>
  <c r="N206"/>
  <c r="O206"/>
  <c r="P206"/>
  <c r="Q206"/>
  <c r="R206"/>
  <c r="C207"/>
  <c r="D207"/>
  <c r="K207"/>
  <c r="L207"/>
  <c r="M207"/>
  <c r="N207"/>
  <c r="O207"/>
  <c r="P207"/>
  <c r="Q207"/>
  <c r="R207"/>
  <c r="C208"/>
  <c r="D208"/>
  <c r="K208"/>
  <c r="L208"/>
  <c r="M208"/>
  <c r="N208"/>
  <c r="O208"/>
  <c r="P208"/>
  <c r="Q208"/>
  <c r="R208"/>
  <c r="C209"/>
  <c r="D209"/>
  <c r="K209"/>
  <c r="L209"/>
  <c r="M209"/>
  <c r="N209"/>
  <c r="O209"/>
  <c r="P209"/>
  <c r="Q209"/>
  <c r="R209"/>
  <c r="C210"/>
  <c r="D210"/>
  <c r="K210"/>
  <c r="L210"/>
  <c r="M210"/>
  <c r="N210"/>
  <c r="O210"/>
  <c r="P210"/>
  <c r="Q210"/>
  <c r="R210"/>
  <c r="C211"/>
  <c r="D211"/>
  <c r="K211"/>
  <c r="L211"/>
  <c r="M211"/>
  <c r="N211"/>
  <c r="O211"/>
  <c r="P211"/>
  <c r="Q211"/>
  <c r="R211"/>
  <c r="C212"/>
  <c r="D212"/>
  <c r="K212"/>
  <c r="L212"/>
  <c r="M212"/>
  <c r="N212"/>
  <c r="O212"/>
  <c r="P212"/>
  <c r="Q212"/>
  <c r="R212"/>
  <c r="C213"/>
  <c r="D213"/>
  <c r="K213"/>
  <c r="L213"/>
  <c r="M213"/>
  <c r="N213"/>
  <c r="O213"/>
  <c r="P213"/>
  <c r="Q213"/>
  <c r="R213"/>
  <c r="C214"/>
  <c r="D214"/>
  <c r="K214"/>
  <c r="L214"/>
  <c r="M214"/>
  <c r="N214"/>
  <c r="O214"/>
  <c r="P214"/>
  <c r="Q214"/>
  <c r="R214"/>
  <c r="C215"/>
  <c r="D215"/>
  <c r="K215"/>
  <c r="L215"/>
  <c r="M215"/>
  <c r="N215"/>
  <c r="O215"/>
  <c r="P215"/>
  <c r="Q215"/>
  <c r="R215"/>
  <c r="C216"/>
  <c r="D216"/>
  <c r="K216"/>
  <c r="L216"/>
  <c r="M216"/>
  <c r="N216"/>
  <c r="O216"/>
  <c r="P216"/>
  <c r="Q216"/>
  <c r="R216"/>
  <c r="C217"/>
  <c r="D217"/>
  <c r="K217"/>
  <c r="L217"/>
  <c r="M217"/>
  <c r="N217"/>
  <c r="O217"/>
  <c r="P217"/>
  <c r="Q217"/>
  <c r="R217"/>
  <c r="C218"/>
  <c r="D218"/>
  <c r="K218"/>
  <c r="L218"/>
  <c r="M218"/>
  <c r="N218"/>
  <c r="O218"/>
  <c r="P218"/>
  <c r="Q218"/>
  <c r="R218"/>
  <c r="C219"/>
  <c r="D219"/>
  <c r="K219"/>
  <c r="L219"/>
  <c r="M219"/>
  <c r="N219"/>
  <c r="O219"/>
  <c r="P219"/>
  <c r="Q219"/>
  <c r="R219"/>
  <c r="C220"/>
  <c r="D220"/>
  <c r="K220"/>
  <c r="L220"/>
  <c r="M220"/>
  <c r="N220"/>
  <c r="O220"/>
  <c r="P220"/>
  <c r="Q220"/>
  <c r="R220"/>
  <c r="C221"/>
  <c r="D221"/>
  <c r="K221"/>
  <c r="L221"/>
  <c r="M221"/>
  <c r="N221"/>
  <c r="O221"/>
  <c r="P221"/>
  <c r="Q221"/>
  <c r="R221"/>
  <c r="C222"/>
  <c r="D222"/>
  <c r="K222"/>
  <c r="L222"/>
  <c r="M222"/>
  <c r="N222"/>
  <c r="O222"/>
  <c r="P222"/>
  <c r="Q222"/>
  <c r="R222"/>
  <c r="C223"/>
  <c r="D223"/>
  <c r="K223"/>
  <c r="L223"/>
  <c r="M223"/>
  <c r="N223"/>
  <c r="O223"/>
  <c r="P223"/>
  <c r="Q223"/>
  <c r="R223"/>
  <c r="C224"/>
  <c r="D224"/>
  <c r="K224"/>
  <c r="L224"/>
  <c r="M224"/>
  <c r="N224"/>
  <c r="O224"/>
  <c r="P224"/>
  <c r="Q224"/>
  <c r="R224"/>
  <c r="C225"/>
  <c r="D225"/>
  <c r="K225"/>
  <c r="L225"/>
  <c r="M225"/>
  <c r="N225"/>
  <c r="O225"/>
  <c r="P225"/>
  <c r="Q225"/>
  <c r="R225"/>
  <c r="C226"/>
  <c r="D226"/>
  <c r="K226"/>
  <c r="L226"/>
  <c r="M226"/>
  <c r="N226"/>
  <c r="O226"/>
  <c r="P226"/>
  <c r="Q226"/>
  <c r="R226"/>
  <c r="C227"/>
  <c r="D227"/>
  <c r="K227"/>
  <c r="L227"/>
  <c r="M227"/>
  <c r="N227"/>
  <c r="O227"/>
  <c r="P227"/>
  <c r="Q227"/>
  <c r="R227"/>
  <c r="C228"/>
  <c r="D228"/>
  <c r="K228"/>
  <c r="L228"/>
  <c r="M228"/>
  <c r="N228"/>
  <c r="O228"/>
  <c r="P228"/>
  <c r="Q228"/>
  <c r="R228"/>
  <c r="C229"/>
  <c r="D229"/>
  <c r="K229"/>
  <c r="L229"/>
  <c r="M229"/>
  <c r="N229"/>
  <c r="O229"/>
  <c r="P229"/>
  <c r="Q229"/>
  <c r="R229"/>
  <c r="C230"/>
  <c r="D230"/>
  <c r="K230"/>
  <c r="L230"/>
  <c r="M230"/>
  <c r="N230"/>
  <c r="O230"/>
  <c r="P230"/>
  <c r="Q230"/>
  <c r="R230"/>
  <c r="C231"/>
  <c r="D231"/>
  <c r="K231"/>
  <c r="L231"/>
  <c r="M231"/>
  <c r="N231"/>
  <c r="O231"/>
  <c r="P231"/>
  <c r="Q231"/>
  <c r="R231"/>
  <c r="C232"/>
  <c r="D232"/>
  <c r="K232"/>
  <c r="L232"/>
  <c r="M232"/>
  <c r="N232"/>
  <c r="O232"/>
  <c r="P232"/>
  <c r="Q232"/>
  <c r="R232"/>
  <c r="C233"/>
  <c r="D233"/>
  <c r="K233"/>
  <c r="L233"/>
  <c r="M233"/>
  <c r="N233"/>
  <c r="O233"/>
  <c r="P233"/>
  <c r="Q233"/>
  <c r="R233"/>
  <c r="C234"/>
  <c r="D234"/>
  <c r="K234"/>
  <c r="L234"/>
  <c r="M234"/>
  <c r="N234"/>
  <c r="O234"/>
  <c r="P234"/>
  <c r="Q234"/>
  <c r="R234"/>
  <c r="C235"/>
  <c r="D235"/>
  <c r="K235"/>
  <c r="L235"/>
  <c r="M235"/>
  <c r="N235"/>
  <c r="O235"/>
  <c r="P235"/>
  <c r="Q235"/>
  <c r="R235"/>
  <c r="C236"/>
  <c r="D236"/>
  <c r="K236"/>
  <c r="L236"/>
  <c r="M236"/>
  <c r="N236"/>
  <c r="O236"/>
  <c r="P236"/>
  <c r="Q236"/>
  <c r="R236"/>
  <c r="C237"/>
  <c r="D237"/>
  <c r="K237"/>
  <c r="L237"/>
  <c r="M237"/>
  <c r="N237"/>
  <c r="O237"/>
  <c r="P237"/>
  <c r="Q237"/>
  <c r="R237"/>
  <c r="C238"/>
  <c r="D238"/>
  <c r="K238"/>
  <c r="L238"/>
  <c r="M238"/>
  <c r="N238"/>
  <c r="O238"/>
  <c r="P238"/>
  <c r="Q238"/>
  <c r="R238"/>
  <c r="C239"/>
  <c r="D239"/>
  <c r="K239"/>
  <c r="L239"/>
  <c r="M239"/>
  <c r="N239"/>
  <c r="O239"/>
  <c r="P239"/>
  <c r="Q239"/>
  <c r="R239"/>
  <c r="C240"/>
  <c r="D240"/>
  <c r="K240"/>
  <c r="L240"/>
  <c r="M240"/>
  <c r="N240"/>
  <c r="O240"/>
  <c r="P240"/>
  <c r="Q240"/>
  <c r="R240"/>
  <c r="C241"/>
  <c r="D241"/>
  <c r="K241"/>
  <c r="L241"/>
  <c r="M241"/>
  <c r="N241"/>
  <c r="O241"/>
  <c r="P241"/>
  <c r="Q241"/>
  <c r="R241"/>
  <c r="C242"/>
  <c r="D242"/>
  <c r="K242"/>
  <c r="L242"/>
  <c r="M242"/>
  <c r="N242"/>
  <c r="O242"/>
  <c r="P242"/>
  <c r="Q242"/>
  <c r="R242"/>
  <c r="C243"/>
  <c r="D243"/>
  <c r="K243"/>
  <c r="L243"/>
  <c r="M243"/>
  <c r="N243"/>
  <c r="O243"/>
  <c r="P243"/>
  <c r="Q243"/>
  <c r="R243"/>
  <c r="C244"/>
  <c r="D244"/>
  <c r="K244"/>
  <c r="L244"/>
  <c r="M244"/>
  <c r="N244"/>
  <c r="O244"/>
  <c r="P244"/>
  <c r="Q244"/>
  <c r="R244"/>
  <c r="C245"/>
  <c r="D245"/>
  <c r="K245"/>
  <c r="L245"/>
  <c r="M245"/>
  <c r="N245"/>
  <c r="O245"/>
  <c r="P245"/>
  <c r="Q245"/>
  <c r="R245"/>
  <c r="C246"/>
  <c r="D246"/>
  <c r="K246"/>
  <c r="L246"/>
  <c r="M246"/>
  <c r="N246"/>
  <c r="O246"/>
  <c r="P246"/>
  <c r="Q246"/>
  <c r="R246"/>
  <c r="C247"/>
  <c r="D247"/>
  <c r="K247"/>
  <c r="L247"/>
  <c r="M247"/>
  <c r="N247"/>
  <c r="O247"/>
  <c r="P247"/>
  <c r="Q247"/>
  <c r="R247"/>
  <c r="C248"/>
  <c r="D248"/>
  <c r="K248"/>
  <c r="L248"/>
  <c r="M248"/>
  <c r="N248"/>
  <c r="O248"/>
  <c r="P248"/>
  <c r="Q248"/>
  <c r="R248"/>
  <c r="C249"/>
  <c r="D249"/>
  <c r="K249"/>
  <c r="L249"/>
  <c r="M249"/>
  <c r="N249"/>
  <c r="O249"/>
  <c r="P249"/>
  <c r="Q249"/>
  <c r="R249"/>
  <c r="C250"/>
  <c r="D250"/>
  <c r="K250"/>
  <c r="L250"/>
  <c r="M250"/>
  <c r="N250"/>
  <c r="O250"/>
  <c r="P250"/>
  <c r="Q250"/>
  <c r="R250"/>
  <c r="C251"/>
  <c r="D251"/>
  <c r="K251"/>
  <c r="L251"/>
  <c r="M251"/>
  <c r="N251"/>
  <c r="O251"/>
  <c r="P251"/>
  <c r="Q251"/>
  <c r="R251"/>
  <c r="C252"/>
  <c r="D252"/>
  <c r="K252"/>
  <c r="L252"/>
  <c r="M252"/>
  <c r="N252"/>
  <c r="O252"/>
  <c r="P252"/>
  <c r="Q252"/>
  <c r="R252"/>
  <c r="C253"/>
  <c r="D253"/>
  <c r="K253"/>
  <c r="L253"/>
  <c r="M253"/>
  <c r="N253"/>
  <c r="O253"/>
  <c r="P253"/>
  <c r="Q253"/>
  <c r="R253"/>
  <c r="C254"/>
  <c r="D254"/>
  <c r="K254"/>
  <c r="L254"/>
  <c r="M254"/>
  <c r="N254"/>
  <c r="O254"/>
  <c r="P254"/>
  <c r="Q254"/>
  <c r="R254"/>
  <c r="C255"/>
  <c r="D255"/>
  <c r="K255"/>
  <c r="L255"/>
  <c r="M255"/>
  <c r="N255"/>
  <c r="O255"/>
  <c r="P255"/>
  <c r="Q255"/>
  <c r="R255"/>
  <c r="C256"/>
  <c r="D256"/>
  <c r="K256"/>
  <c r="L256"/>
  <c r="M256"/>
  <c r="N256"/>
  <c r="O256"/>
  <c r="P256"/>
  <c r="Q256"/>
  <c r="R256"/>
  <c r="C257"/>
  <c r="D257"/>
  <c r="K257"/>
  <c r="L257"/>
  <c r="M257"/>
  <c r="N257"/>
  <c r="O257"/>
  <c r="P257"/>
  <c r="Q257"/>
  <c r="R257"/>
  <c r="C258"/>
  <c r="D258"/>
  <c r="K258"/>
  <c r="L258"/>
  <c r="M258"/>
  <c r="N258"/>
  <c r="O258"/>
  <c r="P258"/>
  <c r="Q258"/>
  <c r="R258"/>
  <c r="C259"/>
  <c r="D259"/>
  <c r="K259"/>
  <c r="L259"/>
  <c r="M259"/>
  <c r="N259"/>
  <c r="O259"/>
  <c r="P259"/>
  <c r="Q259"/>
  <c r="R259"/>
  <c r="C260"/>
  <c r="D260"/>
  <c r="K260"/>
  <c r="L260"/>
  <c r="M260"/>
  <c r="N260"/>
  <c r="O260"/>
  <c r="P260"/>
  <c r="Q260"/>
  <c r="R260"/>
  <c r="C261"/>
  <c r="D261"/>
  <c r="K261"/>
  <c r="L261"/>
  <c r="M261"/>
  <c r="N261"/>
  <c r="O261"/>
  <c r="P261"/>
  <c r="Q261"/>
  <c r="R261"/>
  <c r="C262"/>
  <c r="D262"/>
  <c r="K262"/>
  <c r="L262"/>
  <c r="M262"/>
  <c r="N262"/>
  <c r="O262"/>
  <c r="P262"/>
  <c r="Q262"/>
  <c r="R262"/>
  <c r="C263"/>
  <c r="D263"/>
  <c r="K263"/>
  <c r="L263"/>
  <c r="M263"/>
  <c r="N263"/>
  <c r="O263"/>
  <c r="P263"/>
  <c r="Q263"/>
  <c r="R263"/>
  <c r="C264"/>
  <c r="D264"/>
  <c r="K264"/>
  <c r="L264"/>
  <c r="M264"/>
  <c r="N264"/>
  <c r="O264"/>
  <c r="P264"/>
  <c r="Q264"/>
  <c r="R264"/>
  <c r="C265"/>
  <c r="D265"/>
  <c r="K265"/>
  <c r="L265"/>
  <c r="M265"/>
  <c r="N265"/>
  <c r="O265"/>
  <c r="P265"/>
  <c r="Q265"/>
  <c r="R265"/>
  <c r="C266"/>
  <c r="D266"/>
  <c r="K266"/>
  <c r="L266"/>
  <c r="M266"/>
  <c r="N266"/>
  <c r="O266"/>
  <c r="P266"/>
  <c r="Q266"/>
  <c r="R266"/>
  <c r="C267"/>
  <c r="D267"/>
  <c r="K267"/>
  <c r="L267"/>
  <c r="M267"/>
  <c r="N267"/>
  <c r="O267"/>
  <c r="P267"/>
  <c r="Q267"/>
  <c r="R267"/>
  <c r="C268"/>
  <c r="D268"/>
  <c r="K268"/>
  <c r="L268"/>
  <c r="M268"/>
  <c r="N268"/>
  <c r="O268"/>
  <c r="P268"/>
  <c r="Q268"/>
  <c r="R268"/>
  <c r="C269"/>
  <c r="D269"/>
  <c r="K269"/>
  <c r="L269"/>
  <c r="M269"/>
  <c r="N269"/>
  <c r="O269"/>
  <c r="P269"/>
  <c r="Q269"/>
  <c r="R269"/>
  <c r="C270"/>
  <c r="D270"/>
  <c r="K270"/>
  <c r="L270"/>
  <c r="M270"/>
  <c r="N270"/>
  <c r="O270"/>
  <c r="P270"/>
  <c r="Q270"/>
  <c r="R270"/>
  <c r="C271"/>
  <c r="D271"/>
  <c r="K271"/>
  <c r="L271"/>
  <c r="M271"/>
  <c r="N271"/>
  <c r="O271"/>
  <c r="P271"/>
  <c r="Q271"/>
  <c r="R271"/>
  <c r="C272"/>
  <c r="D272"/>
  <c r="K272"/>
  <c r="L272"/>
  <c r="M272"/>
  <c r="N272"/>
  <c r="O272"/>
  <c r="P272"/>
  <c r="Q272"/>
  <c r="R272"/>
  <c r="C273"/>
  <c r="D273"/>
  <c r="K273"/>
  <c r="L273"/>
  <c r="M273"/>
  <c r="N273"/>
  <c r="O273"/>
  <c r="P273"/>
  <c r="Q273"/>
  <c r="R273"/>
  <c r="C274"/>
  <c r="D274"/>
  <c r="K274"/>
  <c r="L274"/>
  <c r="M274"/>
  <c r="N274"/>
  <c r="O274"/>
  <c r="P274"/>
  <c r="Q274"/>
  <c r="R274"/>
  <c r="C275"/>
  <c r="D275"/>
  <c r="K275"/>
  <c r="L275"/>
  <c r="M275"/>
  <c r="N275"/>
  <c r="O275"/>
  <c r="P275"/>
  <c r="Q275"/>
  <c r="R275"/>
  <c r="C276"/>
  <c r="D276"/>
  <c r="K276"/>
  <c r="L276"/>
  <c r="M276"/>
  <c r="N276"/>
  <c r="O276"/>
  <c r="P276"/>
  <c r="Q276"/>
  <c r="R276"/>
  <c r="C277"/>
  <c r="D277"/>
  <c r="K277"/>
  <c r="L277"/>
  <c r="M277"/>
  <c r="N277"/>
  <c r="O277"/>
  <c r="P277"/>
  <c r="Q277"/>
  <c r="R277"/>
  <c r="C278"/>
  <c r="D278"/>
  <c r="K278"/>
  <c r="L278"/>
  <c r="M278"/>
  <c r="N278"/>
  <c r="O278"/>
  <c r="P278"/>
  <c r="Q278"/>
  <c r="R278"/>
  <c r="C279"/>
  <c r="D279"/>
  <c r="K279"/>
  <c r="L279"/>
  <c r="M279"/>
  <c r="N279"/>
  <c r="O279"/>
  <c r="P279"/>
  <c r="Q279"/>
  <c r="R279"/>
  <c r="C280"/>
  <c r="D280"/>
  <c r="K280"/>
  <c r="L280"/>
  <c r="M280"/>
  <c r="N280"/>
  <c r="O280"/>
  <c r="P280"/>
  <c r="Q280"/>
  <c r="R280"/>
  <c r="C281"/>
  <c r="D281"/>
  <c r="K281"/>
  <c r="L281"/>
  <c r="M281"/>
  <c r="N281"/>
  <c r="O281"/>
  <c r="P281"/>
  <c r="Q281"/>
  <c r="R281"/>
  <c r="C282"/>
  <c r="D282"/>
  <c r="K282"/>
  <c r="L282"/>
  <c r="M282"/>
  <c r="N282"/>
  <c r="O282"/>
  <c r="P282"/>
  <c r="Q282"/>
  <c r="R282"/>
  <c r="C283"/>
  <c r="D283"/>
  <c r="K283"/>
  <c r="L283"/>
  <c r="M283"/>
  <c r="N283"/>
  <c r="O283"/>
  <c r="P283"/>
  <c r="Q283"/>
  <c r="R283"/>
  <c r="C284"/>
  <c r="D284"/>
  <c r="K284"/>
  <c r="L284"/>
  <c r="M284"/>
  <c r="N284"/>
  <c r="O284"/>
  <c r="P284"/>
  <c r="Q284"/>
  <c r="R284"/>
  <c r="C285"/>
  <c r="D285"/>
  <c r="K285"/>
  <c r="L285"/>
  <c r="M285"/>
  <c r="N285"/>
  <c r="O285"/>
  <c r="P285"/>
  <c r="Q285"/>
  <c r="R285"/>
  <c r="C286"/>
  <c r="D286"/>
  <c r="K286"/>
  <c r="L286"/>
  <c r="M286"/>
  <c r="N286"/>
  <c r="O286"/>
  <c r="P286"/>
  <c r="Q286"/>
  <c r="R286"/>
  <c r="C287"/>
  <c r="D287"/>
  <c r="K287"/>
  <c r="L287"/>
  <c r="M287"/>
  <c r="N287"/>
  <c r="O287"/>
  <c r="P287"/>
  <c r="Q287"/>
  <c r="R287"/>
  <c r="C288"/>
  <c r="D288"/>
  <c r="K288"/>
  <c r="L288"/>
  <c r="M288"/>
  <c r="N288"/>
  <c r="O288"/>
  <c r="P288"/>
  <c r="Q288"/>
  <c r="R288"/>
  <c r="C289"/>
  <c r="D289"/>
  <c r="K289"/>
  <c r="L289"/>
  <c r="M289"/>
  <c r="N289"/>
  <c r="O289"/>
  <c r="P289"/>
  <c r="Q289"/>
  <c r="R289"/>
  <c r="C290"/>
  <c r="D290"/>
  <c r="K290"/>
  <c r="L290"/>
  <c r="M290"/>
  <c r="N290"/>
  <c r="O290"/>
  <c r="P290"/>
  <c r="Q290"/>
  <c r="R290"/>
  <c r="C291"/>
  <c r="D291"/>
  <c r="K291"/>
  <c r="L291"/>
  <c r="M291"/>
  <c r="N291"/>
  <c r="O291"/>
  <c r="P291"/>
  <c r="Q291"/>
  <c r="R291"/>
  <c r="C292"/>
  <c r="D292"/>
  <c r="K292"/>
  <c r="L292"/>
  <c r="M292"/>
  <c r="N292"/>
  <c r="O292"/>
  <c r="P292"/>
  <c r="Q292"/>
  <c r="R292"/>
  <c r="C293"/>
  <c r="D293"/>
  <c r="K293"/>
  <c r="L293"/>
  <c r="M293"/>
  <c r="N293"/>
  <c r="O293"/>
  <c r="P293"/>
  <c r="Q293"/>
  <c r="R293"/>
  <c r="C294"/>
  <c r="D294"/>
  <c r="K294"/>
  <c r="L294"/>
  <c r="M294"/>
  <c r="N294"/>
  <c r="O294"/>
  <c r="P294"/>
  <c r="Q294"/>
  <c r="R294"/>
  <c r="C295"/>
  <c r="D295"/>
  <c r="K295"/>
  <c r="L295"/>
  <c r="M295"/>
  <c r="N295"/>
  <c r="O295"/>
  <c r="P295"/>
  <c r="Q295"/>
  <c r="R295"/>
  <c r="C296"/>
  <c r="D296"/>
  <c r="K296"/>
  <c r="L296"/>
  <c r="M296"/>
  <c r="N296"/>
  <c r="O296"/>
  <c r="P296"/>
  <c r="Q296"/>
  <c r="R296"/>
  <c r="C297"/>
  <c r="D297"/>
  <c r="K297"/>
  <c r="L297"/>
  <c r="M297"/>
  <c r="N297"/>
  <c r="O297"/>
  <c r="P297"/>
  <c r="Q297"/>
  <c r="R297"/>
  <c r="C298"/>
  <c r="D298"/>
  <c r="K298"/>
  <c r="L298"/>
  <c r="M298"/>
  <c r="N298"/>
  <c r="O298"/>
  <c r="P298"/>
  <c r="Q298"/>
  <c r="R298"/>
  <c r="C299"/>
  <c r="D299"/>
  <c r="K299"/>
  <c r="L299"/>
  <c r="M299"/>
  <c r="N299"/>
  <c r="O299"/>
  <c r="P299"/>
  <c r="Q299"/>
  <c r="R299"/>
  <c r="C300"/>
  <c r="D300"/>
  <c r="K300"/>
  <c r="L300"/>
  <c r="M300"/>
  <c r="N300"/>
  <c r="O300"/>
  <c r="P300"/>
  <c r="Q300"/>
  <c r="R300"/>
  <c r="C301"/>
  <c r="D301"/>
  <c r="K301"/>
  <c r="L301"/>
  <c r="M301"/>
  <c r="N301"/>
  <c r="O301"/>
  <c r="P301"/>
  <c r="Q301"/>
  <c r="R301"/>
  <c r="C302"/>
  <c r="D302"/>
  <c r="K302"/>
  <c r="L302"/>
  <c r="M302"/>
  <c r="N302"/>
  <c r="O302"/>
  <c r="P302"/>
  <c r="Q302"/>
  <c r="R302"/>
  <c r="C303"/>
  <c r="D303"/>
  <c r="K303"/>
  <c r="L303"/>
  <c r="M303"/>
  <c r="N303"/>
  <c r="O303"/>
  <c r="P303"/>
  <c r="Q303"/>
  <c r="R303"/>
  <c r="C304"/>
  <c r="D304"/>
  <c r="K304"/>
  <c r="L304"/>
  <c r="M304"/>
  <c r="N304"/>
  <c r="O304"/>
  <c r="P304"/>
  <c r="Q304"/>
  <c r="R304"/>
  <c r="C305"/>
  <c r="D305"/>
  <c r="K305"/>
  <c r="L305"/>
  <c r="M305"/>
  <c r="N305"/>
  <c r="O305"/>
  <c r="P305"/>
  <c r="Q305"/>
  <c r="R305"/>
  <c r="C306"/>
  <c r="D306"/>
  <c r="K306"/>
  <c r="L306"/>
  <c r="M306"/>
  <c r="N306"/>
  <c r="O306"/>
  <c r="P306"/>
  <c r="Q306"/>
  <c r="R306"/>
  <c r="C307"/>
  <c r="D307"/>
  <c r="K307"/>
  <c r="L307"/>
  <c r="M307"/>
  <c r="N307"/>
  <c r="O307"/>
  <c r="P307"/>
  <c r="Q307"/>
  <c r="R307"/>
  <c r="C308"/>
  <c r="D308"/>
  <c r="K308"/>
  <c r="L308"/>
  <c r="M308"/>
  <c r="N308"/>
  <c r="O308"/>
  <c r="P308"/>
  <c r="Q308"/>
  <c r="R308"/>
  <c r="C309"/>
  <c r="D309"/>
  <c r="K309"/>
  <c r="L309"/>
  <c r="M309"/>
  <c r="N309"/>
  <c r="O309"/>
  <c r="P309"/>
  <c r="Q309"/>
  <c r="R309"/>
  <c r="C310"/>
  <c r="D310"/>
  <c r="K310"/>
  <c r="L310"/>
  <c r="M310"/>
  <c r="N310"/>
  <c r="O310"/>
  <c r="P310"/>
  <c r="Q310"/>
  <c r="R310"/>
  <c r="C311"/>
  <c r="D311"/>
  <c r="K311"/>
  <c r="L311"/>
  <c r="M311"/>
  <c r="N311"/>
  <c r="O311"/>
  <c r="P311"/>
  <c r="Q311"/>
  <c r="R311"/>
  <c r="C312"/>
  <c r="D312"/>
  <c r="K312"/>
  <c r="L312"/>
  <c r="M312"/>
  <c r="N312"/>
  <c r="O312"/>
  <c r="P312"/>
  <c r="Q312"/>
  <c r="R312"/>
  <c r="C313"/>
  <c r="D313"/>
  <c r="K313"/>
  <c r="L313"/>
  <c r="M313"/>
  <c r="N313"/>
  <c r="O313"/>
  <c r="P313"/>
  <c r="Q313"/>
  <c r="R313"/>
  <c r="C314"/>
  <c r="D314"/>
  <c r="K314"/>
  <c r="L314"/>
  <c r="M314"/>
  <c r="N314"/>
  <c r="O314"/>
  <c r="P314"/>
  <c r="Q314"/>
  <c r="R314"/>
  <c r="C315"/>
  <c r="D315"/>
  <c r="K315"/>
  <c r="L315"/>
  <c r="M315"/>
  <c r="N315"/>
  <c r="O315"/>
  <c r="P315"/>
  <c r="Q315"/>
  <c r="R315"/>
  <c r="C316"/>
  <c r="D316"/>
  <c r="K316"/>
  <c r="L316"/>
  <c r="M316"/>
  <c r="N316"/>
  <c r="O316"/>
  <c r="P316"/>
  <c r="Q316"/>
  <c r="R316"/>
  <c r="C317"/>
  <c r="D317"/>
  <c r="K317"/>
  <c r="L317"/>
  <c r="M317"/>
  <c r="N317"/>
  <c r="O317"/>
  <c r="P317"/>
  <c r="Q317"/>
  <c r="R317"/>
  <c r="C318"/>
  <c r="D318"/>
  <c r="K318"/>
  <c r="L318"/>
  <c r="M318"/>
  <c r="N318"/>
  <c r="O318"/>
  <c r="P318"/>
  <c r="Q318"/>
  <c r="R318"/>
  <c r="C319"/>
  <c r="D319"/>
  <c r="K319"/>
  <c r="L319"/>
  <c r="M319"/>
  <c r="N319"/>
  <c r="O319"/>
  <c r="P319"/>
  <c r="Q319"/>
  <c r="R319"/>
  <c r="C320"/>
  <c r="D320"/>
  <c r="K320"/>
  <c r="L320"/>
  <c r="M320"/>
  <c r="N320"/>
  <c r="O320"/>
  <c r="P320"/>
  <c r="Q320"/>
  <c r="R320"/>
  <c r="C321"/>
  <c r="D321"/>
  <c r="K321"/>
  <c r="L321"/>
  <c r="M321"/>
  <c r="N321"/>
  <c r="O321"/>
  <c r="P321"/>
  <c r="Q321"/>
  <c r="R321"/>
  <c r="C322"/>
  <c r="D322"/>
  <c r="K322"/>
  <c r="L322"/>
  <c r="M322"/>
  <c r="N322"/>
  <c r="O322"/>
  <c r="P322"/>
  <c r="Q322"/>
  <c r="R322"/>
  <c r="C323"/>
  <c r="D323"/>
  <c r="K323"/>
  <c r="L323"/>
  <c r="M323"/>
  <c r="N323"/>
  <c r="O323"/>
  <c r="P323"/>
  <c r="Q323"/>
  <c r="R323"/>
  <c r="C324"/>
  <c r="D324"/>
  <c r="K324"/>
  <c r="L324"/>
  <c r="M324"/>
  <c r="N324"/>
  <c r="O324"/>
  <c r="P324"/>
  <c r="Q324"/>
  <c r="R324"/>
  <c r="C325"/>
  <c r="D325"/>
  <c r="K325"/>
  <c r="L325"/>
  <c r="M325"/>
  <c r="N325"/>
  <c r="O325"/>
  <c r="P325"/>
  <c r="Q325"/>
  <c r="R325"/>
  <c r="C326"/>
  <c r="D326"/>
  <c r="K326"/>
  <c r="L326"/>
  <c r="M326"/>
  <c r="N326"/>
  <c r="O326"/>
  <c r="P326"/>
  <c r="Q326"/>
  <c r="R326"/>
  <c r="C327"/>
  <c r="D327"/>
  <c r="K327"/>
  <c r="L327"/>
  <c r="M327"/>
  <c r="N327"/>
  <c r="O327"/>
  <c r="P327"/>
  <c r="Q327"/>
  <c r="R327"/>
  <c r="C328"/>
  <c r="D328"/>
  <c r="K328"/>
  <c r="L328"/>
  <c r="M328"/>
  <c r="N328"/>
  <c r="O328"/>
  <c r="P328"/>
  <c r="Q328"/>
  <c r="R328"/>
  <c r="C329"/>
  <c r="D329"/>
  <c r="K329"/>
  <c r="L329"/>
  <c r="M329"/>
  <c r="N329"/>
  <c r="O329"/>
  <c r="P329"/>
  <c r="Q329"/>
  <c r="R329"/>
  <c r="C330"/>
  <c r="D330"/>
  <c r="K330"/>
  <c r="L330"/>
  <c r="M330"/>
  <c r="N330"/>
  <c r="O330"/>
  <c r="P330"/>
  <c r="Q330"/>
  <c r="R330"/>
  <c r="C331"/>
  <c r="D331"/>
  <c r="K331"/>
  <c r="L331"/>
  <c r="M331"/>
  <c r="N331"/>
  <c r="O331"/>
  <c r="P331"/>
  <c r="Q331"/>
  <c r="R331"/>
  <c r="C332"/>
  <c r="D332"/>
  <c r="K332"/>
  <c r="L332"/>
  <c r="M332"/>
  <c r="N332"/>
  <c r="O332"/>
  <c r="P332"/>
  <c r="Q332"/>
  <c r="R332"/>
  <c r="C333"/>
  <c r="D333"/>
  <c r="K333"/>
  <c r="L333"/>
  <c r="M333"/>
  <c r="N333"/>
  <c r="O333"/>
  <c r="P333"/>
  <c r="Q333"/>
  <c r="R333"/>
  <c r="C334"/>
  <c r="D334"/>
  <c r="K334"/>
  <c r="L334"/>
  <c r="M334"/>
  <c r="N334"/>
  <c r="O334"/>
  <c r="P334"/>
  <c r="Q334"/>
  <c r="R334"/>
  <c r="C335"/>
  <c r="D335"/>
  <c r="K335"/>
  <c r="L335"/>
  <c r="M335"/>
  <c r="N335"/>
  <c r="O335"/>
  <c r="P335"/>
  <c r="Q335"/>
  <c r="R335"/>
  <c r="C336"/>
  <c r="D336"/>
  <c r="K336"/>
  <c r="L336"/>
  <c r="M336"/>
  <c r="N336"/>
  <c r="O336"/>
  <c r="P336"/>
  <c r="Q336"/>
  <c r="R336"/>
  <c r="C337"/>
  <c r="D337"/>
  <c r="K337"/>
  <c r="L337"/>
  <c r="M337"/>
  <c r="N337"/>
  <c r="O337"/>
  <c r="P337"/>
  <c r="Q337"/>
  <c r="R337"/>
  <c r="C338"/>
  <c r="D338"/>
  <c r="K338"/>
  <c r="L338"/>
  <c r="M338"/>
  <c r="N338"/>
  <c r="O338"/>
  <c r="P338"/>
  <c r="Q338"/>
  <c r="R338"/>
  <c r="C339"/>
  <c r="D339"/>
  <c r="K339"/>
  <c r="L339"/>
  <c r="M339"/>
  <c r="N339"/>
  <c r="O339"/>
  <c r="P339"/>
  <c r="Q339"/>
  <c r="R339"/>
  <c r="C340"/>
  <c r="D340"/>
  <c r="K340"/>
  <c r="L340"/>
  <c r="M340"/>
  <c r="N340"/>
  <c r="O340"/>
  <c r="P340"/>
  <c r="Q340"/>
  <c r="R340"/>
  <c r="C341"/>
  <c r="D341"/>
  <c r="K341"/>
  <c r="L341"/>
  <c r="M341"/>
  <c r="N341"/>
  <c r="O341"/>
  <c r="P341"/>
  <c r="Q341"/>
  <c r="R341"/>
  <c r="C342"/>
  <c r="D342"/>
  <c r="K342"/>
  <c r="L342"/>
  <c r="M342"/>
  <c r="N342"/>
  <c r="O342"/>
  <c r="P342"/>
  <c r="Q342"/>
  <c r="R342"/>
  <c r="C343"/>
  <c r="D343"/>
  <c r="K343"/>
  <c r="L343"/>
  <c r="M343"/>
  <c r="N343"/>
  <c r="O343"/>
  <c r="P343"/>
  <c r="Q343"/>
  <c r="R343"/>
  <c r="C344"/>
  <c r="D344"/>
  <c r="K344"/>
  <c r="L344"/>
  <c r="M344"/>
  <c r="N344"/>
  <c r="O344"/>
  <c r="P344"/>
  <c r="Q344"/>
  <c r="R344"/>
  <c r="C345"/>
  <c r="D345"/>
  <c r="K345"/>
  <c r="L345"/>
  <c r="M345"/>
  <c r="N345"/>
  <c r="O345"/>
  <c r="P345"/>
  <c r="Q345"/>
  <c r="R345"/>
  <c r="C346"/>
  <c r="D346"/>
  <c r="K346"/>
  <c r="L346"/>
  <c r="M346"/>
  <c r="N346"/>
  <c r="O346"/>
  <c r="P346"/>
  <c r="Q346"/>
  <c r="R346"/>
  <c r="C347"/>
  <c r="D347"/>
  <c r="K347"/>
  <c r="L347"/>
  <c r="M347"/>
  <c r="N347"/>
  <c r="O347"/>
  <c r="P347"/>
  <c r="Q347"/>
  <c r="R347"/>
  <c r="C348"/>
  <c r="D348"/>
  <c r="K348"/>
  <c r="L348"/>
  <c r="M348"/>
  <c r="N348"/>
  <c r="O348"/>
  <c r="P348"/>
  <c r="Q348"/>
  <c r="R348"/>
  <c r="C349"/>
  <c r="D349"/>
  <c r="K349"/>
  <c r="L349"/>
  <c r="M349"/>
  <c r="N349"/>
  <c r="O349"/>
  <c r="P349"/>
  <c r="Q349"/>
  <c r="R349"/>
  <c r="C350"/>
  <c r="D350"/>
  <c r="K350"/>
  <c r="L350"/>
  <c r="M350"/>
  <c r="N350"/>
  <c r="O350"/>
  <c r="P350"/>
  <c r="Q350"/>
  <c r="R350"/>
  <c r="C351"/>
  <c r="D351"/>
  <c r="K351"/>
  <c r="L351"/>
  <c r="M351"/>
  <c r="N351"/>
  <c r="O351"/>
  <c r="P351"/>
  <c r="Q351"/>
  <c r="R351"/>
  <c r="C352"/>
  <c r="D352"/>
  <c r="K352"/>
  <c r="L352"/>
  <c r="M352"/>
  <c r="N352"/>
  <c r="O352"/>
  <c r="P352"/>
  <c r="Q352"/>
  <c r="R352"/>
  <c r="C353"/>
  <c r="D353"/>
  <c r="K353"/>
  <c r="L353"/>
  <c r="M353"/>
  <c r="N353"/>
  <c r="O353"/>
  <c r="P353"/>
  <c r="Q353"/>
  <c r="R353"/>
  <c r="C354"/>
  <c r="D354"/>
  <c r="K354"/>
  <c r="L354"/>
  <c r="M354"/>
  <c r="N354"/>
  <c r="O354"/>
  <c r="P354"/>
  <c r="Q354"/>
  <c r="R354"/>
  <c r="C355"/>
  <c r="D355"/>
  <c r="K355"/>
  <c r="L355"/>
  <c r="M355"/>
  <c r="N355"/>
  <c r="O355"/>
  <c r="P355"/>
  <c r="Q355"/>
  <c r="R355"/>
  <c r="C356"/>
  <c r="D356"/>
  <c r="K356"/>
  <c r="L356"/>
  <c r="M356"/>
  <c r="N356"/>
  <c r="O356"/>
  <c r="P356"/>
  <c r="Q356"/>
  <c r="R356"/>
  <c r="C357"/>
  <c r="D357"/>
  <c r="K357"/>
  <c r="L357"/>
  <c r="M357"/>
  <c r="N357"/>
  <c r="O357"/>
  <c r="P357"/>
  <c r="Q357"/>
  <c r="R357"/>
  <c r="C358"/>
  <c r="D358"/>
  <c r="K358"/>
  <c r="L358"/>
  <c r="M358"/>
  <c r="N358"/>
  <c r="O358"/>
  <c r="P358"/>
  <c r="Q358"/>
  <c r="R358"/>
  <c r="C359"/>
  <c r="D359"/>
  <c r="K359"/>
  <c r="L359"/>
  <c r="M359"/>
  <c r="N359"/>
  <c r="O359"/>
  <c r="P359"/>
  <c r="Q359"/>
  <c r="R359"/>
  <c r="C360"/>
  <c r="D360"/>
  <c r="K360"/>
  <c r="L360"/>
  <c r="M360"/>
  <c r="N360"/>
  <c r="O360"/>
  <c r="P360"/>
  <c r="Q360"/>
  <c r="R360"/>
  <c r="C361"/>
  <c r="D361"/>
  <c r="K361"/>
  <c r="L361"/>
  <c r="M361"/>
  <c r="N361"/>
  <c r="O361"/>
  <c r="P361"/>
  <c r="Q361"/>
  <c r="R361"/>
  <c r="C362"/>
  <c r="D362"/>
  <c r="K362"/>
  <c r="L362"/>
  <c r="M362"/>
  <c r="N362"/>
  <c r="O362"/>
  <c r="P362"/>
  <c r="Q362"/>
  <c r="R362"/>
  <c r="C363"/>
  <c r="D363"/>
  <c r="K363"/>
  <c r="L363"/>
  <c r="M363"/>
  <c r="N363"/>
  <c r="O363"/>
  <c r="P363"/>
  <c r="Q363"/>
  <c r="R363"/>
  <c r="C364"/>
  <c r="D364"/>
  <c r="K364"/>
  <c r="L364"/>
  <c r="M364"/>
  <c r="N364"/>
  <c r="O364"/>
  <c r="P364"/>
  <c r="Q364"/>
  <c r="R364"/>
  <c r="C365"/>
  <c r="D365"/>
  <c r="K365"/>
  <c r="L365"/>
  <c r="M365"/>
  <c r="N365"/>
  <c r="O365"/>
  <c r="P365"/>
  <c r="Q365"/>
  <c r="R365"/>
  <c r="C366"/>
  <c r="D366"/>
  <c r="K366"/>
  <c r="L366"/>
  <c r="M366"/>
  <c r="N366"/>
  <c r="O366"/>
  <c r="P366"/>
  <c r="Q366"/>
  <c r="R366"/>
  <c r="C367"/>
  <c r="D367"/>
  <c r="K367"/>
  <c r="L367"/>
  <c r="M367"/>
  <c r="N367"/>
  <c r="O367"/>
  <c r="P367"/>
  <c r="Q367"/>
  <c r="R367"/>
  <c r="C368"/>
  <c r="D368"/>
  <c r="K368"/>
  <c r="L368"/>
  <c r="M368"/>
  <c r="N368"/>
  <c r="O368"/>
  <c r="P368"/>
  <c r="Q368"/>
  <c r="R368"/>
  <c r="C369"/>
  <c r="D369"/>
  <c r="K369"/>
  <c r="L369"/>
  <c r="M369"/>
  <c r="N369"/>
  <c r="O369"/>
  <c r="P369"/>
  <c r="Q369"/>
  <c r="R369"/>
  <c r="C370"/>
  <c r="D370"/>
  <c r="K370"/>
  <c r="L370"/>
  <c r="M370"/>
  <c r="N370"/>
  <c r="O370"/>
  <c r="P370"/>
  <c r="Q370"/>
  <c r="R370"/>
  <c r="C371"/>
  <c r="D371"/>
  <c r="K371"/>
  <c r="L371"/>
  <c r="M371"/>
  <c r="N371"/>
  <c r="O371"/>
  <c r="P371"/>
  <c r="Q371"/>
  <c r="R371"/>
  <c r="C372"/>
  <c r="D372"/>
  <c r="K372"/>
  <c r="L372"/>
  <c r="M372"/>
  <c r="N372"/>
  <c r="O372"/>
  <c r="P372"/>
  <c r="Q372"/>
  <c r="R372"/>
  <c r="C373"/>
  <c r="D373"/>
  <c r="K373"/>
  <c r="L373"/>
  <c r="M373"/>
  <c r="N373"/>
  <c r="O373"/>
  <c r="P373"/>
  <c r="Q373"/>
  <c r="R373"/>
  <c r="C374"/>
  <c r="D374"/>
  <c r="K374"/>
  <c r="L374"/>
  <c r="M374"/>
  <c r="N374"/>
  <c r="O374"/>
  <c r="P374"/>
  <c r="Q374"/>
  <c r="R374"/>
  <c r="C375"/>
  <c r="D375"/>
  <c r="K375"/>
  <c r="L375"/>
  <c r="M375"/>
  <c r="N375"/>
  <c r="O375"/>
  <c r="P375"/>
  <c r="Q375"/>
  <c r="R375"/>
  <c r="C376"/>
  <c r="D376"/>
  <c r="K376"/>
  <c r="L376"/>
  <c r="M376"/>
  <c r="N376"/>
  <c r="O376"/>
  <c r="P376"/>
  <c r="Q376"/>
  <c r="R376"/>
  <c r="C377"/>
  <c r="D377"/>
  <c r="K377"/>
  <c r="L377"/>
  <c r="M377"/>
  <c r="N377"/>
  <c r="O377"/>
  <c r="P377"/>
  <c r="Q377"/>
  <c r="R377"/>
  <c r="C378"/>
  <c r="D378"/>
  <c r="K378"/>
  <c r="L378"/>
  <c r="M378"/>
  <c r="N378"/>
  <c r="O378"/>
  <c r="P378"/>
  <c r="Q378"/>
  <c r="R378"/>
  <c r="C379"/>
  <c r="D379"/>
  <c r="K379"/>
  <c r="L379"/>
  <c r="M379"/>
  <c r="N379"/>
  <c r="O379"/>
  <c r="P379"/>
  <c r="Q379"/>
  <c r="R379"/>
  <c r="C380"/>
  <c r="D380"/>
  <c r="K380"/>
  <c r="L380"/>
  <c r="M380"/>
  <c r="N380"/>
  <c r="O380"/>
  <c r="P380"/>
  <c r="Q380"/>
  <c r="R380"/>
  <c r="C381"/>
  <c r="D381"/>
  <c r="K381"/>
  <c r="L381"/>
  <c r="M381"/>
  <c r="N381"/>
  <c r="O381"/>
  <c r="P381"/>
  <c r="Q381"/>
  <c r="R381"/>
  <c r="C382"/>
  <c r="D382"/>
  <c r="K382"/>
  <c r="L382"/>
  <c r="M382"/>
  <c r="N382"/>
  <c r="O382"/>
  <c r="P382"/>
  <c r="Q382"/>
  <c r="R382"/>
  <c r="C383"/>
  <c r="D383"/>
  <c r="K383"/>
  <c r="L383"/>
  <c r="M383"/>
  <c r="N383"/>
  <c r="O383"/>
  <c r="P383"/>
  <c r="Q383"/>
  <c r="R383"/>
  <c r="C384"/>
  <c r="D384"/>
  <c r="K384"/>
  <c r="L384"/>
  <c r="M384"/>
  <c r="N384"/>
  <c r="O384"/>
  <c r="P384"/>
  <c r="Q384"/>
  <c r="R384"/>
  <c r="C385"/>
  <c r="D385"/>
  <c r="K385"/>
  <c r="L385"/>
  <c r="M385"/>
  <c r="N385"/>
  <c r="O385"/>
  <c r="P385"/>
  <c r="Q385"/>
  <c r="R385"/>
  <c r="C386"/>
  <c r="D386"/>
  <c r="K386"/>
  <c r="L386"/>
  <c r="M386"/>
  <c r="N386"/>
  <c r="O386"/>
  <c r="P386"/>
  <c r="Q386"/>
  <c r="R386"/>
  <c r="C387"/>
  <c r="D387"/>
  <c r="K387"/>
  <c r="L387"/>
  <c r="M387"/>
  <c r="N387"/>
  <c r="O387"/>
  <c r="P387"/>
  <c r="Q387"/>
  <c r="R387"/>
  <c r="C388"/>
  <c r="D388"/>
  <c r="K388"/>
  <c r="L388"/>
  <c r="M388"/>
  <c r="N388"/>
  <c r="O388"/>
  <c r="P388"/>
  <c r="Q388"/>
  <c r="R388"/>
  <c r="C389"/>
  <c r="D389"/>
  <c r="K389"/>
  <c r="L389"/>
  <c r="M389"/>
  <c r="N389"/>
  <c r="O389"/>
  <c r="P389"/>
  <c r="Q389"/>
  <c r="R389"/>
  <c r="C390"/>
  <c r="D390"/>
  <c r="K390"/>
  <c r="L390"/>
  <c r="M390"/>
  <c r="N390"/>
  <c r="O390"/>
  <c r="P390"/>
  <c r="Q390"/>
  <c r="R390"/>
  <c r="C391"/>
  <c r="D391"/>
  <c r="K391"/>
  <c r="L391"/>
  <c r="M391"/>
  <c r="N391"/>
  <c r="O391"/>
  <c r="P391"/>
  <c r="Q391"/>
  <c r="R391"/>
  <c r="C392"/>
  <c r="D392"/>
  <c r="K392"/>
  <c r="L392"/>
  <c r="M392"/>
  <c r="N392"/>
  <c r="O392"/>
  <c r="P392"/>
  <c r="Q392"/>
  <c r="R392"/>
  <c r="C393"/>
  <c r="D393"/>
  <c r="K393"/>
  <c r="L393"/>
  <c r="M393"/>
  <c r="N393"/>
  <c r="O393"/>
  <c r="P393"/>
  <c r="Q393"/>
  <c r="R393"/>
  <c r="C394"/>
  <c r="D394"/>
  <c r="K394"/>
  <c r="L394"/>
  <c r="M394"/>
  <c r="N394"/>
  <c r="O394"/>
  <c r="P394"/>
  <c r="Q394"/>
  <c r="R394"/>
  <c r="C395"/>
  <c r="D395"/>
  <c r="K395"/>
  <c r="L395"/>
  <c r="M395"/>
  <c r="N395"/>
  <c r="O395"/>
  <c r="P395"/>
  <c r="Q395"/>
  <c r="R395"/>
  <c r="C396"/>
  <c r="D396"/>
  <c r="K396"/>
  <c r="L396"/>
  <c r="M396"/>
  <c r="N396"/>
  <c r="O396"/>
  <c r="P396"/>
  <c r="Q396"/>
  <c r="R396"/>
  <c r="C397"/>
  <c r="D397"/>
  <c r="K397"/>
  <c r="L397"/>
  <c r="M397"/>
  <c r="N397"/>
  <c r="O397"/>
  <c r="P397"/>
  <c r="Q397"/>
  <c r="R397"/>
  <c r="C398"/>
  <c r="D398"/>
  <c r="K398"/>
  <c r="L398"/>
  <c r="M398"/>
  <c r="N398"/>
  <c r="O398"/>
  <c r="P398"/>
  <c r="Q398"/>
  <c r="R398"/>
  <c r="C399"/>
  <c r="D399"/>
  <c r="K399"/>
  <c r="L399"/>
  <c r="M399"/>
  <c r="N399"/>
  <c r="O399"/>
  <c r="P399"/>
  <c r="Q399"/>
  <c r="R399"/>
  <c r="C400"/>
  <c r="D400"/>
  <c r="K400"/>
  <c r="L400"/>
  <c r="M400"/>
  <c r="N400"/>
  <c r="O400"/>
  <c r="P400"/>
  <c r="Q400"/>
  <c r="R400"/>
  <c r="C401"/>
  <c r="D401"/>
  <c r="K401"/>
  <c r="L401"/>
  <c r="M401"/>
  <c r="N401"/>
  <c r="O401"/>
  <c r="P401"/>
  <c r="Q401"/>
  <c r="R401"/>
  <c r="C402"/>
  <c r="D402"/>
  <c r="K402"/>
  <c r="L402"/>
  <c r="M402"/>
  <c r="N402"/>
  <c r="O402"/>
  <c r="P402"/>
  <c r="Q402"/>
  <c r="R402"/>
  <c r="C403"/>
  <c r="D403"/>
  <c r="K403"/>
  <c r="L403"/>
  <c r="M403"/>
  <c r="N403"/>
  <c r="O403"/>
  <c r="P403"/>
  <c r="Q403"/>
  <c r="R403"/>
  <c r="C404"/>
  <c r="D404"/>
  <c r="K404"/>
  <c r="L404"/>
  <c r="M404"/>
  <c r="N404"/>
  <c r="O404"/>
  <c r="P404"/>
  <c r="Q404"/>
  <c r="R404"/>
  <c r="C405"/>
  <c r="D405"/>
  <c r="K405"/>
  <c r="L405"/>
  <c r="M405"/>
  <c r="N405"/>
  <c r="O405"/>
  <c r="P405"/>
  <c r="Q405"/>
  <c r="R405"/>
  <c r="C406"/>
  <c r="D406"/>
  <c r="K406"/>
  <c r="L406"/>
  <c r="M406"/>
  <c r="N406"/>
  <c r="O406"/>
  <c r="P406"/>
  <c r="Q406"/>
  <c r="R406"/>
  <c r="C407"/>
  <c r="D407"/>
  <c r="K407"/>
  <c r="L407"/>
  <c r="M407"/>
  <c r="N407"/>
  <c r="O407"/>
  <c r="P407"/>
  <c r="Q407"/>
  <c r="R407"/>
  <c r="C408"/>
  <c r="D408"/>
  <c r="K408"/>
  <c r="L408"/>
  <c r="M408"/>
  <c r="N408"/>
  <c r="O408"/>
  <c r="P408"/>
  <c r="Q408"/>
  <c r="R408"/>
  <c r="C409"/>
  <c r="D409"/>
  <c r="K409"/>
  <c r="L409"/>
  <c r="M409"/>
  <c r="N409"/>
  <c r="O409"/>
  <c r="P409"/>
  <c r="Q409"/>
  <c r="R409"/>
  <c r="C410"/>
  <c r="D410"/>
  <c r="K410"/>
  <c r="L410"/>
  <c r="M410"/>
  <c r="N410"/>
  <c r="O410"/>
  <c r="P410"/>
  <c r="Q410"/>
  <c r="R410"/>
  <c r="C411"/>
  <c r="D411"/>
  <c r="K411"/>
  <c r="L411"/>
  <c r="M411"/>
  <c r="N411"/>
  <c r="O411"/>
  <c r="P411"/>
  <c r="Q411"/>
  <c r="R411"/>
  <c r="C412"/>
  <c r="D412"/>
  <c r="K412"/>
  <c r="L412"/>
  <c r="M412"/>
  <c r="N412"/>
  <c r="O412"/>
  <c r="P412"/>
  <c r="Q412"/>
  <c r="R412"/>
  <c r="C413"/>
  <c r="D413"/>
  <c r="K413"/>
  <c r="L413"/>
  <c r="M413"/>
  <c r="N413"/>
  <c r="O413"/>
  <c r="P413"/>
  <c r="Q413"/>
  <c r="R413"/>
  <c r="C414"/>
  <c r="D414"/>
  <c r="K414"/>
  <c r="L414"/>
  <c r="M414"/>
  <c r="N414"/>
  <c r="O414"/>
  <c r="P414"/>
  <c r="Q414"/>
  <c r="R414"/>
  <c r="C415"/>
  <c r="D415"/>
  <c r="K415"/>
  <c r="L415"/>
  <c r="M415"/>
  <c r="N415"/>
  <c r="O415"/>
  <c r="P415"/>
  <c r="Q415"/>
  <c r="R415"/>
  <c r="C416"/>
  <c r="D416"/>
  <c r="K416"/>
  <c r="L416"/>
  <c r="M416"/>
  <c r="N416"/>
  <c r="O416"/>
  <c r="P416"/>
  <c r="Q416"/>
  <c r="R416"/>
  <c r="C417"/>
  <c r="D417"/>
  <c r="K417"/>
  <c r="L417"/>
  <c r="M417"/>
  <c r="N417"/>
  <c r="O417"/>
  <c r="P417"/>
  <c r="Q417"/>
  <c r="R417"/>
  <c r="C418"/>
  <c r="D418"/>
  <c r="K418"/>
  <c r="L418"/>
  <c r="M418"/>
  <c r="N418"/>
  <c r="O418"/>
  <c r="P418"/>
  <c r="Q418"/>
  <c r="R418"/>
  <c r="C419"/>
  <c r="D419"/>
  <c r="K419"/>
  <c r="L419"/>
  <c r="M419"/>
  <c r="N419"/>
  <c r="O419"/>
  <c r="P419"/>
  <c r="Q419"/>
  <c r="R419"/>
  <c r="C420"/>
  <c r="D420"/>
  <c r="K420"/>
  <c r="L420"/>
  <c r="M420"/>
  <c r="N420"/>
  <c r="O420"/>
  <c r="P420"/>
  <c r="Q420"/>
  <c r="R420"/>
  <c r="C421"/>
  <c r="D421"/>
  <c r="K421"/>
  <c r="L421"/>
  <c r="M421"/>
  <c r="N421"/>
  <c r="O421"/>
  <c r="P421"/>
  <c r="Q421"/>
  <c r="R421"/>
  <c r="C422"/>
  <c r="D422"/>
  <c r="K422"/>
  <c r="L422"/>
  <c r="M422"/>
  <c r="N422"/>
  <c r="O422"/>
  <c r="P422"/>
  <c r="Q422"/>
  <c r="R422"/>
  <c r="C423"/>
  <c r="D423"/>
  <c r="K423"/>
  <c r="L423"/>
  <c r="M423"/>
  <c r="N423"/>
  <c r="O423"/>
  <c r="P423"/>
  <c r="Q423"/>
  <c r="R423"/>
  <c r="C424"/>
  <c r="D424"/>
  <c r="K424"/>
  <c r="L424"/>
  <c r="M424"/>
  <c r="N424"/>
  <c r="O424"/>
  <c r="P424"/>
  <c r="Q424"/>
  <c r="R424"/>
  <c r="C425"/>
  <c r="D425"/>
  <c r="K425"/>
  <c r="L425"/>
  <c r="M425"/>
  <c r="N425"/>
  <c r="O425"/>
  <c r="P425"/>
  <c r="Q425"/>
  <c r="R425"/>
  <c r="C426"/>
  <c r="D426"/>
  <c r="K426"/>
  <c r="L426"/>
  <c r="M426"/>
  <c r="N426"/>
  <c r="O426"/>
  <c r="P426"/>
  <c r="Q426"/>
  <c r="R426"/>
  <c r="C427"/>
  <c r="D427"/>
  <c r="K427"/>
  <c r="L427"/>
  <c r="M427"/>
  <c r="N427"/>
  <c r="O427"/>
  <c r="P427"/>
  <c r="Q427"/>
  <c r="R427"/>
  <c r="C428"/>
  <c r="D428"/>
  <c r="K428"/>
  <c r="L428"/>
  <c r="M428"/>
  <c r="N428"/>
  <c r="O428"/>
  <c r="P428"/>
  <c r="Q428"/>
  <c r="R428"/>
  <c r="C429"/>
  <c r="D429"/>
  <c r="K429"/>
  <c r="L429"/>
  <c r="M429"/>
  <c r="N429"/>
  <c r="O429"/>
  <c r="P429"/>
  <c r="Q429"/>
  <c r="R429"/>
  <c r="C430"/>
  <c r="D430"/>
  <c r="K430"/>
  <c r="L430"/>
  <c r="M430"/>
  <c r="N430"/>
  <c r="O430"/>
  <c r="P430"/>
  <c r="Q430"/>
  <c r="R430"/>
  <c r="C431"/>
  <c r="D431"/>
  <c r="K431"/>
  <c r="L431"/>
  <c r="M431"/>
  <c r="N431"/>
  <c r="O431"/>
  <c r="P431"/>
  <c r="Q431"/>
  <c r="R431"/>
  <c r="C432"/>
  <c r="D432"/>
  <c r="K432"/>
  <c r="L432"/>
  <c r="M432"/>
  <c r="N432"/>
  <c r="O432"/>
  <c r="P432"/>
  <c r="Q432"/>
  <c r="R432"/>
  <c r="C433"/>
  <c r="D433"/>
  <c r="K433"/>
  <c r="L433"/>
  <c r="M433"/>
  <c r="N433"/>
  <c r="O433"/>
  <c r="P433"/>
  <c r="Q433"/>
  <c r="R433"/>
  <c r="C434"/>
  <c r="D434"/>
  <c r="K434"/>
  <c r="L434"/>
  <c r="M434"/>
  <c r="N434"/>
  <c r="O434"/>
  <c r="P434"/>
  <c r="Q434"/>
  <c r="R434"/>
  <c r="C435"/>
  <c r="D435"/>
  <c r="K435"/>
  <c r="L435"/>
  <c r="M435"/>
  <c r="N435"/>
  <c r="O435"/>
  <c r="P435"/>
  <c r="Q435"/>
  <c r="R435"/>
  <c r="C436"/>
  <c r="D436"/>
  <c r="K436"/>
  <c r="L436"/>
  <c r="M436"/>
  <c r="N436"/>
  <c r="O436"/>
  <c r="P436"/>
  <c r="Q436"/>
  <c r="R436"/>
  <c r="C437"/>
  <c r="D437"/>
  <c r="K437"/>
  <c r="L437"/>
  <c r="M437"/>
  <c r="N437"/>
  <c r="O437"/>
  <c r="P437"/>
  <c r="Q437"/>
  <c r="R437"/>
  <c r="C438"/>
  <c r="D438"/>
  <c r="K438"/>
  <c r="L438"/>
  <c r="M438"/>
  <c r="N438"/>
  <c r="O438"/>
  <c r="P438"/>
  <c r="Q438"/>
  <c r="R438"/>
  <c r="C439"/>
  <c r="D439"/>
  <c r="K439"/>
  <c r="L439"/>
  <c r="M439"/>
  <c r="N439"/>
  <c r="O439"/>
  <c r="P439"/>
  <c r="Q439"/>
  <c r="R439"/>
  <c r="C440"/>
  <c r="D440"/>
  <c r="K440"/>
  <c r="L440"/>
  <c r="M440"/>
  <c r="N440"/>
  <c r="O440"/>
  <c r="P440"/>
  <c r="Q440"/>
  <c r="R440"/>
  <c r="C441"/>
  <c r="D441"/>
  <c r="K441"/>
  <c r="L441"/>
  <c r="M441"/>
  <c r="N441"/>
  <c r="O441"/>
  <c r="P441"/>
  <c r="Q441"/>
  <c r="R441"/>
  <c r="C442"/>
  <c r="D442"/>
  <c r="K442"/>
  <c r="L442"/>
  <c r="M442"/>
  <c r="N442"/>
  <c r="O442"/>
  <c r="P442"/>
  <c r="Q442"/>
  <c r="R442"/>
  <c r="C443"/>
  <c r="D443"/>
  <c r="K443"/>
  <c r="L443"/>
  <c r="M443"/>
  <c r="N443"/>
  <c r="O443"/>
  <c r="P443"/>
  <c r="Q443"/>
  <c r="R443"/>
  <c r="C444"/>
  <c r="D444"/>
  <c r="K444"/>
  <c r="L444"/>
  <c r="M444"/>
  <c r="N444"/>
  <c r="O444"/>
  <c r="P444"/>
  <c r="Q444"/>
  <c r="R444"/>
  <c r="C445"/>
  <c r="D445"/>
  <c r="K445"/>
  <c r="L445"/>
  <c r="M445"/>
  <c r="N445"/>
  <c r="O445"/>
  <c r="P445"/>
  <c r="Q445"/>
  <c r="R445"/>
  <c r="C446"/>
  <c r="D446"/>
  <c r="K446"/>
  <c r="L446"/>
  <c r="M446"/>
  <c r="N446"/>
  <c r="O446"/>
  <c r="P446"/>
  <c r="Q446"/>
  <c r="R446"/>
  <c r="C447"/>
  <c r="D447"/>
  <c r="K447"/>
  <c r="L447"/>
  <c r="M447"/>
  <c r="N447"/>
  <c r="O447"/>
  <c r="P447"/>
  <c r="Q447"/>
  <c r="R447"/>
  <c r="C448"/>
  <c r="D448"/>
  <c r="K448"/>
  <c r="L448"/>
  <c r="M448"/>
  <c r="N448"/>
  <c r="O448"/>
  <c r="P448"/>
  <c r="Q448"/>
  <c r="R448"/>
  <c r="C449"/>
  <c r="D449"/>
  <c r="K449"/>
  <c r="L449"/>
  <c r="M449"/>
  <c r="N449"/>
  <c r="O449"/>
  <c r="P449"/>
  <c r="Q449"/>
  <c r="R449"/>
  <c r="C450"/>
  <c r="D450"/>
  <c r="K450"/>
  <c r="L450"/>
  <c r="M450"/>
  <c r="N450"/>
  <c r="O450"/>
  <c r="P450"/>
  <c r="Q450"/>
  <c r="R450"/>
  <c r="C451"/>
  <c r="D451"/>
  <c r="K451"/>
  <c r="L451"/>
  <c r="M451"/>
  <c r="N451"/>
  <c r="O451"/>
  <c r="P451"/>
  <c r="Q451"/>
  <c r="R451"/>
  <c r="C452"/>
  <c r="D452"/>
  <c r="K452"/>
  <c r="L452"/>
  <c r="M452"/>
  <c r="N452"/>
  <c r="O452"/>
  <c r="P452"/>
  <c r="Q452"/>
  <c r="R452"/>
  <c r="C453"/>
  <c r="D453"/>
  <c r="K453"/>
  <c r="L453"/>
  <c r="M453"/>
  <c r="N453"/>
  <c r="O453"/>
  <c r="P453"/>
  <c r="Q453"/>
  <c r="R453"/>
  <c r="C454"/>
  <c r="D454"/>
  <c r="K454"/>
  <c r="L454"/>
  <c r="M454"/>
  <c r="N454"/>
  <c r="O454"/>
  <c r="P454"/>
  <c r="Q454"/>
  <c r="R454"/>
  <c r="C455"/>
  <c r="D455"/>
  <c r="K455"/>
  <c r="L455"/>
  <c r="M455"/>
  <c r="N455"/>
  <c r="O455"/>
  <c r="P455"/>
  <c r="Q455"/>
  <c r="R455"/>
  <c r="C456"/>
  <c r="D456"/>
  <c r="K456"/>
  <c r="L456"/>
  <c r="M456"/>
  <c r="N456"/>
  <c r="O456"/>
  <c r="P456"/>
  <c r="Q456"/>
  <c r="R456"/>
  <c r="C457"/>
  <c r="D457"/>
  <c r="K457"/>
  <c r="L457"/>
  <c r="M457"/>
  <c r="N457"/>
  <c r="O457"/>
  <c r="P457"/>
  <c r="Q457"/>
  <c r="R457"/>
  <c r="C458"/>
  <c r="D458"/>
  <c r="K458"/>
  <c r="L458"/>
  <c r="M458"/>
  <c r="N458"/>
  <c r="O458"/>
  <c r="P458"/>
  <c r="Q458"/>
  <c r="R458"/>
  <c r="C459"/>
  <c r="D459"/>
  <c r="K459"/>
  <c r="L459"/>
  <c r="M459"/>
  <c r="N459"/>
  <c r="O459"/>
  <c r="P459"/>
  <c r="Q459"/>
  <c r="R459"/>
  <c r="C460"/>
  <c r="D460"/>
  <c r="K460"/>
  <c r="L460"/>
  <c r="M460"/>
  <c r="N460"/>
  <c r="O460"/>
  <c r="P460"/>
  <c r="Q460"/>
  <c r="R460"/>
  <c r="C461"/>
  <c r="D461"/>
  <c r="K461"/>
  <c r="L461"/>
  <c r="M461"/>
  <c r="N461"/>
  <c r="O461"/>
  <c r="P461"/>
  <c r="Q461"/>
  <c r="R461"/>
  <c r="C462"/>
  <c r="D462"/>
  <c r="K462"/>
  <c r="L462"/>
  <c r="M462"/>
  <c r="N462"/>
  <c r="O462"/>
  <c r="P462"/>
  <c r="Q462"/>
  <c r="R462"/>
  <c r="C193"/>
  <c r="D193"/>
  <c r="K193"/>
  <c r="L193"/>
  <c r="M193"/>
  <c r="N193"/>
  <c r="O193"/>
  <c r="P193"/>
  <c r="Q193"/>
  <c r="R193"/>
  <c r="C59"/>
  <c r="D59"/>
  <c r="K59"/>
  <c r="L59"/>
  <c r="M59"/>
  <c r="N59"/>
  <c r="O59"/>
  <c r="P59"/>
  <c r="Q59"/>
  <c r="R59"/>
  <c r="C60"/>
  <c r="D60"/>
  <c r="K60"/>
  <c r="L60"/>
  <c r="M60"/>
  <c r="N60"/>
  <c r="O60"/>
  <c r="P60"/>
  <c r="Q60"/>
  <c r="R60"/>
  <c r="C61"/>
  <c r="D61"/>
  <c r="K61"/>
  <c r="L61"/>
  <c r="M61"/>
  <c r="N61"/>
  <c r="O61"/>
  <c r="P61"/>
  <c r="Q61"/>
  <c r="R61"/>
  <c r="C62"/>
  <c r="D62"/>
  <c r="K62"/>
  <c r="L62"/>
  <c r="M62"/>
  <c r="N62"/>
  <c r="O62"/>
  <c r="P62"/>
  <c r="Q62"/>
  <c r="R62"/>
  <c r="C63"/>
  <c r="D63"/>
  <c r="K63"/>
  <c r="L63"/>
  <c r="M63"/>
  <c r="N63"/>
  <c r="O63"/>
  <c r="P63"/>
  <c r="Q63"/>
  <c r="R63"/>
  <c r="C64"/>
  <c r="D64"/>
  <c r="K64"/>
  <c r="L64"/>
  <c r="M64"/>
  <c r="N64"/>
  <c r="O64"/>
  <c r="P64"/>
  <c r="Q64"/>
  <c r="R64"/>
  <c r="C65"/>
  <c r="D65"/>
  <c r="K65"/>
  <c r="L65"/>
  <c r="M65"/>
  <c r="N65"/>
  <c r="O65"/>
  <c r="P65"/>
  <c r="Q65"/>
  <c r="R65"/>
  <c r="C66"/>
  <c r="D66"/>
  <c r="K66"/>
  <c r="L66"/>
  <c r="M66"/>
  <c r="N66"/>
  <c r="O66"/>
  <c r="P66"/>
  <c r="Q66"/>
  <c r="R66"/>
  <c r="C67"/>
  <c r="D67"/>
  <c r="K67"/>
  <c r="L67"/>
  <c r="M67"/>
  <c r="N67"/>
  <c r="O67"/>
  <c r="P67"/>
  <c r="Q67"/>
  <c r="R67"/>
  <c r="C68"/>
  <c r="D68"/>
  <c r="K68"/>
  <c r="L68"/>
  <c r="M68"/>
  <c r="N68"/>
  <c r="O68"/>
  <c r="P68"/>
  <c r="Q68"/>
  <c r="R68"/>
  <c r="C69"/>
  <c r="D69"/>
  <c r="K69"/>
  <c r="L69"/>
  <c r="M69"/>
  <c r="N69"/>
  <c r="O69"/>
  <c r="P69"/>
  <c r="Q69"/>
  <c r="R69"/>
  <c r="C70"/>
  <c r="D70"/>
  <c r="K70"/>
  <c r="L70"/>
  <c r="M70"/>
  <c r="N70"/>
  <c r="O70"/>
  <c r="P70"/>
  <c r="Q70"/>
  <c r="R70"/>
  <c r="C71"/>
  <c r="D71"/>
  <c r="K71"/>
  <c r="L71"/>
  <c r="M71"/>
  <c r="N71"/>
  <c r="O71"/>
  <c r="P71"/>
  <c r="Q71"/>
  <c r="R71"/>
  <c r="C72"/>
  <c r="D72"/>
  <c r="K72"/>
  <c r="L72"/>
  <c r="M72"/>
  <c r="N72"/>
  <c r="O72"/>
  <c r="P72"/>
  <c r="Q72"/>
  <c r="R72"/>
  <c r="C73"/>
  <c r="D73"/>
  <c r="K73"/>
  <c r="L73"/>
  <c r="M73"/>
  <c r="N73"/>
  <c r="O73"/>
  <c r="P73"/>
  <c r="Q73"/>
  <c r="R73"/>
  <c r="C74"/>
  <c r="D74"/>
  <c r="K74"/>
  <c r="L74"/>
  <c r="M74"/>
  <c r="N74"/>
  <c r="O74"/>
  <c r="P74"/>
  <c r="Q74"/>
  <c r="R74"/>
  <c r="C75"/>
  <c r="D75"/>
  <c r="K75"/>
  <c r="L75"/>
  <c r="M75"/>
  <c r="N75"/>
  <c r="O75"/>
  <c r="P75"/>
  <c r="Q75"/>
  <c r="R75"/>
  <c r="C76"/>
  <c r="D76"/>
  <c r="K76"/>
  <c r="L76"/>
  <c r="M76"/>
  <c r="N76"/>
  <c r="O76"/>
  <c r="P76"/>
  <c r="Q76"/>
  <c r="R76"/>
  <c r="C77"/>
  <c r="D77"/>
  <c r="K77"/>
  <c r="L77"/>
  <c r="M77"/>
  <c r="N77"/>
  <c r="O77"/>
  <c r="P77"/>
  <c r="Q77"/>
  <c r="R77"/>
  <c r="C78"/>
  <c r="D78"/>
  <c r="K78"/>
  <c r="L78"/>
  <c r="M78"/>
  <c r="N78"/>
  <c r="O78"/>
  <c r="P78"/>
  <c r="Q78"/>
  <c r="R78"/>
  <c r="C79"/>
  <c r="D79"/>
  <c r="K79"/>
  <c r="L79"/>
  <c r="M79"/>
  <c r="N79"/>
  <c r="O79"/>
  <c r="P79"/>
  <c r="Q79"/>
  <c r="R79"/>
  <c r="C80"/>
  <c r="D80"/>
  <c r="K80"/>
  <c r="L80"/>
  <c r="M80"/>
  <c r="N80"/>
  <c r="O80"/>
  <c r="P80"/>
  <c r="Q80"/>
  <c r="R80"/>
  <c r="C81"/>
  <c r="D81"/>
  <c r="K81"/>
  <c r="L81"/>
  <c r="M81"/>
  <c r="N81"/>
  <c r="O81"/>
  <c r="P81"/>
  <c r="Q81"/>
  <c r="R81"/>
  <c r="C82"/>
  <c r="D82"/>
  <c r="K82"/>
  <c r="L82"/>
  <c r="M82"/>
  <c r="N82"/>
  <c r="O82"/>
  <c r="P82"/>
  <c r="Q82"/>
  <c r="R82"/>
  <c r="C83"/>
  <c r="D83"/>
  <c r="K83"/>
  <c r="L83"/>
  <c r="M83"/>
  <c r="N83"/>
  <c r="O83"/>
  <c r="P83"/>
  <c r="Q83"/>
  <c r="R83"/>
  <c r="C84"/>
  <c r="D84"/>
  <c r="K84"/>
  <c r="L84"/>
  <c r="M84"/>
  <c r="N84"/>
  <c r="O84"/>
  <c r="P84"/>
  <c r="Q84"/>
  <c r="R84"/>
  <c r="C85"/>
  <c r="D85"/>
  <c r="K85"/>
  <c r="L85"/>
  <c r="M85"/>
  <c r="N85"/>
  <c r="O85"/>
  <c r="P85"/>
  <c r="Q85"/>
  <c r="R85"/>
  <c r="C86"/>
  <c r="D86"/>
  <c r="K86"/>
  <c r="L86"/>
  <c r="M86"/>
  <c r="N86"/>
  <c r="O86"/>
  <c r="P86"/>
  <c r="Q86"/>
  <c r="R86"/>
  <c r="C87"/>
  <c r="D87"/>
  <c r="K87"/>
  <c r="L87"/>
  <c r="M87"/>
  <c r="N87"/>
  <c r="O87"/>
  <c r="P87"/>
  <c r="Q87"/>
  <c r="R87"/>
  <c r="C88"/>
  <c r="D88"/>
  <c r="K88"/>
  <c r="L88"/>
  <c r="M88"/>
  <c r="N88"/>
  <c r="O88"/>
  <c r="P88"/>
  <c r="Q88"/>
  <c r="R88"/>
  <c r="C89"/>
  <c r="D89"/>
  <c r="K89"/>
  <c r="L89"/>
  <c r="M89"/>
  <c r="N89"/>
  <c r="O89"/>
  <c r="P89"/>
  <c r="Q89"/>
  <c r="R89"/>
  <c r="C90"/>
  <c r="D90"/>
  <c r="K90"/>
  <c r="L90"/>
  <c r="M90"/>
  <c r="N90"/>
  <c r="O90"/>
  <c r="P90"/>
  <c r="Q90"/>
  <c r="R90"/>
  <c r="C91"/>
  <c r="D91"/>
  <c r="K91"/>
  <c r="L91"/>
  <c r="M91"/>
  <c r="N91"/>
  <c r="O91"/>
  <c r="P91"/>
  <c r="Q91"/>
  <c r="R91"/>
  <c r="C92"/>
  <c r="D92"/>
  <c r="K92"/>
  <c r="L92"/>
  <c r="M92"/>
  <c r="N92"/>
  <c r="O92"/>
  <c r="P92"/>
  <c r="Q92"/>
  <c r="R92"/>
  <c r="C93"/>
  <c r="D93"/>
  <c r="K93"/>
  <c r="L93"/>
  <c r="M93"/>
  <c r="N93"/>
  <c r="O93"/>
  <c r="P93"/>
  <c r="Q93"/>
  <c r="R93"/>
  <c r="C94"/>
  <c r="D94"/>
  <c r="K94"/>
  <c r="L94"/>
  <c r="M94"/>
  <c r="N94"/>
  <c r="O94"/>
  <c r="P94"/>
  <c r="Q94"/>
  <c r="R94"/>
  <c r="C95"/>
  <c r="D95"/>
  <c r="K95"/>
  <c r="L95"/>
  <c r="M95"/>
  <c r="N95"/>
  <c r="O95"/>
  <c r="P95"/>
  <c r="Q95"/>
  <c r="R95"/>
  <c r="C96"/>
  <c r="D96"/>
  <c r="K96"/>
  <c r="L96"/>
  <c r="M96"/>
  <c r="N96"/>
  <c r="O96"/>
  <c r="P96"/>
  <c r="Q96"/>
  <c r="R96"/>
  <c r="C97"/>
  <c r="D97"/>
  <c r="K97"/>
  <c r="L97"/>
  <c r="M97"/>
  <c r="N97"/>
  <c r="O97"/>
  <c r="P97"/>
  <c r="Q97"/>
  <c r="R97"/>
  <c r="C98"/>
  <c r="D98"/>
  <c r="K98"/>
  <c r="L98"/>
  <c r="M98"/>
  <c r="N98"/>
  <c r="O98"/>
  <c r="P98"/>
  <c r="Q98"/>
  <c r="R98"/>
  <c r="C99"/>
  <c r="D99"/>
  <c r="K99"/>
  <c r="L99"/>
  <c r="M99"/>
  <c r="N99"/>
  <c r="O99"/>
  <c r="P99"/>
  <c r="Q99"/>
  <c r="R99"/>
  <c r="C100"/>
  <c r="D100"/>
  <c r="K100"/>
  <c r="L100"/>
  <c r="M100"/>
  <c r="N100"/>
  <c r="O100"/>
  <c r="P100"/>
  <c r="Q100"/>
  <c r="R100"/>
  <c r="C101"/>
  <c r="D101"/>
  <c r="K101"/>
  <c r="L101"/>
  <c r="M101"/>
  <c r="N101"/>
  <c r="O101"/>
  <c r="P101"/>
  <c r="Q101"/>
  <c r="R101"/>
  <c r="C102"/>
  <c r="D102"/>
  <c r="K102"/>
  <c r="L102"/>
  <c r="M102"/>
  <c r="N102"/>
  <c r="O102"/>
  <c r="P102"/>
  <c r="Q102"/>
  <c r="R102"/>
  <c r="C103"/>
  <c r="D103"/>
  <c r="K103"/>
  <c r="L103"/>
  <c r="M103"/>
  <c r="N103"/>
  <c r="O103"/>
  <c r="P103"/>
  <c r="Q103"/>
  <c r="R103"/>
  <c r="C104"/>
  <c r="D104"/>
  <c r="K104"/>
  <c r="L104"/>
  <c r="M104"/>
  <c r="N104"/>
  <c r="O104"/>
  <c r="P104"/>
  <c r="Q104"/>
  <c r="R104"/>
  <c r="C105"/>
  <c r="D105"/>
  <c r="K105"/>
  <c r="L105"/>
  <c r="M105"/>
  <c r="N105"/>
  <c r="O105"/>
  <c r="P105"/>
  <c r="Q105"/>
  <c r="R105"/>
  <c r="C106"/>
  <c r="D106"/>
  <c r="K106"/>
  <c r="L106"/>
  <c r="M106"/>
  <c r="N106"/>
  <c r="O106"/>
  <c r="P106"/>
  <c r="Q106"/>
  <c r="R106"/>
  <c r="C107"/>
  <c r="D107"/>
  <c r="K107"/>
  <c r="L107"/>
  <c r="M107"/>
  <c r="N107"/>
  <c r="O107"/>
  <c r="P107"/>
  <c r="Q107"/>
  <c r="R107"/>
  <c r="C108"/>
  <c r="D108"/>
  <c r="K108"/>
  <c r="L108"/>
  <c r="M108"/>
  <c r="N108"/>
  <c r="O108"/>
  <c r="P108"/>
  <c r="Q108"/>
  <c r="R108"/>
  <c r="C109"/>
  <c r="D109"/>
  <c r="K109"/>
  <c r="L109"/>
  <c r="M109"/>
  <c r="N109"/>
  <c r="O109"/>
  <c r="P109"/>
  <c r="Q109"/>
  <c r="R109"/>
  <c r="C110"/>
  <c r="D110"/>
  <c r="K110"/>
  <c r="L110"/>
  <c r="M110"/>
  <c r="N110"/>
  <c r="O110"/>
  <c r="P110"/>
  <c r="Q110"/>
  <c r="R110"/>
  <c r="C111"/>
  <c r="D111"/>
  <c r="K111"/>
  <c r="L111"/>
  <c r="M111"/>
  <c r="N111"/>
  <c r="O111"/>
  <c r="P111"/>
  <c r="Q111"/>
  <c r="R111"/>
  <c r="C112"/>
  <c r="D112"/>
  <c r="K112"/>
  <c r="L112"/>
  <c r="M112"/>
  <c r="N112"/>
  <c r="O112"/>
  <c r="P112"/>
  <c r="Q112"/>
  <c r="R112"/>
  <c r="C113"/>
  <c r="D113"/>
  <c r="K113"/>
  <c r="L113"/>
  <c r="M113"/>
  <c r="N113"/>
  <c r="O113"/>
  <c r="P113"/>
  <c r="Q113"/>
  <c r="R113"/>
  <c r="C114"/>
  <c r="D114"/>
  <c r="K114"/>
  <c r="L114"/>
  <c r="M114"/>
  <c r="N114"/>
  <c r="O114"/>
  <c r="P114"/>
  <c r="Q114"/>
  <c r="R114"/>
  <c r="C115"/>
  <c r="D115"/>
  <c r="K115"/>
  <c r="L115"/>
  <c r="M115"/>
  <c r="N115"/>
  <c r="O115"/>
  <c r="P115"/>
  <c r="Q115"/>
  <c r="R115"/>
  <c r="C116"/>
  <c r="D116"/>
  <c r="K116"/>
  <c r="L116"/>
  <c r="M116"/>
  <c r="N116"/>
  <c r="O116"/>
  <c r="P116"/>
  <c r="Q116"/>
  <c r="R116"/>
  <c r="C117"/>
  <c r="D117"/>
  <c r="K117"/>
  <c r="L117"/>
  <c r="M117"/>
  <c r="N117"/>
  <c r="O117"/>
  <c r="P117"/>
  <c r="Q117"/>
  <c r="R117"/>
  <c r="C118"/>
  <c r="D118"/>
  <c r="K118"/>
  <c r="L118"/>
  <c r="M118"/>
  <c r="N118"/>
  <c r="O118"/>
  <c r="P118"/>
  <c r="Q118"/>
  <c r="R118"/>
  <c r="C119"/>
  <c r="D119"/>
  <c r="K119"/>
  <c r="L119"/>
  <c r="M119"/>
  <c r="N119"/>
  <c r="O119"/>
  <c r="P119"/>
  <c r="Q119"/>
  <c r="R119"/>
  <c r="C120"/>
  <c r="D120"/>
  <c r="K120"/>
  <c r="L120"/>
  <c r="M120"/>
  <c r="N120"/>
  <c r="O120"/>
  <c r="P120"/>
  <c r="Q120"/>
  <c r="R120"/>
  <c r="C121"/>
  <c r="D121"/>
  <c r="K121"/>
  <c r="L121"/>
  <c r="M121"/>
  <c r="N121"/>
  <c r="O121"/>
  <c r="P121"/>
  <c r="Q121"/>
  <c r="R121"/>
  <c r="C122"/>
  <c r="D122"/>
  <c r="K122"/>
  <c r="L122"/>
  <c r="M122"/>
  <c r="N122"/>
  <c r="O122"/>
  <c r="P122"/>
  <c r="Q122"/>
  <c r="R122"/>
  <c r="C123"/>
  <c r="D123"/>
  <c r="K123"/>
  <c r="L123"/>
  <c r="M123"/>
  <c r="N123"/>
  <c r="O123"/>
  <c r="P123"/>
  <c r="Q123"/>
  <c r="R123"/>
  <c r="C124"/>
  <c r="D124"/>
  <c r="K124"/>
  <c r="L124"/>
  <c r="M124"/>
  <c r="N124"/>
  <c r="O124"/>
  <c r="P124"/>
  <c r="Q124"/>
  <c r="R124"/>
  <c r="C125"/>
  <c r="D125"/>
  <c r="K125"/>
  <c r="L125"/>
  <c r="M125"/>
  <c r="N125"/>
  <c r="O125"/>
  <c r="P125"/>
  <c r="Q125"/>
  <c r="R125"/>
  <c r="C126"/>
  <c r="D126"/>
  <c r="K126"/>
  <c r="L126"/>
  <c r="M126"/>
  <c r="N126"/>
  <c r="O126"/>
  <c r="P126"/>
  <c r="Q126"/>
  <c r="R126"/>
  <c r="C127"/>
  <c r="D127"/>
  <c r="K127"/>
  <c r="L127"/>
  <c r="M127"/>
  <c r="N127"/>
  <c r="O127"/>
  <c r="P127"/>
  <c r="Q127"/>
  <c r="R127"/>
  <c r="C128"/>
  <c r="D128"/>
  <c r="K128"/>
  <c r="L128"/>
  <c r="M128"/>
  <c r="N128"/>
  <c r="O128"/>
  <c r="P128"/>
  <c r="Q128"/>
  <c r="R128"/>
  <c r="C129"/>
  <c r="D129"/>
  <c r="K129"/>
  <c r="L129"/>
  <c r="M129"/>
  <c r="N129"/>
  <c r="O129"/>
  <c r="P129"/>
  <c r="Q129"/>
  <c r="R129"/>
  <c r="C130"/>
  <c r="D130"/>
  <c r="K130"/>
  <c r="L130"/>
  <c r="M130"/>
  <c r="N130"/>
  <c r="O130"/>
  <c r="P130"/>
  <c r="Q130"/>
  <c r="R130"/>
  <c r="C131"/>
  <c r="D131"/>
  <c r="K131"/>
  <c r="L131"/>
  <c r="M131"/>
  <c r="N131"/>
  <c r="O131"/>
  <c r="P131"/>
  <c r="Q131"/>
  <c r="R131"/>
  <c r="C132"/>
  <c r="D132"/>
  <c r="K132"/>
  <c r="L132"/>
  <c r="M132"/>
  <c r="N132"/>
  <c r="O132"/>
  <c r="P132"/>
  <c r="Q132"/>
  <c r="R132"/>
  <c r="C133"/>
  <c r="D133"/>
  <c r="K133"/>
  <c r="L133"/>
  <c r="M133"/>
  <c r="N133"/>
  <c r="O133"/>
  <c r="P133"/>
  <c r="Q133"/>
  <c r="R133"/>
  <c r="C134"/>
  <c r="D134"/>
  <c r="K134"/>
  <c r="L134"/>
  <c r="M134"/>
  <c r="N134"/>
  <c r="O134"/>
  <c r="P134"/>
  <c r="Q134"/>
  <c r="R134"/>
  <c r="C135"/>
  <c r="D135"/>
  <c r="K135"/>
  <c r="L135"/>
  <c r="M135"/>
  <c r="N135"/>
  <c r="O135"/>
  <c r="P135"/>
  <c r="Q135"/>
  <c r="R135"/>
  <c r="C136"/>
  <c r="D136"/>
  <c r="K136"/>
  <c r="L136"/>
  <c r="M136"/>
  <c r="N136"/>
  <c r="O136"/>
  <c r="P136"/>
  <c r="Q136"/>
  <c r="R136"/>
  <c r="C137"/>
  <c r="D137"/>
  <c r="K137"/>
  <c r="L137"/>
  <c r="M137"/>
  <c r="N137"/>
  <c r="O137"/>
  <c r="P137"/>
  <c r="Q137"/>
  <c r="R137"/>
  <c r="C138"/>
  <c r="D138"/>
  <c r="K138"/>
  <c r="L138"/>
  <c r="M138"/>
  <c r="N138"/>
  <c r="O138"/>
  <c r="P138"/>
  <c r="Q138"/>
  <c r="R138"/>
  <c r="C139"/>
  <c r="D139"/>
  <c r="K139"/>
  <c r="L139"/>
  <c r="M139"/>
  <c r="N139"/>
  <c r="O139"/>
  <c r="P139"/>
  <c r="Q139"/>
  <c r="R139"/>
  <c r="C140"/>
  <c r="D140"/>
  <c r="K140"/>
  <c r="L140"/>
  <c r="M140"/>
  <c r="N140"/>
  <c r="O140"/>
  <c r="P140"/>
  <c r="Q140"/>
  <c r="R140"/>
  <c r="C141"/>
  <c r="D141"/>
  <c r="K141"/>
  <c r="L141"/>
  <c r="M141"/>
  <c r="N141"/>
  <c r="O141"/>
  <c r="P141"/>
  <c r="Q141"/>
  <c r="R141"/>
  <c r="C142"/>
  <c r="D142"/>
  <c r="K142"/>
  <c r="L142"/>
  <c r="M142"/>
  <c r="N142"/>
  <c r="O142"/>
  <c r="P142"/>
  <c r="Q142"/>
  <c r="R142"/>
  <c r="C143"/>
  <c r="D143"/>
  <c r="K143"/>
  <c r="L143"/>
  <c r="M143"/>
  <c r="N143"/>
  <c r="O143"/>
  <c r="P143"/>
  <c r="Q143"/>
  <c r="R143"/>
  <c r="C144"/>
  <c r="D144"/>
  <c r="K144"/>
  <c r="L144"/>
  <c r="M144"/>
  <c r="N144"/>
  <c r="O144"/>
  <c r="P144"/>
  <c r="Q144"/>
  <c r="R144"/>
  <c r="C145"/>
  <c r="D145"/>
  <c r="K145"/>
  <c r="L145"/>
  <c r="M145"/>
  <c r="N145"/>
  <c r="O145"/>
  <c r="P145"/>
  <c r="Q145"/>
  <c r="R145"/>
  <c r="C146"/>
  <c r="D146"/>
  <c r="K146"/>
  <c r="L146"/>
  <c r="M146"/>
  <c r="N146"/>
  <c r="O146"/>
  <c r="P146"/>
  <c r="Q146"/>
  <c r="R146"/>
  <c r="C147"/>
  <c r="D147"/>
  <c r="K147"/>
  <c r="L147"/>
  <c r="M147"/>
  <c r="N147"/>
  <c r="O147"/>
  <c r="P147"/>
  <c r="Q147"/>
  <c r="R147"/>
  <c r="C148"/>
  <c r="D148"/>
  <c r="K148"/>
  <c r="L148"/>
  <c r="M148"/>
  <c r="N148"/>
  <c r="O148"/>
  <c r="P148"/>
  <c r="Q148"/>
  <c r="R148"/>
  <c r="C149"/>
  <c r="D149"/>
  <c r="K149"/>
  <c r="L149"/>
  <c r="M149"/>
  <c r="N149"/>
  <c r="O149"/>
  <c r="P149"/>
  <c r="Q149"/>
  <c r="R149"/>
  <c r="C150"/>
  <c r="D150"/>
  <c r="K150"/>
  <c r="L150"/>
  <c r="M150"/>
  <c r="N150"/>
  <c r="O150"/>
  <c r="P150"/>
  <c r="Q150"/>
  <c r="R150"/>
  <c r="C151"/>
  <c r="D151"/>
  <c r="K151"/>
  <c r="L151"/>
  <c r="M151"/>
  <c r="N151"/>
  <c r="O151"/>
  <c r="P151"/>
  <c r="Q151"/>
  <c r="R151"/>
  <c r="C152"/>
  <c r="D152"/>
  <c r="K152"/>
  <c r="L152"/>
  <c r="M152"/>
  <c r="N152"/>
  <c r="O152"/>
  <c r="P152"/>
  <c r="Q152"/>
  <c r="R152"/>
  <c r="C153"/>
  <c r="D153"/>
  <c r="K153"/>
  <c r="L153"/>
  <c r="M153"/>
  <c r="N153"/>
  <c r="O153"/>
  <c r="P153"/>
  <c r="Q153"/>
  <c r="R153"/>
  <c r="C154"/>
  <c r="D154"/>
  <c r="K154"/>
  <c r="L154"/>
  <c r="M154"/>
  <c r="N154"/>
  <c r="O154"/>
  <c r="P154"/>
  <c r="Q154"/>
  <c r="R154"/>
  <c r="C155"/>
  <c r="D155"/>
  <c r="K155"/>
  <c r="L155"/>
  <c r="M155"/>
  <c r="N155"/>
  <c r="O155"/>
  <c r="P155"/>
  <c r="Q155"/>
  <c r="R155"/>
  <c r="C156"/>
  <c r="D156"/>
  <c r="K156"/>
  <c r="L156"/>
  <c r="M156"/>
  <c r="N156"/>
  <c r="O156"/>
  <c r="P156"/>
  <c r="Q156"/>
  <c r="R156"/>
  <c r="C157"/>
  <c r="D157"/>
  <c r="K157"/>
  <c r="L157"/>
  <c r="M157"/>
  <c r="N157"/>
  <c r="O157"/>
  <c r="P157"/>
  <c r="Q157"/>
  <c r="R157"/>
  <c r="C158"/>
  <c r="D158"/>
  <c r="K158"/>
  <c r="L158"/>
  <c r="M158"/>
  <c r="N158"/>
  <c r="O158"/>
  <c r="P158"/>
  <c r="Q158"/>
  <c r="R158"/>
  <c r="C159"/>
  <c r="D159"/>
  <c r="K159"/>
  <c r="L159"/>
  <c r="M159"/>
  <c r="N159"/>
  <c r="O159"/>
  <c r="P159"/>
  <c r="Q159"/>
  <c r="R159"/>
  <c r="C160"/>
  <c r="D160"/>
  <c r="K160"/>
  <c r="L160"/>
  <c r="M160"/>
  <c r="N160"/>
  <c r="O160"/>
  <c r="P160"/>
  <c r="Q160"/>
  <c r="R160"/>
  <c r="C161"/>
  <c r="D161"/>
  <c r="K161"/>
  <c r="L161"/>
  <c r="M161"/>
  <c r="N161"/>
  <c r="O161"/>
  <c r="P161"/>
  <c r="Q161"/>
  <c r="R161"/>
  <c r="C162"/>
  <c r="D162"/>
  <c r="K162"/>
  <c r="L162"/>
  <c r="M162"/>
  <c r="N162"/>
  <c r="O162"/>
  <c r="P162"/>
  <c r="Q162"/>
  <c r="R162"/>
  <c r="C163"/>
  <c r="D163"/>
  <c r="K163"/>
  <c r="L163"/>
  <c r="M163"/>
  <c r="N163"/>
  <c r="O163"/>
  <c r="P163"/>
  <c r="Q163"/>
  <c r="R163"/>
  <c r="C164"/>
  <c r="D164"/>
  <c r="K164"/>
  <c r="L164"/>
  <c r="M164"/>
  <c r="N164"/>
  <c r="O164"/>
  <c r="P164"/>
  <c r="Q164"/>
  <c r="R164"/>
  <c r="C165"/>
  <c r="D165"/>
  <c r="K165"/>
  <c r="L165"/>
  <c r="M165"/>
  <c r="N165"/>
  <c r="O165"/>
  <c r="P165"/>
  <c r="Q165"/>
  <c r="R165"/>
  <c r="C166"/>
  <c r="D166"/>
  <c r="K166"/>
  <c r="L166"/>
  <c r="M166"/>
  <c r="N166"/>
  <c r="O166"/>
  <c r="P166"/>
  <c r="Q166"/>
  <c r="R166"/>
  <c r="C167"/>
  <c r="D167"/>
  <c r="K167"/>
  <c r="L167"/>
  <c r="M167"/>
  <c r="N167"/>
  <c r="O167"/>
  <c r="P167"/>
  <c r="Q167"/>
  <c r="R167"/>
  <c r="C168"/>
  <c r="D168"/>
  <c r="K168"/>
  <c r="L168"/>
  <c r="M168"/>
  <c r="N168"/>
  <c r="O168"/>
  <c r="P168"/>
  <c r="Q168"/>
  <c r="R168"/>
  <c r="C169"/>
  <c r="D169"/>
  <c r="K169"/>
  <c r="L169"/>
  <c r="M169"/>
  <c r="N169"/>
  <c r="O169"/>
  <c r="P169"/>
  <c r="Q169"/>
  <c r="R169"/>
  <c r="C170"/>
  <c r="D170"/>
  <c r="K170"/>
  <c r="L170"/>
  <c r="M170"/>
  <c r="N170"/>
  <c r="O170"/>
  <c r="P170"/>
  <c r="Q170"/>
  <c r="R170"/>
  <c r="C171"/>
  <c r="D171"/>
  <c r="K171"/>
  <c r="L171"/>
  <c r="M171"/>
  <c r="N171"/>
  <c r="O171"/>
  <c r="P171"/>
  <c r="Q171"/>
  <c r="R171"/>
  <c r="C172"/>
  <c r="D172"/>
  <c r="K172"/>
  <c r="L172"/>
  <c r="M172"/>
  <c r="N172"/>
  <c r="O172"/>
  <c r="P172"/>
  <c r="Q172"/>
  <c r="R172"/>
  <c r="C173"/>
  <c r="D173"/>
  <c r="K173"/>
  <c r="L173"/>
  <c r="M173"/>
  <c r="N173"/>
  <c r="O173"/>
  <c r="P173"/>
  <c r="Q173"/>
  <c r="R173"/>
  <c r="C174"/>
  <c r="D174"/>
  <c r="K174"/>
  <c r="L174"/>
  <c r="M174"/>
  <c r="N174"/>
  <c r="O174"/>
  <c r="P174"/>
  <c r="Q174"/>
  <c r="R174"/>
  <c r="C175"/>
  <c r="D175"/>
  <c r="K175"/>
  <c r="L175"/>
  <c r="M175"/>
  <c r="N175"/>
  <c r="O175"/>
  <c r="P175"/>
  <c r="Q175"/>
  <c r="R175"/>
  <c r="C176"/>
  <c r="D176"/>
  <c r="K176"/>
  <c r="L176"/>
  <c r="M176"/>
  <c r="N176"/>
  <c r="O176"/>
  <c r="P176"/>
  <c r="Q176"/>
  <c r="R176"/>
  <c r="C177"/>
  <c r="D177"/>
  <c r="K177"/>
  <c r="L177"/>
  <c r="M177"/>
  <c r="N177"/>
  <c r="O177"/>
  <c r="P177"/>
  <c r="Q177"/>
  <c r="R177"/>
  <c r="C178"/>
  <c r="D178"/>
  <c r="K178"/>
  <c r="L178"/>
  <c r="M178"/>
  <c r="N178"/>
  <c r="O178"/>
  <c r="P178"/>
  <c r="Q178"/>
  <c r="R178"/>
  <c r="C179"/>
  <c r="D179"/>
  <c r="K179"/>
  <c r="L179"/>
  <c r="M179"/>
  <c r="N179"/>
  <c r="O179"/>
  <c r="P179"/>
  <c r="Q179"/>
  <c r="R179"/>
  <c r="C180"/>
  <c r="D180"/>
  <c r="K180"/>
  <c r="L180"/>
  <c r="M180"/>
  <c r="N180"/>
  <c r="O180"/>
  <c r="P180"/>
  <c r="Q180"/>
  <c r="R180"/>
  <c r="C181"/>
  <c r="D181"/>
  <c r="K181"/>
  <c r="L181"/>
  <c r="M181"/>
  <c r="N181"/>
  <c r="O181"/>
  <c r="P181"/>
  <c r="Q181"/>
  <c r="R181"/>
  <c r="C182"/>
  <c r="D182"/>
  <c r="K182"/>
  <c r="L182"/>
  <c r="M182"/>
  <c r="N182"/>
  <c r="O182"/>
  <c r="P182"/>
  <c r="Q182"/>
  <c r="R182"/>
  <c r="C183"/>
  <c r="D183"/>
  <c r="K183"/>
  <c r="L183"/>
  <c r="M183"/>
  <c r="N183"/>
  <c r="O183"/>
  <c r="P183"/>
  <c r="Q183"/>
  <c r="R183"/>
  <c r="C184"/>
  <c r="D184"/>
  <c r="K184"/>
  <c r="L184"/>
  <c r="M184"/>
  <c r="N184"/>
  <c r="O184"/>
  <c r="P184"/>
  <c r="Q184"/>
  <c r="R184"/>
  <c r="C185"/>
  <c r="D185"/>
  <c r="K185"/>
  <c r="L185"/>
  <c r="M185"/>
  <c r="N185"/>
  <c r="O185"/>
  <c r="P185"/>
  <c r="Q185"/>
  <c r="R185"/>
  <c r="C186"/>
  <c r="D186"/>
  <c r="K186"/>
  <c r="L186"/>
  <c r="M186"/>
  <c r="N186"/>
  <c r="O186"/>
  <c r="P186"/>
  <c r="Q186"/>
  <c r="R186"/>
  <c r="C187"/>
  <c r="D187"/>
  <c r="K187"/>
  <c r="L187"/>
  <c r="M187"/>
  <c r="N187"/>
  <c r="O187"/>
  <c r="P187"/>
  <c r="Q187"/>
  <c r="R187"/>
  <c r="C188"/>
  <c r="D188"/>
  <c r="K188"/>
  <c r="L188"/>
  <c r="M188"/>
  <c r="N188"/>
  <c r="O188"/>
  <c r="P188"/>
  <c r="Q188"/>
  <c r="R188"/>
  <c r="C189"/>
  <c r="D189"/>
  <c r="K189"/>
  <c r="L189"/>
  <c r="M189"/>
  <c r="N189"/>
  <c r="O189"/>
  <c r="P189"/>
  <c r="Q189"/>
  <c r="R189"/>
  <c r="C190"/>
  <c r="D190"/>
  <c r="K190"/>
  <c r="L190"/>
  <c r="M190"/>
  <c r="N190"/>
  <c r="O190"/>
  <c r="P190"/>
  <c r="Q190"/>
  <c r="R190"/>
  <c r="C191"/>
  <c r="D191"/>
  <c r="K191"/>
  <c r="L191"/>
  <c r="M191"/>
  <c r="N191"/>
  <c r="O191"/>
  <c r="P191"/>
  <c r="Q191"/>
  <c r="R191"/>
  <c r="C192"/>
  <c r="D192"/>
  <c r="K192"/>
  <c r="L192"/>
  <c r="M192"/>
  <c r="N192"/>
  <c r="O192"/>
  <c r="P192"/>
  <c r="Q192"/>
  <c r="R192"/>
  <c r="C58"/>
  <c r="D58"/>
  <c r="K58"/>
  <c r="L58"/>
  <c r="M58"/>
  <c r="N58"/>
  <c r="O58"/>
  <c r="P58"/>
  <c r="Q58"/>
  <c r="R58"/>
  <c r="T6" i="5"/>
  <c r="S6"/>
  <c r="T7"/>
  <c r="U7"/>
  <c r="S7"/>
  <c r="T8"/>
  <c r="U8"/>
  <c r="S8"/>
  <c r="T9"/>
  <c r="U9"/>
  <c r="S9"/>
  <c r="T10"/>
  <c r="U10"/>
  <c r="S10"/>
  <c r="T11"/>
  <c r="U11"/>
  <c r="S11"/>
  <c r="T12"/>
  <c r="U12"/>
  <c r="S12"/>
  <c r="T13"/>
  <c r="U13"/>
  <c r="S13"/>
  <c r="T14"/>
  <c r="U14"/>
  <c r="S14"/>
  <c r="T15"/>
  <c r="U15"/>
  <c r="S15"/>
  <c r="T16"/>
  <c r="U16"/>
  <c r="S16"/>
  <c r="T17"/>
  <c r="U17"/>
  <c r="S17"/>
  <c r="T18"/>
  <c r="U18"/>
  <c r="S18"/>
  <c r="T19"/>
  <c r="U19"/>
  <c r="S19"/>
  <c r="T20"/>
  <c r="U20"/>
  <c r="S20"/>
  <c r="T21"/>
  <c r="U21"/>
  <c r="S21"/>
  <c r="T22"/>
  <c r="U22"/>
  <c r="S22"/>
  <c r="T23"/>
  <c r="U23"/>
  <c r="S23"/>
  <c r="A24"/>
  <c r="U24"/>
  <c r="A25"/>
  <c r="A26"/>
  <c r="A27"/>
  <c r="A28"/>
  <c r="A29"/>
  <c r="A30"/>
  <c r="A31"/>
  <c r="A32"/>
  <c r="T29" l="1"/>
  <c r="T25"/>
  <c r="U32"/>
  <c r="T24"/>
  <c r="T32"/>
  <c r="T28"/>
  <c r="S27"/>
  <c r="W353" i="7"/>
  <c r="W220"/>
  <c r="W32"/>
  <c r="F38" i="6"/>
  <c r="E37" s="1"/>
  <c r="F47"/>
  <c r="E46" s="1"/>
  <c r="L2"/>
  <c r="E9"/>
  <c r="E7"/>
  <c r="E5"/>
  <c r="E3"/>
  <c r="B10"/>
  <c r="B9"/>
  <c r="B8"/>
  <c r="B7"/>
  <c r="B6"/>
  <c r="B5"/>
  <c r="B4"/>
  <c r="B3"/>
  <c r="B2"/>
  <c r="E8"/>
  <c r="E6"/>
  <c r="E4"/>
  <c r="E2"/>
  <c r="U28" i="5"/>
  <c r="A37"/>
  <c r="A36"/>
  <c r="A38"/>
  <c r="S29"/>
  <c r="A34"/>
  <c r="A33"/>
  <c r="S32"/>
  <c r="T27"/>
  <c r="A41"/>
  <c r="A45"/>
  <c r="A40"/>
  <c r="T31"/>
  <c r="A46"/>
  <c r="S31"/>
  <c r="S24"/>
  <c r="S36"/>
  <c r="S28"/>
  <c r="S25"/>
  <c r="U35"/>
  <c r="A43"/>
  <c r="A39"/>
  <c r="U37"/>
  <c r="A35"/>
  <c r="U33"/>
  <c r="S30"/>
  <c r="U29"/>
  <c r="S26"/>
  <c r="U25"/>
  <c r="U47"/>
  <c r="T34"/>
  <c r="U31"/>
  <c r="T30"/>
  <c r="U27"/>
  <c r="T26"/>
  <c r="U30"/>
  <c r="U26"/>
  <c r="U46" l="1"/>
  <c r="T33"/>
  <c r="T36"/>
  <c r="T46"/>
  <c r="T37"/>
  <c r="W354" i="7"/>
  <c r="W221"/>
  <c r="W33"/>
  <c r="F56" i="6"/>
  <c r="E55" s="1"/>
  <c r="U34" i="5"/>
  <c r="A42"/>
  <c r="S33"/>
  <c r="S37"/>
  <c r="U38"/>
  <c r="T41"/>
  <c r="A50"/>
  <c r="U42"/>
  <c r="U39"/>
  <c r="S34"/>
  <c r="U43"/>
  <c r="S41"/>
  <c r="T38"/>
  <c r="S38"/>
  <c r="A47"/>
  <c r="T40"/>
  <c r="S40"/>
  <c r="A49"/>
  <c r="T45"/>
  <c r="S45"/>
  <c r="A54"/>
  <c r="S46"/>
  <c r="U41"/>
  <c r="A55"/>
  <c r="S35"/>
  <c r="A44"/>
  <c r="T35"/>
  <c r="U36"/>
  <c r="S39"/>
  <c r="A48"/>
  <c r="T39"/>
  <c r="U40"/>
  <c r="S43"/>
  <c r="A52"/>
  <c r="T43"/>
  <c r="U44"/>
  <c r="U56" l="1"/>
  <c r="T47"/>
  <c r="W355" i="7"/>
  <c r="W222"/>
  <c r="W34"/>
  <c r="A56" i="5"/>
  <c r="S42"/>
  <c r="A51"/>
  <c r="U48"/>
  <c r="S47"/>
  <c r="T42"/>
  <c r="U51"/>
  <c r="S50"/>
  <c r="T50"/>
  <c r="A59"/>
  <c r="S55"/>
  <c r="T54"/>
  <c r="S54"/>
  <c r="U55"/>
  <c r="T49"/>
  <c r="A58"/>
  <c r="S49"/>
  <c r="U50"/>
  <c r="T55"/>
  <c r="S52"/>
  <c r="T52"/>
  <c r="U53"/>
  <c r="S44"/>
  <c r="T44"/>
  <c r="U45"/>
  <c r="A53"/>
  <c r="U57"/>
  <c r="A57"/>
  <c r="T48"/>
  <c r="U49"/>
  <c r="S48"/>
  <c r="T56" l="1"/>
  <c r="W356" i="7"/>
  <c r="W223"/>
  <c r="W35"/>
  <c r="F65" i="6"/>
  <c r="E64" s="1"/>
  <c r="S56" i="5"/>
  <c r="T51"/>
  <c r="S51"/>
  <c r="U52"/>
  <c r="S59"/>
  <c r="T59"/>
  <c r="T58"/>
  <c r="S58"/>
  <c r="U59"/>
  <c r="T53"/>
  <c r="U54"/>
  <c r="S53"/>
  <c r="T57"/>
  <c r="U58"/>
  <c r="S57"/>
  <c r="W357" i="7" l="1"/>
  <c r="W224"/>
  <c r="W36"/>
  <c r="F74" i="6"/>
  <c r="E73" s="1"/>
  <c r="F83"/>
  <c r="E82" s="1"/>
  <c r="L9"/>
  <c r="L3"/>
  <c r="L5"/>
  <c r="L7"/>
  <c r="W358" i="7" l="1"/>
  <c r="W225"/>
  <c r="W37"/>
  <c r="F101" i="6"/>
  <c r="E100" s="1"/>
  <c r="F92"/>
  <c r="M1"/>
  <c r="C137"/>
  <c r="C272" s="1"/>
  <c r="C138"/>
  <c r="C273" s="1"/>
  <c r="C139"/>
  <c r="C274" s="1"/>
  <c r="C140"/>
  <c r="C275" s="1"/>
  <c r="C141"/>
  <c r="C276" s="1"/>
  <c r="C142"/>
  <c r="C277" s="1"/>
  <c r="C143"/>
  <c r="C278" s="1"/>
  <c r="C144"/>
  <c r="C279" s="1"/>
  <c r="C145"/>
  <c r="C280" s="1"/>
  <c r="C12"/>
  <c r="C21" s="1"/>
  <c r="C30" s="1"/>
  <c r="C39" s="1"/>
  <c r="C48" s="1"/>
  <c r="C57" s="1"/>
  <c r="C66" s="1"/>
  <c r="C75" s="1"/>
  <c r="C84" s="1"/>
  <c r="C93" s="1"/>
  <c r="C102" s="1"/>
  <c r="C111" s="1"/>
  <c r="C120" s="1"/>
  <c r="C129" s="1"/>
  <c r="C264" s="1"/>
  <c r="C399" s="1"/>
  <c r="C13"/>
  <c r="C22" s="1"/>
  <c r="C31" s="1"/>
  <c r="C40" s="1"/>
  <c r="C49" s="1"/>
  <c r="C58" s="1"/>
  <c r="C67" s="1"/>
  <c r="C76" s="1"/>
  <c r="C85" s="1"/>
  <c r="C94" s="1"/>
  <c r="C103" s="1"/>
  <c r="C112" s="1"/>
  <c r="C121" s="1"/>
  <c r="C130" s="1"/>
  <c r="C265" s="1"/>
  <c r="C400" s="1"/>
  <c r="C16"/>
  <c r="C25" s="1"/>
  <c r="C34" s="1"/>
  <c r="C17"/>
  <c r="C26" s="1"/>
  <c r="C18"/>
  <c r="C27" s="1"/>
  <c r="C36" s="1"/>
  <c r="C45" s="1"/>
  <c r="C54" s="1"/>
  <c r="C63" s="1"/>
  <c r="C72" s="1"/>
  <c r="C81" s="1"/>
  <c r="C90" s="1"/>
  <c r="C99" s="1"/>
  <c r="C108" s="1"/>
  <c r="C117" s="1"/>
  <c r="C126" s="1"/>
  <c r="C135" s="1"/>
  <c r="C270" s="1"/>
  <c r="C405" s="1"/>
  <c r="C11"/>
  <c r="C20" s="1"/>
  <c r="C29" s="1"/>
  <c r="C38" s="1"/>
  <c r="C47" s="1"/>
  <c r="C56" s="1"/>
  <c r="C65" s="1"/>
  <c r="C74" s="1"/>
  <c r="C83" s="1"/>
  <c r="C92" s="1"/>
  <c r="C101" s="1"/>
  <c r="C110" s="1"/>
  <c r="C119" s="1"/>
  <c r="C128" s="1"/>
  <c r="C263" s="1"/>
  <c r="C398" s="1"/>
  <c r="C15"/>
  <c r="C19"/>
  <c r="C14"/>
  <c r="C23" s="1"/>
  <c r="C32" s="1"/>
  <c r="C41" s="1"/>
  <c r="C50" s="1"/>
  <c r="C59" s="1"/>
  <c r="C68" s="1"/>
  <c r="C77" s="1"/>
  <c r="C86" s="1"/>
  <c r="C95" s="1"/>
  <c r="C104" s="1"/>
  <c r="C113" s="1"/>
  <c r="C122" s="1"/>
  <c r="C131" s="1"/>
  <c r="C266" s="1"/>
  <c r="C401" s="1"/>
  <c r="K13"/>
  <c r="K14"/>
  <c r="K15"/>
  <c r="L15" s="1"/>
  <c r="K17"/>
  <c r="L17" s="1"/>
  <c r="K18"/>
  <c r="K19"/>
  <c r="L19" s="1"/>
  <c r="K12"/>
  <c r="K21" s="1"/>
  <c r="K16"/>
  <c r="K25" s="1"/>
  <c r="L25" s="1"/>
  <c r="K11"/>
  <c r="E91" l="1"/>
  <c r="W359" i="7"/>
  <c r="W226"/>
  <c r="W38"/>
  <c r="F110" i="6"/>
  <c r="E109" s="1"/>
  <c r="C164"/>
  <c r="C299" s="1"/>
  <c r="C248"/>
  <c r="C383" s="1"/>
  <c r="C175"/>
  <c r="C310" s="1"/>
  <c r="C227"/>
  <c r="C362" s="1"/>
  <c r="C176"/>
  <c r="C311" s="1"/>
  <c r="C203"/>
  <c r="C338" s="1"/>
  <c r="C216"/>
  <c r="C351" s="1"/>
  <c r="C243"/>
  <c r="C378" s="1"/>
  <c r="C191"/>
  <c r="C326" s="1"/>
  <c r="C156"/>
  <c r="C291" s="1"/>
  <c r="L12"/>
  <c r="C239"/>
  <c r="C374" s="1"/>
  <c r="C212"/>
  <c r="C347" s="1"/>
  <c r="C184"/>
  <c r="C319" s="1"/>
  <c r="C174"/>
  <c r="C309" s="1"/>
  <c r="C148"/>
  <c r="C283" s="1"/>
  <c r="C252"/>
  <c r="C387" s="1"/>
  <c r="C228"/>
  <c r="C363" s="1"/>
  <c r="C207"/>
  <c r="C342" s="1"/>
  <c r="C183"/>
  <c r="C318" s="1"/>
  <c r="C167"/>
  <c r="C302" s="1"/>
  <c r="C147"/>
  <c r="C282" s="1"/>
  <c r="C151"/>
  <c r="C286" s="1"/>
  <c r="L16"/>
  <c r="C255"/>
  <c r="C390" s="1"/>
  <c r="C246"/>
  <c r="C381" s="1"/>
  <c r="C234"/>
  <c r="C369" s="1"/>
  <c r="C219"/>
  <c r="C354" s="1"/>
  <c r="C210"/>
  <c r="C345" s="1"/>
  <c r="C192"/>
  <c r="C327" s="1"/>
  <c r="C180"/>
  <c r="C315" s="1"/>
  <c r="C171"/>
  <c r="C306" s="1"/>
  <c r="C155"/>
  <c r="C290" s="1"/>
  <c r="C256"/>
  <c r="C391" s="1"/>
  <c r="C247"/>
  <c r="C382" s="1"/>
  <c r="C236"/>
  <c r="C371" s="1"/>
  <c r="C220"/>
  <c r="C355" s="1"/>
  <c r="C211"/>
  <c r="C346" s="1"/>
  <c r="C200"/>
  <c r="C335" s="1"/>
  <c r="K20"/>
  <c r="K27"/>
  <c r="L18"/>
  <c r="K22"/>
  <c r="L13"/>
  <c r="L11"/>
  <c r="K28"/>
  <c r="K23"/>
  <c r="L14"/>
  <c r="K30"/>
  <c r="K24"/>
  <c r="C24"/>
  <c r="C150"/>
  <c r="C285" s="1"/>
  <c r="C43"/>
  <c r="C169"/>
  <c r="C304" s="1"/>
  <c r="L21"/>
  <c r="C160"/>
  <c r="C295" s="1"/>
  <c r="C152"/>
  <c r="C287" s="1"/>
  <c r="K34"/>
  <c r="K26"/>
  <c r="C28"/>
  <c r="C154"/>
  <c r="C289" s="1"/>
  <c r="C35"/>
  <c r="C161"/>
  <c r="C296" s="1"/>
  <c r="C261"/>
  <c r="C396" s="1"/>
  <c r="C257"/>
  <c r="C392" s="1"/>
  <c r="C245"/>
  <c r="C380" s="1"/>
  <c r="C237"/>
  <c r="C372" s="1"/>
  <c r="C229"/>
  <c r="C364" s="1"/>
  <c r="C225"/>
  <c r="C360" s="1"/>
  <c r="C221"/>
  <c r="C356" s="1"/>
  <c r="C209"/>
  <c r="C344" s="1"/>
  <c r="C201"/>
  <c r="C336" s="1"/>
  <c r="C193"/>
  <c r="C328" s="1"/>
  <c r="C189"/>
  <c r="C324" s="1"/>
  <c r="C185"/>
  <c r="C320" s="1"/>
  <c r="C173"/>
  <c r="C308" s="1"/>
  <c r="C165"/>
  <c r="C300" s="1"/>
  <c r="C157"/>
  <c r="C292" s="1"/>
  <c r="C153"/>
  <c r="C288" s="1"/>
  <c r="C149"/>
  <c r="C284" s="1"/>
  <c r="C254"/>
  <c r="C389" s="1"/>
  <c r="C238"/>
  <c r="C373" s="1"/>
  <c r="C230"/>
  <c r="C365" s="1"/>
  <c r="C218"/>
  <c r="C353" s="1"/>
  <c r="C202"/>
  <c r="C337" s="1"/>
  <c r="C198"/>
  <c r="C333" s="1"/>
  <c r="C194"/>
  <c r="C329" s="1"/>
  <c r="C182"/>
  <c r="C317" s="1"/>
  <c r="C166"/>
  <c r="C301" s="1"/>
  <c r="C162"/>
  <c r="C297" s="1"/>
  <c r="C158"/>
  <c r="C293" s="1"/>
  <c r="C146"/>
  <c r="C281" s="1"/>
  <c r="U60" i="5"/>
  <c r="W360" i="7" l="1"/>
  <c r="W227"/>
  <c r="W39"/>
  <c r="K43" i="6"/>
  <c r="L34"/>
  <c r="K37"/>
  <c r="L28"/>
  <c r="K36"/>
  <c r="L27"/>
  <c r="C52"/>
  <c r="C178"/>
  <c r="C313" s="1"/>
  <c r="K33"/>
  <c r="L24"/>
  <c r="K29"/>
  <c r="L20"/>
  <c r="C37"/>
  <c r="C163"/>
  <c r="C298" s="1"/>
  <c r="K31"/>
  <c r="L22"/>
  <c r="C33"/>
  <c r="C159"/>
  <c r="C294" s="1"/>
  <c r="K39"/>
  <c r="L30"/>
  <c r="C44"/>
  <c r="C170"/>
  <c r="C305" s="1"/>
  <c r="K35"/>
  <c r="L26"/>
  <c r="K32"/>
  <c r="L23"/>
  <c r="W361" i="7" l="1"/>
  <c r="W228"/>
  <c r="W40"/>
  <c r="F119" i="6"/>
  <c r="E118" s="1"/>
  <c r="C53"/>
  <c r="C179"/>
  <c r="C314" s="1"/>
  <c r="K40"/>
  <c r="L31"/>
  <c r="K52"/>
  <c r="L43"/>
  <c r="K41"/>
  <c r="L32"/>
  <c r="K48"/>
  <c r="L39"/>
  <c r="C61"/>
  <c r="C187"/>
  <c r="C322" s="1"/>
  <c r="K44"/>
  <c r="L35"/>
  <c r="C46"/>
  <c r="C172"/>
  <c r="C307" s="1"/>
  <c r="K38"/>
  <c r="L29"/>
  <c r="K45"/>
  <c r="L36"/>
  <c r="C42"/>
  <c r="C168"/>
  <c r="C303" s="1"/>
  <c r="K42"/>
  <c r="L33"/>
  <c r="K46"/>
  <c r="L37"/>
  <c r="W362" i="7" l="1"/>
  <c r="W229"/>
  <c r="W41"/>
  <c r="F128" i="6"/>
  <c r="E127" s="1"/>
  <c r="C51"/>
  <c r="C177"/>
  <c r="C312" s="1"/>
  <c r="K54"/>
  <c r="L45"/>
  <c r="K53"/>
  <c r="L44"/>
  <c r="K50"/>
  <c r="L41"/>
  <c r="K49"/>
  <c r="L40"/>
  <c r="K55"/>
  <c r="L46"/>
  <c r="K47"/>
  <c r="L38"/>
  <c r="K51"/>
  <c r="L42"/>
  <c r="C70"/>
  <c r="C196"/>
  <c r="C331" s="1"/>
  <c r="C62"/>
  <c r="C188"/>
  <c r="C323" s="1"/>
  <c r="C55"/>
  <c r="C181"/>
  <c r="C316" s="1"/>
  <c r="K57"/>
  <c r="L48"/>
  <c r="K61"/>
  <c r="L52"/>
  <c r="W363" i="7" l="1"/>
  <c r="W230"/>
  <c r="W42"/>
  <c r="F146" i="6"/>
  <c r="E145" s="1"/>
  <c r="K70"/>
  <c r="L61"/>
  <c r="K58"/>
  <c r="L49"/>
  <c r="K60"/>
  <c r="L51"/>
  <c r="C60"/>
  <c r="C186"/>
  <c r="C321" s="1"/>
  <c r="C71"/>
  <c r="C197"/>
  <c r="C332" s="1"/>
  <c r="K56"/>
  <c r="L47"/>
  <c r="K62"/>
  <c r="L53"/>
  <c r="C64"/>
  <c r="C190"/>
  <c r="C325" s="1"/>
  <c r="K64"/>
  <c r="L55"/>
  <c r="K63"/>
  <c r="L54"/>
  <c r="C79"/>
  <c r="C205"/>
  <c r="C340" s="1"/>
  <c r="K66"/>
  <c r="L57"/>
  <c r="K59"/>
  <c r="L50"/>
  <c r="A15"/>
  <c r="F16" s="1"/>
  <c r="A141"/>
  <c r="A139"/>
  <c r="F140" s="1"/>
  <c r="A13"/>
  <c r="F14" s="1"/>
  <c r="A19"/>
  <c r="A145"/>
  <c r="A17"/>
  <c r="F18" s="1"/>
  <c r="A143"/>
  <c r="A137"/>
  <c r="F138" s="1"/>
  <c r="A11"/>
  <c r="F12" s="1"/>
  <c r="U68" i="1" l="1"/>
  <c r="W364" i="7"/>
  <c r="W231"/>
  <c r="W43"/>
  <c r="F142" i="6"/>
  <c r="F144"/>
  <c r="U72" i="1"/>
  <c r="U74"/>
  <c r="U70"/>
  <c r="K72" i="6"/>
  <c r="L63"/>
  <c r="K71"/>
  <c r="L62"/>
  <c r="K79"/>
  <c r="L70"/>
  <c r="C88"/>
  <c r="C214"/>
  <c r="C349" s="1"/>
  <c r="K73"/>
  <c r="L64"/>
  <c r="K65"/>
  <c r="L56"/>
  <c r="C69"/>
  <c r="C195"/>
  <c r="C330" s="1"/>
  <c r="K68"/>
  <c r="L59"/>
  <c r="K69"/>
  <c r="L60"/>
  <c r="K75"/>
  <c r="L66"/>
  <c r="C73"/>
  <c r="C199"/>
  <c r="C334" s="1"/>
  <c r="C80"/>
  <c r="C206"/>
  <c r="C341" s="1"/>
  <c r="K67"/>
  <c r="L58"/>
  <c r="A138"/>
  <c r="F139" s="1"/>
  <c r="E138" s="1"/>
  <c r="A12"/>
  <c r="F13" s="1"/>
  <c r="E12" s="1"/>
  <c r="A148"/>
  <c r="F149" s="1"/>
  <c r="A22"/>
  <c r="F23" s="1"/>
  <c r="D13"/>
  <c r="B13"/>
  <c r="H13"/>
  <c r="A276"/>
  <c r="D141"/>
  <c r="B141"/>
  <c r="H141"/>
  <c r="A150"/>
  <c r="F151" s="1"/>
  <c r="A24"/>
  <c r="D15"/>
  <c r="B15"/>
  <c r="H15"/>
  <c r="D137"/>
  <c r="B137"/>
  <c r="A272"/>
  <c r="H137"/>
  <c r="A278"/>
  <c r="D143"/>
  <c r="H143"/>
  <c r="B143"/>
  <c r="A142"/>
  <c r="F143" s="1"/>
  <c r="E142" s="1"/>
  <c r="A16"/>
  <c r="F17" s="1"/>
  <c r="E16" s="1"/>
  <c r="A140"/>
  <c r="F141" s="1"/>
  <c r="E140" s="1"/>
  <c r="A14"/>
  <c r="F15" s="1"/>
  <c r="E14" s="1"/>
  <c r="A146"/>
  <c r="F147" s="1"/>
  <c r="A20"/>
  <c r="F21" s="1"/>
  <c r="D11"/>
  <c r="B11"/>
  <c r="H11"/>
  <c r="A144"/>
  <c r="F145" s="1"/>
  <c r="E144" s="1"/>
  <c r="A18"/>
  <c r="F19" s="1"/>
  <c r="E18" s="1"/>
  <c r="A154"/>
  <c r="A28"/>
  <c r="D19"/>
  <c r="B19"/>
  <c r="H19"/>
  <c r="D139"/>
  <c r="A274"/>
  <c r="B139"/>
  <c r="H139"/>
  <c r="A152"/>
  <c r="F153" s="1"/>
  <c r="A26"/>
  <c r="F27" s="1"/>
  <c r="D17"/>
  <c r="H17"/>
  <c r="B17"/>
  <c r="D145"/>
  <c r="A280"/>
  <c r="H145"/>
  <c r="B145"/>
  <c r="E11" l="1"/>
  <c r="E13"/>
  <c r="E137"/>
  <c r="E141"/>
  <c r="E15"/>
  <c r="E17"/>
  <c r="E143"/>
  <c r="E139"/>
  <c r="F25"/>
  <c r="U81" i="1" s="1"/>
  <c r="W365" i="7"/>
  <c r="W232"/>
  <c r="W44"/>
  <c r="F155" i="6"/>
  <c r="U71" i="1"/>
  <c r="U73"/>
  <c r="U69"/>
  <c r="U75"/>
  <c r="C89" i="6"/>
  <c r="C215"/>
  <c r="C350" s="1"/>
  <c r="K78"/>
  <c r="L69"/>
  <c r="K74"/>
  <c r="L65"/>
  <c r="K77"/>
  <c r="L68"/>
  <c r="K82"/>
  <c r="L73"/>
  <c r="K80"/>
  <c r="L71"/>
  <c r="K76"/>
  <c r="L67"/>
  <c r="C82"/>
  <c r="C208"/>
  <c r="C343" s="1"/>
  <c r="K81"/>
  <c r="L72"/>
  <c r="K84"/>
  <c r="L75"/>
  <c r="C78"/>
  <c r="C204"/>
  <c r="C339" s="1"/>
  <c r="C97"/>
  <c r="C223"/>
  <c r="C358" s="1"/>
  <c r="K88"/>
  <c r="L79"/>
  <c r="D280"/>
  <c r="B280"/>
  <c r="H280"/>
  <c r="H18"/>
  <c r="A27"/>
  <c r="F28" s="1"/>
  <c r="E27" s="1"/>
  <c r="A153"/>
  <c r="F154" s="1"/>
  <c r="E153" s="1"/>
  <c r="B18"/>
  <c r="D18"/>
  <c r="A277"/>
  <c r="H142"/>
  <c r="B142"/>
  <c r="D142"/>
  <c r="D272"/>
  <c r="B272"/>
  <c r="H272"/>
  <c r="H24"/>
  <c r="J24" s="1"/>
  <c r="D24"/>
  <c r="A33"/>
  <c r="B24"/>
  <c r="A159"/>
  <c r="A283"/>
  <c r="H148"/>
  <c r="B148"/>
  <c r="D148"/>
  <c r="A287"/>
  <c r="H152"/>
  <c r="B152"/>
  <c r="D152"/>
  <c r="D274"/>
  <c r="H274"/>
  <c r="B274"/>
  <c r="A281"/>
  <c r="H146"/>
  <c r="B146"/>
  <c r="D146"/>
  <c r="H16"/>
  <c r="A151"/>
  <c r="E150" s="1"/>
  <c r="A25"/>
  <c r="F26" s="1"/>
  <c r="E25" s="1"/>
  <c r="B16"/>
  <c r="D16"/>
  <c r="H22"/>
  <c r="B22"/>
  <c r="A31"/>
  <c r="A157"/>
  <c r="F158" s="1"/>
  <c r="D22"/>
  <c r="H26"/>
  <c r="B26"/>
  <c r="A35"/>
  <c r="F36" s="1"/>
  <c r="A161"/>
  <c r="D26"/>
  <c r="A289"/>
  <c r="H154"/>
  <c r="B154"/>
  <c r="D154"/>
  <c r="H20"/>
  <c r="A155"/>
  <c r="F156" s="1"/>
  <c r="D20"/>
  <c r="A29"/>
  <c r="F30" s="1"/>
  <c r="B20"/>
  <c r="A275"/>
  <c r="H140"/>
  <c r="B140"/>
  <c r="D140"/>
  <c r="D278"/>
  <c r="B278"/>
  <c r="H278"/>
  <c r="D276"/>
  <c r="B276"/>
  <c r="H276"/>
  <c r="A273"/>
  <c r="H138"/>
  <c r="B138"/>
  <c r="D138"/>
  <c r="H28"/>
  <c r="B28"/>
  <c r="A163"/>
  <c r="D28"/>
  <c r="A37"/>
  <c r="A279"/>
  <c r="H144"/>
  <c r="B144"/>
  <c r="D144"/>
  <c r="H14"/>
  <c r="A23"/>
  <c r="F24" s="1"/>
  <c r="E23" s="1"/>
  <c r="B14"/>
  <c r="D14"/>
  <c r="A149"/>
  <c r="F150" s="1"/>
  <c r="A285"/>
  <c r="H150"/>
  <c r="B150"/>
  <c r="D150"/>
  <c r="H12"/>
  <c r="A147"/>
  <c r="F148" s="1"/>
  <c r="E147" s="1"/>
  <c r="D12"/>
  <c r="A21"/>
  <c r="F22" s="1"/>
  <c r="B12"/>
  <c r="E149" l="1"/>
  <c r="U206" i="1"/>
  <c r="E146" i="6"/>
  <c r="E21"/>
  <c r="E20"/>
  <c r="E152"/>
  <c r="E154"/>
  <c r="E24"/>
  <c r="E148"/>
  <c r="E155"/>
  <c r="E26"/>
  <c r="E22"/>
  <c r="F34"/>
  <c r="U90" i="1" s="1"/>
  <c r="F160" i="6"/>
  <c r="U216" i="1" s="1"/>
  <c r="W366" i="7"/>
  <c r="W233"/>
  <c r="W45"/>
  <c r="F32" i="6"/>
  <c r="F152"/>
  <c r="F162"/>
  <c r="F164"/>
  <c r="F173"/>
  <c r="E172" s="1"/>
  <c r="K97"/>
  <c r="L88"/>
  <c r="C87"/>
  <c r="C213"/>
  <c r="C348" s="1"/>
  <c r="C91"/>
  <c r="C217"/>
  <c r="C352" s="1"/>
  <c r="K86"/>
  <c r="L77"/>
  <c r="C98"/>
  <c r="C224"/>
  <c r="C359" s="1"/>
  <c r="K93"/>
  <c r="L84"/>
  <c r="K85"/>
  <c r="L76"/>
  <c r="K83"/>
  <c r="L74"/>
  <c r="C106"/>
  <c r="C232"/>
  <c r="C367" s="1"/>
  <c r="K90"/>
  <c r="L81"/>
  <c r="K89"/>
  <c r="L80"/>
  <c r="K87"/>
  <c r="L78"/>
  <c r="K91"/>
  <c r="L82"/>
  <c r="A156"/>
  <c r="F157" s="1"/>
  <c r="E156" s="1"/>
  <c r="A30"/>
  <c r="F31" s="1"/>
  <c r="E30" s="1"/>
  <c r="D21"/>
  <c r="B21"/>
  <c r="H21"/>
  <c r="D161"/>
  <c r="A296"/>
  <c r="B161"/>
  <c r="H161"/>
  <c r="A166"/>
  <c r="F167" s="1"/>
  <c r="A40"/>
  <c r="F41" s="1"/>
  <c r="D31"/>
  <c r="H31"/>
  <c r="B31"/>
  <c r="A294"/>
  <c r="D159"/>
  <c r="H159"/>
  <c r="J159" s="1"/>
  <c r="B159"/>
  <c r="H279"/>
  <c r="B279"/>
  <c r="D279"/>
  <c r="H283"/>
  <c r="B283"/>
  <c r="D283"/>
  <c r="D147"/>
  <c r="A282"/>
  <c r="H147"/>
  <c r="B147"/>
  <c r="D163"/>
  <c r="A298"/>
  <c r="H163"/>
  <c r="B163"/>
  <c r="H273"/>
  <c r="B273"/>
  <c r="D273"/>
  <c r="A164"/>
  <c r="F165" s="1"/>
  <c r="A38"/>
  <c r="F39" s="1"/>
  <c r="D29"/>
  <c r="B29"/>
  <c r="H29"/>
  <c r="H289"/>
  <c r="B289"/>
  <c r="D289"/>
  <c r="H287"/>
  <c r="B287"/>
  <c r="D287"/>
  <c r="A168"/>
  <c r="A42"/>
  <c r="D33"/>
  <c r="B33"/>
  <c r="H33"/>
  <c r="J33" s="1"/>
  <c r="H277"/>
  <c r="B277"/>
  <c r="D277"/>
  <c r="H285"/>
  <c r="B285"/>
  <c r="D285"/>
  <c r="A172"/>
  <c r="A46"/>
  <c r="D37"/>
  <c r="B37"/>
  <c r="H37"/>
  <c r="D155"/>
  <c r="A290"/>
  <c r="B155"/>
  <c r="H155"/>
  <c r="H275"/>
  <c r="B275"/>
  <c r="D275"/>
  <c r="A292"/>
  <c r="D157"/>
  <c r="B157"/>
  <c r="H157"/>
  <c r="A286"/>
  <c r="D151"/>
  <c r="H151"/>
  <c r="B151"/>
  <c r="A162"/>
  <c r="F163" s="1"/>
  <c r="E162" s="1"/>
  <c r="A36"/>
  <c r="F37" s="1"/>
  <c r="E36" s="1"/>
  <c r="D27"/>
  <c r="H27"/>
  <c r="B27"/>
  <c r="A284"/>
  <c r="D149"/>
  <c r="B149"/>
  <c r="H149"/>
  <c r="A158"/>
  <c r="F159" s="1"/>
  <c r="E158" s="1"/>
  <c r="A32"/>
  <c r="F33" s="1"/>
  <c r="E32" s="1"/>
  <c r="D23"/>
  <c r="B23"/>
  <c r="H23"/>
  <c r="A170"/>
  <c r="F171" s="1"/>
  <c r="A44"/>
  <c r="F45" s="1"/>
  <c r="D35"/>
  <c r="B35"/>
  <c r="H35"/>
  <c r="A160"/>
  <c r="F161" s="1"/>
  <c r="E160" s="1"/>
  <c r="A34"/>
  <c r="F35" s="1"/>
  <c r="E34" s="1"/>
  <c r="D25"/>
  <c r="H25"/>
  <c r="B25"/>
  <c r="H281"/>
  <c r="B281"/>
  <c r="D281"/>
  <c r="D153"/>
  <c r="B153"/>
  <c r="H153"/>
  <c r="A288"/>
  <c r="J149" l="1"/>
  <c r="E161"/>
  <c r="E31"/>
  <c r="E163"/>
  <c r="E159"/>
  <c r="E33"/>
  <c r="E35"/>
  <c r="E29"/>
  <c r="E151"/>
  <c r="E157"/>
  <c r="F43"/>
  <c r="F169"/>
  <c r="U225" i="1" s="1"/>
  <c r="W367" i="7"/>
  <c r="W234"/>
  <c r="W46"/>
  <c r="F182" i="6"/>
  <c r="F191"/>
  <c r="E190" s="1"/>
  <c r="K100"/>
  <c r="L91"/>
  <c r="K98"/>
  <c r="L89"/>
  <c r="K92"/>
  <c r="L83"/>
  <c r="C107"/>
  <c r="C233"/>
  <c r="C368" s="1"/>
  <c r="K102"/>
  <c r="L93"/>
  <c r="K106"/>
  <c r="L97"/>
  <c r="K96"/>
  <c r="L87"/>
  <c r="C115"/>
  <c r="C241"/>
  <c r="C376" s="1"/>
  <c r="C100"/>
  <c r="C226"/>
  <c r="C361" s="1"/>
  <c r="K99"/>
  <c r="L90"/>
  <c r="K94"/>
  <c r="L85"/>
  <c r="K95"/>
  <c r="L86"/>
  <c r="C96"/>
  <c r="C222"/>
  <c r="C357" s="1"/>
  <c r="A295"/>
  <c r="H160"/>
  <c r="B160"/>
  <c r="D160"/>
  <c r="A293"/>
  <c r="H158"/>
  <c r="B158"/>
  <c r="D158"/>
  <c r="A299"/>
  <c r="H164"/>
  <c r="B164"/>
  <c r="D164"/>
  <c r="H40"/>
  <c r="B40"/>
  <c r="A175"/>
  <c r="F176" s="1"/>
  <c r="D40"/>
  <c r="A49"/>
  <c r="F50" s="1"/>
  <c r="D288"/>
  <c r="B288"/>
  <c r="H288"/>
  <c r="H46"/>
  <c r="B46"/>
  <c r="A55"/>
  <c r="A181"/>
  <c r="D46"/>
  <c r="D294"/>
  <c r="B294"/>
  <c r="H294"/>
  <c r="J294" s="1"/>
  <c r="A305"/>
  <c r="H170"/>
  <c r="B170"/>
  <c r="D170"/>
  <c r="H36"/>
  <c r="B36"/>
  <c r="A171"/>
  <c r="E170" s="1"/>
  <c r="D36"/>
  <c r="A45"/>
  <c r="F46" s="1"/>
  <c r="E45" s="1"/>
  <c r="A303"/>
  <c r="H168"/>
  <c r="J168" s="1"/>
  <c r="B168"/>
  <c r="D168"/>
  <c r="D286"/>
  <c r="B286"/>
  <c r="H286"/>
  <c r="A307"/>
  <c r="H172"/>
  <c r="B172"/>
  <c r="D172"/>
  <c r="D298"/>
  <c r="H298"/>
  <c r="B298"/>
  <c r="A291"/>
  <c r="H156"/>
  <c r="B156"/>
  <c r="D156"/>
  <c r="H34"/>
  <c r="B34"/>
  <c r="A43"/>
  <c r="F44" s="1"/>
  <c r="E43" s="1"/>
  <c r="A169"/>
  <c r="F170" s="1"/>
  <c r="E169" s="1"/>
  <c r="D34"/>
  <c r="H32"/>
  <c r="B32"/>
  <c r="A167"/>
  <c r="F168" s="1"/>
  <c r="E167" s="1"/>
  <c r="A41"/>
  <c r="E40" s="1"/>
  <c r="D32"/>
  <c r="A297"/>
  <c r="H162"/>
  <c r="B162"/>
  <c r="D162"/>
  <c r="H38"/>
  <c r="B38"/>
  <c r="A47"/>
  <c r="F48" s="1"/>
  <c r="D38"/>
  <c r="A173"/>
  <c r="F174" s="1"/>
  <c r="H30"/>
  <c r="B30"/>
  <c r="A165"/>
  <c r="F166" s="1"/>
  <c r="E165" s="1"/>
  <c r="A39"/>
  <c r="F40" s="1"/>
  <c r="E39" s="1"/>
  <c r="D30"/>
  <c r="H44"/>
  <c r="B44"/>
  <c r="A179"/>
  <c r="F180" s="1"/>
  <c r="D44"/>
  <c r="A53"/>
  <c r="F54" s="1"/>
  <c r="D284"/>
  <c r="H284"/>
  <c r="B284"/>
  <c r="D292"/>
  <c r="B292"/>
  <c r="H292"/>
  <c r="D290"/>
  <c r="H290"/>
  <c r="B290"/>
  <c r="H42"/>
  <c r="J42" s="1"/>
  <c r="B42"/>
  <c r="A51"/>
  <c r="A177"/>
  <c r="D42"/>
  <c r="D282"/>
  <c r="H282"/>
  <c r="B282"/>
  <c r="A301"/>
  <c r="H166"/>
  <c r="B166"/>
  <c r="D166"/>
  <c r="D296"/>
  <c r="B296"/>
  <c r="H296"/>
  <c r="E42" l="1"/>
  <c r="U99" i="1"/>
  <c r="J284" i="6"/>
  <c r="E166"/>
  <c r="E181"/>
  <c r="E47"/>
  <c r="E44"/>
  <c r="E168"/>
  <c r="E38"/>
  <c r="E164"/>
  <c r="F178"/>
  <c r="U234" i="1" s="1"/>
  <c r="W368" i="7"/>
  <c r="W235"/>
  <c r="W47"/>
  <c r="F172" i="6"/>
  <c r="F52"/>
  <c r="U108" i="1" s="1"/>
  <c r="F42" i="6"/>
  <c r="F200"/>
  <c r="E199" s="1"/>
  <c r="K108"/>
  <c r="L99"/>
  <c r="C124"/>
  <c r="C250"/>
  <c r="C385" s="1"/>
  <c r="K109"/>
  <c r="L100"/>
  <c r="C105"/>
  <c r="C231"/>
  <c r="C366" s="1"/>
  <c r="K105"/>
  <c r="L96"/>
  <c r="C116"/>
  <c r="C242"/>
  <c r="C377" s="1"/>
  <c r="K104"/>
  <c r="L95"/>
  <c r="C109"/>
  <c r="C235"/>
  <c r="C370" s="1"/>
  <c r="K115"/>
  <c r="L106"/>
  <c r="K101"/>
  <c r="L92"/>
  <c r="K103"/>
  <c r="L94"/>
  <c r="K111"/>
  <c r="L102"/>
  <c r="K107"/>
  <c r="L98"/>
  <c r="D177"/>
  <c r="A312"/>
  <c r="B177"/>
  <c r="H177"/>
  <c r="J177" s="1"/>
  <c r="A178"/>
  <c r="F179" s="1"/>
  <c r="E178" s="1"/>
  <c r="A52"/>
  <c r="F53" s="1"/>
  <c r="E52" s="1"/>
  <c r="D43"/>
  <c r="H43"/>
  <c r="B43"/>
  <c r="H291"/>
  <c r="B291"/>
  <c r="D291"/>
  <c r="A190"/>
  <c r="A64"/>
  <c r="D55"/>
  <c r="H55"/>
  <c r="B55"/>
  <c r="A184"/>
  <c r="F185" s="1"/>
  <c r="A58"/>
  <c r="F59" s="1"/>
  <c r="D49"/>
  <c r="B49"/>
  <c r="H49"/>
  <c r="H295"/>
  <c r="B295"/>
  <c r="D295"/>
  <c r="D179"/>
  <c r="A314"/>
  <c r="H179"/>
  <c r="B179"/>
  <c r="H297"/>
  <c r="B297"/>
  <c r="D297"/>
  <c r="D169"/>
  <c r="B169"/>
  <c r="H169"/>
  <c r="A304"/>
  <c r="A180"/>
  <c r="F181" s="1"/>
  <c r="E180" s="1"/>
  <c r="A54"/>
  <c r="F55" s="1"/>
  <c r="D45"/>
  <c r="B45"/>
  <c r="H45"/>
  <c r="H301"/>
  <c r="B301"/>
  <c r="D301"/>
  <c r="A302"/>
  <c r="D167"/>
  <c r="H167"/>
  <c r="B167"/>
  <c r="H303"/>
  <c r="J303" s="1"/>
  <c r="B303"/>
  <c r="D303"/>
  <c r="A310"/>
  <c r="D175"/>
  <c r="H175"/>
  <c r="B175"/>
  <c r="H299"/>
  <c r="B299"/>
  <c r="D299"/>
  <c r="A174"/>
  <c r="F175" s="1"/>
  <c r="E174" s="1"/>
  <c r="A48"/>
  <c r="F49" s="1"/>
  <c r="E48" s="1"/>
  <c r="D39"/>
  <c r="H39"/>
  <c r="B39"/>
  <c r="A182"/>
  <c r="F183" s="1"/>
  <c r="A56"/>
  <c r="F57" s="1"/>
  <c r="D47"/>
  <c r="H47"/>
  <c r="B47"/>
  <c r="A316"/>
  <c r="D181"/>
  <c r="B181"/>
  <c r="H181"/>
  <c r="H293"/>
  <c r="B293"/>
  <c r="D293"/>
  <c r="A186"/>
  <c r="A60"/>
  <c r="D51"/>
  <c r="H51"/>
  <c r="J51" s="1"/>
  <c r="B51"/>
  <c r="A188"/>
  <c r="F189" s="1"/>
  <c r="A62"/>
  <c r="F63" s="1"/>
  <c r="D53"/>
  <c r="B53"/>
  <c r="H53"/>
  <c r="A300"/>
  <c r="D165"/>
  <c r="B165"/>
  <c r="H165"/>
  <c r="A308"/>
  <c r="D173"/>
  <c r="B173"/>
  <c r="H173"/>
  <c r="A176"/>
  <c r="F177" s="1"/>
  <c r="E176" s="1"/>
  <c r="A50"/>
  <c r="F51" s="1"/>
  <c r="E50" s="1"/>
  <c r="D41"/>
  <c r="B41"/>
  <c r="H41"/>
  <c r="H307"/>
  <c r="B307"/>
  <c r="D307"/>
  <c r="D171"/>
  <c r="H171"/>
  <c r="B171"/>
  <c r="A306"/>
  <c r="H305"/>
  <c r="B305"/>
  <c r="D305"/>
  <c r="E54" l="1"/>
  <c r="U111" i="1"/>
  <c r="E53" i="6"/>
  <c r="E177"/>
  <c r="E175"/>
  <c r="E179"/>
  <c r="E49"/>
  <c r="E41"/>
  <c r="E171"/>
  <c r="E173"/>
  <c r="E51"/>
  <c r="F61"/>
  <c r="U117" i="1" s="1"/>
  <c r="F187" i="6"/>
  <c r="U243" i="1" s="1"/>
  <c r="W369" i="7"/>
  <c r="W236"/>
  <c r="W48"/>
  <c r="K116" i="6"/>
  <c r="L107"/>
  <c r="K124"/>
  <c r="L115"/>
  <c r="C114"/>
  <c r="C240"/>
  <c r="C375" s="1"/>
  <c r="K117"/>
  <c r="L108"/>
  <c r="K120"/>
  <c r="L111"/>
  <c r="C125"/>
  <c r="C251"/>
  <c r="C386" s="1"/>
  <c r="K118"/>
  <c r="L109"/>
  <c r="K112"/>
  <c r="L103"/>
  <c r="C118"/>
  <c r="C244"/>
  <c r="C379" s="1"/>
  <c r="K114"/>
  <c r="L105"/>
  <c r="K110"/>
  <c r="L101"/>
  <c r="K113"/>
  <c r="L104"/>
  <c r="C133"/>
  <c r="C268" s="1"/>
  <c r="C403" s="1"/>
  <c r="C259"/>
  <c r="C394" s="1"/>
  <c r="A311"/>
  <c r="H176"/>
  <c r="B176"/>
  <c r="D176"/>
  <c r="A323"/>
  <c r="H188"/>
  <c r="B188"/>
  <c r="D188"/>
  <c r="H56"/>
  <c r="B56"/>
  <c r="A191"/>
  <c r="A65"/>
  <c r="F66" s="1"/>
  <c r="D56"/>
  <c r="D314"/>
  <c r="H314"/>
  <c r="B314"/>
  <c r="A199"/>
  <c r="H64"/>
  <c r="B64"/>
  <c r="D64"/>
  <c r="A73"/>
  <c r="H50"/>
  <c r="B50"/>
  <c r="A59"/>
  <c r="F60" s="1"/>
  <c r="E59" s="1"/>
  <c r="A185"/>
  <c r="F186" s="1"/>
  <c r="E185" s="1"/>
  <c r="D50"/>
  <c r="A197"/>
  <c r="F198" s="1"/>
  <c r="H62"/>
  <c r="B62"/>
  <c r="A71"/>
  <c r="D62"/>
  <c r="D316"/>
  <c r="H316"/>
  <c r="B316"/>
  <c r="A309"/>
  <c r="H174"/>
  <c r="B174"/>
  <c r="D174"/>
  <c r="A319"/>
  <c r="H184"/>
  <c r="B184"/>
  <c r="D184"/>
  <c r="D312"/>
  <c r="B312"/>
  <c r="H312"/>
  <c r="J312" s="1"/>
  <c r="D306"/>
  <c r="H306"/>
  <c r="B306"/>
  <c r="D300"/>
  <c r="H300"/>
  <c r="B300"/>
  <c r="A321"/>
  <c r="H186"/>
  <c r="J186" s="1"/>
  <c r="B186"/>
  <c r="D186"/>
  <c r="H48"/>
  <c r="B48"/>
  <c r="A183"/>
  <c r="F184" s="1"/>
  <c r="E183" s="1"/>
  <c r="A57"/>
  <c r="F58" s="1"/>
  <c r="E57" s="1"/>
  <c r="D48"/>
  <c r="H54"/>
  <c r="B54"/>
  <c r="A189"/>
  <c r="F190" s="1"/>
  <c r="D54"/>
  <c r="A63"/>
  <c r="F64" s="1"/>
  <c r="A193"/>
  <c r="F194" s="1"/>
  <c r="H58"/>
  <c r="B58"/>
  <c r="A67"/>
  <c r="F68" s="1"/>
  <c r="D58"/>
  <c r="H52"/>
  <c r="B52"/>
  <c r="A187"/>
  <c r="F188" s="1"/>
  <c r="E187" s="1"/>
  <c r="D52"/>
  <c r="A61"/>
  <c r="D310"/>
  <c r="B310"/>
  <c r="H310"/>
  <c r="D304"/>
  <c r="B304"/>
  <c r="H304"/>
  <c r="A315"/>
  <c r="H180"/>
  <c r="B180"/>
  <c r="D180"/>
  <c r="A313"/>
  <c r="H178"/>
  <c r="B178"/>
  <c r="D178"/>
  <c r="D308"/>
  <c r="B308"/>
  <c r="H308"/>
  <c r="A195"/>
  <c r="H60"/>
  <c r="J60" s="1"/>
  <c r="B60"/>
  <c r="D60"/>
  <c r="A69"/>
  <c r="A317"/>
  <c r="H182"/>
  <c r="B182"/>
  <c r="D182"/>
  <c r="D302"/>
  <c r="B302"/>
  <c r="H302"/>
  <c r="A325"/>
  <c r="H190"/>
  <c r="B190"/>
  <c r="D190"/>
  <c r="E189" l="1"/>
  <c r="U246" i="1"/>
  <c r="E63" i="6"/>
  <c r="U120" i="1"/>
  <c r="J54" i="6"/>
  <c r="E58"/>
  <c r="E182"/>
  <c r="E184"/>
  <c r="E188"/>
  <c r="E56"/>
  <c r="E186"/>
  <c r="E62"/>
  <c r="E60"/>
  <c r="F70"/>
  <c r="U126" i="1" s="1"/>
  <c r="F196" i="6"/>
  <c r="U252" i="1" s="1"/>
  <c r="W370" i="7"/>
  <c r="W237"/>
  <c r="W49"/>
  <c r="F62" i="6"/>
  <c r="F192"/>
  <c r="F72"/>
  <c r="F209"/>
  <c r="E208" s="1"/>
  <c r="F227"/>
  <c r="E226" s="1"/>
  <c r="K123"/>
  <c r="L114"/>
  <c r="K127"/>
  <c r="L118"/>
  <c r="K126"/>
  <c r="L117"/>
  <c r="K125"/>
  <c r="L116"/>
  <c r="K122"/>
  <c r="L113"/>
  <c r="C127"/>
  <c r="C253"/>
  <c r="C388" s="1"/>
  <c r="C134"/>
  <c r="C269" s="1"/>
  <c r="C404" s="1"/>
  <c r="C260"/>
  <c r="C395" s="1"/>
  <c r="C123"/>
  <c r="C249"/>
  <c r="C384" s="1"/>
  <c r="K119"/>
  <c r="L110"/>
  <c r="K121"/>
  <c r="L112"/>
  <c r="K129"/>
  <c r="K138" s="1"/>
  <c r="L120"/>
  <c r="K133"/>
  <c r="K142" s="1"/>
  <c r="L124"/>
  <c r="A78"/>
  <c r="D69"/>
  <c r="A204"/>
  <c r="B69"/>
  <c r="H69"/>
  <c r="J69" s="1"/>
  <c r="H321"/>
  <c r="J321" s="1"/>
  <c r="B321"/>
  <c r="D321"/>
  <c r="H311"/>
  <c r="B311"/>
  <c r="D311"/>
  <c r="H317"/>
  <c r="B317"/>
  <c r="D317"/>
  <c r="H315"/>
  <c r="B315"/>
  <c r="D315"/>
  <c r="A194"/>
  <c r="F195" s="1"/>
  <c r="E194" s="1"/>
  <c r="A68"/>
  <c r="F69" s="1"/>
  <c r="E68" s="1"/>
  <c r="D59"/>
  <c r="B59"/>
  <c r="H59"/>
  <c r="A326"/>
  <c r="H191"/>
  <c r="D191"/>
  <c r="B191"/>
  <c r="H325"/>
  <c r="B325"/>
  <c r="D325"/>
  <c r="H313"/>
  <c r="B313"/>
  <c r="D313"/>
  <c r="D187"/>
  <c r="A322"/>
  <c r="H187"/>
  <c r="B187"/>
  <c r="A324"/>
  <c r="D189"/>
  <c r="B189"/>
  <c r="H189"/>
  <c r="H309"/>
  <c r="B309"/>
  <c r="D309"/>
  <c r="D185"/>
  <c r="B185"/>
  <c r="H185"/>
  <c r="A320"/>
  <c r="A74"/>
  <c r="F75" s="1"/>
  <c r="D65"/>
  <c r="H65"/>
  <c r="B65"/>
  <c r="A200"/>
  <c r="F201" s="1"/>
  <c r="A70"/>
  <c r="F71" s="1"/>
  <c r="D61"/>
  <c r="A196"/>
  <c r="F197" s="1"/>
  <c r="E196" s="1"/>
  <c r="B61"/>
  <c r="H61"/>
  <c r="A72"/>
  <c r="F73" s="1"/>
  <c r="D63"/>
  <c r="H63"/>
  <c r="B63"/>
  <c r="A198"/>
  <c r="F199" s="1"/>
  <c r="A318"/>
  <c r="D183"/>
  <c r="H183"/>
  <c r="B183"/>
  <c r="A80"/>
  <c r="F81" s="1"/>
  <c r="D71"/>
  <c r="A206"/>
  <c r="F207" s="1"/>
  <c r="H71"/>
  <c r="B71"/>
  <c r="A332"/>
  <c r="H197"/>
  <c r="D197"/>
  <c r="B197"/>
  <c r="A334"/>
  <c r="H199"/>
  <c r="D199"/>
  <c r="B199"/>
  <c r="A202"/>
  <c r="F203" s="1"/>
  <c r="A76"/>
  <c r="F77" s="1"/>
  <c r="D67"/>
  <c r="H67"/>
  <c r="B67"/>
  <c r="H193"/>
  <c r="B193"/>
  <c r="A328"/>
  <c r="D193"/>
  <c r="A66"/>
  <c r="F67" s="1"/>
  <c r="E66" s="1"/>
  <c r="D57"/>
  <c r="B57"/>
  <c r="A192"/>
  <c r="F193" s="1"/>
  <c r="E192" s="1"/>
  <c r="H57"/>
  <c r="A82"/>
  <c r="D73"/>
  <c r="A208"/>
  <c r="B73"/>
  <c r="H73"/>
  <c r="H323"/>
  <c r="B323"/>
  <c r="D323"/>
  <c r="H195"/>
  <c r="J195" s="1"/>
  <c r="A330"/>
  <c r="B195"/>
  <c r="D195"/>
  <c r="H319"/>
  <c r="B319"/>
  <c r="D319"/>
  <c r="E70" l="1"/>
  <c r="U127" i="1"/>
  <c r="J63" i="6"/>
  <c r="J189"/>
  <c r="E198"/>
  <c r="U255" i="1"/>
  <c r="E72" i="6"/>
  <c r="U129" i="1"/>
  <c r="E61" i="6"/>
  <c r="E71"/>
  <c r="E69"/>
  <c r="E74"/>
  <c r="E65"/>
  <c r="E193"/>
  <c r="E191"/>
  <c r="E197"/>
  <c r="E195"/>
  <c r="E67"/>
  <c r="F79"/>
  <c r="U135" i="1" s="1"/>
  <c r="F205" i="6"/>
  <c r="U261" i="1" s="1"/>
  <c r="W371" i="7"/>
  <c r="W238"/>
  <c r="W50"/>
  <c r="F218" i="6"/>
  <c r="E217" s="1"/>
  <c r="L142"/>
  <c r="K151"/>
  <c r="L138"/>
  <c r="K147"/>
  <c r="K130"/>
  <c r="K139" s="1"/>
  <c r="L121"/>
  <c r="K131"/>
  <c r="K140" s="1"/>
  <c r="L122"/>
  <c r="K132"/>
  <c r="K141" s="1"/>
  <c r="L123"/>
  <c r="K128"/>
  <c r="K137" s="1"/>
  <c r="L119"/>
  <c r="K134"/>
  <c r="K143" s="1"/>
  <c r="L125"/>
  <c r="L133"/>
  <c r="K135"/>
  <c r="K144" s="1"/>
  <c r="L126"/>
  <c r="L129"/>
  <c r="C132"/>
  <c r="C267" s="1"/>
  <c r="C402" s="1"/>
  <c r="C258"/>
  <c r="C393" s="1"/>
  <c r="C136"/>
  <c r="C271" s="1"/>
  <c r="C406" s="1"/>
  <c r="C262"/>
  <c r="C397" s="1"/>
  <c r="K136"/>
  <c r="K145" s="1"/>
  <c r="L127"/>
  <c r="A211"/>
  <c r="H76"/>
  <c r="B76"/>
  <c r="D76"/>
  <c r="A85"/>
  <c r="F86" s="1"/>
  <c r="A207"/>
  <c r="F208" s="1"/>
  <c r="H72"/>
  <c r="B72"/>
  <c r="D72"/>
  <c r="A81"/>
  <c r="E80" s="1"/>
  <c r="A209"/>
  <c r="F210" s="1"/>
  <c r="H74"/>
  <c r="B74"/>
  <c r="A83"/>
  <c r="F84" s="1"/>
  <c r="D74"/>
  <c r="D326"/>
  <c r="B326"/>
  <c r="H326"/>
  <c r="D332"/>
  <c r="H332"/>
  <c r="B332"/>
  <c r="A335"/>
  <c r="D200"/>
  <c r="B200"/>
  <c r="H200"/>
  <c r="A201"/>
  <c r="E200" s="1"/>
  <c r="H66"/>
  <c r="B66"/>
  <c r="A75"/>
  <c r="F76" s="1"/>
  <c r="E75" s="1"/>
  <c r="D66"/>
  <c r="D334"/>
  <c r="B334"/>
  <c r="H334"/>
  <c r="D318"/>
  <c r="B318"/>
  <c r="H318"/>
  <c r="A205"/>
  <c r="F206" s="1"/>
  <c r="H70"/>
  <c r="B70"/>
  <c r="A79"/>
  <c r="F80" s="1"/>
  <c r="D70"/>
  <c r="D320"/>
  <c r="B320"/>
  <c r="H320"/>
  <c r="D324"/>
  <c r="B324"/>
  <c r="H324"/>
  <c r="D322"/>
  <c r="H322"/>
  <c r="B322"/>
  <c r="A329"/>
  <c r="D194"/>
  <c r="B194"/>
  <c r="H194"/>
  <c r="A339"/>
  <c r="D204"/>
  <c r="H204"/>
  <c r="J204" s="1"/>
  <c r="B204"/>
  <c r="A217"/>
  <c r="H82"/>
  <c r="B82"/>
  <c r="A91"/>
  <c r="D82"/>
  <c r="A331"/>
  <c r="D196"/>
  <c r="H196"/>
  <c r="B196"/>
  <c r="A213"/>
  <c r="H78"/>
  <c r="J78" s="1"/>
  <c r="B78"/>
  <c r="A87"/>
  <c r="D78"/>
  <c r="A327"/>
  <c r="D192"/>
  <c r="B192"/>
  <c r="H192"/>
  <c r="A341"/>
  <c r="D206"/>
  <c r="H206"/>
  <c r="B206"/>
  <c r="A333"/>
  <c r="D198"/>
  <c r="H198"/>
  <c r="B198"/>
  <c r="D330"/>
  <c r="H330"/>
  <c r="J330" s="1"/>
  <c r="B330"/>
  <c r="A343"/>
  <c r="D208"/>
  <c r="B208"/>
  <c r="H208"/>
  <c r="D328"/>
  <c r="B328"/>
  <c r="H328"/>
  <c r="A337"/>
  <c r="D202"/>
  <c r="B202"/>
  <c r="H202"/>
  <c r="A215"/>
  <c r="F216" s="1"/>
  <c r="H80"/>
  <c r="B80"/>
  <c r="A89"/>
  <c r="F90" s="1"/>
  <c r="D80"/>
  <c r="A203"/>
  <c r="F204" s="1"/>
  <c r="E203" s="1"/>
  <c r="H68"/>
  <c r="B68"/>
  <c r="D68"/>
  <c r="A77"/>
  <c r="F78" s="1"/>
  <c r="E77" s="1"/>
  <c r="E79" l="1"/>
  <c r="U136" i="1"/>
  <c r="E205" i="6"/>
  <c r="U262" i="1"/>
  <c r="J70" i="6"/>
  <c r="E207"/>
  <c r="U264" i="1"/>
  <c r="E206" i="6"/>
  <c r="J198"/>
  <c r="J324"/>
  <c r="J72"/>
  <c r="E76"/>
  <c r="E78"/>
  <c r="E204"/>
  <c r="E209"/>
  <c r="E202"/>
  <c r="F88"/>
  <c r="U144" i="1" s="1"/>
  <c r="F214" i="6"/>
  <c r="U270" i="1" s="1"/>
  <c r="W372" i="7"/>
  <c r="W239"/>
  <c r="W51"/>
  <c r="F202" i="6"/>
  <c r="F82"/>
  <c r="U138" i="1" s="1"/>
  <c r="F212" i="6"/>
  <c r="F236"/>
  <c r="E235" s="1"/>
  <c r="L143"/>
  <c r="K152"/>
  <c r="L141"/>
  <c r="K150"/>
  <c r="L139"/>
  <c r="K148"/>
  <c r="K154"/>
  <c r="L145"/>
  <c r="K146"/>
  <c r="L137"/>
  <c r="L140"/>
  <c r="K149"/>
  <c r="L144"/>
  <c r="K153"/>
  <c r="L147"/>
  <c r="K156"/>
  <c r="L151"/>
  <c r="K160"/>
  <c r="L128"/>
  <c r="L132"/>
  <c r="L136"/>
  <c r="L134"/>
  <c r="L130"/>
  <c r="L135"/>
  <c r="L131"/>
  <c r="H333"/>
  <c r="B333"/>
  <c r="D333"/>
  <c r="A96"/>
  <c r="D87"/>
  <c r="A222"/>
  <c r="H87"/>
  <c r="J87" s="1"/>
  <c r="B87"/>
  <c r="A348"/>
  <c r="H213"/>
  <c r="J213" s="1"/>
  <c r="B213"/>
  <c r="D213"/>
  <c r="H339"/>
  <c r="J339" s="1"/>
  <c r="B339"/>
  <c r="D339"/>
  <c r="H203"/>
  <c r="B203"/>
  <c r="A338"/>
  <c r="D203"/>
  <c r="H343"/>
  <c r="B343"/>
  <c r="D343"/>
  <c r="A88"/>
  <c r="F89" s="1"/>
  <c r="D79"/>
  <c r="A214"/>
  <c r="F215" s="1"/>
  <c r="H79"/>
  <c r="B79"/>
  <c r="A340"/>
  <c r="H205"/>
  <c r="D205"/>
  <c r="B205"/>
  <c r="A94"/>
  <c r="F95" s="1"/>
  <c r="D85"/>
  <c r="B85"/>
  <c r="A220"/>
  <c r="F221" s="1"/>
  <c r="H85"/>
  <c r="A86"/>
  <c r="F87" s="1"/>
  <c r="E86" s="1"/>
  <c r="D77"/>
  <c r="B77"/>
  <c r="A212"/>
  <c r="F213" s="1"/>
  <c r="E212" s="1"/>
  <c r="H77"/>
  <c r="H337"/>
  <c r="B337"/>
  <c r="D337"/>
  <c r="H327"/>
  <c r="B327"/>
  <c r="D327"/>
  <c r="H335"/>
  <c r="B335"/>
  <c r="D335"/>
  <c r="A342"/>
  <c r="H207"/>
  <c r="D207"/>
  <c r="B207"/>
  <c r="A92"/>
  <c r="F93" s="1"/>
  <c r="D83"/>
  <c r="B83"/>
  <c r="H83"/>
  <c r="A218"/>
  <c r="F219" s="1"/>
  <c r="H209"/>
  <c r="B209"/>
  <c r="A344"/>
  <c r="D209"/>
  <c r="H211"/>
  <c r="D211"/>
  <c r="A346"/>
  <c r="B211"/>
  <c r="A100"/>
  <c r="D91"/>
  <c r="H91"/>
  <c r="A226"/>
  <c r="B91"/>
  <c r="H217"/>
  <c r="B217"/>
  <c r="D217"/>
  <c r="A352"/>
  <c r="A224"/>
  <c r="F225" s="1"/>
  <c r="A98"/>
  <c r="F99" s="1"/>
  <c r="D89"/>
  <c r="B89"/>
  <c r="H89"/>
  <c r="A350"/>
  <c r="H215"/>
  <c r="B215"/>
  <c r="D215"/>
  <c r="H341"/>
  <c r="B341"/>
  <c r="D341"/>
  <c r="H331"/>
  <c r="B331"/>
  <c r="D331"/>
  <c r="H329"/>
  <c r="B329"/>
  <c r="D329"/>
  <c r="A84"/>
  <c r="F85" s="1"/>
  <c r="E84" s="1"/>
  <c r="D75"/>
  <c r="H75"/>
  <c r="A210"/>
  <c r="F211" s="1"/>
  <c r="E210" s="1"/>
  <c r="B75"/>
  <c r="H201"/>
  <c r="B201"/>
  <c r="D201"/>
  <c r="A336"/>
  <c r="A216"/>
  <c r="F217" s="1"/>
  <c r="A90"/>
  <c r="F91" s="1"/>
  <c r="D81"/>
  <c r="B81"/>
  <c r="H81"/>
  <c r="J205" l="1"/>
  <c r="E214"/>
  <c r="U271" i="1"/>
  <c r="E88" i="6"/>
  <c r="U145" i="1"/>
  <c r="J79" i="6"/>
  <c r="E90"/>
  <c r="U147" i="1"/>
  <c r="J333" i="6"/>
  <c r="J81"/>
  <c r="E216"/>
  <c r="U273" i="1"/>
  <c r="J207" i="6"/>
  <c r="E89"/>
  <c r="E85"/>
  <c r="E81"/>
  <c r="E211"/>
  <c r="E87"/>
  <c r="E83"/>
  <c r="E215"/>
  <c r="E201"/>
  <c r="E213"/>
  <c r="F97"/>
  <c r="U153" i="1" s="1"/>
  <c r="F223" i="6"/>
  <c r="U279" i="1" s="1"/>
  <c r="W373" i="7"/>
  <c r="W240"/>
  <c r="W52"/>
  <c r="L146" i="6"/>
  <c r="K155"/>
  <c r="K165"/>
  <c r="L156"/>
  <c r="L150"/>
  <c r="K159"/>
  <c r="L154"/>
  <c r="K163"/>
  <c r="L160"/>
  <c r="K169"/>
  <c r="L153"/>
  <c r="K162"/>
  <c r="K158"/>
  <c r="L149"/>
  <c r="L148"/>
  <c r="K157"/>
  <c r="L152"/>
  <c r="K161"/>
  <c r="D336"/>
  <c r="B336"/>
  <c r="H336"/>
  <c r="A233"/>
  <c r="F234" s="1"/>
  <c r="H98"/>
  <c r="B98"/>
  <c r="A107"/>
  <c r="F108" s="1"/>
  <c r="D98"/>
  <c r="A227"/>
  <c r="F228" s="1"/>
  <c r="H92"/>
  <c r="B92"/>
  <c r="D92"/>
  <c r="A101"/>
  <c r="A231"/>
  <c r="H96"/>
  <c r="J96" s="1"/>
  <c r="B96"/>
  <c r="A105"/>
  <c r="D96"/>
  <c r="A351"/>
  <c r="B216"/>
  <c r="D216"/>
  <c r="H216"/>
  <c r="A345"/>
  <c r="B210"/>
  <c r="D210"/>
  <c r="H210"/>
  <c r="D344"/>
  <c r="B344"/>
  <c r="H344"/>
  <c r="A353"/>
  <c r="B218"/>
  <c r="D218"/>
  <c r="H218"/>
  <c r="A347"/>
  <c r="B212"/>
  <c r="D212"/>
  <c r="H212"/>
  <c r="A221"/>
  <c r="E220" s="1"/>
  <c r="H86"/>
  <c r="B86"/>
  <c r="A95"/>
  <c r="F96" s="1"/>
  <c r="E95" s="1"/>
  <c r="D86"/>
  <c r="A225"/>
  <c r="F226" s="1"/>
  <c r="H90"/>
  <c r="B90"/>
  <c r="A99"/>
  <c r="F100" s="1"/>
  <c r="D90"/>
  <c r="A219"/>
  <c r="F220" s="1"/>
  <c r="E219" s="1"/>
  <c r="H84"/>
  <c r="B84"/>
  <c r="D84"/>
  <c r="A93"/>
  <c r="F94" s="1"/>
  <c r="E93" s="1"/>
  <c r="D352"/>
  <c r="B352"/>
  <c r="H352"/>
  <c r="D340"/>
  <c r="B340"/>
  <c r="H340"/>
  <c r="A349"/>
  <c r="B214"/>
  <c r="D214"/>
  <c r="H214"/>
  <c r="D338"/>
  <c r="H338"/>
  <c r="B338"/>
  <c r="D348"/>
  <c r="H348"/>
  <c r="J348" s="1"/>
  <c r="B348"/>
  <c r="A357"/>
  <c r="B222"/>
  <c r="D222"/>
  <c r="H222"/>
  <c r="J222" s="1"/>
  <c r="A235"/>
  <c r="H100"/>
  <c r="B100"/>
  <c r="D100"/>
  <c r="A109"/>
  <c r="A223"/>
  <c r="F224" s="1"/>
  <c r="H88"/>
  <c r="B88"/>
  <c r="A97"/>
  <c r="F98" s="1"/>
  <c r="D88"/>
  <c r="D350"/>
  <c r="B350"/>
  <c r="H350"/>
  <c r="D346"/>
  <c r="H346"/>
  <c r="B346"/>
  <c r="A359"/>
  <c r="B224"/>
  <c r="D224"/>
  <c r="H224"/>
  <c r="A361"/>
  <c r="B226"/>
  <c r="D226"/>
  <c r="H226"/>
  <c r="D342"/>
  <c r="B342"/>
  <c r="H342"/>
  <c r="A355"/>
  <c r="B220"/>
  <c r="D220"/>
  <c r="H220"/>
  <c r="A229"/>
  <c r="F230" s="1"/>
  <c r="H94"/>
  <c r="B94"/>
  <c r="D94"/>
  <c r="A103"/>
  <c r="F104" s="1"/>
  <c r="E223" l="1"/>
  <c r="U280" i="1"/>
  <c r="J214" i="6"/>
  <c r="J340"/>
  <c r="J88"/>
  <c r="E97"/>
  <c r="U154" i="1"/>
  <c r="J342" i="6"/>
  <c r="J90"/>
  <c r="E225"/>
  <c r="U282" i="1"/>
  <c r="E99" i="6"/>
  <c r="U156" i="1"/>
  <c r="J216" i="6"/>
  <c r="E224"/>
  <c r="E92"/>
  <c r="E96"/>
  <c r="E218"/>
  <c r="E222"/>
  <c r="E98"/>
  <c r="E94"/>
  <c r="F106"/>
  <c r="U162" i="1" s="1"/>
  <c r="E104" i="6"/>
  <c r="W374" i="7"/>
  <c r="W241"/>
  <c r="W53"/>
  <c r="F102" i="6"/>
  <c r="F222"/>
  <c r="F232"/>
  <c r="U288" i="1" s="1"/>
  <c r="F245" i="6"/>
  <c r="E244" s="1"/>
  <c r="L157"/>
  <c r="K166"/>
  <c r="L162"/>
  <c r="K171"/>
  <c r="L163"/>
  <c r="K172"/>
  <c r="L159"/>
  <c r="K168"/>
  <c r="K167"/>
  <c r="L158"/>
  <c r="K174"/>
  <c r="L165"/>
  <c r="K170"/>
  <c r="L161"/>
  <c r="K178"/>
  <c r="L169"/>
  <c r="K164"/>
  <c r="L155"/>
  <c r="H349"/>
  <c r="B349"/>
  <c r="D349"/>
  <c r="A108"/>
  <c r="F109" s="1"/>
  <c r="D99"/>
  <c r="A234"/>
  <c r="F235" s="1"/>
  <c r="B99"/>
  <c r="H99"/>
  <c r="H225"/>
  <c r="B225"/>
  <c r="A360"/>
  <c r="D225"/>
  <c r="A240"/>
  <c r="A114"/>
  <c r="D105"/>
  <c r="B105"/>
  <c r="H105"/>
  <c r="J105" s="1"/>
  <c r="A364"/>
  <c r="H229"/>
  <c r="B229"/>
  <c r="D229"/>
  <c r="H357"/>
  <c r="J357" s="1"/>
  <c r="B357"/>
  <c r="D357"/>
  <c r="H347"/>
  <c r="B347"/>
  <c r="D347"/>
  <c r="H359"/>
  <c r="B359"/>
  <c r="D359"/>
  <c r="H235"/>
  <c r="D235"/>
  <c r="A370"/>
  <c r="B235"/>
  <c r="H219"/>
  <c r="D219"/>
  <c r="A354"/>
  <c r="B219"/>
  <c r="A104"/>
  <c r="F105" s="1"/>
  <c r="D95"/>
  <c r="A230"/>
  <c r="F231" s="1"/>
  <c r="E230" s="1"/>
  <c r="H95"/>
  <c r="B95"/>
  <c r="A356"/>
  <c r="H221"/>
  <c r="B221"/>
  <c r="D221"/>
  <c r="H351"/>
  <c r="B351"/>
  <c r="D351"/>
  <c r="H227"/>
  <c r="D227"/>
  <c r="A362"/>
  <c r="B227"/>
  <c r="H355"/>
  <c r="B355"/>
  <c r="D355"/>
  <c r="A232"/>
  <c r="F233" s="1"/>
  <c r="A106"/>
  <c r="F107" s="1"/>
  <c r="D97"/>
  <c r="B97"/>
  <c r="H97"/>
  <c r="A358"/>
  <c r="H223"/>
  <c r="B223"/>
  <c r="D223"/>
  <c r="H353"/>
  <c r="B353"/>
  <c r="D353"/>
  <c r="A366"/>
  <c r="H231"/>
  <c r="J231" s="1"/>
  <c r="B231"/>
  <c r="D231"/>
  <c r="A116"/>
  <c r="F117" s="1"/>
  <c r="D107"/>
  <c r="A242"/>
  <c r="F243" s="1"/>
  <c r="B107"/>
  <c r="H107"/>
  <c r="H233"/>
  <c r="B233"/>
  <c r="D233"/>
  <c r="A368"/>
  <c r="A112"/>
  <c r="F113" s="1"/>
  <c r="D103"/>
  <c r="A238"/>
  <c r="F239" s="1"/>
  <c r="H103"/>
  <c r="B103"/>
  <c r="H361"/>
  <c r="B361"/>
  <c r="D361"/>
  <c r="A118"/>
  <c r="D109"/>
  <c r="B109"/>
  <c r="A244"/>
  <c r="H109"/>
  <c r="A102"/>
  <c r="F103" s="1"/>
  <c r="E102" s="1"/>
  <c r="D93"/>
  <c r="B93"/>
  <c r="A228"/>
  <c r="F229" s="1"/>
  <c r="E228" s="1"/>
  <c r="H93"/>
  <c r="H345"/>
  <c r="B345"/>
  <c r="D345"/>
  <c r="A110"/>
  <c r="F111" s="1"/>
  <c r="D101"/>
  <c r="B101"/>
  <c r="H101"/>
  <c r="A236"/>
  <c r="F237" s="1"/>
  <c r="J349" l="1"/>
  <c r="J97"/>
  <c r="E232"/>
  <c r="U289" i="1"/>
  <c r="E106" i="6"/>
  <c r="U163" i="1"/>
  <c r="J223" i="6"/>
  <c r="J225"/>
  <c r="E234"/>
  <c r="U291" i="1"/>
  <c r="J351" i="6"/>
  <c r="J99"/>
  <c r="E108"/>
  <c r="U165" i="1"/>
  <c r="E103" i="6"/>
  <c r="E238"/>
  <c r="E105"/>
  <c r="E107"/>
  <c r="E101"/>
  <c r="E221"/>
  <c r="E236"/>
  <c r="E227"/>
  <c r="E229"/>
  <c r="E233"/>
  <c r="F241"/>
  <c r="U297" i="1" s="1"/>
  <c r="E239" i="6"/>
  <c r="F115"/>
  <c r="U171" i="1" s="1"/>
  <c r="E231" i="6"/>
  <c r="W375" i="7"/>
  <c r="W242"/>
  <c r="W54"/>
  <c r="F277" i="6"/>
  <c r="F263"/>
  <c r="E262" s="1"/>
  <c r="F254"/>
  <c r="E253" s="1"/>
  <c r="K173"/>
  <c r="L164"/>
  <c r="L170"/>
  <c r="K179"/>
  <c r="K176"/>
  <c r="L167"/>
  <c r="K181"/>
  <c r="L172"/>
  <c r="K175"/>
  <c r="L166"/>
  <c r="L178"/>
  <c r="K187"/>
  <c r="L174"/>
  <c r="K183"/>
  <c r="L168"/>
  <c r="K177"/>
  <c r="K180"/>
  <c r="L171"/>
  <c r="A367"/>
  <c r="B232"/>
  <c r="D232"/>
  <c r="H232"/>
  <c r="A239"/>
  <c r="F240" s="1"/>
  <c r="H104"/>
  <c r="B104"/>
  <c r="A113"/>
  <c r="F114" s="1"/>
  <c r="E113" s="1"/>
  <c r="D104"/>
  <c r="A249"/>
  <c r="H114"/>
  <c r="J114" s="1"/>
  <c r="B114"/>
  <c r="A123"/>
  <c r="D114"/>
  <c r="A243"/>
  <c r="F244" s="1"/>
  <c r="H108"/>
  <c r="B108"/>
  <c r="D108"/>
  <c r="A117"/>
  <c r="F118" s="1"/>
  <c r="A253"/>
  <c r="H118"/>
  <c r="B118"/>
  <c r="A127"/>
  <c r="D118"/>
  <c r="A373"/>
  <c r="B238"/>
  <c r="D238"/>
  <c r="H238"/>
  <c r="D354"/>
  <c r="H354"/>
  <c r="B354"/>
  <c r="D370"/>
  <c r="H370"/>
  <c r="B370"/>
  <c r="D364"/>
  <c r="H364"/>
  <c r="B364"/>
  <c r="D360"/>
  <c r="B360"/>
  <c r="H360"/>
  <c r="A371"/>
  <c r="B236"/>
  <c r="D236"/>
  <c r="H236"/>
  <c r="D368"/>
  <c r="B368"/>
  <c r="H368"/>
  <c r="A377"/>
  <c r="B242"/>
  <c r="D242"/>
  <c r="H242"/>
  <c r="D358"/>
  <c r="B358"/>
  <c r="H358"/>
  <c r="D356"/>
  <c r="B356"/>
  <c r="H356"/>
  <c r="A365"/>
  <c r="B230"/>
  <c r="D230"/>
  <c r="H230"/>
  <c r="A369"/>
  <c r="B234"/>
  <c r="D234"/>
  <c r="H234"/>
  <c r="A251"/>
  <c r="H116"/>
  <c r="B116"/>
  <c r="D116"/>
  <c r="A125"/>
  <c r="F126" s="1"/>
  <c r="A245"/>
  <c r="F246" s="1"/>
  <c r="H110"/>
  <c r="B110"/>
  <c r="A119"/>
  <c r="F120" s="1"/>
  <c r="D110"/>
  <c r="A379"/>
  <c r="B244"/>
  <c r="D244"/>
  <c r="H244"/>
  <c r="A241"/>
  <c r="H106"/>
  <c r="B106"/>
  <c r="A115"/>
  <c r="F116" s="1"/>
  <c r="D106"/>
  <c r="D362"/>
  <c r="H362"/>
  <c r="B362"/>
  <c r="A363"/>
  <c r="B228"/>
  <c r="D228"/>
  <c r="H228"/>
  <c r="A237"/>
  <c r="F238" s="1"/>
  <c r="E237" s="1"/>
  <c r="H102"/>
  <c r="B102"/>
  <c r="A111"/>
  <c r="E110" s="1"/>
  <c r="D102"/>
  <c r="A247"/>
  <c r="F248" s="1"/>
  <c r="H112"/>
  <c r="B112"/>
  <c r="A121"/>
  <c r="D112"/>
  <c r="D366"/>
  <c r="B366"/>
  <c r="H366"/>
  <c r="J366" s="1"/>
  <c r="A375"/>
  <c r="B240"/>
  <c r="D240"/>
  <c r="H240"/>
  <c r="J240" s="1"/>
  <c r="J106" l="1"/>
  <c r="E115"/>
  <c r="U172" i="1"/>
  <c r="J232" i="6"/>
  <c r="J358"/>
  <c r="J234"/>
  <c r="E117"/>
  <c r="U174" i="1"/>
  <c r="E243" i="6"/>
  <c r="U300" i="1"/>
  <c r="J360" i="6"/>
  <c r="J108"/>
  <c r="E240"/>
  <c r="E276"/>
  <c r="E116"/>
  <c r="E112"/>
  <c r="E247"/>
  <c r="E114"/>
  <c r="E242"/>
  <c r="F250"/>
  <c r="U306" i="1" s="1"/>
  <c r="F124" i="6"/>
  <c r="U180" i="1" s="1"/>
  <c r="W376" i="7"/>
  <c r="W243"/>
  <c r="W55"/>
  <c r="F122" i="6"/>
  <c r="F242"/>
  <c r="U298" i="1" s="1"/>
  <c r="F252" i="6"/>
  <c r="F112"/>
  <c r="F276"/>
  <c r="F273"/>
  <c r="F281"/>
  <c r="F287"/>
  <c r="F280"/>
  <c r="F272"/>
  <c r="K184"/>
  <c r="L175"/>
  <c r="K185"/>
  <c r="L176"/>
  <c r="L173"/>
  <c r="K182"/>
  <c r="K186"/>
  <c r="L177"/>
  <c r="K196"/>
  <c r="L187"/>
  <c r="L180"/>
  <c r="K189"/>
  <c r="K190"/>
  <c r="L181"/>
  <c r="L183"/>
  <c r="K192"/>
  <c r="K188"/>
  <c r="L179"/>
  <c r="A256"/>
  <c r="F257" s="1"/>
  <c r="A130"/>
  <c r="F131" s="1"/>
  <c r="D121"/>
  <c r="H121"/>
  <c r="B121"/>
  <c r="A382"/>
  <c r="H247"/>
  <c r="B247"/>
  <c r="D247"/>
  <c r="A128"/>
  <c r="F129" s="1"/>
  <c r="D119"/>
  <c r="A254"/>
  <c r="F255" s="1"/>
  <c r="H119"/>
  <c r="B119"/>
  <c r="A380"/>
  <c r="H245"/>
  <c r="B245"/>
  <c r="D245"/>
  <c r="H365"/>
  <c r="B365"/>
  <c r="D365"/>
  <c r="H367"/>
  <c r="B367"/>
  <c r="D367"/>
  <c r="H369"/>
  <c r="B369"/>
  <c r="D369"/>
  <c r="H373"/>
  <c r="B373"/>
  <c r="D373"/>
  <c r="H243"/>
  <c r="D243"/>
  <c r="A378"/>
  <c r="B243"/>
  <c r="A248"/>
  <c r="F249" s="1"/>
  <c r="E248" s="1"/>
  <c r="A122"/>
  <c r="F123" s="1"/>
  <c r="E122" s="1"/>
  <c r="D113"/>
  <c r="B113"/>
  <c r="H113"/>
  <c r="H375"/>
  <c r="J375" s="1"/>
  <c r="B375"/>
  <c r="D375"/>
  <c r="A120"/>
  <c r="F121" s="1"/>
  <c r="E120" s="1"/>
  <c r="D111"/>
  <c r="A246"/>
  <c r="F247" s="1"/>
  <c r="E246" s="1"/>
  <c r="H111"/>
  <c r="B111"/>
  <c r="A372"/>
  <c r="H237"/>
  <c r="D237"/>
  <c r="B237"/>
  <c r="H379"/>
  <c r="B379"/>
  <c r="D379"/>
  <c r="H251"/>
  <c r="D251"/>
  <c r="A386"/>
  <c r="B251"/>
  <c r="H371"/>
  <c r="B371"/>
  <c r="D371"/>
  <c r="A126"/>
  <c r="F127" s="1"/>
  <c r="D117"/>
  <c r="B117"/>
  <c r="A252"/>
  <c r="F253" s="1"/>
  <c r="H117"/>
  <c r="H363"/>
  <c r="B363"/>
  <c r="D363"/>
  <c r="A374"/>
  <c r="H239"/>
  <c r="B239"/>
  <c r="D239"/>
  <c r="A124"/>
  <c r="F125" s="1"/>
  <c r="D115"/>
  <c r="H115"/>
  <c r="B115"/>
  <c r="A250"/>
  <c r="F251" s="1"/>
  <c r="H241"/>
  <c r="B241"/>
  <c r="A376"/>
  <c r="D241"/>
  <c r="A134"/>
  <c r="F135" s="1"/>
  <c r="D125"/>
  <c r="B125"/>
  <c r="A260"/>
  <c r="F261" s="1"/>
  <c r="H125"/>
  <c r="H377"/>
  <c r="B377"/>
  <c r="D377"/>
  <c r="A136"/>
  <c r="D127"/>
  <c r="A262"/>
  <c r="H127"/>
  <c r="B127"/>
  <c r="A388"/>
  <c r="H253"/>
  <c r="B253"/>
  <c r="D253"/>
  <c r="A132"/>
  <c r="D123"/>
  <c r="H123"/>
  <c r="J123" s="1"/>
  <c r="A258"/>
  <c r="B123"/>
  <c r="H249"/>
  <c r="J249" s="1"/>
  <c r="B249"/>
  <c r="D249"/>
  <c r="A384"/>
  <c r="J115" l="1"/>
  <c r="E124"/>
  <c r="U181" i="1"/>
  <c r="J367" i="6"/>
  <c r="J241"/>
  <c r="E250"/>
  <c r="U307" i="1"/>
  <c r="J243" i="6"/>
  <c r="E252"/>
  <c r="U309" i="1"/>
  <c r="J369" i="6"/>
  <c r="J117"/>
  <c r="E126"/>
  <c r="U183" i="1"/>
  <c r="E249" i="6"/>
  <c r="E119"/>
  <c r="E279"/>
  <c r="E275"/>
  <c r="E121"/>
  <c r="E271"/>
  <c r="E272"/>
  <c r="E241"/>
  <c r="E280"/>
  <c r="E251"/>
  <c r="E128"/>
  <c r="E123"/>
  <c r="E125"/>
  <c r="E245"/>
  <c r="E286"/>
  <c r="E111"/>
  <c r="F259"/>
  <c r="U315" i="1" s="1"/>
  <c r="F133" i="6"/>
  <c r="U189" i="1" s="1"/>
  <c r="W377" i="7"/>
  <c r="W244"/>
  <c r="W56"/>
  <c r="F290" i="6"/>
  <c r="F278"/>
  <c r="F275"/>
  <c r="F291"/>
  <c r="F286"/>
  <c r="F297"/>
  <c r="F279"/>
  <c r="F282"/>
  <c r="F274"/>
  <c r="F283"/>
  <c r="K197"/>
  <c r="L188"/>
  <c r="K195"/>
  <c r="L186"/>
  <c r="K194"/>
  <c r="L185"/>
  <c r="L189"/>
  <c r="K198"/>
  <c r="K199"/>
  <c r="L190"/>
  <c r="K205"/>
  <c r="L196"/>
  <c r="L184"/>
  <c r="K193"/>
  <c r="K201"/>
  <c r="L192"/>
  <c r="K191"/>
  <c r="L182"/>
  <c r="A267"/>
  <c r="H132"/>
  <c r="J132" s="1"/>
  <c r="B132"/>
  <c r="D132"/>
  <c r="A259"/>
  <c r="F260" s="1"/>
  <c r="H124"/>
  <c r="B124"/>
  <c r="D124"/>
  <c r="A133"/>
  <c r="F134" s="1"/>
  <c r="D378"/>
  <c r="H378"/>
  <c r="B378"/>
  <c r="A271"/>
  <c r="H136"/>
  <c r="B136"/>
  <c r="D136"/>
  <c r="D376"/>
  <c r="B376"/>
  <c r="H376"/>
  <c r="A385"/>
  <c r="B250"/>
  <c r="D250"/>
  <c r="H250"/>
  <c r="A255"/>
  <c r="F256" s="1"/>
  <c r="E255" s="1"/>
  <c r="H120"/>
  <c r="B120"/>
  <c r="D120"/>
  <c r="A129"/>
  <c r="F130" s="1"/>
  <c r="E129" s="1"/>
  <c r="D380"/>
  <c r="H380"/>
  <c r="B380"/>
  <c r="A389"/>
  <c r="B254"/>
  <c r="D254"/>
  <c r="H254"/>
  <c r="D384"/>
  <c r="B384"/>
  <c r="H384"/>
  <c r="J384" s="1"/>
  <c r="D386"/>
  <c r="H386"/>
  <c r="B386"/>
  <c r="D382"/>
  <c r="B382"/>
  <c r="H382"/>
  <c r="A257"/>
  <c r="F258" s="1"/>
  <c r="E257" s="1"/>
  <c r="H122"/>
  <c r="B122"/>
  <c r="A131"/>
  <c r="E130" s="1"/>
  <c r="D122"/>
  <c r="A391"/>
  <c r="B256"/>
  <c r="D256"/>
  <c r="H256"/>
  <c r="A387"/>
  <c r="B252"/>
  <c r="D252"/>
  <c r="H252"/>
  <c r="A261"/>
  <c r="E260" s="1"/>
  <c r="H126"/>
  <c r="B126"/>
  <c r="A135"/>
  <c r="F136" s="1"/>
  <c r="D126"/>
  <c r="A265"/>
  <c r="F266" s="1"/>
  <c r="H130"/>
  <c r="B130"/>
  <c r="D130"/>
  <c r="A393"/>
  <c r="B258"/>
  <c r="D258"/>
  <c r="H258"/>
  <c r="J258" s="1"/>
  <c r="D388"/>
  <c r="B388"/>
  <c r="H388"/>
  <c r="A397"/>
  <c r="B262"/>
  <c r="D262"/>
  <c r="H262"/>
  <c r="A395"/>
  <c r="B260"/>
  <c r="D260"/>
  <c r="H260"/>
  <c r="A269"/>
  <c r="F270" s="1"/>
  <c r="H134"/>
  <c r="B134"/>
  <c r="D134"/>
  <c r="D374"/>
  <c r="B374"/>
  <c r="H374"/>
  <c r="D372"/>
  <c r="B372"/>
  <c r="H372"/>
  <c r="A381"/>
  <c r="B246"/>
  <c r="D246"/>
  <c r="H246"/>
  <c r="A383"/>
  <c r="B248"/>
  <c r="D248"/>
  <c r="H248"/>
  <c r="A263"/>
  <c r="F264" s="1"/>
  <c r="H128"/>
  <c r="B128"/>
  <c r="D128"/>
  <c r="G3" i="2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2"/>
  <c r="B507"/>
  <c r="C507"/>
  <c r="D507"/>
  <c r="E507"/>
  <c r="F507"/>
  <c r="B508"/>
  <c r="C508"/>
  <c r="D508"/>
  <c r="E508"/>
  <c r="F508"/>
  <c r="B509"/>
  <c r="C509"/>
  <c r="D509"/>
  <c r="E509"/>
  <c r="F509"/>
  <c r="B510"/>
  <c r="C510"/>
  <c r="D510"/>
  <c r="E510"/>
  <c r="F510"/>
  <c r="B511"/>
  <c r="C511"/>
  <c r="D511"/>
  <c r="E511"/>
  <c r="F511"/>
  <c r="B512"/>
  <c r="C512"/>
  <c r="D512"/>
  <c r="E512"/>
  <c r="F512"/>
  <c r="B513"/>
  <c r="C513"/>
  <c r="D513"/>
  <c r="E513"/>
  <c r="F513"/>
  <c r="B514"/>
  <c r="C514"/>
  <c r="D514"/>
  <c r="E514"/>
  <c r="F514"/>
  <c r="B515"/>
  <c r="C515"/>
  <c r="D515"/>
  <c r="E515"/>
  <c r="F515"/>
  <c r="B516"/>
  <c r="C516"/>
  <c r="D516"/>
  <c r="E516"/>
  <c r="F516"/>
  <c r="B517"/>
  <c r="C517"/>
  <c r="D517"/>
  <c r="E517"/>
  <c r="F517"/>
  <c r="B518"/>
  <c r="C518"/>
  <c r="D518"/>
  <c r="E518"/>
  <c r="F518"/>
  <c r="B519"/>
  <c r="C519"/>
  <c r="D519"/>
  <c r="E519"/>
  <c r="F519"/>
  <c r="B520"/>
  <c r="C520"/>
  <c r="D520"/>
  <c r="E520"/>
  <c r="F520"/>
  <c r="B521"/>
  <c r="C521"/>
  <c r="D521"/>
  <c r="E521"/>
  <c r="F521"/>
  <c r="B522"/>
  <c r="C522"/>
  <c r="D522"/>
  <c r="E522"/>
  <c r="F522"/>
  <c r="B523"/>
  <c r="C523"/>
  <c r="D523"/>
  <c r="E523"/>
  <c r="F523"/>
  <c r="B524"/>
  <c r="C524"/>
  <c r="D524"/>
  <c r="E524"/>
  <c r="F524"/>
  <c r="B525"/>
  <c r="C525"/>
  <c r="D525"/>
  <c r="E525"/>
  <c r="F525"/>
  <c r="B526"/>
  <c r="C526"/>
  <c r="D526"/>
  <c r="E526"/>
  <c r="F526"/>
  <c r="B527"/>
  <c r="C527"/>
  <c r="D527"/>
  <c r="E527"/>
  <c r="F527"/>
  <c r="B528"/>
  <c r="C528"/>
  <c r="D528"/>
  <c r="E528"/>
  <c r="F528"/>
  <c r="B529"/>
  <c r="C529"/>
  <c r="D529"/>
  <c r="E529"/>
  <c r="F529"/>
  <c r="B530"/>
  <c r="C530"/>
  <c r="D530"/>
  <c r="E530"/>
  <c r="F530"/>
  <c r="B531"/>
  <c r="C531"/>
  <c r="D531"/>
  <c r="E531"/>
  <c r="F531"/>
  <c r="B532"/>
  <c r="C532"/>
  <c r="D532"/>
  <c r="E532"/>
  <c r="F532"/>
  <c r="B533"/>
  <c r="C533"/>
  <c r="D533"/>
  <c r="E533"/>
  <c r="F533"/>
  <c r="B534"/>
  <c r="C534"/>
  <c r="D534"/>
  <c r="E534"/>
  <c r="F534"/>
  <c r="B535"/>
  <c r="C535"/>
  <c r="D535"/>
  <c r="E535"/>
  <c r="F535"/>
  <c r="B536"/>
  <c r="C536"/>
  <c r="D536"/>
  <c r="E536"/>
  <c r="F536"/>
  <c r="B537"/>
  <c r="C537"/>
  <c r="D537"/>
  <c r="E537"/>
  <c r="F537"/>
  <c r="B538"/>
  <c r="C538"/>
  <c r="D538"/>
  <c r="E538"/>
  <c r="F538"/>
  <c r="B539"/>
  <c r="C539"/>
  <c r="D539"/>
  <c r="E539"/>
  <c r="F539"/>
  <c r="B540"/>
  <c r="C540"/>
  <c r="D540"/>
  <c r="E540"/>
  <c r="F540"/>
  <c r="B541"/>
  <c r="C541"/>
  <c r="D541"/>
  <c r="E541"/>
  <c r="F541"/>
  <c r="B542"/>
  <c r="C542"/>
  <c r="D542"/>
  <c r="E542"/>
  <c r="F542"/>
  <c r="B543"/>
  <c r="C543"/>
  <c r="D543"/>
  <c r="E543"/>
  <c r="F543"/>
  <c r="B544"/>
  <c r="C544"/>
  <c r="D544"/>
  <c r="E544"/>
  <c r="F544"/>
  <c r="B545"/>
  <c r="C545"/>
  <c r="D545"/>
  <c r="E545"/>
  <c r="F545"/>
  <c r="B546"/>
  <c r="C546"/>
  <c r="D546"/>
  <c r="E546"/>
  <c r="F546"/>
  <c r="B547"/>
  <c r="C547"/>
  <c r="D547"/>
  <c r="E547"/>
  <c r="F547"/>
  <c r="B548"/>
  <c r="C548"/>
  <c r="D548"/>
  <c r="E548"/>
  <c r="F548"/>
  <c r="B549"/>
  <c r="C549"/>
  <c r="D549"/>
  <c r="E549"/>
  <c r="F549"/>
  <c r="B550"/>
  <c r="C550"/>
  <c r="D550"/>
  <c r="E550"/>
  <c r="F550"/>
  <c r="B551"/>
  <c r="C551"/>
  <c r="D551"/>
  <c r="E551"/>
  <c r="F551"/>
  <c r="B552"/>
  <c r="C552"/>
  <c r="D552"/>
  <c r="E552"/>
  <c r="F552"/>
  <c r="B553"/>
  <c r="C553"/>
  <c r="D553"/>
  <c r="E553"/>
  <c r="F553"/>
  <c r="B554"/>
  <c r="C554"/>
  <c r="D554"/>
  <c r="E554"/>
  <c r="F554"/>
  <c r="B555"/>
  <c r="C555"/>
  <c r="D555"/>
  <c r="E555"/>
  <c r="F555"/>
  <c r="B556"/>
  <c r="C556"/>
  <c r="D556"/>
  <c r="E556"/>
  <c r="F556"/>
  <c r="B557"/>
  <c r="C557"/>
  <c r="D557"/>
  <c r="E557"/>
  <c r="F557"/>
  <c r="B558"/>
  <c r="C558"/>
  <c r="D558"/>
  <c r="E558"/>
  <c r="F558"/>
  <c r="B559"/>
  <c r="C559"/>
  <c r="D559"/>
  <c r="E559"/>
  <c r="F559"/>
  <c r="B560"/>
  <c r="C560"/>
  <c r="D560"/>
  <c r="E560"/>
  <c r="F560"/>
  <c r="B561"/>
  <c r="C561"/>
  <c r="D561"/>
  <c r="E561"/>
  <c r="F561"/>
  <c r="B562"/>
  <c r="C562"/>
  <c r="D562"/>
  <c r="E562"/>
  <c r="F562"/>
  <c r="B563"/>
  <c r="C563"/>
  <c r="D563"/>
  <c r="E563"/>
  <c r="F563"/>
  <c r="B564"/>
  <c r="C564"/>
  <c r="D564"/>
  <c r="E564"/>
  <c r="F564"/>
  <c r="B565"/>
  <c r="C565"/>
  <c r="D565"/>
  <c r="E565"/>
  <c r="F565"/>
  <c r="B566"/>
  <c r="C566"/>
  <c r="D566"/>
  <c r="E566"/>
  <c r="F566"/>
  <c r="B567"/>
  <c r="C567"/>
  <c r="D567"/>
  <c r="E567"/>
  <c r="F567"/>
  <c r="B568"/>
  <c r="C568"/>
  <c r="D568"/>
  <c r="E568"/>
  <c r="F568"/>
  <c r="B569"/>
  <c r="C569"/>
  <c r="D569"/>
  <c r="E569"/>
  <c r="F569"/>
  <c r="B570"/>
  <c r="C570"/>
  <c r="D570"/>
  <c r="E570"/>
  <c r="F570"/>
  <c r="B571"/>
  <c r="C571"/>
  <c r="D571"/>
  <c r="E571"/>
  <c r="F571"/>
  <c r="B572"/>
  <c r="C572"/>
  <c r="D572"/>
  <c r="E572"/>
  <c r="F572"/>
  <c r="B573"/>
  <c r="C573"/>
  <c r="D573"/>
  <c r="E573"/>
  <c r="F573"/>
  <c r="B574"/>
  <c r="C574"/>
  <c r="D574"/>
  <c r="E574"/>
  <c r="F574"/>
  <c r="B575"/>
  <c r="C575"/>
  <c r="D575"/>
  <c r="E575"/>
  <c r="F575"/>
  <c r="B576"/>
  <c r="C576"/>
  <c r="D576"/>
  <c r="E576"/>
  <c r="F576"/>
  <c r="B577"/>
  <c r="C577"/>
  <c r="D577"/>
  <c r="E577"/>
  <c r="F577"/>
  <c r="B578"/>
  <c r="C578"/>
  <c r="D578"/>
  <c r="E578"/>
  <c r="F578"/>
  <c r="B579"/>
  <c r="C579"/>
  <c r="D579"/>
  <c r="E579"/>
  <c r="F579"/>
  <c r="B580"/>
  <c r="C580"/>
  <c r="D580"/>
  <c r="E580"/>
  <c r="F580"/>
  <c r="B581"/>
  <c r="C581"/>
  <c r="D581"/>
  <c r="E581"/>
  <c r="F581"/>
  <c r="B582"/>
  <c r="C582"/>
  <c r="D582"/>
  <c r="E582"/>
  <c r="F582"/>
  <c r="B583"/>
  <c r="C583"/>
  <c r="D583"/>
  <c r="E583"/>
  <c r="F583"/>
  <c r="B584"/>
  <c r="C584"/>
  <c r="D584"/>
  <c r="E584"/>
  <c r="F584"/>
  <c r="B585"/>
  <c r="C585"/>
  <c r="D585"/>
  <c r="E585"/>
  <c r="F585"/>
  <c r="B586"/>
  <c r="C586"/>
  <c r="D586"/>
  <c r="E586"/>
  <c r="F586"/>
  <c r="B587"/>
  <c r="C587"/>
  <c r="D587"/>
  <c r="E587"/>
  <c r="F587"/>
  <c r="B588"/>
  <c r="C588"/>
  <c r="D588"/>
  <c r="E588"/>
  <c r="F588"/>
  <c r="B589"/>
  <c r="C589"/>
  <c r="D589"/>
  <c r="E589"/>
  <c r="F589"/>
  <c r="B590"/>
  <c r="C590"/>
  <c r="D590"/>
  <c r="E590"/>
  <c r="F590"/>
  <c r="B591"/>
  <c r="C591"/>
  <c r="D591"/>
  <c r="E591"/>
  <c r="F591"/>
  <c r="B592"/>
  <c r="C592"/>
  <c r="D592"/>
  <c r="E592"/>
  <c r="F592"/>
  <c r="B593"/>
  <c r="C593"/>
  <c r="D593"/>
  <c r="E593"/>
  <c r="F593"/>
  <c r="B594"/>
  <c r="C594"/>
  <c r="D594"/>
  <c r="E594"/>
  <c r="F594"/>
  <c r="B595"/>
  <c r="C595"/>
  <c r="D595"/>
  <c r="E595"/>
  <c r="F595"/>
  <c r="B596"/>
  <c r="C596"/>
  <c r="D596"/>
  <c r="E596"/>
  <c r="F596"/>
  <c r="B597"/>
  <c r="C597"/>
  <c r="D597"/>
  <c r="E597"/>
  <c r="F597"/>
  <c r="B598"/>
  <c r="C598"/>
  <c r="D598"/>
  <c r="E598"/>
  <c r="F598"/>
  <c r="B599"/>
  <c r="C599"/>
  <c r="D599"/>
  <c r="E599"/>
  <c r="F599"/>
  <c r="B600"/>
  <c r="C600"/>
  <c r="D600"/>
  <c r="E600"/>
  <c r="F600"/>
  <c r="B601"/>
  <c r="C601"/>
  <c r="D601"/>
  <c r="E601"/>
  <c r="F601"/>
  <c r="B602"/>
  <c r="C602"/>
  <c r="D602"/>
  <c r="E602"/>
  <c r="F602"/>
  <c r="B603"/>
  <c r="C603"/>
  <c r="D603"/>
  <c r="E603"/>
  <c r="F603"/>
  <c r="B604"/>
  <c r="C604"/>
  <c r="D604"/>
  <c r="E604"/>
  <c r="F604"/>
  <c r="B605"/>
  <c r="C605"/>
  <c r="D605"/>
  <c r="E605"/>
  <c r="F605"/>
  <c r="B606"/>
  <c r="C606"/>
  <c r="D606"/>
  <c r="E606"/>
  <c r="F606"/>
  <c r="B607"/>
  <c r="C607"/>
  <c r="D607"/>
  <c r="E607"/>
  <c r="F607"/>
  <c r="B608"/>
  <c r="C608"/>
  <c r="D608"/>
  <c r="E608"/>
  <c r="F608"/>
  <c r="B609"/>
  <c r="C609"/>
  <c r="D609"/>
  <c r="E609"/>
  <c r="F609"/>
  <c r="B610"/>
  <c r="C610"/>
  <c r="D610"/>
  <c r="E610"/>
  <c r="F610"/>
  <c r="B611"/>
  <c r="C611"/>
  <c r="D611"/>
  <c r="E611"/>
  <c r="F611"/>
  <c r="B612"/>
  <c r="C612"/>
  <c r="D612"/>
  <c r="E612"/>
  <c r="F612"/>
  <c r="B613"/>
  <c r="C613"/>
  <c r="D613"/>
  <c r="E613"/>
  <c r="F613"/>
  <c r="B614"/>
  <c r="C614"/>
  <c r="D614"/>
  <c r="E614"/>
  <c r="F614"/>
  <c r="B615"/>
  <c r="C615"/>
  <c r="D615"/>
  <c r="E615"/>
  <c r="F615"/>
  <c r="B616"/>
  <c r="C616"/>
  <c r="D616"/>
  <c r="E616"/>
  <c r="F616"/>
  <c r="B617"/>
  <c r="C617"/>
  <c r="D617"/>
  <c r="E617"/>
  <c r="F617"/>
  <c r="B618"/>
  <c r="C618"/>
  <c r="D618"/>
  <c r="E618"/>
  <c r="F618"/>
  <c r="B619"/>
  <c r="C619"/>
  <c r="D619"/>
  <c r="E619"/>
  <c r="F619"/>
  <c r="B620"/>
  <c r="C620"/>
  <c r="D620"/>
  <c r="E620"/>
  <c r="F620"/>
  <c r="B396"/>
  <c r="C396"/>
  <c r="D396"/>
  <c r="E396"/>
  <c r="F396"/>
  <c r="B397"/>
  <c r="C397"/>
  <c r="D397"/>
  <c r="E397"/>
  <c r="F397"/>
  <c r="B398"/>
  <c r="C398"/>
  <c r="D398"/>
  <c r="E398"/>
  <c r="F398"/>
  <c r="B399"/>
  <c r="C399"/>
  <c r="D399"/>
  <c r="E399"/>
  <c r="F399"/>
  <c r="B400"/>
  <c r="C400"/>
  <c r="D400"/>
  <c r="E400"/>
  <c r="F400"/>
  <c r="B401"/>
  <c r="C401"/>
  <c r="D401"/>
  <c r="E401"/>
  <c r="F401"/>
  <c r="B402"/>
  <c r="C402"/>
  <c r="D402"/>
  <c r="E402"/>
  <c r="F402"/>
  <c r="B403"/>
  <c r="C403"/>
  <c r="D403"/>
  <c r="E403"/>
  <c r="F403"/>
  <c r="B404"/>
  <c r="C404"/>
  <c r="D404"/>
  <c r="E404"/>
  <c r="F404"/>
  <c r="B405"/>
  <c r="C405"/>
  <c r="D405"/>
  <c r="E405"/>
  <c r="F405"/>
  <c r="B406"/>
  <c r="C406"/>
  <c r="D406"/>
  <c r="E406"/>
  <c r="F406"/>
  <c r="B407"/>
  <c r="C407"/>
  <c r="D407"/>
  <c r="E407"/>
  <c r="F407"/>
  <c r="B408"/>
  <c r="C408"/>
  <c r="D408"/>
  <c r="E408"/>
  <c r="F408"/>
  <c r="B409"/>
  <c r="C409"/>
  <c r="D409"/>
  <c r="E409"/>
  <c r="F409"/>
  <c r="B410"/>
  <c r="C410"/>
  <c r="D410"/>
  <c r="E410"/>
  <c r="F410"/>
  <c r="B411"/>
  <c r="C411"/>
  <c r="D411"/>
  <c r="E411"/>
  <c r="F411"/>
  <c r="B412"/>
  <c r="C412"/>
  <c r="D412"/>
  <c r="E412"/>
  <c r="F412"/>
  <c r="B413"/>
  <c r="C413"/>
  <c r="D413"/>
  <c r="E413"/>
  <c r="F413"/>
  <c r="B414"/>
  <c r="C414"/>
  <c r="D414"/>
  <c r="E414"/>
  <c r="F414"/>
  <c r="B415"/>
  <c r="C415"/>
  <c r="D415"/>
  <c r="E415"/>
  <c r="F415"/>
  <c r="B416"/>
  <c r="C416"/>
  <c r="D416"/>
  <c r="E416"/>
  <c r="F416"/>
  <c r="B417"/>
  <c r="C417"/>
  <c r="D417"/>
  <c r="E417"/>
  <c r="F417"/>
  <c r="B418"/>
  <c r="C418"/>
  <c r="D418"/>
  <c r="E418"/>
  <c r="F418"/>
  <c r="B419"/>
  <c r="C419"/>
  <c r="D419"/>
  <c r="E419"/>
  <c r="F419"/>
  <c r="B420"/>
  <c r="C420"/>
  <c r="D420"/>
  <c r="E420"/>
  <c r="F420"/>
  <c r="B421"/>
  <c r="C421"/>
  <c r="D421"/>
  <c r="E421"/>
  <c r="F421"/>
  <c r="B422"/>
  <c r="C422"/>
  <c r="D422"/>
  <c r="E422"/>
  <c r="F422"/>
  <c r="B423"/>
  <c r="C423"/>
  <c r="D423"/>
  <c r="E423"/>
  <c r="F423"/>
  <c r="B424"/>
  <c r="C424"/>
  <c r="D424"/>
  <c r="E424"/>
  <c r="F424"/>
  <c r="B425"/>
  <c r="C425"/>
  <c r="D425"/>
  <c r="E425"/>
  <c r="F425"/>
  <c r="B426"/>
  <c r="C426"/>
  <c r="D426"/>
  <c r="E426"/>
  <c r="F426"/>
  <c r="B427"/>
  <c r="C427"/>
  <c r="D427"/>
  <c r="E427"/>
  <c r="F427"/>
  <c r="B428"/>
  <c r="C428"/>
  <c r="D428"/>
  <c r="E428"/>
  <c r="F428"/>
  <c r="B429"/>
  <c r="C429"/>
  <c r="D429"/>
  <c r="E429"/>
  <c r="F429"/>
  <c r="B430"/>
  <c r="C430"/>
  <c r="D430"/>
  <c r="E430"/>
  <c r="F430"/>
  <c r="B431"/>
  <c r="C431"/>
  <c r="D431"/>
  <c r="E431"/>
  <c r="F431"/>
  <c r="B432"/>
  <c r="C432"/>
  <c r="D432"/>
  <c r="E432"/>
  <c r="F432"/>
  <c r="B433"/>
  <c r="C433"/>
  <c r="D433"/>
  <c r="E433"/>
  <c r="F433"/>
  <c r="B434"/>
  <c r="C434"/>
  <c r="D434"/>
  <c r="E434"/>
  <c r="F434"/>
  <c r="B435"/>
  <c r="C435"/>
  <c r="D435"/>
  <c r="E435"/>
  <c r="F435"/>
  <c r="B436"/>
  <c r="C436"/>
  <c r="D436"/>
  <c r="E436"/>
  <c r="F436"/>
  <c r="B437"/>
  <c r="C437"/>
  <c r="D437"/>
  <c r="E437"/>
  <c r="F437"/>
  <c r="B438"/>
  <c r="C438"/>
  <c r="D438"/>
  <c r="E438"/>
  <c r="F438"/>
  <c r="B439"/>
  <c r="C439"/>
  <c r="D439"/>
  <c r="E439"/>
  <c r="F439"/>
  <c r="B440"/>
  <c r="C440"/>
  <c r="D440"/>
  <c r="E440"/>
  <c r="F440"/>
  <c r="B441"/>
  <c r="C441"/>
  <c r="D441"/>
  <c r="E441"/>
  <c r="F441"/>
  <c r="B442"/>
  <c r="C442"/>
  <c r="D442"/>
  <c r="E442"/>
  <c r="F442"/>
  <c r="B443"/>
  <c r="C443"/>
  <c r="D443"/>
  <c r="E443"/>
  <c r="F443"/>
  <c r="B444"/>
  <c r="C444"/>
  <c r="D444"/>
  <c r="E444"/>
  <c r="F444"/>
  <c r="B445"/>
  <c r="C445"/>
  <c r="D445"/>
  <c r="E445"/>
  <c r="F445"/>
  <c r="B446"/>
  <c r="C446"/>
  <c r="D446"/>
  <c r="E446"/>
  <c r="F446"/>
  <c r="B447"/>
  <c r="C447"/>
  <c r="D447"/>
  <c r="E447"/>
  <c r="F447"/>
  <c r="B448"/>
  <c r="C448"/>
  <c r="D448"/>
  <c r="E448"/>
  <c r="F448"/>
  <c r="B449"/>
  <c r="C449"/>
  <c r="D449"/>
  <c r="E449"/>
  <c r="F449"/>
  <c r="B450"/>
  <c r="C450"/>
  <c r="D450"/>
  <c r="E450"/>
  <c r="F450"/>
  <c r="B451"/>
  <c r="C451"/>
  <c r="D451"/>
  <c r="E451"/>
  <c r="F451"/>
  <c r="B452"/>
  <c r="C452"/>
  <c r="D452"/>
  <c r="E452"/>
  <c r="F452"/>
  <c r="B453"/>
  <c r="C453"/>
  <c r="D453"/>
  <c r="E453"/>
  <c r="F453"/>
  <c r="B454"/>
  <c r="C454"/>
  <c r="D454"/>
  <c r="E454"/>
  <c r="F454"/>
  <c r="B455"/>
  <c r="C455"/>
  <c r="D455"/>
  <c r="E455"/>
  <c r="F455"/>
  <c r="B456"/>
  <c r="C456"/>
  <c r="D456"/>
  <c r="E456"/>
  <c r="F456"/>
  <c r="B457"/>
  <c r="C457"/>
  <c r="D457"/>
  <c r="E457"/>
  <c r="F457"/>
  <c r="B458"/>
  <c r="C458"/>
  <c r="D458"/>
  <c r="E458"/>
  <c r="F458"/>
  <c r="B459"/>
  <c r="C459"/>
  <c r="D459"/>
  <c r="E459"/>
  <c r="F459"/>
  <c r="B460"/>
  <c r="C460"/>
  <c r="D460"/>
  <c r="E460"/>
  <c r="F460"/>
  <c r="B461"/>
  <c r="C461"/>
  <c r="D461"/>
  <c r="E461"/>
  <c r="F461"/>
  <c r="B462"/>
  <c r="C462"/>
  <c r="D462"/>
  <c r="E462"/>
  <c r="F462"/>
  <c r="B463"/>
  <c r="C463"/>
  <c r="D463"/>
  <c r="E463"/>
  <c r="F463"/>
  <c r="B464"/>
  <c r="C464"/>
  <c r="D464"/>
  <c r="E464"/>
  <c r="F464"/>
  <c r="B465"/>
  <c r="C465"/>
  <c r="D465"/>
  <c r="E465"/>
  <c r="F465"/>
  <c r="B466"/>
  <c r="C466"/>
  <c r="D466"/>
  <c r="E466"/>
  <c r="F466"/>
  <c r="B467"/>
  <c r="C467"/>
  <c r="D467"/>
  <c r="E467"/>
  <c r="F467"/>
  <c r="B468"/>
  <c r="C468"/>
  <c r="D468"/>
  <c r="E468"/>
  <c r="F468"/>
  <c r="B469"/>
  <c r="C469"/>
  <c r="D469"/>
  <c r="E469"/>
  <c r="F469"/>
  <c r="B470"/>
  <c r="C470"/>
  <c r="D470"/>
  <c r="E470"/>
  <c r="F470"/>
  <c r="B471"/>
  <c r="C471"/>
  <c r="D471"/>
  <c r="E471"/>
  <c r="F471"/>
  <c r="B472"/>
  <c r="C472"/>
  <c r="D472"/>
  <c r="E472"/>
  <c r="F472"/>
  <c r="B473"/>
  <c r="C473"/>
  <c r="D473"/>
  <c r="E473"/>
  <c r="F473"/>
  <c r="B474"/>
  <c r="C474"/>
  <c r="D474"/>
  <c r="E474"/>
  <c r="F474"/>
  <c r="B475"/>
  <c r="C475"/>
  <c r="D475"/>
  <c r="E475"/>
  <c r="F475"/>
  <c r="B476"/>
  <c r="C476"/>
  <c r="D476"/>
  <c r="E476"/>
  <c r="F476"/>
  <c r="B477"/>
  <c r="C477"/>
  <c r="D477"/>
  <c r="E477"/>
  <c r="F477"/>
  <c r="B478"/>
  <c r="C478"/>
  <c r="D478"/>
  <c r="E478"/>
  <c r="F478"/>
  <c r="B479"/>
  <c r="C479"/>
  <c r="D479"/>
  <c r="E479"/>
  <c r="F479"/>
  <c r="B480"/>
  <c r="C480"/>
  <c r="D480"/>
  <c r="E480"/>
  <c r="F480"/>
  <c r="B481"/>
  <c r="C481"/>
  <c r="D481"/>
  <c r="E481"/>
  <c r="F481"/>
  <c r="B482"/>
  <c r="C482"/>
  <c r="D482"/>
  <c r="E482"/>
  <c r="F482"/>
  <c r="B483"/>
  <c r="C483"/>
  <c r="D483"/>
  <c r="E483"/>
  <c r="F483"/>
  <c r="B484"/>
  <c r="C484"/>
  <c r="D484"/>
  <c r="E484"/>
  <c r="F484"/>
  <c r="B485"/>
  <c r="C485"/>
  <c r="D485"/>
  <c r="E485"/>
  <c r="F485"/>
  <c r="B486"/>
  <c r="C486"/>
  <c r="D486"/>
  <c r="E486"/>
  <c r="F486"/>
  <c r="B487"/>
  <c r="C487"/>
  <c r="D487"/>
  <c r="E487"/>
  <c r="F487"/>
  <c r="B488"/>
  <c r="C488"/>
  <c r="D488"/>
  <c r="E488"/>
  <c r="F488"/>
  <c r="B489"/>
  <c r="C489"/>
  <c r="D489"/>
  <c r="E489"/>
  <c r="F489"/>
  <c r="B490"/>
  <c r="C490"/>
  <c r="D490"/>
  <c r="E490"/>
  <c r="F490"/>
  <c r="B491"/>
  <c r="C491"/>
  <c r="D491"/>
  <c r="E491"/>
  <c r="F491"/>
  <c r="B492"/>
  <c r="C492"/>
  <c r="D492"/>
  <c r="E492"/>
  <c r="F492"/>
  <c r="B493"/>
  <c r="C493"/>
  <c r="D493"/>
  <c r="E493"/>
  <c r="F493"/>
  <c r="B494"/>
  <c r="C494"/>
  <c r="D494"/>
  <c r="E494"/>
  <c r="F494"/>
  <c r="B495"/>
  <c r="C495"/>
  <c r="D495"/>
  <c r="E495"/>
  <c r="F495"/>
  <c r="B496"/>
  <c r="C496"/>
  <c r="D496"/>
  <c r="E496"/>
  <c r="F496"/>
  <c r="B497"/>
  <c r="C497"/>
  <c r="D497"/>
  <c r="E497"/>
  <c r="F497"/>
  <c r="B498"/>
  <c r="C498"/>
  <c r="D498"/>
  <c r="E498"/>
  <c r="F498"/>
  <c r="B499"/>
  <c r="C499"/>
  <c r="D499"/>
  <c r="E499"/>
  <c r="F499"/>
  <c r="B500"/>
  <c r="C500"/>
  <c r="D500"/>
  <c r="E500"/>
  <c r="F500"/>
  <c r="B501"/>
  <c r="C501"/>
  <c r="D501"/>
  <c r="E501"/>
  <c r="F501"/>
  <c r="B502"/>
  <c r="C502"/>
  <c r="D502"/>
  <c r="E502"/>
  <c r="F502"/>
  <c r="B503"/>
  <c r="C503"/>
  <c r="D503"/>
  <c r="E503"/>
  <c r="F503"/>
  <c r="B504"/>
  <c r="C504"/>
  <c r="D504"/>
  <c r="E504"/>
  <c r="F504"/>
  <c r="B505"/>
  <c r="C505"/>
  <c r="D505"/>
  <c r="E505"/>
  <c r="F505"/>
  <c r="B506"/>
  <c r="C506"/>
  <c r="D506"/>
  <c r="E506"/>
  <c r="F506"/>
  <c r="B55"/>
  <c r="C55"/>
  <c r="D55"/>
  <c r="E55"/>
  <c r="F55"/>
  <c r="B56"/>
  <c r="C56"/>
  <c r="D56"/>
  <c r="E56"/>
  <c r="F56"/>
  <c r="B57"/>
  <c r="C57"/>
  <c r="D57"/>
  <c r="E57"/>
  <c r="F57"/>
  <c r="B58"/>
  <c r="C58"/>
  <c r="D58"/>
  <c r="E58"/>
  <c r="F58"/>
  <c r="B59"/>
  <c r="C59"/>
  <c r="D59"/>
  <c r="E59"/>
  <c r="F59"/>
  <c r="B60"/>
  <c r="C60"/>
  <c r="D60"/>
  <c r="E60"/>
  <c r="F60"/>
  <c r="B61"/>
  <c r="C61"/>
  <c r="D61"/>
  <c r="E61"/>
  <c r="F61"/>
  <c r="B62"/>
  <c r="C62"/>
  <c r="D62"/>
  <c r="E62"/>
  <c r="F62"/>
  <c r="B63"/>
  <c r="C63"/>
  <c r="D63"/>
  <c r="E63"/>
  <c r="F63"/>
  <c r="B64"/>
  <c r="C64"/>
  <c r="D64"/>
  <c r="E64"/>
  <c r="F64"/>
  <c r="B65"/>
  <c r="C65"/>
  <c r="D65"/>
  <c r="E65"/>
  <c r="F65"/>
  <c r="B66"/>
  <c r="C66"/>
  <c r="D66"/>
  <c r="E66"/>
  <c r="F66"/>
  <c r="B67"/>
  <c r="C67"/>
  <c r="D67"/>
  <c r="E67"/>
  <c r="F67"/>
  <c r="B68"/>
  <c r="C68"/>
  <c r="D68"/>
  <c r="E68"/>
  <c r="F68"/>
  <c r="B69"/>
  <c r="C69"/>
  <c r="D69"/>
  <c r="E69"/>
  <c r="F69"/>
  <c r="B70"/>
  <c r="C70"/>
  <c r="D70"/>
  <c r="E70"/>
  <c r="F70"/>
  <c r="B71"/>
  <c r="C71"/>
  <c r="D71"/>
  <c r="E71"/>
  <c r="F71"/>
  <c r="B72"/>
  <c r="C72"/>
  <c r="D72"/>
  <c r="E72"/>
  <c r="F72"/>
  <c r="B73"/>
  <c r="C73"/>
  <c r="D73"/>
  <c r="E73"/>
  <c r="F73"/>
  <c r="B74"/>
  <c r="C74"/>
  <c r="D74"/>
  <c r="E74"/>
  <c r="F74"/>
  <c r="B75"/>
  <c r="C75"/>
  <c r="D75"/>
  <c r="E75"/>
  <c r="F75"/>
  <c r="B76"/>
  <c r="C76"/>
  <c r="D76"/>
  <c r="E76"/>
  <c r="F76"/>
  <c r="B77"/>
  <c r="C77"/>
  <c r="D77"/>
  <c r="E77"/>
  <c r="F77"/>
  <c r="B78"/>
  <c r="C78"/>
  <c r="D78"/>
  <c r="E78"/>
  <c r="F78"/>
  <c r="B79"/>
  <c r="C79"/>
  <c r="D79"/>
  <c r="E79"/>
  <c r="F79"/>
  <c r="B80"/>
  <c r="C80"/>
  <c r="D80"/>
  <c r="E80"/>
  <c r="F80"/>
  <c r="B81"/>
  <c r="C81"/>
  <c r="D81"/>
  <c r="E81"/>
  <c r="F81"/>
  <c r="B82"/>
  <c r="C82"/>
  <c r="D82"/>
  <c r="E82"/>
  <c r="F82"/>
  <c r="B83"/>
  <c r="C83"/>
  <c r="D83"/>
  <c r="E83"/>
  <c r="F83"/>
  <c r="B84"/>
  <c r="C84"/>
  <c r="D84"/>
  <c r="E84"/>
  <c r="F84"/>
  <c r="B85"/>
  <c r="C85"/>
  <c r="D85"/>
  <c r="E85"/>
  <c r="F85"/>
  <c r="B86"/>
  <c r="C86"/>
  <c r="D86"/>
  <c r="E86"/>
  <c r="F86"/>
  <c r="B87"/>
  <c r="C87"/>
  <c r="D87"/>
  <c r="E87"/>
  <c r="F87"/>
  <c r="B88"/>
  <c r="C88"/>
  <c r="D88"/>
  <c r="E88"/>
  <c r="F88"/>
  <c r="B89"/>
  <c r="C89"/>
  <c r="D89"/>
  <c r="E89"/>
  <c r="F89"/>
  <c r="B90"/>
  <c r="C90"/>
  <c r="D90"/>
  <c r="E90"/>
  <c r="F90"/>
  <c r="B91"/>
  <c r="C91"/>
  <c r="D91"/>
  <c r="E91"/>
  <c r="F91"/>
  <c r="B92"/>
  <c r="C92"/>
  <c r="D92"/>
  <c r="E92"/>
  <c r="F92"/>
  <c r="B93"/>
  <c r="C93"/>
  <c r="D93"/>
  <c r="E93"/>
  <c r="F93"/>
  <c r="B94"/>
  <c r="C94"/>
  <c r="D94"/>
  <c r="E94"/>
  <c r="F94"/>
  <c r="B95"/>
  <c r="C95"/>
  <c r="D95"/>
  <c r="E95"/>
  <c r="F95"/>
  <c r="B96"/>
  <c r="C96"/>
  <c r="D96"/>
  <c r="E96"/>
  <c r="F96"/>
  <c r="B97"/>
  <c r="C97"/>
  <c r="D97"/>
  <c r="E97"/>
  <c r="F97"/>
  <c r="B98"/>
  <c r="C98"/>
  <c r="D98"/>
  <c r="E98"/>
  <c r="F98"/>
  <c r="B99"/>
  <c r="C99"/>
  <c r="D99"/>
  <c r="E99"/>
  <c r="F99"/>
  <c r="B100"/>
  <c r="C100"/>
  <c r="D100"/>
  <c r="E100"/>
  <c r="F100"/>
  <c r="B101"/>
  <c r="C101"/>
  <c r="D101"/>
  <c r="E101"/>
  <c r="F101"/>
  <c r="B102"/>
  <c r="C102"/>
  <c r="D102"/>
  <c r="E102"/>
  <c r="F102"/>
  <c r="B103"/>
  <c r="C103"/>
  <c r="D103"/>
  <c r="E103"/>
  <c r="F103"/>
  <c r="B104"/>
  <c r="C104"/>
  <c r="D104"/>
  <c r="E104"/>
  <c r="F104"/>
  <c r="B105"/>
  <c r="C105"/>
  <c r="D105"/>
  <c r="E105"/>
  <c r="F105"/>
  <c r="B106"/>
  <c r="C106"/>
  <c r="D106"/>
  <c r="E106"/>
  <c r="F106"/>
  <c r="B107"/>
  <c r="C107"/>
  <c r="D107"/>
  <c r="E107"/>
  <c r="F107"/>
  <c r="B108"/>
  <c r="C108"/>
  <c r="D108"/>
  <c r="E108"/>
  <c r="F108"/>
  <c r="B109"/>
  <c r="C109"/>
  <c r="D109"/>
  <c r="E109"/>
  <c r="F109"/>
  <c r="B110"/>
  <c r="C110"/>
  <c r="D110"/>
  <c r="E110"/>
  <c r="F110"/>
  <c r="B111"/>
  <c r="C111"/>
  <c r="D111"/>
  <c r="E111"/>
  <c r="F111"/>
  <c r="B112"/>
  <c r="C112"/>
  <c r="D112"/>
  <c r="E112"/>
  <c r="F112"/>
  <c r="B113"/>
  <c r="C113"/>
  <c r="D113"/>
  <c r="E113"/>
  <c r="F113"/>
  <c r="B114"/>
  <c r="C114"/>
  <c r="D114"/>
  <c r="E114"/>
  <c r="F114"/>
  <c r="B115"/>
  <c r="C115"/>
  <c r="D115"/>
  <c r="E115"/>
  <c r="F115"/>
  <c r="B116"/>
  <c r="C116"/>
  <c r="D116"/>
  <c r="E116"/>
  <c r="F116"/>
  <c r="B117"/>
  <c r="C117"/>
  <c r="D117"/>
  <c r="E117"/>
  <c r="F117"/>
  <c r="B118"/>
  <c r="C118"/>
  <c r="D118"/>
  <c r="E118"/>
  <c r="F118"/>
  <c r="B119"/>
  <c r="C119"/>
  <c r="D119"/>
  <c r="E119"/>
  <c r="F119"/>
  <c r="B120"/>
  <c r="C120"/>
  <c r="D120"/>
  <c r="E120"/>
  <c r="F120"/>
  <c r="B121"/>
  <c r="C121"/>
  <c r="D121"/>
  <c r="E121"/>
  <c r="F121"/>
  <c r="B122"/>
  <c r="C122"/>
  <c r="D122"/>
  <c r="E122"/>
  <c r="F122"/>
  <c r="B123"/>
  <c r="C123"/>
  <c r="D123"/>
  <c r="E123"/>
  <c r="F123"/>
  <c r="B124"/>
  <c r="C124"/>
  <c r="D124"/>
  <c r="E124"/>
  <c r="F124"/>
  <c r="B125"/>
  <c r="C125"/>
  <c r="D125"/>
  <c r="E125"/>
  <c r="F125"/>
  <c r="B126"/>
  <c r="C126"/>
  <c r="D126"/>
  <c r="E126"/>
  <c r="F126"/>
  <c r="B127"/>
  <c r="C127"/>
  <c r="D127"/>
  <c r="E127"/>
  <c r="F127"/>
  <c r="B128"/>
  <c r="C128"/>
  <c r="D128"/>
  <c r="E128"/>
  <c r="F128"/>
  <c r="B129"/>
  <c r="C129"/>
  <c r="D129"/>
  <c r="E129"/>
  <c r="F129"/>
  <c r="B130"/>
  <c r="C130"/>
  <c r="D130"/>
  <c r="E130"/>
  <c r="F130"/>
  <c r="B131"/>
  <c r="C131"/>
  <c r="D131"/>
  <c r="E131"/>
  <c r="F131"/>
  <c r="B132"/>
  <c r="C132"/>
  <c r="D132"/>
  <c r="E132"/>
  <c r="F132"/>
  <c r="B133"/>
  <c r="C133"/>
  <c r="D133"/>
  <c r="E133"/>
  <c r="F133"/>
  <c r="B134"/>
  <c r="C134"/>
  <c r="D134"/>
  <c r="E134"/>
  <c r="F134"/>
  <c r="B135"/>
  <c r="C135"/>
  <c r="D135"/>
  <c r="E135"/>
  <c r="F135"/>
  <c r="B136"/>
  <c r="C136"/>
  <c r="D136"/>
  <c r="E136"/>
  <c r="F136"/>
  <c r="B137"/>
  <c r="C137"/>
  <c r="D137"/>
  <c r="E137"/>
  <c r="F137"/>
  <c r="B138"/>
  <c r="C138"/>
  <c r="D138"/>
  <c r="E138"/>
  <c r="F138"/>
  <c r="B139"/>
  <c r="C139"/>
  <c r="D139"/>
  <c r="E139"/>
  <c r="F139"/>
  <c r="B140"/>
  <c r="C140"/>
  <c r="D140"/>
  <c r="E140"/>
  <c r="F140"/>
  <c r="B141"/>
  <c r="C141"/>
  <c r="D141"/>
  <c r="E141"/>
  <c r="F141"/>
  <c r="B142"/>
  <c r="C142"/>
  <c r="D142"/>
  <c r="E142"/>
  <c r="F142"/>
  <c r="B143"/>
  <c r="C143"/>
  <c r="D143"/>
  <c r="E143"/>
  <c r="F143"/>
  <c r="B144"/>
  <c r="C144"/>
  <c r="D144"/>
  <c r="E144"/>
  <c r="F144"/>
  <c r="B145"/>
  <c r="C145"/>
  <c r="D145"/>
  <c r="E145"/>
  <c r="F145"/>
  <c r="B146"/>
  <c r="C146"/>
  <c r="D146"/>
  <c r="E146"/>
  <c r="F146"/>
  <c r="B147"/>
  <c r="C147"/>
  <c r="D147"/>
  <c r="E147"/>
  <c r="F147"/>
  <c r="B148"/>
  <c r="C148"/>
  <c r="D148"/>
  <c r="E148"/>
  <c r="F148"/>
  <c r="B149"/>
  <c r="C149"/>
  <c r="D149"/>
  <c r="E149"/>
  <c r="F149"/>
  <c r="B150"/>
  <c r="C150"/>
  <c r="D150"/>
  <c r="E150"/>
  <c r="F150"/>
  <c r="B151"/>
  <c r="C151"/>
  <c r="D151"/>
  <c r="E151"/>
  <c r="F151"/>
  <c r="B152"/>
  <c r="C152"/>
  <c r="D152"/>
  <c r="E152"/>
  <c r="F152"/>
  <c r="B153"/>
  <c r="C153"/>
  <c r="D153"/>
  <c r="E153"/>
  <c r="F153"/>
  <c r="B154"/>
  <c r="C154"/>
  <c r="D154"/>
  <c r="E154"/>
  <c r="F154"/>
  <c r="B155"/>
  <c r="C155"/>
  <c r="D155"/>
  <c r="E155"/>
  <c r="F155"/>
  <c r="B156"/>
  <c r="C156"/>
  <c r="D156"/>
  <c r="E156"/>
  <c r="F156"/>
  <c r="B157"/>
  <c r="C157"/>
  <c r="D157"/>
  <c r="E157"/>
  <c r="F157"/>
  <c r="B158"/>
  <c r="C158"/>
  <c r="D158"/>
  <c r="E158"/>
  <c r="F158"/>
  <c r="B159"/>
  <c r="C159"/>
  <c r="D159"/>
  <c r="E159"/>
  <c r="F159"/>
  <c r="B160"/>
  <c r="C160"/>
  <c r="D160"/>
  <c r="E160"/>
  <c r="F160"/>
  <c r="B161"/>
  <c r="C161"/>
  <c r="D161"/>
  <c r="E161"/>
  <c r="F161"/>
  <c r="B162"/>
  <c r="C162"/>
  <c r="D162"/>
  <c r="E162"/>
  <c r="F162"/>
  <c r="B163"/>
  <c r="C163"/>
  <c r="D163"/>
  <c r="E163"/>
  <c r="F163"/>
  <c r="B164"/>
  <c r="C164"/>
  <c r="D164"/>
  <c r="E164"/>
  <c r="F164"/>
  <c r="B165"/>
  <c r="C165"/>
  <c r="D165"/>
  <c r="E165"/>
  <c r="F165"/>
  <c r="B166"/>
  <c r="C166"/>
  <c r="D166"/>
  <c r="E166"/>
  <c r="F166"/>
  <c r="B167"/>
  <c r="C167"/>
  <c r="D167"/>
  <c r="E167"/>
  <c r="F167"/>
  <c r="B168"/>
  <c r="C168"/>
  <c r="D168"/>
  <c r="E168"/>
  <c r="F168"/>
  <c r="B169"/>
  <c r="C169"/>
  <c r="D169"/>
  <c r="E169"/>
  <c r="F169"/>
  <c r="B170"/>
  <c r="C170"/>
  <c r="D170"/>
  <c r="E170"/>
  <c r="F170"/>
  <c r="B171"/>
  <c r="C171"/>
  <c r="D171"/>
  <c r="E171"/>
  <c r="F171"/>
  <c r="B172"/>
  <c r="C172"/>
  <c r="D172"/>
  <c r="E172"/>
  <c r="F172"/>
  <c r="B173"/>
  <c r="C173"/>
  <c r="D173"/>
  <c r="E173"/>
  <c r="F173"/>
  <c r="B174"/>
  <c r="C174"/>
  <c r="D174"/>
  <c r="E174"/>
  <c r="F174"/>
  <c r="B175"/>
  <c r="C175"/>
  <c r="D175"/>
  <c r="E175"/>
  <c r="F175"/>
  <c r="B176"/>
  <c r="C176"/>
  <c r="D176"/>
  <c r="E176"/>
  <c r="F176"/>
  <c r="B177"/>
  <c r="C177"/>
  <c r="D177"/>
  <c r="E177"/>
  <c r="F177"/>
  <c r="B178"/>
  <c r="C178"/>
  <c r="D178"/>
  <c r="E178"/>
  <c r="F178"/>
  <c r="B179"/>
  <c r="C179"/>
  <c r="D179"/>
  <c r="E179"/>
  <c r="F179"/>
  <c r="B180"/>
  <c r="C180"/>
  <c r="D180"/>
  <c r="E180"/>
  <c r="F180"/>
  <c r="B181"/>
  <c r="C181"/>
  <c r="D181"/>
  <c r="E181"/>
  <c r="F181"/>
  <c r="B182"/>
  <c r="C182"/>
  <c r="D182"/>
  <c r="E182"/>
  <c r="F182"/>
  <c r="B183"/>
  <c r="C183"/>
  <c r="D183"/>
  <c r="E183"/>
  <c r="F183"/>
  <c r="B184"/>
  <c r="C184"/>
  <c r="D184"/>
  <c r="E184"/>
  <c r="F184"/>
  <c r="B185"/>
  <c r="C185"/>
  <c r="D185"/>
  <c r="E185"/>
  <c r="F185"/>
  <c r="B186"/>
  <c r="C186"/>
  <c r="D186"/>
  <c r="E186"/>
  <c r="F186"/>
  <c r="B187"/>
  <c r="C187"/>
  <c r="D187"/>
  <c r="E187"/>
  <c r="F187"/>
  <c r="B188"/>
  <c r="C188"/>
  <c r="D188"/>
  <c r="E188"/>
  <c r="F188"/>
  <c r="B189"/>
  <c r="C189"/>
  <c r="D189"/>
  <c r="E189"/>
  <c r="F189"/>
  <c r="B190"/>
  <c r="C190"/>
  <c r="D190"/>
  <c r="E190"/>
  <c r="F190"/>
  <c r="B191"/>
  <c r="C191"/>
  <c r="D191"/>
  <c r="E191"/>
  <c r="F191"/>
  <c r="B192"/>
  <c r="C192"/>
  <c r="D192"/>
  <c r="E192"/>
  <c r="F192"/>
  <c r="B193"/>
  <c r="C193"/>
  <c r="D193"/>
  <c r="E193"/>
  <c r="F193"/>
  <c r="B194"/>
  <c r="C194"/>
  <c r="D194"/>
  <c r="E194"/>
  <c r="F194"/>
  <c r="B195"/>
  <c r="C195"/>
  <c r="D195"/>
  <c r="E195"/>
  <c r="F195"/>
  <c r="B196"/>
  <c r="C196"/>
  <c r="D196"/>
  <c r="E196"/>
  <c r="F196"/>
  <c r="B197"/>
  <c r="C197"/>
  <c r="D197"/>
  <c r="E197"/>
  <c r="F197"/>
  <c r="B198"/>
  <c r="C198"/>
  <c r="D198"/>
  <c r="E198"/>
  <c r="F198"/>
  <c r="B199"/>
  <c r="C199"/>
  <c r="D199"/>
  <c r="E199"/>
  <c r="F199"/>
  <c r="B200"/>
  <c r="C200"/>
  <c r="D200"/>
  <c r="E200"/>
  <c r="F200"/>
  <c r="B201"/>
  <c r="C201"/>
  <c r="D201"/>
  <c r="E201"/>
  <c r="F201"/>
  <c r="B202"/>
  <c r="C202"/>
  <c r="D202"/>
  <c r="E202"/>
  <c r="F202"/>
  <c r="B203"/>
  <c r="C203"/>
  <c r="D203"/>
  <c r="E203"/>
  <c r="F203"/>
  <c r="B204"/>
  <c r="C204"/>
  <c r="D204"/>
  <c r="E204"/>
  <c r="F204"/>
  <c r="B205"/>
  <c r="C205"/>
  <c r="D205"/>
  <c r="E205"/>
  <c r="F205"/>
  <c r="B206"/>
  <c r="C206"/>
  <c r="D206"/>
  <c r="E206"/>
  <c r="F206"/>
  <c r="B207"/>
  <c r="C207"/>
  <c r="D207"/>
  <c r="E207"/>
  <c r="F207"/>
  <c r="B208"/>
  <c r="C208"/>
  <c r="D208"/>
  <c r="E208"/>
  <c r="F208"/>
  <c r="B209"/>
  <c r="C209"/>
  <c r="D209"/>
  <c r="E209"/>
  <c r="F209"/>
  <c r="B210"/>
  <c r="C210"/>
  <c r="D210"/>
  <c r="E210"/>
  <c r="F210"/>
  <c r="B211"/>
  <c r="C211"/>
  <c r="D211"/>
  <c r="E211"/>
  <c r="F211"/>
  <c r="B212"/>
  <c r="C212"/>
  <c r="D212"/>
  <c r="E212"/>
  <c r="F212"/>
  <c r="B213"/>
  <c r="C213"/>
  <c r="D213"/>
  <c r="E213"/>
  <c r="F213"/>
  <c r="B214"/>
  <c r="C214"/>
  <c r="D214"/>
  <c r="E214"/>
  <c r="F214"/>
  <c r="B215"/>
  <c r="C215"/>
  <c r="D215"/>
  <c r="E215"/>
  <c r="F215"/>
  <c r="B216"/>
  <c r="C216"/>
  <c r="D216"/>
  <c r="E216"/>
  <c r="F216"/>
  <c r="B217"/>
  <c r="C217"/>
  <c r="D217"/>
  <c r="E217"/>
  <c r="F217"/>
  <c r="B218"/>
  <c r="C218"/>
  <c r="D218"/>
  <c r="E218"/>
  <c r="F218"/>
  <c r="B219"/>
  <c r="C219"/>
  <c r="D219"/>
  <c r="E219"/>
  <c r="F219"/>
  <c r="B220"/>
  <c r="C220"/>
  <c r="D220"/>
  <c r="E220"/>
  <c r="F220"/>
  <c r="B221"/>
  <c r="C221"/>
  <c r="D221"/>
  <c r="E221"/>
  <c r="F221"/>
  <c r="B222"/>
  <c r="C222"/>
  <c r="D222"/>
  <c r="E222"/>
  <c r="F222"/>
  <c r="B223"/>
  <c r="C223"/>
  <c r="D223"/>
  <c r="E223"/>
  <c r="F223"/>
  <c r="B224"/>
  <c r="C224"/>
  <c r="D224"/>
  <c r="E224"/>
  <c r="F224"/>
  <c r="B225"/>
  <c r="C225"/>
  <c r="D225"/>
  <c r="E225"/>
  <c r="F225"/>
  <c r="B226"/>
  <c r="C226"/>
  <c r="D226"/>
  <c r="E226"/>
  <c r="F226"/>
  <c r="B227"/>
  <c r="C227"/>
  <c r="D227"/>
  <c r="E227"/>
  <c r="F227"/>
  <c r="B228"/>
  <c r="C228"/>
  <c r="D228"/>
  <c r="E228"/>
  <c r="F228"/>
  <c r="B229"/>
  <c r="C229"/>
  <c r="D229"/>
  <c r="E229"/>
  <c r="F229"/>
  <c r="B230"/>
  <c r="C230"/>
  <c r="D230"/>
  <c r="E230"/>
  <c r="F230"/>
  <c r="B231"/>
  <c r="C231"/>
  <c r="D231"/>
  <c r="E231"/>
  <c r="F231"/>
  <c r="B232"/>
  <c r="C232"/>
  <c r="D232"/>
  <c r="E232"/>
  <c r="F232"/>
  <c r="B233"/>
  <c r="C233"/>
  <c r="D233"/>
  <c r="E233"/>
  <c r="F233"/>
  <c r="B234"/>
  <c r="C234"/>
  <c r="D234"/>
  <c r="E234"/>
  <c r="F234"/>
  <c r="B235"/>
  <c r="C235"/>
  <c r="D235"/>
  <c r="E235"/>
  <c r="F235"/>
  <c r="B236"/>
  <c r="C236"/>
  <c r="D236"/>
  <c r="E236"/>
  <c r="F236"/>
  <c r="B237"/>
  <c r="C237"/>
  <c r="D237"/>
  <c r="E237"/>
  <c r="F237"/>
  <c r="B238"/>
  <c r="C238"/>
  <c r="D238"/>
  <c r="E238"/>
  <c r="F238"/>
  <c r="B239"/>
  <c r="C239"/>
  <c r="D239"/>
  <c r="E239"/>
  <c r="F239"/>
  <c r="B240"/>
  <c r="C240"/>
  <c r="D240"/>
  <c r="E240"/>
  <c r="F240"/>
  <c r="B241"/>
  <c r="C241"/>
  <c r="D241"/>
  <c r="E241"/>
  <c r="F241"/>
  <c r="B242"/>
  <c r="C242"/>
  <c r="D242"/>
  <c r="E242"/>
  <c r="F242"/>
  <c r="B243"/>
  <c r="C243"/>
  <c r="D243"/>
  <c r="E243"/>
  <c r="F243"/>
  <c r="B244"/>
  <c r="C244"/>
  <c r="D244"/>
  <c r="E244"/>
  <c r="F244"/>
  <c r="B245"/>
  <c r="C245"/>
  <c r="D245"/>
  <c r="E245"/>
  <c r="F245"/>
  <c r="B246"/>
  <c r="C246"/>
  <c r="D246"/>
  <c r="E246"/>
  <c r="F246"/>
  <c r="B247"/>
  <c r="C247"/>
  <c r="D247"/>
  <c r="E247"/>
  <c r="F247"/>
  <c r="B248"/>
  <c r="C248"/>
  <c r="D248"/>
  <c r="E248"/>
  <c r="F248"/>
  <c r="B249"/>
  <c r="C249"/>
  <c r="D249"/>
  <c r="E249"/>
  <c r="F249"/>
  <c r="B250"/>
  <c r="C250"/>
  <c r="D250"/>
  <c r="E250"/>
  <c r="F250"/>
  <c r="B251"/>
  <c r="C251"/>
  <c r="D251"/>
  <c r="E251"/>
  <c r="F251"/>
  <c r="B252"/>
  <c r="C252"/>
  <c r="D252"/>
  <c r="E252"/>
  <c r="F252"/>
  <c r="B253"/>
  <c r="C253"/>
  <c r="D253"/>
  <c r="E253"/>
  <c r="F253"/>
  <c r="B254"/>
  <c r="C254"/>
  <c r="D254"/>
  <c r="E254"/>
  <c r="F254"/>
  <c r="B255"/>
  <c r="C255"/>
  <c r="D255"/>
  <c r="E255"/>
  <c r="F255"/>
  <c r="B256"/>
  <c r="C256"/>
  <c r="D256"/>
  <c r="E256"/>
  <c r="F256"/>
  <c r="B257"/>
  <c r="C257"/>
  <c r="D257"/>
  <c r="E257"/>
  <c r="F257"/>
  <c r="B258"/>
  <c r="C258"/>
  <c r="D258"/>
  <c r="E258"/>
  <c r="F258"/>
  <c r="B259"/>
  <c r="C259"/>
  <c r="D259"/>
  <c r="E259"/>
  <c r="F259"/>
  <c r="B260"/>
  <c r="C260"/>
  <c r="D260"/>
  <c r="E260"/>
  <c r="F260"/>
  <c r="B261"/>
  <c r="C261"/>
  <c r="D261"/>
  <c r="E261"/>
  <c r="F261"/>
  <c r="B262"/>
  <c r="C262"/>
  <c r="D262"/>
  <c r="E262"/>
  <c r="F262"/>
  <c r="B263"/>
  <c r="C263"/>
  <c r="D263"/>
  <c r="E263"/>
  <c r="F263"/>
  <c r="B264"/>
  <c r="C264"/>
  <c r="D264"/>
  <c r="E264"/>
  <c r="F264"/>
  <c r="B265"/>
  <c r="C265"/>
  <c r="D265"/>
  <c r="E265"/>
  <c r="F265"/>
  <c r="B266"/>
  <c r="C266"/>
  <c r="D266"/>
  <c r="E266"/>
  <c r="F266"/>
  <c r="B267"/>
  <c r="C267"/>
  <c r="D267"/>
  <c r="E267"/>
  <c r="F267"/>
  <c r="B268"/>
  <c r="C268"/>
  <c r="D268"/>
  <c r="E268"/>
  <c r="F268"/>
  <c r="B269"/>
  <c r="C269"/>
  <c r="D269"/>
  <c r="E269"/>
  <c r="F269"/>
  <c r="B270"/>
  <c r="C270"/>
  <c r="D270"/>
  <c r="E270"/>
  <c r="F270"/>
  <c r="B271"/>
  <c r="C271"/>
  <c r="D271"/>
  <c r="E271"/>
  <c r="F271"/>
  <c r="B272"/>
  <c r="C272"/>
  <c r="D272"/>
  <c r="E272"/>
  <c r="F272"/>
  <c r="B273"/>
  <c r="C273"/>
  <c r="D273"/>
  <c r="E273"/>
  <c r="F273"/>
  <c r="B274"/>
  <c r="C274"/>
  <c r="D274"/>
  <c r="E274"/>
  <c r="F274"/>
  <c r="B275"/>
  <c r="C275"/>
  <c r="D275"/>
  <c r="E275"/>
  <c r="F275"/>
  <c r="B276"/>
  <c r="C276"/>
  <c r="D276"/>
  <c r="E276"/>
  <c r="F276"/>
  <c r="B277"/>
  <c r="C277"/>
  <c r="D277"/>
  <c r="E277"/>
  <c r="F277"/>
  <c r="B278"/>
  <c r="C278"/>
  <c r="D278"/>
  <c r="E278"/>
  <c r="F278"/>
  <c r="B279"/>
  <c r="C279"/>
  <c r="D279"/>
  <c r="E279"/>
  <c r="F279"/>
  <c r="B280"/>
  <c r="C280"/>
  <c r="D280"/>
  <c r="E280"/>
  <c r="F280"/>
  <c r="B281"/>
  <c r="C281"/>
  <c r="D281"/>
  <c r="E281"/>
  <c r="F281"/>
  <c r="B282"/>
  <c r="C282"/>
  <c r="D282"/>
  <c r="E282"/>
  <c r="F282"/>
  <c r="B283"/>
  <c r="C283"/>
  <c r="D283"/>
  <c r="E283"/>
  <c r="F283"/>
  <c r="B284"/>
  <c r="C284"/>
  <c r="D284"/>
  <c r="E284"/>
  <c r="F284"/>
  <c r="B285"/>
  <c r="C285"/>
  <c r="D285"/>
  <c r="E285"/>
  <c r="F285"/>
  <c r="B286"/>
  <c r="C286"/>
  <c r="D286"/>
  <c r="E286"/>
  <c r="F286"/>
  <c r="B287"/>
  <c r="C287"/>
  <c r="D287"/>
  <c r="E287"/>
  <c r="F287"/>
  <c r="B288"/>
  <c r="C288"/>
  <c r="D288"/>
  <c r="E288"/>
  <c r="F288"/>
  <c r="B289"/>
  <c r="C289"/>
  <c r="D289"/>
  <c r="E289"/>
  <c r="F289"/>
  <c r="B290"/>
  <c r="C290"/>
  <c r="D290"/>
  <c r="E290"/>
  <c r="F290"/>
  <c r="B291"/>
  <c r="C291"/>
  <c r="D291"/>
  <c r="E291"/>
  <c r="F291"/>
  <c r="B292"/>
  <c r="C292"/>
  <c r="D292"/>
  <c r="E292"/>
  <c r="F292"/>
  <c r="B293"/>
  <c r="C293"/>
  <c r="D293"/>
  <c r="E293"/>
  <c r="F293"/>
  <c r="B294"/>
  <c r="C294"/>
  <c r="D294"/>
  <c r="E294"/>
  <c r="F294"/>
  <c r="B295"/>
  <c r="C295"/>
  <c r="D295"/>
  <c r="E295"/>
  <c r="F295"/>
  <c r="B296"/>
  <c r="C296"/>
  <c r="D296"/>
  <c r="E296"/>
  <c r="F296"/>
  <c r="B297"/>
  <c r="C297"/>
  <c r="D297"/>
  <c r="E297"/>
  <c r="F297"/>
  <c r="B298"/>
  <c r="C298"/>
  <c r="D298"/>
  <c r="E298"/>
  <c r="F298"/>
  <c r="B299"/>
  <c r="C299"/>
  <c r="D299"/>
  <c r="E299"/>
  <c r="F299"/>
  <c r="B300"/>
  <c r="C300"/>
  <c r="D300"/>
  <c r="E300"/>
  <c r="F300"/>
  <c r="B301"/>
  <c r="C301"/>
  <c r="D301"/>
  <c r="E301"/>
  <c r="F301"/>
  <c r="B302"/>
  <c r="C302"/>
  <c r="D302"/>
  <c r="E302"/>
  <c r="F302"/>
  <c r="B303"/>
  <c r="C303"/>
  <c r="D303"/>
  <c r="E303"/>
  <c r="F303"/>
  <c r="B304"/>
  <c r="C304"/>
  <c r="D304"/>
  <c r="E304"/>
  <c r="F304"/>
  <c r="B305"/>
  <c r="C305"/>
  <c r="D305"/>
  <c r="E305"/>
  <c r="F305"/>
  <c r="B306"/>
  <c r="C306"/>
  <c r="D306"/>
  <c r="E306"/>
  <c r="F306"/>
  <c r="B307"/>
  <c r="C307"/>
  <c r="D307"/>
  <c r="E307"/>
  <c r="F307"/>
  <c r="B308"/>
  <c r="C308"/>
  <c r="D308"/>
  <c r="E308"/>
  <c r="F308"/>
  <c r="B309"/>
  <c r="C309"/>
  <c r="D309"/>
  <c r="E309"/>
  <c r="F309"/>
  <c r="B310"/>
  <c r="C310"/>
  <c r="D310"/>
  <c r="E310"/>
  <c r="F310"/>
  <c r="B311"/>
  <c r="C311"/>
  <c r="D311"/>
  <c r="E311"/>
  <c r="F311"/>
  <c r="B312"/>
  <c r="C312"/>
  <c r="D312"/>
  <c r="E312"/>
  <c r="F312"/>
  <c r="B313"/>
  <c r="C313"/>
  <c r="D313"/>
  <c r="E313"/>
  <c r="F313"/>
  <c r="B314"/>
  <c r="C314"/>
  <c r="D314"/>
  <c r="E314"/>
  <c r="F314"/>
  <c r="B315"/>
  <c r="C315"/>
  <c r="D315"/>
  <c r="E315"/>
  <c r="F315"/>
  <c r="B316"/>
  <c r="C316"/>
  <c r="D316"/>
  <c r="E316"/>
  <c r="F316"/>
  <c r="B317"/>
  <c r="C317"/>
  <c r="D317"/>
  <c r="E317"/>
  <c r="F317"/>
  <c r="B318"/>
  <c r="C318"/>
  <c r="D318"/>
  <c r="E318"/>
  <c r="F318"/>
  <c r="B319"/>
  <c r="C319"/>
  <c r="D319"/>
  <c r="E319"/>
  <c r="F319"/>
  <c r="B320"/>
  <c r="C320"/>
  <c r="D320"/>
  <c r="E320"/>
  <c r="F320"/>
  <c r="B321"/>
  <c r="C321"/>
  <c r="D321"/>
  <c r="E321"/>
  <c r="F321"/>
  <c r="B322"/>
  <c r="C322"/>
  <c r="D322"/>
  <c r="E322"/>
  <c r="F322"/>
  <c r="B323"/>
  <c r="C323"/>
  <c r="D323"/>
  <c r="E323"/>
  <c r="F323"/>
  <c r="B324"/>
  <c r="C324"/>
  <c r="D324"/>
  <c r="E324"/>
  <c r="F324"/>
  <c r="B325"/>
  <c r="C325"/>
  <c r="D325"/>
  <c r="E325"/>
  <c r="F325"/>
  <c r="B326"/>
  <c r="C326"/>
  <c r="D326"/>
  <c r="E326"/>
  <c r="F326"/>
  <c r="B327"/>
  <c r="C327"/>
  <c r="D327"/>
  <c r="E327"/>
  <c r="F327"/>
  <c r="B328"/>
  <c r="C328"/>
  <c r="D328"/>
  <c r="E328"/>
  <c r="F328"/>
  <c r="B329"/>
  <c r="C329"/>
  <c r="D329"/>
  <c r="E329"/>
  <c r="F329"/>
  <c r="B330"/>
  <c r="C330"/>
  <c r="D330"/>
  <c r="E330"/>
  <c r="F330"/>
  <c r="B331"/>
  <c r="C331"/>
  <c r="D331"/>
  <c r="E331"/>
  <c r="F331"/>
  <c r="B332"/>
  <c r="C332"/>
  <c r="D332"/>
  <c r="E332"/>
  <c r="F332"/>
  <c r="B333"/>
  <c r="C333"/>
  <c r="D333"/>
  <c r="E333"/>
  <c r="F333"/>
  <c r="B334"/>
  <c r="C334"/>
  <c r="D334"/>
  <c r="E334"/>
  <c r="F334"/>
  <c r="B335"/>
  <c r="C335"/>
  <c r="D335"/>
  <c r="E335"/>
  <c r="F335"/>
  <c r="B336"/>
  <c r="C336"/>
  <c r="D336"/>
  <c r="E336"/>
  <c r="F336"/>
  <c r="B337"/>
  <c r="C337"/>
  <c r="D337"/>
  <c r="E337"/>
  <c r="F337"/>
  <c r="B338"/>
  <c r="C338"/>
  <c r="D338"/>
  <c r="E338"/>
  <c r="F338"/>
  <c r="B339"/>
  <c r="C339"/>
  <c r="D339"/>
  <c r="E339"/>
  <c r="F339"/>
  <c r="B340"/>
  <c r="C340"/>
  <c r="D340"/>
  <c r="E340"/>
  <c r="F340"/>
  <c r="B341"/>
  <c r="C341"/>
  <c r="D341"/>
  <c r="E341"/>
  <c r="F341"/>
  <c r="B342"/>
  <c r="C342"/>
  <c r="D342"/>
  <c r="E342"/>
  <c r="F342"/>
  <c r="B343"/>
  <c r="C343"/>
  <c r="D343"/>
  <c r="E343"/>
  <c r="F343"/>
  <c r="B344"/>
  <c r="C344"/>
  <c r="D344"/>
  <c r="E344"/>
  <c r="F344"/>
  <c r="B345"/>
  <c r="C345"/>
  <c r="D345"/>
  <c r="E345"/>
  <c r="F345"/>
  <c r="B346"/>
  <c r="C346"/>
  <c r="D346"/>
  <c r="E346"/>
  <c r="F346"/>
  <c r="B347"/>
  <c r="C347"/>
  <c r="D347"/>
  <c r="E347"/>
  <c r="F347"/>
  <c r="B348"/>
  <c r="C348"/>
  <c r="D348"/>
  <c r="E348"/>
  <c r="F348"/>
  <c r="B349"/>
  <c r="C349"/>
  <c r="D349"/>
  <c r="E349"/>
  <c r="F349"/>
  <c r="B350"/>
  <c r="C350"/>
  <c r="D350"/>
  <c r="E350"/>
  <c r="F350"/>
  <c r="B351"/>
  <c r="C351"/>
  <c r="D351"/>
  <c r="E351"/>
  <c r="F351"/>
  <c r="B352"/>
  <c r="C352"/>
  <c r="D352"/>
  <c r="E352"/>
  <c r="F352"/>
  <c r="B353"/>
  <c r="C353"/>
  <c r="D353"/>
  <c r="E353"/>
  <c r="F353"/>
  <c r="B354"/>
  <c r="C354"/>
  <c r="D354"/>
  <c r="E354"/>
  <c r="F354"/>
  <c r="B355"/>
  <c r="C355"/>
  <c r="D355"/>
  <c r="E355"/>
  <c r="F355"/>
  <c r="B356"/>
  <c r="C356"/>
  <c r="D356"/>
  <c r="E356"/>
  <c r="F356"/>
  <c r="B357"/>
  <c r="C357"/>
  <c r="D357"/>
  <c r="E357"/>
  <c r="F357"/>
  <c r="B358"/>
  <c r="C358"/>
  <c r="D358"/>
  <c r="E358"/>
  <c r="F358"/>
  <c r="B359"/>
  <c r="C359"/>
  <c r="D359"/>
  <c r="E359"/>
  <c r="F359"/>
  <c r="B360"/>
  <c r="C360"/>
  <c r="D360"/>
  <c r="E360"/>
  <c r="F360"/>
  <c r="B361"/>
  <c r="C361"/>
  <c r="D361"/>
  <c r="E361"/>
  <c r="F361"/>
  <c r="B362"/>
  <c r="C362"/>
  <c r="D362"/>
  <c r="E362"/>
  <c r="F362"/>
  <c r="B363"/>
  <c r="C363"/>
  <c r="D363"/>
  <c r="E363"/>
  <c r="F363"/>
  <c r="B364"/>
  <c r="C364"/>
  <c r="D364"/>
  <c r="E364"/>
  <c r="F364"/>
  <c r="B365"/>
  <c r="C365"/>
  <c r="D365"/>
  <c r="E365"/>
  <c r="F365"/>
  <c r="B366"/>
  <c r="C366"/>
  <c r="D366"/>
  <c r="E366"/>
  <c r="F366"/>
  <c r="B367"/>
  <c r="C367"/>
  <c r="D367"/>
  <c r="E367"/>
  <c r="F367"/>
  <c r="B368"/>
  <c r="C368"/>
  <c r="D368"/>
  <c r="E368"/>
  <c r="F368"/>
  <c r="B369"/>
  <c r="C369"/>
  <c r="D369"/>
  <c r="E369"/>
  <c r="F369"/>
  <c r="B370"/>
  <c r="C370"/>
  <c r="D370"/>
  <c r="E370"/>
  <c r="F370"/>
  <c r="B371"/>
  <c r="C371"/>
  <c r="D371"/>
  <c r="E371"/>
  <c r="F371"/>
  <c r="B372"/>
  <c r="C372"/>
  <c r="D372"/>
  <c r="E372"/>
  <c r="F372"/>
  <c r="B373"/>
  <c r="C373"/>
  <c r="D373"/>
  <c r="E373"/>
  <c r="F373"/>
  <c r="B374"/>
  <c r="C374"/>
  <c r="D374"/>
  <c r="E374"/>
  <c r="F374"/>
  <c r="B375"/>
  <c r="C375"/>
  <c r="D375"/>
  <c r="E375"/>
  <c r="F375"/>
  <c r="B376"/>
  <c r="C376"/>
  <c r="D376"/>
  <c r="E376"/>
  <c r="F376"/>
  <c r="B377"/>
  <c r="C377"/>
  <c r="D377"/>
  <c r="E377"/>
  <c r="F377"/>
  <c r="B378"/>
  <c r="C378"/>
  <c r="D378"/>
  <c r="E378"/>
  <c r="F378"/>
  <c r="B379"/>
  <c r="C379"/>
  <c r="D379"/>
  <c r="E379"/>
  <c r="F379"/>
  <c r="B380"/>
  <c r="C380"/>
  <c r="D380"/>
  <c r="E380"/>
  <c r="F380"/>
  <c r="B381"/>
  <c r="C381"/>
  <c r="D381"/>
  <c r="E381"/>
  <c r="F381"/>
  <c r="B382"/>
  <c r="C382"/>
  <c r="D382"/>
  <c r="E382"/>
  <c r="F382"/>
  <c r="B383"/>
  <c r="C383"/>
  <c r="D383"/>
  <c r="E383"/>
  <c r="F383"/>
  <c r="B384"/>
  <c r="C384"/>
  <c r="D384"/>
  <c r="E384"/>
  <c r="F384"/>
  <c r="B385"/>
  <c r="C385"/>
  <c r="D385"/>
  <c r="E385"/>
  <c r="F385"/>
  <c r="B386"/>
  <c r="C386"/>
  <c r="D386"/>
  <c r="E386"/>
  <c r="F386"/>
  <c r="B387"/>
  <c r="C387"/>
  <c r="D387"/>
  <c r="E387"/>
  <c r="F387"/>
  <c r="B388"/>
  <c r="C388"/>
  <c r="D388"/>
  <c r="E388"/>
  <c r="F388"/>
  <c r="B389"/>
  <c r="C389"/>
  <c r="D389"/>
  <c r="E389"/>
  <c r="F389"/>
  <c r="B390"/>
  <c r="C390"/>
  <c r="D390"/>
  <c r="E390"/>
  <c r="F390"/>
  <c r="B391"/>
  <c r="C391"/>
  <c r="D391"/>
  <c r="E391"/>
  <c r="F391"/>
  <c r="B392"/>
  <c r="C392"/>
  <c r="D392"/>
  <c r="E392"/>
  <c r="F392"/>
  <c r="B393"/>
  <c r="C393"/>
  <c r="D393"/>
  <c r="E393"/>
  <c r="F393"/>
  <c r="B394"/>
  <c r="C394"/>
  <c r="D394"/>
  <c r="E394"/>
  <c r="F394"/>
  <c r="B395"/>
  <c r="C395"/>
  <c r="D395"/>
  <c r="E395"/>
  <c r="F395"/>
  <c r="B54"/>
  <c r="C54"/>
  <c r="D54"/>
  <c r="E54"/>
  <c r="F54"/>
  <c r="J124" i="6" l="1"/>
  <c r="E133"/>
  <c r="U190" i="1"/>
  <c r="E259" i="6"/>
  <c r="U316" i="1"/>
  <c r="J250" i="6"/>
  <c r="J376"/>
  <c r="J126"/>
  <c r="J378"/>
  <c r="E135"/>
  <c r="U192" i="1"/>
  <c r="J252" i="6"/>
  <c r="E132"/>
  <c r="E134"/>
  <c r="E258"/>
  <c r="E273"/>
  <c r="E285"/>
  <c r="E289"/>
  <c r="E256"/>
  <c r="E278"/>
  <c r="E274"/>
  <c r="E281"/>
  <c r="E290"/>
  <c r="E282"/>
  <c r="E296"/>
  <c r="E277"/>
  <c r="E254"/>
  <c r="F268"/>
  <c r="U324" i="1" s="1"/>
  <c r="W378" i="7"/>
  <c r="W245"/>
  <c r="W57"/>
  <c r="F262" i="6"/>
  <c r="U318" i="1" s="1"/>
  <c r="F132" i="6"/>
  <c r="F284"/>
  <c r="F289"/>
  <c r="F300"/>
  <c r="F293"/>
  <c r="F292"/>
  <c r="F307"/>
  <c r="F301"/>
  <c r="F288"/>
  <c r="F296"/>
  <c r="F285"/>
  <c r="U341" i="1" s="1"/>
  <c r="L201" i="6"/>
  <c r="K210"/>
  <c r="L205"/>
  <c r="K214"/>
  <c r="L195"/>
  <c r="K204"/>
  <c r="K207"/>
  <c r="L198"/>
  <c r="L191"/>
  <c r="K200"/>
  <c r="L199"/>
  <c r="K208"/>
  <c r="K203"/>
  <c r="L194"/>
  <c r="L197"/>
  <c r="K206"/>
  <c r="K202"/>
  <c r="L193"/>
  <c r="A396"/>
  <c r="H261"/>
  <c r="B261"/>
  <c r="D261"/>
  <c r="D131"/>
  <c r="B131"/>
  <c r="H131"/>
  <c r="A266"/>
  <c r="F267" s="1"/>
  <c r="E266" s="1"/>
  <c r="H257"/>
  <c r="B257"/>
  <c r="A392"/>
  <c r="D257"/>
  <c r="H385"/>
  <c r="B385"/>
  <c r="D385"/>
  <c r="A404"/>
  <c r="H269"/>
  <c r="B269"/>
  <c r="D269"/>
  <c r="H265"/>
  <c r="B265"/>
  <c r="D265"/>
  <c r="A400"/>
  <c r="H391"/>
  <c r="B391"/>
  <c r="D391"/>
  <c r="A264"/>
  <c r="F265" s="1"/>
  <c r="E264" s="1"/>
  <c r="D129"/>
  <c r="B129"/>
  <c r="H129"/>
  <c r="D133"/>
  <c r="B133"/>
  <c r="H133"/>
  <c r="A268"/>
  <c r="F269" s="1"/>
  <c r="H383"/>
  <c r="B383"/>
  <c r="D383"/>
  <c r="H397"/>
  <c r="B397"/>
  <c r="D397"/>
  <c r="D135"/>
  <c r="A270"/>
  <c r="F271" s="1"/>
  <c r="H135"/>
  <c r="B135"/>
  <c r="H267"/>
  <c r="J267" s="1"/>
  <c r="D267"/>
  <c r="A402"/>
  <c r="B267"/>
  <c r="A398"/>
  <c r="H263"/>
  <c r="B263"/>
  <c r="D263"/>
  <c r="H395"/>
  <c r="B395"/>
  <c r="D395"/>
  <c r="A390"/>
  <c r="H255"/>
  <c r="B255"/>
  <c r="D255"/>
  <c r="H259"/>
  <c r="D259"/>
  <c r="A394"/>
  <c r="B259"/>
  <c r="H381"/>
  <c r="B381"/>
  <c r="D381"/>
  <c r="H393"/>
  <c r="J393" s="1"/>
  <c r="B393"/>
  <c r="D393"/>
  <c r="H387"/>
  <c r="B387"/>
  <c r="D387"/>
  <c r="H389"/>
  <c r="B389"/>
  <c r="D389"/>
  <c r="A406"/>
  <c r="H271"/>
  <c r="B271"/>
  <c r="D271"/>
  <c r="A196" i="5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195"/>
  <c r="A61"/>
  <c r="A62"/>
  <c r="A63"/>
  <c r="A65"/>
  <c r="A66"/>
  <c r="A67"/>
  <c r="A60"/>
  <c r="A64"/>
  <c r="A68"/>
  <c r="X38" i="4"/>
  <c r="Y38"/>
  <c r="Z38"/>
  <c r="AA38"/>
  <c r="W38"/>
  <c r="S39"/>
  <c r="T39"/>
  <c r="U39"/>
  <c r="V39"/>
  <c r="R39"/>
  <c r="G39"/>
  <c r="J133" i="6" l="1"/>
  <c r="J385"/>
  <c r="E268"/>
  <c r="U325" i="1"/>
  <c r="J259" i="6"/>
  <c r="J387"/>
  <c r="E270"/>
  <c r="U327" i="1"/>
  <c r="J261" i="6"/>
  <c r="J135"/>
  <c r="A256" i="5"/>
  <c r="M9" i="6"/>
  <c r="W67" i="5"/>
  <c r="A65" i="1"/>
  <c r="A61" i="2" s="1"/>
  <c r="V67" i="5"/>
  <c r="X67"/>
  <c r="A436"/>
  <c r="T247"/>
  <c r="A428"/>
  <c r="T239"/>
  <c r="A420"/>
  <c r="T231"/>
  <c r="A412"/>
  <c r="T223"/>
  <c r="A404"/>
  <c r="T215"/>
  <c r="A396"/>
  <c r="T207"/>
  <c r="A388"/>
  <c r="T199"/>
  <c r="A58" i="1"/>
  <c r="A54" i="2" s="1"/>
  <c r="M2" i="6"/>
  <c r="V60" i="5"/>
  <c r="W60"/>
  <c r="X60"/>
  <c r="T248"/>
  <c r="T244"/>
  <c r="T236"/>
  <c r="T228"/>
  <c r="T224"/>
  <c r="T216"/>
  <c r="T208"/>
  <c r="T200"/>
  <c r="M6" i="6"/>
  <c r="A62" i="1"/>
  <c r="A58" i="2" s="1"/>
  <c r="W64" i="5"/>
  <c r="X64"/>
  <c r="V64"/>
  <c r="A254"/>
  <c r="M7" i="6"/>
  <c r="A63" i="1"/>
  <c r="A59" i="2" s="1"/>
  <c r="W65" i="5"/>
  <c r="V65"/>
  <c r="X65"/>
  <c r="A384"/>
  <c r="T195"/>
  <c r="A434"/>
  <c r="T245"/>
  <c r="A430"/>
  <c r="T241"/>
  <c r="A426"/>
  <c r="T237"/>
  <c r="A422"/>
  <c r="T233"/>
  <c r="A418"/>
  <c r="T229"/>
  <c r="A414"/>
  <c r="T225"/>
  <c r="A410"/>
  <c r="T221"/>
  <c r="A406"/>
  <c r="T217"/>
  <c r="A402"/>
  <c r="T213"/>
  <c r="A398"/>
  <c r="T209"/>
  <c r="A394"/>
  <c r="T205"/>
  <c r="A390"/>
  <c r="T201"/>
  <c r="A386"/>
  <c r="T197"/>
  <c r="M4" i="6"/>
  <c r="A60" i="1"/>
  <c r="A56" i="2" s="1"/>
  <c r="W62" i="5"/>
  <c r="X62"/>
  <c r="V62"/>
  <c r="A432"/>
  <c r="T243"/>
  <c r="A424"/>
  <c r="T235"/>
  <c r="A416"/>
  <c r="U417" s="1"/>
  <c r="T227"/>
  <c r="A408"/>
  <c r="T219"/>
  <c r="A400"/>
  <c r="T211"/>
  <c r="A392"/>
  <c r="U393" s="1"/>
  <c r="T203"/>
  <c r="M5" i="6"/>
  <c r="W63" i="5"/>
  <c r="A61" i="1"/>
  <c r="A57" i="2" s="1"/>
  <c r="V63" i="5"/>
  <c r="X63"/>
  <c r="T240"/>
  <c r="T232"/>
  <c r="T220"/>
  <c r="T212"/>
  <c r="T204"/>
  <c r="T196"/>
  <c r="A257"/>
  <c r="M10" i="6"/>
  <c r="A66" i="1"/>
  <c r="A62" i="2" s="1"/>
  <c r="W68" i="5"/>
  <c r="V68"/>
  <c r="X68"/>
  <c r="M8" i="6"/>
  <c r="A64" i="1"/>
  <c r="A60" i="2" s="1"/>
  <c r="W66" i="5"/>
  <c r="X66"/>
  <c r="V66"/>
  <c r="M3" i="6"/>
  <c r="A59" i="1"/>
  <c r="A55" i="2" s="1"/>
  <c r="W61" i="5"/>
  <c r="V61"/>
  <c r="X61"/>
  <c r="A435"/>
  <c r="T246"/>
  <c r="A431"/>
  <c r="T242"/>
  <c r="A427"/>
  <c r="T238"/>
  <c r="A423"/>
  <c r="T234"/>
  <c r="A419"/>
  <c r="T230"/>
  <c r="A415"/>
  <c r="T226"/>
  <c r="A411"/>
  <c r="T222"/>
  <c r="A407"/>
  <c r="T218"/>
  <c r="A403"/>
  <c r="T214"/>
  <c r="A399"/>
  <c r="T210"/>
  <c r="A395"/>
  <c r="T206"/>
  <c r="A391"/>
  <c r="T202"/>
  <c r="A387"/>
  <c r="T198"/>
  <c r="E299" i="6"/>
  <c r="E284"/>
  <c r="E306"/>
  <c r="E288"/>
  <c r="E300"/>
  <c r="E261"/>
  <c r="E287"/>
  <c r="E292"/>
  <c r="E131"/>
  <c r="E295"/>
  <c r="E291"/>
  <c r="E283"/>
  <c r="E269"/>
  <c r="E267"/>
  <c r="E263"/>
  <c r="E265"/>
  <c r="W379" i="7"/>
  <c r="W246"/>
  <c r="W58"/>
  <c r="F306" i="6"/>
  <c r="F302"/>
  <c r="F294"/>
  <c r="F295"/>
  <c r="U351" i="1" s="1"/>
  <c r="F317" i="6"/>
  <c r="F311"/>
  <c r="F310"/>
  <c r="F298"/>
  <c r="F303"/>
  <c r="F299"/>
  <c r="K215"/>
  <c r="L206"/>
  <c r="K217"/>
  <c r="L208"/>
  <c r="K213"/>
  <c r="L204"/>
  <c r="K219"/>
  <c r="L210"/>
  <c r="K211"/>
  <c r="L202"/>
  <c r="L203"/>
  <c r="K212"/>
  <c r="L207"/>
  <c r="K216"/>
  <c r="K209"/>
  <c r="L200"/>
  <c r="K223"/>
  <c r="L214"/>
  <c r="S432" i="5"/>
  <c r="S254"/>
  <c r="S198" i="1" s="1"/>
  <c r="U255" i="5"/>
  <c r="A443"/>
  <c r="U385"/>
  <c r="S384"/>
  <c r="U437"/>
  <c r="S436"/>
  <c r="U429"/>
  <c r="S428"/>
  <c r="U421"/>
  <c r="S420"/>
  <c r="U413"/>
  <c r="S412"/>
  <c r="U405"/>
  <c r="S404"/>
  <c r="U397"/>
  <c r="S396"/>
  <c r="U389"/>
  <c r="S388"/>
  <c r="A72"/>
  <c r="U64"/>
  <c r="S63"/>
  <c r="S61" i="1" s="1"/>
  <c r="G57" i="2" s="1"/>
  <c r="T63" i="5"/>
  <c r="T61" i="1" s="1"/>
  <c r="U245" i="5"/>
  <c r="S244"/>
  <c r="U237"/>
  <c r="S236"/>
  <c r="U229"/>
  <c r="S228"/>
  <c r="U221"/>
  <c r="S220"/>
  <c r="U213"/>
  <c r="S212"/>
  <c r="U205"/>
  <c r="S204"/>
  <c r="U197"/>
  <c r="S196"/>
  <c r="S426"/>
  <c r="U427"/>
  <c r="S402"/>
  <c r="U403"/>
  <c r="S394"/>
  <c r="U395"/>
  <c r="S386"/>
  <c r="U387"/>
  <c r="A73"/>
  <c r="U65"/>
  <c r="T64"/>
  <c r="T62" i="1" s="1"/>
  <c r="S64" i="5"/>
  <c r="S62" i="1" s="1"/>
  <c r="G58" i="2" s="1"/>
  <c r="S245" i="5"/>
  <c r="U246"/>
  <c r="S237"/>
  <c r="U238"/>
  <c r="S225"/>
  <c r="U226"/>
  <c r="S217"/>
  <c r="U218"/>
  <c r="S209"/>
  <c r="U210"/>
  <c r="S201"/>
  <c r="U202"/>
  <c r="U436"/>
  <c r="S435"/>
  <c r="U428"/>
  <c r="S427"/>
  <c r="U420"/>
  <c r="S419"/>
  <c r="U412"/>
  <c r="S411"/>
  <c r="U404"/>
  <c r="S403"/>
  <c r="U396"/>
  <c r="S395"/>
  <c r="U388"/>
  <c r="S387"/>
  <c r="A77"/>
  <c r="U69"/>
  <c r="T68"/>
  <c r="T66" i="1" s="1"/>
  <c r="S68" i="5"/>
  <c r="S66" i="1" s="1"/>
  <c r="G62" i="2" s="1"/>
  <c r="A75" i="5"/>
  <c r="S66"/>
  <c r="S64" i="1" s="1"/>
  <c r="G60" i="2" s="1"/>
  <c r="T66" i="5"/>
  <c r="T64" i="1" s="1"/>
  <c r="U67" i="5"/>
  <c r="A70"/>
  <c r="S61"/>
  <c r="S59" i="1" s="1"/>
  <c r="G55" i="2" s="1"/>
  <c r="U62" i="5"/>
  <c r="T61"/>
  <c r="T59" i="1" s="1"/>
  <c r="S246" i="5"/>
  <c r="U247"/>
  <c r="S242"/>
  <c r="U243"/>
  <c r="S238"/>
  <c r="U239"/>
  <c r="S234"/>
  <c r="U235"/>
  <c r="S230"/>
  <c r="U231"/>
  <c r="S226"/>
  <c r="U227"/>
  <c r="S222"/>
  <c r="U223"/>
  <c r="S218"/>
  <c r="U219"/>
  <c r="S214"/>
  <c r="U215"/>
  <c r="S210"/>
  <c r="U211"/>
  <c r="S206"/>
  <c r="U207"/>
  <c r="S202"/>
  <c r="U203"/>
  <c r="S198"/>
  <c r="U199"/>
  <c r="A252"/>
  <c r="A253"/>
  <c r="A250"/>
  <c r="A69"/>
  <c r="U61"/>
  <c r="T60"/>
  <c r="T58" i="1" s="1"/>
  <c r="S60" i="5"/>
  <c r="S58" i="1" s="1"/>
  <c r="U249" i="5"/>
  <c r="S248"/>
  <c r="U241"/>
  <c r="S240"/>
  <c r="U233"/>
  <c r="S232"/>
  <c r="U225"/>
  <c r="S224"/>
  <c r="U217"/>
  <c r="S216"/>
  <c r="U209"/>
  <c r="S208"/>
  <c r="U201"/>
  <c r="S200"/>
  <c r="S434"/>
  <c r="U435"/>
  <c r="S430"/>
  <c r="U431"/>
  <c r="S422"/>
  <c r="U423"/>
  <c r="S418"/>
  <c r="U419"/>
  <c r="S414"/>
  <c r="U415"/>
  <c r="S410"/>
  <c r="U411"/>
  <c r="S406"/>
  <c r="U407"/>
  <c r="S398"/>
  <c r="U399"/>
  <c r="S390"/>
  <c r="U391"/>
  <c r="A74"/>
  <c r="S65"/>
  <c r="S63" i="1" s="1"/>
  <c r="G59" i="2" s="1"/>
  <c r="T65" i="5"/>
  <c r="T63" i="1" s="1"/>
  <c r="U66" i="5"/>
  <c r="U258"/>
  <c r="S241"/>
  <c r="U242"/>
  <c r="S233"/>
  <c r="U234"/>
  <c r="S229"/>
  <c r="U230"/>
  <c r="S221"/>
  <c r="U222"/>
  <c r="S213"/>
  <c r="U214"/>
  <c r="S205"/>
  <c r="U206"/>
  <c r="S197"/>
  <c r="U198"/>
  <c r="U432"/>
  <c r="S431"/>
  <c r="U424"/>
  <c r="S423"/>
  <c r="U416"/>
  <c r="S415"/>
  <c r="U408"/>
  <c r="S407"/>
  <c r="U400"/>
  <c r="S399"/>
  <c r="U392"/>
  <c r="S391"/>
  <c r="A76"/>
  <c r="U68"/>
  <c r="S67"/>
  <c r="S65" i="1" s="1"/>
  <c r="G61" i="2" s="1"/>
  <c r="T67" i="5"/>
  <c r="T65" i="1" s="1"/>
  <c r="A71" i="5"/>
  <c r="S62"/>
  <c r="S60" i="1" s="1"/>
  <c r="G56" i="2" s="1"/>
  <c r="U63" i="5"/>
  <c r="T62"/>
  <c r="T60" i="1" s="1"/>
  <c r="U196" i="5"/>
  <c r="S195"/>
  <c r="U248"/>
  <c r="S247"/>
  <c r="U244"/>
  <c r="S243"/>
  <c r="U240"/>
  <c r="S239"/>
  <c r="U236"/>
  <c r="S235"/>
  <c r="U232"/>
  <c r="S231"/>
  <c r="U228"/>
  <c r="S227"/>
  <c r="U224"/>
  <c r="S223"/>
  <c r="U220"/>
  <c r="S219"/>
  <c r="U216"/>
  <c r="S215"/>
  <c r="U212"/>
  <c r="S211"/>
  <c r="U208"/>
  <c r="S207"/>
  <c r="U204"/>
  <c r="S203"/>
  <c r="U200"/>
  <c r="S199"/>
  <c r="A249"/>
  <c r="A255"/>
  <c r="A251"/>
  <c r="A437"/>
  <c r="A433"/>
  <c r="A429"/>
  <c r="A425"/>
  <c r="A421"/>
  <c r="A417"/>
  <c r="A413"/>
  <c r="A409"/>
  <c r="A405"/>
  <c r="A401"/>
  <c r="A397"/>
  <c r="A393"/>
  <c r="A389"/>
  <c r="A385"/>
  <c r="A405" i="6"/>
  <c r="B270"/>
  <c r="D270"/>
  <c r="H270"/>
  <c r="D396"/>
  <c r="H396"/>
  <c r="B396"/>
  <c r="A399"/>
  <c r="B264"/>
  <c r="D264"/>
  <c r="H264"/>
  <c r="D392"/>
  <c r="B392"/>
  <c r="H392"/>
  <c r="A401"/>
  <c r="B266"/>
  <c r="D266"/>
  <c r="H266"/>
  <c r="D390"/>
  <c r="B390"/>
  <c r="H390"/>
  <c r="A403"/>
  <c r="B268"/>
  <c r="D268"/>
  <c r="H268"/>
  <c r="D406"/>
  <c r="B406"/>
  <c r="H406"/>
  <c r="D400"/>
  <c r="B400"/>
  <c r="H400"/>
  <c r="D394"/>
  <c r="H394"/>
  <c r="B394"/>
  <c r="D398"/>
  <c r="B398"/>
  <c r="H398"/>
  <c r="D402"/>
  <c r="H402"/>
  <c r="J402" s="1"/>
  <c r="B402"/>
  <c r="D404"/>
  <c r="B404"/>
  <c r="H404"/>
  <c r="C40" i="4"/>
  <c r="C41"/>
  <c r="C42"/>
  <c r="C43"/>
  <c r="C44"/>
  <c r="C45"/>
  <c r="C46"/>
  <c r="C47"/>
  <c r="C48"/>
  <c r="C49"/>
  <c r="C50"/>
  <c r="C51"/>
  <c r="C52"/>
  <c r="C53"/>
  <c r="J394" i="6" l="1"/>
  <c r="J268"/>
  <c r="J270"/>
  <c r="J396"/>
  <c r="T385" i="5"/>
  <c r="T401"/>
  <c r="T433"/>
  <c r="M143" i="6"/>
  <c r="T255" i="5"/>
  <c r="T199" i="1" s="1"/>
  <c r="A199"/>
  <c r="M12" i="6"/>
  <c r="T70" i="5"/>
  <c r="T68" i="1" s="1"/>
  <c r="A68"/>
  <c r="A64" i="2" s="1"/>
  <c r="X70" i="5"/>
  <c r="W70"/>
  <c r="V70"/>
  <c r="M17" i="6"/>
  <c r="T75" i="5"/>
  <c r="T73" i="1" s="1"/>
  <c r="A73"/>
  <c r="A69" i="2" s="1"/>
  <c r="V75" i="5"/>
  <c r="W75"/>
  <c r="X75"/>
  <c r="A446"/>
  <c r="M145" i="6"/>
  <c r="T257" i="5"/>
  <c r="T201" i="1" s="1"/>
  <c r="A201"/>
  <c r="T400" i="5"/>
  <c r="T408"/>
  <c r="T424"/>
  <c r="T432"/>
  <c r="M144" i="6"/>
  <c r="T256" i="5"/>
  <c r="T200" i="1" s="1"/>
  <c r="A200"/>
  <c r="T397" i="5"/>
  <c r="T429"/>
  <c r="M139" i="6"/>
  <c r="T251" i="5"/>
  <c r="T195" i="1" s="1"/>
  <c r="A195"/>
  <c r="M11" i="6"/>
  <c r="T69" i="5"/>
  <c r="T67" i="1" s="1"/>
  <c r="A67"/>
  <c r="A63" i="2" s="1"/>
  <c r="W69" i="5"/>
  <c r="X69"/>
  <c r="V69"/>
  <c r="T409"/>
  <c r="M140" i="6"/>
  <c r="T252" i="5"/>
  <c r="T196" i="1" s="1"/>
  <c r="A196"/>
  <c r="M15" i="6"/>
  <c r="T73" i="5"/>
  <c r="T71" i="1" s="1"/>
  <c r="A71"/>
  <c r="A67" i="2" s="1"/>
  <c r="V73" i="5"/>
  <c r="W73"/>
  <c r="X73"/>
  <c r="M14" i="6"/>
  <c r="T72" i="5"/>
  <c r="T70" i="1" s="1"/>
  <c r="A70"/>
  <c r="A66" i="2" s="1"/>
  <c r="W72" i="5"/>
  <c r="X72"/>
  <c r="V72"/>
  <c r="T386"/>
  <c r="T390"/>
  <c r="T394"/>
  <c r="T398"/>
  <c r="T402"/>
  <c r="T406"/>
  <c r="T410"/>
  <c r="T414"/>
  <c r="T418"/>
  <c r="T422"/>
  <c r="T426"/>
  <c r="T430"/>
  <c r="T434"/>
  <c r="T384"/>
  <c r="S256"/>
  <c r="S200" i="1" s="1"/>
  <c r="U401" i="5"/>
  <c r="U409"/>
  <c r="U425"/>
  <c r="T417"/>
  <c r="M138" i="6"/>
  <c r="T250" i="5"/>
  <c r="T194" i="1" s="1"/>
  <c r="A194"/>
  <c r="M19" i="6"/>
  <c r="T77" i="5"/>
  <c r="T75" i="1" s="1"/>
  <c r="A75"/>
  <c r="A71" i="2" s="1"/>
  <c r="V77" i="5"/>
  <c r="W77"/>
  <c r="X77"/>
  <c r="T392"/>
  <c r="T416"/>
  <c r="T413"/>
  <c r="T393"/>
  <c r="T425"/>
  <c r="T389"/>
  <c r="T405"/>
  <c r="T421"/>
  <c r="T437"/>
  <c r="M137" i="6"/>
  <c r="T249" i="5"/>
  <c r="T193" i="1" s="1"/>
  <c r="A193"/>
  <c r="M13" i="6"/>
  <c r="T71" i="5"/>
  <c r="T69" i="1" s="1"/>
  <c r="A69"/>
  <c r="A65" i="2" s="1"/>
  <c r="W71" i="5"/>
  <c r="V71"/>
  <c r="X71"/>
  <c r="M18" i="6"/>
  <c r="T76" i="5"/>
  <c r="T74" i="1" s="1"/>
  <c r="A74"/>
  <c r="A70" i="2" s="1"/>
  <c r="X76" i="5"/>
  <c r="W76"/>
  <c r="V76"/>
  <c r="M16" i="6"/>
  <c r="T74" i="5"/>
  <c r="T72" i="1" s="1"/>
  <c r="A72"/>
  <c r="A68" i="2" s="1"/>
  <c r="W74" i="5"/>
  <c r="X74"/>
  <c r="V74"/>
  <c r="M141" i="6"/>
  <c r="T253" i="5"/>
  <c r="T197" i="1" s="1"/>
  <c r="A197"/>
  <c r="M277" i="6"/>
  <c r="T443" i="5"/>
  <c r="T333" i="1" s="1"/>
  <c r="A333"/>
  <c r="T387" i="5"/>
  <c r="T391"/>
  <c r="T395"/>
  <c r="T399"/>
  <c r="T403"/>
  <c r="T407"/>
  <c r="T411"/>
  <c r="T415"/>
  <c r="T419"/>
  <c r="T423"/>
  <c r="T427"/>
  <c r="T431"/>
  <c r="T435"/>
  <c r="M142" i="6"/>
  <c r="T254" i="5"/>
  <c r="T198" i="1" s="1"/>
  <c r="A198"/>
  <c r="T388" i="5"/>
  <c r="T396"/>
  <c r="T404"/>
  <c r="T412"/>
  <c r="T420"/>
  <c r="T428"/>
  <c r="T436"/>
  <c r="U257"/>
  <c r="A445"/>
  <c r="S257"/>
  <c r="S201" i="1" s="1"/>
  <c r="S392" i="5"/>
  <c r="S400"/>
  <c r="S408"/>
  <c r="S416"/>
  <c r="S424"/>
  <c r="U433"/>
  <c r="E298" i="6"/>
  <c r="E301"/>
  <c r="E297"/>
  <c r="E302"/>
  <c r="E316"/>
  <c r="E305"/>
  <c r="E310"/>
  <c r="E309"/>
  <c r="E293"/>
  <c r="E294"/>
  <c r="W380" i="7"/>
  <c r="W247"/>
  <c r="W59"/>
  <c r="F313" i="6"/>
  <c r="U369" i="1" s="1"/>
  <c r="F320" i="6"/>
  <c r="F304"/>
  <c r="U360" i="1" s="1"/>
  <c r="F309" i="6"/>
  <c r="F308"/>
  <c r="F321"/>
  <c r="F305"/>
  <c r="F312"/>
  <c r="F316"/>
  <c r="F327"/>
  <c r="L223"/>
  <c r="K232"/>
  <c r="K228"/>
  <c r="L219"/>
  <c r="L217"/>
  <c r="K226"/>
  <c r="K221"/>
  <c r="L212"/>
  <c r="L209"/>
  <c r="K218"/>
  <c r="L211"/>
  <c r="K220"/>
  <c r="L213"/>
  <c r="K222"/>
  <c r="K224"/>
  <c r="L215"/>
  <c r="K225"/>
  <c r="L216"/>
  <c r="G54" i="2"/>
  <c r="S405" i="5"/>
  <c r="U406"/>
  <c r="S437"/>
  <c r="U438"/>
  <c r="A79"/>
  <c r="S70"/>
  <c r="S68" i="1" s="1"/>
  <c r="G64" i="2" s="1"/>
  <c r="U71" i="5"/>
  <c r="A259"/>
  <c r="A81"/>
  <c r="U73"/>
  <c r="S72"/>
  <c r="S70" i="1" s="1"/>
  <c r="G66" i="2" s="1"/>
  <c r="A261" i="5"/>
  <c r="S385"/>
  <c r="U386"/>
  <c r="S417"/>
  <c r="U418"/>
  <c r="S433"/>
  <c r="U434"/>
  <c r="A83"/>
  <c r="S74"/>
  <c r="S72" i="1" s="1"/>
  <c r="G68" i="2" s="1"/>
  <c r="U75" i="5"/>
  <c r="A263"/>
  <c r="U253"/>
  <c r="S252"/>
  <c r="S196" i="1" s="1"/>
  <c r="A441" i="5"/>
  <c r="S393"/>
  <c r="U394"/>
  <c r="S409"/>
  <c r="U410"/>
  <c r="S425"/>
  <c r="U426"/>
  <c r="S445"/>
  <c r="S335" i="1" s="1"/>
  <c r="U446" i="5"/>
  <c r="A80"/>
  <c r="U72"/>
  <c r="S71"/>
  <c r="S69" i="1" s="1"/>
  <c r="G65" i="2" s="1"/>
  <c r="A260" i="5"/>
  <c r="S250"/>
  <c r="S194" i="1" s="1"/>
  <c r="U251" i="5"/>
  <c r="A439"/>
  <c r="A84"/>
  <c r="U76"/>
  <c r="S75"/>
  <c r="S73" i="1" s="1"/>
  <c r="G69" i="2" s="1"/>
  <c r="A264" i="5"/>
  <c r="U444"/>
  <c r="S443"/>
  <c r="S333" i="1" s="1"/>
  <c r="S389" i="5"/>
  <c r="U390"/>
  <c r="S421"/>
  <c r="U422"/>
  <c r="S249"/>
  <c r="S193" i="1" s="1"/>
  <c r="U250" i="5"/>
  <c r="A438"/>
  <c r="A78"/>
  <c r="S69"/>
  <c r="S67" i="1" s="1"/>
  <c r="G63" i="2" s="1"/>
  <c r="U70" i="5"/>
  <c r="A258"/>
  <c r="S401"/>
  <c r="U402"/>
  <c r="U256"/>
  <c r="S255"/>
  <c r="S199" i="1" s="1"/>
  <c r="A444" i="5"/>
  <c r="A82"/>
  <c r="S73"/>
  <c r="S71" i="1" s="1"/>
  <c r="G67" i="2" s="1"/>
  <c r="U74" i="5"/>
  <c r="A262"/>
  <c r="S397"/>
  <c r="U398"/>
  <c r="S413"/>
  <c r="U414"/>
  <c r="S429"/>
  <c r="U430"/>
  <c r="U252"/>
  <c r="S251"/>
  <c r="S195" i="1" s="1"/>
  <c r="A440" i="5"/>
  <c r="A85"/>
  <c r="U77"/>
  <c r="S76"/>
  <c r="S74" i="1" s="1"/>
  <c r="G70" i="2" s="1"/>
  <c r="A265" i="5"/>
  <c r="S253"/>
  <c r="S197" i="1" s="1"/>
  <c r="U254" i="5"/>
  <c r="A442"/>
  <c r="A86"/>
  <c r="S77"/>
  <c r="S75" i="1" s="1"/>
  <c r="G71" i="2" s="1"/>
  <c r="U78" i="5"/>
  <c r="A266"/>
  <c r="H405" i="6"/>
  <c r="B405"/>
  <c r="D405"/>
  <c r="H401"/>
  <c r="B401"/>
  <c r="D401"/>
  <c r="H399"/>
  <c r="B399"/>
  <c r="D399"/>
  <c r="H403"/>
  <c r="B403"/>
  <c r="D403"/>
  <c r="R38" i="4"/>
  <c r="S38"/>
  <c r="H38" s="1"/>
  <c r="T38"/>
  <c r="I38" s="1"/>
  <c r="U38"/>
  <c r="V38"/>
  <c r="W37"/>
  <c r="X37"/>
  <c r="Y37"/>
  <c r="Z37"/>
  <c r="AA37"/>
  <c r="R37"/>
  <c r="S37"/>
  <c r="T37"/>
  <c r="U37"/>
  <c r="V37"/>
  <c r="L38"/>
  <c r="M38"/>
  <c r="N38"/>
  <c r="O38"/>
  <c r="P38"/>
  <c r="J403" i="6" l="1"/>
  <c r="J405"/>
  <c r="M146"/>
  <c r="T258" i="5"/>
  <c r="T202" i="1" s="1"/>
  <c r="A202"/>
  <c r="M26" i="6"/>
  <c r="T84" i="5"/>
  <c r="T82" i="1" s="1"/>
  <c r="A82"/>
  <c r="A78" i="2" s="1"/>
  <c r="W84" i="5"/>
  <c r="X84"/>
  <c r="V84"/>
  <c r="M22" i="6"/>
  <c r="T80" i="5"/>
  <c r="T78" i="1" s="1"/>
  <c r="A78"/>
  <c r="A74" i="2" s="1"/>
  <c r="X80" i="5"/>
  <c r="V80"/>
  <c r="W80"/>
  <c r="M149" i="6"/>
  <c r="T261" i="5"/>
  <c r="T205" i="1" s="1"/>
  <c r="A205"/>
  <c r="M20" i="6"/>
  <c r="T78" i="5"/>
  <c r="T76" i="1" s="1"/>
  <c r="A76"/>
  <c r="A72" i="2" s="1"/>
  <c r="X78" i="5"/>
  <c r="W78"/>
  <c r="V78"/>
  <c r="M276" i="6"/>
  <c r="T442" i="5"/>
  <c r="T332" i="1" s="1"/>
  <c r="A332"/>
  <c r="M274" i="6"/>
  <c r="T440" i="5"/>
  <c r="T330" i="1" s="1"/>
  <c r="A330"/>
  <c r="M24" i="6"/>
  <c r="T82" i="5"/>
  <c r="T80" i="1" s="1"/>
  <c r="A80"/>
  <c r="A76" i="2" s="1"/>
  <c r="W82" i="5"/>
  <c r="V82"/>
  <c r="X82"/>
  <c r="M152" i="6"/>
  <c r="T264" i="5"/>
  <c r="T208" i="1" s="1"/>
  <c r="A208"/>
  <c r="M148" i="6"/>
  <c r="T260" i="5"/>
  <c r="T204" i="1" s="1"/>
  <c r="A204"/>
  <c r="M21" i="6"/>
  <c r="T79" i="5"/>
  <c r="T77" i="1" s="1"/>
  <c r="A77"/>
  <c r="A73" i="2" s="1"/>
  <c r="W79" i="5"/>
  <c r="X79"/>
  <c r="V79"/>
  <c r="M154" i="6"/>
  <c r="T266" i="5"/>
  <c r="T210" i="1" s="1"/>
  <c r="A210"/>
  <c r="M153" i="6"/>
  <c r="T265" i="5"/>
  <c r="T209" i="1" s="1"/>
  <c r="A209"/>
  <c r="M278" i="6"/>
  <c r="T444" i="5"/>
  <c r="T334" i="1" s="1"/>
  <c r="A334"/>
  <c r="M275" i="6"/>
  <c r="T441" i="5"/>
  <c r="T331" i="1" s="1"/>
  <c r="A331"/>
  <c r="M28" i="6"/>
  <c r="T86" i="5"/>
  <c r="T84" i="1" s="1"/>
  <c r="A84"/>
  <c r="A80" i="2" s="1"/>
  <c r="W86" i="5"/>
  <c r="V86"/>
  <c r="X86"/>
  <c r="M27" i="6"/>
  <c r="T85" i="5"/>
  <c r="T83" i="1" s="1"/>
  <c r="A83"/>
  <c r="A79" i="2" s="1"/>
  <c r="X85" i="5"/>
  <c r="W85"/>
  <c r="V85"/>
  <c r="M272" i="6"/>
  <c r="T438" i="5"/>
  <c r="T328" i="1" s="1"/>
  <c r="A328"/>
  <c r="M151" i="6"/>
  <c r="T263" i="5"/>
  <c r="T207" i="1" s="1"/>
  <c r="A207"/>
  <c r="M23" i="6"/>
  <c r="T81" i="5"/>
  <c r="T79" i="1" s="1"/>
  <c r="A79"/>
  <c r="A75" i="2" s="1"/>
  <c r="X81" i="5"/>
  <c r="W81"/>
  <c r="V81"/>
  <c r="M150" i="6"/>
  <c r="T262" i="5"/>
  <c r="T206" i="1" s="1"/>
  <c r="A206"/>
  <c r="M273" i="6"/>
  <c r="T439" i="5"/>
  <c r="T329" i="1" s="1"/>
  <c r="A329"/>
  <c r="M25" i="6"/>
  <c r="T83" i="5"/>
  <c r="T81" i="1" s="1"/>
  <c r="A81"/>
  <c r="A77" i="2" s="1"/>
  <c r="W83" i="5"/>
  <c r="X83"/>
  <c r="V83"/>
  <c r="M147" i="6"/>
  <c r="T259" i="5"/>
  <c r="T203" i="1" s="1"/>
  <c r="A203"/>
  <c r="M279" i="6"/>
  <c r="T445" i="5"/>
  <c r="T335" i="1" s="1"/>
  <c r="A335"/>
  <c r="M280" i="6"/>
  <c r="T446" i="5"/>
  <c r="T336" i="1" s="1"/>
  <c r="A336"/>
  <c r="S446" i="5"/>
  <c r="S336" i="1" s="1"/>
  <c r="U447" i="5"/>
  <c r="E304" i="6"/>
  <c r="E311"/>
  <c r="E308"/>
  <c r="E326"/>
  <c r="E320"/>
  <c r="E319"/>
  <c r="E315"/>
  <c r="E307"/>
  <c r="E312"/>
  <c r="E303"/>
  <c r="W381" i="7"/>
  <c r="W248"/>
  <c r="W60"/>
  <c r="F315" i="6"/>
  <c r="F337"/>
  <c r="F323"/>
  <c r="F326"/>
  <c r="F318"/>
  <c r="F314"/>
  <c r="F322"/>
  <c r="U378" i="1" s="1"/>
  <c r="F331" i="6"/>
  <c r="U387" i="1" s="1"/>
  <c r="F319" i="6"/>
  <c r="F330"/>
  <c r="K231"/>
  <c r="L222"/>
  <c r="K227"/>
  <c r="L218"/>
  <c r="L225"/>
  <c r="K234"/>
  <c r="K233"/>
  <c r="L224"/>
  <c r="L221"/>
  <c r="K230"/>
  <c r="K237"/>
  <c r="L228"/>
  <c r="K229"/>
  <c r="L220"/>
  <c r="K235"/>
  <c r="L226"/>
  <c r="K241"/>
  <c r="L232"/>
  <c r="S265" i="5"/>
  <c r="S209" i="1" s="1"/>
  <c r="U266" i="5"/>
  <c r="A454"/>
  <c r="A92"/>
  <c r="U84"/>
  <c r="S83"/>
  <c r="S81" i="1" s="1"/>
  <c r="G77" i="2" s="1"/>
  <c r="A272" i="5"/>
  <c r="S266"/>
  <c r="S210" i="1" s="1"/>
  <c r="U267" i="5"/>
  <c r="A455"/>
  <c r="U445"/>
  <c r="S444"/>
  <c r="S334" i="1" s="1"/>
  <c r="A87" i="5"/>
  <c r="S78"/>
  <c r="S76" i="1" s="1"/>
  <c r="G72" i="2" s="1"/>
  <c r="U79" i="5"/>
  <c r="A267"/>
  <c r="U264"/>
  <c r="S263"/>
  <c r="S207" i="1" s="1"/>
  <c r="A452" i="5"/>
  <c r="S261"/>
  <c r="S205" i="1" s="1"/>
  <c r="U262" i="5"/>
  <c r="A450"/>
  <c r="A91"/>
  <c r="S82"/>
  <c r="S80" i="1" s="1"/>
  <c r="G76" i="2" s="1"/>
  <c r="U83" i="5"/>
  <c r="A271"/>
  <c r="S258"/>
  <c r="S202" i="1" s="1"/>
  <c r="U259" i="5"/>
  <c r="A447"/>
  <c r="S438"/>
  <c r="S328" i="1" s="1"/>
  <c r="U439" i="5"/>
  <c r="A93"/>
  <c r="U85"/>
  <c r="S84"/>
  <c r="S82" i="1" s="1"/>
  <c r="G78" i="2" s="1"/>
  <c r="A273" i="5"/>
  <c r="U261"/>
  <c r="S260"/>
  <c r="S204" i="1" s="1"/>
  <c r="A449" i="5"/>
  <c r="S441"/>
  <c r="S331" i="1" s="1"/>
  <c r="U442" i="5"/>
  <c r="A88"/>
  <c r="U80"/>
  <c r="S79"/>
  <c r="S77" i="1" s="1"/>
  <c r="G73" i="2" s="1"/>
  <c r="A268" i="5"/>
  <c r="A95"/>
  <c r="S86"/>
  <c r="S84" i="1" s="1"/>
  <c r="G80" i="2" s="1"/>
  <c r="U87" i="5"/>
  <c r="A275"/>
  <c r="U441"/>
  <c r="S440"/>
  <c r="S330" i="1" s="1"/>
  <c r="A90" i="5"/>
  <c r="S81"/>
  <c r="S79" i="1" s="1"/>
  <c r="G75" i="2" s="1"/>
  <c r="U82" i="5"/>
  <c r="A270"/>
  <c r="S442"/>
  <c r="S332" i="1" s="1"/>
  <c r="U443" i="5"/>
  <c r="A89"/>
  <c r="U81"/>
  <c r="S80"/>
  <c r="S78" i="1" s="1"/>
  <c r="G74" i="2" s="1"/>
  <c r="A269" i="5"/>
  <c r="A94"/>
  <c r="S85"/>
  <c r="S83" i="1" s="1"/>
  <c r="G79" i="2" s="1"/>
  <c r="U86" i="5"/>
  <c r="A274"/>
  <c r="S262"/>
  <c r="S206" i="1" s="1"/>
  <c r="U263" i="5"/>
  <c r="A451"/>
  <c r="U265"/>
  <c r="S264"/>
  <c r="S208" i="1" s="1"/>
  <c r="A453" i="5"/>
  <c r="U440"/>
  <c r="S439"/>
  <c r="S329" i="1" s="1"/>
  <c r="U260" i="5"/>
  <c r="S259"/>
  <c r="S203" i="1" s="1"/>
  <c r="A448" i="5"/>
  <c r="J38" i="4"/>
  <c r="G38"/>
  <c r="K38"/>
  <c r="C37"/>
  <c r="C39"/>
  <c r="C36"/>
  <c r="M36" i="6" l="1"/>
  <c r="T94" i="5"/>
  <c r="T92" i="1" s="1"/>
  <c r="A92"/>
  <c r="A88" i="2" s="1"/>
  <c r="W94" i="5"/>
  <c r="X94"/>
  <c r="V94"/>
  <c r="M157" i="6"/>
  <c r="T269" i="5"/>
  <c r="T213" i="1" s="1"/>
  <c r="A213"/>
  <c r="M158" i="6"/>
  <c r="T270" i="5"/>
  <c r="T214" i="1" s="1"/>
  <c r="A214"/>
  <c r="M159" i="6"/>
  <c r="T271" i="5"/>
  <c r="T215" i="1" s="1"/>
  <c r="A215"/>
  <c r="M29" i="6"/>
  <c r="T87" i="5"/>
  <c r="T85" i="1" s="1"/>
  <c r="A85"/>
  <c r="A81" i="2" s="1"/>
  <c r="W87" i="5"/>
  <c r="X87"/>
  <c r="V87"/>
  <c r="M287" i="6"/>
  <c r="T453" i="5"/>
  <c r="T343" i="1" s="1"/>
  <c r="A343"/>
  <c r="M163" i="6"/>
  <c r="T275" i="5"/>
  <c r="T219" i="1" s="1"/>
  <c r="A219"/>
  <c r="M282" i="6"/>
  <c r="T448" i="5"/>
  <c r="T338" i="1" s="1"/>
  <c r="A338"/>
  <c r="M285" i="6"/>
  <c r="T451" i="5"/>
  <c r="T341" i="1" s="1"/>
  <c r="A341"/>
  <c r="M37" i="6"/>
  <c r="T95" i="5"/>
  <c r="T93" i="1" s="1"/>
  <c r="A93"/>
  <c r="A89" i="2" s="1"/>
  <c r="V95" i="5"/>
  <c r="X95"/>
  <c r="W95"/>
  <c r="M30" i="6"/>
  <c r="T88" i="5"/>
  <c r="T86" i="1" s="1"/>
  <c r="A86"/>
  <c r="A82" i="2" s="1"/>
  <c r="W88" i="5"/>
  <c r="X88"/>
  <c r="V88"/>
  <c r="M283" i="6"/>
  <c r="T449" i="5"/>
  <c r="T339" i="1" s="1"/>
  <c r="A339"/>
  <c r="M161" i="6"/>
  <c r="T273" i="5"/>
  <c r="T217" i="1" s="1"/>
  <c r="A217"/>
  <c r="M286" i="6"/>
  <c r="T452" i="5"/>
  <c r="T342" i="1" s="1"/>
  <c r="A342"/>
  <c r="M34" i="6"/>
  <c r="T92" i="5"/>
  <c r="T90" i="1" s="1"/>
  <c r="A90"/>
  <c r="A86" i="2" s="1"/>
  <c r="W92" i="5"/>
  <c r="X92"/>
  <c r="V92"/>
  <c r="M162" i="6"/>
  <c r="T274" i="5"/>
  <c r="T218" i="1" s="1"/>
  <c r="A218"/>
  <c r="M35" i="6"/>
  <c r="T93" i="5"/>
  <c r="T91" i="1" s="1"/>
  <c r="A91"/>
  <c r="A87" i="2" s="1"/>
  <c r="X93" i="5"/>
  <c r="W93"/>
  <c r="V93"/>
  <c r="M281" i="6"/>
  <c r="T447" i="5"/>
  <c r="T337" i="1" s="1"/>
  <c r="A337"/>
  <c r="M284" i="6"/>
  <c r="T450" i="5"/>
  <c r="T340" i="1" s="1"/>
  <c r="A340"/>
  <c r="M155" i="6"/>
  <c r="T267" i="5"/>
  <c r="T211" i="1" s="1"/>
  <c r="A211"/>
  <c r="M288" i="6"/>
  <c r="T454" i="5"/>
  <c r="T344" i="1" s="1"/>
  <c r="A344"/>
  <c r="M31" i="6"/>
  <c r="T89" i="5"/>
  <c r="T87" i="1" s="1"/>
  <c r="A87"/>
  <c r="A83" i="2" s="1"/>
  <c r="W89" i="5"/>
  <c r="X89"/>
  <c r="V89"/>
  <c r="M32" i="6"/>
  <c r="T90" i="5"/>
  <c r="T88" i="1" s="1"/>
  <c r="A88"/>
  <c r="A84" i="2" s="1"/>
  <c r="X90" i="5"/>
  <c r="W90"/>
  <c r="V90"/>
  <c r="M156" i="6"/>
  <c r="T268" i="5"/>
  <c r="T212" i="1" s="1"/>
  <c r="A212"/>
  <c r="M33" i="6"/>
  <c r="T91" i="5"/>
  <c r="T89" i="1" s="1"/>
  <c r="A89"/>
  <c r="A85" i="2" s="1"/>
  <c r="W91" i="5"/>
  <c r="X91"/>
  <c r="V91"/>
  <c r="M289" i="6"/>
  <c r="T455" i="5"/>
  <c r="T345" i="1" s="1"/>
  <c r="A345"/>
  <c r="M160" i="6"/>
  <c r="T272" i="5"/>
  <c r="T216" i="1" s="1"/>
  <c r="A216"/>
  <c r="E336" i="6"/>
  <c r="E325"/>
  <c r="E329"/>
  <c r="E313"/>
  <c r="E322"/>
  <c r="E318"/>
  <c r="E317"/>
  <c r="E314"/>
  <c r="E321"/>
  <c r="E330"/>
  <c r="W382" i="7"/>
  <c r="W249"/>
  <c r="W61"/>
  <c r="F332" i="6"/>
  <c r="F328"/>
  <c r="F325"/>
  <c r="U381" i="1" s="1"/>
  <c r="F340" i="6"/>
  <c r="U396" i="1" s="1"/>
  <c r="F341" i="6"/>
  <c r="U397" i="1" s="1"/>
  <c r="F324" i="6"/>
  <c r="F336"/>
  <c r="F329"/>
  <c r="F333"/>
  <c r="F347"/>
  <c r="K239"/>
  <c r="L230"/>
  <c r="L235"/>
  <c r="K244"/>
  <c r="L237"/>
  <c r="K246"/>
  <c r="L233"/>
  <c r="K242"/>
  <c r="L227"/>
  <c r="K236"/>
  <c r="L241"/>
  <c r="K250"/>
  <c r="K238"/>
  <c r="L229"/>
  <c r="L231"/>
  <c r="K240"/>
  <c r="K243"/>
  <c r="L234"/>
  <c r="S274" i="5"/>
  <c r="S218" i="1" s="1"/>
  <c r="U275" i="5"/>
  <c r="A463"/>
  <c r="S269"/>
  <c r="S213" i="1" s="1"/>
  <c r="U270" i="5"/>
  <c r="A458"/>
  <c r="A102"/>
  <c r="S93"/>
  <c r="S91" i="1" s="1"/>
  <c r="G87" i="2" s="1"/>
  <c r="U94" i="5"/>
  <c r="A282"/>
  <c r="U456"/>
  <c r="S455"/>
  <c r="S345" i="1" s="1"/>
  <c r="A104" i="5"/>
  <c r="U96"/>
  <c r="S95"/>
  <c r="S93" i="1" s="1"/>
  <c r="G89" i="2" s="1"/>
  <c r="A284" i="5"/>
  <c r="U448"/>
  <c r="S447"/>
  <c r="S337" i="1" s="1"/>
  <c r="U273" i="5"/>
  <c r="S272"/>
  <c r="S216" i="1" s="1"/>
  <c r="A461" i="5"/>
  <c r="S270"/>
  <c r="S214" i="1" s="1"/>
  <c r="U271" i="5"/>
  <c r="A459"/>
  <c r="U276"/>
  <c r="S275"/>
  <c r="S219" i="1" s="1"/>
  <c r="A464" i="5"/>
  <c r="U268"/>
  <c r="S267"/>
  <c r="S211" i="1" s="1"/>
  <c r="A456" i="5"/>
  <c r="U449"/>
  <c r="S448"/>
  <c r="S338" i="1" s="1"/>
  <c r="A103" i="5"/>
  <c r="S94"/>
  <c r="S92" i="1" s="1"/>
  <c r="G88" i="2" s="1"/>
  <c r="U95" i="5"/>
  <c r="A283"/>
  <c r="A98"/>
  <c r="S89"/>
  <c r="S87" i="1" s="1"/>
  <c r="G83" i="2" s="1"/>
  <c r="U90" i="5"/>
  <c r="A278"/>
  <c r="A97"/>
  <c r="U89"/>
  <c r="S88"/>
  <c r="S86" i="1" s="1"/>
  <c r="G82" i="2" s="1"/>
  <c r="A277" i="5"/>
  <c r="A100"/>
  <c r="U92"/>
  <c r="S91"/>
  <c r="S89" i="1" s="1"/>
  <c r="G85" i="2" s="1"/>
  <c r="A280" i="5"/>
  <c r="U453"/>
  <c r="S452"/>
  <c r="S342" i="1" s="1"/>
  <c r="S454" i="5"/>
  <c r="S344" i="1" s="1"/>
  <c r="U455" i="5"/>
  <c r="U269"/>
  <c r="S268"/>
  <c r="S212" i="1" s="1"/>
  <c r="A457" i="5"/>
  <c r="S449"/>
  <c r="S339" i="1" s="1"/>
  <c r="U450" i="5"/>
  <c r="U272"/>
  <c r="S271"/>
  <c r="S215" i="1" s="1"/>
  <c r="A460" i="5"/>
  <c r="S450"/>
  <c r="S340" i="1" s="1"/>
  <c r="U451" i="5"/>
  <c r="A101"/>
  <c r="U93"/>
  <c r="S92"/>
  <c r="S90" i="1" s="1"/>
  <c r="G86" i="2" s="1"/>
  <c r="A281" i="5"/>
  <c r="U452"/>
  <c r="S451"/>
  <c r="S341" i="1" s="1"/>
  <c r="A99" i="5"/>
  <c r="S90"/>
  <c r="S88" i="1" s="1"/>
  <c r="G84" i="2" s="1"/>
  <c r="U91" i="5"/>
  <c r="A279"/>
  <c r="S273"/>
  <c r="S217" i="1" s="1"/>
  <c r="U274" i="5"/>
  <c r="A462"/>
  <c r="A96"/>
  <c r="U88"/>
  <c r="S87"/>
  <c r="S85" i="1" s="1"/>
  <c r="G81" i="2" s="1"/>
  <c r="A276" i="5"/>
  <c r="S453"/>
  <c r="S343" i="1" s="1"/>
  <c r="U454" i="5"/>
  <c r="A91" i="4"/>
  <c r="X53"/>
  <c r="M53" s="1"/>
  <c r="Y53"/>
  <c r="N53" s="1"/>
  <c r="Z53"/>
  <c r="O53" s="1"/>
  <c r="AA53"/>
  <c r="P53" s="1"/>
  <c r="W53"/>
  <c r="L53" s="1"/>
  <c r="W39"/>
  <c r="L39" s="1"/>
  <c r="X39"/>
  <c r="M39" s="1"/>
  <c r="Y39"/>
  <c r="N39" s="1"/>
  <c r="Z39"/>
  <c r="O39" s="1"/>
  <c r="AA39"/>
  <c r="P39" s="1"/>
  <c r="W40"/>
  <c r="L40" s="1"/>
  <c r="X40"/>
  <c r="M40" s="1"/>
  <c r="Y40"/>
  <c r="N40" s="1"/>
  <c r="Z40"/>
  <c r="O40" s="1"/>
  <c r="AA40"/>
  <c r="P40" s="1"/>
  <c r="W41"/>
  <c r="L41" s="1"/>
  <c r="X41"/>
  <c r="M41" s="1"/>
  <c r="Y41"/>
  <c r="N41" s="1"/>
  <c r="Z41"/>
  <c r="O41" s="1"/>
  <c r="AA41"/>
  <c r="P41" s="1"/>
  <c r="W42"/>
  <c r="L42" s="1"/>
  <c r="X42"/>
  <c r="M42" s="1"/>
  <c r="Y42"/>
  <c r="N42" s="1"/>
  <c r="Z42"/>
  <c r="O42" s="1"/>
  <c r="AA42"/>
  <c r="P42" s="1"/>
  <c r="W43"/>
  <c r="L43" s="1"/>
  <c r="X43"/>
  <c r="M43" s="1"/>
  <c r="Y43"/>
  <c r="N43" s="1"/>
  <c r="Z43"/>
  <c r="O43" s="1"/>
  <c r="AA43"/>
  <c r="P43" s="1"/>
  <c r="W44"/>
  <c r="L44" s="1"/>
  <c r="X44"/>
  <c r="M44" s="1"/>
  <c r="Y44"/>
  <c r="N44" s="1"/>
  <c r="Z44"/>
  <c r="O44" s="1"/>
  <c r="AA44"/>
  <c r="P44" s="1"/>
  <c r="W45"/>
  <c r="L45" s="1"/>
  <c r="X45"/>
  <c r="M45" s="1"/>
  <c r="Y45"/>
  <c r="N45" s="1"/>
  <c r="Z45"/>
  <c r="O45" s="1"/>
  <c r="AA45"/>
  <c r="P45" s="1"/>
  <c r="W46"/>
  <c r="L46" s="1"/>
  <c r="X46"/>
  <c r="M46" s="1"/>
  <c r="Y46"/>
  <c r="N46" s="1"/>
  <c r="Z46"/>
  <c r="O46" s="1"/>
  <c r="AA46"/>
  <c r="P46" s="1"/>
  <c r="W47"/>
  <c r="L47" s="1"/>
  <c r="X47"/>
  <c r="M47" s="1"/>
  <c r="Y47"/>
  <c r="N47" s="1"/>
  <c r="Z47"/>
  <c r="O47" s="1"/>
  <c r="AA47"/>
  <c r="P47" s="1"/>
  <c r="W48"/>
  <c r="L48" s="1"/>
  <c r="X48"/>
  <c r="M48" s="1"/>
  <c r="Y48"/>
  <c r="N48" s="1"/>
  <c r="Z48"/>
  <c r="O48" s="1"/>
  <c r="AA48"/>
  <c r="P48" s="1"/>
  <c r="W49"/>
  <c r="L49" s="1"/>
  <c r="X49"/>
  <c r="M49" s="1"/>
  <c r="Y49"/>
  <c r="N49" s="1"/>
  <c r="Z49"/>
  <c r="O49" s="1"/>
  <c r="AA49"/>
  <c r="P49" s="1"/>
  <c r="W50"/>
  <c r="L50" s="1"/>
  <c r="X50"/>
  <c r="M50" s="1"/>
  <c r="Y50"/>
  <c r="N50" s="1"/>
  <c r="Z50"/>
  <c r="O50" s="1"/>
  <c r="AA50"/>
  <c r="P50" s="1"/>
  <c r="W51"/>
  <c r="L51" s="1"/>
  <c r="X51"/>
  <c r="M51" s="1"/>
  <c r="Y51"/>
  <c r="N51" s="1"/>
  <c r="Z51"/>
  <c r="O51" s="1"/>
  <c r="AA51"/>
  <c r="P51" s="1"/>
  <c r="W52"/>
  <c r="L52" s="1"/>
  <c r="X52"/>
  <c r="M52" s="1"/>
  <c r="Y52"/>
  <c r="N52" s="1"/>
  <c r="Z52"/>
  <c r="O52" s="1"/>
  <c r="AA52"/>
  <c r="P52" s="1"/>
  <c r="M37"/>
  <c r="N37"/>
  <c r="O37"/>
  <c r="P37"/>
  <c r="L37"/>
  <c r="H39"/>
  <c r="I39"/>
  <c r="J39"/>
  <c r="K39"/>
  <c r="R40"/>
  <c r="G40" s="1"/>
  <c r="S40"/>
  <c r="H40" s="1"/>
  <c r="T40"/>
  <c r="I40" s="1"/>
  <c r="U40"/>
  <c r="J40" s="1"/>
  <c r="V40"/>
  <c r="K40" s="1"/>
  <c r="R41"/>
  <c r="G41" s="1"/>
  <c r="S41"/>
  <c r="H41" s="1"/>
  <c r="T41"/>
  <c r="I41" s="1"/>
  <c r="U41"/>
  <c r="J41" s="1"/>
  <c r="V41"/>
  <c r="K41" s="1"/>
  <c r="R42"/>
  <c r="G42" s="1"/>
  <c r="S42"/>
  <c r="H42" s="1"/>
  <c r="T42"/>
  <c r="I42" s="1"/>
  <c r="U42"/>
  <c r="J42" s="1"/>
  <c r="V42"/>
  <c r="K42" s="1"/>
  <c r="R43"/>
  <c r="G43" s="1"/>
  <c r="S43"/>
  <c r="H43" s="1"/>
  <c r="T43"/>
  <c r="I43" s="1"/>
  <c r="U43"/>
  <c r="J43" s="1"/>
  <c r="V43"/>
  <c r="K43" s="1"/>
  <c r="R44"/>
  <c r="G44" s="1"/>
  <c r="S44"/>
  <c r="H44" s="1"/>
  <c r="T44"/>
  <c r="I44" s="1"/>
  <c r="U44"/>
  <c r="J44" s="1"/>
  <c r="V44"/>
  <c r="K44" s="1"/>
  <c r="R45"/>
  <c r="G45" s="1"/>
  <c r="S45"/>
  <c r="H45" s="1"/>
  <c r="T45"/>
  <c r="I45" s="1"/>
  <c r="U45"/>
  <c r="J45" s="1"/>
  <c r="V45"/>
  <c r="K45" s="1"/>
  <c r="R46"/>
  <c r="G46" s="1"/>
  <c r="S46"/>
  <c r="H46" s="1"/>
  <c r="T46"/>
  <c r="I46" s="1"/>
  <c r="U46"/>
  <c r="J46" s="1"/>
  <c r="V46"/>
  <c r="K46" s="1"/>
  <c r="R47"/>
  <c r="G47" s="1"/>
  <c r="S47"/>
  <c r="H47" s="1"/>
  <c r="T47"/>
  <c r="I47" s="1"/>
  <c r="U47"/>
  <c r="J47" s="1"/>
  <c r="V47"/>
  <c r="K47" s="1"/>
  <c r="R48"/>
  <c r="G48" s="1"/>
  <c r="S48"/>
  <c r="H48" s="1"/>
  <c r="T48"/>
  <c r="I48" s="1"/>
  <c r="U48"/>
  <c r="J48" s="1"/>
  <c r="V48"/>
  <c r="K48" s="1"/>
  <c r="R49"/>
  <c r="G49" s="1"/>
  <c r="S49"/>
  <c r="H49" s="1"/>
  <c r="T49"/>
  <c r="I49" s="1"/>
  <c r="U49"/>
  <c r="J49" s="1"/>
  <c r="V49"/>
  <c r="K49" s="1"/>
  <c r="R50"/>
  <c r="G50" s="1"/>
  <c r="S50"/>
  <c r="H50" s="1"/>
  <c r="T50"/>
  <c r="I50" s="1"/>
  <c r="U50"/>
  <c r="J50" s="1"/>
  <c r="V50"/>
  <c r="K50" s="1"/>
  <c r="R51"/>
  <c r="G51" s="1"/>
  <c r="S51"/>
  <c r="H51" s="1"/>
  <c r="T51"/>
  <c r="I51" s="1"/>
  <c r="U51"/>
  <c r="J51" s="1"/>
  <c r="V51"/>
  <c r="K51" s="1"/>
  <c r="R52"/>
  <c r="G52" s="1"/>
  <c r="S52"/>
  <c r="H52" s="1"/>
  <c r="T52"/>
  <c r="I52" s="1"/>
  <c r="U52"/>
  <c r="J52" s="1"/>
  <c r="V52"/>
  <c r="K52" s="1"/>
  <c r="R53"/>
  <c r="G53" s="1"/>
  <c r="S53"/>
  <c r="H53" s="1"/>
  <c r="T53"/>
  <c r="I53" s="1"/>
  <c r="U53"/>
  <c r="J53" s="1"/>
  <c r="V53"/>
  <c r="K53" s="1"/>
  <c r="H37"/>
  <c r="I37"/>
  <c r="J37"/>
  <c r="K37"/>
  <c r="G37"/>
  <c r="M41" i="6" l="1"/>
  <c r="T99" i="5"/>
  <c r="T97" i="1" s="1"/>
  <c r="A97"/>
  <c r="A93" i="2" s="1"/>
  <c r="W99" i="5"/>
  <c r="X99"/>
  <c r="V99"/>
  <c r="M42" i="6"/>
  <c r="T100" i="5"/>
  <c r="T98" i="1" s="1"/>
  <c r="A98"/>
  <c r="A94" i="2" s="1"/>
  <c r="W100" i="5"/>
  <c r="V100"/>
  <c r="X100"/>
  <c r="M292" i="6"/>
  <c r="T458" i="5"/>
  <c r="T348" i="1" s="1"/>
  <c r="A348"/>
  <c r="M169" i="6"/>
  <c r="T281" i="5"/>
  <c r="T225" i="1" s="1"/>
  <c r="A225"/>
  <c r="M40" i="6"/>
  <c r="T98" i="5"/>
  <c r="T96" i="1" s="1"/>
  <c r="A96"/>
  <c r="A92" i="2" s="1"/>
  <c r="X98" i="5"/>
  <c r="W98"/>
  <c r="V98"/>
  <c r="M43" i="6"/>
  <c r="T101" i="5"/>
  <c r="T99" i="1" s="1"/>
  <c r="A99"/>
  <c r="A95" i="2" s="1"/>
  <c r="X101" i="5"/>
  <c r="W101"/>
  <c r="V101"/>
  <c r="M294" i="6"/>
  <c r="T460" i="5"/>
  <c r="T350" i="1" s="1"/>
  <c r="A350"/>
  <c r="M39" i="6"/>
  <c r="T97" i="5"/>
  <c r="T95" i="1" s="1"/>
  <c r="A95"/>
  <c r="A91" i="2" s="1"/>
  <c r="W97" i="5"/>
  <c r="X97"/>
  <c r="M44" i="6"/>
  <c r="T102" i="5"/>
  <c r="T100" i="1" s="1"/>
  <c r="A100"/>
  <c r="A96" i="2" s="1"/>
  <c r="W102" i="5"/>
  <c r="X102"/>
  <c r="V102"/>
  <c r="M164" i="6"/>
  <c r="T276" i="5"/>
  <c r="T220" i="1" s="1"/>
  <c r="A220"/>
  <c r="M291" i="6"/>
  <c r="T457" i="5"/>
  <c r="T347" i="1" s="1"/>
  <c r="A347"/>
  <c r="M166" i="6"/>
  <c r="T278" i="5"/>
  <c r="T222" i="1" s="1"/>
  <c r="A222"/>
  <c r="M45" i="6"/>
  <c r="T103" i="5"/>
  <c r="T101" i="1" s="1"/>
  <c r="A101"/>
  <c r="A97" i="2" s="1"/>
  <c r="X103" i="5"/>
  <c r="W103"/>
  <c r="V103"/>
  <c r="M46" i="6"/>
  <c r="T104" i="5"/>
  <c r="T102" i="1" s="1"/>
  <c r="A102"/>
  <c r="A98" i="2" s="1"/>
  <c r="X104" i="5"/>
  <c r="V104"/>
  <c r="W104"/>
  <c r="M38" i="6"/>
  <c r="T96" i="5"/>
  <c r="T94" i="1" s="1"/>
  <c r="A94"/>
  <c r="A90" i="2" s="1"/>
  <c r="W96" i="5"/>
  <c r="X96"/>
  <c r="V96"/>
  <c r="M165" i="6"/>
  <c r="T277" i="5"/>
  <c r="T221" i="1" s="1"/>
  <c r="A221"/>
  <c r="M295" i="6"/>
  <c r="T461" i="5"/>
  <c r="T351" i="1" s="1"/>
  <c r="A351"/>
  <c r="M170" i="6"/>
  <c r="T282" i="5"/>
  <c r="T226" i="1" s="1"/>
  <c r="A226"/>
  <c r="M297" i="6"/>
  <c r="T463" i="5"/>
  <c r="T353" i="1" s="1"/>
  <c r="A353"/>
  <c r="M296" i="6"/>
  <c r="T462" i="5"/>
  <c r="T352" i="1" s="1"/>
  <c r="A352"/>
  <c r="M167" i="6"/>
  <c r="T279" i="5"/>
  <c r="T223" i="1" s="1"/>
  <c r="A223"/>
  <c r="M168" i="6"/>
  <c r="T280" i="5"/>
  <c r="T224" i="1" s="1"/>
  <c r="A224"/>
  <c r="M171" i="6"/>
  <c r="T283" i="5"/>
  <c r="T227" i="1" s="1"/>
  <c r="A227"/>
  <c r="M290" i="6"/>
  <c r="T456" i="5"/>
  <c r="T346" i="1" s="1"/>
  <c r="A346"/>
  <c r="M298" i="6"/>
  <c r="T464" i="5"/>
  <c r="T354" i="1" s="1"/>
  <c r="A354"/>
  <c r="M293" i="6"/>
  <c r="T459" i="5"/>
  <c r="T349" i="1" s="1"/>
  <c r="A349"/>
  <c r="M172" i="6"/>
  <c r="T284" i="5"/>
  <c r="T228" i="1" s="1"/>
  <c r="A228"/>
  <c r="E346" i="6"/>
  <c r="E323"/>
  <c r="E327"/>
  <c r="E335"/>
  <c r="E324"/>
  <c r="E328"/>
  <c r="E332"/>
  <c r="E340"/>
  <c r="E331"/>
  <c r="E339"/>
  <c r="W383" i="7"/>
  <c r="W250"/>
  <c r="W62"/>
  <c r="F343" i="6"/>
  <c r="U399" i="1" s="1"/>
  <c r="F351" i="6"/>
  <c r="F335"/>
  <c r="F346"/>
  <c r="F342"/>
  <c r="F357"/>
  <c r="F339"/>
  <c r="F334"/>
  <c r="U390" i="1" s="1"/>
  <c r="F350" i="6"/>
  <c r="U406" i="1" s="1"/>
  <c r="F338" i="6"/>
  <c r="K245"/>
  <c r="L236"/>
  <c r="K255"/>
  <c r="L246"/>
  <c r="L243"/>
  <c r="K252"/>
  <c r="K247"/>
  <c r="L238"/>
  <c r="L239"/>
  <c r="K248"/>
  <c r="K249"/>
  <c r="L240"/>
  <c r="K259"/>
  <c r="L250"/>
  <c r="K251"/>
  <c r="L242"/>
  <c r="K253"/>
  <c r="L244"/>
  <c r="U461" i="5"/>
  <c r="S460"/>
  <c r="S350" i="1" s="1"/>
  <c r="U281" i="5"/>
  <c r="S280"/>
  <c r="S224" i="1" s="1"/>
  <c r="A469" i="5"/>
  <c r="U457"/>
  <c r="S456"/>
  <c r="S346" i="1" s="1"/>
  <c r="U285" i="5"/>
  <c r="S284"/>
  <c r="S228" i="1" s="1"/>
  <c r="A473" i="5"/>
  <c r="U277"/>
  <c r="S276"/>
  <c r="S220" i="1" s="1"/>
  <c r="A465" i="5"/>
  <c r="S462"/>
  <c r="S352" i="1" s="1"/>
  <c r="U463" i="5"/>
  <c r="A108"/>
  <c r="U100"/>
  <c r="S99"/>
  <c r="S97" i="1" s="1"/>
  <c r="G93" i="2" s="1"/>
  <c r="A288" i="5"/>
  <c r="S457"/>
  <c r="S347" i="1" s="1"/>
  <c r="U458" i="5"/>
  <c r="A106"/>
  <c r="S97"/>
  <c r="S95" i="1" s="1"/>
  <c r="G91" i="2" s="1"/>
  <c r="U98" i="5"/>
  <c r="A286"/>
  <c r="A107"/>
  <c r="S98"/>
  <c r="S96" i="1" s="1"/>
  <c r="G92" i="2" s="1"/>
  <c r="U99" i="5"/>
  <c r="A287"/>
  <c r="A112"/>
  <c r="U104"/>
  <c r="S103"/>
  <c r="S101" i="1" s="1"/>
  <c r="G97" i="2" s="1"/>
  <c r="A292" i="5"/>
  <c r="U465"/>
  <c r="S464"/>
  <c r="S354" i="1" s="1"/>
  <c r="A111" i="5"/>
  <c r="S102"/>
  <c r="S100" i="1" s="1"/>
  <c r="G96" i="2" s="1"/>
  <c r="U103" i="5"/>
  <c r="A291"/>
  <c r="U464"/>
  <c r="S463"/>
  <c r="S353" i="1" s="1"/>
  <c r="A110" i="5"/>
  <c r="S101"/>
  <c r="S99" i="1" s="1"/>
  <c r="G95" i="2" s="1"/>
  <c r="U102" i="5"/>
  <c r="A290"/>
  <c r="A109"/>
  <c r="U101"/>
  <c r="S100"/>
  <c r="S98" i="1" s="1"/>
  <c r="G94" i="2" s="1"/>
  <c r="A289" i="5"/>
  <c r="S461"/>
  <c r="S351" i="1" s="1"/>
  <c r="U462" i="5"/>
  <c r="A113"/>
  <c r="U105"/>
  <c r="S104"/>
  <c r="S102" i="1" s="1"/>
  <c r="G98" i="2" s="1"/>
  <c r="A293" i="5"/>
  <c r="A105"/>
  <c r="U97"/>
  <c r="S96"/>
  <c r="S94" i="1" s="1"/>
  <c r="G90" i="2" s="1"/>
  <c r="A285" i="5"/>
  <c r="S281"/>
  <c r="S225" i="1" s="1"/>
  <c r="U282" i="5"/>
  <c r="A470"/>
  <c r="U280"/>
  <c r="S279"/>
  <c r="S223" i="1" s="1"/>
  <c r="A468" i="5"/>
  <c r="S277"/>
  <c r="S221" i="1" s="1"/>
  <c r="U278" i="5"/>
  <c r="A466"/>
  <c r="S278"/>
  <c r="S222" i="1" s="1"/>
  <c r="U279" i="5"/>
  <c r="A467"/>
  <c r="U284"/>
  <c r="S283"/>
  <c r="S227" i="1" s="1"/>
  <c r="A472" i="5"/>
  <c r="U460"/>
  <c r="S459"/>
  <c r="S349" i="1" s="1"/>
  <c r="S282" i="5"/>
  <c r="S226" i="1" s="1"/>
  <c r="U283" i="5"/>
  <c r="A471"/>
  <c r="S458"/>
  <c r="S348" i="1" s="1"/>
  <c r="U459" i="5"/>
  <c r="A104" i="4"/>
  <c r="A100"/>
  <c r="A96"/>
  <c r="A92"/>
  <c r="A105"/>
  <c r="A101"/>
  <c r="A97"/>
  <c r="A93"/>
  <c r="A106"/>
  <c r="A102"/>
  <c r="A98"/>
  <c r="A94"/>
  <c r="A90"/>
  <c r="A103"/>
  <c r="A99"/>
  <c r="A95"/>
  <c r="A3" i="2"/>
  <c r="B3"/>
  <c r="C3"/>
  <c r="D3"/>
  <c r="E3"/>
  <c r="F3"/>
  <c r="A4"/>
  <c r="B4"/>
  <c r="C4"/>
  <c r="D4"/>
  <c r="E4"/>
  <c r="F4"/>
  <c r="A5"/>
  <c r="B5"/>
  <c r="C5"/>
  <c r="D5"/>
  <c r="E5"/>
  <c r="F5"/>
  <c r="A6"/>
  <c r="B6"/>
  <c r="C6"/>
  <c r="D6"/>
  <c r="E6"/>
  <c r="F6"/>
  <c r="A7"/>
  <c r="B7"/>
  <c r="C7"/>
  <c r="D7"/>
  <c r="E7"/>
  <c r="F7"/>
  <c r="A8"/>
  <c r="B8"/>
  <c r="C8"/>
  <c r="D8"/>
  <c r="E8"/>
  <c r="F8"/>
  <c r="A9"/>
  <c r="B9"/>
  <c r="C9"/>
  <c r="D9"/>
  <c r="E9"/>
  <c r="F9"/>
  <c r="A10"/>
  <c r="B10"/>
  <c r="C10"/>
  <c r="D10"/>
  <c r="E10"/>
  <c r="F10"/>
  <c r="A11"/>
  <c r="B11"/>
  <c r="C11"/>
  <c r="D11"/>
  <c r="E11"/>
  <c r="F11"/>
  <c r="A12"/>
  <c r="B12"/>
  <c r="C12"/>
  <c r="D12"/>
  <c r="E12"/>
  <c r="F12"/>
  <c r="A13"/>
  <c r="B13"/>
  <c r="C13"/>
  <c r="D13"/>
  <c r="E13"/>
  <c r="F13"/>
  <c r="A14"/>
  <c r="B14"/>
  <c r="C14"/>
  <c r="D14"/>
  <c r="E14"/>
  <c r="F14"/>
  <c r="A15"/>
  <c r="B15"/>
  <c r="C15"/>
  <c r="D15"/>
  <c r="E15"/>
  <c r="F15"/>
  <c r="A16"/>
  <c r="B16"/>
  <c r="C16"/>
  <c r="D16"/>
  <c r="E16"/>
  <c r="F16"/>
  <c r="A17"/>
  <c r="B17"/>
  <c r="C17"/>
  <c r="D17"/>
  <c r="E17"/>
  <c r="F17"/>
  <c r="A18"/>
  <c r="B18"/>
  <c r="C18"/>
  <c r="D18"/>
  <c r="E18"/>
  <c r="F18"/>
  <c r="A19"/>
  <c r="B19"/>
  <c r="C19"/>
  <c r="D19"/>
  <c r="E19"/>
  <c r="F19"/>
  <c r="A20"/>
  <c r="B20"/>
  <c r="C20"/>
  <c r="D20"/>
  <c r="E20"/>
  <c r="F20"/>
  <c r="A21"/>
  <c r="B21"/>
  <c r="C21"/>
  <c r="D21"/>
  <c r="E21"/>
  <c r="F21"/>
  <c r="A22"/>
  <c r="B22"/>
  <c r="C22"/>
  <c r="D22"/>
  <c r="E22"/>
  <c r="F22"/>
  <c r="A23"/>
  <c r="B23"/>
  <c r="C23"/>
  <c r="D23"/>
  <c r="E23"/>
  <c r="F23"/>
  <c r="A24"/>
  <c r="B24"/>
  <c r="C24"/>
  <c r="D24"/>
  <c r="E24"/>
  <c r="F24"/>
  <c r="A25"/>
  <c r="B25"/>
  <c r="C25"/>
  <c r="D25"/>
  <c r="E25"/>
  <c r="F25"/>
  <c r="A26"/>
  <c r="B26"/>
  <c r="C26"/>
  <c r="D26"/>
  <c r="E26"/>
  <c r="F26"/>
  <c r="A27"/>
  <c r="B27"/>
  <c r="C27"/>
  <c r="D27"/>
  <c r="E27"/>
  <c r="F27"/>
  <c r="A28"/>
  <c r="B28"/>
  <c r="C28"/>
  <c r="D28"/>
  <c r="E28"/>
  <c r="F28"/>
  <c r="A29"/>
  <c r="B29"/>
  <c r="C29"/>
  <c r="D29"/>
  <c r="E29"/>
  <c r="F29"/>
  <c r="A30"/>
  <c r="B30"/>
  <c r="C30"/>
  <c r="D30"/>
  <c r="E30"/>
  <c r="F30"/>
  <c r="A31"/>
  <c r="B31"/>
  <c r="C31"/>
  <c r="D31"/>
  <c r="E31"/>
  <c r="F31"/>
  <c r="A32"/>
  <c r="B32"/>
  <c r="C32"/>
  <c r="D32"/>
  <c r="E32"/>
  <c r="F32"/>
  <c r="A33"/>
  <c r="B33"/>
  <c r="C33"/>
  <c r="D33"/>
  <c r="E33"/>
  <c r="F33"/>
  <c r="A34"/>
  <c r="B34"/>
  <c r="C34"/>
  <c r="D34"/>
  <c r="E34"/>
  <c r="F34"/>
  <c r="A35"/>
  <c r="B35"/>
  <c r="C35"/>
  <c r="D35"/>
  <c r="E35"/>
  <c r="F35"/>
  <c r="A36"/>
  <c r="B36"/>
  <c r="C36"/>
  <c r="D36"/>
  <c r="E36"/>
  <c r="F36"/>
  <c r="A37"/>
  <c r="B37"/>
  <c r="C37"/>
  <c r="D37"/>
  <c r="E37"/>
  <c r="F37"/>
  <c r="A38"/>
  <c r="B38"/>
  <c r="C38"/>
  <c r="D38"/>
  <c r="E38"/>
  <c r="F38"/>
  <c r="A39"/>
  <c r="B39"/>
  <c r="C39"/>
  <c r="D39"/>
  <c r="E39"/>
  <c r="F39"/>
  <c r="A40"/>
  <c r="B40"/>
  <c r="C40"/>
  <c r="D40"/>
  <c r="E40"/>
  <c r="F40"/>
  <c r="A41"/>
  <c r="B41"/>
  <c r="C41"/>
  <c r="D41"/>
  <c r="E41"/>
  <c r="F41"/>
  <c r="A42"/>
  <c r="B42"/>
  <c r="C42"/>
  <c r="D42"/>
  <c r="E42"/>
  <c r="F42"/>
  <c r="A43"/>
  <c r="B43"/>
  <c r="C43"/>
  <c r="D43"/>
  <c r="E43"/>
  <c r="F43"/>
  <c r="A44"/>
  <c r="B44"/>
  <c r="C44"/>
  <c r="D44"/>
  <c r="E44"/>
  <c r="F44"/>
  <c r="A45"/>
  <c r="B45"/>
  <c r="C45"/>
  <c r="D45"/>
  <c r="E45"/>
  <c r="F45"/>
  <c r="A46"/>
  <c r="B46"/>
  <c r="C46"/>
  <c r="D46"/>
  <c r="E46"/>
  <c r="F46"/>
  <c r="A47"/>
  <c r="B47"/>
  <c r="C47"/>
  <c r="D47"/>
  <c r="E47"/>
  <c r="F47"/>
  <c r="A48"/>
  <c r="B48"/>
  <c r="C48"/>
  <c r="D48"/>
  <c r="E48"/>
  <c r="F48"/>
  <c r="A49"/>
  <c r="B49"/>
  <c r="C49"/>
  <c r="D49"/>
  <c r="E49"/>
  <c r="F49"/>
  <c r="A50"/>
  <c r="B50"/>
  <c r="C50"/>
  <c r="D50"/>
  <c r="E50"/>
  <c r="F50"/>
  <c r="A51"/>
  <c r="B51"/>
  <c r="C51"/>
  <c r="D51"/>
  <c r="E51"/>
  <c r="F51"/>
  <c r="A52"/>
  <c r="B52"/>
  <c r="C52"/>
  <c r="D52"/>
  <c r="E52"/>
  <c r="F52"/>
  <c r="A53"/>
  <c r="B53"/>
  <c r="C53"/>
  <c r="D53"/>
  <c r="E53"/>
  <c r="F53"/>
  <c r="J130" i="3"/>
  <c r="J131"/>
  <c r="J132"/>
  <c r="J133"/>
  <c r="J134"/>
  <c r="J135"/>
  <c r="J136"/>
  <c r="J137"/>
  <c r="J138"/>
  <c r="J139"/>
  <c r="J140"/>
  <c r="J141"/>
  <c r="J142"/>
  <c r="J143"/>
  <c r="J144"/>
  <c r="J145"/>
  <c r="J146"/>
  <c r="J129"/>
  <c r="C42" i="1"/>
  <c r="C43"/>
  <c r="C44"/>
  <c r="C41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G3" i="4"/>
  <c r="H3"/>
  <c r="I3"/>
  <c r="J3"/>
  <c r="K3"/>
  <c r="L3"/>
  <c r="M3"/>
  <c r="N3"/>
  <c r="O3"/>
  <c r="P3"/>
  <c r="G4"/>
  <c r="H4"/>
  <c r="I4"/>
  <c r="J4"/>
  <c r="K4"/>
  <c r="L4"/>
  <c r="M4"/>
  <c r="N4"/>
  <c r="O4"/>
  <c r="P4"/>
  <c r="M2"/>
  <c r="N2"/>
  <c r="O2"/>
  <c r="P2"/>
  <c r="L2"/>
  <c r="H2"/>
  <c r="I2"/>
  <c r="J2"/>
  <c r="K2"/>
  <c r="G2"/>
  <c r="F2" i="2"/>
  <c r="M300" i="6" l="1"/>
  <c r="T466" i="5"/>
  <c r="T356" i="1" s="1"/>
  <c r="A356"/>
  <c r="M302" i="6"/>
  <c r="T468" i="5"/>
  <c r="T358" i="1" s="1"/>
  <c r="A358"/>
  <c r="M304" i="6"/>
  <c r="T470" i="5"/>
  <c r="T360" i="1" s="1"/>
  <c r="A360"/>
  <c r="M47" i="6"/>
  <c r="T105" i="5"/>
  <c r="T103" i="1" s="1"/>
  <c r="A103"/>
  <c r="A99" i="2" s="1"/>
  <c r="X105" i="5"/>
  <c r="W105"/>
  <c r="M55" i="6"/>
  <c r="T113" i="5"/>
  <c r="T111" i="1" s="1"/>
  <c r="A111"/>
  <c r="A107" i="2" s="1"/>
  <c r="M174" i="6"/>
  <c r="T286" i="5"/>
  <c r="T230" i="1" s="1"/>
  <c r="A230"/>
  <c r="M176" i="6"/>
  <c r="T288" i="5"/>
  <c r="T232" i="1" s="1"/>
  <c r="A232"/>
  <c r="M177" i="6"/>
  <c r="T289" i="5"/>
  <c r="T233" i="1" s="1"/>
  <c r="A233"/>
  <c r="M175" i="6"/>
  <c r="T287" i="5"/>
  <c r="T231" i="1" s="1"/>
  <c r="A231"/>
  <c r="M301" i="6"/>
  <c r="T467" i="5"/>
  <c r="T357" i="1" s="1"/>
  <c r="A357"/>
  <c r="M173" i="6"/>
  <c r="T285" i="5"/>
  <c r="T229" i="1" s="1"/>
  <c r="A229"/>
  <c r="M181" i="6"/>
  <c r="T293" i="5"/>
  <c r="T237" i="1" s="1"/>
  <c r="A237"/>
  <c r="M53" i="6"/>
  <c r="T111" i="5"/>
  <c r="T109" i="1" s="1"/>
  <c r="A109"/>
  <c r="A105" i="2" s="1"/>
  <c r="V111" i="5"/>
  <c r="M54" i="6"/>
  <c r="T112" i="5"/>
  <c r="T110" i="1" s="1"/>
  <c r="A110"/>
  <c r="A106" i="2" s="1"/>
  <c r="M303" i="6"/>
  <c r="T469" i="5"/>
  <c r="T359" i="1" s="1"/>
  <c r="A359"/>
  <c r="M305" i="6"/>
  <c r="T471" i="5"/>
  <c r="T361" i="1" s="1"/>
  <c r="A361"/>
  <c r="M178" i="6"/>
  <c r="T290" i="5"/>
  <c r="T234" i="1" s="1"/>
  <c r="A234"/>
  <c r="M48" i="6"/>
  <c r="T106" i="5"/>
  <c r="T104" i="1" s="1"/>
  <c r="A104"/>
  <c r="A100" i="2" s="1"/>
  <c r="X106" i="5"/>
  <c r="M50" i="6"/>
  <c r="T108" i="5"/>
  <c r="T106" i="1" s="1"/>
  <c r="A106"/>
  <c r="A102" i="2" s="1"/>
  <c r="M299" i="6"/>
  <c r="T465" i="5"/>
  <c r="T355" i="1" s="1"/>
  <c r="A355"/>
  <c r="M307" i="6"/>
  <c r="T473" i="5"/>
  <c r="T363" i="1" s="1"/>
  <c r="A363"/>
  <c r="M306" i="6"/>
  <c r="T472" i="5"/>
  <c r="T362" i="1" s="1"/>
  <c r="A362"/>
  <c r="M51" i="6"/>
  <c r="T109" i="5"/>
  <c r="T107" i="1" s="1"/>
  <c r="A107"/>
  <c r="A103" i="2" s="1"/>
  <c r="V109" i="5"/>
  <c r="M52" i="6"/>
  <c r="T110" i="5"/>
  <c r="T108" i="1" s="1"/>
  <c r="A108"/>
  <c r="A104" i="2" s="1"/>
  <c r="X110" i="5"/>
  <c r="V110"/>
  <c r="M179" i="6"/>
  <c r="T291" i="5"/>
  <c r="T235" i="1" s="1"/>
  <c r="A235"/>
  <c r="M180" i="6"/>
  <c r="T292" i="5"/>
  <c r="T236" i="1" s="1"/>
  <c r="A236"/>
  <c r="M49" i="6"/>
  <c r="T107" i="5"/>
  <c r="T105" i="1" s="1"/>
  <c r="A105"/>
  <c r="A101" i="2" s="1"/>
  <c r="E356" i="6"/>
  <c r="E338"/>
  <c r="E333"/>
  <c r="E345"/>
  <c r="E337"/>
  <c r="E350"/>
  <c r="E334"/>
  <c r="E349"/>
  <c r="E341"/>
  <c r="E342"/>
  <c r="W384" i="7"/>
  <c r="W251"/>
  <c r="W63"/>
  <c r="F367" i="6"/>
  <c r="U423" i="1" s="1"/>
  <c r="F360" i="6"/>
  <c r="F349"/>
  <c r="U405" i="1" s="1"/>
  <c r="F352" i="6"/>
  <c r="U408" i="1" s="1"/>
  <c r="F345" i="6"/>
  <c r="F353"/>
  <c r="F348"/>
  <c r="F344"/>
  <c r="F356"/>
  <c r="F361"/>
  <c r="U417" i="1" s="1"/>
  <c r="L253" i="6"/>
  <c r="K262"/>
  <c r="L259"/>
  <c r="K268"/>
  <c r="L245"/>
  <c r="K254"/>
  <c r="K257"/>
  <c r="L248"/>
  <c r="K261"/>
  <c r="L252"/>
  <c r="L251"/>
  <c r="K260"/>
  <c r="L249"/>
  <c r="K258"/>
  <c r="L247"/>
  <c r="K256"/>
  <c r="L255"/>
  <c r="K264"/>
  <c r="A325" i="2"/>
  <c r="G325"/>
  <c r="U292" i="5"/>
  <c r="S291"/>
  <c r="S235" i="1" s="1"/>
  <c r="A480" i="5"/>
  <c r="G326" i="2"/>
  <c r="A326"/>
  <c r="A327"/>
  <c r="G327"/>
  <c r="A114" i="5"/>
  <c r="S105"/>
  <c r="S103" i="1" s="1"/>
  <c r="G99" i="2" s="1"/>
  <c r="U106" i="5"/>
  <c r="A294"/>
  <c r="A121"/>
  <c r="U113"/>
  <c r="S112"/>
  <c r="S110" i="1" s="1"/>
  <c r="G106" i="2" s="1"/>
  <c r="A301" i="5"/>
  <c r="A116"/>
  <c r="U108"/>
  <c r="S107"/>
  <c r="S105" i="1" s="1"/>
  <c r="G101" i="2" s="1"/>
  <c r="A296" i="5"/>
  <c r="A115"/>
  <c r="S106"/>
  <c r="S104" i="1" s="1"/>
  <c r="G100" i="2" s="1"/>
  <c r="U107" i="5"/>
  <c r="A295"/>
  <c r="S473"/>
  <c r="S363" i="1" s="1"/>
  <c r="U474" i="5"/>
  <c r="A331" i="2"/>
  <c r="G331"/>
  <c r="U468" i="5"/>
  <c r="S467"/>
  <c r="S357" i="1" s="1"/>
  <c r="U469" i="5"/>
  <c r="S468"/>
  <c r="S358" i="1" s="1"/>
  <c r="G329" i="2"/>
  <c r="A329"/>
  <c r="S285" i="5"/>
  <c r="S229" i="1" s="1"/>
  <c r="U286" i="5"/>
  <c r="A474"/>
  <c r="S289"/>
  <c r="S233" i="1" s="1"/>
  <c r="U290" i="5"/>
  <c r="A478"/>
  <c r="U293"/>
  <c r="S292"/>
  <c r="S236" i="1" s="1"/>
  <c r="A481" i="5"/>
  <c r="U288"/>
  <c r="S287"/>
  <c r="S231" i="1" s="1"/>
  <c r="A476" i="5"/>
  <c r="S286"/>
  <c r="S230" i="1" s="1"/>
  <c r="U287" i="5"/>
  <c r="A475"/>
  <c r="S469"/>
  <c r="S359" i="1" s="1"/>
  <c r="U470" i="5"/>
  <c r="U472"/>
  <c r="S471"/>
  <c r="S361" i="1" s="1"/>
  <c r="S293" i="5"/>
  <c r="S237" i="1" s="1"/>
  <c r="U294" i="5"/>
  <c r="A482"/>
  <c r="S290"/>
  <c r="S234" i="1" s="1"/>
  <c r="U291" i="5"/>
  <c r="A479"/>
  <c r="U289"/>
  <c r="S288"/>
  <c r="S232" i="1" s="1"/>
  <c r="A477" i="5"/>
  <c r="S465"/>
  <c r="S355" i="1" s="1"/>
  <c r="U466" i="5"/>
  <c r="G332" i="2"/>
  <c r="A332"/>
  <c r="S466" i="5"/>
  <c r="S356" i="1" s="1"/>
  <c r="U467" i="5"/>
  <c r="A118"/>
  <c r="S109"/>
  <c r="S107" i="1" s="1"/>
  <c r="G103" i="2" s="1"/>
  <c r="U110" i="5"/>
  <c r="A298"/>
  <c r="A328" i="2"/>
  <c r="G328"/>
  <c r="A330"/>
  <c r="G330"/>
  <c r="U473" i="5"/>
  <c r="S472"/>
  <c r="S362" i="1" s="1"/>
  <c r="S470" i="5"/>
  <c r="S360" i="1" s="1"/>
  <c r="U471" i="5"/>
  <c r="A122"/>
  <c r="S113"/>
  <c r="S111" i="1" s="1"/>
  <c r="G107" i="2" s="1"/>
  <c r="U114" i="5"/>
  <c r="A302"/>
  <c r="A119"/>
  <c r="S110"/>
  <c r="S108" i="1" s="1"/>
  <c r="G104" i="2" s="1"/>
  <c r="U111" i="5"/>
  <c r="A299"/>
  <c r="A120"/>
  <c r="U112"/>
  <c r="S111"/>
  <c r="S109" i="1" s="1"/>
  <c r="G105" i="2" s="1"/>
  <c r="A300" i="5"/>
  <c r="A117"/>
  <c r="U109"/>
  <c r="S108"/>
  <c r="S106" i="1" s="1"/>
  <c r="G102" i="2" s="1"/>
  <c r="A297" i="5"/>
  <c r="A324" i="2"/>
  <c r="G324"/>
  <c r="H181" i="4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65"/>
  <c r="H166"/>
  <c r="H167"/>
  <c r="H168"/>
  <c r="H169"/>
  <c r="H170"/>
  <c r="H171"/>
  <c r="H172"/>
  <c r="H173"/>
  <c r="H174"/>
  <c r="H175"/>
  <c r="H176"/>
  <c r="H177"/>
  <c r="H178"/>
  <c r="H179"/>
  <c r="H180"/>
  <c r="H164"/>
  <c r="M190" i="6" l="1"/>
  <c r="T302" i="5"/>
  <c r="T246" i="1" s="1"/>
  <c r="A246"/>
  <c r="M186" i="6"/>
  <c r="T298" i="5"/>
  <c r="T242" i="1" s="1"/>
  <c r="A242"/>
  <c r="Y122" i="5"/>
  <c r="M64" i="6" s="1"/>
  <c r="T122" i="5"/>
  <c r="T120" i="1" s="1"/>
  <c r="A120"/>
  <c r="A116" i="2" s="1"/>
  <c r="M311" i="6"/>
  <c r="T477" i="5"/>
  <c r="T367" i="1" s="1"/>
  <c r="A367"/>
  <c r="M182" i="6"/>
  <c r="T294" i="5"/>
  <c r="T238" i="1" s="1"/>
  <c r="A238"/>
  <c r="M188" i="6"/>
  <c r="T300" i="5"/>
  <c r="T244" i="1" s="1"/>
  <c r="A244"/>
  <c r="Y119" i="5"/>
  <c r="M61" i="6" s="1"/>
  <c r="T119" i="5"/>
  <c r="T117" i="1" s="1"/>
  <c r="A117"/>
  <c r="A113" i="2" s="1"/>
  <c r="M313" i="6"/>
  <c r="T479" i="5"/>
  <c r="T369" i="1" s="1"/>
  <c r="A369"/>
  <c r="M309" i="6"/>
  <c r="T475" i="5"/>
  <c r="T365" i="1" s="1"/>
  <c r="A365"/>
  <c r="M183" i="6"/>
  <c r="T295" i="5"/>
  <c r="T239" i="1" s="1"/>
  <c r="A239"/>
  <c r="M184" i="6"/>
  <c r="T296" i="5"/>
  <c r="T240" i="1" s="1"/>
  <c r="A240"/>
  <c r="M189" i="6"/>
  <c r="T301" i="5"/>
  <c r="T245" i="1" s="1"/>
  <c r="A245"/>
  <c r="Y114" i="5"/>
  <c r="M56" i="6" s="1"/>
  <c r="T114" i="5"/>
  <c r="T112" i="1" s="1"/>
  <c r="A112"/>
  <c r="A108" i="2" s="1"/>
  <c r="Y117" i="5"/>
  <c r="M59" i="6" s="1"/>
  <c r="T117" i="5"/>
  <c r="T115" i="1" s="1"/>
  <c r="A115"/>
  <c r="A111" i="2" s="1"/>
  <c r="X117" i="5"/>
  <c r="M315" i="6"/>
  <c r="T481" i="5"/>
  <c r="T371" i="1" s="1"/>
  <c r="A371"/>
  <c r="M187" i="6"/>
  <c r="T299" i="5"/>
  <c r="T243" i="1" s="1"/>
  <c r="A243"/>
  <c r="Y118" i="5"/>
  <c r="M60" i="6" s="1"/>
  <c r="T118" i="5"/>
  <c r="T116" i="1" s="1"/>
  <c r="A116"/>
  <c r="A112" i="2" s="1"/>
  <c r="M185" i="6"/>
  <c r="T297" i="5"/>
  <c r="T241" i="1" s="1"/>
  <c r="A241"/>
  <c r="Y120" i="5"/>
  <c r="M62" i="6" s="1"/>
  <c r="T120" i="5"/>
  <c r="T118" i="1" s="1"/>
  <c r="A118"/>
  <c r="A114" i="2" s="1"/>
  <c r="M316" i="6"/>
  <c r="T482" i="5"/>
  <c r="T372" i="1" s="1"/>
  <c r="A372"/>
  <c r="M310" i="6"/>
  <c r="T476" i="5"/>
  <c r="T366" i="1" s="1"/>
  <c r="A366"/>
  <c r="M312" i="6"/>
  <c r="T478" i="5"/>
  <c r="T368" i="1" s="1"/>
  <c r="A368"/>
  <c r="M308" i="6"/>
  <c r="T474" i="5"/>
  <c r="T364" i="1" s="1"/>
  <c r="A364"/>
  <c r="Y115" i="5"/>
  <c r="M57" i="6" s="1"/>
  <c r="T115" i="5"/>
  <c r="T113" i="1" s="1"/>
  <c r="A113"/>
  <c r="A109" i="2" s="1"/>
  <c r="Y116" i="5"/>
  <c r="M58" i="6" s="1"/>
  <c r="T116" i="5"/>
  <c r="T114" i="1" s="1"/>
  <c r="A114"/>
  <c r="A110" i="2" s="1"/>
  <c r="W116" i="5"/>
  <c r="Y121"/>
  <c r="M63" i="6" s="1"/>
  <c r="T121" i="5"/>
  <c r="T119" i="1" s="1"/>
  <c r="A119"/>
  <c r="A115" i="2" s="1"/>
  <c r="M314" i="6"/>
  <c r="T480" i="5"/>
  <c r="T370" i="1" s="1"/>
  <c r="A370"/>
  <c r="E360" i="6"/>
  <c r="E352"/>
  <c r="E359"/>
  <c r="E347"/>
  <c r="E343"/>
  <c r="E351"/>
  <c r="E355"/>
  <c r="E344"/>
  <c r="E348"/>
  <c r="E366"/>
  <c r="W385" i="7"/>
  <c r="W252"/>
  <c r="W64"/>
  <c r="F354" i="6"/>
  <c r="F363"/>
  <c r="F362"/>
  <c r="F370"/>
  <c r="U426" i="1" s="1"/>
  <c r="F359" i="6"/>
  <c r="U415" i="1" s="1"/>
  <c r="F377" i="6"/>
  <c r="U433" i="1" s="1"/>
  <c r="F366" i="6"/>
  <c r="F358"/>
  <c r="U414" i="1" s="1"/>
  <c r="F355" i="6"/>
  <c r="F371"/>
  <c r="L261"/>
  <c r="K270"/>
  <c r="K273"/>
  <c r="L264"/>
  <c r="K267"/>
  <c r="L258"/>
  <c r="K263"/>
  <c r="L254"/>
  <c r="K271"/>
  <c r="L262"/>
  <c r="L257"/>
  <c r="K266"/>
  <c r="K265"/>
  <c r="L256"/>
  <c r="K269"/>
  <c r="L260"/>
  <c r="L268"/>
  <c r="K277"/>
  <c r="A127" i="5"/>
  <c r="S118"/>
  <c r="S116" i="1" s="1"/>
  <c r="G112" i="2" s="1"/>
  <c r="U119" i="5"/>
  <c r="A307"/>
  <c r="G341" i="2"/>
  <c r="A341"/>
  <c r="A519"/>
  <c r="G519"/>
  <c r="A517"/>
  <c r="G517"/>
  <c r="U476" i="5"/>
  <c r="S475"/>
  <c r="S365" i="1" s="1"/>
  <c r="A337" i="2"/>
  <c r="G337"/>
  <c r="A130" i="5"/>
  <c r="S121"/>
  <c r="S119" i="1" s="1"/>
  <c r="G115" i="2" s="1"/>
  <c r="U122" i="5"/>
  <c r="A310"/>
  <c r="A123"/>
  <c r="S114"/>
  <c r="S112" i="1" s="1"/>
  <c r="G108" i="2" s="1"/>
  <c r="U115" i="5"/>
  <c r="A303"/>
  <c r="S298"/>
  <c r="S242" i="1" s="1"/>
  <c r="U299" i="5"/>
  <c r="A487"/>
  <c r="A513" i="2"/>
  <c r="G513"/>
  <c r="A338"/>
  <c r="G338"/>
  <c r="G340"/>
  <c r="A340"/>
  <c r="S478" i="5"/>
  <c r="S368" i="1" s="1"/>
  <c r="U479" i="5"/>
  <c r="G333" i="2"/>
  <c r="A333"/>
  <c r="A521"/>
  <c r="G521"/>
  <c r="U296" i="5"/>
  <c r="S295"/>
  <c r="S239" i="1" s="1"/>
  <c r="A484" i="5"/>
  <c r="S301"/>
  <c r="S245" i="1" s="1"/>
  <c r="U302" i="5"/>
  <c r="A490"/>
  <c r="S294"/>
  <c r="S238" i="1" s="1"/>
  <c r="U295" i="5"/>
  <c r="A483"/>
  <c r="A126"/>
  <c r="S117"/>
  <c r="S115" i="1" s="1"/>
  <c r="G111" i="2" s="1"/>
  <c r="U118" i="5"/>
  <c r="A306"/>
  <c r="A128"/>
  <c r="U120"/>
  <c r="S119"/>
  <c r="S117" i="1" s="1"/>
  <c r="G113" i="2" s="1"/>
  <c r="A308" i="5"/>
  <c r="A131"/>
  <c r="S122"/>
  <c r="S120" i="1" s="1"/>
  <c r="G116" i="2" s="1"/>
  <c r="U123" i="5"/>
  <c r="A311"/>
  <c r="U480"/>
  <c r="S479"/>
  <c r="S369" i="1" s="1"/>
  <c r="A335" i="2"/>
  <c r="G335"/>
  <c r="S481" i="5"/>
  <c r="S371" i="1" s="1"/>
  <c r="U482" i="5"/>
  <c r="S474"/>
  <c r="S364" i="1" s="1"/>
  <c r="U475" i="5"/>
  <c r="A125"/>
  <c r="U117"/>
  <c r="S116"/>
  <c r="S114" i="1" s="1"/>
  <c r="G110" i="2" s="1"/>
  <c r="A305" i="5"/>
  <c r="S297"/>
  <c r="S241" i="1" s="1"/>
  <c r="U298" i="5"/>
  <c r="A486"/>
  <c r="U301"/>
  <c r="S300"/>
  <c r="S244" i="1" s="1"/>
  <c r="A489" i="5"/>
  <c r="U300"/>
  <c r="S299"/>
  <c r="S243" i="1" s="1"/>
  <c r="A488" i="5"/>
  <c r="S302"/>
  <c r="S246" i="1" s="1"/>
  <c r="U303" i="5"/>
  <c r="A491"/>
  <c r="A518" i="2"/>
  <c r="G518"/>
  <c r="A520"/>
  <c r="G520"/>
  <c r="A514"/>
  <c r="G514"/>
  <c r="S477" i="5"/>
  <c r="S367" i="1" s="1"/>
  <c r="U478" i="5"/>
  <c r="A334" i="2"/>
  <c r="G334"/>
  <c r="U477" i="5"/>
  <c r="S476"/>
  <c r="S366" i="1" s="1"/>
  <c r="A516" i="2"/>
  <c r="G516"/>
  <c r="A515"/>
  <c r="G515"/>
  <c r="U297" i="5"/>
  <c r="S296"/>
  <c r="S240" i="1" s="1"/>
  <c r="A485" i="5"/>
  <c r="U481"/>
  <c r="S480"/>
  <c r="S370" i="1" s="1"/>
  <c r="A124" i="5"/>
  <c r="U116"/>
  <c r="S115"/>
  <c r="S113" i="1" s="1"/>
  <c r="G109" i="2" s="1"/>
  <c r="A304" i="5"/>
  <c r="S482"/>
  <c r="S372" i="1" s="1"/>
  <c r="U483" i="5"/>
  <c r="A129"/>
  <c r="U121"/>
  <c r="S120"/>
  <c r="S118" i="1" s="1"/>
  <c r="G114" i="2" s="1"/>
  <c r="A309" i="5"/>
  <c r="A336" i="2"/>
  <c r="G336"/>
  <c r="A339"/>
  <c r="G339"/>
  <c r="C23" i="4"/>
  <c r="C24"/>
  <c r="C25"/>
  <c r="C26"/>
  <c r="C27"/>
  <c r="C28"/>
  <c r="C29"/>
  <c r="C30"/>
  <c r="C31"/>
  <c r="C32"/>
  <c r="C33"/>
  <c r="C34"/>
  <c r="C35"/>
  <c r="C22"/>
  <c r="B22"/>
  <c r="D22" s="1"/>
  <c r="W22" s="1"/>
  <c r="L22" s="1"/>
  <c r="AA25"/>
  <c r="P25" s="1"/>
  <c r="S29"/>
  <c r="S33"/>
  <c r="B6"/>
  <c r="D6" s="1"/>
  <c r="C6" s="1"/>
  <c r="B7"/>
  <c r="D7" s="1"/>
  <c r="C7" s="1"/>
  <c r="B8"/>
  <c r="D8" s="1"/>
  <c r="AA8" s="1"/>
  <c r="B9"/>
  <c r="D9" s="1"/>
  <c r="Y9" s="1"/>
  <c r="B10"/>
  <c r="D10" s="1"/>
  <c r="W10" s="1"/>
  <c r="B11"/>
  <c r="D11" s="1"/>
  <c r="Y11" s="1"/>
  <c r="B12"/>
  <c r="D12" s="1"/>
  <c r="W12" s="1"/>
  <c r="B13"/>
  <c r="D13" s="1"/>
  <c r="Y13" s="1"/>
  <c r="B14"/>
  <c r="D14" s="1"/>
  <c r="W14" s="1"/>
  <c r="B15"/>
  <c r="D15" s="1"/>
  <c r="Y15" s="1"/>
  <c r="B16"/>
  <c r="D16" s="1"/>
  <c r="W16" s="1"/>
  <c r="B17"/>
  <c r="D17" s="1"/>
  <c r="Y17" s="1"/>
  <c r="B18"/>
  <c r="D18" s="1"/>
  <c r="W18" s="1"/>
  <c r="B19"/>
  <c r="D19" s="1"/>
  <c r="Y19" s="1"/>
  <c r="B20"/>
  <c r="D20" s="1"/>
  <c r="W20" s="1"/>
  <c r="B21"/>
  <c r="D21" s="1"/>
  <c r="Y21" s="1"/>
  <c r="B23"/>
  <c r="Y23" s="1"/>
  <c r="N23" s="1"/>
  <c r="W24"/>
  <c r="L24" s="1"/>
  <c r="B25"/>
  <c r="Y25" s="1"/>
  <c r="N25" s="1"/>
  <c r="W26"/>
  <c r="L26" s="1"/>
  <c r="Y27"/>
  <c r="N27" s="1"/>
  <c r="B28"/>
  <c r="W28" s="1"/>
  <c r="L28" s="1"/>
  <c r="Y29"/>
  <c r="N29" s="1"/>
  <c r="W30"/>
  <c r="L30" s="1"/>
  <c r="Y31"/>
  <c r="N31" s="1"/>
  <c r="W32"/>
  <c r="L32" s="1"/>
  <c r="Y33"/>
  <c r="N33" s="1"/>
  <c r="W34"/>
  <c r="L34" s="1"/>
  <c r="Y35"/>
  <c r="N35" s="1"/>
  <c r="W36"/>
  <c r="L36" s="1"/>
  <c r="B5"/>
  <c r="D5" s="1"/>
  <c r="C5" s="1"/>
  <c r="M322" i="6" l="1"/>
  <c r="T488" i="5"/>
  <c r="T378" i="1" s="1"/>
  <c r="A378"/>
  <c r="M194" i="6"/>
  <c r="T306" i="5"/>
  <c r="T250" i="1" s="1"/>
  <c r="A250"/>
  <c r="A246" i="2" s="1"/>
  <c r="M324" i="6"/>
  <c r="T490" i="5"/>
  <c r="T380" i="1" s="1"/>
  <c r="A380"/>
  <c r="Y130" i="5"/>
  <c r="M72" i="6" s="1"/>
  <c r="T130" i="5"/>
  <c r="T128" i="1" s="1"/>
  <c r="A128"/>
  <c r="A124" i="2" s="1"/>
  <c r="M192" i="6"/>
  <c r="T304" i="5"/>
  <c r="T248" i="1" s="1"/>
  <c r="A248"/>
  <c r="A244" i="2" s="1"/>
  <c r="M323" i="6"/>
  <c r="T489" i="5"/>
  <c r="T379" i="1" s="1"/>
  <c r="A379"/>
  <c r="Y127" i="5"/>
  <c r="M69" i="6" s="1"/>
  <c r="T127" i="5"/>
  <c r="T125" i="1" s="1"/>
  <c r="A125"/>
  <c r="A121" i="2" s="1"/>
  <c r="Y129" i="5"/>
  <c r="M71" i="6" s="1"/>
  <c r="T129" i="5"/>
  <c r="T127" i="1" s="1"/>
  <c r="A127"/>
  <c r="A123" i="2" s="1"/>
  <c r="Y124" i="5"/>
  <c r="M66" i="6" s="1"/>
  <c r="T124" i="5"/>
  <c r="T122" i="1" s="1"/>
  <c r="A122"/>
  <c r="A118" i="2" s="1"/>
  <c r="M319" i="6"/>
  <c r="T485" i="5"/>
  <c r="T375" i="1" s="1"/>
  <c r="A375"/>
  <c r="M320" i="6"/>
  <c r="T486" i="5"/>
  <c r="T376" i="1" s="1"/>
  <c r="A376"/>
  <c r="M199" i="6"/>
  <c r="T311" i="5"/>
  <c r="T255" i="1" s="1"/>
  <c r="A255"/>
  <c r="A251" i="2" s="1"/>
  <c r="M196" i="6"/>
  <c r="T308" i="5"/>
  <c r="T252" i="1" s="1"/>
  <c r="A252"/>
  <c r="A248" i="2" s="1"/>
  <c r="M321" i="6"/>
  <c r="T487" i="5"/>
  <c r="T377" i="1" s="1"/>
  <c r="A377"/>
  <c r="Y125" i="5"/>
  <c r="M67" i="6" s="1"/>
  <c r="T125" i="5"/>
  <c r="T123" i="1" s="1"/>
  <c r="A123"/>
  <c r="A119" i="2" s="1"/>
  <c r="Y123" i="5"/>
  <c r="M65" i="6" s="1"/>
  <c r="T123" i="5"/>
  <c r="T121" i="1" s="1"/>
  <c r="A121"/>
  <c r="A117" i="2" s="1"/>
  <c r="M195" i="6"/>
  <c r="T307" i="5"/>
  <c r="T251" i="1" s="1"/>
  <c r="A251"/>
  <c r="A247" i="2" s="1"/>
  <c r="M197" i="6"/>
  <c r="T309" i="5"/>
  <c r="T253" i="1" s="1"/>
  <c r="A253"/>
  <c r="A249" i="2" s="1"/>
  <c r="Y126" i="5"/>
  <c r="M68" i="6" s="1"/>
  <c r="T126" i="5"/>
  <c r="T124" i="1" s="1"/>
  <c r="A124"/>
  <c r="A120" i="2" s="1"/>
  <c r="M318" i="6"/>
  <c r="T484" i="5"/>
  <c r="T374" i="1" s="1"/>
  <c r="A374"/>
  <c r="M325" i="6"/>
  <c r="T491" i="5"/>
  <c r="T381" i="1" s="1"/>
  <c r="A381"/>
  <c r="M193" i="6"/>
  <c r="T305" i="5"/>
  <c r="T249" i="1" s="1"/>
  <c r="A249"/>
  <c r="A245" i="2" s="1"/>
  <c r="Y131" i="5"/>
  <c r="M73" i="6" s="1"/>
  <c r="T131" i="5"/>
  <c r="T129" i="1" s="1"/>
  <c r="A129"/>
  <c r="A125" i="2" s="1"/>
  <c r="Y128" i="5"/>
  <c r="M70" i="6" s="1"/>
  <c r="T128" i="5"/>
  <c r="T126" i="1" s="1"/>
  <c r="A126"/>
  <c r="A122" i="2" s="1"/>
  <c r="M317" i="6"/>
  <c r="T483" i="5"/>
  <c r="T373" i="1" s="1"/>
  <c r="A373"/>
  <c r="M191" i="6"/>
  <c r="T303" i="5"/>
  <c r="T247" i="1" s="1"/>
  <c r="A247"/>
  <c r="A243" i="2" s="1"/>
  <c r="M198" i="6"/>
  <c r="T310" i="5"/>
  <c r="T254" i="1" s="1"/>
  <c r="A254"/>
  <c r="A250" i="2" s="1"/>
  <c r="E370" i="6"/>
  <c r="E376"/>
  <c r="E362"/>
  <c r="E365"/>
  <c r="E361"/>
  <c r="E369"/>
  <c r="E354"/>
  <c r="E358"/>
  <c r="E353"/>
  <c r="E357"/>
  <c r="W386" i="7"/>
  <c r="W253"/>
  <c r="W65"/>
  <c r="F365" i="6"/>
  <c r="F376"/>
  <c r="U432" i="1" s="1"/>
  <c r="F369" i="6"/>
  <c r="F372"/>
  <c r="F364"/>
  <c r="F381"/>
  <c r="F368"/>
  <c r="U424" i="1" s="1"/>
  <c r="F387" i="6"/>
  <c r="F380"/>
  <c r="F373"/>
  <c r="L265"/>
  <c r="K274"/>
  <c r="K280"/>
  <c r="L271"/>
  <c r="K276"/>
  <c r="L267"/>
  <c r="L277"/>
  <c r="K286"/>
  <c r="K279"/>
  <c r="L270"/>
  <c r="L269"/>
  <c r="K278"/>
  <c r="K272"/>
  <c r="L263"/>
  <c r="K282"/>
  <c r="L273"/>
  <c r="K275"/>
  <c r="L266"/>
  <c r="A530" i="2"/>
  <c r="G530"/>
  <c r="U305" i="5"/>
  <c r="S304"/>
  <c r="S248" i="1" s="1"/>
  <c r="G244" i="2" s="1"/>
  <c r="A493" i="5"/>
  <c r="A528" i="2"/>
  <c r="G528"/>
  <c r="S486" i="5"/>
  <c r="S376" i="1" s="1"/>
  <c r="U487" i="5"/>
  <c r="U132"/>
  <c r="S131"/>
  <c r="S129" i="1" s="1"/>
  <c r="G125" i="2" s="1"/>
  <c r="A320" i="5"/>
  <c r="A140"/>
  <c r="A135"/>
  <c r="S126"/>
  <c r="S124" i="1" s="1"/>
  <c r="G120" i="2" s="1"/>
  <c r="U127" i="5"/>
  <c r="A315"/>
  <c r="A342" i="2"/>
  <c r="G342"/>
  <c r="A525"/>
  <c r="G525"/>
  <c r="A347"/>
  <c r="G347"/>
  <c r="A527"/>
  <c r="G527"/>
  <c r="S306" i="5"/>
  <c r="S250" i="1" s="1"/>
  <c r="G246" i="2" s="1"/>
  <c r="U307" i="5"/>
  <c r="A495"/>
  <c r="U484"/>
  <c r="S483"/>
  <c r="S373" i="1" s="1"/>
  <c r="S309" i="5"/>
  <c r="S253" i="1" s="1"/>
  <c r="G249" i="2" s="1"/>
  <c r="U310" i="5"/>
  <c r="A498"/>
  <c r="A350" i="2"/>
  <c r="G350"/>
  <c r="U489" i="5"/>
  <c r="S488"/>
  <c r="S378" i="1" s="1"/>
  <c r="A134" i="5"/>
  <c r="S125"/>
  <c r="S123" i="1" s="1"/>
  <c r="G119" i="2" s="1"/>
  <c r="U126" i="5"/>
  <c r="A314"/>
  <c r="U129"/>
  <c r="S128"/>
  <c r="S126" i="1" s="1"/>
  <c r="G122" i="2" s="1"/>
  <c r="A137" i="5"/>
  <c r="A317"/>
  <c r="A343" i="2"/>
  <c r="G343"/>
  <c r="A526"/>
  <c r="G526"/>
  <c r="A132" i="5"/>
  <c r="U124"/>
  <c r="S123"/>
  <c r="S121" i="1" s="1"/>
  <c r="G117" i="2" s="1"/>
  <c r="A312" i="5"/>
  <c r="S485"/>
  <c r="S375" i="1" s="1"/>
  <c r="U486" i="5"/>
  <c r="G348" i="2"/>
  <c r="A348"/>
  <c r="S490" i="5"/>
  <c r="S380" i="1" s="1"/>
  <c r="U491" i="5"/>
  <c r="U488"/>
  <c r="S487"/>
  <c r="S377" i="1" s="1"/>
  <c r="S130" i="5"/>
  <c r="S128" i="1" s="1"/>
  <c r="G124" i="2" s="1"/>
  <c r="U131" i="5"/>
  <c r="A319"/>
  <c r="A139"/>
  <c r="U128"/>
  <c r="S127"/>
  <c r="S125" i="1" s="1"/>
  <c r="G121" i="2" s="1"/>
  <c r="A136" i="5"/>
  <c r="A316"/>
  <c r="S129"/>
  <c r="S127" i="1" s="1"/>
  <c r="G123" i="2" s="1"/>
  <c r="U130" i="5"/>
  <c r="A138"/>
  <c r="A318"/>
  <c r="S489"/>
  <c r="S379" i="1" s="1"/>
  <c r="U490" i="5"/>
  <c r="U312"/>
  <c r="S311"/>
  <c r="S255" i="1" s="1"/>
  <c r="G251" i="2" s="1"/>
  <c r="A500" i="5"/>
  <c r="S310"/>
  <c r="S254" i="1" s="1"/>
  <c r="G250" i="2" s="1"/>
  <c r="U311" i="5"/>
  <c r="A499"/>
  <c r="U308"/>
  <c r="S307"/>
  <c r="S251" i="1" s="1"/>
  <c r="G247" i="2" s="1"/>
  <c r="A496" i="5"/>
  <c r="A133"/>
  <c r="U125"/>
  <c r="S124"/>
  <c r="S122" i="1" s="1"/>
  <c r="G118" i="2" s="1"/>
  <c r="A313" i="5"/>
  <c r="A344" i="2"/>
  <c r="G344"/>
  <c r="A524"/>
  <c r="G524"/>
  <c r="U492" i="5"/>
  <c r="S491"/>
  <c r="S381" i="1" s="1"/>
  <c r="A345" i="2"/>
  <c r="G345"/>
  <c r="S305" i="5"/>
  <c r="S249" i="1" s="1"/>
  <c r="G245" i="2" s="1"/>
  <c r="U306" i="5"/>
  <c r="A494"/>
  <c r="A522" i="2"/>
  <c r="G522"/>
  <c r="A529"/>
  <c r="G529"/>
  <c r="U309" i="5"/>
  <c r="S308"/>
  <c r="S252" i="1" s="1"/>
  <c r="G248" i="2" s="1"/>
  <c r="A497" i="5"/>
  <c r="G349" i="2"/>
  <c r="A349"/>
  <c r="U485" i="5"/>
  <c r="S484"/>
  <c r="S374" i="1" s="1"/>
  <c r="A346" i="2"/>
  <c r="G346"/>
  <c r="U304" i="5"/>
  <c r="S303"/>
  <c r="S247" i="1" s="1"/>
  <c r="G243" i="2" s="1"/>
  <c r="A492" i="5"/>
  <c r="A523" i="2"/>
  <c r="G523"/>
  <c r="S21" i="4"/>
  <c r="S13"/>
  <c r="E7"/>
  <c r="H7"/>
  <c r="G7"/>
  <c r="K7"/>
  <c r="J7"/>
  <c r="I7"/>
  <c r="AA17"/>
  <c r="AA9"/>
  <c r="E5"/>
  <c r="H5"/>
  <c r="J5"/>
  <c r="I5"/>
  <c r="G5"/>
  <c r="K5"/>
  <c r="E6"/>
  <c r="J6"/>
  <c r="G6"/>
  <c r="I6"/>
  <c r="H6"/>
  <c r="K6"/>
  <c r="AA21"/>
  <c r="AA13"/>
  <c r="S25"/>
  <c r="H25" s="1"/>
  <c r="S17"/>
  <c r="S9"/>
  <c r="H33"/>
  <c r="H29"/>
  <c r="AA33"/>
  <c r="P33" s="1"/>
  <c r="AA29"/>
  <c r="P29" s="1"/>
  <c r="A56"/>
  <c r="A57"/>
  <c r="A55"/>
  <c r="T34"/>
  <c r="I34" s="1"/>
  <c r="T30"/>
  <c r="I30" s="1"/>
  <c r="T26"/>
  <c r="I26" s="1"/>
  <c r="T22"/>
  <c r="I22" s="1"/>
  <c r="T18"/>
  <c r="T14"/>
  <c r="T10"/>
  <c r="Y34"/>
  <c r="N34" s="1"/>
  <c r="Y30"/>
  <c r="N30" s="1"/>
  <c r="Y26"/>
  <c r="N26" s="1"/>
  <c r="Y22"/>
  <c r="N22" s="1"/>
  <c r="Y18"/>
  <c r="Y14"/>
  <c r="Y10"/>
  <c r="W8"/>
  <c r="T32"/>
  <c r="I32" s="1"/>
  <c r="T24"/>
  <c r="I24" s="1"/>
  <c r="V13"/>
  <c r="T12"/>
  <c r="V9"/>
  <c r="X8"/>
  <c r="X34"/>
  <c r="M34" s="1"/>
  <c r="Z33"/>
  <c r="O33" s="1"/>
  <c r="R33"/>
  <c r="G33" s="1"/>
  <c r="X30"/>
  <c r="M30" s="1"/>
  <c r="Z29"/>
  <c r="O29" s="1"/>
  <c r="R29"/>
  <c r="G29" s="1"/>
  <c r="X26"/>
  <c r="M26" s="1"/>
  <c r="Z25"/>
  <c r="O25" s="1"/>
  <c r="R25"/>
  <c r="G25" s="1"/>
  <c r="X22"/>
  <c r="M22" s="1"/>
  <c r="Z21"/>
  <c r="R21"/>
  <c r="X18"/>
  <c r="Z17"/>
  <c r="R17"/>
  <c r="X14"/>
  <c r="Z13"/>
  <c r="R13"/>
  <c r="X10"/>
  <c r="Z9"/>
  <c r="R9"/>
  <c r="V8"/>
  <c r="T36"/>
  <c r="I36" s="1"/>
  <c r="V33"/>
  <c r="K33" s="1"/>
  <c r="V29"/>
  <c r="K29" s="1"/>
  <c r="T28"/>
  <c r="I28" s="1"/>
  <c r="V25"/>
  <c r="K25" s="1"/>
  <c r="V21"/>
  <c r="T20"/>
  <c r="V17"/>
  <c r="T16"/>
  <c r="X36"/>
  <c r="M36" s="1"/>
  <c r="U34"/>
  <c r="J34" s="1"/>
  <c r="W33"/>
  <c r="L33" s="1"/>
  <c r="X32"/>
  <c r="M32" s="1"/>
  <c r="U30"/>
  <c r="J30" s="1"/>
  <c r="W29"/>
  <c r="L29" s="1"/>
  <c r="X28"/>
  <c r="M28" s="1"/>
  <c r="U26"/>
  <c r="J26" s="1"/>
  <c r="W25"/>
  <c r="L25" s="1"/>
  <c r="X24"/>
  <c r="M24" s="1"/>
  <c r="U22"/>
  <c r="J22" s="1"/>
  <c r="W21"/>
  <c r="X20"/>
  <c r="U18"/>
  <c r="W17"/>
  <c r="X16"/>
  <c r="U14"/>
  <c r="W13"/>
  <c r="X12"/>
  <c r="U10"/>
  <c r="W9"/>
  <c r="C15"/>
  <c r="E15" s="1"/>
  <c r="N15" s="1"/>
  <c r="C11"/>
  <c r="E11" s="1"/>
  <c r="N11" s="1"/>
  <c r="Z31"/>
  <c r="O31" s="1"/>
  <c r="V31"/>
  <c r="K31" s="1"/>
  <c r="R31"/>
  <c r="G31" s="1"/>
  <c r="Z27"/>
  <c r="O27" s="1"/>
  <c r="V27"/>
  <c r="K27" s="1"/>
  <c r="R27"/>
  <c r="G27" s="1"/>
  <c r="V19"/>
  <c r="R19"/>
  <c r="V15"/>
  <c r="R15"/>
  <c r="Z11"/>
  <c r="V11"/>
  <c r="K11" s="1"/>
  <c r="R11"/>
  <c r="C20"/>
  <c r="E20" s="1"/>
  <c r="L20" s="1"/>
  <c r="C12"/>
  <c r="E12" s="1"/>
  <c r="L12" s="1"/>
  <c r="R8"/>
  <c r="Y8"/>
  <c r="U36"/>
  <c r="J36" s="1"/>
  <c r="AA35"/>
  <c r="P35" s="1"/>
  <c r="W35"/>
  <c r="L35" s="1"/>
  <c r="S35"/>
  <c r="H35" s="1"/>
  <c r="Y32"/>
  <c r="N32" s="1"/>
  <c r="AA31"/>
  <c r="P31" s="1"/>
  <c r="W31"/>
  <c r="L31" s="1"/>
  <c r="S31"/>
  <c r="H31" s="1"/>
  <c r="Y28"/>
  <c r="N28" s="1"/>
  <c r="U24"/>
  <c r="J24" s="1"/>
  <c r="U20"/>
  <c r="Y16"/>
  <c r="AA15"/>
  <c r="Y12"/>
  <c r="N12" s="1"/>
  <c r="U12"/>
  <c r="W11"/>
  <c r="S11"/>
  <c r="C21"/>
  <c r="E21" s="1"/>
  <c r="N21" s="1"/>
  <c r="C17"/>
  <c r="E17" s="1"/>
  <c r="N17" s="1"/>
  <c r="C13"/>
  <c r="E13" s="1"/>
  <c r="N13" s="1"/>
  <c r="C9"/>
  <c r="E9" s="1"/>
  <c r="N9" s="1"/>
  <c r="T8"/>
  <c r="Z8"/>
  <c r="Z36"/>
  <c r="O36" s="1"/>
  <c r="V36"/>
  <c r="K36" s="1"/>
  <c r="R36"/>
  <c r="G36" s="1"/>
  <c r="X35"/>
  <c r="M35" s="1"/>
  <c r="T35"/>
  <c r="I35" s="1"/>
  <c r="Z34"/>
  <c r="O34" s="1"/>
  <c r="V34"/>
  <c r="K34" s="1"/>
  <c r="R34"/>
  <c r="G34" s="1"/>
  <c r="X33"/>
  <c r="M33" s="1"/>
  <c r="T33"/>
  <c r="I33" s="1"/>
  <c r="Z32"/>
  <c r="O32" s="1"/>
  <c r="V32"/>
  <c r="K32" s="1"/>
  <c r="R32"/>
  <c r="G32" s="1"/>
  <c r="X31"/>
  <c r="M31" s="1"/>
  <c r="T31"/>
  <c r="I31" s="1"/>
  <c r="Z30"/>
  <c r="O30" s="1"/>
  <c r="V30"/>
  <c r="K30" s="1"/>
  <c r="R30"/>
  <c r="G30" s="1"/>
  <c r="X29"/>
  <c r="M29" s="1"/>
  <c r="T29"/>
  <c r="I29" s="1"/>
  <c r="Z28"/>
  <c r="O28" s="1"/>
  <c r="V28"/>
  <c r="K28" s="1"/>
  <c r="R28"/>
  <c r="G28" s="1"/>
  <c r="X27"/>
  <c r="M27" s="1"/>
  <c r="T27"/>
  <c r="I27" s="1"/>
  <c r="Z26"/>
  <c r="O26" s="1"/>
  <c r="V26"/>
  <c r="K26" s="1"/>
  <c r="R26"/>
  <c r="G26" s="1"/>
  <c r="X25"/>
  <c r="M25" s="1"/>
  <c r="T25"/>
  <c r="I25" s="1"/>
  <c r="Z24"/>
  <c r="O24" s="1"/>
  <c r="V24"/>
  <c r="K24" s="1"/>
  <c r="R24"/>
  <c r="G24" s="1"/>
  <c r="X23"/>
  <c r="M23" s="1"/>
  <c r="T23"/>
  <c r="I23" s="1"/>
  <c r="Z22"/>
  <c r="O22" s="1"/>
  <c r="V22"/>
  <c r="K22" s="1"/>
  <c r="R22"/>
  <c r="G22" s="1"/>
  <c r="X21"/>
  <c r="M21" s="1"/>
  <c r="T21"/>
  <c r="Z20"/>
  <c r="O20" s="1"/>
  <c r="V20"/>
  <c r="K20" s="1"/>
  <c r="R20"/>
  <c r="X19"/>
  <c r="T19"/>
  <c r="Z18"/>
  <c r="V18"/>
  <c r="R18"/>
  <c r="X17"/>
  <c r="T17"/>
  <c r="Z16"/>
  <c r="V16"/>
  <c r="R16"/>
  <c r="X15"/>
  <c r="T15"/>
  <c r="I15" s="1"/>
  <c r="Z14"/>
  <c r="V14"/>
  <c r="R14"/>
  <c r="X13"/>
  <c r="T13"/>
  <c r="Z12"/>
  <c r="V12"/>
  <c r="R12"/>
  <c r="G12" s="1"/>
  <c r="X11"/>
  <c r="M11" s="1"/>
  <c r="T11"/>
  <c r="Z10"/>
  <c r="V10"/>
  <c r="R10"/>
  <c r="X9"/>
  <c r="M9" s="1"/>
  <c r="T9"/>
  <c r="I9" s="1"/>
  <c r="C19"/>
  <c r="E19" s="1"/>
  <c r="N19" s="1"/>
  <c r="Z35"/>
  <c r="O35" s="1"/>
  <c r="V35"/>
  <c r="K35" s="1"/>
  <c r="R35"/>
  <c r="G35" s="1"/>
  <c r="Z23"/>
  <c r="O23" s="1"/>
  <c r="V23"/>
  <c r="K23" s="1"/>
  <c r="R23"/>
  <c r="G23" s="1"/>
  <c r="Z19"/>
  <c r="Z15"/>
  <c r="O15" s="1"/>
  <c r="C16"/>
  <c r="E16" s="1"/>
  <c r="L16" s="1"/>
  <c r="C8"/>
  <c r="E8" s="1"/>
  <c r="P8" s="1"/>
  <c r="S8"/>
  <c r="Y36"/>
  <c r="N36" s="1"/>
  <c r="U32"/>
  <c r="J32" s="1"/>
  <c r="U28"/>
  <c r="J28" s="1"/>
  <c r="AA27"/>
  <c r="P27" s="1"/>
  <c r="W27"/>
  <c r="L27" s="1"/>
  <c r="S27"/>
  <c r="H27" s="1"/>
  <c r="Y24"/>
  <c r="N24" s="1"/>
  <c r="AA23"/>
  <c r="P23" s="1"/>
  <c r="W23"/>
  <c r="L23" s="1"/>
  <c r="S23"/>
  <c r="H23" s="1"/>
  <c r="Y20"/>
  <c r="N20" s="1"/>
  <c r="AA19"/>
  <c r="W19"/>
  <c r="L19" s="1"/>
  <c r="S19"/>
  <c r="U16"/>
  <c r="W15"/>
  <c r="S15"/>
  <c r="H15" s="1"/>
  <c r="AA11"/>
  <c r="P11" s="1"/>
  <c r="C18"/>
  <c r="E18" s="1"/>
  <c r="L18" s="1"/>
  <c r="C14"/>
  <c r="E14" s="1"/>
  <c r="L14" s="1"/>
  <c r="C10"/>
  <c r="E10" s="1"/>
  <c r="L10" s="1"/>
  <c r="U8"/>
  <c r="AA36"/>
  <c r="P36" s="1"/>
  <c r="S36"/>
  <c r="H36" s="1"/>
  <c r="U35"/>
  <c r="J35" s="1"/>
  <c r="AA34"/>
  <c r="P34" s="1"/>
  <c r="S34"/>
  <c r="H34" s="1"/>
  <c r="U33"/>
  <c r="J33" s="1"/>
  <c r="AA32"/>
  <c r="P32" s="1"/>
  <c r="S32"/>
  <c r="H32" s="1"/>
  <c r="U31"/>
  <c r="J31" s="1"/>
  <c r="AA30"/>
  <c r="P30" s="1"/>
  <c r="S30"/>
  <c r="H30" s="1"/>
  <c r="U29"/>
  <c r="J29" s="1"/>
  <c r="AA28"/>
  <c r="P28" s="1"/>
  <c r="S28"/>
  <c r="H28" s="1"/>
  <c r="U27"/>
  <c r="J27" s="1"/>
  <c r="AA26"/>
  <c r="P26" s="1"/>
  <c r="S26"/>
  <c r="H26" s="1"/>
  <c r="U25"/>
  <c r="J25" s="1"/>
  <c r="AA24"/>
  <c r="P24" s="1"/>
  <c r="S24"/>
  <c r="H24" s="1"/>
  <c r="U23"/>
  <c r="J23" s="1"/>
  <c r="AA22"/>
  <c r="P22" s="1"/>
  <c r="S22"/>
  <c r="H22" s="1"/>
  <c r="U21"/>
  <c r="AA20"/>
  <c r="P20" s="1"/>
  <c r="S20"/>
  <c r="H20" s="1"/>
  <c r="U19"/>
  <c r="J19" s="1"/>
  <c r="AA18"/>
  <c r="S18"/>
  <c r="H18" s="1"/>
  <c r="U17"/>
  <c r="AA16"/>
  <c r="S16"/>
  <c r="H16" s="1"/>
  <c r="U15"/>
  <c r="AA14"/>
  <c r="P14" s="1"/>
  <c r="S14"/>
  <c r="U13"/>
  <c r="J13" s="1"/>
  <c r="AA12"/>
  <c r="S12"/>
  <c r="U11"/>
  <c r="J11" s="1"/>
  <c r="AA10"/>
  <c r="S10"/>
  <c r="U9"/>
  <c r="J9" s="1"/>
  <c r="M205" i="6" l="1"/>
  <c r="T317" i="5"/>
  <c r="T261" i="1" s="1"/>
  <c r="A261"/>
  <c r="A257" i="2" s="1"/>
  <c r="Y135" i="5"/>
  <c r="M77" i="6" s="1"/>
  <c r="T135" i="5"/>
  <c r="T133" i="1" s="1"/>
  <c r="A133"/>
  <c r="A129" i="2" s="1"/>
  <c r="M200" i="6"/>
  <c r="T312" i="5"/>
  <c r="T256" i="1" s="1"/>
  <c r="A256"/>
  <c r="A252" i="2" s="1"/>
  <c r="M329" i="6"/>
  <c r="T495" i="5"/>
  <c r="T385" i="1" s="1"/>
  <c r="A385"/>
  <c r="A435" i="2" s="1"/>
  <c r="M326" i="6"/>
  <c r="T492" i="5"/>
  <c r="T382" i="1" s="1"/>
  <c r="A382"/>
  <c r="A432" i="2" s="1"/>
  <c r="M328" i="6"/>
  <c r="T494" i="5"/>
  <c r="T384" i="1" s="1"/>
  <c r="A384"/>
  <c r="A434" i="2" s="1"/>
  <c r="M330" i="6"/>
  <c r="T496" i="5"/>
  <c r="T386" i="1" s="1"/>
  <c r="A386"/>
  <c r="A436" i="2" s="1"/>
  <c r="Y138" i="5"/>
  <c r="M80" i="6" s="1"/>
  <c r="T138" i="5"/>
  <c r="T136" i="1" s="1"/>
  <c r="A136"/>
  <c r="A132" i="2" s="1"/>
  <c r="Y136" i="5"/>
  <c r="M78" i="6" s="1"/>
  <c r="T136" i="5"/>
  <c r="T134" i="1" s="1"/>
  <c r="A134"/>
  <c r="A130" i="2" s="1"/>
  <c r="M207" i="6"/>
  <c r="T319" i="5"/>
  <c r="T263" i="1" s="1"/>
  <c r="A263"/>
  <c r="A259" i="2" s="1"/>
  <c r="Y132" i="5"/>
  <c r="M74" i="6" s="1"/>
  <c r="T132" i="5"/>
  <c r="T130" i="1" s="1"/>
  <c r="A130"/>
  <c r="A126" i="2" s="1"/>
  <c r="M332" i="6"/>
  <c r="T498" i="5"/>
  <c r="T388" i="1" s="1"/>
  <c r="A388"/>
  <c r="A438" i="2" s="1"/>
  <c r="M208" i="6"/>
  <c r="T320" i="5"/>
  <c r="T264" i="1" s="1"/>
  <c r="A264"/>
  <c r="A260" i="2" s="1"/>
  <c r="Y133" i="5"/>
  <c r="M75" i="6" s="1"/>
  <c r="T133" i="5"/>
  <c r="T131" i="1" s="1"/>
  <c r="A131"/>
  <c r="A127" i="2" s="1"/>
  <c r="M334" i="6"/>
  <c r="T500" i="5"/>
  <c r="T390" i="1" s="1"/>
  <c r="A390"/>
  <c r="A440" i="2" s="1"/>
  <c r="Y134" i="5"/>
  <c r="M76" i="6" s="1"/>
  <c r="T134" i="5"/>
  <c r="T132" i="1" s="1"/>
  <c r="A132"/>
  <c r="A128" i="2" s="1"/>
  <c r="M331" i="6"/>
  <c r="T497" i="5"/>
  <c r="T387" i="1" s="1"/>
  <c r="A387"/>
  <c r="A437" i="2" s="1"/>
  <c r="M201" i="6"/>
  <c r="T313" i="5"/>
  <c r="T257" i="1" s="1"/>
  <c r="A257"/>
  <c r="A253" i="2" s="1"/>
  <c r="M333" i="6"/>
  <c r="T499" i="5"/>
  <c r="T389" i="1" s="1"/>
  <c r="A389"/>
  <c r="A439" i="2" s="1"/>
  <c r="M206" i="6"/>
  <c r="T318" i="5"/>
  <c r="T262" i="1" s="1"/>
  <c r="A262"/>
  <c r="A258" i="2" s="1"/>
  <c r="M204" i="6"/>
  <c r="T316" i="5"/>
  <c r="T260" i="1" s="1"/>
  <c r="A260"/>
  <c r="A256" i="2" s="1"/>
  <c r="Y139" i="5"/>
  <c r="M81" i="6" s="1"/>
  <c r="T139" i="5"/>
  <c r="T137" i="1" s="1"/>
  <c r="A137"/>
  <c r="A133" i="2" s="1"/>
  <c r="Y137" i="5"/>
  <c r="M79" i="6" s="1"/>
  <c r="T137" i="5"/>
  <c r="T135" i="1" s="1"/>
  <c r="A135"/>
  <c r="A131" i="2" s="1"/>
  <c r="M202" i="6"/>
  <c r="T314" i="5"/>
  <c r="T258" i="1" s="1"/>
  <c r="A258"/>
  <c r="A254" i="2" s="1"/>
  <c r="M203" i="6"/>
  <c r="T315" i="5"/>
  <c r="T259" i="1" s="1"/>
  <c r="A259"/>
  <c r="A255" i="2" s="1"/>
  <c r="Y140" i="5"/>
  <c r="M82" i="6" s="1"/>
  <c r="T140" i="5"/>
  <c r="T138" i="1" s="1"/>
  <c r="A138"/>
  <c r="A134" i="2" s="1"/>
  <c r="M327" i="6"/>
  <c r="T493" i="5"/>
  <c r="T383" i="1" s="1"/>
  <c r="A383"/>
  <c r="A433" i="2" s="1"/>
  <c r="E372" i="6"/>
  <c r="E367"/>
  <c r="E368"/>
  <c r="E386"/>
  <c r="E371"/>
  <c r="E380"/>
  <c r="E379"/>
  <c r="E363"/>
  <c r="E364"/>
  <c r="E375"/>
  <c r="W387" i="7"/>
  <c r="W66"/>
  <c r="F383" i="6"/>
  <c r="F401"/>
  <c r="F391"/>
  <c r="F382"/>
  <c r="F386"/>
  <c r="U442" i="1" s="1"/>
  <c r="F379" i="6"/>
  <c r="U435" i="1" s="1"/>
  <c r="F400" i="6"/>
  <c r="F390"/>
  <c r="F378"/>
  <c r="F374"/>
  <c r="F375"/>
  <c r="F397"/>
  <c r="U453" i="1" s="1"/>
  <c r="L275" i="6"/>
  <c r="K284"/>
  <c r="L272"/>
  <c r="K281"/>
  <c r="K288"/>
  <c r="L279"/>
  <c r="K285"/>
  <c r="L276"/>
  <c r="L274"/>
  <c r="K283"/>
  <c r="K291"/>
  <c r="L282"/>
  <c r="K289"/>
  <c r="L280"/>
  <c r="L278"/>
  <c r="K287"/>
  <c r="L286"/>
  <c r="K295"/>
  <c r="U500" i="5"/>
  <c r="S499"/>
  <c r="S389" i="1" s="1"/>
  <c r="G439" i="2" s="1"/>
  <c r="A535"/>
  <c r="G535"/>
  <c r="G538"/>
  <c r="A538"/>
  <c r="S498" i="5"/>
  <c r="S388" i="1" s="1"/>
  <c r="G438" i="2" s="1"/>
  <c r="U499" i="5"/>
  <c r="A351" i="2"/>
  <c r="G351"/>
  <c r="A147" i="5"/>
  <c r="S138"/>
  <c r="S136" i="1" s="1"/>
  <c r="G132" i="2" s="1"/>
  <c r="U139" i="5"/>
  <c r="A327"/>
  <c r="U320"/>
  <c r="S319"/>
  <c r="S263" i="1" s="1"/>
  <c r="G259" i="2" s="1"/>
  <c r="A508" i="5"/>
  <c r="U133"/>
  <c r="S132"/>
  <c r="S130" i="1" s="1"/>
  <c r="G126" i="2" s="1"/>
  <c r="A141" i="5"/>
  <c r="A321"/>
  <c r="A146"/>
  <c r="S137"/>
  <c r="S135" i="1" s="1"/>
  <c r="G131" i="2" s="1"/>
  <c r="U138" i="5"/>
  <c r="A326"/>
  <c r="A352" i="2"/>
  <c r="G352"/>
  <c r="U493" i="5"/>
  <c r="S492"/>
  <c r="S382" i="1" s="1"/>
  <c r="G432" i="2" s="1"/>
  <c r="A359"/>
  <c r="G359"/>
  <c r="A537"/>
  <c r="G537"/>
  <c r="S318" i="5"/>
  <c r="S262" i="1" s="1"/>
  <c r="G258" i="2" s="1"/>
  <c r="U319" i="5"/>
  <c r="A507"/>
  <c r="A148"/>
  <c r="U140"/>
  <c r="S139"/>
  <c r="S137" i="1" s="1"/>
  <c r="G133" i="2" s="1"/>
  <c r="A328" i="5"/>
  <c r="A533" i="2"/>
  <c r="G533"/>
  <c r="U313" i="5"/>
  <c r="S312"/>
  <c r="S256" i="1" s="1"/>
  <c r="G252" i="2" s="1"/>
  <c r="A501" i="5"/>
  <c r="S317"/>
  <c r="S261" i="1" s="1"/>
  <c r="G257" i="2" s="1"/>
  <c r="U318" i="5"/>
  <c r="A506"/>
  <c r="S314"/>
  <c r="S258" i="1" s="1"/>
  <c r="G254" i="2" s="1"/>
  <c r="U315" i="5"/>
  <c r="A503"/>
  <c r="A536" i="2"/>
  <c r="G536"/>
  <c r="A354"/>
  <c r="G354"/>
  <c r="U141" i="5"/>
  <c r="S140"/>
  <c r="S138" i="1" s="1"/>
  <c r="G134" i="2" s="1"/>
  <c r="A329" i="5"/>
  <c r="A149"/>
  <c r="S493"/>
  <c r="S383" i="1" s="1"/>
  <c r="G433" i="2" s="1"/>
  <c r="U494" i="5"/>
  <c r="G356" i="2"/>
  <c r="A356"/>
  <c r="S494" i="5"/>
  <c r="S384" i="1" s="1"/>
  <c r="G434" i="2" s="1"/>
  <c r="U495" i="5"/>
  <c r="S133"/>
  <c r="S131" i="1" s="1"/>
  <c r="G127" i="2" s="1"/>
  <c r="U134" i="5"/>
  <c r="A322"/>
  <c r="A142"/>
  <c r="A355" i="2"/>
  <c r="G355"/>
  <c r="U317" i="5"/>
  <c r="S316"/>
  <c r="S260" i="1" s="1"/>
  <c r="G256" i="2" s="1"/>
  <c r="A505" i="5"/>
  <c r="U316"/>
  <c r="S315"/>
  <c r="S259" i="1" s="1"/>
  <c r="G255" i="2" s="1"/>
  <c r="A504" i="5"/>
  <c r="A534" i="2"/>
  <c r="G534"/>
  <c r="S497" i="5"/>
  <c r="S387" i="1" s="1"/>
  <c r="G437" i="2" s="1"/>
  <c r="U498" i="5"/>
  <c r="A539" i="2"/>
  <c r="G539"/>
  <c r="S313" i="5"/>
  <c r="S257" i="1" s="1"/>
  <c r="G253" i="2" s="1"/>
  <c r="U314" i="5"/>
  <c r="A502"/>
  <c r="U497"/>
  <c r="S496"/>
  <c r="S386" i="1" s="1"/>
  <c r="G436" i="2" s="1"/>
  <c r="S134" i="5"/>
  <c r="S132" i="1" s="1"/>
  <c r="G128" i="2" s="1"/>
  <c r="U135" i="5"/>
  <c r="A323"/>
  <c r="A143"/>
  <c r="U321"/>
  <c r="S320"/>
  <c r="S264" i="1" s="1"/>
  <c r="G260" i="2" s="1"/>
  <c r="A509" i="5"/>
  <c r="A532" i="2"/>
  <c r="G532"/>
  <c r="A353"/>
  <c r="G353"/>
  <c r="A358"/>
  <c r="G358"/>
  <c r="U501" i="5"/>
  <c r="S500"/>
  <c r="S390" i="1" s="1"/>
  <c r="G440" i="2" s="1"/>
  <c r="U137" i="5"/>
  <c r="S136"/>
  <c r="S134" i="1" s="1"/>
  <c r="G130" i="2" s="1"/>
  <c r="A145" i="5"/>
  <c r="A325"/>
  <c r="G357" i="2"/>
  <c r="A357"/>
  <c r="A531"/>
  <c r="G531"/>
  <c r="U496" i="5"/>
  <c r="S495"/>
  <c r="S385" i="1" s="1"/>
  <c r="G435" i="2" s="1"/>
  <c r="U136" i="5"/>
  <c r="S135"/>
  <c r="S133" i="1" s="1"/>
  <c r="G129" i="2" s="1"/>
  <c r="A144" i="5"/>
  <c r="A324"/>
  <c r="A87" i="4"/>
  <c r="A86"/>
  <c r="A88"/>
  <c r="A89"/>
  <c r="H8"/>
  <c r="H14"/>
  <c r="P16"/>
  <c r="M13"/>
  <c r="K18"/>
  <c r="G20"/>
  <c r="I8"/>
  <c r="L13"/>
  <c r="P18"/>
  <c r="J8"/>
  <c r="I13"/>
  <c r="O14"/>
  <c r="G18"/>
  <c r="O8"/>
  <c r="J20"/>
  <c r="G8"/>
  <c r="K8"/>
  <c r="G13"/>
  <c r="L8"/>
  <c r="P13"/>
  <c r="O16"/>
  <c r="O11"/>
  <c r="J18"/>
  <c r="I20"/>
  <c r="G9"/>
  <c r="O13"/>
  <c r="M18"/>
  <c r="K13"/>
  <c r="I14"/>
  <c r="L5"/>
  <c r="P5"/>
  <c r="N5"/>
  <c r="M5"/>
  <c r="O5"/>
  <c r="L7"/>
  <c r="P7"/>
  <c r="N7"/>
  <c r="M7"/>
  <c r="O7"/>
  <c r="N10"/>
  <c r="P10"/>
  <c r="J21"/>
  <c r="I21"/>
  <c r="J12"/>
  <c r="M12"/>
  <c r="I12"/>
  <c r="H21"/>
  <c r="P17"/>
  <c r="H12"/>
  <c r="J17"/>
  <c r="L15"/>
  <c r="P19"/>
  <c r="O19"/>
  <c r="O10"/>
  <c r="K12"/>
  <c r="G14"/>
  <c r="M15"/>
  <c r="I17"/>
  <c r="O18"/>
  <c r="H11"/>
  <c r="P15"/>
  <c r="G15"/>
  <c r="L9"/>
  <c r="J14"/>
  <c r="M20"/>
  <c r="K21"/>
  <c r="O9"/>
  <c r="M14"/>
  <c r="G21"/>
  <c r="M8"/>
  <c r="N14"/>
  <c r="I18"/>
  <c r="H9"/>
  <c r="H13"/>
  <c r="N6"/>
  <c r="L6"/>
  <c r="P6"/>
  <c r="O6"/>
  <c r="M6"/>
  <c r="K10"/>
  <c r="K19"/>
  <c r="P21"/>
  <c r="H19"/>
  <c r="G10"/>
  <c r="K16"/>
  <c r="M19"/>
  <c r="G19"/>
  <c r="L17"/>
  <c r="K17"/>
  <c r="O17"/>
  <c r="I10"/>
  <c r="H10"/>
  <c r="P12"/>
  <c r="J15"/>
  <c r="J16"/>
  <c r="I11"/>
  <c r="O12"/>
  <c r="K14"/>
  <c r="G16"/>
  <c r="M17"/>
  <c r="I19"/>
  <c r="L11"/>
  <c r="N16"/>
  <c r="N8"/>
  <c r="G11"/>
  <c r="K15"/>
  <c r="J10"/>
  <c r="M16"/>
  <c r="L21"/>
  <c r="I16"/>
  <c r="M10"/>
  <c r="G17"/>
  <c r="O21"/>
  <c r="K9"/>
  <c r="N18"/>
  <c r="H17"/>
  <c r="P9"/>
  <c r="L83" i="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82"/>
  <c r="M336" i="6" l="1"/>
  <c r="T502" i="5"/>
  <c r="T392" i="1" s="1"/>
  <c r="A392"/>
  <c r="A442" i="2" s="1"/>
  <c r="M210" i="6"/>
  <c r="T322" i="5"/>
  <c r="T266" i="1" s="1"/>
  <c r="A266"/>
  <c r="A262" i="2" s="1"/>
  <c r="M340" i="6"/>
  <c r="T506" i="5"/>
  <c r="T396" i="1" s="1"/>
  <c r="A396"/>
  <c r="A446" i="2" s="1"/>
  <c r="M216" i="6"/>
  <c r="T328" i="5"/>
  <c r="T272" i="1" s="1"/>
  <c r="A272"/>
  <c r="A268" i="2" s="1"/>
  <c r="Y146" i="5"/>
  <c r="M88" i="6" s="1"/>
  <c r="T146" i="5"/>
  <c r="T144" i="1" s="1"/>
  <c r="A144"/>
  <c r="A140" i="2" s="1"/>
  <c r="M215" i="6"/>
  <c r="T327" i="5"/>
  <c r="T271" i="1" s="1"/>
  <c r="A271"/>
  <c r="A267" i="2" s="1"/>
  <c r="M212" i="6"/>
  <c r="T324" i="5"/>
  <c r="T268" i="1" s="1"/>
  <c r="A268"/>
  <c r="A264" i="2" s="1"/>
  <c r="M335" i="6"/>
  <c r="T501" i="5"/>
  <c r="T391" i="1" s="1"/>
  <c r="A391"/>
  <c r="A441" i="2" s="1"/>
  <c r="Y148" i="5"/>
  <c r="M90" i="6" s="1"/>
  <c r="T148" i="5"/>
  <c r="T146" i="1" s="1"/>
  <c r="A146"/>
  <c r="A142" i="2" s="1"/>
  <c r="M213" i="6"/>
  <c r="T325" i="5"/>
  <c r="T269" i="1" s="1"/>
  <c r="A269"/>
  <c r="A265" i="2" s="1"/>
  <c r="M343" i="6"/>
  <c r="T509" i="5"/>
  <c r="T399" i="1" s="1"/>
  <c r="A399"/>
  <c r="A449" i="2" s="1"/>
  <c r="M211" i="6"/>
  <c r="T323" i="5"/>
  <c r="T267" i="1" s="1"/>
  <c r="A267"/>
  <c r="A263" i="2" s="1"/>
  <c r="M338" i="6"/>
  <c r="T504" i="5"/>
  <c r="T394" i="1" s="1"/>
  <c r="A394"/>
  <c r="A444" i="2" s="1"/>
  <c r="M339" i="6"/>
  <c r="T505" i="5"/>
  <c r="T395" i="1" s="1"/>
  <c r="A395"/>
  <c r="A445" i="2" s="1"/>
  <c r="M217" i="6"/>
  <c r="T329" i="5"/>
  <c r="T273" i="1" s="1"/>
  <c r="A273"/>
  <c r="A269" i="2" s="1"/>
  <c r="Y141" i="5"/>
  <c r="M83" i="6" s="1"/>
  <c r="T141" i="5"/>
  <c r="T139" i="1" s="1"/>
  <c r="A139"/>
  <c r="A135" i="2" s="1"/>
  <c r="Y144" i="5"/>
  <c r="M86" i="6" s="1"/>
  <c r="T144" i="5"/>
  <c r="T142" i="1" s="1"/>
  <c r="A142"/>
  <c r="A138" i="2" s="1"/>
  <c r="Y145" i="5"/>
  <c r="M87" i="6" s="1"/>
  <c r="T145" i="5"/>
  <c r="T143" i="1" s="1"/>
  <c r="A143"/>
  <c r="A139" i="2" s="1"/>
  <c r="Y142" i="5"/>
  <c r="M84" i="6" s="1"/>
  <c r="T142" i="5"/>
  <c r="T140" i="1" s="1"/>
  <c r="A140"/>
  <c r="A136" i="2" s="1"/>
  <c r="Y147" i="5"/>
  <c r="M89" i="6" s="1"/>
  <c r="T147" i="5"/>
  <c r="T145" i="1" s="1"/>
  <c r="A145"/>
  <c r="A141" i="2" s="1"/>
  <c r="Y143" i="5"/>
  <c r="M85" i="6" s="1"/>
  <c r="T143" i="5"/>
  <c r="T141" i="1" s="1"/>
  <c r="A141"/>
  <c r="A137" i="2" s="1"/>
  <c r="Y149" i="5"/>
  <c r="M91" i="6" s="1"/>
  <c r="T149" i="5"/>
  <c r="T147" i="1" s="1"/>
  <c r="A147"/>
  <c r="A143" i="2" s="1"/>
  <c r="M337" i="6"/>
  <c r="T503" i="5"/>
  <c r="T393" i="1" s="1"/>
  <c r="A393"/>
  <c r="A443" i="2" s="1"/>
  <c r="M341" i="6"/>
  <c r="T507" i="5"/>
  <c r="T397" i="1" s="1"/>
  <c r="A397"/>
  <c r="A447" i="2" s="1"/>
  <c r="M214" i="6"/>
  <c r="T326" i="5"/>
  <c r="T270" i="1" s="1"/>
  <c r="A270"/>
  <c r="A266" i="2" s="1"/>
  <c r="M209" i="6"/>
  <c r="T321" i="5"/>
  <c r="T265" i="1" s="1"/>
  <c r="A265"/>
  <c r="A261" i="2" s="1"/>
  <c r="M342" i="6"/>
  <c r="T508" i="5"/>
  <c r="T398" i="1" s="1"/>
  <c r="A398"/>
  <c r="A448" i="2" s="1"/>
  <c r="E390" i="6"/>
  <c r="E389"/>
  <c r="E381"/>
  <c r="E377"/>
  <c r="E385"/>
  <c r="E382"/>
  <c r="E374"/>
  <c r="E399"/>
  <c r="E396"/>
  <c r="E373"/>
  <c r="E378"/>
  <c r="E400"/>
  <c r="W388" i="7"/>
  <c r="W67"/>
  <c r="F385" i="6"/>
  <c r="U441" i="1" s="1"/>
  <c r="F388" i="6"/>
  <c r="U444" i="1" s="1"/>
  <c r="F398" i="6"/>
  <c r="F389"/>
  <c r="F399"/>
  <c r="F392"/>
  <c r="F402"/>
  <c r="F403"/>
  <c r="U459" i="1" s="1"/>
  <c r="F393" i="6"/>
  <c r="F384"/>
  <c r="F396"/>
  <c r="F406"/>
  <c r="U462" i="1" s="1"/>
  <c r="K298" i="6"/>
  <c r="L289"/>
  <c r="K297"/>
  <c r="L288"/>
  <c r="K304"/>
  <c r="L295"/>
  <c r="K292"/>
  <c r="L283"/>
  <c r="K293"/>
  <c r="L284"/>
  <c r="K300"/>
  <c r="L291"/>
  <c r="L285"/>
  <c r="K294"/>
  <c r="K296"/>
  <c r="L287"/>
  <c r="L281"/>
  <c r="K290"/>
  <c r="U325" i="5"/>
  <c r="S324"/>
  <c r="S268" i="1" s="1"/>
  <c r="G264" i="2" s="1"/>
  <c r="A513" i="5"/>
  <c r="G364" i="2"/>
  <c r="A364"/>
  <c r="U504" i="5"/>
  <c r="S503"/>
  <c r="S393" i="1" s="1"/>
  <c r="G443" i="2" s="1"/>
  <c r="S321" i="5"/>
  <c r="S265" i="1" s="1"/>
  <c r="G261" i="2" s="1"/>
  <c r="U322" i="5"/>
  <c r="A510"/>
  <c r="U148"/>
  <c r="S147"/>
  <c r="S145" i="1" s="1"/>
  <c r="G141" i="2" s="1"/>
  <c r="A156" i="5"/>
  <c r="A336"/>
  <c r="S329"/>
  <c r="S273" i="1" s="1"/>
  <c r="G269" i="2" s="1"/>
  <c r="U330" i="5"/>
  <c r="A518"/>
  <c r="A548" i="2"/>
  <c r="G548"/>
  <c r="U324" i="5"/>
  <c r="S323"/>
  <c r="S267" i="1" s="1"/>
  <c r="G263" i="2" s="1"/>
  <c r="A512" i="5"/>
  <c r="A361" i="2"/>
  <c r="G361"/>
  <c r="A151" i="5"/>
  <c r="S142"/>
  <c r="S140" i="1" s="1"/>
  <c r="G136" i="2" s="1"/>
  <c r="U143" i="5"/>
  <c r="A331"/>
  <c r="A541" i="2"/>
  <c r="G541"/>
  <c r="S149" i="5"/>
  <c r="S147" i="1" s="1"/>
  <c r="G143" i="2" s="1"/>
  <c r="U150" i="5"/>
  <c r="A158"/>
  <c r="A338"/>
  <c r="G365" i="2"/>
  <c r="A365"/>
  <c r="S501" i="5"/>
  <c r="S391" i="1" s="1"/>
  <c r="G441" i="2" s="1"/>
  <c r="U502" i="5"/>
  <c r="U149"/>
  <c r="S148"/>
  <c r="S146" i="1" s="1"/>
  <c r="G142" i="2" s="1"/>
  <c r="A337" i="5"/>
  <c r="A157"/>
  <c r="A366" i="2"/>
  <c r="G366"/>
  <c r="A540"/>
  <c r="G540"/>
  <c r="S326" i="5"/>
  <c r="S270" i="1" s="1"/>
  <c r="G266" i="2" s="1"/>
  <c r="U327" i="5"/>
  <c r="A515"/>
  <c r="U509"/>
  <c r="S508"/>
  <c r="S398" i="1" s="1"/>
  <c r="G448" i="2" s="1"/>
  <c r="A543"/>
  <c r="G543"/>
  <c r="S325" i="5"/>
  <c r="S269" i="1" s="1"/>
  <c r="G265" i="2" s="1"/>
  <c r="U326" i="5"/>
  <c r="A514"/>
  <c r="S509"/>
  <c r="S399" i="1" s="1"/>
  <c r="G449" i="2" s="1"/>
  <c r="U510" i="5"/>
  <c r="A545" i="2"/>
  <c r="G545"/>
  <c r="U505" i="5"/>
  <c r="S504"/>
  <c r="S394" i="1" s="1"/>
  <c r="G444" i="2" s="1"/>
  <c r="A542"/>
  <c r="G542"/>
  <c r="S505" i="5"/>
  <c r="S395" i="1" s="1"/>
  <c r="G445" i="2" s="1"/>
  <c r="U506" i="5"/>
  <c r="S322"/>
  <c r="S266" i="1" s="1"/>
  <c r="G262" i="2" s="1"/>
  <c r="U323" i="5"/>
  <c r="A511"/>
  <c r="A360" i="2"/>
  <c r="G360"/>
  <c r="S146" i="5"/>
  <c r="S144" i="1" s="1"/>
  <c r="G140" i="2" s="1"/>
  <c r="U147" i="5"/>
  <c r="A335"/>
  <c r="A155"/>
  <c r="A367" i="2"/>
  <c r="G367"/>
  <c r="U328" i="5"/>
  <c r="S327"/>
  <c r="S271" i="1" s="1"/>
  <c r="G267" i="2" s="1"/>
  <c r="A516" i="5"/>
  <c r="A546" i="2"/>
  <c r="G546"/>
  <c r="A547"/>
  <c r="G547"/>
  <c r="U145" i="5"/>
  <c r="S144"/>
  <c r="S142" i="1" s="1"/>
  <c r="G138" i="2" s="1"/>
  <c r="A333" i="5"/>
  <c r="A153"/>
  <c r="S145"/>
  <c r="S143" i="1" s="1"/>
  <c r="G139" i="2" s="1"/>
  <c r="U146" i="5"/>
  <c r="A154"/>
  <c r="A334"/>
  <c r="A368" i="2"/>
  <c r="G368"/>
  <c r="A152" i="5"/>
  <c r="U144"/>
  <c r="S143"/>
  <c r="S141" i="1" s="1"/>
  <c r="G137" i="2" s="1"/>
  <c r="A332" i="5"/>
  <c r="A544" i="2"/>
  <c r="G544"/>
  <c r="S502" i="5"/>
  <c r="S392" i="1" s="1"/>
  <c r="G442" i="2" s="1"/>
  <c r="U503" i="5"/>
  <c r="A363" i="2"/>
  <c r="G363"/>
  <c r="A362"/>
  <c r="G362"/>
  <c r="S506" i="5"/>
  <c r="S396" i="1" s="1"/>
  <c r="G446" i="2" s="1"/>
  <c r="U507" i="5"/>
  <c r="U329"/>
  <c r="S328"/>
  <c r="S272" i="1" s="1"/>
  <c r="G268" i="2" s="1"/>
  <c r="A517" i="5"/>
  <c r="U508"/>
  <c r="S507"/>
  <c r="S397" i="1" s="1"/>
  <c r="G447" i="2" s="1"/>
  <c r="A150" i="5"/>
  <c r="S141"/>
  <c r="S139" i="1" s="1"/>
  <c r="G135" i="2" s="1"/>
  <c r="U142" i="5"/>
  <c r="A330"/>
  <c r="A73" i="4"/>
  <c r="A58"/>
  <c r="A66"/>
  <c r="A71"/>
  <c r="A65"/>
  <c r="A72"/>
  <c r="A62"/>
  <c r="A70"/>
  <c r="A61"/>
  <c r="A69"/>
  <c r="A63"/>
  <c r="A67"/>
  <c r="A74"/>
  <c r="A64"/>
  <c r="A68"/>
  <c r="A75"/>
  <c r="A76"/>
  <c r="K89" i="3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88"/>
  <c r="M218" i="6" l="1"/>
  <c r="T330" i="5"/>
  <c r="T274" i="1" s="1"/>
  <c r="A274"/>
  <c r="A270" i="2" s="1"/>
  <c r="M345" i="6"/>
  <c r="T511" i="5"/>
  <c r="T401" i="1" s="1"/>
  <c r="A401"/>
  <c r="A451" i="2" s="1"/>
  <c r="M348" i="6"/>
  <c r="T514" i="5"/>
  <c r="T404" i="1" s="1"/>
  <c r="A404"/>
  <c r="A454" i="2" s="1"/>
  <c r="M225" i="6"/>
  <c r="T337" i="5"/>
  <c r="T281" i="1" s="1"/>
  <c r="A281"/>
  <c r="A277" i="2" s="1"/>
  <c r="M352" i="6"/>
  <c r="T518" i="5"/>
  <c r="T408" i="1" s="1"/>
  <c r="A408"/>
  <c r="A458" i="2" s="1"/>
  <c r="Y156" i="5"/>
  <c r="M98" i="6" s="1"/>
  <c r="T156" i="5"/>
  <c r="T154" i="1" s="1"/>
  <c r="A154"/>
  <c r="A150" i="2" s="1"/>
  <c r="Y150" i="5"/>
  <c r="M92" i="6" s="1"/>
  <c r="T150" i="5"/>
  <c r="T148" i="1" s="1"/>
  <c r="A148"/>
  <c r="A144" i="2" s="1"/>
  <c r="M223" i="6"/>
  <c r="T335" i="5"/>
  <c r="T279" i="1" s="1"/>
  <c r="A279"/>
  <c r="A275" i="2" s="1"/>
  <c r="M344" i="6"/>
  <c r="T510" i="5"/>
  <c r="T400" i="1" s="1"/>
  <c r="A400"/>
  <c r="A450" i="2" s="1"/>
  <c r="M347" i="6"/>
  <c r="T513" i="5"/>
  <c r="T403" i="1" s="1"/>
  <c r="A403"/>
  <c r="A453" i="2" s="1"/>
  <c r="M222" i="6"/>
  <c r="T334" i="5"/>
  <c r="T278" i="1" s="1"/>
  <c r="A278"/>
  <c r="A274" i="2" s="1"/>
  <c r="Y153" i="5"/>
  <c r="M95" i="6" s="1"/>
  <c r="T153" i="5"/>
  <c r="T151" i="1" s="1"/>
  <c r="A151"/>
  <c r="A147" i="2" s="1"/>
  <c r="M350" i="6"/>
  <c r="T516" i="5"/>
  <c r="T406" i="1" s="1"/>
  <c r="A406"/>
  <c r="A456" i="2" s="1"/>
  <c r="Y158" i="5"/>
  <c r="M100" i="6" s="1"/>
  <c r="T158" i="5"/>
  <c r="T156" i="1" s="1"/>
  <c r="A156"/>
  <c r="A152" i="2" s="1"/>
  <c r="Y151" i="5"/>
  <c r="M93" i="6" s="1"/>
  <c r="T151" i="5"/>
  <c r="T149" i="1" s="1"/>
  <c r="A149"/>
  <c r="A145" i="2" s="1"/>
  <c r="M349" i="6"/>
  <c r="T515" i="5"/>
  <c r="T405" i="1" s="1"/>
  <c r="A405"/>
  <c r="A455" i="2" s="1"/>
  <c r="M226" i="6"/>
  <c r="T338" i="5"/>
  <c r="T282" i="1" s="1"/>
  <c r="A282"/>
  <c r="A278" i="2" s="1"/>
  <c r="M346" i="6"/>
  <c r="T512" i="5"/>
  <c r="T402" i="1" s="1"/>
  <c r="A402"/>
  <c r="A452" i="2" s="1"/>
  <c r="M220" i="6"/>
  <c r="T332" i="5"/>
  <c r="T276" i="1" s="1"/>
  <c r="A276"/>
  <c r="A272" i="2" s="1"/>
  <c r="Y157" i="5"/>
  <c r="M99" i="6" s="1"/>
  <c r="T157" i="5"/>
  <c r="T155" i="1" s="1"/>
  <c r="A155"/>
  <c r="A151" i="2" s="1"/>
  <c r="M224" i="6"/>
  <c r="T336" i="5"/>
  <c r="T280" i="1" s="1"/>
  <c r="A280"/>
  <c r="A276" i="2" s="1"/>
  <c r="M351" i="6"/>
  <c r="T517" i="5"/>
  <c r="T407" i="1" s="1"/>
  <c r="A407"/>
  <c r="A457" i="2" s="1"/>
  <c r="Y152" i="5"/>
  <c r="M94" i="6" s="1"/>
  <c r="T152" i="5"/>
  <c r="T150" i="1" s="1"/>
  <c r="A150"/>
  <c r="A146" i="2" s="1"/>
  <c r="Y154" i="5"/>
  <c r="M96" i="6" s="1"/>
  <c r="T154" i="5"/>
  <c r="T152" i="1" s="1"/>
  <c r="A152"/>
  <c r="A148" i="2" s="1"/>
  <c r="M221" i="6"/>
  <c r="T333" i="5"/>
  <c r="T277" i="1" s="1"/>
  <c r="A277"/>
  <c r="A273" i="2" s="1"/>
  <c r="Y155" i="5"/>
  <c r="M97" i="6" s="1"/>
  <c r="T155" i="5"/>
  <c r="T153" i="1" s="1"/>
  <c r="A153"/>
  <c r="A149" i="2" s="1"/>
  <c r="M219" i="6"/>
  <c r="T331" i="5"/>
  <c r="T275" i="1" s="1"/>
  <c r="A275"/>
  <c r="A271" i="2" s="1"/>
  <c r="E395" i="6"/>
  <c r="E401"/>
  <c r="E397"/>
  <c r="E405"/>
  <c r="E388"/>
  <c r="E392"/>
  <c r="E398"/>
  <c r="E383"/>
  <c r="E391"/>
  <c r="E387"/>
  <c r="E384"/>
  <c r="E402"/>
  <c r="W68" i="7"/>
  <c r="F404" i="6"/>
  <c r="U460" i="1" s="1"/>
  <c r="F394" i="6"/>
  <c r="U450" i="1" s="1"/>
  <c r="F405" i="6"/>
  <c r="F395"/>
  <c r="U451" i="1" s="1"/>
  <c r="L290" i="6"/>
  <c r="K299"/>
  <c r="L294"/>
  <c r="K303"/>
  <c r="L296"/>
  <c r="K305"/>
  <c r="K309"/>
  <c r="L300"/>
  <c r="L292"/>
  <c r="K301"/>
  <c r="K306"/>
  <c r="L297"/>
  <c r="K302"/>
  <c r="L293"/>
  <c r="K313"/>
  <c r="L304"/>
  <c r="K307"/>
  <c r="L298"/>
  <c r="A164" i="5"/>
  <c r="U156"/>
  <c r="S155"/>
  <c r="S153" i="1" s="1"/>
  <c r="G149" i="2" s="1"/>
  <c r="A344" i="5"/>
  <c r="U512"/>
  <c r="S511"/>
  <c r="S401" i="1" s="1"/>
  <c r="G451" i="2" s="1"/>
  <c r="U516" i="5"/>
  <c r="S515"/>
  <c r="S405" i="1" s="1"/>
  <c r="G455" i="2" s="1"/>
  <c r="A167" i="5"/>
  <c r="S158"/>
  <c r="S156" i="1" s="1"/>
  <c r="G152" i="2" s="1"/>
  <c r="U159" i="5"/>
  <c r="A347"/>
  <c r="G190" i="2"/>
  <c r="A190"/>
  <c r="A369"/>
  <c r="G369"/>
  <c r="S513" i="5"/>
  <c r="S403" i="1" s="1"/>
  <c r="G453" i="2" s="1"/>
  <c r="U514" i="5"/>
  <c r="A376" i="2"/>
  <c r="G376"/>
  <c r="A550"/>
  <c r="G550"/>
  <c r="S153" i="5"/>
  <c r="S151" i="1" s="1"/>
  <c r="G147" i="2" s="1"/>
  <c r="U154" i="5"/>
  <c r="A162"/>
  <c r="A342"/>
  <c r="S514"/>
  <c r="S404" i="1" s="1"/>
  <c r="G454" i="2" s="1"/>
  <c r="U515" i="5"/>
  <c r="A196" i="2"/>
  <c r="G196"/>
  <c r="A195"/>
  <c r="G195"/>
  <c r="G555"/>
  <c r="A555"/>
  <c r="S517" i="5"/>
  <c r="S407" i="1" s="1"/>
  <c r="G457" i="2" s="1"/>
  <c r="U518" i="5"/>
  <c r="G191" i="2"/>
  <c r="A191"/>
  <c r="U153" i="5"/>
  <c r="S152"/>
  <c r="S150" i="1" s="1"/>
  <c r="G146" i="2" s="1"/>
  <c r="A341" i="5"/>
  <c r="A161"/>
  <c r="A163"/>
  <c r="S154"/>
  <c r="S152" i="1" s="1"/>
  <c r="G148" i="2" s="1"/>
  <c r="U155" i="5"/>
  <c r="A343"/>
  <c r="A375" i="2"/>
  <c r="G375"/>
  <c r="A194"/>
  <c r="G194"/>
  <c r="A556"/>
  <c r="G556"/>
  <c r="S337" i="5"/>
  <c r="S281" i="1" s="1"/>
  <c r="G277" i="2" s="1"/>
  <c r="U338" i="5"/>
  <c r="A526"/>
  <c r="A165"/>
  <c r="U157"/>
  <c r="S156"/>
  <c r="S154" i="1" s="1"/>
  <c r="G150" i="2" s="1"/>
  <c r="A345" i="5"/>
  <c r="S330"/>
  <c r="S274" i="1" s="1"/>
  <c r="G270" i="2" s="1"/>
  <c r="U331" i="5"/>
  <c r="A519"/>
  <c r="S333"/>
  <c r="S277" i="1" s="1"/>
  <c r="G273" i="2" s="1"/>
  <c r="U334" i="5"/>
  <c r="A522"/>
  <c r="G373" i="2"/>
  <c r="A373"/>
  <c r="U152" i="5"/>
  <c r="S151"/>
  <c r="S149" i="1" s="1"/>
  <c r="G145" i="2" s="1"/>
  <c r="A340" i="5"/>
  <c r="A160"/>
  <c r="A371" i="2"/>
  <c r="G371"/>
  <c r="S518" i="5"/>
  <c r="S408" i="1" s="1"/>
  <c r="G458" i="2" s="1"/>
  <c r="U519" i="5"/>
  <c r="A551" i="2"/>
  <c r="G551"/>
  <c r="A554"/>
  <c r="G554"/>
  <c r="A193"/>
  <c r="G193"/>
  <c r="A557"/>
  <c r="G557"/>
  <c r="S338" i="5"/>
  <c r="S282" i="1" s="1"/>
  <c r="G278" i="2" s="1"/>
  <c r="U339" i="5"/>
  <c r="A527"/>
  <c r="U332"/>
  <c r="S331"/>
  <c r="S275" i="1" s="1"/>
  <c r="G271" i="2" s="1"/>
  <c r="A520" i="5"/>
  <c r="U513"/>
  <c r="S512"/>
  <c r="S402" i="1" s="1"/>
  <c r="G452" i="2" s="1"/>
  <c r="S510" i="5"/>
  <c r="S400" i="1" s="1"/>
  <c r="G450" i="2" s="1"/>
  <c r="U511" i="5"/>
  <c r="A189" i="2"/>
  <c r="G189"/>
  <c r="S150" i="5"/>
  <c r="S148" i="1" s="1"/>
  <c r="G144" i="2" s="1"/>
  <c r="U151" i="5"/>
  <c r="A339"/>
  <c r="A159"/>
  <c r="U333"/>
  <c r="S332"/>
  <c r="S276" i="1" s="1"/>
  <c r="G272" i="2" s="1"/>
  <c r="A521" i="5"/>
  <c r="S334"/>
  <c r="S278" i="1" s="1"/>
  <c r="G274" i="2" s="1"/>
  <c r="U335" i="5"/>
  <c r="A523"/>
  <c r="A192" i="2"/>
  <c r="G192"/>
  <c r="U517" i="5"/>
  <c r="S516"/>
  <c r="S406" i="1" s="1"/>
  <c r="G456" i="2" s="1"/>
  <c r="U336" i="5"/>
  <c r="S335"/>
  <c r="S279" i="1" s="1"/>
  <c r="G275" i="2" s="1"/>
  <c r="A524" i="5"/>
  <c r="A370" i="2"/>
  <c r="G370"/>
  <c r="A553"/>
  <c r="G553"/>
  <c r="A552"/>
  <c r="G552"/>
  <c r="A374"/>
  <c r="G374"/>
  <c r="S157" i="5"/>
  <c r="S155" i="1" s="1"/>
  <c r="G151" i="2" s="1"/>
  <c r="U158" i="5"/>
  <c r="A166"/>
  <c r="A346"/>
  <c r="A549" i="2"/>
  <c r="G549"/>
  <c r="A197"/>
  <c r="G197"/>
  <c r="A377"/>
  <c r="G377"/>
  <c r="U337" i="5"/>
  <c r="S336"/>
  <c r="S280" i="1" s="1"/>
  <c r="G276" i="2" s="1"/>
  <c r="A525" i="5"/>
  <c r="G372" i="2"/>
  <c r="A372"/>
  <c r="C6" i="1"/>
  <c r="B2" i="2"/>
  <c r="E39" i="3"/>
  <c r="E40"/>
  <c r="E41"/>
  <c r="E42"/>
  <c r="E43"/>
  <c r="E44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38"/>
  <c r="D39"/>
  <c r="D40"/>
  <c r="G40" s="1"/>
  <c r="D41"/>
  <c r="D42"/>
  <c r="G42" s="1"/>
  <c r="D43"/>
  <c r="D44"/>
  <c r="G44" s="1"/>
  <c r="D45"/>
  <c r="D46"/>
  <c r="G46" s="1"/>
  <c r="D47"/>
  <c r="D48"/>
  <c r="G48" s="1"/>
  <c r="D51"/>
  <c r="D52"/>
  <c r="G52" s="1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38"/>
  <c r="C73"/>
  <c r="F73" s="1"/>
  <c r="C72"/>
  <c r="F72" s="1"/>
  <c r="C71"/>
  <c r="F71" s="1"/>
  <c r="C70"/>
  <c r="F70" s="1"/>
  <c r="C69"/>
  <c r="F69" s="1"/>
  <c r="C68"/>
  <c r="F68" s="1"/>
  <c r="C67"/>
  <c r="F67" s="1"/>
  <c r="C66"/>
  <c r="F66" s="1"/>
  <c r="C65"/>
  <c r="F65" s="1"/>
  <c r="C64"/>
  <c r="F64" s="1"/>
  <c r="C63"/>
  <c r="F63" s="1"/>
  <c r="C62"/>
  <c r="F62" s="1"/>
  <c r="C61"/>
  <c r="F61" s="1"/>
  <c r="C60"/>
  <c r="F60" s="1"/>
  <c r="C59"/>
  <c r="F59" s="1"/>
  <c r="C58"/>
  <c r="F58" s="1"/>
  <c r="C57"/>
  <c r="F57" s="1"/>
  <c r="C56"/>
  <c r="F56" s="1"/>
  <c r="C55"/>
  <c r="F55" s="1"/>
  <c r="C54"/>
  <c r="F54" s="1"/>
  <c r="A53"/>
  <c r="D53" s="1"/>
  <c r="C52"/>
  <c r="F52" s="1"/>
  <c r="C51"/>
  <c r="F51" s="1"/>
  <c r="A50"/>
  <c r="C50" s="1"/>
  <c r="F50" s="1"/>
  <c r="A49"/>
  <c r="D49" s="1"/>
  <c r="C48"/>
  <c r="F48" s="1"/>
  <c r="C47"/>
  <c r="F47" s="1"/>
  <c r="C46"/>
  <c r="F46" s="1"/>
  <c r="B45"/>
  <c r="C45" s="1"/>
  <c r="F45" s="1"/>
  <c r="C44"/>
  <c r="F44" s="1"/>
  <c r="C43"/>
  <c r="F43" s="1"/>
  <c r="C42"/>
  <c r="F42" s="1"/>
  <c r="C41"/>
  <c r="F41" s="1"/>
  <c r="C40"/>
  <c r="F40" s="1"/>
  <c r="C39"/>
  <c r="F39" s="1"/>
  <c r="C38"/>
  <c r="F38" s="1"/>
  <c r="M355" i="6" l="1"/>
  <c r="T521" i="5"/>
  <c r="T411" i="1" s="1"/>
  <c r="A411"/>
  <c r="A461" i="2" s="1"/>
  <c r="M227" i="6"/>
  <c r="T339" i="5"/>
  <c r="T283" i="1" s="1"/>
  <c r="A283"/>
  <c r="A279" i="2" s="1"/>
  <c r="M361" i="6"/>
  <c r="T527" i="5"/>
  <c r="T417" i="1" s="1"/>
  <c r="A417"/>
  <c r="A467" i="2" s="1"/>
  <c r="M228" i="6"/>
  <c r="T340" i="5"/>
  <c r="T284" i="1" s="1"/>
  <c r="A284"/>
  <c r="A280" i="2" s="1"/>
  <c r="M353" i="6"/>
  <c r="T519" i="5"/>
  <c r="T409" i="1" s="1"/>
  <c r="A409"/>
  <c r="A459" i="2" s="1"/>
  <c r="M231" i="6"/>
  <c r="T343" i="5"/>
  <c r="T287" i="1" s="1"/>
  <c r="A287"/>
  <c r="A283" i="2" s="1"/>
  <c r="M103" i="6"/>
  <c r="T161" i="5"/>
  <c r="T159" i="1" s="1"/>
  <c r="A159"/>
  <c r="A155" i="2" s="1"/>
  <c r="M230" i="6"/>
  <c r="T342" i="5"/>
  <c r="T286" i="1" s="1"/>
  <c r="A286"/>
  <c r="A282" i="2" s="1"/>
  <c r="M108" i="6"/>
  <c r="T166" i="5"/>
  <c r="T164" i="1" s="1"/>
  <c r="A164"/>
  <c r="A160" i="2" s="1"/>
  <c r="M101" i="6"/>
  <c r="T159" i="5"/>
  <c r="T157" i="1" s="1"/>
  <c r="A157"/>
  <c r="A153" i="2" s="1"/>
  <c r="M102" i="6"/>
  <c r="T160" i="5"/>
  <c r="T158" i="1" s="1"/>
  <c r="A158"/>
  <c r="A154" i="2" s="1"/>
  <c r="M233" i="6"/>
  <c r="T345" i="5"/>
  <c r="T289" i="1" s="1"/>
  <c r="A289"/>
  <c r="A285" i="2" s="1"/>
  <c r="M360" i="6"/>
  <c r="T526" i="5"/>
  <c r="T416" i="1" s="1"/>
  <c r="A416"/>
  <c r="A466" i="2" s="1"/>
  <c r="M105" i="6"/>
  <c r="T163" i="5"/>
  <c r="T161" i="1" s="1"/>
  <c r="A161"/>
  <c r="A157" i="2" s="1"/>
  <c r="M234" i="6"/>
  <c r="T346" i="5"/>
  <c r="T290" i="1" s="1"/>
  <c r="A290"/>
  <c r="A286" i="2" s="1"/>
  <c r="M358" i="6"/>
  <c r="T524" i="5"/>
  <c r="T414" i="1" s="1"/>
  <c r="A414"/>
  <c r="A464" i="2" s="1"/>
  <c r="M107" i="6"/>
  <c r="T165" i="5"/>
  <c r="T163" i="1" s="1"/>
  <c r="A163"/>
  <c r="A159" i="2" s="1"/>
  <c r="M235" i="6"/>
  <c r="T347" i="5"/>
  <c r="T291" i="1" s="1"/>
  <c r="A291"/>
  <c r="A287" i="2" s="1"/>
  <c r="M232" i="6"/>
  <c r="T344" i="5"/>
  <c r="T288" i="1" s="1"/>
  <c r="A288"/>
  <c r="A284" i="2" s="1"/>
  <c r="M359" i="6"/>
  <c r="T525" i="5"/>
  <c r="T415" i="1" s="1"/>
  <c r="A415"/>
  <c r="A465" i="2" s="1"/>
  <c r="M357" i="6"/>
  <c r="T523" i="5"/>
  <c r="T413" i="1" s="1"/>
  <c r="A413"/>
  <c r="A463" i="2" s="1"/>
  <c r="M354" i="6"/>
  <c r="T520" i="5"/>
  <c r="T410" i="1" s="1"/>
  <c r="A410"/>
  <c r="A460" i="2" s="1"/>
  <c r="M356" i="6"/>
  <c r="T522" i="5"/>
  <c r="T412" i="1" s="1"/>
  <c r="A412"/>
  <c r="A462" i="2" s="1"/>
  <c r="M229" i="6"/>
  <c r="T341" i="5"/>
  <c r="T285" i="1" s="1"/>
  <c r="A285"/>
  <c r="A281" i="2" s="1"/>
  <c r="M104" i="6"/>
  <c r="T162" i="5"/>
  <c r="T160" i="1" s="1"/>
  <c r="A160"/>
  <c r="A156" i="2" s="1"/>
  <c r="M109" i="6"/>
  <c r="T167" i="5"/>
  <c r="T165" i="1" s="1"/>
  <c r="A165"/>
  <c r="A161" i="2" s="1"/>
  <c r="M106" i="6"/>
  <c r="T164" i="5"/>
  <c r="T162" i="1" s="1"/>
  <c r="A162"/>
  <c r="A158" i="2" s="1"/>
  <c r="E394" i="6"/>
  <c r="E403"/>
  <c r="E404"/>
  <c r="E393"/>
  <c r="W69" i="7"/>
  <c r="L299" i="6"/>
  <c r="K308"/>
  <c r="L306"/>
  <c r="K315"/>
  <c r="K316"/>
  <c r="L307"/>
  <c r="L302"/>
  <c r="K311"/>
  <c r="L301"/>
  <c r="K310"/>
  <c r="K314"/>
  <c r="L305"/>
  <c r="L313"/>
  <c r="K322"/>
  <c r="L309"/>
  <c r="K318"/>
  <c r="L303"/>
  <c r="K312"/>
  <c r="A384" i="2"/>
  <c r="G384"/>
  <c r="U525" i="5"/>
  <c r="S524"/>
  <c r="S414" i="1" s="1"/>
  <c r="G464" i="2" s="1"/>
  <c r="A382"/>
  <c r="G382"/>
  <c r="A204"/>
  <c r="G204"/>
  <c r="U344" i="5"/>
  <c r="S343"/>
  <c r="S287" i="1" s="1"/>
  <c r="G283" i="2" s="1"/>
  <c r="A532" i="5"/>
  <c r="A562" i="2"/>
  <c r="G562"/>
  <c r="A563"/>
  <c r="G563"/>
  <c r="A559"/>
  <c r="G559"/>
  <c r="S525" i="5"/>
  <c r="S415" i="1" s="1"/>
  <c r="G465" i="2" s="1"/>
  <c r="U526" i="5"/>
  <c r="S166"/>
  <c r="S164" i="1" s="1"/>
  <c r="G160" i="2" s="1"/>
  <c r="U167" i="5"/>
  <c r="A175"/>
  <c r="A355"/>
  <c r="U524"/>
  <c r="S523"/>
  <c r="S413" i="1" s="1"/>
  <c r="G463" i="2" s="1"/>
  <c r="G198"/>
  <c r="A198"/>
  <c r="S345" i="5"/>
  <c r="S289" i="1" s="1"/>
  <c r="G285" i="2" s="1"/>
  <c r="U346" i="5"/>
  <c r="A534"/>
  <c r="S341"/>
  <c r="S285" i="1" s="1"/>
  <c r="G281" i="2" s="1"/>
  <c r="U342" i="5"/>
  <c r="A530"/>
  <c r="U168"/>
  <c r="S167"/>
  <c r="S165" i="1" s="1"/>
  <c r="G161" i="2" s="1"/>
  <c r="A176" i="5"/>
  <c r="A356"/>
  <c r="S346"/>
  <c r="S290" i="1" s="1"/>
  <c r="G286" i="2" s="1"/>
  <c r="U347" i="5"/>
  <c r="A535"/>
  <c r="A379" i="2"/>
  <c r="G379"/>
  <c r="U528" i="5"/>
  <c r="S527"/>
  <c r="S417" i="1" s="1"/>
  <c r="G467" i="2" s="1"/>
  <c r="U341" i="5"/>
  <c r="S340"/>
  <c r="S284" i="1" s="1"/>
  <c r="G280" i="2" s="1"/>
  <c r="A529" i="5"/>
  <c r="G381" i="2"/>
  <c r="A381"/>
  <c r="U520" i="5"/>
  <c r="S519"/>
  <c r="S409" i="1" s="1"/>
  <c r="G459" i="2" s="1"/>
  <c r="A385"/>
  <c r="G385"/>
  <c r="S161" i="5"/>
  <c r="S159" i="1" s="1"/>
  <c r="G155" i="2" s="1"/>
  <c r="U162" i="5"/>
  <c r="A170"/>
  <c r="A350"/>
  <c r="A565" i="2"/>
  <c r="G565"/>
  <c r="A201"/>
  <c r="G201"/>
  <c r="A561"/>
  <c r="G561"/>
  <c r="U348" i="5"/>
  <c r="S347"/>
  <c r="S291" i="1" s="1"/>
  <c r="G287" i="2" s="1"/>
  <c r="A536" i="5"/>
  <c r="A383" i="2"/>
  <c r="G383"/>
  <c r="A564"/>
  <c r="G564"/>
  <c r="G380"/>
  <c r="A380"/>
  <c r="A168" i="5"/>
  <c r="U160"/>
  <c r="S159"/>
  <c r="S157" i="1" s="1"/>
  <c r="G153" i="2" s="1"/>
  <c r="A348" i="5"/>
  <c r="A558" i="2"/>
  <c r="G558"/>
  <c r="A560"/>
  <c r="G560"/>
  <c r="U521" i="5"/>
  <c r="S520"/>
  <c r="S410" i="1" s="1"/>
  <c r="G460" i="2" s="1"/>
  <c r="A169" i="5"/>
  <c r="U161"/>
  <c r="S160"/>
  <c r="S158" i="1" s="1"/>
  <c r="G154" i="2" s="1"/>
  <c r="A349" i="5"/>
  <c r="S522"/>
  <c r="S412" i="1" s="1"/>
  <c r="G462" i="2" s="1"/>
  <c r="U523" i="5"/>
  <c r="S526"/>
  <c r="S416" i="1" s="1"/>
  <c r="G466" i="2" s="1"/>
  <c r="U527" i="5"/>
  <c r="G202" i="2"/>
  <c r="A202"/>
  <c r="U164" i="5"/>
  <c r="S163"/>
  <c r="S161" i="1" s="1"/>
  <c r="G157" i="2" s="1"/>
  <c r="A352" i="5"/>
  <c r="A172"/>
  <c r="S162"/>
  <c r="S160" i="1" s="1"/>
  <c r="G156" i="2" s="1"/>
  <c r="U163" i="5"/>
  <c r="A351"/>
  <c r="A171"/>
  <c r="A203" i="2"/>
  <c r="G203"/>
  <c r="U165" i="5"/>
  <c r="S164"/>
  <c r="S162" i="1" s="1"/>
  <c r="G158" i="2" s="1"/>
  <c r="A353" i="5"/>
  <c r="A173"/>
  <c r="A205" i="2"/>
  <c r="G205"/>
  <c r="S521" i="5"/>
  <c r="S411" i="1" s="1"/>
  <c r="G461" i="2" s="1"/>
  <c r="U522" i="5"/>
  <c r="S165"/>
  <c r="S163" i="1" s="1"/>
  <c r="G159" i="2" s="1"/>
  <c r="U166" i="5"/>
  <c r="A174"/>
  <c r="A354"/>
  <c r="A200" i="2"/>
  <c r="G200"/>
  <c r="S342" i="5"/>
  <c r="S286" i="1" s="1"/>
  <c r="G282" i="2" s="1"/>
  <c r="U343" i="5"/>
  <c r="A531"/>
  <c r="U345"/>
  <c r="S344"/>
  <c r="S288" i="1" s="1"/>
  <c r="G284" i="2" s="1"/>
  <c r="A533" i="5"/>
  <c r="A386" i="2"/>
  <c r="G386"/>
  <c r="A566"/>
  <c r="G566"/>
  <c r="G199"/>
  <c r="A199"/>
  <c r="A378"/>
  <c r="G378"/>
  <c r="G206"/>
  <c r="A206"/>
  <c r="U340" i="5"/>
  <c r="S339"/>
  <c r="S283" i="1" s="1"/>
  <c r="G279" i="2" s="1"/>
  <c r="A528" i="5"/>
  <c r="G73" i="3"/>
  <c r="G69"/>
  <c r="G65"/>
  <c r="G63"/>
  <c r="G61"/>
  <c r="G57"/>
  <c r="G55"/>
  <c r="G38"/>
  <c r="G72"/>
  <c r="G70"/>
  <c r="G68"/>
  <c r="G66"/>
  <c r="G64"/>
  <c r="G62"/>
  <c r="G60"/>
  <c r="G58"/>
  <c r="G56"/>
  <c r="G54"/>
  <c r="G51"/>
  <c r="G47"/>
  <c r="G45"/>
  <c r="G43"/>
  <c r="G41"/>
  <c r="G39"/>
  <c r="G49"/>
  <c r="G71"/>
  <c r="G67"/>
  <c r="G59"/>
  <c r="D50"/>
  <c r="G50" s="1"/>
  <c r="C49"/>
  <c r="F49" s="1"/>
  <c r="C53"/>
  <c r="F53" s="1"/>
  <c r="G53" s="1"/>
  <c r="E45"/>
  <c r="N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"/>
  <c r="M115" i="6" l="1"/>
  <c r="T173" i="5"/>
  <c r="T171" i="1" s="1"/>
  <c r="A171"/>
  <c r="A167" i="2" s="1"/>
  <c r="M237" i="6"/>
  <c r="T349" i="5"/>
  <c r="T293" i="1" s="1"/>
  <c r="A293"/>
  <c r="A289" i="2" s="1"/>
  <c r="M368" i="6"/>
  <c r="T534" i="5"/>
  <c r="T424" i="1" s="1"/>
  <c r="A424"/>
  <c r="A474" i="2" s="1"/>
  <c r="M362" i="6"/>
  <c r="T528" i="5"/>
  <c r="T418" i="1" s="1"/>
  <c r="A418"/>
  <c r="A468" i="2" s="1"/>
  <c r="M365" i="6"/>
  <c r="T531" i="5"/>
  <c r="T421" i="1" s="1"/>
  <c r="A421"/>
  <c r="A471" i="2" s="1"/>
  <c r="M240" i="6"/>
  <c r="T352" i="5"/>
  <c r="T296" i="1" s="1"/>
  <c r="A296"/>
  <c r="A292" i="2" s="1"/>
  <c r="M363" i="6"/>
  <c r="T529" i="5"/>
  <c r="T419" i="1" s="1"/>
  <c r="A419"/>
  <c r="A469" i="2" s="1"/>
  <c r="M114" i="6"/>
  <c r="T172" i="5"/>
  <c r="T170" i="1" s="1"/>
  <c r="A170"/>
  <c r="A166" i="2" s="1"/>
  <c r="M236" i="6"/>
  <c r="T348" i="5"/>
  <c r="T292" i="1" s="1"/>
  <c r="A292"/>
  <c r="A288" i="2" s="1"/>
  <c r="M369" i="6"/>
  <c r="T535" i="5"/>
  <c r="T425" i="1" s="1"/>
  <c r="A425"/>
  <c r="A475" i="2" s="1"/>
  <c r="M118" i="6"/>
  <c r="T176" i="5"/>
  <c r="T174" i="1" s="1"/>
  <c r="A174"/>
  <c r="A170" i="2" s="1"/>
  <c r="M367" i="6"/>
  <c r="T533" i="5"/>
  <c r="T423" i="1" s="1"/>
  <c r="A423"/>
  <c r="A473" i="2" s="1"/>
  <c r="M242" i="6"/>
  <c r="T354" i="5"/>
  <c r="T298" i="1" s="1"/>
  <c r="A298"/>
  <c r="A294" i="2" s="1"/>
  <c r="M370" i="6"/>
  <c r="T536" i="5"/>
  <c r="T426" i="1" s="1"/>
  <c r="A426"/>
  <c r="A476" i="2" s="1"/>
  <c r="M117" i="6"/>
  <c r="T175" i="5"/>
  <c r="T173" i="1" s="1"/>
  <c r="A173"/>
  <c r="A169" i="2" s="1"/>
  <c r="M239" i="6"/>
  <c r="T351" i="5"/>
  <c r="T295" i="1" s="1"/>
  <c r="A295"/>
  <c r="A291" i="2" s="1"/>
  <c r="M111" i="6"/>
  <c r="T169" i="5"/>
  <c r="T167" i="1" s="1"/>
  <c r="A167"/>
  <c r="A163" i="2" s="1"/>
  <c r="M243" i="6"/>
  <c r="T355" i="5"/>
  <c r="T299" i="1" s="1"/>
  <c r="A299"/>
  <c r="A295" i="2" s="1"/>
  <c r="M366" i="6"/>
  <c r="T532" i="5"/>
  <c r="T422" i="1" s="1"/>
  <c r="A422"/>
  <c r="A472" i="2" s="1"/>
  <c r="M113" i="6"/>
  <c r="T171" i="5"/>
  <c r="T169" i="1" s="1"/>
  <c r="A169"/>
  <c r="A165" i="2" s="1"/>
  <c r="M112" i="6"/>
  <c r="T170" i="5"/>
  <c r="T168" i="1" s="1"/>
  <c r="A168"/>
  <c r="A164" i="2" s="1"/>
  <c r="M116" i="6"/>
  <c r="T174" i="5"/>
  <c r="T172" i="1" s="1"/>
  <c r="A172"/>
  <c r="A168" i="2" s="1"/>
  <c r="M241" i="6"/>
  <c r="T353" i="5"/>
  <c r="T297" i="1" s="1"/>
  <c r="A297"/>
  <c r="A293" i="2" s="1"/>
  <c r="M110" i="6"/>
  <c r="T168" i="5"/>
  <c r="T166" i="1" s="1"/>
  <c r="A166"/>
  <c r="A162" i="2" s="1"/>
  <c r="M238" i="6"/>
  <c r="T350" i="5"/>
  <c r="T294" i="1" s="1"/>
  <c r="A294"/>
  <c r="A290" i="2" s="1"/>
  <c r="M244" i="6"/>
  <c r="T356" i="5"/>
  <c r="T300" i="1" s="1"/>
  <c r="A300"/>
  <c r="A296" i="2" s="1"/>
  <c r="M364" i="6"/>
  <c r="T530" i="5"/>
  <c r="T420" i="1" s="1"/>
  <c r="A420"/>
  <c r="A470" i="2" s="1"/>
  <c r="W70" i="7"/>
  <c r="L316" i="6"/>
  <c r="K325"/>
  <c r="L312"/>
  <c r="K321"/>
  <c r="K331"/>
  <c r="L322"/>
  <c r="K319"/>
  <c r="L310"/>
  <c r="K317"/>
  <c r="L308"/>
  <c r="L314"/>
  <c r="K323"/>
  <c r="K327"/>
  <c r="L318"/>
  <c r="L311"/>
  <c r="K320"/>
  <c r="L315"/>
  <c r="K324"/>
  <c r="A387" i="2"/>
  <c r="G387"/>
  <c r="G210"/>
  <c r="A210"/>
  <c r="A574"/>
  <c r="G574"/>
  <c r="S349" i="5"/>
  <c r="S293" i="1" s="1"/>
  <c r="G289" i="2" s="1"/>
  <c r="U350" i="5"/>
  <c r="A538"/>
  <c r="U529"/>
  <c r="S528"/>
  <c r="S418" i="1" s="1"/>
  <c r="G468" i="2" s="1"/>
  <c r="A392"/>
  <c r="G392"/>
  <c r="U532" i="5"/>
  <c r="S531"/>
  <c r="S421" i="1" s="1"/>
  <c r="G471" i="2" s="1"/>
  <c r="S174" i="5"/>
  <c r="S172" i="1" s="1"/>
  <c r="G168" i="2" s="1"/>
  <c r="U175" i="5"/>
  <c r="A363"/>
  <c r="A183"/>
  <c r="S353"/>
  <c r="S297" i="1" s="1"/>
  <c r="G293" i="2" s="1"/>
  <c r="U354" i="5"/>
  <c r="A542"/>
  <c r="U352"/>
  <c r="S351"/>
  <c r="S295" i="1" s="1"/>
  <c r="G291" i="2" s="1"/>
  <c r="A540" i="5"/>
  <c r="G207" i="2"/>
  <c r="A207"/>
  <c r="U169" i="5"/>
  <c r="S168"/>
  <c r="S166" i="1" s="1"/>
  <c r="G162" i="2" s="1"/>
  <c r="A357" i="5"/>
  <c r="A177"/>
  <c r="A395" i="2"/>
  <c r="G395"/>
  <c r="A209"/>
  <c r="G209"/>
  <c r="S529" i="5"/>
  <c r="S419" i="1" s="1"/>
  <c r="G469" i="2" s="1"/>
  <c r="U530" i="5"/>
  <c r="G394" i="2"/>
  <c r="A394"/>
  <c r="U357" i="5"/>
  <c r="S356"/>
  <c r="S300" i="1" s="1"/>
  <c r="G296" i="2" s="1"/>
  <c r="A545" i="5"/>
  <c r="G393" i="2"/>
  <c r="A393"/>
  <c r="G214"/>
  <c r="A214"/>
  <c r="A573"/>
  <c r="G573"/>
  <c r="S533" i="5"/>
  <c r="S423" i="1" s="1"/>
  <c r="G473" i="2" s="1"/>
  <c r="U534" i="5"/>
  <c r="S354"/>
  <c r="S298" i="1" s="1"/>
  <c r="G294" i="2" s="1"/>
  <c r="U355" i="5"/>
  <c r="A543"/>
  <c r="A182"/>
  <c r="S173"/>
  <c r="S171" i="1" s="1"/>
  <c r="G167" i="2" s="1"/>
  <c r="U174" i="5"/>
  <c r="A362"/>
  <c r="A180"/>
  <c r="U172"/>
  <c r="S171"/>
  <c r="S169" i="1" s="1"/>
  <c r="G165" i="2" s="1"/>
  <c r="A360" i="5"/>
  <c r="A211" i="2"/>
  <c r="G211"/>
  <c r="A568"/>
  <c r="G568"/>
  <c r="U349" i="5"/>
  <c r="S348"/>
  <c r="S292" i="1" s="1"/>
  <c r="G288" i="2" s="1"/>
  <c r="A537" i="5"/>
  <c r="U537"/>
  <c r="S536"/>
  <c r="S426" i="1" s="1"/>
  <c r="G476" i="2" s="1"/>
  <c r="S170" i="5"/>
  <c r="S168" i="1" s="1"/>
  <c r="G164" i="2" s="1"/>
  <c r="U171" i="5"/>
  <c r="A359"/>
  <c r="A179"/>
  <c r="U536"/>
  <c r="S535"/>
  <c r="S425" i="1" s="1"/>
  <c r="G475" i="2" s="1"/>
  <c r="G389"/>
  <c r="A389"/>
  <c r="S534" i="5"/>
  <c r="S424" i="1" s="1"/>
  <c r="G474" i="2" s="1"/>
  <c r="U535" i="5"/>
  <c r="A184"/>
  <c r="U176"/>
  <c r="S175"/>
  <c r="S173" i="1" s="1"/>
  <c r="G169" i="2" s="1"/>
  <c r="A364" i="5"/>
  <c r="A391" i="2"/>
  <c r="G391"/>
  <c r="A572"/>
  <c r="G572"/>
  <c r="U353" i="5"/>
  <c r="S352"/>
  <c r="S296" i="1" s="1"/>
  <c r="G292" i="2" s="1"/>
  <c r="A541" i="5"/>
  <c r="A208" i="2"/>
  <c r="G208"/>
  <c r="S169" i="5"/>
  <c r="S167" i="1" s="1"/>
  <c r="G163" i="2" s="1"/>
  <c r="U170" i="5"/>
  <c r="A178"/>
  <c r="A358"/>
  <c r="S350"/>
  <c r="S294" i="1" s="1"/>
  <c r="G290" i="2" s="1"/>
  <c r="U351" i="5"/>
  <c r="A539"/>
  <c r="A567" i="2"/>
  <c r="G567"/>
  <c r="G215"/>
  <c r="A215"/>
  <c r="S530" i="5"/>
  <c r="S420" i="1" s="1"/>
  <c r="G470" i="2" s="1"/>
  <c r="U531" i="5"/>
  <c r="A571" i="2"/>
  <c r="G571"/>
  <c r="U356" i="5"/>
  <c r="S355"/>
  <c r="S299" i="1" s="1"/>
  <c r="G295" i="2" s="1"/>
  <c r="A544" i="5"/>
  <c r="U533"/>
  <c r="S532"/>
  <c r="S422" i="1" s="1"/>
  <c r="G472" i="2" s="1"/>
  <c r="A390"/>
  <c r="G390"/>
  <c r="A213"/>
  <c r="G213"/>
  <c r="A569"/>
  <c r="G569"/>
  <c r="A212"/>
  <c r="G212"/>
  <c r="A181" i="5"/>
  <c r="U173"/>
  <c r="S172"/>
  <c r="S170" i="1" s="1"/>
  <c r="G166" i="2" s="1"/>
  <c r="A361" i="5"/>
  <c r="A570" i="2"/>
  <c r="G570"/>
  <c r="G388"/>
  <c r="A388"/>
  <c r="A575"/>
  <c r="G575"/>
  <c r="A185" i="5"/>
  <c r="U177"/>
  <c r="S176"/>
  <c r="S174" i="1" s="1"/>
  <c r="G170" i="2" s="1"/>
  <c r="A365" i="5"/>
  <c r="E2" i="2"/>
  <c r="D2"/>
  <c r="C2"/>
  <c r="A2"/>
  <c r="M121" i="6" l="1"/>
  <c r="T179" i="5"/>
  <c r="T177" i="1" s="1"/>
  <c r="A177"/>
  <c r="A173" i="2" s="1"/>
  <c r="M122" i="6"/>
  <c r="T180" i="5"/>
  <c r="T178" i="1" s="1"/>
  <c r="A178"/>
  <c r="A174" i="2" s="1"/>
  <c r="M376" i="6"/>
  <c r="T542" i="5"/>
  <c r="T432" i="1" s="1"/>
  <c r="A432"/>
  <c r="A482" i="2" s="1"/>
  <c r="M251" i="6"/>
  <c r="T363" i="5"/>
  <c r="T307" i="1" s="1"/>
  <c r="A307"/>
  <c r="A303" i="2" s="1"/>
  <c r="M378" i="6"/>
  <c r="T544" i="5"/>
  <c r="T434" i="1" s="1"/>
  <c r="A434"/>
  <c r="A484" i="2" s="1"/>
  <c r="M123" i="6"/>
  <c r="T181" i="5"/>
  <c r="T179" i="1" s="1"/>
  <c r="A179"/>
  <c r="A175" i="2" s="1"/>
  <c r="M124" i="6"/>
  <c r="T182" i="5"/>
  <c r="T180" i="1" s="1"/>
  <c r="A180"/>
  <c r="A176" i="2" s="1"/>
  <c r="M379" i="6"/>
  <c r="T545" i="5"/>
  <c r="T435" i="1" s="1"/>
  <c r="A435"/>
  <c r="A485" i="2" s="1"/>
  <c r="M245" i="6"/>
  <c r="T357" i="5"/>
  <c r="T301" i="1" s="1"/>
  <c r="A301"/>
  <c r="A297" i="2" s="1"/>
  <c r="M253" i="6"/>
  <c r="T365" i="5"/>
  <c r="T309" i="1" s="1"/>
  <c r="A309"/>
  <c r="A305" i="2" s="1"/>
  <c r="M375" i="6"/>
  <c r="T541" i="5"/>
  <c r="T431" i="1" s="1"/>
  <c r="A431"/>
  <c r="A481" i="2" s="1"/>
  <c r="M119" i="6"/>
  <c r="T177" i="5"/>
  <c r="T175" i="1" s="1"/>
  <c r="A175"/>
  <c r="A171" i="2" s="1"/>
  <c r="M125" i="6"/>
  <c r="T183" i="5"/>
  <c r="T181" i="1" s="1"/>
  <c r="A181"/>
  <c r="A177" i="2" s="1"/>
  <c r="M127" i="6"/>
  <c r="T185" i="5"/>
  <c r="T183" i="1" s="1"/>
  <c r="A183"/>
  <c r="A179" i="2" s="1"/>
  <c r="M373" i="6"/>
  <c r="T539" i="5"/>
  <c r="T429" i="1" s="1"/>
  <c r="A429"/>
  <c r="A479" i="2" s="1"/>
  <c r="M120" i="6"/>
  <c r="T178" i="5"/>
  <c r="T176" i="1" s="1"/>
  <c r="A176"/>
  <c r="A172" i="2" s="1"/>
  <c r="M252" i="6"/>
  <c r="T364" i="5"/>
  <c r="T308" i="1" s="1"/>
  <c r="A308"/>
  <c r="A304" i="2" s="1"/>
  <c r="M371" i="6"/>
  <c r="T537" i="5"/>
  <c r="T427" i="1" s="1"/>
  <c r="A427"/>
  <c r="A477" i="2" s="1"/>
  <c r="M249" i="6"/>
  <c r="T361" i="5"/>
  <c r="T305" i="1" s="1"/>
  <c r="A305"/>
  <c r="A301" i="2" s="1"/>
  <c r="M246" i="6"/>
  <c r="T358" i="5"/>
  <c r="T302" i="1" s="1"/>
  <c r="A302"/>
  <c r="A298" i="2" s="1"/>
  <c r="M126" i="6"/>
  <c r="T184" i="5"/>
  <c r="T182" i="1" s="1"/>
  <c r="A182"/>
  <c r="A178" i="2" s="1"/>
  <c r="M247" i="6"/>
  <c r="T359" i="5"/>
  <c r="T303" i="1" s="1"/>
  <c r="A303"/>
  <c r="A299" i="2" s="1"/>
  <c r="M248" i="6"/>
  <c r="T360" i="5"/>
  <c r="T304" i="1" s="1"/>
  <c r="A304"/>
  <c r="A300" i="2" s="1"/>
  <c r="M250" i="6"/>
  <c r="T362" i="5"/>
  <c r="T306" i="1" s="1"/>
  <c r="A306"/>
  <c r="A302" i="2" s="1"/>
  <c r="M377" i="6"/>
  <c r="T543" i="5"/>
  <c r="T433" i="1" s="1"/>
  <c r="A433"/>
  <c r="A483" i="2" s="1"/>
  <c r="M374" i="6"/>
  <c r="T540" i="5"/>
  <c r="T430" i="1" s="1"/>
  <c r="A430"/>
  <c r="A480" i="2" s="1"/>
  <c r="M372" i="6"/>
  <c r="T538" i="5"/>
  <c r="T428" i="1" s="1"/>
  <c r="A428"/>
  <c r="A478" i="2" s="1"/>
  <c r="W71" i="7"/>
  <c r="L327" i="6"/>
  <c r="K336"/>
  <c r="L317"/>
  <c r="K326"/>
  <c r="L331"/>
  <c r="K340"/>
  <c r="K333"/>
  <c r="L324"/>
  <c r="K334"/>
  <c r="L325"/>
  <c r="L319"/>
  <c r="K328"/>
  <c r="K329"/>
  <c r="L320"/>
  <c r="L323"/>
  <c r="K332"/>
  <c r="K330"/>
  <c r="L321"/>
  <c r="S178" i="5"/>
  <c r="S176" i="1" s="1"/>
  <c r="G172" i="2" s="1"/>
  <c r="U179" i="5"/>
  <c r="A367"/>
  <c r="A187"/>
  <c r="A400" i="2"/>
  <c r="G400"/>
  <c r="U365" i="5"/>
  <c r="S364"/>
  <c r="S308" i="1" s="1"/>
  <c r="G304" i="2" s="1"/>
  <c r="A553" i="5"/>
  <c r="A583" i="2"/>
  <c r="G583"/>
  <c r="A189" i="5"/>
  <c r="U181"/>
  <c r="S180"/>
  <c r="S178" i="1" s="1"/>
  <c r="G174" i="2" s="1"/>
  <c r="A369" i="5"/>
  <c r="A402" i="2"/>
  <c r="G402"/>
  <c r="G581"/>
  <c r="A581"/>
  <c r="U364" i="5"/>
  <c r="S363"/>
  <c r="S307" i="1" s="1"/>
  <c r="G303" i="2" s="1"/>
  <c r="A552" i="5"/>
  <c r="G397" i="2"/>
  <c r="A397"/>
  <c r="U545" i="5"/>
  <c r="S544"/>
  <c r="S434" i="1" s="1"/>
  <c r="G484" i="2" s="1"/>
  <c r="G398"/>
  <c r="A398"/>
  <c r="S358" i="5"/>
  <c r="S302" i="1" s="1"/>
  <c r="G298" i="2" s="1"/>
  <c r="U359" i="5"/>
  <c r="A547"/>
  <c r="S541"/>
  <c r="S431" i="1" s="1"/>
  <c r="G481" i="2" s="1"/>
  <c r="U542" i="5"/>
  <c r="U361"/>
  <c r="S360"/>
  <c r="S304" i="1" s="1"/>
  <c r="G300" i="2" s="1"/>
  <c r="A549" i="5"/>
  <c r="A404" i="2"/>
  <c r="G404"/>
  <c r="A401"/>
  <c r="G401"/>
  <c r="A576"/>
  <c r="G576"/>
  <c r="S538" i="5"/>
  <c r="S428" i="1" s="1"/>
  <c r="G478" i="2" s="1"/>
  <c r="U539" i="5"/>
  <c r="A224" i="2"/>
  <c r="G224"/>
  <c r="A190" i="5"/>
  <c r="S181"/>
  <c r="S179" i="1" s="1"/>
  <c r="G175" i="2" s="1"/>
  <c r="U182" i="5"/>
  <c r="A370"/>
  <c r="G578" i="2"/>
  <c r="A578"/>
  <c r="U540" i="5"/>
  <c r="S539"/>
  <c r="S429" i="1" s="1"/>
  <c r="G479" i="2" s="1"/>
  <c r="A582"/>
  <c r="G582"/>
  <c r="G218"/>
  <c r="A218"/>
  <c r="A584"/>
  <c r="G584"/>
  <c r="S537" i="5"/>
  <c r="S427" i="1" s="1"/>
  <c r="G477" i="2" s="1"/>
  <c r="U538" i="5"/>
  <c r="A221" i="2"/>
  <c r="G221"/>
  <c r="A191" i="5"/>
  <c r="S182"/>
  <c r="S180" i="1" s="1"/>
  <c r="G176" i="2" s="1"/>
  <c r="U183" i="5"/>
  <c r="A371"/>
  <c r="S545"/>
  <c r="S435" i="1" s="1"/>
  <c r="G485" i="2" s="1"/>
  <c r="U546" i="5"/>
  <c r="S357"/>
  <c r="S301" i="1" s="1"/>
  <c r="G297" i="2" s="1"/>
  <c r="U358" i="5"/>
  <c r="A546"/>
  <c r="S542"/>
  <c r="S432" i="1" s="1"/>
  <c r="G482" i="2" s="1"/>
  <c r="U543" i="5"/>
  <c r="S365"/>
  <c r="S309" i="1" s="1"/>
  <c r="G305" i="2" s="1"/>
  <c r="U366" i="5"/>
  <c r="A554"/>
  <c r="S361"/>
  <c r="S305" i="1" s="1"/>
  <c r="G301" i="2" s="1"/>
  <c r="U362" i="5"/>
  <c r="A550"/>
  <c r="A217" i="2"/>
  <c r="G217"/>
  <c r="G223"/>
  <c r="A223"/>
  <c r="A193" i="5"/>
  <c r="U185"/>
  <c r="S184"/>
  <c r="S182" i="1" s="1"/>
  <c r="G178" i="2" s="1"/>
  <c r="A373" i="5"/>
  <c r="U360"/>
  <c r="S359"/>
  <c r="S303" i="1" s="1"/>
  <c r="G299" i="2" s="1"/>
  <c r="A548" i="5"/>
  <c r="S362"/>
  <c r="S306" i="1" s="1"/>
  <c r="G302" i="2" s="1"/>
  <c r="U363" i="5"/>
  <c r="A551"/>
  <c r="A577" i="2"/>
  <c r="G577"/>
  <c r="A186" i="5"/>
  <c r="S177"/>
  <c r="S175" i="1" s="1"/>
  <c r="G171" i="2" s="1"/>
  <c r="U178" i="5"/>
  <c r="A366"/>
  <c r="U541"/>
  <c r="S540"/>
  <c r="S430" i="1" s="1"/>
  <c r="G480" i="2" s="1"/>
  <c r="G222"/>
  <c r="A222"/>
  <c r="A579"/>
  <c r="G579"/>
  <c r="A403"/>
  <c r="G403"/>
  <c r="A188" i="5"/>
  <c r="U180"/>
  <c r="S179"/>
  <c r="S177" i="1" s="1"/>
  <c r="G173" i="2" s="1"/>
  <c r="A368" i="5"/>
  <c r="A219" i="2"/>
  <c r="G219"/>
  <c r="A580"/>
  <c r="G580"/>
  <c r="A396"/>
  <c r="G396"/>
  <c r="U544" i="5"/>
  <c r="S543"/>
  <c r="S433" i="1" s="1"/>
  <c r="G483" i="2" s="1"/>
  <c r="A216"/>
  <c r="G216"/>
  <c r="A192" i="5"/>
  <c r="U184"/>
  <c r="S183"/>
  <c r="S181" i="1" s="1"/>
  <c r="G177" i="2" s="1"/>
  <c r="A372" i="5"/>
  <c r="A194"/>
  <c r="S185"/>
  <c r="S183" i="1" s="1"/>
  <c r="G179" i="2" s="1"/>
  <c r="U186" i="5"/>
  <c r="A374"/>
  <c r="A220" i="2"/>
  <c r="G220"/>
  <c r="A399"/>
  <c r="G399"/>
  <c r="A59" i="4"/>
  <c r="M130" i="6" l="1"/>
  <c r="T188" i="5"/>
  <c r="T186" i="1" s="1"/>
  <c r="A186"/>
  <c r="A182" i="2" s="1"/>
  <c r="M128" i="6"/>
  <c r="T186" i="5"/>
  <c r="T184" i="1" s="1"/>
  <c r="A184"/>
  <c r="A180" i="2" s="1"/>
  <c r="M258" i="6"/>
  <c r="T370" i="5"/>
  <c r="T314" i="1" s="1"/>
  <c r="A314"/>
  <c r="A310" i="2" s="1"/>
  <c r="M386" i="6"/>
  <c r="T552" i="5"/>
  <c r="T442" i="1" s="1"/>
  <c r="A442"/>
  <c r="A492" i="2" s="1"/>
  <c r="M262" i="6"/>
  <c r="T374" i="5"/>
  <c r="T318" i="1" s="1"/>
  <c r="A318"/>
  <c r="A314" i="2" s="1"/>
  <c r="M132" i="6"/>
  <c r="T190" i="5"/>
  <c r="T188" i="1" s="1"/>
  <c r="A188"/>
  <c r="A184" i="2" s="1"/>
  <c r="M381" i="6"/>
  <c r="T547" i="5"/>
  <c r="T437" i="1" s="1"/>
  <c r="A437"/>
  <c r="A487" i="2" s="1"/>
  <c r="M257" i="6"/>
  <c r="T369" i="5"/>
  <c r="T313" i="1" s="1"/>
  <c r="A313"/>
  <c r="A309" i="2" s="1"/>
  <c r="M255" i="6"/>
  <c r="T367" i="5"/>
  <c r="T311" i="1" s="1"/>
  <c r="A311"/>
  <c r="A307" i="2" s="1"/>
  <c r="M136" i="6"/>
  <c r="T194" i="5"/>
  <c r="T192" i="1" s="1"/>
  <c r="A192"/>
  <c r="A188" i="2" s="1"/>
  <c r="M134" i="6"/>
  <c r="T192" i="5"/>
  <c r="T190" i="1" s="1"/>
  <c r="A190"/>
  <c r="A186" i="2" s="1"/>
  <c r="M382" i="6"/>
  <c r="T548" i="5"/>
  <c r="T438" i="1" s="1"/>
  <c r="A438"/>
  <c r="A488" i="2" s="1"/>
  <c r="M259" i="6"/>
  <c r="T371" i="5"/>
  <c r="T315" i="1" s="1"/>
  <c r="A315"/>
  <c r="A311" i="2" s="1"/>
  <c r="M383" i="6"/>
  <c r="T549" i="5"/>
  <c r="T439" i="1" s="1"/>
  <c r="A439"/>
  <c r="A489" i="2" s="1"/>
  <c r="M131" i="6"/>
  <c r="T189" i="5"/>
  <c r="T187" i="1" s="1"/>
  <c r="A187"/>
  <c r="A183" i="2" s="1"/>
  <c r="M129" i="6"/>
  <c r="T187" i="5"/>
  <c r="T185" i="1" s="1"/>
  <c r="A185"/>
  <c r="A181" i="2" s="1"/>
  <c r="M135" i="6"/>
  <c r="T193" i="5"/>
  <c r="T191" i="1" s="1"/>
  <c r="A191"/>
  <c r="A187" i="2" s="1"/>
  <c r="M388" i="6"/>
  <c r="T554" i="5"/>
  <c r="A444" i="1"/>
  <c r="A494" i="2" s="1"/>
  <c r="M260" i="6"/>
  <c r="T372" i="5"/>
  <c r="T316" i="1" s="1"/>
  <c r="A316"/>
  <c r="A312" i="2" s="1"/>
  <c r="M385" i="6"/>
  <c r="T551" i="5"/>
  <c r="T441" i="1" s="1"/>
  <c r="A441"/>
  <c r="A491" i="2" s="1"/>
  <c r="M256" i="6"/>
  <c r="T368" i="5"/>
  <c r="T312" i="1" s="1"/>
  <c r="A312"/>
  <c r="A308" i="2" s="1"/>
  <c r="M254" i="6"/>
  <c r="T366" i="5"/>
  <c r="T310" i="1" s="1"/>
  <c r="A310"/>
  <c r="A306" i="2" s="1"/>
  <c r="M261" i="6"/>
  <c r="T373" i="5"/>
  <c r="T317" i="1" s="1"/>
  <c r="A317"/>
  <c r="A313" i="2" s="1"/>
  <c r="M384" i="6"/>
  <c r="T550" i="5"/>
  <c r="T440" i="1" s="1"/>
  <c r="A440"/>
  <c r="A490" i="2" s="1"/>
  <c r="M380" i="6"/>
  <c r="T546" i="5"/>
  <c r="T436" i="1" s="1"/>
  <c r="A436"/>
  <c r="A486" i="2" s="1"/>
  <c r="M133" i="6"/>
  <c r="T191" i="5"/>
  <c r="T189" i="1" s="1"/>
  <c r="A189"/>
  <c r="A185" i="2" s="1"/>
  <c r="M387" i="6"/>
  <c r="T553" i="5"/>
  <c r="T443" i="1" s="1"/>
  <c r="A443"/>
  <c r="A493" i="2" s="1"/>
  <c r="W72" i="7"/>
  <c r="K339" i="6"/>
  <c r="L330"/>
  <c r="K338"/>
  <c r="L329"/>
  <c r="K343"/>
  <c r="L334"/>
  <c r="K349"/>
  <c r="L340"/>
  <c r="K345"/>
  <c r="L336"/>
  <c r="K342"/>
  <c r="L333"/>
  <c r="K341"/>
  <c r="L332"/>
  <c r="K337"/>
  <c r="L328"/>
  <c r="K335"/>
  <c r="L326"/>
  <c r="A233" i="2"/>
  <c r="G233"/>
  <c r="U189" i="5"/>
  <c r="S188"/>
  <c r="S186" i="1" s="1"/>
  <c r="G182" i="2" s="1"/>
  <c r="A377" i="5"/>
  <c r="S186"/>
  <c r="S184" i="1" s="1"/>
  <c r="G180" i="2" s="1"/>
  <c r="U187" i="5"/>
  <c r="A375"/>
  <c r="S554"/>
  <c r="S444" i="1" s="1"/>
  <c r="G494" i="2" s="1"/>
  <c r="U555" i="5"/>
  <c r="T444" i="1"/>
  <c r="S374" i="5"/>
  <c r="S318" i="1" s="1"/>
  <c r="G314" i="2" s="1"/>
  <c r="U375" i="5"/>
  <c r="A563"/>
  <c r="U369"/>
  <c r="S368"/>
  <c r="S312" i="1" s="1"/>
  <c r="G308" i="2" s="1"/>
  <c r="A557" i="5"/>
  <c r="A588" i="2"/>
  <c r="G588"/>
  <c r="S366" i="5"/>
  <c r="S310" i="1" s="1"/>
  <c r="G306" i="2" s="1"/>
  <c r="U367" i="5"/>
  <c r="A555"/>
  <c r="U552"/>
  <c r="S551"/>
  <c r="S441" i="1" s="1"/>
  <c r="G491" i="2" s="1"/>
  <c r="S550" i="5"/>
  <c r="S440" i="1" s="1"/>
  <c r="G490" i="2" s="1"/>
  <c r="U551" i="5"/>
  <c r="G230" i="2"/>
  <c r="A230"/>
  <c r="U192" i="5"/>
  <c r="S191"/>
  <c r="S189" i="1" s="1"/>
  <c r="G185" i="2" s="1"/>
  <c r="A380" i="5"/>
  <c r="A229" i="2"/>
  <c r="G229"/>
  <c r="S190" i="5"/>
  <c r="S188" i="1" s="1"/>
  <c r="G184" i="2" s="1"/>
  <c r="U191" i="5"/>
  <c r="A379"/>
  <c r="A411" i="2"/>
  <c r="G411"/>
  <c r="S369" i="5"/>
  <c r="S313" i="1" s="1"/>
  <c r="G309" i="2" s="1"/>
  <c r="U370" i="5"/>
  <c r="A558"/>
  <c r="S553"/>
  <c r="S443" i="1" s="1"/>
  <c r="G493" i="2" s="1"/>
  <c r="U554" i="5"/>
  <c r="U368"/>
  <c r="S367"/>
  <c r="S311" i="1" s="1"/>
  <c r="G307" i="2" s="1"/>
  <c r="A556" i="5"/>
  <c r="G231" i="2"/>
  <c r="A231"/>
  <c r="U193" i="5"/>
  <c r="S192"/>
  <c r="S190" i="1" s="1"/>
  <c r="G186" i="2" s="1"/>
  <c r="A381" i="5"/>
  <c r="A232" i="2"/>
  <c r="G232"/>
  <c r="S193" i="5"/>
  <c r="S191" i="1" s="1"/>
  <c r="G187" i="2" s="1"/>
  <c r="U194" i="5"/>
  <c r="A382"/>
  <c r="A405" i="2"/>
  <c r="G405"/>
  <c r="A593"/>
  <c r="G593"/>
  <c r="U372" i="5"/>
  <c r="S371"/>
  <c r="S315" i="1" s="1"/>
  <c r="G311" i="2" s="1"/>
  <c r="A560" i="5"/>
  <c r="A585" i="2"/>
  <c r="G585"/>
  <c r="S370" i="5"/>
  <c r="S314" i="1" s="1"/>
  <c r="G310" i="2" s="1"/>
  <c r="U371" i="5"/>
  <c r="A559"/>
  <c r="A586" i="2"/>
  <c r="G586"/>
  <c r="G406"/>
  <c r="A406"/>
  <c r="U553" i="5"/>
  <c r="S552"/>
  <c r="S442" i="1" s="1"/>
  <c r="G492" i="2" s="1"/>
  <c r="U188" i="5"/>
  <c r="S187"/>
  <c r="S185" i="1" s="1"/>
  <c r="G181" i="2" s="1"/>
  <c r="A376" i="5"/>
  <c r="U373"/>
  <c r="S372"/>
  <c r="S316" i="1" s="1"/>
  <c r="G312" i="2" s="1"/>
  <c r="A561" i="5"/>
  <c r="A591" i="2"/>
  <c r="G591"/>
  <c r="A407"/>
  <c r="G407"/>
  <c r="S373" i="5"/>
  <c r="S317" i="1" s="1"/>
  <c r="G313" i="2" s="1"/>
  <c r="U374" i="5"/>
  <c r="A562"/>
  <c r="G413" i="2"/>
  <c r="A413"/>
  <c r="A590"/>
  <c r="G590"/>
  <c r="S546" i="5"/>
  <c r="S436" i="1" s="1"/>
  <c r="G486" i="2" s="1"/>
  <c r="U547" i="5"/>
  <c r="A408" i="2"/>
  <c r="G408"/>
  <c r="A589"/>
  <c r="G589"/>
  <c r="U548" i="5"/>
  <c r="S547"/>
  <c r="S437" i="1" s="1"/>
  <c r="G487" i="2" s="1"/>
  <c r="S194" i="5"/>
  <c r="S192" i="1" s="1"/>
  <c r="G188" i="2" s="1"/>
  <c r="U195" i="5"/>
  <c r="A383"/>
  <c r="A227" i="2"/>
  <c r="G227"/>
  <c r="A225"/>
  <c r="G225"/>
  <c r="G410"/>
  <c r="A410"/>
  <c r="U549" i="5"/>
  <c r="S548"/>
  <c r="S438" i="1" s="1"/>
  <c r="G488" i="2" s="1"/>
  <c r="G409"/>
  <c r="A409"/>
  <c r="A587"/>
  <c r="G587"/>
  <c r="S549" i="5"/>
  <c r="S439" i="1" s="1"/>
  <c r="G489" i="2" s="1"/>
  <c r="U550" i="5"/>
  <c r="A592" i="2"/>
  <c r="G592"/>
  <c r="A228"/>
  <c r="G228"/>
  <c r="S189" i="5"/>
  <c r="S187" i="1" s="1"/>
  <c r="G183" i="2" s="1"/>
  <c r="U190" i="5"/>
  <c r="A378"/>
  <c r="A412" i="2"/>
  <c r="G412"/>
  <c r="A226"/>
  <c r="G226"/>
  <c r="A60" i="4"/>
  <c r="M390" i="6" l="1"/>
  <c r="T556" i="5"/>
  <c r="A446" i="1"/>
  <c r="A496" i="2" s="1"/>
  <c r="M389" i="6"/>
  <c r="T555" i="5"/>
  <c r="A445" i="1"/>
  <c r="A495" i="2" s="1"/>
  <c r="M397" i="6"/>
  <c r="T563" i="5"/>
  <c r="T453" i="1" s="1"/>
  <c r="A453"/>
  <c r="A503" i="2" s="1"/>
  <c r="M266" i="6"/>
  <c r="T378" i="5"/>
  <c r="T322" i="1" s="1"/>
  <c r="A322"/>
  <c r="A318" i="2" s="1"/>
  <c r="M396" i="6"/>
  <c r="T562" i="5"/>
  <c r="T452" i="1" s="1"/>
  <c r="A452"/>
  <c r="A502" i="2" s="1"/>
  <c r="M394" i="6"/>
  <c r="T560" i="5"/>
  <c r="A450" i="1"/>
  <c r="A500" i="2" s="1"/>
  <c r="M269" i="6"/>
  <c r="T381" i="5"/>
  <c r="T325" i="1" s="1"/>
  <c r="A325"/>
  <c r="A321" i="2" s="1"/>
  <c r="M395" i="6"/>
  <c r="T561" i="5"/>
  <c r="A451" i="1"/>
  <c r="A501" i="2" s="1"/>
  <c r="M393" i="6"/>
  <c r="T559" i="5"/>
  <c r="T449" i="1" s="1"/>
  <c r="A449"/>
  <c r="A499" i="2" s="1"/>
  <c r="M270" i="6"/>
  <c r="T382" i="5"/>
  <c r="T326" i="1" s="1"/>
  <c r="A326"/>
  <c r="A322" i="2" s="1"/>
  <c r="M267" i="6"/>
  <c r="T379" i="5"/>
  <c r="T323" i="1" s="1"/>
  <c r="A323"/>
  <c r="A319" i="2" s="1"/>
  <c r="M263" i="6"/>
  <c r="T375" i="5"/>
  <c r="T319" i="1" s="1"/>
  <c r="A319"/>
  <c r="A315" i="2" s="1"/>
  <c r="M271" i="6"/>
  <c r="T383" i="5"/>
  <c r="T327" i="1" s="1"/>
  <c r="A327"/>
  <c r="A323" i="2" s="1"/>
  <c r="M268" i="6"/>
  <c r="T380" i="5"/>
  <c r="T324" i="1" s="1"/>
  <c r="A324"/>
  <c r="A320" i="2" s="1"/>
  <c r="M264" i="6"/>
  <c r="T376" i="5"/>
  <c r="T320" i="1" s="1"/>
  <c r="A320"/>
  <c r="A316" i="2" s="1"/>
  <c r="M392" i="6"/>
  <c r="T558" i="5"/>
  <c r="T448" i="1" s="1"/>
  <c r="A448"/>
  <c r="A498" i="2" s="1"/>
  <c r="M391" i="6"/>
  <c r="T557" i="5"/>
  <c r="A447" i="1"/>
  <c r="A497" i="2" s="1"/>
  <c r="M265" i="6"/>
  <c r="T377" i="5"/>
  <c r="T321" i="1" s="1"/>
  <c r="A321"/>
  <c r="A317" i="2" s="1"/>
  <c r="W73" i="7"/>
  <c r="L335" i="6"/>
  <c r="K344"/>
  <c r="K350"/>
  <c r="L341"/>
  <c r="L345"/>
  <c r="K354"/>
  <c r="L343"/>
  <c r="K352"/>
  <c r="L339"/>
  <c r="K348"/>
  <c r="K346"/>
  <c r="L337"/>
  <c r="K351"/>
  <c r="L342"/>
  <c r="L349"/>
  <c r="K358"/>
  <c r="K347"/>
  <c r="L338"/>
  <c r="U377" i="5"/>
  <c r="S376"/>
  <c r="S320" i="1" s="1"/>
  <c r="G316" i="2" s="1"/>
  <c r="A565" i="5"/>
  <c r="A601" i="2"/>
  <c r="G601"/>
  <c r="S557" i="5"/>
  <c r="S447" i="1" s="1"/>
  <c r="G497" i="2" s="1"/>
  <c r="U558" i="5"/>
  <c r="T447" i="1"/>
  <c r="A597" i="2"/>
  <c r="G597"/>
  <c r="A596"/>
  <c r="G596"/>
  <c r="A421"/>
  <c r="G421"/>
  <c r="S561" i="5"/>
  <c r="S451" i="1" s="1"/>
  <c r="G501" i="2" s="1"/>
  <c r="T451" i="1"/>
  <c r="U562" i="5"/>
  <c r="U557"/>
  <c r="T446" i="1"/>
  <c r="S556" i="5"/>
  <c r="S446" i="1" s="1"/>
  <c r="G496" i="2" s="1"/>
  <c r="U380" i="5"/>
  <c r="S379"/>
  <c r="S323" i="1" s="1"/>
  <c r="G319" i="2" s="1"/>
  <c r="A568" i="5"/>
  <c r="A239" i="2"/>
  <c r="G239"/>
  <c r="G234"/>
  <c r="A234"/>
  <c r="S377" i="5"/>
  <c r="S321" i="1" s="1"/>
  <c r="G317" i="2" s="1"/>
  <c r="U378" i="5"/>
  <c r="A566"/>
  <c r="G242" i="2"/>
  <c r="A242"/>
  <c r="S562" i="5"/>
  <c r="S452" i="1" s="1"/>
  <c r="G502" i="2" s="1"/>
  <c r="U563" i="5"/>
  <c r="A418" i="2"/>
  <c r="G418"/>
  <c r="A241"/>
  <c r="G241"/>
  <c r="U381" i="5"/>
  <c r="S380"/>
  <c r="S324" i="1" s="1"/>
  <c r="G320" i="2" s="1"/>
  <c r="A569" i="5"/>
  <c r="G414" i="2"/>
  <c r="A414"/>
  <c r="G422"/>
  <c r="A422"/>
  <c r="A602"/>
  <c r="G602"/>
  <c r="U376" i="5"/>
  <c r="S375"/>
  <c r="S319" i="1" s="1"/>
  <c r="G315" i="2" s="1"/>
  <c r="A564" i="5"/>
  <c r="U384"/>
  <c r="S383"/>
  <c r="S327" i="1" s="1"/>
  <c r="G323" i="2" s="1"/>
  <c r="A572" i="5"/>
  <c r="A235" i="2"/>
  <c r="G235"/>
  <c r="A600"/>
  <c r="G600"/>
  <c r="U560" i="5"/>
  <c r="S559"/>
  <c r="S449" i="1" s="1"/>
  <c r="G499" i="2" s="1"/>
  <c r="A419"/>
  <c r="G419"/>
  <c r="S382" i="5"/>
  <c r="S326" i="1" s="1"/>
  <c r="G322" i="2" s="1"/>
  <c r="U383" i="5"/>
  <c r="A571"/>
  <c r="A240" i="2"/>
  <c r="G240"/>
  <c r="A417"/>
  <c r="G417"/>
  <c r="A598"/>
  <c r="G598"/>
  <c r="A599"/>
  <c r="G599"/>
  <c r="U556" i="5"/>
  <c r="T445" i="1"/>
  <c r="S555" i="5"/>
  <c r="S445" i="1" s="1"/>
  <c r="G495" i="2" s="1"/>
  <c r="G416"/>
  <c r="A416"/>
  <c r="U564" i="5"/>
  <c r="S563"/>
  <c r="S453" i="1" s="1"/>
  <c r="G503" i="2" s="1"/>
  <c r="A420"/>
  <c r="G420"/>
  <c r="U561" i="5"/>
  <c r="S560"/>
  <c r="S450" i="1" s="1"/>
  <c r="G500" i="2" s="1"/>
  <c r="T450" i="1"/>
  <c r="S381" i="5"/>
  <c r="S325" i="1" s="1"/>
  <c r="G321" i="2" s="1"/>
  <c r="U382" i="5"/>
  <c r="A570"/>
  <c r="A415" i="2"/>
  <c r="G415"/>
  <c r="S558" i="5"/>
  <c r="S448" i="1" s="1"/>
  <c r="G498" i="2" s="1"/>
  <c r="U559" i="5"/>
  <c r="G238" i="2"/>
  <c r="A238"/>
  <c r="A236"/>
  <c r="G236"/>
  <c r="A237"/>
  <c r="G237"/>
  <c r="S378" i="5"/>
  <c r="S322" i="1" s="1"/>
  <c r="G318" i="2" s="1"/>
  <c r="U379" i="5"/>
  <c r="A567"/>
  <c r="A595" i="2"/>
  <c r="G595"/>
  <c r="A594"/>
  <c r="G594"/>
  <c r="A80" i="4"/>
  <c r="A84"/>
  <c r="A85"/>
  <c r="A77"/>
  <c r="A81"/>
  <c r="A83"/>
  <c r="A82"/>
  <c r="A78"/>
  <c r="A79"/>
  <c r="M402" i="6" l="1"/>
  <c r="T568" i="5"/>
  <c r="A458" i="1"/>
  <c r="A508" i="2" s="1"/>
  <c r="M399" i="6"/>
  <c r="T565" i="5"/>
  <c r="A455" i="1"/>
  <c r="A505" i="2" s="1"/>
  <c r="M401" i="6"/>
  <c r="T567" i="5"/>
  <c r="A457" i="1"/>
  <c r="A507" i="2" s="1"/>
  <c r="M404" i="6"/>
  <c r="T570" i="5"/>
  <c r="A460" i="1"/>
  <c r="A510" i="2" s="1"/>
  <c r="M405" i="6"/>
  <c r="T571" i="5"/>
  <c r="A461" i="1"/>
  <c r="A511" i="2" s="1"/>
  <c r="M406" i="6"/>
  <c r="T572" i="5"/>
  <c r="A462" i="1"/>
  <c r="A512" i="2" s="1"/>
  <c r="M403" i="6"/>
  <c r="T569" i="5"/>
  <c r="A459" i="1"/>
  <c r="A509" i="2" s="1"/>
  <c r="M400" i="6"/>
  <c r="T566" i="5"/>
  <c r="A456" i="1"/>
  <c r="A506" i="2" s="1"/>
  <c r="M398" i="6"/>
  <c r="T564" i="5"/>
  <c r="A454" i="1"/>
  <c r="A504" i="2" s="1"/>
  <c r="W74" i="7"/>
  <c r="L347" i="6"/>
  <c r="K356"/>
  <c r="L351"/>
  <c r="K360"/>
  <c r="K357"/>
  <c r="L348"/>
  <c r="K363"/>
  <c r="L354"/>
  <c r="K353"/>
  <c r="L344"/>
  <c r="K355"/>
  <c r="L346"/>
  <c r="K359"/>
  <c r="L350"/>
  <c r="K367"/>
  <c r="L358"/>
  <c r="K361"/>
  <c r="L352"/>
  <c r="A430" i="2"/>
  <c r="G430"/>
  <c r="A423"/>
  <c r="G423"/>
  <c r="A424"/>
  <c r="G424"/>
  <c r="A429"/>
  <c r="G429"/>
  <c r="A608"/>
  <c r="G608"/>
  <c r="A603"/>
  <c r="G603"/>
  <c r="U572" i="5"/>
  <c r="T461" i="1"/>
  <c r="S571" i="5"/>
  <c r="S461" i="1" s="1"/>
  <c r="G511" i="2" s="1"/>
  <c r="A431"/>
  <c r="G431"/>
  <c r="U565" i="5"/>
  <c r="S564"/>
  <c r="S454" i="1" s="1"/>
  <c r="G504" i="2" s="1"/>
  <c r="T454" i="1"/>
  <c r="A428" i="2"/>
  <c r="G428"/>
  <c r="A610"/>
  <c r="G610"/>
  <c r="A427"/>
  <c r="G427"/>
  <c r="A604"/>
  <c r="G604"/>
  <c r="A609"/>
  <c r="G609"/>
  <c r="S565" i="5"/>
  <c r="S455" i="1" s="1"/>
  <c r="G505" i="2" s="1"/>
  <c r="U566" i="5"/>
  <c r="T455" i="1"/>
  <c r="A426" i="2"/>
  <c r="G426"/>
  <c r="S570" i="5"/>
  <c r="S460" i="1" s="1"/>
  <c r="G510" i="2" s="1"/>
  <c r="T460" i="1"/>
  <c r="U571" i="5"/>
  <c r="A607" i="2"/>
  <c r="G607"/>
  <c r="S572" i="5"/>
  <c r="S462" i="1" s="1"/>
  <c r="G512" i="2" s="1"/>
  <c r="T462" i="1"/>
  <c r="S569" i="5"/>
  <c r="S459" i="1" s="1"/>
  <c r="G509" i="2" s="1"/>
  <c r="T459" i="1"/>
  <c r="U570" i="5"/>
  <c r="G425" i="2"/>
  <c r="A425"/>
  <c r="U569" i="5"/>
  <c r="S568"/>
  <c r="S458" i="1" s="1"/>
  <c r="G508" i="2" s="1"/>
  <c r="T458" i="1"/>
  <c r="U568" i="5"/>
  <c r="S567"/>
  <c r="S457" i="1" s="1"/>
  <c r="G507" i="2" s="1"/>
  <c r="T457" i="1"/>
  <c r="A611" i="2"/>
  <c r="G611"/>
  <c r="S566" i="5"/>
  <c r="S456" i="1" s="1"/>
  <c r="G506" i="2" s="1"/>
  <c r="U567" i="5"/>
  <c r="T456" i="1"/>
  <c r="A605" i="2"/>
  <c r="G605"/>
  <c r="G606"/>
  <c r="A606"/>
  <c r="W75" i="7" l="1"/>
  <c r="L359" i="6"/>
  <c r="K368"/>
  <c r="L353"/>
  <c r="K362"/>
  <c r="L357"/>
  <c r="K366"/>
  <c r="K365"/>
  <c r="L356"/>
  <c r="L367"/>
  <c r="K376"/>
  <c r="L355"/>
  <c r="K364"/>
  <c r="L363"/>
  <c r="K372"/>
  <c r="L361"/>
  <c r="K370"/>
  <c r="K369"/>
  <c r="L360"/>
  <c r="A618" i="2"/>
  <c r="G618"/>
  <c r="A614"/>
  <c r="G614"/>
  <c r="A617"/>
  <c r="G617"/>
  <c r="A620"/>
  <c r="G620"/>
  <c r="A613"/>
  <c r="G613"/>
  <c r="A619"/>
  <c r="G619"/>
  <c r="A615"/>
  <c r="G615"/>
  <c r="A616"/>
  <c r="G616"/>
  <c r="G612"/>
  <c r="A612"/>
  <c r="W76" i="7" l="1"/>
  <c r="L369" i="6"/>
  <c r="K378"/>
  <c r="K381"/>
  <c r="L372"/>
  <c r="K385"/>
  <c r="L376"/>
  <c r="K375"/>
  <c r="L366"/>
  <c r="K377"/>
  <c r="L368"/>
  <c r="L365"/>
  <c r="K374"/>
  <c r="K379"/>
  <c r="L370"/>
  <c r="K373"/>
  <c r="L364"/>
  <c r="K371"/>
  <c r="L362"/>
  <c r="W77" i="7" l="1"/>
  <c r="L379" i="6"/>
  <c r="K388"/>
  <c r="L377"/>
  <c r="K386"/>
  <c r="L385"/>
  <c r="K394"/>
  <c r="K387"/>
  <c r="L378"/>
  <c r="L373"/>
  <c r="K382"/>
  <c r="L375"/>
  <c r="K384"/>
  <c r="L381"/>
  <c r="K390"/>
  <c r="L371"/>
  <c r="K380"/>
  <c r="K383"/>
  <c r="L374"/>
  <c r="W78" i="7" l="1"/>
  <c r="K399" i="6"/>
  <c r="L399" s="1"/>
  <c r="L390"/>
  <c r="K391"/>
  <c r="L382"/>
  <c r="L394"/>
  <c r="K403"/>
  <c r="L403" s="1"/>
  <c r="K397"/>
  <c r="L388"/>
  <c r="L387"/>
  <c r="K396"/>
  <c r="L383"/>
  <c r="K392"/>
  <c r="K389"/>
  <c r="L380"/>
  <c r="K393"/>
  <c r="L384"/>
  <c r="K395"/>
  <c r="L386"/>
  <c r="W79" i="7" l="1"/>
  <c r="L389" i="6"/>
  <c r="K398"/>
  <c r="L398" s="1"/>
  <c r="L396"/>
  <c r="K405"/>
  <c r="L405" s="1"/>
  <c r="L393"/>
  <c r="K402"/>
  <c r="L402" s="1"/>
  <c r="L397"/>
  <c r="K406"/>
  <c r="L406" s="1"/>
  <c r="L391"/>
  <c r="K400"/>
  <c r="L400" s="1"/>
  <c r="L395"/>
  <c r="K404"/>
  <c r="L404" s="1"/>
  <c r="K401"/>
  <c r="L401" s="1"/>
  <c r="L392"/>
  <c r="W80" i="7" l="1"/>
  <c r="W129" i="5"/>
  <c r="V248"/>
  <c r="X155"/>
  <c r="W8"/>
  <c r="W487"/>
  <c r="V486"/>
  <c r="X558"/>
  <c r="X528"/>
  <c r="V502"/>
  <c r="W489"/>
  <c r="V301"/>
  <c r="X335"/>
  <c r="X261"/>
  <c r="X266"/>
  <c r="V306"/>
  <c r="V560"/>
  <c r="X18"/>
  <c r="W242"/>
  <c r="X366"/>
  <c r="V200"/>
  <c r="V342"/>
  <c r="W405"/>
  <c r="V293"/>
  <c r="V171"/>
  <c r="V364"/>
  <c r="V156"/>
  <c r="W204"/>
  <c r="X242"/>
  <c r="V321"/>
  <c r="X419"/>
  <c r="X307"/>
  <c r="W541"/>
  <c r="W168"/>
  <c r="W18"/>
  <c r="X344"/>
  <c r="V265"/>
  <c r="W24"/>
  <c r="X211"/>
  <c r="W448"/>
  <c r="X195"/>
  <c r="X436"/>
  <c r="V396"/>
  <c r="V108"/>
  <c r="W527"/>
  <c r="V355"/>
  <c r="W318"/>
  <c r="X198"/>
  <c r="V59"/>
  <c r="W421"/>
  <c r="V22"/>
  <c r="V511"/>
  <c r="V154"/>
  <c r="W256"/>
  <c r="V160"/>
  <c r="V133"/>
  <c r="V343"/>
  <c r="X352"/>
  <c r="X332"/>
  <c r="W19"/>
  <c r="V392"/>
  <c r="X235"/>
  <c r="W353"/>
  <c r="X171"/>
  <c r="W566"/>
  <c r="W376"/>
  <c r="W254"/>
  <c r="W43"/>
  <c r="X44"/>
  <c r="V14"/>
  <c r="V148"/>
  <c r="V249"/>
  <c r="W179"/>
  <c r="W106"/>
  <c r="W27"/>
  <c r="V558"/>
  <c r="V340"/>
  <c r="V436"/>
  <c r="X170"/>
  <c r="X120"/>
  <c r="V307"/>
  <c r="X398"/>
  <c r="V435"/>
  <c r="V254"/>
  <c r="V183"/>
  <c r="W542"/>
  <c r="V455"/>
  <c r="W440"/>
  <c r="W550"/>
  <c r="W163"/>
  <c r="X186"/>
  <c r="W133"/>
  <c r="V28"/>
  <c r="X197"/>
  <c r="X303"/>
  <c r="X506"/>
  <c r="X132"/>
  <c r="X131"/>
  <c r="W483"/>
  <c r="X239"/>
  <c r="W317"/>
  <c r="V42"/>
  <c r="V162"/>
  <c r="V518"/>
  <c r="V255"/>
  <c r="V462"/>
  <c r="V534"/>
  <c r="W284"/>
  <c r="X259"/>
  <c r="W329"/>
  <c r="V35"/>
  <c r="V551"/>
  <c r="W208"/>
  <c r="V176"/>
  <c r="X543"/>
  <c r="V128"/>
  <c r="X404"/>
  <c r="V474"/>
  <c r="X457"/>
  <c r="W213"/>
  <c r="V513"/>
  <c r="W32"/>
  <c r="V410"/>
  <c r="W337"/>
  <c r="W537"/>
  <c r="X144"/>
  <c r="X346"/>
  <c r="X458"/>
  <c r="X387"/>
  <c r="V177"/>
  <c r="W272"/>
  <c r="X372"/>
  <c r="W461"/>
  <c r="V250"/>
  <c r="V417"/>
  <c r="W41"/>
  <c r="V412"/>
  <c r="W29"/>
  <c r="V326"/>
  <c r="X274"/>
  <c r="X37"/>
  <c r="X557"/>
  <c r="X328"/>
  <c r="V509"/>
  <c r="X194"/>
  <c r="W538"/>
  <c r="V398"/>
  <c r="V262"/>
  <c r="W303"/>
  <c r="V309"/>
  <c r="W58"/>
  <c r="V317"/>
  <c r="W112"/>
  <c r="W474"/>
  <c r="V216"/>
  <c r="V186"/>
  <c r="X109"/>
  <c r="V517"/>
  <c r="V139"/>
  <c r="V204"/>
  <c r="W391"/>
  <c r="V421"/>
  <c r="V158"/>
  <c r="V123"/>
  <c r="V182"/>
  <c r="V228"/>
  <c r="X225"/>
  <c r="V239"/>
  <c r="W552"/>
  <c r="V138"/>
  <c r="X455"/>
  <c r="W520"/>
  <c r="W556"/>
  <c r="W330"/>
  <c r="X459"/>
  <c r="V232"/>
  <c r="W294"/>
  <c r="V419"/>
  <c r="W118"/>
  <c r="V400"/>
  <c r="V116"/>
  <c r="W205"/>
  <c r="V113"/>
  <c r="W482"/>
  <c r="W114"/>
  <c r="V405"/>
  <c r="X373"/>
  <c r="X499"/>
  <c r="W515"/>
  <c r="W224"/>
  <c r="W484"/>
  <c r="W479"/>
  <c r="W190"/>
  <c r="V548"/>
  <c r="W169"/>
  <c r="X38"/>
  <c r="V259"/>
  <c r="X409"/>
  <c r="V131"/>
  <c r="W372"/>
  <c r="X45"/>
  <c r="W558"/>
  <c r="X25"/>
  <c r="W514"/>
  <c r="W56"/>
  <c r="X298"/>
  <c r="V144"/>
  <c r="X516"/>
  <c r="X189"/>
  <c r="X540"/>
  <c r="X520"/>
  <c r="W336"/>
  <c r="X229"/>
  <c r="W530"/>
  <c r="X492"/>
  <c r="V545"/>
  <c r="V291"/>
  <c r="X466"/>
  <c r="W156"/>
  <c r="W386"/>
  <c r="W529"/>
  <c r="X278"/>
  <c r="V266"/>
  <c r="W373"/>
  <c r="V164"/>
  <c r="V273"/>
  <c r="W523"/>
  <c r="V328"/>
  <c r="W150"/>
  <c r="W468"/>
  <c r="V137"/>
  <c r="X468"/>
  <c r="X50"/>
  <c r="V386"/>
  <c r="X200"/>
  <c r="X556"/>
  <c r="V439"/>
  <c r="W14"/>
  <c r="W460"/>
  <c r="X10"/>
  <c r="X150"/>
  <c r="W170"/>
  <c r="X331"/>
  <c r="X453"/>
  <c r="V203"/>
  <c r="X133"/>
  <c r="X322"/>
  <c r="W340"/>
  <c r="W441"/>
  <c r="V559"/>
  <c r="V155"/>
  <c r="V151"/>
  <c r="X448"/>
  <c r="W374"/>
  <c r="V20"/>
  <c r="X390"/>
  <c r="V124"/>
  <c r="W122"/>
  <c r="X13"/>
  <c r="V251"/>
  <c r="W333"/>
  <c r="W364"/>
  <c r="X148"/>
  <c r="X473"/>
  <c r="V284"/>
  <c r="W375"/>
  <c r="W290"/>
  <c r="W278"/>
  <c r="X317"/>
  <c r="X438"/>
  <c r="W305"/>
  <c r="W512"/>
  <c r="X145"/>
  <c r="W126"/>
  <c r="V222"/>
  <c r="W427"/>
  <c r="W107"/>
  <c r="X163"/>
  <c r="W339"/>
  <c r="X31"/>
  <c r="X8"/>
  <c r="W525"/>
  <c r="W341"/>
  <c r="W478"/>
  <c r="W120"/>
  <c r="V542"/>
  <c r="V206"/>
  <c r="V146"/>
  <c r="X326"/>
  <c r="V471"/>
  <c r="X287"/>
  <c r="X23"/>
  <c r="W357"/>
  <c r="W554"/>
  <c r="X318"/>
  <c r="X121"/>
  <c r="W201"/>
  <c r="V432"/>
  <c r="W490"/>
  <c r="X362"/>
  <c r="V241"/>
  <c r="X568"/>
  <c r="V21"/>
  <c r="V395"/>
  <c r="V456"/>
  <c r="W380"/>
  <c r="X172"/>
  <c r="V315"/>
  <c r="V52"/>
  <c r="X290"/>
  <c r="W377"/>
  <c r="W534"/>
  <c r="W42"/>
  <c r="V195"/>
  <c r="X348"/>
  <c r="X555"/>
  <c r="X114"/>
  <c r="W115"/>
  <c r="V357"/>
  <c r="V97"/>
  <c r="V323"/>
  <c r="W188"/>
  <c r="W262"/>
  <c r="X296"/>
  <c r="V539"/>
  <c r="V136"/>
  <c r="W361"/>
  <c r="V505"/>
  <c r="V347"/>
  <c r="V483"/>
  <c r="W154"/>
  <c r="W235"/>
  <c r="V159"/>
  <c r="W33"/>
  <c r="W463"/>
  <c r="X481"/>
  <c r="V210"/>
  <c r="W396"/>
  <c r="W144"/>
  <c r="X308"/>
  <c r="V549"/>
  <c r="W395"/>
  <c r="X512"/>
  <c r="W464"/>
  <c r="X442"/>
  <c r="X59"/>
  <c r="X22"/>
  <c r="V114"/>
  <c r="X51"/>
  <c r="V221"/>
  <c r="V422"/>
  <c r="W498"/>
  <c r="V373"/>
  <c r="W279"/>
  <c r="V494"/>
  <c r="V370"/>
  <c r="X15"/>
  <c r="V489"/>
  <c r="X400"/>
  <c r="W319"/>
  <c r="W516"/>
  <c r="W446"/>
  <c r="X301"/>
  <c r="X368"/>
  <c r="W38"/>
  <c r="W539"/>
  <c r="V166"/>
  <c r="V331"/>
  <c r="X470"/>
  <c r="W419"/>
  <c r="X254"/>
  <c r="W342"/>
  <c r="W445"/>
  <c r="W291"/>
  <c r="W379"/>
  <c r="V223"/>
  <c r="X276"/>
  <c r="X313"/>
  <c r="W493"/>
  <c r="W549"/>
  <c r="W452"/>
  <c r="X549"/>
  <c r="W298"/>
  <c r="X141"/>
  <c r="V302"/>
  <c r="V526"/>
  <c r="W402"/>
  <c r="X437"/>
  <c r="X14"/>
  <c r="X157"/>
  <c r="V163"/>
  <c r="V520"/>
  <c r="V36"/>
  <c r="X521"/>
  <c r="V38"/>
  <c r="V165"/>
  <c r="X42"/>
  <c r="W274"/>
  <c r="W216"/>
  <c r="V318"/>
  <c r="V215"/>
  <c r="W528"/>
  <c r="W343"/>
  <c r="W237"/>
  <c r="X169"/>
  <c r="V568"/>
  <c r="W407"/>
  <c r="W39"/>
  <c r="X386"/>
  <c r="W414"/>
  <c r="W48"/>
  <c r="W304"/>
  <c r="W259"/>
  <c r="W134"/>
  <c r="V19"/>
  <c r="X260"/>
  <c r="V484"/>
  <c r="X24"/>
  <c r="V322"/>
  <c r="X111"/>
  <c r="W111"/>
  <c r="X257"/>
  <c r="X143"/>
  <c r="V170"/>
  <c r="W436"/>
  <c r="W325"/>
  <c r="W146"/>
  <c r="V54"/>
  <c r="V450"/>
  <c r="X130"/>
  <c r="W138"/>
  <c r="W44"/>
  <c r="V423"/>
  <c r="V531"/>
  <c r="W507"/>
  <c r="W189"/>
  <c r="W350"/>
  <c r="W392"/>
  <c r="W418"/>
  <c r="W352"/>
  <c r="V461"/>
  <c r="X497"/>
  <c r="X461"/>
  <c r="X12"/>
  <c r="W249"/>
  <c r="X469"/>
  <c r="W443"/>
  <c r="V229"/>
  <c r="X388"/>
  <c r="V415"/>
  <c r="W273"/>
  <c r="X392"/>
  <c r="W244"/>
  <c r="V457"/>
  <c r="W481"/>
  <c r="W223"/>
  <c r="X33"/>
  <c r="X394"/>
  <c r="W185"/>
  <c r="W230"/>
  <c r="X537"/>
  <c r="W349"/>
  <c r="X107"/>
  <c r="X425"/>
  <c r="W366"/>
  <c r="W243"/>
  <c r="W503"/>
  <c r="V310"/>
  <c r="X206"/>
  <c r="W13"/>
  <c r="X533"/>
  <c r="X311"/>
  <c r="X190"/>
  <c r="W334"/>
  <c r="W140"/>
  <c r="X43"/>
  <c r="V530"/>
  <c r="V277"/>
  <c r="X363"/>
  <c r="V428"/>
  <c r="X134"/>
  <c r="V115"/>
  <c r="W162"/>
  <c r="V140"/>
  <c r="V238"/>
  <c r="W321"/>
  <c r="X353"/>
  <c r="X341"/>
  <c r="X433"/>
  <c r="X477"/>
  <c r="W412"/>
  <c r="V330"/>
  <c r="W197"/>
  <c r="V360"/>
  <c r="X9"/>
  <c r="X267"/>
  <c r="X507"/>
  <c r="V231"/>
  <c r="V169"/>
  <c r="V372"/>
  <c r="X403"/>
  <c r="V269"/>
  <c r="W53"/>
  <c r="X152"/>
  <c r="W177"/>
  <c r="V224"/>
  <c r="X408"/>
  <c r="W499"/>
  <c r="V524"/>
  <c r="X476"/>
  <c r="W198"/>
  <c r="V157"/>
  <c r="X32"/>
  <c r="W285"/>
  <c r="V147"/>
  <c r="W203"/>
  <c r="X563"/>
  <c r="W23"/>
  <c r="V152"/>
  <c r="W315"/>
  <c r="V401"/>
  <c r="X465"/>
  <c r="V430"/>
  <c r="X514"/>
  <c r="X527"/>
  <c r="V314"/>
  <c r="X270"/>
  <c r="V536"/>
  <c r="V305"/>
  <c r="X490"/>
  <c r="X108"/>
  <c r="W121"/>
  <c r="W371"/>
  <c r="W439"/>
  <c r="X174"/>
  <c r="W447"/>
  <c r="W546"/>
  <c r="V378"/>
  <c r="W449"/>
  <c r="V304"/>
  <c r="X379"/>
  <c r="X17"/>
  <c r="V153"/>
  <c r="V134"/>
  <c r="W192"/>
  <c r="V40"/>
  <c r="W561"/>
  <c r="V504"/>
  <c r="X518"/>
  <c r="V143"/>
  <c r="X511"/>
  <c r="X253"/>
  <c r="X383"/>
  <c r="V515"/>
  <c r="W423"/>
  <c r="V532"/>
  <c r="W425"/>
  <c r="V414"/>
  <c r="X21"/>
  <c r="X204"/>
  <c r="V349"/>
  <c r="X515"/>
  <c r="X142"/>
  <c r="V247"/>
  <c r="V300"/>
  <c r="V538"/>
  <c r="V47"/>
  <c r="X564"/>
  <c r="X47"/>
  <c r="X393"/>
  <c r="V316"/>
  <c r="V394"/>
  <c r="W465"/>
  <c r="X427"/>
  <c r="W310"/>
  <c r="X500"/>
  <c r="W36"/>
  <c r="V547"/>
  <c r="V271"/>
  <c r="X321"/>
  <c r="W488"/>
  <c r="V174"/>
  <c r="X218"/>
  <c r="X357"/>
  <c r="X535"/>
  <c r="V501"/>
  <c r="X297"/>
  <c r="V122"/>
  <c r="W251"/>
  <c r="W312"/>
  <c r="X216"/>
  <c r="X236"/>
  <c r="X164"/>
  <c r="X324"/>
  <c r="W149"/>
  <c r="X283"/>
  <c r="W496"/>
  <c r="V445"/>
  <c r="X309"/>
  <c r="V344"/>
  <c r="W212"/>
  <c r="W476"/>
  <c r="W187"/>
  <c r="V51"/>
  <c r="W508"/>
  <c r="X381"/>
  <c r="V6"/>
  <c r="X323"/>
  <c r="X553"/>
  <c r="V521"/>
  <c r="X405"/>
  <c r="W522"/>
  <c r="V129"/>
  <c r="V427"/>
  <c r="X11"/>
  <c r="X214"/>
  <c r="X240"/>
  <c r="V205"/>
  <c r="V56"/>
  <c r="V380"/>
  <c r="V191"/>
  <c r="W393"/>
  <c r="W509"/>
  <c r="W501"/>
  <c r="V33"/>
  <c r="V289"/>
  <c r="V440"/>
  <c r="V278"/>
  <c r="V17"/>
  <c r="X286"/>
  <c r="X245"/>
  <c r="V491"/>
  <c r="W390"/>
  <c r="V554"/>
  <c r="V233"/>
  <c r="V25"/>
  <c r="V23"/>
  <c r="X320"/>
  <c r="W297"/>
  <c r="W37"/>
  <c r="X530"/>
  <c r="X208"/>
  <c r="X207"/>
  <c r="V365"/>
  <c r="W17"/>
  <c r="X508"/>
  <c r="V424"/>
  <c r="V332"/>
  <c r="W471"/>
  <c r="V404"/>
  <c r="W345"/>
  <c r="V337"/>
  <c r="W551"/>
  <c r="X224"/>
  <c r="V13"/>
  <c r="V470"/>
  <c r="V454"/>
  <c r="X137"/>
  <c r="W49"/>
  <c r="X547"/>
  <c r="W108"/>
  <c r="X420"/>
  <c r="X122"/>
  <c r="V227"/>
  <c r="X456"/>
  <c r="W486"/>
  <c r="W316"/>
  <c r="W241"/>
  <c r="W485"/>
  <c r="V45"/>
  <c r="V353"/>
  <c r="X223"/>
  <c r="X217"/>
  <c r="W135"/>
  <c r="W511"/>
  <c r="X396"/>
  <c r="X282"/>
  <c r="X399"/>
  <c r="X440"/>
  <c r="V106"/>
  <c r="W225"/>
  <c r="W109"/>
  <c r="V459"/>
  <c r="V546"/>
  <c r="V387"/>
  <c r="V257"/>
  <c r="W139"/>
  <c r="W240"/>
  <c r="W26"/>
  <c r="V383"/>
  <c r="W184"/>
  <c r="V207"/>
  <c r="X560"/>
  <c r="X300"/>
  <c r="X173"/>
  <c r="X314"/>
  <c r="X213"/>
  <c r="X483"/>
  <c r="W344"/>
  <c r="X429"/>
  <c r="X522"/>
  <c r="X205"/>
  <c r="V161"/>
  <c r="X378"/>
  <c r="X158"/>
  <c r="X112"/>
  <c r="W504"/>
  <c r="V325"/>
  <c r="V338"/>
  <c r="W9"/>
  <c r="W451"/>
  <c r="W547"/>
  <c r="W145"/>
  <c r="X244"/>
  <c r="W521"/>
  <c r="V506"/>
  <c r="X263"/>
  <c r="V339"/>
  <c r="X26"/>
  <c r="X325"/>
  <c r="V145"/>
  <c r="X188"/>
  <c r="V107"/>
  <c r="W176"/>
  <c r="X306"/>
  <c r="X265"/>
  <c r="V193"/>
  <c r="W384"/>
  <c r="X329"/>
  <c r="W475"/>
  <c r="X451"/>
  <c r="X299"/>
  <c r="X376"/>
  <c r="V280"/>
  <c r="W415"/>
  <c r="W532"/>
  <c r="X57"/>
  <c r="V498"/>
  <c r="V426"/>
  <c r="W389"/>
  <c r="X441"/>
  <c r="V252"/>
  <c r="W245"/>
  <c r="V416"/>
  <c r="V292"/>
  <c r="V172"/>
  <c r="W457"/>
  <c r="W226"/>
  <c r="V188"/>
  <c r="W323"/>
  <c r="X139"/>
  <c r="X231"/>
  <c r="W400"/>
  <c r="X232"/>
  <c r="W300"/>
  <c r="V571"/>
  <c r="X432"/>
  <c r="X258"/>
  <c r="X339"/>
  <c r="W426"/>
  <c r="X203"/>
  <c r="V468"/>
  <c r="W160"/>
  <c r="W571"/>
  <c r="X192"/>
  <c r="V130"/>
  <c r="W233"/>
  <c r="W559"/>
  <c r="X27"/>
  <c r="X532"/>
  <c r="X302"/>
  <c r="W335"/>
  <c r="V198"/>
  <c r="X570"/>
  <c r="W385"/>
  <c r="W113"/>
  <c r="V363"/>
  <c r="X113"/>
  <c r="W174"/>
  <c r="W413"/>
  <c r="W280"/>
  <c r="X336"/>
  <c r="W365"/>
  <c r="X491"/>
  <c r="X406"/>
  <c r="X435"/>
  <c r="X127"/>
  <c r="X509"/>
  <c r="W369"/>
  <c r="V566"/>
  <c r="X281"/>
  <c r="X176"/>
  <c r="V569"/>
  <c r="W263"/>
  <c r="V391"/>
  <c r="V192"/>
  <c r="W360"/>
  <c r="W302"/>
  <c r="X349"/>
  <c r="V397"/>
  <c r="V523"/>
  <c r="W430"/>
  <c r="V497"/>
  <c r="X443"/>
  <c r="X184"/>
  <c r="V297"/>
  <c r="V288"/>
  <c r="V276"/>
  <c r="V550"/>
  <c r="W202"/>
  <c r="X475"/>
  <c r="V50"/>
  <c r="V367"/>
  <c r="W491"/>
  <c r="W277"/>
  <c r="V467"/>
  <c r="W131"/>
  <c r="X292"/>
  <c r="X285"/>
  <c r="X118"/>
  <c r="X397"/>
  <c r="W307"/>
  <c r="X56"/>
  <c r="W206"/>
  <c r="X165"/>
  <c r="V234"/>
  <c r="W293"/>
  <c r="X6"/>
  <c r="W362"/>
  <c r="W295"/>
  <c r="X271"/>
  <c r="W200"/>
  <c r="V230"/>
  <c r="V495"/>
  <c r="W328"/>
  <c r="W211"/>
  <c r="W171"/>
  <c r="W553"/>
  <c r="X562"/>
  <c r="W25"/>
  <c r="X246"/>
  <c r="V243"/>
  <c r="V179"/>
  <c r="W526"/>
  <c r="X519"/>
  <c r="V356"/>
  <c r="W30"/>
  <c r="V553"/>
  <c r="X288"/>
  <c r="V516"/>
  <c r="W495"/>
  <c r="W261"/>
  <c r="V472"/>
  <c r="W247"/>
  <c r="X517"/>
  <c r="V469"/>
  <c r="V105"/>
  <c r="X446"/>
  <c r="W6"/>
  <c r="W260"/>
  <c r="V519"/>
  <c r="V285"/>
  <c r="X241"/>
  <c r="W480"/>
  <c r="W348"/>
  <c r="W422"/>
  <c r="W557"/>
  <c r="V429"/>
  <c r="W450"/>
  <c r="X548"/>
  <c r="X565"/>
  <c r="X39"/>
  <c r="W16"/>
  <c r="X416"/>
  <c r="X494"/>
  <c r="V382"/>
  <c r="X333"/>
  <c r="W467"/>
  <c r="W11"/>
  <c r="W217"/>
  <c r="X450"/>
  <c r="W513"/>
  <c r="V213"/>
  <c r="V32"/>
  <c r="W28"/>
  <c r="X34"/>
  <c r="X539"/>
  <c r="X391"/>
  <c r="V34"/>
  <c r="V118"/>
  <c r="W186"/>
  <c r="X467"/>
  <c r="W505"/>
  <c r="W309"/>
  <c r="X162"/>
  <c r="W143"/>
  <c r="W410"/>
  <c r="X36"/>
  <c r="W255"/>
  <c r="V508"/>
  <c r="V399"/>
  <c r="V311"/>
  <c r="V256"/>
  <c r="V27"/>
  <c r="V334"/>
  <c r="X304"/>
  <c r="X268"/>
  <c r="V199"/>
  <c r="V217"/>
  <c r="V175"/>
  <c r="X495"/>
  <c r="W231"/>
  <c r="X275"/>
  <c r="W136"/>
  <c r="V453"/>
  <c r="V120"/>
  <c r="X196"/>
  <c r="W314"/>
  <c r="W398"/>
  <c r="W387"/>
  <c r="W394"/>
  <c r="V354"/>
  <c r="X40"/>
  <c r="W359"/>
  <c r="W555"/>
  <c r="W151"/>
  <c r="W157"/>
  <c r="V286"/>
  <c r="W459"/>
  <c r="V132"/>
  <c r="X384"/>
  <c r="V389"/>
  <c r="V403"/>
  <c r="X284"/>
  <c r="X228"/>
  <c r="W562"/>
  <c r="X359"/>
  <c r="W502"/>
  <c r="V418"/>
  <c r="V431"/>
  <c r="V476"/>
  <c r="X248"/>
  <c r="W548"/>
  <c r="W164"/>
  <c r="V48"/>
  <c r="X52"/>
  <c r="V190"/>
  <c r="W132"/>
  <c r="W477"/>
  <c r="W178"/>
  <c r="W221"/>
  <c r="V449"/>
  <c r="V15"/>
  <c r="X272"/>
  <c r="X199"/>
  <c r="V413"/>
  <c r="X542"/>
  <c r="W292"/>
  <c r="V327"/>
  <c r="V211"/>
  <c r="V245"/>
  <c r="W54"/>
  <c r="W355"/>
  <c r="X126"/>
  <c r="V181"/>
  <c r="V480"/>
  <c r="X119"/>
  <c r="V260"/>
  <c r="V492"/>
  <c r="V281"/>
  <c r="X316"/>
  <c r="V535"/>
  <c r="W473"/>
  <c r="W324"/>
  <c r="W238"/>
  <c r="W166"/>
  <c r="W378"/>
  <c r="V351"/>
  <c r="V272"/>
  <c r="X439"/>
  <c r="W517"/>
  <c r="V448"/>
  <c r="W57"/>
  <c r="V479"/>
  <c r="W306"/>
  <c r="V488"/>
  <c r="V425"/>
  <c r="W117"/>
  <c r="X569"/>
  <c r="W172"/>
  <c r="V433"/>
  <c r="V208"/>
  <c r="W214"/>
  <c r="V352"/>
  <c r="X414"/>
  <c r="X247"/>
  <c r="W252"/>
  <c r="X480"/>
  <c r="W180"/>
  <c r="X191"/>
  <c r="V552"/>
  <c r="W12"/>
  <c r="V235"/>
  <c r="X411"/>
  <c r="W308"/>
  <c r="X484"/>
  <c r="V446"/>
  <c r="X178"/>
  <c r="X182"/>
  <c r="X342"/>
  <c r="V408"/>
  <c r="W222"/>
  <c r="W543"/>
  <c r="X572"/>
  <c r="W282"/>
  <c r="V282"/>
  <c r="V475"/>
  <c r="X385"/>
  <c r="X29"/>
  <c r="X566"/>
  <c r="X149"/>
  <c r="X256"/>
  <c r="X294"/>
  <c r="X135"/>
  <c r="X367"/>
  <c r="X355"/>
  <c r="W399"/>
  <c r="W50"/>
  <c r="W301"/>
  <c r="W288"/>
  <c r="X552"/>
  <c r="W432"/>
  <c r="W356"/>
  <c r="X382"/>
  <c r="V361"/>
  <c r="V46"/>
  <c r="W161"/>
  <c r="W257"/>
  <c r="W228"/>
  <c r="X183"/>
  <c r="X422"/>
  <c r="W346"/>
  <c r="V335"/>
  <c r="X415"/>
  <c r="X319"/>
  <c r="W431"/>
  <c r="W123"/>
  <c r="W438"/>
  <c r="V197"/>
  <c r="V294"/>
  <c r="W218"/>
  <c r="V407"/>
  <c r="V452"/>
  <c r="W533"/>
  <c r="W147"/>
  <c r="V348"/>
  <c r="X454"/>
  <c r="W406"/>
  <c r="V485"/>
  <c r="W155"/>
  <c r="V263"/>
  <c r="X153"/>
  <c r="W34"/>
  <c r="V283"/>
  <c r="V359"/>
  <c r="W59"/>
  <c r="V522"/>
  <c r="W207"/>
  <c r="W570"/>
  <c r="W276"/>
  <c r="X544"/>
  <c r="W382"/>
  <c r="W535"/>
  <c r="W283"/>
  <c r="V441"/>
  <c r="X474"/>
  <c r="W397"/>
  <c r="V375"/>
  <c r="X524"/>
  <c r="W167"/>
  <c r="W424"/>
  <c r="W215"/>
  <c r="X185"/>
  <c r="V381"/>
  <c r="V570"/>
  <c r="W455"/>
  <c r="V167"/>
  <c r="X364"/>
  <c r="V437"/>
  <c r="W127"/>
  <c r="X464"/>
  <c r="V274"/>
  <c r="V406"/>
  <c r="X340"/>
  <c r="X123"/>
  <c r="W433"/>
  <c r="W568"/>
  <c r="W565"/>
  <c r="V149"/>
  <c r="X369"/>
  <c r="X571"/>
  <c r="V57"/>
  <c r="V12"/>
  <c r="V528"/>
  <c r="V564"/>
  <c r="X445"/>
  <c r="X291"/>
  <c r="W267"/>
  <c r="V264"/>
  <c r="W183"/>
  <c r="X187"/>
  <c r="V173"/>
  <c r="V268"/>
  <c r="W173"/>
  <c r="W544"/>
  <c r="V218"/>
  <c r="W258"/>
  <c r="X526"/>
  <c r="X20"/>
  <c r="X293"/>
  <c r="V555"/>
  <c r="X177"/>
  <c r="W358"/>
  <c r="V393"/>
  <c r="V477"/>
  <c r="W492"/>
  <c r="W266"/>
  <c r="X462"/>
  <c r="X412"/>
  <c r="W268"/>
  <c r="X146"/>
  <c r="W564"/>
  <c r="X273"/>
  <c r="V126"/>
  <c r="V561"/>
  <c r="X215"/>
  <c r="V9"/>
  <c r="X370"/>
  <c r="X389"/>
  <c r="V537"/>
  <c r="X219"/>
  <c r="X179"/>
  <c r="X166"/>
  <c r="W332"/>
  <c r="X49"/>
  <c r="X334"/>
  <c r="X478"/>
  <c r="W236"/>
  <c r="X554"/>
  <c r="W497"/>
  <c r="W569"/>
  <c r="X252"/>
  <c r="V44"/>
  <c r="W219"/>
  <c r="W388"/>
  <c r="W351"/>
  <c r="V345"/>
  <c r="V362"/>
  <c r="X129"/>
  <c r="V127"/>
  <c r="V55"/>
  <c r="X41"/>
  <c r="X124"/>
  <c r="X536"/>
  <c r="X421"/>
  <c r="X545"/>
  <c r="X230"/>
  <c r="V379"/>
  <c r="V30"/>
  <c r="X487"/>
  <c r="V189"/>
  <c r="W289"/>
  <c r="X310"/>
  <c r="X315"/>
  <c r="W130"/>
  <c r="V464"/>
  <c r="X471"/>
  <c r="X503"/>
  <c r="X546"/>
  <c r="X541"/>
  <c r="V112"/>
  <c r="W264"/>
  <c r="X35"/>
  <c r="W437"/>
  <c r="X136"/>
  <c r="V333"/>
  <c r="V121"/>
  <c r="W326"/>
  <c r="V411"/>
  <c r="X523"/>
  <c r="W383"/>
  <c r="V31"/>
  <c r="X138"/>
  <c r="X345"/>
  <c r="V420"/>
  <c r="V507"/>
  <c r="V487"/>
  <c r="X463"/>
  <c r="W545"/>
  <c r="V490"/>
  <c r="W472"/>
  <c r="V41"/>
  <c r="V556"/>
  <c r="X525"/>
  <c r="V275"/>
  <c r="V298"/>
  <c r="W518"/>
  <c r="X250"/>
  <c r="V572"/>
  <c r="V194"/>
  <c r="W313"/>
  <c r="V299"/>
  <c r="W275"/>
  <c r="X418"/>
  <c r="W287"/>
  <c r="W560"/>
  <c r="V473"/>
  <c r="W110"/>
  <c r="X424"/>
  <c r="V303"/>
  <c r="X330"/>
  <c r="X351"/>
  <c r="W152"/>
  <c r="X423"/>
  <c r="W409"/>
  <c r="X220"/>
  <c r="X327"/>
  <c r="V141"/>
  <c r="W209"/>
  <c r="X161"/>
  <c r="V7"/>
  <c r="X147"/>
  <c r="W246"/>
  <c r="V117"/>
  <c r="V150"/>
  <c r="V212"/>
  <c r="V244"/>
  <c r="W250"/>
  <c r="X54"/>
  <c r="W159"/>
  <c r="X561"/>
  <c r="X159"/>
  <c r="X496"/>
  <c r="V226"/>
  <c r="W435"/>
  <c r="W199"/>
  <c r="X337"/>
  <c r="V43"/>
  <c r="W354"/>
  <c r="X360"/>
  <c r="V540"/>
  <c r="V543"/>
  <c r="X116"/>
  <c r="W540"/>
  <c r="W500"/>
  <c r="W234"/>
  <c r="V270"/>
  <c r="W368"/>
  <c r="V402"/>
  <c r="X567"/>
  <c r="V11"/>
  <c r="W403"/>
  <c r="X449"/>
  <c r="X444"/>
  <c r="X249"/>
  <c r="X277"/>
  <c r="X343"/>
  <c r="X151"/>
  <c r="W195"/>
  <c r="W124"/>
  <c r="V451"/>
  <c r="V29"/>
  <c r="W458"/>
  <c r="X295"/>
  <c r="V374"/>
  <c r="X48"/>
  <c r="V119"/>
  <c r="X538"/>
  <c r="V458"/>
  <c r="W55"/>
  <c r="V388"/>
  <c r="V525"/>
  <c r="X280"/>
  <c r="V460"/>
  <c r="X361"/>
  <c r="V541"/>
  <c r="X417"/>
  <c r="X222"/>
  <c r="X395"/>
  <c r="V319"/>
  <c r="W220"/>
  <c r="V557"/>
  <c r="X472"/>
  <c r="X279"/>
  <c r="V499"/>
  <c r="W347"/>
  <c r="X493"/>
  <c r="X501"/>
  <c r="W46"/>
  <c r="X210"/>
  <c r="W453"/>
  <c r="W572"/>
  <c r="V253"/>
  <c r="W15"/>
  <c r="V58"/>
  <c r="V214"/>
  <c r="W367"/>
  <c r="V358"/>
  <c r="X58"/>
  <c r="X233"/>
  <c r="X16"/>
  <c r="W248"/>
  <c r="X255"/>
  <c r="V565"/>
  <c r="V510"/>
  <c r="W519"/>
  <c r="X426"/>
  <c r="X488"/>
  <c r="X482"/>
  <c r="X375"/>
  <c r="W404"/>
  <c r="W47"/>
  <c r="W444"/>
  <c r="V346"/>
  <c r="W331"/>
  <c r="X401"/>
  <c r="W311"/>
  <c r="W20"/>
  <c r="X154"/>
  <c r="W229"/>
  <c r="V26"/>
  <c r="X486"/>
  <c r="V390"/>
  <c r="V336"/>
  <c r="V376"/>
  <c r="W142"/>
  <c r="X550"/>
  <c r="X243"/>
  <c r="W469"/>
  <c r="V225"/>
  <c r="V184"/>
  <c r="V220"/>
  <c r="X28"/>
  <c r="X227"/>
  <c r="X371"/>
  <c r="W119"/>
  <c r="V296"/>
  <c r="W494"/>
  <c r="W265"/>
  <c r="W181"/>
  <c r="W125"/>
  <c r="V529"/>
  <c r="W363"/>
  <c r="X202"/>
  <c r="X160"/>
  <c r="X430"/>
  <c r="V37"/>
  <c r="X356"/>
  <c r="V236"/>
  <c r="X181"/>
  <c r="X402"/>
  <c r="V377"/>
  <c r="V8"/>
  <c r="W429"/>
  <c r="W531"/>
  <c r="W381"/>
  <c r="X115"/>
  <c r="X30"/>
  <c r="X55"/>
  <c r="V312"/>
  <c r="X551"/>
  <c r="X447"/>
  <c r="W227"/>
  <c r="X128"/>
  <c r="X238"/>
  <c r="X156"/>
  <c r="W182"/>
  <c r="X175"/>
  <c r="V279"/>
  <c r="X262"/>
  <c r="W232"/>
  <c r="W269"/>
  <c r="V258"/>
  <c r="X168"/>
  <c r="W536"/>
  <c r="W128"/>
  <c r="V308"/>
  <c r="X365"/>
  <c r="W196"/>
  <c r="V527"/>
  <c r="W137"/>
  <c r="X377"/>
  <c r="W191"/>
  <c r="V562"/>
  <c r="V313"/>
  <c r="X209"/>
  <c r="V261"/>
  <c r="W271"/>
  <c r="V49"/>
  <c r="V409"/>
  <c r="W253"/>
  <c r="W153"/>
  <c r="X167"/>
  <c r="X201"/>
  <c r="W470"/>
  <c r="X237"/>
  <c r="X19"/>
  <c r="X312"/>
  <c r="W175"/>
  <c r="V384"/>
  <c r="V512"/>
  <c r="V242"/>
  <c r="V125"/>
  <c r="X180"/>
  <c r="X479"/>
  <c r="X505"/>
  <c r="X434"/>
  <c r="V466"/>
  <c r="W563"/>
  <c r="V287"/>
  <c r="W45"/>
  <c r="W454"/>
  <c r="V209"/>
  <c r="X53"/>
  <c r="V39"/>
  <c r="V465"/>
  <c r="V16"/>
  <c r="V135"/>
  <c r="X226"/>
  <c r="X559"/>
  <c r="W327"/>
  <c r="X431"/>
  <c r="V369"/>
  <c r="X413"/>
  <c r="W51"/>
  <c r="V142"/>
  <c r="X305"/>
  <c r="W417"/>
  <c r="W567"/>
  <c r="V447"/>
  <c r="W420"/>
  <c r="X193"/>
  <c r="W148"/>
  <c r="V481"/>
  <c r="V178"/>
  <c r="X347"/>
  <c r="W411"/>
  <c r="V267"/>
  <c r="W428"/>
  <c r="V180"/>
  <c r="W296"/>
  <c r="V237"/>
  <c r="X212"/>
  <c r="V219"/>
  <c r="X46"/>
  <c r="X531"/>
  <c r="W40"/>
  <c r="W299"/>
  <c r="W165"/>
  <c r="X460"/>
  <c r="W158"/>
  <c r="W462"/>
  <c r="W10"/>
  <c r="V350"/>
  <c r="W7"/>
  <c r="V295"/>
  <c r="X504"/>
  <c r="X513"/>
  <c r="V324"/>
  <c r="W442"/>
  <c r="V246"/>
  <c r="V290"/>
  <c r="W338"/>
  <c r="X485"/>
  <c r="X338"/>
  <c r="X251"/>
  <c r="V366"/>
  <c r="V444"/>
  <c r="W434"/>
  <c r="V496"/>
  <c r="V240"/>
  <c r="X7"/>
  <c r="V434"/>
  <c r="V341"/>
  <c r="X489"/>
  <c r="W52"/>
  <c r="V443"/>
  <c r="V438"/>
  <c r="W416"/>
  <c r="X374"/>
  <c r="X264"/>
  <c r="X234"/>
  <c r="X529"/>
  <c r="V368"/>
  <c r="X269"/>
  <c r="X502"/>
  <c r="X358"/>
  <c r="W408"/>
  <c r="X221"/>
  <c r="W286"/>
  <c r="W524"/>
  <c r="X380"/>
  <c r="V329"/>
  <c r="X354"/>
  <c r="V187"/>
  <c r="V463"/>
  <c r="V533"/>
  <c r="W370"/>
  <c r="W466"/>
  <c r="V371"/>
  <c r="X498"/>
  <c r="V24"/>
  <c r="V482"/>
  <c r="W21"/>
  <c r="V514"/>
  <c r="V563"/>
  <c r="V544"/>
  <c r="W193"/>
  <c r="X350"/>
  <c r="W35"/>
  <c r="W194"/>
  <c r="V201"/>
  <c r="W22"/>
  <c r="X534"/>
  <c r="W210"/>
  <c r="V567"/>
  <c r="V320"/>
  <c r="V478"/>
  <c r="V503"/>
  <c r="W401"/>
  <c r="V385"/>
  <c r="W510"/>
  <c r="X125"/>
  <c r="W270"/>
  <c r="W239"/>
  <c r="W322"/>
  <c r="X452"/>
  <c r="V53"/>
  <c r="X289"/>
  <c r="X140"/>
  <c r="W320"/>
  <c r="V185"/>
  <c r="W506"/>
  <c r="X410"/>
  <c r="V493"/>
  <c r="V18"/>
  <c r="V202"/>
  <c r="W31"/>
  <c r="X407"/>
  <c r="W141"/>
  <c r="V500"/>
  <c r="V168"/>
  <c r="W456"/>
  <c r="V10"/>
  <c r="X510"/>
  <c r="V196"/>
  <c r="X428"/>
  <c r="W281"/>
  <c r="V442"/>
  <c r="W81" i="7" l="1"/>
  <c r="W82" l="1"/>
  <c r="W83" l="1"/>
  <c r="W84" l="1"/>
  <c r="W85" l="1"/>
  <c r="W86" l="1"/>
  <c r="W87" l="1"/>
  <c r="W88" l="1"/>
  <c r="W89" l="1"/>
  <c r="W90" l="1"/>
  <c r="W91" l="1"/>
  <c r="W92" l="1"/>
  <c r="W93" l="1"/>
  <c r="W94" l="1"/>
  <c r="W95" l="1"/>
  <c r="W96" l="1"/>
  <c r="W97" l="1"/>
  <c r="W98" l="1"/>
  <c r="W99" l="1"/>
  <c r="W100" l="1"/>
  <c r="W101" l="1"/>
  <c r="W102" l="1"/>
  <c r="W103" l="1"/>
  <c r="W104" l="1"/>
  <c r="W105" l="1"/>
  <c r="W106" l="1"/>
  <c r="W107" l="1"/>
  <c r="W108" l="1"/>
  <c r="W109" l="1"/>
  <c r="W110" l="1"/>
  <c r="W111" l="1"/>
  <c r="W112" l="1"/>
  <c r="W113" l="1"/>
  <c r="W114" l="1"/>
  <c r="W115" l="1"/>
  <c r="W116" l="1"/>
  <c r="W117" l="1"/>
  <c r="W118" l="1"/>
  <c r="N3" i="6" l="1"/>
  <c r="O3" s="1"/>
  <c r="N4"/>
  <c r="O4" s="1"/>
  <c r="N5"/>
  <c r="O5" s="1"/>
  <c r="N6"/>
  <c r="O6" s="1"/>
  <c r="N7"/>
  <c r="O7" s="1"/>
  <c r="N9"/>
  <c r="O9" s="1"/>
  <c r="N10"/>
  <c r="O10" s="1"/>
  <c r="N11"/>
  <c r="O11" s="1"/>
  <c r="N12"/>
  <c r="O12" s="1"/>
  <c r="N13"/>
  <c r="O13" s="1"/>
  <c r="N14"/>
  <c r="O14" s="1"/>
  <c r="N15"/>
  <c r="O15" s="1"/>
  <c r="N16"/>
  <c r="O16" s="1"/>
  <c r="N18"/>
  <c r="O18" s="1"/>
  <c r="N19"/>
  <c r="O19" s="1"/>
  <c r="N20"/>
  <c r="O20" s="1"/>
  <c r="N21"/>
  <c r="O21" s="1"/>
  <c r="N22"/>
  <c r="O22" s="1"/>
  <c r="N23"/>
  <c r="O23" s="1"/>
  <c r="N24"/>
  <c r="O24" s="1"/>
  <c r="N25"/>
  <c r="O25" s="1"/>
  <c r="N27"/>
  <c r="O27" s="1"/>
  <c r="N28"/>
  <c r="O28" s="1"/>
  <c r="N29"/>
  <c r="O29" s="1"/>
  <c r="N30"/>
  <c r="O30" s="1"/>
  <c r="N31"/>
  <c r="O31" s="1"/>
  <c r="N32"/>
  <c r="O32" s="1"/>
  <c r="N33"/>
  <c r="O33" s="1"/>
  <c r="N34"/>
  <c r="O34" s="1"/>
  <c r="N36"/>
  <c r="O36" s="1"/>
  <c r="N37"/>
  <c r="O37" s="1"/>
  <c r="N38"/>
  <c r="O38" s="1"/>
  <c r="N39"/>
  <c r="O39" s="1"/>
  <c r="N40"/>
  <c r="O40" s="1"/>
  <c r="N41"/>
  <c r="O41" s="1"/>
  <c r="N42"/>
  <c r="O42" s="1"/>
  <c r="N43"/>
  <c r="O43" s="1"/>
  <c r="N45"/>
  <c r="O45" s="1"/>
  <c r="N46"/>
  <c r="O46" s="1"/>
  <c r="N47"/>
  <c r="O47" s="1"/>
  <c r="N48"/>
  <c r="O48" s="1"/>
  <c r="N49"/>
  <c r="O49" s="1"/>
  <c r="N50"/>
  <c r="O50" s="1"/>
  <c r="N51"/>
  <c r="O51" s="1"/>
  <c r="N52"/>
  <c r="O52" s="1"/>
  <c r="N54"/>
  <c r="O54" s="1"/>
  <c r="N55"/>
  <c r="O55" s="1"/>
  <c r="N56"/>
  <c r="O56" s="1"/>
  <c r="N57"/>
  <c r="O57" s="1"/>
  <c r="N58"/>
  <c r="O58" s="1"/>
  <c r="N60"/>
  <c r="O60" s="1"/>
  <c r="N61"/>
  <c r="O61" s="1"/>
  <c r="N62"/>
  <c r="O62" s="1"/>
  <c r="N63"/>
  <c r="O63" s="1"/>
  <c r="N64"/>
  <c r="O64" s="1"/>
  <c r="N65"/>
  <c r="O65" s="1"/>
  <c r="N66"/>
  <c r="O66" s="1"/>
  <c r="N67"/>
  <c r="O67" s="1"/>
  <c r="N69"/>
  <c r="O69" s="1"/>
  <c r="N70"/>
  <c r="O70" s="1"/>
  <c r="N71"/>
  <c r="O71" s="1"/>
  <c r="N72"/>
  <c r="O72" s="1"/>
  <c r="N73"/>
  <c r="O73" s="1"/>
  <c r="N74"/>
  <c r="O74" s="1"/>
  <c r="N75"/>
  <c r="O75" s="1"/>
  <c r="N76"/>
  <c r="O76" s="1"/>
  <c r="N78"/>
  <c r="O78" s="1"/>
  <c r="N79"/>
  <c r="O79" s="1"/>
  <c r="N80"/>
  <c r="O80" s="1"/>
  <c r="N137"/>
  <c r="O137" s="1"/>
  <c r="N138"/>
  <c r="O138" s="1"/>
  <c r="N139"/>
  <c r="O139" s="1"/>
  <c r="N140"/>
  <c r="O140" s="1"/>
  <c r="N141"/>
  <c r="O141" s="1"/>
  <c r="N142"/>
  <c r="O142" s="1"/>
  <c r="N144"/>
  <c r="O144" s="1"/>
  <c r="N145"/>
  <c r="O145" s="1"/>
  <c r="N146"/>
  <c r="O146" s="1"/>
  <c r="N147"/>
  <c r="O147" s="1"/>
  <c r="N148"/>
  <c r="O148" s="1"/>
  <c r="N149"/>
  <c r="O149" s="1"/>
  <c r="N150"/>
  <c r="O150" s="1"/>
  <c r="N151"/>
  <c r="O151" s="1"/>
  <c r="N153"/>
  <c r="O153" s="1"/>
  <c r="N154"/>
  <c r="O154" s="1"/>
  <c r="N155"/>
  <c r="O155" s="1"/>
  <c r="N156"/>
  <c r="O156" s="1"/>
  <c r="N157"/>
  <c r="O157" s="1"/>
  <c r="N158"/>
  <c r="O158" s="1"/>
  <c r="N159"/>
  <c r="O159" s="1"/>
  <c r="N160"/>
  <c r="O160" s="1"/>
  <c r="N162"/>
  <c r="O162" s="1"/>
  <c r="N163"/>
  <c r="O163" s="1"/>
  <c r="N164"/>
  <c r="O164" s="1"/>
  <c r="N165"/>
  <c r="O165" s="1"/>
  <c r="N166"/>
  <c r="O166" s="1"/>
  <c r="N167"/>
  <c r="O167" s="1"/>
  <c r="N168"/>
  <c r="O168" s="1"/>
  <c r="N169"/>
  <c r="O169" s="1"/>
  <c r="N171"/>
  <c r="O171" s="1"/>
  <c r="N172"/>
  <c r="O172" s="1"/>
  <c r="N173"/>
  <c r="O173" s="1"/>
  <c r="N174"/>
  <c r="O174" s="1"/>
  <c r="N175"/>
  <c r="O175" s="1"/>
  <c r="N176"/>
  <c r="O176" s="1"/>
  <c r="N177"/>
  <c r="O177" s="1"/>
  <c r="N178"/>
  <c r="O178" s="1"/>
  <c r="N180"/>
  <c r="O180" s="1"/>
  <c r="N181"/>
  <c r="O181" s="1"/>
  <c r="N182"/>
  <c r="O182" s="1"/>
  <c r="N183"/>
  <c r="O183" s="1"/>
  <c r="N184"/>
  <c r="O184" s="1"/>
  <c r="N185"/>
  <c r="O185" s="1"/>
  <c r="N186"/>
  <c r="O186" s="1"/>
  <c r="N187"/>
  <c r="O187" s="1"/>
  <c r="N189"/>
  <c r="O189" s="1"/>
  <c r="N190"/>
  <c r="O190" s="1"/>
  <c r="N191"/>
  <c r="O191" s="1"/>
  <c r="N192"/>
  <c r="O192" s="1"/>
  <c r="N193"/>
  <c r="O193" s="1"/>
  <c r="N195"/>
  <c r="O195" s="1"/>
  <c r="N196"/>
  <c r="O196" s="1"/>
  <c r="N197"/>
  <c r="O197" s="1"/>
  <c r="N198"/>
  <c r="O198" s="1"/>
  <c r="N199"/>
  <c r="O199" s="1"/>
  <c r="N200"/>
  <c r="O200" s="1"/>
  <c r="N201"/>
  <c r="O201" s="1"/>
  <c r="N202"/>
  <c r="O202" s="1"/>
  <c r="N204"/>
  <c r="O204" s="1"/>
  <c r="N205"/>
  <c r="O205" s="1"/>
  <c r="N206"/>
  <c r="O206" s="1"/>
  <c r="N207"/>
  <c r="O207" s="1"/>
  <c r="N208"/>
  <c r="O208" s="1"/>
  <c r="N209"/>
  <c r="O209" s="1"/>
  <c r="N210"/>
  <c r="O210" s="1"/>
  <c r="N211"/>
  <c r="O211" s="1"/>
  <c r="N213"/>
  <c r="O213" s="1"/>
  <c r="N214"/>
  <c r="O214" s="1"/>
  <c r="N215"/>
  <c r="O215" s="1"/>
  <c r="N272"/>
  <c r="O272" s="1"/>
  <c r="N273"/>
  <c r="O273" s="1"/>
  <c r="N274"/>
  <c r="O274" s="1"/>
  <c r="N275"/>
  <c r="O275" s="1"/>
  <c r="N276"/>
  <c r="O276" s="1"/>
  <c r="N277"/>
  <c r="O277" s="1"/>
  <c r="N279"/>
  <c r="O279" s="1"/>
  <c r="N280"/>
  <c r="O280" s="1"/>
  <c r="N281"/>
  <c r="O281" s="1"/>
  <c r="N282"/>
  <c r="O282" s="1"/>
  <c r="N283"/>
  <c r="O283" s="1"/>
  <c r="N284"/>
  <c r="O284" s="1"/>
  <c r="N285"/>
  <c r="O285" s="1"/>
  <c r="N286"/>
  <c r="O286" s="1"/>
  <c r="N288"/>
  <c r="O288" s="1"/>
  <c r="N289"/>
  <c r="O289" s="1"/>
  <c r="N290"/>
  <c r="O290" s="1"/>
  <c r="N291"/>
  <c r="O291" s="1"/>
  <c r="N292"/>
  <c r="O292" s="1"/>
  <c r="N293"/>
  <c r="O293" s="1"/>
  <c r="N294"/>
  <c r="O294" s="1"/>
  <c r="N295"/>
  <c r="O295" s="1"/>
  <c r="N297"/>
  <c r="O297" s="1"/>
  <c r="N298"/>
  <c r="O298" s="1"/>
  <c r="N299"/>
  <c r="O299" s="1"/>
  <c r="N300"/>
  <c r="O300" s="1"/>
  <c r="N301"/>
  <c r="O301" s="1"/>
  <c r="N302"/>
  <c r="O302" s="1"/>
  <c r="N303"/>
  <c r="O303" s="1"/>
  <c r="N304"/>
  <c r="O304" s="1"/>
  <c r="N306"/>
  <c r="O306" s="1"/>
  <c r="N307"/>
  <c r="O307" s="1"/>
  <c r="N308"/>
  <c r="O308" s="1"/>
  <c r="N309"/>
  <c r="O309" s="1"/>
  <c r="N310"/>
  <c r="O310" s="1"/>
  <c r="N311"/>
  <c r="O311" s="1"/>
  <c r="N312"/>
  <c r="O312" s="1"/>
  <c r="N313"/>
  <c r="O313" s="1"/>
  <c r="N315"/>
  <c r="O315" s="1"/>
  <c r="N316"/>
  <c r="O316" s="1"/>
  <c r="N317"/>
  <c r="O317" s="1"/>
  <c r="N318"/>
  <c r="O318" s="1"/>
  <c r="N319"/>
  <c r="O319" s="1"/>
  <c r="N320"/>
  <c r="O320" s="1"/>
  <c r="N321"/>
  <c r="O321" s="1"/>
  <c r="N322"/>
  <c r="O322" s="1"/>
  <c r="N324"/>
  <c r="O324" s="1"/>
  <c r="N325"/>
  <c r="O325" s="1"/>
  <c r="N326"/>
  <c r="O326" s="1"/>
  <c r="N327"/>
  <c r="O327" s="1"/>
  <c r="N328"/>
  <c r="O328" s="1"/>
  <c r="N330"/>
  <c r="O330" s="1"/>
  <c r="N331"/>
  <c r="O331" s="1"/>
  <c r="N332"/>
  <c r="O332" s="1"/>
  <c r="N333"/>
  <c r="O333" s="1"/>
  <c r="N334"/>
  <c r="O334" s="1"/>
  <c r="N335"/>
  <c r="O335" s="1"/>
  <c r="N336"/>
  <c r="O336" s="1"/>
  <c r="N337"/>
  <c r="O337" s="1"/>
  <c r="N339"/>
  <c r="O339" s="1"/>
  <c r="N340"/>
  <c r="O340" s="1"/>
  <c r="N341"/>
  <c r="O341" s="1"/>
  <c r="N342"/>
  <c r="O342" s="1"/>
  <c r="N343"/>
  <c r="O343" s="1"/>
  <c r="N344"/>
  <c r="O344" s="1"/>
  <c r="N345"/>
  <c r="O345" s="1"/>
  <c r="N346"/>
  <c r="O346" s="1"/>
  <c r="N348"/>
  <c r="O348" s="1"/>
  <c r="N349"/>
  <c r="O349" s="1"/>
  <c r="N350"/>
  <c r="O350" s="1"/>
  <c r="N152" l="1"/>
  <c r="O152" s="1"/>
  <c r="N68"/>
  <c r="O68" s="1"/>
  <c r="N44"/>
  <c r="O44" s="1"/>
  <c r="N329"/>
  <c r="O329" s="1"/>
  <c r="N338"/>
  <c r="O338" s="1"/>
  <c r="N314"/>
  <c r="O314" s="1"/>
  <c r="N278"/>
  <c r="O278" s="1"/>
  <c r="N194"/>
  <c r="O194" s="1"/>
  <c r="N170"/>
  <c r="O170" s="1"/>
  <c r="N26"/>
  <c r="O26" s="1"/>
  <c r="N296"/>
  <c r="O296" s="1"/>
  <c r="N212"/>
  <c r="O212" s="1"/>
  <c r="N188"/>
  <c r="O188" s="1"/>
  <c r="N8"/>
  <c r="O8" s="1"/>
  <c r="N305"/>
  <c r="O305" s="1"/>
  <c r="N161"/>
  <c r="O161" s="1"/>
  <c r="N77"/>
  <c r="O77" s="1"/>
  <c r="N53"/>
  <c r="O53" s="1"/>
  <c r="N17"/>
  <c r="O17" s="1"/>
  <c r="N2"/>
  <c r="O2" s="1"/>
  <c r="N347"/>
  <c r="O347" s="1"/>
  <c r="N323"/>
  <c r="O323" s="1"/>
  <c r="N287"/>
  <c r="O287" s="1"/>
  <c r="N203"/>
  <c r="O203" s="1"/>
  <c r="N179"/>
  <c r="O179" s="1"/>
  <c r="N143"/>
  <c r="O143" s="1"/>
  <c r="N59"/>
  <c r="O59" s="1"/>
  <c r="N35"/>
  <c r="O35" s="1"/>
  <c r="N351" l="1"/>
  <c r="O351" s="1"/>
  <c r="N352"/>
  <c r="O352" s="1"/>
  <c r="N82"/>
  <c r="O82" s="1"/>
  <c r="N81"/>
  <c r="O81" s="1"/>
  <c r="N217"/>
  <c r="O217" s="1"/>
  <c r="N216"/>
  <c r="O216" s="1"/>
  <c r="N86" l="1"/>
  <c r="O86" s="1"/>
  <c r="N83"/>
  <c r="O83" s="1"/>
  <c r="N219"/>
  <c r="O219" s="1"/>
  <c r="N353"/>
  <c r="O353" s="1"/>
  <c r="N218"/>
  <c r="O218" s="1"/>
  <c r="N354"/>
  <c r="O354" s="1"/>
  <c r="N84"/>
  <c r="O84" s="1"/>
  <c r="N90"/>
  <c r="O90" s="1"/>
  <c r="N85"/>
  <c r="O85" s="1"/>
  <c r="N357"/>
  <c r="O357" s="1"/>
  <c r="N220"/>
  <c r="O220" s="1"/>
  <c r="N222"/>
  <c r="O222" s="1"/>
  <c r="N87"/>
  <c r="O87" s="1"/>
  <c r="N224"/>
  <c r="O224" s="1"/>
  <c r="N355"/>
  <c r="O355" s="1"/>
  <c r="N221" l="1"/>
  <c r="O221" s="1"/>
  <c r="N356"/>
  <c r="O356" s="1"/>
  <c r="N360"/>
  <c r="O360" s="1"/>
  <c r="N223"/>
  <c r="O223" s="1"/>
  <c r="N358"/>
  <c r="O358" s="1"/>
  <c r="N88"/>
  <c r="O88" s="1"/>
  <c r="N225"/>
  <c r="O225" s="1"/>
  <c r="N359"/>
  <c r="O359" s="1"/>
  <c r="N89"/>
  <c r="O89" s="1"/>
  <c r="N227" l="1"/>
  <c r="O227" s="1"/>
  <c r="N92"/>
  <c r="O92" s="1"/>
  <c r="N361"/>
  <c r="O361" s="1"/>
  <c r="N228"/>
  <c r="O228" s="1"/>
  <c r="N362"/>
  <c r="O362" s="1"/>
  <c r="N363"/>
  <c r="O363" s="1"/>
  <c r="N93"/>
  <c r="O93" s="1"/>
  <c r="N91"/>
  <c r="O91" s="1"/>
  <c r="N226"/>
  <c r="O226" s="1"/>
  <c r="N365" l="1"/>
  <c r="O365" s="1"/>
  <c r="N96"/>
  <c r="O96" s="1"/>
  <c r="N366"/>
  <c r="O366" s="1"/>
  <c r="N94"/>
  <c r="O94" s="1"/>
  <c r="N229"/>
  <c r="O229" s="1"/>
  <c r="N233"/>
  <c r="O233" s="1"/>
  <c r="N232"/>
  <c r="O232" s="1"/>
  <c r="N98"/>
  <c r="O98" s="1"/>
  <c r="N364"/>
  <c r="O364" s="1"/>
  <c r="N231"/>
  <c r="O231" s="1"/>
  <c r="N95" l="1"/>
  <c r="O95" s="1"/>
  <c r="N230"/>
  <c r="O230" s="1"/>
  <c r="N235"/>
  <c r="O235" s="1"/>
  <c r="N234"/>
  <c r="O234" s="1"/>
  <c r="N238" l="1"/>
  <c r="O238" s="1"/>
  <c r="N371"/>
  <c r="O371" s="1"/>
  <c r="N377" l="1"/>
  <c r="O377" s="1"/>
  <c r="N99" l="1"/>
  <c r="O99" s="1"/>
  <c r="N399"/>
  <c r="O399" s="1"/>
  <c r="N372"/>
  <c r="O372" s="1"/>
  <c r="N129"/>
  <c r="O129" s="1"/>
  <c r="N255"/>
  <c r="O255" s="1"/>
  <c r="N392"/>
  <c r="O392" s="1"/>
  <c r="N257"/>
  <c r="O257" s="1"/>
  <c r="N97"/>
  <c r="O97" s="1"/>
  <c r="N113"/>
  <c r="O113" s="1"/>
  <c r="N107"/>
  <c r="O107" s="1"/>
  <c r="N380"/>
  <c r="O380" s="1"/>
  <c r="N256"/>
  <c r="O256" s="1"/>
  <c r="N131"/>
  <c r="O131" s="1"/>
  <c r="N103"/>
  <c r="O103" s="1"/>
  <c r="N119"/>
  <c r="O119" s="1"/>
  <c r="N244"/>
  <c r="O244" s="1"/>
  <c r="N102"/>
  <c r="O102" s="1"/>
  <c r="N241"/>
  <c r="O241" s="1"/>
  <c r="N121"/>
  <c r="O121" s="1"/>
  <c r="N100"/>
  <c r="O100" s="1"/>
  <c r="N250"/>
  <c r="O250" s="1"/>
  <c r="N124"/>
  <c r="O124" s="1"/>
  <c r="N394"/>
  <c r="O394" s="1"/>
  <c r="N367"/>
  <c r="O367" s="1"/>
  <c r="N368"/>
  <c r="O368" s="1"/>
  <c r="N370"/>
  <c r="O370" s="1"/>
  <c r="N401"/>
  <c r="O401" s="1"/>
  <c r="N109"/>
  <c r="O109" s="1"/>
  <c r="N265"/>
  <c r="O265" s="1"/>
  <c r="N116"/>
  <c r="O116" s="1"/>
  <c r="N247"/>
  <c r="O247" s="1"/>
  <c r="N122"/>
  <c r="O122" s="1"/>
  <c r="N248"/>
  <c r="O248" s="1"/>
  <c r="N128"/>
  <c r="O128" s="1"/>
  <c r="N266"/>
  <c r="O266" s="1"/>
  <c r="N101"/>
  <c r="O101" s="1"/>
  <c r="N263"/>
  <c r="O263" s="1"/>
  <c r="N389"/>
  <c r="O389" s="1"/>
  <c r="N259"/>
  <c r="O259" s="1"/>
  <c r="N383"/>
  <c r="O383" s="1"/>
  <c r="N115"/>
  <c r="O115" s="1"/>
  <c r="N374"/>
  <c r="O374" s="1"/>
  <c r="N108"/>
  <c r="O108" s="1"/>
  <c r="N385"/>
  <c r="O385" s="1"/>
  <c r="N112"/>
  <c r="O112" s="1"/>
  <c r="N237"/>
  <c r="O237" s="1"/>
  <c r="N403"/>
  <c r="O403" s="1"/>
  <c r="N130"/>
  <c r="O130" s="1"/>
  <c r="N111"/>
  <c r="O111" s="1"/>
  <c r="N390"/>
  <c r="O390" s="1"/>
  <c r="N400"/>
  <c r="O400" s="1"/>
  <c r="N264"/>
  <c r="O264" s="1"/>
  <c r="N376"/>
  <c r="O376" s="1"/>
  <c r="N239"/>
  <c r="O239" s="1"/>
  <c r="N106"/>
  <c r="O106" s="1"/>
  <c r="N133"/>
  <c r="O133" s="1"/>
  <c r="N104"/>
  <c r="O104" s="1"/>
  <c r="N254"/>
  <c r="O254" s="1"/>
  <c r="N245"/>
  <c r="O245" s="1"/>
  <c r="N118"/>
  <c r="O118" s="1"/>
  <c r="N246"/>
  <c r="O246" s="1"/>
  <c r="N120"/>
  <c r="O120" s="1"/>
  <c r="N268"/>
  <c r="O268" s="1"/>
  <c r="N391"/>
  <c r="O391" s="1"/>
  <c r="N373"/>
  <c r="O373" s="1"/>
  <c r="N236"/>
  <c r="O236" s="1"/>
  <c r="N110"/>
  <c r="O110" s="1"/>
  <c r="N398"/>
  <c r="O398" s="1"/>
  <c r="N381"/>
  <c r="O381" s="1"/>
  <c r="N382"/>
  <c r="O382" s="1"/>
  <c r="N242"/>
  <c r="O242" s="1"/>
  <c r="N405" l="1"/>
  <c r="O405" s="1"/>
  <c r="N402"/>
  <c r="O402" s="1"/>
  <c r="N260"/>
  <c r="O260" s="1"/>
  <c r="N132"/>
  <c r="O132" s="1"/>
  <c r="N253"/>
  <c r="O253" s="1"/>
  <c r="N271"/>
  <c r="O271" s="1"/>
  <c r="N386"/>
  <c r="O386" s="1"/>
  <c r="N114"/>
  <c r="O114" s="1"/>
  <c r="N269"/>
  <c r="O269" s="1"/>
  <c r="N262"/>
  <c r="O262" s="1"/>
  <c r="N126"/>
  <c r="O126" s="1"/>
  <c r="N378"/>
  <c r="O378" s="1"/>
  <c r="N369"/>
  <c r="O369" s="1"/>
  <c r="N404"/>
  <c r="O404" s="1"/>
  <c r="N134"/>
  <c r="O134" s="1"/>
  <c r="N240"/>
  <c r="O240" s="1"/>
  <c r="N375"/>
  <c r="O375" s="1"/>
  <c r="N127"/>
  <c r="O127" s="1"/>
  <c r="N379"/>
  <c r="O379" s="1"/>
  <c r="N117"/>
  <c r="O117" s="1"/>
  <c r="N393"/>
  <c r="O393" s="1"/>
  <c r="N270"/>
  <c r="O270" s="1"/>
  <c r="N384"/>
  <c r="O384" s="1"/>
  <c r="N135"/>
  <c r="O135" s="1"/>
  <c r="N388"/>
  <c r="O388" s="1"/>
  <c r="N267"/>
  <c r="O267" s="1"/>
  <c r="N243"/>
  <c r="O243" s="1"/>
  <c r="N258"/>
  <c r="O258" s="1"/>
  <c r="N397"/>
  <c r="O397" s="1"/>
  <c r="N105"/>
  <c r="O105" s="1"/>
  <c r="N261"/>
  <c r="O261" s="1"/>
  <c r="N136"/>
  <c r="O136" s="1"/>
  <c r="N395"/>
  <c r="O395" s="1"/>
  <c r="N252"/>
  <c r="O252" s="1"/>
  <c r="N396"/>
  <c r="O396" s="1"/>
  <c r="N123"/>
  <c r="O123" s="1"/>
  <c r="N125"/>
  <c r="O125" s="1"/>
  <c r="N249"/>
  <c r="O249" s="1"/>
  <c r="N251"/>
  <c r="O251" s="1"/>
  <c r="N387"/>
  <c r="O387" s="1"/>
  <c r="N406"/>
  <c r="O406" s="1"/>
  <c r="E156" i="4" l="1"/>
  <c r="I156" s="1"/>
  <c r="E149"/>
  <c r="I149" s="1"/>
  <c r="E144"/>
  <c r="I144" s="1"/>
  <c r="E160"/>
  <c r="I160" s="1"/>
  <c r="E159"/>
  <c r="I159" s="1"/>
  <c r="E158"/>
  <c r="I158" s="1"/>
  <c r="E145"/>
  <c r="I145" s="1"/>
  <c r="E155"/>
  <c r="I155" s="1"/>
  <c r="E152"/>
  <c r="I152" s="1"/>
  <c r="E153"/>
  <c r="I153" s="1"/>
  <c r="E151"/>
  <c r="I151" s="1"/>
  <c r="E150"/>
  <c r="I150" s="1"/>
  <c r="E157"/>
  <c r="I157" s="1"/>
  <c r="E154"/>
  <c r="I154" s="1"/>
  <c r="E148"/>
  <c r="I148" s="1"/>
  <c r="E147"/>
  <c r="I147" s="1"/>
  <c r="E146"/>
  <c r="I146" s="1"/>
  <c r="E110" l="1"/>
  <c r="I110" s="1"/>
  <c r="E111"/>
  <c r="I111" s="1"/>
  <c r="E109"/>
  <c r="I109" s="1"/>
  <c r="E121" l="1"/>
  <c r="I121" s="1"/>
  <c r="E122"/>
  <c r="I122" s="1"/>
  <c r="E117"/>
  <c r="I117" s="1"/>
  <c r="E116"/>
  <c r="I116" s="1"/>
  <c r="E120"/>
  <c r="I120" s="1"/>
  <c r="E124"/>
  <c r="I124" s="1"/>
  <c r="E115"/>
  <c r="I115" s="1"/>
  <c r="E119"/>
  <c r="I119" s="1"/>
  <c r="E127"/>
  <c r="I127" s="1"/>
  <c r="E129"/>
  <c r="I129" s="1"/>
  <c r="E125"/>
  <c r="I125" s="1"/>
  <c r="E130"/>
  <c r="I130" s="1"/>
  <c r="E128"/>
  <c r="I128" s="1"/>
  <c r="E118"/>
  <c r="I118" s="1"/>
  <c r="E123"/>
  <c r="I123" s="1"/>
  <c r="E126"/>
  <c r="I126" s="1"/>
  <c r="E112"/>
  <c r="I112" s="1"/>
  <c r="E113" l="1"/>
  <c r="I113" s="1"/>
  <c r="E114" l="1"/>
  <c r="I114" s="1"/>
  <c r="E136" l="1"/>
  <c r="I136" s="1"/>
  <c r="E132"/>
  <c r="I132" s="1"/>
  <c r="E140"/>
  <c r="I140" s="1"/>
  <c r="E139"/>
  <c r="I139" s="1"/>
  <c r="E133"/>
  <c r="I133" s="1"/>
  <c r="E137"/>
  <c r="I137" s="1"/>
  <c r="E131"/>
  <c r="I131" s="1"/>
  <c r="E134"/>
  <c r="I134" s="1"/>
  <c r="E135"/>
  <c r="I135" s="1"/>
  <c r="E138"/>
  <c r="I138" s="1"/>
  <c r="E141"/>
  <c r="I141" s="1"/>
  <c r="E143"/>
  <c r="I143" s="1"/>
  <c r="E142"/>
  <c r="I142" s="1"/>
</calcChain>
</file>

<file path=xl/comments1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comments2.xml><?xml version="1.0" encoding="utf-8"?>
<comments xmlns="http://schemas.openxmlformats.org/spreadsheetml/2006/main">
  <authors>
    <author>dell</author>
  </authors>
  <commentList>
    <comment ref="K3" authorId="0">
      <text>
        <r>
          <rPr>
            <b/>
            <sz val="9"/>
            <color indexed="81"/>
            <rFont val="宋体"/>
            <family val="3"/>
            <charset val="134"/>
          </rPr>
          <t>当英雄等级高于这个的时候，在本地图将寻找不到怪物</t>
        </r>
      </text>
    </comment>
  </commentList>
</comments>
</file>

<file path=xl/sharedStrings.xml><?xml version="1.0" encoding="utf-8"?>
<sst xmlns="http://schemas.openxmlformats.org/spreadsheetml/2006/main" count="4124" uniqueCount="1185">
  <si>
    <t>id</t>
  </si>
  <si>
    <t>名字(name)</t>
  </si>
  <si>
    <t>bossId</t>
  </si>
  <si>
    <t>怪物列表(monsterIds)</t>
  </si>
  <si>
    <t>个数权重(weight)</t>
  </si>
  <si>
    <t>BOSS掉落（bossDropGroup）</t>
  </si>
  <si>
    <t>id</t>
    <phoneticPr fontId="4" type="noConversion"/>
  </si>
  <si>
    <t>name</t>
    <phoneticPr fontId="4" type="noConversion"/>
  </si>
  <si>
    <t>bossId</t>
    <phoneticPr fontId="4" type="noConversion"/>
  </si>
  <si>
    <t>monsterIds</t>
    <phoneticPr fontId="4" type="noConversion"/>
  </si>
  <si>
    <t>地图图片路径</t>
    <phoneticPr fontId="4" type="noConversion"/>
  </si>
  <si>
    <t>怪物等级区间</t>
    <phoneticPr fontId="4" type="noConversion"/>
  </si>
  <si>
    <t>data</t>
    <phoneticPr fontId="4" type="noConversion"/>
  </si>
  <si>
    <t>装备掉率</t>
    <phoneticPr fontId="4" type="noConversion"/>
  </si>
  <si>
    <t>countWeight</t>
    <phoneticPr fontId="4" type="noConversion"/>
  </si>
  <si>
    <t>dropItems</t>
    <phoneticPr fontId="4" type="noConversion"/>
  </si>
  <si>
    <t>bossDropItems</t>
    <phoneticPr fontId="4" type="noConversion"/>
  </si>
  <si>
    <t>掉落组(dropGroup)</t>
    <phoneticPr fontId="4" type="noConversion"/>
  </si>
  <si>
    <t>No</t>
    <phoneticPr fontId="4" type="noConversion"/>
  </si>
  <si>
    <t>可以挂机最高等级</t>
    <phoneticPr fontId="4" type="noConversion"/>
  </si>
  <si>
    <t>maxBattleLevel</t>
    <phoneticPr fontId="4" type="noConversion"/>
  </si>
  <si>
    <t>装备掉率</t>
    <phoneticPr fontId="4" type="noConversion"/>
  </si>
  <si>
    <t>13-16</t>
  </si>
  <si>
    <t>15-18</t>
  </si>
  <si>
    <t>17-20</t>
  </si>
  <si>
    <t>19-22</t>
  </si>
  <si>
    <t>21-24</t>
  </si>
  <si>
    <t>23-26</t>
  </si>
  <si>
    <t>25-28</t>
  </si>
  <si>
    <t>27-30</t>
  </si>
  <si>
    <t>29-32</t>
  </si>
  <si>
    <t>31-34</t>
  </si>
  <si>
    <t>33-36</t>
  </si>
  <si>
    <t>35-38</t>
  </si>
  <si>
    <t>37-40</t>
  </si>
  <si>
    <t>39-42</t>
  </si>
  <si>
    <t>41-44</t>
  </si>
  <si>
    <t>43-46</t>
  </si>
  <si>
    <t>45-48</t>
  </si>
  <si>
    <t>47-50</t>
  </si>
  <si>
    <t>49-52</t>
  </si>
  <si>
    <t>51-54</t>
  </si>
  <si>
    <t>53-56</t>
  </si>
  <si>
    <t>59-62</t>
  </si>
  <si>
    <t>61-64</t>
  </si>
  <si>
    <t>63-66</t>
  </si>
  <si>
    <t>65-68</t>
  </si>
  <si>
    <t>67-70</t>
  </si>
  <si>
    <t>map/map_001.png</t>
    <phoneticPr fontId="4" type="noConversion"/>
  </si>
  <si>
    <t>map/map_002.png</t>
  </si>
  <si>
    <t>map/map_003.png</t>
  </si>
  <si>
    <t>map/map_004.png</t>
  </si>
  <si>
    <t>map/map_005.png</t>
  </si>
  <si>
    <t>map/map_006.png</t>
  </si>
  <si>
    <t>map/map_007.png</t>
  </si>
  <si>
    <t>map/map_008.png</t>
  </si>
  <si>
    <t>map/map_009.png</t>
  </si>
  <si>
    <t>map/map_010.png</t>
  </si>
  <si>
    <t>map/map_011.png</t>
  </si>
  <si>
    <t>map/map_012.png</t>
  </si>
  <si>
    <t>map/map_013.png</t>
  </si>
  <si>
    <t>map/map_014.png</t>
  </si>
  <si>
    <t>map/map_015.png</t>
  </si>
  <si>
    <t>map/map_016.png</t>
  </si>
  <si>
    <t>map/map_017.png</t>
  </si>
  <si>
    <t>map/map_018.png</t>
  </si>
  <si>
    <t>map/map_019.png</t>
  </si>
  <si>
    <t>map/map_020.png</t>
  </si>
  <si>
    <t>map/map_021.png</t>
  </si>
  <si>
    <t>map/map_022.png</t>
  </si>
  <si>
    <t>map/map_023.png</t>
  </si>
  <si>
    <t>map/map_024.png</t>
  </si>
  <si>
    <t>map/map_025.png</t>
  </si>
  <si>
    <t>map/map_026.png</t>
  </si>
  <si>
    <t>map/map_027.png</t>
  </si>
  <si>
    <t>map/map_028.png</t>
  </si>
  <si>
    <t>map/map_029.png</t>
  </si>
  <si>
    <t>map/map_030.png</t>
  </si>
  <si>
    <t>map/map_031.png</t>
  </si>
  <si>
    <t>map/map_032.png</t>
  </si>
  <si>
    <t>map/map_033.png</t>
  </si>
  <si>
    <t>map/map_034.png</t>
  </si>
  <si>
    <t>map/map_035.png</t>
  </si>
  <si>
    <t>57-60</t>
    <phoneticPr fontId="4" type="noConversion"/>
  </si>
  <si>
    <t>55_58</t>
    <phoneticPr fontId="4" type="noConversion"/>
  </si>
  <si>
    <t>No</t>
    <phoneticPr fontId="4" type="noConversion"/>
  </si>
  <si>
    <t>dropRate</t>
    <phoneticPr fontId="4" type="noConversion"/>
  </si>
  <si>
    <t>4000105_0_1_200</t>
  </si>
  <si>
    <t>4000205_0_1_130</t>
    <phoneticPr fontId="4" type="noConversion"/>
  </si>
  <si>
    <t>4000215_0_1_163</t>
    <phoneticPr fontId="4" type="noConversion"/>
  </si>
  <si>
    <t>4000310_0_1_57</t>
    <phoneticPr fontId="4" type="noConversion"/>
  </si>
  <si>
    <t>4000315_0_1_74</t>
    <phoneticPr fontId="4" type="noConversion"/>
  </si>
  <si>
    <t>4000115_0_1_198</t>
    <phoneticPr fontId="4" type="noConversion"/>
  </si>
  <si>
    <t>4000315_0_1_82</t>
    <phoneticPr fontId="4" type="noConversion"/>
  </si>
  <si>
    <t>4000215_0_1_179</t>
    <phoneticPr fontId="4" type="noConversion"/>
  </si>
  <si>
    <t>装备</t>
    <phoneticPr fontId="4" type="noConversion"/>
  </si>
  <si>
    <t>4000505_0_1_0</t>
    <phoneticPr fontId="4" type="noConversion"/>
  </si>
  <si>
    <t>4000510_0_1_0</t>
    <phoneticPr fontId="4" type="noConversion"/>
  </si>
  <si>
    <t>4000110_0_1_120</t>
    <phoneticPr fontId="4" type="noConversion"/>
  </si>
  <si>
    <t>4000210_0_1_126</t>
    <phoneticPr fontId="4" type="noConversion"/>
  </si>
  <si>
    <t>4000305_0_1_64</t>
    <phoneticPr fontId="4" type="noConversion"/>
  </si>
  <si>
    <t>4000310_0_1_64</t>
    <phoneticPr fontId="4" type="noConversion"/>
  </si>
  <si>
    <t>4000405_0_1_0</t>
    <phoneticPr fontId="4" type="noConversion"/>
  </si>
  <si>
    <t>4000410_0_1_0</t>
    <phoneticPr fontId="4" type="noConversion"/>
  </si>
  <si>
    <t>4000405_0_1_0</t>
    <phoneticPr fontId="4" type="noConversion"/>
  </si>
  <si>
    <t>4000410_0_1_0</t>
    <phoneticPr fontId="4" type="noConversion"/>
  </si>
  <si>
    <t>4000105_0_1_175</t>
    <phoneticPr fontId="4" type="noConversion"/>
  </si>
  <si>
    <t>4000110_0_1_174</t>
    <phoneticPr fontId="4" type="noConversion"/>
  </si>
  <si>
    <t>4000205_0_1_140</t>
    <phoneticPr fontId="4" type="noConversion"/>
  </si>
  <si>
    <t>4000210_0_1_139</t>
    <phoneticPr fontId="4" type="noConversion"/>
  </si>
  <si>
    <t>4000305_0_1_70</t>
    <phoneticPr fontId="4" type="noConversion"/>
  </si>
  <si>
    <t>4000310_0_1_69</t>
    <phoneticPr fontId="4" type="noConversion"/>
  </si>
  <si>
    <t>4000415_0_1_0</t>
    <phoneticPr fontId="4" type="noConversion"/>
  </si>
  <si>
    <t>4000110_0_1_192</t>
    <phoneticPr fontId="4" type="noConversion"/>
  </si>
  <si>
    <t>4000210_0_1_125</t>
    <phoneticPr fontId="4" type="noConversion"/>
  </si>
  <si>
    <t>4000515_0_1_0</t>
    <phoneticPr fontId="4" type="noConversion"/>
  </si>
  <si>
    <t>4000115_0_1_185</t>
    <phoneticPr fontId="4" type="noConversion"/>
  </si>
  <si>
    <t>4000110_0_1_188</t>
    <phoneticPr fontId="4" type="noConversion"/>
  </si>
  <si>
    <t>4000210_0_1_138</t>
    <phoneticPr fontId="4" type="noConversion"/>
  </si>
  <si>
    <t>30000_40003_1_205</t>
  </si>
  <si>
    <t>30000_40002_1_88</t>
  </si>
  <si>
    <t>30000_40001_1_44</t>
  </si>
  <si>
    <t>30000_40003_1_213</t>
  </si>
  <si>
    <t>30000_40002_1_91</t>
  </si>
  <si>
    <t>30000_40001_1_45</t>
  </si>
  <si>
    <t>30000_40003_1_220</t>
  </si>
  <si>
    <t>30000_40002_1_94</t>
  </si>
  <si>
    <t>30000_40001_1_47</t>
  </si>
  <si>
    <t>30000_40003_1_228</t>
  </si>
  <si>
    <t>30000_40002_1_97</t>
  </si>
  <si>
    <t>30000_40001_1_48</t>
  </si>
  <si>
    <t>30000_40003_1_235</t>
  </si>
  <si>
    <t>30000_40002_1_101</t>
  </si>
  <si>
    <t>30000_40001_1_50</t>
  </si>
  <si>
    <t>30000_40003_1_243</t>
  </si>
  <si>
    <t>30000_40002_1_104</t>
  </si>
  <si>
    <t>30000_40001_1_52</t>
  </si>
  <si>
    <t>30000_40003_1_251</t>
  </si>
  <si>
    <t>30000_40002_1_107</t>
  </si>
  <si>
    <t>30000_40001_1_53</t>
  </si>
  <si>
    <t>30000_40003_1_258</t>
  </si>
  <si>
    <t>30000_40002_1_110</t>
  </si>
  <si>
    <t>30000_40001_1_55</t>
  </si>
  <si>
    <t>30000_40003_1_266</t>
  </si>
  <si>
    <t>30000_40002_1_114</t>
  </si>
  <si>
    <t>30000_40001_1_57</t>
  </si>
  <si>
    <t>30000_40003_1_273</t>
  </si>
  <si>
    <t>30000_40002_1_117</t>
  </si>
  <si>
    <t>30000_40001_1_58</t>
  </si>
  <si>
    <t>30000_40003_1_281</t>
  </si>
  <si>
    <t>30000_40002_1_120</t>
  </si>
  <si>
    <t>30000_40001_1_60</t>
  </si>
  <si>
    <t>30000_40003_1_289</t>
  </si>
  <si>
    <t>30000_40002_1_123</t>
  </si>
  <si>
    <t>30000_40001_1_61</t>
  </si>
  <si>
    <t>30000_40003_1_296</t>
  </si>
  <si>
    <t>30000_40002_1_127</t>
  </si>
  <si>
    <t>30000_40001_1_63</t>
  </si>
  <si>
    <t>30000_40003_1_304</t>
  </si>
  <si>
    <t>30000_40002_1_130</t>
  </si>
  <si>
    <t>30000_40001_1_65</t>
  </si>
  <si>
    <t>30000_40003_1_311</t>
  </si>
  <si>
    <t>30000_40002_1_133</t>
  </si>
  <si>
    <t>30000_40001_1_66</t>
  </si>
  <si>
    <t>30000_40003_1_319</t>
  </si>
  <si>
    <t>30000_40002_1_136</t>
  </si>
  <si>
    <t>30000_40001_1_68</t>
  </si>
  <si>
    <t>30000_40003_1_327</t>
  </si>
  <si>
    <t>30000_40002_1_140</t>
  </si>
  <si>
    <t>30000_40001_1_70</t>
  </si>
  <si>
    <t>30000_40003_1_334</t>
  </si>
  <si>
    <t>30000_40002_1_143</t>
  </si>
  <si>
    <t>30000_40001_1_71</t>
  </si>
  <si>
    <t>30000_40003_1_342</t>
  </si>
  <si>
    <t>30000_40002_1_146</t>
  </si>
  <si>
    <t>30000_40001_1_73</t>
  </si>
  <si>
    <t>30000_40003_1_350</t>
  </si>
  <si>
    <t>30000_40002_1_150</t>
  </si>
  <si>
    <t>30000_40001_1_75</t>
  </si>
  <si>
    <t>30000_40003_1_357</t>
  </si>
  <si>
    <t>30000_40002_1_153</t>
  </si>
  <si>
    <t>30000_40001_1_76</t>
  </si>
  <si>
    <t>30000_40003_1_365</t>
  </si>
  <si>
    <t>30000_40002_1_156</t>
  </si>
  <si>
    <t>30000_40001_1_78</t>
  </si>
  <si>
    <t>30000_40003_1_372</t>
  </si>
  <si>
    <t>30000_40002_1_159</t>
  </si>
  <si>
    <t>30000_40001_1_79</t>
  </si>
  <si>
    <t>30000_40003_1_380</t>
  </si>
  <si>
    <t>30000_40002_1_163</t>
  </si>
  <si>
    <t>30000_40001_1_81</t>
  </si>
  <si>
    <t>30000_40003_1_388</t>
  </si>
  <si>
    <t>30000_40002_1_166</t>
  </si>
  <si>
    <t>30000_40001_1_83</t>
  </si>
  <si>
    <t>30000_40003_1_395</t>
  </si>
  <si>
    <t>30000_40002_1_169</t>
  </si>
  <si>
    <t>30000_40001_1_84</t>
  </si>
  <si>
    <t>30000_40003_1_403</t>
  </si>
  <si>
    <t>30000_40002_1_172</t>
  </si>
  <si>
    <t>30000_40001_1_86</t>
  </si>
  <si>
    <t>30000_40003_1_410</t>
  </si>
  <si>
    <t>30000_40002_1_176</t>
  </si>
  <si>
    <t>30000_40001_1_88</t>
  </si>
  <si>
    <t>30000_40003_1_418</t>
  </si>
  <si>
    <t>30000_40002_1_179</t>
  </si>
  <si>
    <t>30000_40001_1_89</t>
  </si>
  <si>
    <t>30000_40003_1_426</t>
  </si>
  <si>
    <t>30000_40002_1_182</t>
  </si>
  <si>
    <t>30000_40001_1_91</t>
  </si>
  <si>
    <t>30000_40003_1_433</t>
  </si>
  <si>
    <t>30000_40002_1_185</t>
  </si>
  <si>
    <t>30000_40001_1_92</t>
  </si>
  <si>
    <t>该地图每小时最大战斗次数</t>
    <phoneticPr fontId="4" type="noConversion"/>
  </si>
  <si>
    <t>1_10000,2_0,3_0</t>
  </si>
  <si>
    <t>1_6500,2_3500,3_0</t>
  </si>
  <si>
    <t>1_6000,2_4000,3_0</t>
  </si>
  <si>
    <t>1_5500,2_4500,3_0</t>
  </si>
  <si>
    <t>1_5000,2_5000,3_0</t>
  </si>
  <si>
    <t>1_0,2_0,3_10000</t>
  </si>
  <si>
    <t>maxFightTimes</t>
    <phoneticPr fontId="4" type="noConversion"/>
  </si>
  <si>
    <t>1-3</t>
    <phoneticPr fontId="4" type="noConversion"/>
  </si>
  <si>
    <t>2-4</t>
    <phoneticPr fontId="4" type="noConversion"/>
  </si>
  <si>
    <t>3-6</t>
    <phoneticPr fontId="4" type="noConversion"/>
  </si>
  <si>
    <t>5-8</t>
    <phoneticPr fontId="4" type="noConversion"/>
  </si>
  <si>
    <t>7-10</t>
    <phoneticPr fontId="4" type="noConversion"/>
  </si>
  <si>
    <t>9-12</t>
    <phoneticPr fontId="4" type="noConversion"/>
  </si>
  <si>
    <t>11-14</t>
    <phoneticPr fontId="4" type="noConversion"/>
  </si>
  <si>
    <t>关卡第一次掉落</t>
    <phoneticPr fontId="4" type="noConversion"/>
  </si>
  <si>
    <t>关卡第二次掉落</t>
    <phoneticPr fontId="4" type="noConversion"/>
  </si>
  <si>
    <t>firstDropItems</t>
    <phoneticPr fontId="4" type="noConversion"/>
  </si>
  <si>
    <t>secondDropItems</t>
    <phoneticPr fontId="4" type="noConversion"/>
  </si>
  <si>
    <t>40000_30011050_1_10000,40000_30012050_1_10000,40000_30013050_1_10000</t>
    <phoneticPr fontId="4" type="noConversion"/>
  </si>
  <si>
    <t>40000_30011060_1_10000,40000_30012060_1_10000,40000_30013060_1_10000</t>
    <phoneticPr fontId="4" type="noConversion"/>
  </si>
  <si>
    <t>40000_30010040_1_10000,40000_30010040_1_10000,40000_30010040_1_10000</t>
    <phoneticPr fontId="4" type="noConversion"/>
  </si>
  <si>
    <t>名字</t>
    <phoneticPr fontId="4" type="noConversion"/>
  </si>
  <si>
    <t>开启地图ID</t>
    <phoneticPr fontId="4" type="noConversion"/>
  </si>
  <si>
    <t>nextMapId</t>
    <phoneticPr fontId="4" type="noConversion"/>
  </si>
  <si>
    <t>5_1,6_1,7_1</t>
    <phoneticPr fontId="4" type="noConversion"/>
  </si>
  <si>
    <t>8_1,9_1,10_1,11_1</t>
    <phoneticPr fontId="4" type="noConversion"/>
  </si>
  <si>
    <t>16_1,17_1,18_1,19_1</t>
  </si>
  <si>
    <t>20_1,21_1,22_1,23_1</t>
  </si>
  <si>
    <t>24_1,25_1,26_1,27_1</t>
  </si>
  <si>
    <t>28_1,29_1,30_1,31_1</t>
  </si>
  <si>
    <t>32_1,33_1,34_1,35_1</t>
  </si>
  <si>
    <t>36_1,37_1,38_1,39_1</t>
  </si>
  <si>
    <t>40_1,41_1,42_1,43_1</t>
  </si>
  <si>
    <t>44_1,45_1,46_1,47_1</t>
  </si>
  <si>
    <t>48_1,49_1,50_1,51_1</t>
  </si>
  <si>
    <t>52_1,53_1,54_1,55_1</t>
  </si>
  <si>
    <t>56_1,57_1,58_1,59_1</t>
  </si>
  <si>
    <t>60_1,61_1,62_1,63_1</t>
  </si>
  <si>
    <t>64_1,65_1,66_1,67_1</t>
  </si>
  <si>
    <t>68_1,69_1,70_1,71_1</t>
  </si>
  <si>
    <t>72_1,73_1,74_1,75_1</t>
  </si>
  <si>
    <t>76_1,77_1,78_1,79_1</t>
  </si>
  <si>
    <t>80_1,81_1,82_1,83_1</t>
  </si>
  <si>
    <t>84_1,85_1,86_1,87_1</t>
  </si>
  <si>
    <t>88_1,89_1,90_1,91_1</t>
  </si>
  <si>
    <t>92_1,93_1,94_1,95_1</t>
  </si>
  <si>
    <t>96_1,97_1,98_1,99_1</t>
  </si>
  <si>
    <t>100_1,101_1,102_1,103_1</t>
  </si>
  <si>
    <t>104_1,105_1,106_1,107_1</t>
  </si>
  <si>
    <t>108_1,109_1,110_1,111_1</t>
  </si>
  <si>
    <t>112_1,113_1,114_1,115_1</t>
  </si>
  <si>
    <t>116_1,117_1,118_1,119_1</t>
  </si>
  <si>
    <t>120_1,121_1,122_1,123_1</t>
  </si>
  <si>
    <t>124_1,125_1,126_1,127_1</t>
  </si>
  <si>
    <t>128_1,129_1,130_1,131_1</t>
  </si>
  <si>
    <t>132_1,133_1,134_1,135_1</t>
  </si>
  <si>
    <t>136_1,137_1,138_1,139_1</t>
  </si>
  <si>
    <t>12_1,13_1,14_1,15_1</t>
    <phoneticPr fontId="4" type="noConversion"/>
  </si>
  <si>
    <t>4000115_0_1_188_0</t>
  </si>
  <si>
    <t>4000120_0_1_214_0</t>
  </si>
  <si>
    <t>4000215_0_1_134_0</t>
  </si>
  <si>
    <t>4000220_0_1_191_0</t>
  </si>
  <si>
    <t>4000315_0_1_57_0</t>
  </si>
  <si>
    <t>4000320_0_1_87_0</t>
  </si>
  <si>
    <t>4000415_0_1_0_1</t>
  </si>
  <si>
    <t>4000420_0_1_0_1</t>
  </si>
  <si>
    <t>4000515_0_1_0_1</t>
  </si>
  <si>
    <t>4000520_0_1_0_1</t>
  </si>
  <si>
    <t>4000115_0_1_157_0</t>
  </si>
  <si>
    <t>4000120_0_1_231_0</t>
  </si>
  <si>
    <t>4000215_0_1_100_0</t>
  </si>
  <si>
    <t>4000220_0_1_204_0</t>
  </si>
  <si>
    <t>4000320_0_1_95_0</t>
  </si>
  <si>
    <t>4000415_0_1_38_1</t>
  </si>
  <si>
    <t>4000420_0_1_38_1</t>
  </si>
  <si>
    <t>4000115_0_1_156_0</t>
  </si>
  <si>
    <t>4000120_0_1_243_0</t>
  </si>
  <si>
    <t>4000220_0_1_214_0</t>
  </si>
  <si>
    <t>4000320_0_1_100_0</t>
  </si>
  <si>
    <t>4000420_0_1_40_1</t>
  </si>
  <si>
    <t>4000120_0_1_158_0</t>
  </si>
  <si>
    <t>4000125_0_1_275_0</t>
  </si>
  <si>
    <t>4000220_0_1_100_0</t>
  </si>
  <si>
    <t>4000225_0_1_240_0</t>
  </si>
  <si>
    <t>4000320_0_1_57_0</t>
  </si>
  <si>
    <t>4000325_0_1_113_0</t>
  </si>
  <si>
    <t>4000425_0_1_47_1</t>
  </si>
  <si>
    <t>4000525_0_1_0_1</t>
  </si>
  <si>
    <t>4000120_0_1_155_0</t>
  </si>
  <si>
    <t>4000125_0_1_282_0</t>
  </si>
  <si>
    <t>4000220_0_1_103_0</t>
  </si>
  <si>
    <t>4000225_0_1_245_0</t>
  </si>
  <si>
    <t>4000325_0_1_115_0</t>
  </si>
  <si>
    <t>4000425_0_1_48_1</t>
  </si>
  <si>
    <t>4000125_0_1_155_0</t>
  </si>
  <si>
    <t>4000130_0_1_320_0</t>
  </si>
  <si>
    <t>4000225_0_1_104_0</t>
  </si>
  <si>
    <t>4000230_0_1_276_0</t>
  </si>
  <si>
    <t>4000325_0_1_57_0</t>
  </si>
  <si>
    <t>4000330_0_1_131_0</t>
  </si>
  <si>
    <t>4000425_0_1_38_1</t>
  </si>
  <si>
    <t>4000430_0_1_56_1</t>
  </si>
  <si>
    <t>4000530_0_1_0_1</t>
  </si>
  <si>
    <t>4000125_0_1_247_0</t>
  </si>
  <si>
    <t>4000130_0_1_241_0</t>
  </si>
  <si>
    <t>4000225_0_1_197_0</t>
  </si>
  <si>
    <t>4000230_0_1_193_0</t>
  </si>
  <si>
    <t>4000325_0_1_96_0</t>
  </si>
  <si>
    <t>4000330_0_1_97_0</t>
  </si>
  <si>
    <t>4000430_0_1_48_1</t>
  </si>
  <si>
    <t>4000125_0_1_267_0</t>
  </si>
  <si>
    <t>4000130_0_1_261_0</t>
  </si>
  <si>
    <t>4000225_0_1_214_0</t>
  </si>
  <si>
    <t>4000230_0_1_209_0</t>
  </si>
  <si>
    <t>4000325_0_1_105_0</t>
  </si>
  <si>
    <t>4000330_0_1_104_0</t>
  </si>
  <si>
    <t>4000425_0_1_52_1</t>
  </si>
  <si>
    <t>4000430_0_1_52_1</t>
  </si>
  <si>
    <t>4000130_0_1_273_0</t>
  </si>
  <si>
    <t>4000135_0_1_269_0</t>
  </si>
  <si>
    <t>4000230_0_1_220_0</t>
  </si>
  <si>
    <t>4000235_0_1_214_0</t>
  </si>
  <si>
    <t>4000330_0_1_107_0</t>
  </si>
  <si>
    <t>4000335_0_1_107_0</t>
  </si>
  <si>
    <t>4000430_0_1_54_1</t>
  </si>
  <si>
    <t>4000435_0_1_53_1</t>
  </si>
  <si>
    <t>4000535_0_1_0_1</t>
  </si>
  <si>
    <t>4000130_0_1_295_0</t>
  </si>
  <si>
    <t>4000135_0_1_288_0</t>
  </si>
  <si>
    <t>4000230_0_1_237_0</t>
  </si>
  <si>
    <t>4000235_0_1_231_0</t>
  </si>
  <si>
    <t>4000330_0_1_116_0</t>
  </si>
  <si>
    <t>4000335_0_1_115_0</t>
  </si>
  <si>
    <t>4000430_0_1_58_1</t>
  </si>
  <si>
    <t>4000435_0_1_57_1</t>
  </si>
  <si>
    <t>4000135_0_1_297_0</t>
  </si>
  <si>
    <t>4000140_0_1_296_0</t>
  </si>
  <si>
    <t>4000235_0_1_237_0</t>
  </si>
  <si>
    <t>4000240_0_1_237_0</t>
  </si>
  <si>
    <t>4000335_0_1_118_0</t>
  </si>
  <si>
    <t>4000340_0_1_119_0</t>
  </si>
  <si>
    <t>4000435_0_1_59_1</t>
  </si>
  <si>
    <t>4000440_0_1_59_1</t>
  </si>
  <si>
    <t>4000535_0_1_6_1</t>
  </si>
  <si>
    <t>4000540_0_1_5_1</t>
  </si>
  <si>
    <t>4000135_0_1_319_0</t>
  </si>
  <si>
    <t>4000140_0_1_318_0</t>
  </si>
  <si>
    <t>4000235_0_1_255_0</t>
  </si>
  <si>
    <t>4000240_0_1_255_0</t>
  </si>
  <si>
    <t>4000335_0_1_128_0</t>
  </si>
  <si>
    <t>4000340_0_1_127_0</t>
  </si>
  <si>
    <t>4000435_0_1_64_1</t>
  </si>
  <si>
    <t>4000440_0_1_63_1</t>
  </si>
  <si>
    <t>4000540_0_1_6_1</t>
  </si>
  <si>
    <t>4000135_0_1_326_0</t>
  </si>
  <si>
    <t>4000140_0_1_326_0</t>
  </si>
  <si>
    <t>4000235_0_1_261_0</t>
  </si>
  <si>
    <t>4000240_0_1_261_0</t>
  </si>
  <si>
    <t>4000335_0_1_131_0</t>
  </si>
  <si>
    <t>4000340_0_1_130_0</t>
  </si>
  <si>
    <t>4000435_0_1_65_1</t>
  </si>
  <si>
    <t>4000440_0_1_65_1</t>
  </si>
  <si>
    <t>4000535_0_1_7_1</t>
  </si>
  <si>
    <t>4000140_0_1_357_0</t>
  </si>
  <si>
    <t>4000145_0_1_356_0</t>
  </si>
  <si>
    <t>4000240_0_1_285_0</t>
  </si>
  <si>
    <t>4000245_0_1_285_0</t>
  </si>
  <si>
    <t>4000340_0_1_143_0</t>
  </si>
  <si>
    <t>4000345_0_1_142_0</t>
  </si>
  <si>
    <t>4000440_0_1_71_1</t>
  </si>
  <si>
    <t>4000445_0_1_71_1</t>
  </si>
  <si>
    <t>4000540_0_1_7_1</t>
  </si>
  <si>
    <t>4000545_0_1_7_1</t>
  </si>
  <si>
    <t>4000140_0_1_370_0</t>
  </si>
  <si>
    <t>4000145_0_1_366_0</t>
  </si>
  <si>
    <t>4000240_0_1_295_0</t>
  </si>
  <si>
    <t>4000245_0_1_294_0</t>
  </si>
  <si>
    <t>4000340_0_1_147_0</t>
  </si>
  <si>
    <t>4000345_0_1_147_0</t>
  </si>
  <si>
    <t>4000440_0_1_74_1</t>
  </si>
  <si>
    <t>4000445_0_1_73_1</t>
  </si>
  <si>
    <t>4000145_0_1_380_0</t>
  </si>
  <si>
    <t>4000150_0_1_380_0</t>
  </si>
  <si>
    <t>4000245_0_1_304_0</t>
  </si>
  <si>
    <t>4000250_0_1_304_0</t>
  </si>
  <si>
    <t>4000345_0_1_152_0</t>
  </si>
  <si>
    <t>4000350_0_1_152_0</t>
  </si>
  <si>
    <t>4000445_0_1_76_1</t>
  </si>
  <si>
    <t>4000450_0_1_76_1</t>
  </si>
  <si>
    <t>4000545_0_1_8_1</t>
  </si>
  <si>
    <t>4000550_0_1_7_1</t>
  </si>
  <si>
    <t>4000145_0_1_396_0</t>
  </si>
  <si>
    <t>4000150_0_1_396_0</t>
  </si>
  <si>
    <t>4000245_0_1_317_0</t>
  </si>
  <si>
    <t>4000250_0_1_316_0</t>
  </si>
  <si>
    <t>4000345_0_1_158_0</t>
  </si>
  <si>
    <t>4000350_0_1_158_0</t>
  </si>
  <si>
    <t>4000445_0_1_79_1</t>
  </si>
  <si>
    <t>4000450_0_1_79_1</t>
  </si>
  <si>
    <t>4000145_0_1_412_0</t>
  </si>
  <si>
    <t>4000150_0_1_412_0</t>
  </si>
  <si>
    <t>4000245_0_1_330_0</t>
  </si>
  <si>
    <t>4000250_0_1_329_0</t>
  </si>
  <si>
    <t>4000345_0_1_165_0</t>
  </si>
  <si>
    <t>4000350_0_1_164_0</t>
  </si>
  <si>
    <t>4000445_0_1_82_1</t>
  </si>
  <si>
    <t>4000450_0_1_82_1</t>
  </si>
  <si>
    <t>4000550_0_1_8_1</t>
  </si>
  <si>
    <t>4000150_0_1_444_0</t>
  </si>
  <si>
    <t>4000155_0_1_444_0</t>
  </si>
  <si>
    <t>4000250_0_1_355_0</t>
  </si>
  <si>
    <t>4000255_0_1_355_0</t>
  </si>
  <si>
    <t>4000350_0_1_177_0</t>
  </si>
  <si>
    <t>4000355_0_1_178_0</t>
  </si>
  <si>
    <t>4000450_0_1_89_1</t>
  </si>
  <si>
    <t>4000455_0_1_88_1</t>
  </si>
  <si>
    <t>4000550_0_1_9_1</t>
  </si>
  <si>
    <t>4000555_0_1_8_1</t>
  </si>
  <si>
    <t>4000150_0_1_453_0</t>
  </si>
  <si>
    <t>4000155_0_1_453_0</t>
  </si>
  <si>
    <t>4000250_0_1_363_0</t>
  </si>
  <si>
    <t>4000255_0_1_362_0</t>
  </si>
  <si>
    <t>4000350_0_1_181_0</t>
  </si>
  <si>
    <t>4000355_0_1_181_0</t>
  </si>
  <si>
    <t>4000450_0_1_91_1</t>
  </si>
  <si>
    <t>4000455_0_1_90_1</t>
  </si>
  <si>
    <t>4000555_0_1_9_1</t>
  </si>
  <si>
    <t>4000155_0_1_463_0</t>
  </si>
  <si>
    <t>4000160_0_1_462_0</t>
  </si>
  <si>
    <t>4000255_0_1_370_0</t>
  </si>
  <si>
    <t>4000260_0_1_370_0</t>
  </si>
  <si>
    <t>4000355_0_1_185_0</t>
  </si>
  <si>
    <t>4000360_0_1_185_0</t>
  </si>
  <si>
    <t>4000455_0_1_93_1</t>
  </si>
  <si>
    <t>4000460_0_1_92_1</t>
  </si>
  <si>
    <t>4000560_0_1_9_1</t>
  </si>
  <si>
    <t>4000155_0_1_472_0</t>
  </si>
  <si>
    <t>4000160_0_1_471_0</t>
  </si>
  <si>
    <t>4000255_0_1_377_0</t>
  </si>
  <si>
    <t>4000260_0_1_377_0</t>
  </si>
  <si>
    <t>4000355_0_1_189_0</t>
  </si>
  <si>
    <t>4000360_0_1_188_0</t>
  </si>
  <si>
    <t>4000455_0_1_94_1</t>
  </si>
  <si>
    <t>4000460_0_1_94_1</t>
  </si>
  <si>
    <t>4000155_0_1_481_0</t>
  </si>
  <si>
    <t>4000160_0_1_480_0</t>
  </si>
  <si>
    <t>4000255_0_1_385_0</t>
  </si>
  <si>
    <t>4000260_0_1_384_0</t>
  </si>
  <si>
    <t>4000355_0_1_192_0</t>
  </si>
  <si>
    <t>4000360_0_1_192_0</t>
  </si>
  <si>
    <t>4000455_0_1_96_1</t>
  </si>
  <si>
    <t>4000460_0_1_96_1</t>
  </si>
  <si>
    <t>4000555_0_1_10_1</t>
  </si>
  <si>
    <t>4000160_0_1_490_0</t>
  </si>
  <si>
    <t>4000165_0_1_490_0</t>
  </si>
  <si>
    <t>4000260_0_1_392_0</t>
  </si>
  <si>
    <t>4000265_0_1_392_0</t>
  </si>
  <si>
    <t>4000360_0_1_196_0</t>
  </si>
  <si>
    <t>4000365_0_1_196_0</t>
  </si>
  <si>
    <t>4000460_0_1_98_1</t>
  </si>
  <si>
    <t>4000465_0_1_98_1</t>
  </si>
  <si>
    <t>4000565_0_1_10_1</t>
  </si>
  <si>
    <t>4000160_0_1_499_0</t>
  </si>
  <si>
    <t>4000165_0_1_499_0</t>
  </si>
  <si>
    <t>4000260_0_1_399_0</t>
  </si>
  <si>
    <t>4000265_0_1_399_0</t>
  </si>
  <si>
    <t>4000360_0_1_200_0</t>
  </si>
  <si>
    <t>4000365_0_1_200_0</t>
  </si>
  <si>
    <t>4000460_0_1_100_1</t>
  </si>
  <si>
    <t>4000465_0_1_100_1</t>
  </si>
  <si>
    <t>4000165_0_1_508_0</t>
  </si>
  <si>
    <t>4000170_0_1_508_0</t>
  </si>
  <si>
    <t>4000265_0_1_407_0</t>
  </si>
  <si>
    <t>4000270_0_1_406_0</t>
  </si>
  <si>
    <t>4000365_0_1_203_0</t>
  </si>
  <si>
    <t>4000370_0_1_203_0</t>
  </si>
  <si>
    <t>4000465_0_1_102_1</t>
  </si>
  <si>
    <t>4000470_0_1_101_1</t>
  </si>
  <si>
    <t>4000570_0_1_10_1</t>
  </si>
  <si>
    <t>4000165_0_1_518_0</t>
  </si>
  <si>
    <t>4000170_0_1_517_0</t>
  </si>
  <si>
    <t>4000265_0_1_414_0</t>
  </si>
  <si>
    <t>4000270_0_1_414_0</t>
  </si>
  <si>
    <t>4000365_0_1_207_0</t>
  </si>
  <si>
    <t>4000370_0_1_207_0</t>
  </si>
  <si>
    <t>4000465_0_1_104_1</t>
  </si>
  <si>
    <t>4000470_0_1_103_1</t>
  </si>
  <si>
    <t>expDrop</t>
    <phoneticPr fontId="4" type="noConversion"/>
  </si>
  <si>
    <t>2_5000,3_0</t>
    <phoneticPr fontId="4" type="noConversion"/>
  </si>
  <si>
    <t>2_8000,3_2000</t>
    <phoneticPr fontId="4" type="noConversion"/>
  </si>
  <si>
    <t>2_7500,3_2500</t>
    <phoneticPr fontId="4" type="noConversion"/>
  </si>
  <si>
    <t>2_7000,3_3000</t>
    <phoneticPr fontId="4" type="noConversion"/>
  </si>
  <si>
    <t>2_6500,3_3500</t>
    <phoneticPr fontId="4" type="noConversion"/>
  </si>
  <si>
    <t>2_6000,3_4000</t>
    <phoneticPr fontId="4" type="noConversion"/>
  </si>
  <si>
    <t>2_5500,3_4500</t>
    <phoneticPr fontId="4" type="noConversion"/>
  </si>
  <si>
    <t>1_0,2_5000,3_5000</t>
    <phoneticPr fontId="4" type="noConversion"/>
  </si>
  <si>
    <t>1_0,2_4000,3_6000</t>
    <phoneticPr fontId="4" type="noConversion"/>
  </si>
  <si>
    <t>1_0,2_3000,3_7000</t>
    <phoneticPr fontId="4" type="noConversion"/>
  </si>
  <si>
    <t>1_0,2_2500,3_7500</t>
    <phoneticPr fontId="4" type="noConversion"/>
  </si>
  <si>
    <t>1_0,2_2000,3_8000</t>
    <phoneticPr fontId="4" type="noConversion"/>
  </si>
  <si>
    <t>1_7000,2_3000,3_0</t>
    <phoneticPr fontId="4" type="noConversion"/>
  </si>
  <si>
    <t>经验</t>
    <phoneticPr fontId="4" type="noConversion"/>
  </si>
  <si>
    <t>时间</t>
    <phoneticPr fontId="4" type="noConversion"/>
  </si>
  <si>
    <t>coinDrop</t>
    <phoneticPr fontId="4" type="noConversion"/>
  </si>
  <si>
    <t>装备等级</t>
    <phoneticPr fontId="4" type="noConversion"/>
  </si>
  <si>
    <t>概率</t>
    <phoneticPr fontId="4" type="noConversion"/>
  </si>
  <si>
    <t>4000110</t>
  </si>
  <si>
    <t>4000210</t>
  </si>
  <si>
    <t>4000310</t>
  </si>
  <si>
    <t>4000410</t>
  </si>
  <si>
    <t>4000510</t>
  </si>
  <si>
    <t>铜宝箱</t>
    <phoneticPr fontId="4" type="noConversion"/>
  </si>
  <si>
    <t>30000_40003_1_220,30000_40002_1_94,30000_40001_1_47</t>
    <phoneticPr fontId="4" type="noConversion"/>
  </si>
  <si>
    <t>30000_40003_1_0</t>
  </si>
  <si>
    <t>30000_40003_1_0</t>
    <phoneticPr fontId="4" type="noConversion"/>
  </si>
  <si>
    <t>30000_40003_1_250</t>
  </si>
  <si>
    <t>30000_40003_1_240</t>
  </si>
  <si>
    <t>30000_40003_1_230</t>
  </si>
  <si>
    <t>30000_40003_1_210</t>
  </si>
  <si>
    <t>30000_40003_1_200</t>
  </si>
  <si>
    <t>30000_40003_1_190</t>
  </si>
  <si>
    <t>30000_40003_1_180</t>
  </si>
  <si>
    <t>30000_40003_1_170</t>
  </si>
  <si>
    <t>30000_40003_1_160</t>
  </si>
  <si>
    <t>30000_40003_1_150</t>
  </si>
  <si>
    <t>30000_40003_1_140</t>
  </si>
  <si>
    <t>30000_40003_1_130</t>
  </si>
  <si>
    <t>30000_40003_1_120</t>
  </si>
  <si>
    <t>30000_40003_1_110</t>
  </si>
  <si>
    <t>30000_40002_1_0</t>
  </si>
  <si>
    <t>30000_40002_1_0</t>
    <phoneticPr fontId="4" type="noConversion"/>
  </si>
  <si>
    <t>30000_40001_1_0</t>
  </si>
  <si>
    <t>30000_40002_1_200</t>
  </si>
  <si>
    <t>30000_40002_1_220</t>
  </si>
  <si>
    <t>30000_40002_1_230</t>
  </si>
  <si>
    <t>30000_40002_1_250</t>
  </si>
  <si>
    <t>30000_40002_1_260</t>
  </si>
  <si>
    <t>30000_40002_1_270</t>
  </si>
  <si>
    <t>30000_40002_1_280</t>
  </si>
  <si>
    <t>30000_40002_1_290</t>
  </si>
  <si>
    <t>30000_40002_1_300</t>
  </si>
  <si>
    <t>30000_40002_1_265</t>
  </si>
  <si>
    <t>30000_40002_1_295</t>
  </si>
  <si>
    <t>30000_40002_1_310</t>
  </si>
  <si>
    <t>30000_40002_1_255</t>
  </si>
  <si>
    <t>30000_40002_1_275</t>
  </si>
  <si>
    <t>30000_40002_1_285</t>
  </si>
  <si>
    <t>30000_40001_1_0</t>
    <phoneticPr fontId="4" type="noConversion"/>
  </si>
  <si>
    <t>银宝箱</t>
    <phoneticPr fontId="4" type="noConversion"/>
  </si>
  <si>
    <t>金宝箱</t>
    <phoneticPr fontId="4" type="noConversion"/>
  </si>
  <si>
    <t>30000_40001_1_300</t>
  </si>
  <si>
    <t>30000_40001_1_300</t>
    <phoneticPr fontId="4" type="noConversion"/>
  </si>
  <si>
    <t>30000_40001_1_310</t>
  </si>
  <si>
    <t>30000_40001_1_310</t>
    <phoneticPr fontId="4" type="noConversion"/>
  </si>
  <si>
    <t>30000_40001_1_320</t>
  </si>
  <si>
    <t>30000_40001_1_330</t>
  </si>
  <si>
    <t>30000_40001_1_340</t>
  </si>
  <si>
    <t>30000_40001_1_350</t>
  </si>
  <si>
    <t>30000_40001_1_340</t>
    <phoneticPr fontId="4" type="noConversion"/>
  </si>
  <si>
    <t>30000_40001_1_290</t>
  </si>
  <si>
    <t>30000_40001_1_280</t>
  </si>
  <si>
    <t>30000_40001_1_270</t>
  </si>
  <si>
    <t>30000_40001_1_260</t>
  </si>
  <si>
    <t>30000_40001_1_250</t>
  </si>
  <si>
    <t>30000_40001_1_240</t>
  </si>
  <si>
    <t>30000_40001_1_230</t>
  </si>
  <si>
    <t>30000_40001_1_220</t>
  </si>
  <si>
    <t>30000_40001_1_210</t>
  </si>
  <si>
    <t>30000_40001_1_200</t>
  </si>
  <si>
    <t>30000_40001_1_190</t>
  </si>
  <si>
    <t>30000_40001_1_180</t>
  </si>
  <si>
    <t>30000_40001_1_170</t>
  </si>
  <si>
    <t>30000_40001_1_160</t>
  </si>
  <si>
    <t>30000_40001_1_150</t>
  </si>
  <si>
    <t>30000_40001_1_140</t>
  </si>
  <si>
    <t>30000_40001_1_130</t>
  </si>
  <si>
    <t>30000_40001_1_120</t>
  </si>
  <si>
    <t>30000_40002_1_200</t>
    <phoneticPr fontId="4" type="noConversion"/>
  </si>
  <si>
    <t>30000_40002_1_210</t>
    <phoneticPr fontId="4" type="noConversion"/>
  </si>
  <si>
    <t>30000_40002_1_240</t>
  </si>
  <si>
    <t>30000_40003_1_100</t>
    <phoneticPr fontId="4" type="noConversion"/>
  </si>
  <si>
    <t>30000_40003_1_105</t>
    <phoneticPr fontId="4" type="noConversion"/>
  </si>
  <si>
    <t>30000_40003_1_115</t>
  </si>
  <si>
    <t>30000_40003_1_125</t>
  </si>
  <si>
    <t>30000_40003_1_135</t>
  </si>
  <si>
    <t>30000_40003_1_145</t>
  </si>
  <si>
    <t>30000_40003_1_155</t>
  </si>
  <si>
    <t>30000_40003_1_165</t>
  </si>
  <si>
    <t>30000_40003_1_175</t>
  </si>
  <si>
    <t>30000_40003_1_185</t>
  </si>
  <si>
    <t>30000_40003_1_195</t>
  </si>
  <si>
    <t>30000_40003_1_215</t>
  </si>
  <si>
    <t>30000_40003_1_225</t>
  </si>
  <si>
    <t>30000_40003_1_245</t>
  </si>
  <si>
    <t>30000_40003_1_255</t>
  </si>
  <si>
    <t>30000_40002_1_305</t>
    <phoneticPr fontId="4" type="noConversion"/>
  </si>
  <si>
    <t>1_1,2_1,3_1</t>
    <phoneticPr fontId="4" type="noConversion"/>
  </si>
  <si>
    <t>40000_30010090_1_10000,40000_30010090_1_10000,40000_30010090_1_10000</t>
    <phoneticPr fontId="4" type="noConversion"/>
  </si>
  <si>
    <t>40000_30051050_1_10000,40000_30052050_1_10000,40000_30053050_1_10000</t>
    <phoneticPr fontId="4" type="noConversion"/>
  </si>
  <si>
    <t>1_10000,2_0,3_0</t>
    <phoneticPr fontId="4" type="noConversion"/>
  </si>
  <si>
    <t>原始BOSS掉落</t>
    <phoneticPr fontId="4" type="noConversion"/>
  </si>
  <si>
    <t>30000_60001_1_10000,7000001_0_1_10000</t>
  </si>
  <si>
    <t>30000_60001_2_10000,7000001_0_1_10000</t>
  </si>
  <si>
    <t>30000_60001_3_10000,7000001_0_1_10000</t>
  </si>
  <si>
    <t>30000_60001_4_10000,7000002_0_1_10000</t>
  </si>
  <si>
    <t>30000_60001_5_10000,7000002_0_1_10000</t>
  </si>
  <si>
    <t>30000_60001_6_10000,7000002_0_1_10000</t>
  </si>
  <si>
    <t>30000_60001_7_10000,7000003_0_1_10000</t>
  </si>
  <si>
    <t>30000_60001_8_10000,7000003_0_1_10000</t>
  </si>
  <si>
    <t>30000_60001_9_10000,7000004_0_1_10000</t>
  </si>
  <si>
    <t>30000_60001_10_10000,7000004_0_1_10000</t>
  </si>
  <si>
    <t>30000_60001_11_10000,7000004_0_1_10000</t>
  </si>
  <si>
    <t>30000_60001_12_10000,7000005_0_1_10000</t>
  </si>
  <si>
    <t>30000_60001_13_10000,7000005_0_1_10000</t>
  </si>
  <si>
    <t>30000_60001_14_10000,7000006_0_1_10000</t>
  </si>
  <si>
    <t>30000_60001_15_10000,7000006_0_1_10000</t>
  </si>
  <si>
    <t>30000_60001_16_10000,7000006_0_1_10000</t>
  </si>
  <si>
    <t>30000_60001_17_10000,7000007_0_1_10000</t>
  </si>
  <si>
    <t>30000_60001_18_10000,7000007_0_1_10000</t>
  </si>
  <si>
    <t>30000_60001_20_10000,7000008_0_1_10000</t>
  </si>
  <si>
    <t>30000_60001_22_10000,7000009_0_1_10000</t>
  </si>
  <si>
    <t>30000_60001_23_10000,7000009_0_1_10000</t>
  </si>
  <si>
    <t>30000_60001_24_10000,7000010_0_1_10000</t>
  </si>
  <si>
    <t>30000_60001_25_10000,7000010_0_1_10000</t>
  </si>
  <si>
    <t>30000_60001_26_10000,7000010_0_1_10000</t>
  </si>
  <si>
    <t>30000_60001_27_10000,7000011_0_1_10000</t>
  </si>
  <si>
    <t>30000_60001_28_10000,7000011_0_1_10000</t>
  </si>
  <si>
    <t>30000_60001_29_10000,7000012_0_1_10000</t>
  </si>
  <si>
    <t>30000_60001_30_10000,7000012_0_1_10000</t>
  </si>
  <si>
    <t>30000_60001_32_10000,7000013_0_1_10000</t>
  </si>
  <si>
    <t>30000_60001_33_10000,7000013_0_1_10000</t>
  </si>
  <si>
    <t>30000_60001_34_10000,7000013_0_1_10000</t>
  </si>
  <si>
    <t>30000_60001_35_10000,7000014_0_1_10000</t>
  </si>
  <si>
    <t>69-72</t>
    <phoneticPr fontId="4" type="noConversion"/>
  </si>
  <si>
    <t>71-74</t>
    <phoneticPr fontId="4" type="noConversion"/>
  </si>
  <si>
    <t>73-76</t>
    <phoneticPr fontId="4" type="noConversion"/>
  </si>
  <si>
    <t>75-78</t>
    <phoneticPr fontId="4" type="noConversion"/>
  </si>
  <si>
    <t>77-80</t>
    <phoneticPr fontId="4" type="noConversion"/>
  </si>
  <si>
    <t>79-82</t>
    <phoneticPr fontId="4" type="noConversion"/>
  </si>
  <si>
    <t>81-84</t>
    <phoneticPr fontId="4" type="noConversion"/>
  </si>
  <si>
    <t>83-86</t>
    <phoneticPr fontId="4" type="noConversion"/>
  </si>
  <si>
    <t>85-88</t>
    <phoneticPr fontId="4" type="noConversion"/>
  </si>
  <si>
    <t>87-90</t>
    <phoneticPr fontId="4" type="noConversion"/>
  </si>
  <si>
    <t>89-92</t>
    <phoneticPr fontId="4" type="noConversion"/>
  </si>
  <si>
    <t>91-94</t>
    <phoneticPr fontId="4" type="noConversion"/>
  </si>
  <si>
    <t>93-96</t>
    <phoneticPr fontId="4" type="noConversion"/>
  </si>
  <si>
    <t>95-98</t>
    <phoneticPr fontId="4" type="noConversion"/>
  </si>
  <si>
    <t>97-100</t>
    <phoneticPr fontId="4" type="noConversion"/>
  </si>
  <si>
    <t>98-101</t>
    <phoneticPr fontId="4" type="noConversion"/>
  </si>
  <si>
    <t>99-102</t>
    <phoneticPr fontId="4" type="noConversion"/>
  </si>
  <si>
    <t>140_1,141_1,142_1,143_1</t>
  </si>
  <si>
    <t>144_1,145_1,146_1,147_1</t>
  </si>
  <si>
    <t>148_1,149_1,150_1,151_1</t>
  </si>
  <si>
    <t>152_1,153_1,154_1,155_1</t>
  </si>
  <si>
    <t>156_1,157_1,158_1,159_1</t>
  </si>
  <si>
    <t>160_1,161_1,162_1,163_1</t>
  </si>
  <si>
    <t>164_1,165_1,166_1,167_1</t>
  </si>
  <si>
    <t>168_1,169_1,170_1,171_1</t>
  </si>
  <si>
    <t>172_1,173_1,174_1,175_1</t>
  </si>
  <si>
    <t>176_1,177_1,178_1,179_1</t>
  </si>
  <si>
    <t>180_1,181_1,182_1,183_1</t>
  </si>
  <si>
    <t>184_1,185_1,186_1,187_1</t>
  </si>
  <si>
    <t>188_1,189_1,190_1,191_1</t>
  </si>
  <si>
    <t>192_1,193_1,194_1,195_1</t>
  </si>
  <si>
    <t>196_1,197_1,198_1,199_1</t>
  </si>
  <si>
    <t>200_1,201_1,202_1,203_1</t>
  </si>
  <si>
    <t>204_1,205_1,206_1,207_1</t>
  </si>
  <si>
    <t>map/map_036.png</t>
  </si>
  <si>
    <t>map/map_037.png</t>
  </si>
  <si>
    <t>map/map_038.png</t>
  </si>
  <si>
    <t>map/map_039.png</t>
  </si>
  <si>
    <t>map/map_040.png</t>
  </si>
  <si>
    <t>map/map_041.png</t>
  </si>
  <si>
    <t>map/map_042.png</t>
  </si>
  <si>
    <t>map/map_043.png</t>
  </si>
  <si>
    <t>map/map_044.png</t>
  </si>
  <si>
    <t>map/map_045.png</t>
  </si>
  <si>
    <t>map/map_046.png</t>
  </si>
  <si>
    <t>map/map_047.png</t>
  </si>
  <si>
    <t>map/map_048.png</t>
  </si>
  <si>
    <t>map/map_049.png</t>
  </si>
  <si>
    <t>map/map_050.png</t>
  </si>
  <si>
    <t>map/map_051.png</t>
  </si>
  <si>
    <t>map/map_052.png</t>
  </si>
  <si>
    <t>30000_40003_1_260</t>
  </si>
  <si>
    <t>30000_40003_1_265</t>
  </si>
  <si>
    <t>30000_40003_1_270</t>
  </si>
  <si>
    <t>30000_40003_1_275</t>
  </si>
  <si>
    <t>30000_40003_1_280</t>
  </si>
  <si>
    <t>30000_40003_1_285</t>
  </si>
  <si>
    <t>30000_40003_1_290</t>
  </si>
  <si>
    <t>30000_40003_1_295</t>
  </si>
  <si>
    <t>30000_40003_1_300</t>
  </si>
  <si>
    <t>30000_40003_1_305</t>
  </si>
  <si>
    <t>30000_40003_1_310</t>
  </si>
  <si>
    <t>30000_40003_1_315</t>
  </si>
  <si>
    <t>30000_40001_1_120</t>
    <phoneticPr fontId="4" type="noConversion"/>
  </si>
  <si>
    <t>30000_40002_1_250</t>
    <phoneticPr fontId="4" type="noConversion"/>
  </si>
  <si>
    <t>30000_40003_1_320</t>
  </si>
  <si>
    <t>30000_40003_1_325</t>
  </si>
  <si>
    <t>30000_40003_1_330</t>
  </si>
  <si>
    <t>30000_40003_1_335</t>
  </si>
  <si>
    <t>30000_40001_1_121</t>
  </si>
  <si>
    <t>30000_40002_1_251</t>
  </si>
  <si>
    <t>30000_40003_1_336</t>
  </si>
  <si>
    <t>recommendLevel</t>
    <phoneticPr fontId="4" type="noConversion"/>
  </si>
  <si>
    <t>30000_60001_36_10000,7000014_0_1_10000</t>
  </si>
  <si>
    <t>30000_60001_37_10000,7000015_0_1_10000</t>
  </si>
  <si>
    <t>30000_60001_38_10000,7000016_0_1_10000</t>
  </si>
  <si>
    <t>30000_60001_39_10000,7000017_0_1_10000</t>
  </si>
  <si>
    <t>30000_60001_40_10000,7000018_0_1_10000</t>
  </si>
  <si>
    <t>30000_60001_41_10000,7000019_0_1_10000</t>
  </si>
  <si>
    <t>30000_60001_42_10000,7000020_0_1_10000</t>
  </si>
  <si>
    <t>30000_60001_43_10000,7000021_0_1_10000</t>
  </si>
  <si>
    <t>30000_60001_44_10000,7000022_0_1_10000</t>
  </si>
  <si>
    <t>30000_60001_45_10000,7000023_0_1_10000</t>
  </si>
  <si>
    <t>30000_60001_46_10000,7000024_0_1_10000</t>
  </si>
  <si>
    <t>30000_60001_47_10000,7000025_0_1_10000</t>
  </si>
  <si>
    <t>30000_60001_48_10000,7000026_0_1_10000</t>
  </si>
  <si>
    <t>30000_60001_49_10000,7000027_0_1_10000</t>
  </si>
  <si>
    <t>30000_60001_50_10000,7000028_0_1_10000</t>
  </si>
  <si>
    <t>30000_60001_51_10000,7000029_0_1_10000</t>
  </si>
  <si>
    <t>最低经验</t>
    <phoneticPr fontId="4" type="noConversion"/>
  </si>
  <si>
    <t>最低金币</t>
    <phoneticPr fontId="4" type="noConversion"/>
  </si>
  <si>
    <t>推荐等级</t>
    <phoneticPr fontId="4" type="noConversion"/>
  </si>
  <si>
    <t>map/map_001.png</t>
  </si>
  <si>
    <t>1-3</t>
  </si>
  <si>
    <t>mapGroup</t>
    <phoneticPr fontId="4" type="noConversion"/>
  </si>
  <si>
    <t>副本类型</t>
    <phoneticPr fontId="4" type="noConversion"/>
  </si>
  <si>
    <t>limitLevel</t>
    <phoneticPr fontId="4" type="noConversion"/>
  </si>
  <si>
    <t>dependMap</t>
  </si>
  <si>
    <t>mapId</t>
  </si>
  <si>
    <t>group</t>
  </si>
  <si>
    <t>rewardItem</t>
  </si>
  <si>
    <t>monsterId(headPic)</t>
    <phoneticPr fontId="14" type="noConversion"/>
  </si>
  <si>
    <t>name</t>
    <phoneticPr fontId="14" type="noConversion"/>
  </si>
  <si>
    <t>monsterLevel</t>
    <phoneticPr fontId="4" type="noConversion"/>
  </si>
  <si>
    <t>isBoss</t>
    <phoneticPr fontId="4" type="noConversion"/>
  </si>
  <si>
    <t>quality</t>
    <phoneticPr fontId="4" type="noConversion"/>
  </si>
  <si>
    <t>levelLimit</t>
    <phoneticPr fontId="4" type="noConversion"/>
  </si>
  <si>
    <t>levelIndex</t>
    <phoneticPr fontId="4" type="noConversion"/>
  </si>
  <si>
    <t>试炼谷</t>
  </si>
  <si>
    <t>北境古堡</t>
  </si>
  <si>
    <t>日光森林</t>
  </si>
  <si>
    <t>暮光湖</t>
  </si>
  <si>
    <t>嚎叫深渊</t>
  </si>
  <si>
    <t>南风堡</t>
  </si>
  <si>
    <t>圣光教堂</t>
  </si>
  <si>
    <t>美酒地窖</t>
  </si>
  <si>
    <t>钢铁之门</t>
  </si>
  <si>
    <t>红龙巢穴</t>
  </si>
  <si>
    <t>双龙窟</t>
  </si>
  <si>
    <t>血色熔炉</t>
  </si>
  <si>
    <t>绝望镇</t>
  </si>
  <si>
    <t>艾达溶洞</t>
  </si>
  <si>
    <t>城墙大门</t>
  </si>
  <si>
    <t>城墙中部</t>
  </si>
  <si>
    <t>凛风城</t>
  </si>
  <si>
    <t>古达姆</t>
  </si>
  <si>
    <t>密林实验室</t>
  </si>
  <si>
    <t>北海圣坛</t>
  </si>
  <si>
    <t>怒牙要塞</t>
  </si>
  <si>
    <t>尘沙堡</t>
  </si>
  <si>
    <t>潮汐遗迹</t>
  </si>
  <si>
    <t>沐星城</t>
  </si>
  <si>
    <t>猛犸之墓</t>
  </si>
  <si>
    <t>霜狼十字</t>
  </si>
  <si>
    <t>时光壁炉</t>
  </si>
  <si>
    <t>折月城堡</t>
  </si>
  <si>
    <t>暗魔塔</t>
  </si>
  <si>
    <t>流金大厅</t>
  </si>
  <si>
    <t>塔姆丛林</t>
  </si>
  <si>
    <t>十三王陵</t>
  </si>
  <si>
    <t>巨木之森</t>
  </si>
  <si>
    <t>红魔监狱</t>
  </si>
  <si>
    <t>金砂堡</t>
  </si>
  <si>
    <t>达雅之核</t>
  </si>
  <si>
    <t>红谷绞肉机</t>
  </si>
  <si>
    <t>埋骨地</t>
  </si>
  <si>
    <t>流云古城</t>
  </si>
  <si>
    <t>饮光崖</t>
  </si>
  <si>
    <t>黑风要塞</t>
  </si>
  <si>
    <t>努玛遗迹</t>
  </si>
  <si>
    <t>幽灵大厅</t>
  </si>
  <si>
    <t>寒古山脉</t>
  </si>
  <si>
    <t>铁卫雕像</t>
  </si>
  <si>
    <t>喋血之门</t>
  </si>
  <si>
    <t>苦塔</t>
  </si>
  <si>
    <t>雪路之庭</t>
  </si>
  <si>
    <t>幽魂小径</t>
  </si>
  <si>
    <t>地狱之门</t>
  </si>
  <si>
    <t>安塔恶魔之城</t>
  </si>
  <si>
    <t>通天塔</t>
  </si>
  <si>
    <t>关卡名字</t>
    <phoneticPr fontId="4" type="noConversion"/>
  </si>
  <si>
    <t>stageName</t>
    <phoneticPr fontId="4" type="noConversion"/>
  </si>
  <si>
    <t>exp</t>
    <phoneticPr fontId="4" type="noConversion"/>
  </si>
  <si>
    <t>coin</t>
    <phoneticPr fontId="4" type="noConversion"/>
  </si>
  <si>
    <t>等级</t>
    <phoneticPr fontId="4" type="noConversion"/>
  </si>
  <si>
    <t>30000_90002_7</t>
    <phoneticPr fontId="4" type="noConversion"/>
  </si>
  <si>
    <t>30000_90002_8</t>
  </si>
  <si>
    <t>30000_90002_9</t>
  </si>
  <si>
    <t>30000_90002_10</t>
  </si>
  <si>
    <t>30000_90002_11</t>
  </si>
  <si>
    <t>30000_90002_12</t>
  </si>
  <si>
    <t>30000_90002_13</t>
  </si>
  <si>
    <t>30000_90002_14</t>
  </si>
  <si>
    <t>30000_90002_15</t>
  </si>
  <si>
    <t>30000_90002_8</t>
    <phoneticPr fontId="4" type="noConversion"/>
  </si>
  <si>
    <t>30000_90002_16</t>
  </si>
  <si>
    <t>30000_60001_31_10000,7000012_0_1_10000</t>
    <phoneticPr fontId="4" type="noConversion"/>
  </si>
  <si>
    <t>高掉落</t>
    <phoneticPr fontId="4" type="noConversion"/>
  </si>
  <si>
    <t>次掉落</t>
    <phoneticPr fontId="4" type="noConversion"/>
  </si>
  <si>
    <t>次级权重</t>
    <phoneticPr fontId="4" type="noConversion"/>
  </si>
  <si>
    <t>高级掉率</t>
    <phoneticPr fontId="4" type="noConversion"/>
  </si>
  <si>
    <t>同等级紫装</t>
    <phoneticPr fontId="4" type="noConversion"/>
  </si>
  <si>
    <t>紫装权重</t>
    <phoneticPr fontId="4" type="noConversion"/>
  </si>
  <si>
    <t>总掉落</t>
    <phoneticPr fontId="4" type="noConversion"/>
  </si>
  <si>
    <t>客户端</t>
    <phoneticPr fontId="4" type="noConversion"/>
  </si>
  <si>
    <t>30000_90002_7,40000_50350105_1,40000_50303065_1,30000_11001_1</t>
  </si>
  <si>
    <t>30000_90002_7,40000_50350075_1,40000_50301055_1,30000_11001_1</t>
  </si>
  <si>
    <t>30000_90002_8,40000_50350045_1,40000_50301065_1,30000_11001_1</t>
  </si>
  <si>
    <t>30000_90002_8,40000_50350025_1,40000_50302055_1,30000_11001_1</t>
  </si>
  <si>
    <t>30000_90002_8,40000_50350095_1,40000_50303055_1,30000_11001_1</t>
  </si>
  <si>
    <t>30000_90002_9,40000_50350085_1,40000_50300015_1,30000_11001_1</t>
  </si>
  <si>
    <t>30000_90002_9,40000_50350015_1,40000_50351066_1,30000_11001_1</t>
  </si>
  <si>
    <t>30000_90002_9,40000_50350035_1,40000_50302065_1,30000_11001_1</t>
  </si>
  <si>
    <t>30000_90002_10,40000_50351055_1,40000_50300035_1,30000_11001_1</t>
  </si>
  <si>
    <t>30000_90002_8,40000_50400015_1,40000_50353065_1,30000_11001_1</t>
  </si>
  <si>
    <t>30000_90002_8,40000_50400095_1,40000_50352055_1,30000_11001_1</t>
  </si>
  <si>
    <t>30000_90002_9,40000_50400045_1,40000_50351055_1,30000_11001_1</t>
  </si>
  <si>
    <t>30000_90002_9,40000_50400085_1,40000_50401065_1,30000_11001_1</t>
  </si>
  <si>
    <t>30000_90002_9,40000_50400075_1,40000_50351065_1,30000_11001_1</t>
  </si>
  <si>
    <t>30000_90002_10,40000_50400025_1,40000_50350015_1,30000_11001_1</t>
  </si>
  <si>
    <t>30000_90002_10,40000_50400105_1,40000_50353055_1,30000_11001_1</t>
  </si>
  <si>
    <t>30000_90002_10,40000_50400035_1,40000_50350035_1,30000_11001_1</t>
  </si>
  <si>
    <t>30000_90002_11,40000_50401056_1,40000_50352065_1,30000_11001_1</t>
  </si>
  <si>
    <t>30000_90002_9,40000_50450025_1,40000_50403065_1,30000_11001_1</t>
  </si>
  <si>
    <t>30000_90002_9,40000_50450105_1,40000_50400015_1,30000_11001_1</t>
  </si>
  <si>
    <t>30000_90002_10,40000_50450045_1,40000_50401055_1,30000_11001_1</t>
  </si>
  <si>
    <t>30000_90002_10,40000_50450075_1,40000_50401065_1,30000_11001_1</t>
  </si>
  <si>
    <t>30000_90002_10,40000_50450035_1,40000_50402065_1,30000_11001_1</t>
  </si>
  <si>
    <t>30000_90002_11,40000_50450095_1,40000_50402055_1,30000_11001_1</t>
  </si>
  <si>
    <t>30000_90002_11,40000_50450015_1,40000_50451065_1,30000_11001_1</t>
  </si>
  <si>
    <t>30000_90002_11,40000_50450085_1,40000_50400035_1,30000_11001_1</t>
  </si>
  <si>
    <t>30000_90002_12,40000_50451055_1,40000_50403055_1,30000_11001_1</t>
  </si>
  <si>
    <t>30000_90003_1,30000_90002_5,40000_50500045_1,40000_50452065_1,30000_11001_1</t>
  </si>
  <si>
    <t>30000_90003_1,30000_90002_5,40000_50500075_1,40000_50451065_1,30000_11001_1</t>
  </si>
  <si>
    <t>30000_90003_1,30000_90002_6,40000_50500025_1,40000_50452055_1,30000_11001_1</t>
  </si>
  <si>
    <t>30000_90003_1,30000_90002_6,40000_50500105_1,40000_50453055_1,30000_11001_1</t>
  </si>
  <si>
    <t>30000_90003_1,30000_90002_6,40000_50500095_1,40000_50451055_1,30000_11001_1</t>
  </si>
  <si>
    <t>30000_90003_1,30000_90002_7,40000_50500085_1,40000_50453065_1,30000_11001_1</t>
  </si>
  <si>
    <t>30000_90003_1,30000_90002_7,40000_50500035_1,40000_50501066_1,30000_11001_1</t>
  </si>
  <si>
    <t>30000_90003_1,30000_90002_7,40000_50500015_1,40000_50450035_1,30000_11001_1</t>
  </si>
  <si>
    <t>30000_90003_1,30000_90002_8,40000_50501056_1,40000_50450015_1,30000_11001_1</t>
  </si>
  <si>
    <t>30000_90003_1,30000_90002_6,40000_50550045_1,40000_50502065_1,30000_11001_1</t>
  </si>
  <si>
    <t>30000_90003_1,30000_90002_6,40000_50550015_1,40000_50501055_1,30000_11001_1</t>
  </si>
  <si>
    <t>30000_90003_1,30000_90002_7,40000_50550105_1,40000_50503055_1,30000_11001_1</t>
  </si>
  <si>
    <t>30000_90003_1,30000_90002_7,40000_50550075_1,40000_50503065_1,30000_11001_1</t>
  </si>
  <si>
    <t>30000_90003_1,30000_90002_7,40000_50550085_1,40000_50551066_1,30000_11001_1</t>
  </si>
  <si>
    <t>30000_90003_1,30000_90002_8,40000_50550035_1,40000_50500035_1,30000_11001_1</t>
  </si>
  <si>
    <t>30000_90003_1,30000_90002_8,40000_50550025_1,40000_50501065_1,30000_11001_1</t>
  </si>
  <si>
    <t>30000_90003_1,30000_90002_8,40000_50550095_1,40000_50500015_1,30000_11001_1</t>
  </si>
  <si>
    <t>30000_90003_1,30000_90002_9,40000_50551055_1,40000_50502055_1,30000_11001_1</t>
  </si>
  <si>
    <t>30000_90003_1,30000_90002_7,40000_50600025_1,40000_50550035_1,30000_11001_1</t>
  </si>
  <si>
    <t>30000_90003_1,30000_90002_7,40000_50600105_1,40000_50553055_1,30000_11001_1</t>
  </si>
  <si>
    <t>30000_90003_1,30000_90002_8,40000_50600045_1,40000_50601065_1,30000_11001_1</t>
  </si>
  <si>
    <t>30000_90003_1,30000_90002_8,40000_50600035_1,40000_50553065_1,30000_11001_1</t>
  </si>
  <si>
    <t>30000_90003_1,30000_90002_8,40000_50600095_1,40000_50551055_1,30000_11001_1</t>
  </si>
  <si>
    <t>30000_90003_1,30000_90002_9,40000_50600075_1,40000_50550015_1,30000_11001_1</t>
  </si>
  <si>
    <t>30000_90003_1,30000_90002_9,40000_50600015_1,40000_50552055_1,30000_11001_1</t>
  </si>
  <si>
    <t>30000_90003_1,30000_90002_9,40000_50600085_1,40000_50551065_1,30000_11001_1</t>
  </si>
  <si>
    <t>30000_90003_1,30000_90002_10,40000_50601056_1,40000_50552065_1,30000_11001_1</t>
  </si>
  <si>
    <t>30000_90003_1,30000_90002_8,40000_50650035_1,40000_50603055_1,30000_11001_1</t>
  </si>
  <si>
    <t>30000_90003_1,30000_90002_8,40000_50650025_1,40000_50602065_1,30000_11001_1</t>
  </si>
  <si>
    <t>30000_90003_1,30000_90002_9,40000_50650085_1,40000_50601055_1,30000_11001_1</t>
  </si>
  <si>
    <t>30000_90003_1,30000_90002_9,40000_50650105_1,40000_50600015_1,30000_11001_1</t>
  </si>
  <si>
    <t>30000_90003_1,30000_90002_9,40000_50650045_1,40000_50602055_1,30000_11001_1</t>
  </si>
  <si>
    <t>30000_90003_1,30000_90002_10,40000_50650095_1,40000_50601065_1,30000_11001_1</t>
  </si>
  <si>
    <t>30000_90003_1,30000_90002_10,40000_50650015_1,40000_50603065_1,30000_11001_1</t>
  </si>
  <si>
    <t>30000_90003_1,30000_90002_10,40000_50650075_1,40000_50651065_1,30000_11001_1</t>
  </si>
  <si>
    <t>30000_90003_1,30000_90002_11,40000_50651055_1,40000_50600035_1,30000_11001_1</t>
  </si>
  <si>
    <t>30000_90003_1,30000_90002_9,40000_50700105_1,40000_50650015_1,30000_11001_1</t>
  </si>
  <si>
    <t>30000_90003_1,30000_90002_9,40000_50700095_1,40000_50651065_1,30000_11001_1</t>
  </si>
  <si>
    <t>30000_90003_1,30000_90002_10,40000_50700075_1,40000_50701065_1,30000_11001_1</t>
  </si>
  <si>
    <t>30000_90003_1,30000_90002_10,40000_50700085_1,40000_50653065_1,30000_11001_1</t>
  </si>
  <si>
    <t>30000_90003_1,30000_90002_10,40000_50700045_1,40000_50653055_1,30000_11001_1</t>
  </si>
  <si>
    <t>30000_90003_1,30000_90002_11,40000_50700015_1,40000_50652065_1,30000_11001_1</t>
  </si>
  <si>
    <t>30000_90003_1,30000_90002_11,40000_50700025_1,40000_50652055_1,30000_11001_1</t>
  </si>
  <si>
    <t>30000_90003_1,30000_90002_11,40000_50700035_1,40000_50650035_1,30000_11001_1</t>
  </si>
  <si>
    <t>30000_90003_1,30000_90002_12,40000_50701055_1,40000_50651055_1,30000_11001_1</t>
  </si>
  <si>
    <t>30000_90003_1,30000_90002_5,40000_50750045_1,40000_50700015_1,30000_11001_1</t>
  </si>
  <si>
    <t>30000_90003_1,30000_90002_5,40000_50750025_1,40000_50701065_1,30000_11001_1</t>
  </si>
  <si>
    <t>30000_90003_1,30000_90002_6,40000_50750095_1,40000_50702055_1,30000_11001_1</t>
  </si>
  <si>
    <t>30000_90003_1,30000_90002_6,40000_50750035_1,40000_50751066_1,30000_11001_1</t>
  </si>
  <si>
    <t>30000_90003_1,30000_90002_6,40000_50750085_1,40000_50703065_1,30000_11001_1</t>
  </si>
  <si>
    <t>30000_90003_1,30000_90002_7,40000_50750105_1,40000_50702065_1,30000_11001_1</t>
  </si>
  <si>
    <t>30000_90003_1,30000_90002_7,40000_50750015_1,40000_50700035_1,30000_11001_1</t>
  </si>
  <si>
    <t>30000_90003_1,30000_90002_7,40000_50750035_1,40000_50703055_1,30000_11001_1</t>
  </si>
  <si>
    <t>30000_90003_1,30000_90002_8,40000_50751056_1,40000_50701055_1,30000_11001_1</t>
  </si>
  <si>
    <t>30000_90003_1,30000_90002_6,40000_50800105_1,40000_50752055_1,30000_11001_1</t>
  </si>
  <si>
    <t>30000_90003_1,30000_90002_6,40000_50800085_1,40000_50801066_1,30000_11001_1</t>
  </si>
  <si>
    <t>30000_90003_1,30000_90002_7,40000_50800095_1,40000_50751065_1,30000_11001_1</t>
  </si>
  <si>
    <t>30000_90003_1,30000_90002_7,40000_50800075_1,40000_50750035_1,30000_11001_1</t>
  </si>
  <si>
    <t>30000_90003_1,30000_90002_7,40000_50800025_1,40000_50753065_1,30000_11001_1</t>
  </si>
  <si>
    <t>30000_90003_1,30000_90002_8,40000_50800045_1,40000_50752065_1,30000_11001_1</t>
  </si>
  <si>
    <t>30000_90003_1,30000_90002_8,40000_50800035_1,40000_50753055_1,30000_11001_1</t>
  </si>
  <si>
    <t>30000_90003_1,30000_90002_8,40000_50800015_1,40000_50751055_1,30000_11001_1</t>
  </si>
  <si>
    <t>30000_90003_1,30000_90002_9,40000_50801056_1,40000_50750015_1,30000_11001_1</t>
  </si>
  <si>
    <t>30000_90003_1,30000_90002_7,40000_50850105_1,40000_50802065_1,30000_11001_1</t>
  </si>
  <si>
    <t>30000_90003_1,30000_90002_7,40000_50850085_1,40000_50802055_1,30000_11001_1</t>
  </si>
  <si>
    <t>30000_90003_1,30000_90002_8,40000_50850045_1,40000_50800015_1,30000_11001_1</t>
  </si>
  <si>
    <t>30000_90003_1,30000_90002_8,40000_50850025_1,40000_50801055_1,30000_11001_1</t>
  </si>
  <si>
    <t>30000_90003_1,30000_90002_8,40000_50850075_1,40000_50801065_1,30000_11001_1</t>
  </si>
  <si>
    <t>30000_90003_1,30000_90002_9,40000_50850095_1,40000_50803055_1,30000_11001_1</t>
  </si>
  <si>
    <t>30000_90003_1,30000_90002_9,40000_50850015_1,40000_50803065_1,30000_11001_1</t>
  </si>
  <si>
    <t>30000_90003_1,30000_90002_9,40000_50850035_1,40000_50800035_1,30000_11001_1</t>
  </si>
  <si>
    <t>30000_90003_1,30000_90002_10,40000_50851056_1,40000_50851066_1,30000_11001_1</t>
  </si>
  <si>
    <t>30000_90003_1,30000_90002_8,40000_50900105_1,40000_50852065_1,30000_11001_1</t>
  </si>
  <si>
    <t>30000_90003_1,30000_90002_8,40000_50900025_1,40000_50853065_1,30000_11001_1</t>
  </si>
  <si>
    <t>30000_90003_1,30000_90002_9,40000_50900045_1,40000_50851055_1,30000_11001_1</t>
  </si>
  <si>
    <t>30000_90003_1,30000_90002_9,40000_50900075_1,40000_50851065_1,30000_11001_1</t>
  </si>
  <si>
    <t>30000_90003_1,30000_90002_9,40000_50900085_1,40000_50850035_1,30000_11001_1</t>
  </si>
  <si>
    <t>30000_90003_1,30000_90002_10,40000_50900095_1,40000_50850015_1,30000_11001_1</t>
  </si>
  <si>
    <t>30000_90003_1,30000_90002_10,40000_50900015_1,40000_50853055_1,30000_11001_1</t>
  </si>
  <si>
    <t>30000_90003_1,30000_90002_10,40000_50900035_1,40000_50852055_1,30000_11001_1</t>
  </si>
  <si>
    <t>30000_90003_1,30000_90002_11,40000_50901055_1,40000_50901066_1,30000_11001_1</t>
  </si>
  <si>
    <t>30000_90003_1,30000_90002_9,40000_50900105_1,40000_50902055_1,30000_11001_1</t>
  </si>
  <si>
    <t>30000_90003_1,30000_90002_9,40000_50900025_1,40000_50900035_1,30000_11001_1</t>
  </si>
  <si>
    <t>30000_90003_1,30000_90002_10,40000_50900046_1,40000_50902065_1,30000_11001_1</t>
  </si>
  <si>
    <t>30000_90003_1,30000_90002_10,40000_50900076_1,40000_50901055_1,30000_11001_1</t>
  </si>
  <si>
    <t>30000_90003_1,30000_90002_10,40000_50900085_1,40000_50901065_1,30000_11001_1</t>
  </si>
  <si>
    <t>30000_90003_1,30000_90002_11,40000_50900095_1,40000_50900015_1,30000_11001_1</t>
  </si>
  <si>
    <t>30000_90003_1,30000_90002_11,40000_50900015_1,40000_50901065_1,30000_11001_1</t>
  </si>
  <si>
    <t>30000_90003_1,30000_90002_11,40000_50900035_1,40000_50903055_1,30000_11001_1</t>
  </si>
  <si>
    <t>30000_90003_1,30000_90002_12,40000_50901056_1,40000_50903065_1,30000_11001_1</t>
  </si>
  <si>
    <t>30000_90004_1,30000_90003_1,30000_90002_2,40000_50950105_1,40000_50950015_1,30000_11001_1</t>
  </si>
  <si>
    <t>30000_90004_1,30000_90003_1,30000_90002_2,40000_50950025_1,40000_50952055_1,30000_11001_1</t>
  </si>
  <si>
    <t>30000_90004_1,30000_90003_1,30000_90002_3,40000_50950046_1,40000_50952065_1,30000_11001_1</t>
  </si>
  <si>
    <t>30000_90004_1,30000_90003_1,30000_90002_3,40000_50950076_1,40000_50950035_1,30000_11001_1</t>
  </si>
  <si>
    <t>30000_90004_1,30000_90003_1,30000_90002_3,40000_50950085_1,40000_50953065_1,30000_11001_1</t>
  </si>
  <si>
    <t>30000_90004_1,30000_90003_1,30000_90002_4,40000_50950095_1,40000_50951055_1,30000_11001_1</t>
  </si>
  <si>
    <t>30000_90004_1,30000_90003_1,30000_90002_4,40000_50950015_1,40000_50951065_1,30000_11001_1</t>
  </si>
  <si>
    <t>30000_90004_1,30000_90003_1,30000_90002_4,40000_50950035_1,40000_50953055_1,30000_11001_1</t>
  </si>
  <si>
    <t>30000_90004_1,30000_90003_1,30000_90002_5,40000_50951056_1,40000_50953065_1,30000_11001_1</t>
  </si>
  <si>
    <t>30000_90004_1,30000_90003_1,30000_90002_3,40000_51000105_1,40000_51000015_1,30000_11001_1</t>
  </si>
  <si>
    <t>30000_90004_1,30000_90003_1,30000_90002_3,40000_51000025_1,40000_51002055_1,30000_11001_1</t>
  </si>
  <si>
    <t>30000_90004_1,30000_90003_1,30000_90002_4,40000_51000046_1,40000_51002065_1,30000_11001_1</t>
  </si>
  <si>
    <t>30000_90004_1,30000_90003_1,30000_90002_4,40000_51000076_1,40000_51000035_1,30000_11001_1</t>
  </si>
  <si>
    <t>30000_90004_1,30000_90003_1,30000_90002_4,40000_51000085_1,40000_51003065_1,30000_11001_1</t>
  </si>
  <si>
    <t>30000_90004_1,30000_90003_1,30000_90002_5,40000_51000095_1,40000_51001055_1,30000_11001_1</t>
  </si>
  <si>
    <t>30000_90004_1,30000_90003_1,30000_90002_5,40000_51000015_1,40000_51001065_1,30000_11001_1</t>
  </si>
  <si>
    <t>30000_90004_1,30000_90003_1,30000_90002_5,40000_51000035_1,40000_51003055_1,30000_11001_1</t>
  </si>
  <si>
    <t>30000_90004_1,30000_90003_1,30000_90002_6,40000_51001056_1,40000_51003065_1,30000_11001_1</t>
  </si>
  <si>
    <t>30000_90002_9,40000_50350015_1,40000_50352066_1,30000_11001_1</t>
  </si>
  <si>
    <t>30000_90002_10,40000_50352055_1,40000_50300035_1,30000_11001_1</t>
  </si>
  <si>
    <t>30000_90002_9,40000_50400085_1,40000_50402065_1,30000_11001_1</t>
  </si>
  <si>
    <t>30000_90002_11,40000_50402056_1,40000_50352065_1,30000_11001_1</t>
  </si>
  <si>
    <t>30000_90002_11,40000_50450015_1,40000_50452065_1,30000_11001_1</t>
  </si>
  <si>
    <t>30000_90002_12,40000_50452055_1,40000_50403055_1,30000_11001_1</t>
  </si>
  <si>
    <t>30000_90003_1,30000_90002_7,40000_50500035_1,40000_50502066_1,30000_11001_1</t>
  </si>
  <si>
    <t>30000_90003_1,30000_90002_8,40000_50502056_1,40000_50450015_1,30000_11001_1</t>
  </si>
  <si>
    <t>30000_90003_1,30000_90002_7,40000_50550085_1,40000_50552066_1,30000_11001_1</t>
  </si>
  <si>
    <t>30000_90003_1,30000_90002_9,40000_50552055_1,40000_50502055_1,30000_11001_1</t>
  </si>
  <si>
    <t>30000_90003_1,30000_90002_8,40000_50600045_1,40000_50602065_1,30000_11001_1</t>
  </si>
  <si>
    <t>30000_90003_1,30000_90002_10,40000_50602055_1,40000_50552065_1,30000_11001_1</t>
  </si>
  <si>
    <t>30000_90003_1,30000_90002_10,40000_50650075_1,40000_50652065_1,30000_11001_1</t>
  </si>
  <si>
    <t>30000_90003_1,30000_90002_11,40000_50652055_1,40000_50600035_1,30000_11001_1</t>
  </si>
  <si>
    <t>30000_90003_1,30000_90002_10,40000_50700075_1,40000_50702065_1,30000_11001_1</t>
  </si>
  <si>
    <t>30000_90003_1,30000_90002_12,40000_50702055_1,40000_50651055_1,30000_11001_1</t>
  </si>
  <si>
    <t>30000_90003_1,30000_90002_6,40000_50750035_1,40000_50752066_1,30000_11001_1</t>
  </si>
  <si>
    <t>30000_90003_1,30000_90002_8,40000_50752056_1,40000_50701055_1,30000_11001_1</t>
  </si>
  <si>
    <t>30000_90003_1,30000_90002_6,40000_50800085_1,40000_50802066_1,30000_11001_1</t>
  </si>
  <si>
    <t>30000_90003_1,30000_90002_9,40000_50802056_1,40000_50750015_1,30000_11001_1</t>
  </si>
  <si>
    <t>30000_90003_1,30000_90002_10,40000_50852056_1,40000_50852066_1,30000_11001_1</t>
  </si>
  <si>
    <t>30000_90003_1,30000_90002_11,40000_50902055_1,40000_50902066_1,30000_11001_1</t>
  </si>
  <si>
    <t>30000_90003_1,30000_90002_11,40000_50900015_1,40000_50902065_1,30000_11001_1</t>
  </si>
  <si>
    <t>30000_90003_1,30000_90002_12,40000_50902056_1,40000_50903065_1,30000_11001_1</t>
  </si>
  <si>
    <t>30000_90004_1,30000_90003_1,30000_90002_4,40000_50950015_1,40000_50952065_1,30000_11001_1</t>
  </si>
  <si>
    <t>30000_90004_1,30000_90003_1,30000_90002_5,40000_50952056_1,40000_50953065_1,30000_11001_1</t>
  </si>
  <si>
    <t>30000_90004_1,30000_90003_1,30000_90002_5,40000_51000015_1,40000_51002065_1,30000_11001_1</t>
  </si>
  <si>
    <t>30000_90004_1,30000_90003_1,30000_90002_6,40000_51002056_1,40000_51003065_1,30000_11001_1</t>
  </si>
  <si>
    <t>30000_90002_9,40000_50350015_1,40000_50353066_1,30000_11001_1</t>
  </si>
  <si>
    <t>30000_90002_10,40000_50353055_1,40000_50300035_1,30000_11001_1</t>
  </si>
  <si>
    <t>30000_90002_9,40000_50400085_1,40000_50403065_1,30000_11001_1</t>
  </si>
  <si>
    <t>30000_90002_11,40000_50403056_1,40000_50352065_1,30000_11001_1</t>
  </si>
  <si>
    <t>30000_90002_11,40000_50450015_1,40000_50453065_1,30000_11001_1</t>
  </si>
  <si>
    <t>30000_90002_12,40000_50453056_1,40000_50403055_1,30000_11001_1</t>
  </si>
  <si>
    <t>30000_90003_1,30000_90002_7,40000_50500035_1,40000_50503066_1,30000_11001_1</t>
  </si>
  <si>
    <t>30000_90003_1,30000_90002_8,40000_50503056_1,40000_50450015_1,30000_11001_1</t>
  </si>
  <si>
    <t>30000_90003_1,30000_90002_7,40000_50550085_1,40000_50553066_1,30000_11001_1</t>
  </si>
  <si>
    <t>30000_90003_1,30000_90002_9,40000_50553055_1,40000_50502055_1,30000_11001_1</t>
  </si>
  <si>
    <t>30000_90003_1,30000_90002_8,40000_50600045_1,40000_50603065_1,30000_11001_1</t>
  </si>
  <si>
    <t>30000_90003_1,30000_90002_10,40000_50603056_1,40000_50552065_1,30000_11001_1</t>
  </si>
  <si>
    <t>30000_90003_1,30000_90002_10,40000_50650075_1,40000_50653065_1,30000_11001_1</t>
  </si>
  <si>
    <t>30000_90003_1,30000_90002_11,40000_50653055_1,40000_50600035_1,30000_11001_1</t>
  </si>
  <si>
    <t>30000_90003_1,30000_90002_10,40000_50700075_1,40000_50703065_1,30000_11001_1</t>
  </si>
  <si>
    <t>30000_90003_1,30000_90002_12,40000_50703055_1,40000_50651055_1,30000_11001_1</t>
  </si>
  <si>
    <t>30000_90003_1,30000_90002_6,40000_50750035_1,40000_50753066_1,30000_11001_1</t>
  </si>
  <si>
    <t>30000_90003_1,30000_90002_8,40000_50753056_1,40000_50701055_1,30000_11001_1</t>
  </si>
  <si>
    <t>30000_90003_1,30000_90002_6,40000_50800085_1,40000_50803066_1,30000_11001_1</t>
  </si>
  <si>
    <t>30000_90003_1,30000_90002_9,40000_50803056_1,40000_50750015_1,30000_11001_1</t>
  </si>
  <si>
    <t>30000_90003_1,30000_90002_10,40000_50853056_1,40000_50853066_1,30000_11001_1</t>
  </si>
  <si>
    <t>30000_90003_1,30000_90002_11,40000_50903055_1,40000_50903066_1,30000_11001_1</t>
  </si>
  <si>
    <t>30000_90003_1,30000_90002_11,40000_50900015_1,40000_50903065_1,30000_11001_1</t>
  </si>
  <si>
    <t>30000_90003_1,30000_90002_12,40000_50903056_1,40000_50903065_1,30000_11001_1</t>
  </si>
  <si>
    <t>30000_90004_1,30000_90003_1,30000_90002_4,40000_50950015_1,40000_50953065_1,30000_11001_1</t>
  </si>
  <si>
    <t>30000_90004_1,30000_90003_1,30000_90002_5,40000_50953056_1,40000_50953065_1,30000_11001_1</t>
  </si>
  <si>
    <t>30000_90004_1,30000_90003_1,30000_90002_6,40000_51003056_1,40000_51003065_1,30000_11001_1</t>
  </si>
  <si>
    <t>30000_90002_7</t>
  </si>
  <si>
    <t>30000_90003_1,30000_90002_5</t>
  </si>
  <si>
    <t>30000_90003_1,30000_90002_6</t>
  </si>
  <si>
    <t>30000_90003_1,30000_90002_7</t>
  </si>
  <si>
    <t>30000_90003_1,30000_90002_8</t>
  </si>
  <si>
    <t>30000_90003_1,30000_90002_9</t>
  </si>
  <si>
    <t>30000_90003_1,30000_90002_10</t>
  </si>
  <si>
    <t>30000_90003_1,30000_90002_11</t>
  </si>
  <si>
    <t>30000_90003_1,30000_90002_12</t>
  </si>
  <si>
    <t>30000_90004_1,30000_90003_1,30000_90002_2</t>
  </si>
  <si>
    <t>30000_90004_1,30000_90003_1,30000_90002_3</t>
  </si>
  <si>
    <t>30000_90004_1,30000_90003_1,30000_90002_4</t>
  </si>
  <si>
    <t>30000_90004_1,30000_90003_1,30000_90002_5</t>
  </si>
  <si>
    <t>30000_90004_1,30000_90003_1,30000_90002_6</t>
  </si>
  <si>
    <t>monsterLevel</t>
    <phoneticPr fontId="4" type="noConversion"/>
  </si>
  <si>
    <t>30000_90002_8,40000_50400095_1,40000_50352055_1,30000_11001_1</t>
    <phoneticPr fontId="4" type="noConversion"/>
  </si>
  <si>
    <t>等级</t>
    <phoneticPr fontId="4" type="noConversion"/>
  </si>
  <si>
    <t>地图序列</t>
    <phoneticPr fontId="4" type="noConversion"/>
  </si>
  <si>
    <t>战士幻象</t>
    <phoneticPr fontId="4" type="noConversion"/>
  </si>
  <si>
    <t>法力风暴</t>
    <phoneticPr fontId="4" type="noConversion"/>
  </si>
  <si>
    <t>角斗士里奥</t>
    <phoneticPr fontId="4" type="noConversion"/>
  </si>
  <si>
    <t>荒野游侠</t>
    <phoneticPr fontId="4" type="noConversion"/>
  </si>
  <si>
    <t>憾地者</t>
    <phoneticPr fontId="4" type="noConversion"/>
  </si>
  <si>
    <t>拉兹</t>
    <phoneticPr fontId="4" type="noConversion"/>
  </si>
  <si>
    <t>塔克</t>
    <phoneticPr fontId="4" type="noConversion"/>
  </si>
  <si>
    <t>狂野安东尼</t>
    <phoneticPr fontId="4" type="noConversion"/>
  </si>
  <si>
    <t>巡林者瑞克</t>
    <phoneticPr fontId="4" type="noConversion"/>
  </si>
  <si>
    <t>坚定的格雷格</t>
    <phoneticPr fontId="4" type="noConversion"/>
  </si>
  <si>
    <t>迅捷的维恩</t>
    <phoneticPr fontId="4" type="noConversion"/>
  </si>
  <si>
    <t>驯兽师瓦纳</t>
    <phoneticPr fontId="4" type="noConversion"/>
  </si>
  <si>
    <t>炎之安苏</t>
    <phoneticPr fontId="4" type="noConversion"/>
  </si>
  <si>
    <t>混乱的玛尔达</t>
    <phoneticPr fontId="4" type="noConversion"/>
  </si>
  <si>
    <t>暮光预言者</t>
    <phoneticPr fontId="4" type="noConversion"/>
  </si>
  <si>
    <t>卡雷</t>
    <phoneticPr fontId="4" type="noConversion"/>
  </si>
  <si>
    <t>日光费雷尔</t>
    <phoneticPr fontId="4" type="noConversion"/>
  </si>
  <si>
    <t>疾风克鲁</t>
    <phoneticPr fontId="4" type="noConversion"/>
  </si>
  <si>
    <t>拨弄的赛亚</t>
    <phoneticPr fontId="4" type="noConversion"/>
  </si>
  <si>
    <t>火舞者</t>
    <phoneticPr fontId="4" type="noConversion"/>
  </si>
  <si>
    <t>血誓议会</t>
    <phoneticPr fontId="4" type="noConversion"/>
  </si>
  <si>
    <t>舞钢者拜伦</t>
    <phoneticPr fontId="4" type="noConversion"/>
  </si>
  <si>
    <t>风暴之王</t>
    <phoneticPr fontId="4" type="noConversion"/>
  </si>
  <si>
    <t>雷伊战争使者</t>
    <phoneticPr fontId="4" type="noConversion"/>
  </si>
  <si>
    <t>暴君泰伦</t>
    <phoneticPr fontId="4" type="noConversion"/>
  </si>
  <si>
    <t>猎人幻象</t>
    <phoneticPr fontId="4" type="noConversion"/>
  </si>
  <si>
    <t>莱恩的倒影</t>
    <phoneticPr fontId="4" type="noConversion"/>
  </si>
  <si>
    <t>菲德丝的倒影</t>
    <phoneticPr fontId="4" type="noConversion"/>
  </si>
  <si>
    <t>惊人的盖亚</t>
    <phoneticPr fontId="4" type="noConversion"/>
  </si>
  <si>
    <t>咒术大师</t>
    <phoneticPr fontId="4" type="noConversion"/>
  </si>
  <si>
    <t>法师幻象</t>
    <phoneticPr fontId="4" type="noConversion"/>
  </si>
  <si>
    <t>赛琳娜的倒影</t>
    <phoneticPr fontId="4" type="noConversion"/>
  </si>
  <si>
    <t>幻术师艾莉</t>
    <phoneticPr fontId="4" type="noConversion"/>
  </si>
  <si>
    <t>影子武士</t>
    <phoneticPr fontId="4" type="noConversion"/>
  </si>
  <si>
    <t>30000_90002_10,40000_50400025_1,40000_50350015_1,30000_11001_1</t>
    <phoneticPr fontId="4" type="noConversion"/>
  </si>
  <si>
    <t>30000_60001_19_10000,7000008_0_1_10000</t>
    <phoneticPr fontId="4" type="noConversion"/>
  </si>
  <si>
    <t>30000_60001_21_10000,7000008_0_1_10000</t>
    <phoneticPr fontId="4" type="noConversion"/>
  </si>
  <si>
    <t>30000_60001_52_10000,7000030_0_1_10000</t>
    <phoneticPr fontId="4" type="noConversion"/>
  </si>
  <si>
    <t>加远征掉落</t>
    <phoneticPr fontId="4" type="noConversion"/>
  </si>
  <si>
    <t>远征掉落</t>
    <phoneticPr fontId="4" type="noConversion"/>
  </si>
  <si>
    <t>活动小怪掉落</t>
    <phoneticPr fontId="4" type="noConversion"/>
  </si>
  <si>
    <t>带活动掉落</t>
    <phoneticPr fontId="4" type="noConversion"/>
  </si>
  <si>
    <t>4000101_0_1_400,4000201_0_1_360,4000301_0_1_160,4000401_0_1_0,4000501_0_1_0,4000105_0_1_0,4000205_0_1_0,4000305_0_1_0,4000405_0_1_0,4000505_0_1_0,30000_40001_1_0,30000_40002_1_0,30000_40003_1_0,30000_10017_1_100</t>
  </si>
  <si>
    <t>4000101_0_1_199,4000201_0_1_179,4000301_0_1_81,4000401_0_1_0,4000501_0_1_0,4000105_0_1_199,4000205_0_1_179,4000305_0_1_81,4000405_0_1_0,4000505_0_1_0,30000_40001_1_0,30000_40002_1_0,30000_40003_1_0,30000_10017_1_100</t>
  </si>
  <si>
    <t>4000101_0_1_79,4000201_0_1_71,4000301_0_1_33,4000401_0_1_0,4000501_0_1_0,4000105_0_1_318,4000205_0_1_284,4000305_0_1_132,4000405_0_1_0,4000505_0_1_0,30000_40001_1_0,30000_40002_1_0,30000_40003_1_0,30000_10017_1_100</t>
  </si>
  <si>
    <t>4000105_0_1_397,4000205_0_1_354,4000305_0_1_169,4000405_0_1_0,4000505_0_1_0,4000110_0_1_0,4000210_0_1_0,4000310_0_1_0,4000410_0_1_0,4000510_0_1_0,30000_40001_1_300,30000_40002_1_200,30000_40003_1_100,30000_10017_1_100</t>
  </si>
  <si>
    <t>4000105_0_1_291,4000205_0_1_259,4000305_0_1_126,4000405_0_1_0,4000505_0_1_0,4000110_0_1_194,4000210_0_1_172,4000310_0_1_84,4000410_0_1_0,4000510_0_1_0,30000_40001_1_310,30000_40002_1_200,30000_40003_1_105,30000_10017_1_100</t>
  </si>
  <si>
    <t>4000105_0_1_96,4000205_0_1_85,4000305_0_1_43,4000405_0_1_0,4000505_0_1_0,4000110_0_1_386,4000210_0_1_343,4000310_0_1_172,4000410_0_1_0,4000510_0_1_0,30000_40001_1_320,30000_40002_1_200,30000_40003_1_110,30000_10017_1_100</t>
  </si>
  <si>
    <t>4000110_0_1_384,4000210_0_1_341,4000310_0_1_175,4000410_0_1_0,4000510_0_1_0,4000115_0_1_96,4000215_0_1_85,4000315_0_1_43,4000415_0_1_0,4000515_0_1_0,30000_40001_1_330,30000_40002_1_200,30000_40003_1_115,30000_10017_1_130</t>
  </si>
  <si>
    <t>4000110_0_1_197,4000210_0_1_174,4000310_0_1_92,4000410_0_1_0,4000510_0_1_0,4000115_0_1_296,4000215_0_1_261,4000315_0_1_138,4000415_0_1_0,4000515_0_1_0,30000_40001_1_340,30000_40002_1_200,30000_40003_1_120,30000_10017_1_135</t>
  </si>
  <si>
    <t>4000115_0_1_501,4000215_0_1_441,4000315_0_1_238,4000415_0_1_12,4000515_0_1_0,4000120_0_1_0,4000220_0_1_0,4000320_0_1_0,4000420_0_1_0,4000520_0_1_0,30000_40001_1_350,30000_40002_1_200,30000_40003_1_125,30000_10017_1_140</t>
  </si>
  <si>
    <t>4000115_0_1_304,4000215_0_1_267,4000315_0_1_148,4000415_0_1_15,4000515_0_1_0,4000120_0_1_202,4000220_0_1_178,4000320_0_1_98,4000420_0_1_10,4000520_0_1_0,30000_40001_1_340,30000_40002_1_210,30000_40003_1_130,30000_10017_1_145</t>
  </si>
  <si>
    <t>4000115_0_1_99,4000215_0_1_86,4000315_0_1_49,4000415_0_1_7,4000515_0_1_0,4000120_0_1_397,4000220_0_1_347,4000320_0_1_198,4000420_0_1_29,4000520_0_1_0,30000_40001_1_330,30000_40002_1_220,30000_40003_1_135,30000_10017_1_145</t>
  </si>
  <si>
    <t>4000120_0_1_401,4000220_0_1_349,4000320_0_1_205,4000420_0_1_40,4000520_0_1_0,4000125_0_1_100,4000225_0_1_87,4000325_0_1_51,4000425_0_1_10,4000525_0_1_0,30000_40001_1_320,30000_40002_1_230,30000_40003_1_140,30000_10017_1_150</t>
  </si>
  <si>
    <t>4000120_0_1_256,4000220_0_1_222,4000320_0_1_135,4000420_0_1_33,4000520_0_1_0,4000125_0_1_384,4000225_0_1_334,4000325_0_1_202,4000425_0_1_50,4000525_0_1_0,30000_40001_1_310,30000_40002_1_240,30000_40003_1_145,30000_10017_1_200</t>
  </si>
  <si>
    <t>4000125_0_1_630,4000225_0_1_545,4000325_0_1_341,4000425_0_1_94,4000525_0_1_0,4000130_0_1_0,4000230_0_1_0,4000330_0_1_0,4000430_0_1_0,4000530_0_1_0,30000_40001_1_300,30000_40002_1_250,30000_40003_1_150,30000_10017_1_200</t>
  </si>
  <si>
    <t>4000125_0_1_371,4000225_0_1_319,4000325_0_1_206,4000425_0_1_61,4000525_0_1_0,4000130_0_1_247,4000230_0_1_213,4000330_0_1_137,4000430_0_1_41,4000530_0_1_0,30000_40001_1_290,30000_40002_1_260,30000_40003_1_155,30000_10017_1_200</t>
  </si>
  <si>
    <t>4000125_0_1_133,4000225_0_1_114,4000325_0_1_76,4000425_0_1_24,4000525_0_1_0,4000130_0_1_532,4000230_0_1_456,4000330_0_1_304,4000430_0_1_99,4000530_0_1_0,30000_40001_1_280,30000_40002_1_270,30000_40003_1_160,30000_10017_1_220</t>
  </si>
  <si>
    <t>4000130_0_1_533,4000230_0_1_455,4000330_0_1_313,4000430_0_1_109,4000530_0_1_0,4000135_0_1_133,4000235_0_1_113,4000335_0_1_78,4000435_0_1_27,4000535_0_1_0,30000_40001_1_270,30000_40002_1_280,30000_40003_1_165,30000_10017_1_225</t>
  </si>
  <si>
    <t>4000130_0_1_264,4000230_0_1_224,4000330_0_1_160,4000430_0_1_60,4000530_0_1_8,4000135_0_1_396,4000235_0_1_336,4000335_0_1_240,4000435_0_1_90,4000535_0_1_12,30000_40001_1_260,30000_40002_1_290,30000_40003_1_170,30000_10017_1_230</t>
  </si>
  <si>
    <t>4000135_0_1_656,4000235_0_1_554,4000335_0_1_410,4000435_0_1_164,4000535_0_1_31,4000140_0_1_0,4000240_0_1_0,4000340_0_1_0,4000440_0_1_0,4000540_0_1_0,30000_40001_1_250,30000_40002_1_300,30000_40003_1_175,30000_10017_1_235</t>
  </si>
  <si>
    <t>4000135_0_1_391,4000235_0_1_328,4000335_0_1_252,4000435_0_1_107,4000535_0_1_25,4000140_0_1_260,4000240_0_1_218,4000340_0_1_168,4000440_0_1_71,4000540_0_1_16,30000_40001_1_240,30000_40002_1_310,30000_40003_1_180,30000_10017_1_240</t>
  </si>
  <si>
    <t>4000135_0_1_239,4000235_0_1_199,4000335_0_1_159,4000435_0_1_71,4000535_0_1_19,4000140_0_1_406,4000240_0_1_339,4000340_0_1_271,4000440_0_1_122,4000540_0_1_34,30000_40001_1_230,30000_40002_1_305,30000_40003_1_185,30000_10017_1_245</t>
  </si>
  <si>
    <t>4000140_0_1_379,4000240_0_1_315,4000340_0_1_257,4000440_0_1_122,4000540_0_1_38,4000143_0_1_264,4000243_0_1_219,4000343_0_1_178,4000443_0_1_84,4000543_0_1_26,30000_40001_1_220,30000_40002_1_300,30000_40003_1_190,30000_10017_1_250</t>
  </si>
  <si>
    <t>4000143_0_1_439,4000243_0_1_365,4000343_0_1_298,4000443_0_1_148,4000543_0_1_52,4000145_0_1_216,4000245_0_1_179,4000345_0_1_146,4000445_0_1_73,4000545_0_1_25,30000_40001_1_210,30000_40002_1_295,30000_40003_1_195,30000_10017_1_260</t>
  </si>
  <si>
    <t>4000145_0_1_351,4000245_0_1_291,4000345_0_1_238,4000445_0_1_119,4000545_0_1_41,4000145_0_1_324,4000245_0_1_269,4000345_0_1_219,4000445_0_1_109,4000545_0_1_38,30000_40001_1_200,30000_40002_1_290,30000_40003_1_200,30000_10017_1_270</t>
  </si>
  <si>
    <t>4000145_0_1_366,4000245_0_1_304,4000345_0_1_248,4000445_0_1_124,4000545_0_1_43,4000147_0_1_308,4000247_0_1_256,4000347_0_1_209,4000447_0_1_104,4000547_0_1_36,30000_40001_1_190,30000_40002_1_285,30000_40003_1_205,30000_10017_1_275</t>
  </si>
  <si>
    <t>4000147_0_1_377,4000247_0_1_313,4000347_0_1_256,4000447_0_1_128,4000547_0_1_44,4000150_0_1_297,4000250_0_1_247,4000350_0_1_201,4000450_0_1_100,4000550_0_1_35,30000_40001_1_180,30000_40002_1_280,30000_40003_1_210,30000_10017_1_280</t>
  </si>
  <si>
    <t>4000150_0_1_406,4000250_0_1_337,4000350_0_1_275,4000450_0_1_137,4000550_0_1_48,4000153_0_1_285,4000253_0_1_237,4000353_0_1_193,4000453_0_1_97,4000553_0_1_33,30000_40001_1_170,30000_40002_1_275,30000_40003_1_215,30000_10017_1_300</t>
  </si>
  <si>
    <t>4000153_0_1_423,4000253_0_1_351,4000353_0_1_287,4000453_0_1_143,4000553_0_1_50,4000153_0_1_268,4000253_0_1_223,4000353_0_1_181,4000453_0_1_91,4000553_0_1_31,30000_40001_1_160,30000_40002_1_270,30000_40003_1_220,30000_10017_1_300</t>
  </si>
  <si>
    <t>4000153_0_1_439,4000253_0_1_365,4000353_0_1_297,4000453_0_1_149,4000553_0_1_52,4000155_0_1_252,4000255_0_1_209,4000355_0_1_171,4000455_0_1_85,4000555_0_1_29,30000_40001_1_150,30000_40002_1_265,30000_40003_1_225,30000_10017_1_300</t>
  </si>
  <si>
    <t>4000155_0_1_453,4000255_0_1_377,4000355_0_1_307,4000455_0_1_154,4000555_0_1_53,4000157_0_1_238,4000257_0_1_197,4000357_0_1_161,4000457_0_1_80,4000557_0_1_28,30000_40001_1_140,30000_40002_1_260,30000_40003_1_230,30000_10017_1_300</t>
  </si>
  <si>
    <t>4000157_0_1_467,4000257_0_1_388,4000357_0_1_316,4000457_0_1_158,4000557_0_1_55,4000157_0_1_224,4000257_0_1_186,4000357_0_1_152,4000457_0_1_76,4000557_0_1_26,30000_40001_1_130,30000_40002_1_255,30000_40003_1_235,30000_10017_1_300</t>
  </si>
  <si>
    <t>4000157_0_1_479,4000257_0_1_398,4000357_0_1_325,4000457_0_1_162,4000557_0_1_56,4000160_0_1_212,4000260_0_1_176,4000360_0_1_143,4000460_0_1_72,4000560_0_1_25,30000_40001_1_120,30000_40002_1_250,30000_40003_1_240,30000_10017_1_300</t>
  </si>
  <si>
    <t>4000160_0_1_489,4000260_0_1_406,4000360_0_1_331,4000460_0_1_166,4000560_0_1_57,4000163_0_1_202,4000263_0_1_168,4000363_0_1_137,4000463_0_1_68,4000563_0_1_24,30000_40001_1_120,30000_40002_1_250,30000_40003_1_245,30000_10017_1_300</t>
  </si>
  <si>
    <t>4000163_0_1_498,4000263_0_1_414,4000363_0_1_337,4000463_0_1_169,4000563_0_1_59,4000163_0_1_193,4000263_0_1_161,4000363_0_1_131,4000463_0_1_65,4000563_0_1_22,30000_40001_1_120,30000_40002_1_250,30000_40003_1_250,30000_10017_1_300</t>
  </si>
  <si>
    <t>4000163_0_1_506,4000263_0_1_420,4000363_0_1_343,4000463_0_1_172,4000563_0_1_60,4000165_0_1_185,4000265_0_1_154,4000365_0_1_125,4000465_0_1_62,4000565_0_1_21,30000_40001_1_120,30000_40002_1_250,30000_40003_1_255,30000_10017_1_300</t>
  </si>
  <si>
    <t>4000167_0_1_522,4000267_0_1_434,4000367_0_1_354,4000467_0_1_177,4000567_0_1_61,4000170_0_1_169,4000270_0_1_140,4000370_0_1_114,4000470_0_1_57,4000570_0_1_20,30000_40001_1_120,30000_40002_1_250,30000_40003_1_260,30000_10017_1_300</t>
  </si>
  <si>
    <t>4000167_0_1_362,4000267_0_1_301,4000367_0_1_245,4000467_0_1_123,4000567_0_1_43,4000170_0_1_346,4000270_0_1_287,4000370_0_1_234,4000470_0_1_117,4000570_0_1_41,30000_40001_1_120,30000_40002_1_250,30000_40003_1_265,30000_10017_1_300</t>
  </si>
  <si>
    <t>4001072_0_1_560,4002072_0_1_465,4003072_0_1_379,4004072_0_1_190,4005072_0_1_66,4001074_0_1_164,4002074_0_1_136,4003074_0_1_111,4004074_0_1_55,4005074_0_1_19,30000_40001_1_120,30000_40002_1_250,30000_40003_1_270,30000_10017_1_300</t>
  </si>
  <si>
    <t>4001074_0_1_598,4002074_0_1_496,4003074_0_1_405,4004074_0_1_202,4005074_0_1_71,4001076_0_1_133,4002076_0_1_111,4003076_0_1_90,4004076_0_1_45,4005076_0_1_15,30000_40001_1_120,30000_40002_1_250,30000_40003_1_275,30000_10017_1_300</t>
  </si>
  <si>
    <t>4001076_0_1_627,4002076_0_1_521,4003076_0_1_425,4004076_0_1_212,4005076_0_1_74,4001078_0_1_110,4002078_0_1_91,4003078_0_1_75,4004078_0_1_37,4005078_0_1_13,30000_40001_1_120,30000_40002_1_250,30000_40003_1_280,30000_10017_1_300</t>
  </si>
  <si>
    <t>4001078_0_1_651,4002078_0_1_541,4003078_0_1_441,4004078_0_1_221,4005078_0_1_77,4001080_0_1_93,4002080_0_1_77,4003080_0_1_63,4004080_0_1_31,4005080_0_1_11,30000_40001_1_120,30000_40002_1_250,30000_40003_1_285,30000_10017_1_300</t>
  </si>
  <si>
    <t>4001080_0_1_691,4002080_0_1_574,4003080_0_1_469,4004080_0_1_234,4005080_0_1_81,4001082_0_1_60,4002082_0_1_49,4003082_0_1_40,4004082_0_1_20,4005082_0_1_7,30000_40001_1_120,30000_40002_1_250,30000_40003_1_290,30000_10017_1_300</t>
  </si>
  <si>
    <t>4001082_0_1_705,4002082_0_1_585,4003082_0_1_478,4004082_0_1_239,4005082_0_1_83,4001084_0_1_53,4002084_0_1_44,4003084_0_1_35,4004084_0_1_17,4005084_0_1_6,30000_40001_1_120,30000_40002_1_250,30000_40003_1_295,30000_10017_1_300</t>
  </si>
  <si>
    <t>4001084_0_1_719,4002084_0_1_597,4003084_0_1_487,4004084_0_1_243,4005084_0_1_85,4001086_0_1_45,4002086_0_1_38,4003086_0_1_31,4004086_0_1_15,4005086_0_1_5,30000_40001_1_120,30000_40002_1_250,30000_40003_1_300,30000_10017_1_300</t>
  </si>
  <si>
    <t>4001086_0_1_733,4002086_0_1_608,4003086_0_1_496,4004086_0_1_248,4005086_0_1_87,4001088_0_1_38,4002088_0_1_32,4003088_0_1_26,4004088_0_1_13,4005088_0_1_4,30000_40001_1_120,30000_40002_1_250,30000_40003_1_305,30000_10017_1_300</t>
  </si>
  <si>
    <t>4001088_0_1_740,4002088_0_1_614,4003088_0_1_501,4004088_0_1_250,4005088_0_1_87,4001090_0_1_38,4002090_0_1_32,4003090_0_1_26,4004090_0_1_13,4005090_0_1_4,30000_40001_1_120,30000_40002_1_250,30000_40003_1_310,30000_10017_1_300</t>
  </si>
  <si>
    <t>4001090_0_1_746,4002090_0_1_619,4003090_0_1_506,4004090_0_1_252,4005090_0_1_88,4001092_0_1_39,4002092_0_1_32,4003092_0_1_26,4004092_0_1_13,4005092_0_1_4,30000_40001_1_120,30000_40002_1_250,30000_40003_1_315,30000_10017_1_300</t>
  </si>
  <si>
    <t>4001092_0_1_752,4002092_0_1_625,4003092_0_1_510,4004092_0_1_255,4005092_0_1_89,4001094_0_1_39,4002094_0_1_32,4003094_0_1_26,4004094_0_1_13,4005094_0_1_4,30000_40001_1_120,30000_40002_1_250,30000_40003_1_320,30000_10017_1_300</t>
  </si>
  <si>
    <t>4001094_0_1_759,4002094_0_1_630,4003094_0_1_514,4004094_0_1_257,4005094_0_1_90,4001096_0_1_39,4002096_0_1_33,4003096_0_1_27,4004096_0_1_13,4005096_0_1_4,30000_40001_1_120,30000_40002_1_250,30000_40003_1_325,30000_10017_1_300</t>
  </si>
  <si>
    <t>4001096_0_1_765,4002096_0_1_635,4003096_0_1_518,4004096_0_1_259,4005096_0_1_91,4001098_0_1_40,4002098_0_1_33,4003098_0_1_27,4004098_0_1_13,4005098_0_1_4,30000_40001_1_120,30000_40002_1_250,30000_40003_1_330,30000_10017_1_300</t>
  </si>
  <si>
    <t>4001098_0_1_772,4002098_0_1_641,4003098_0_1_523,4004098_0_1_261,4005098_0_1_91,4001098_0_1_40,4002098_0_1_33,4003098_0_1_27,4004098_0_1_13,4005098_0_1_4,30000_40001_1_120,30000_40002_1_250,30000_40003_1_335,30000_10017_1_300</t>
  </si>
  <si>
    <t>4001098_0_1_778,4002098_0_1_646,4003098_0_1_527,4004098_0_1_264,4005098_0_1_92,4001100_0_1_40,4002100_0_1_34,4003100_0_1_27,4004100_0_1_13,4005100_0_1_4,30000_40001_1_121,30000_40002_1_251,30000_40003_1_336,30000_10017_1_300</t>
  </si>
  <si>
    <t>30000_60001_1_10000,7000001_0_1_10000,30000_10018_1_10000,30000_10019_1_2000</t>
  </si>
  <si>
    <t>30000_60001_2_10000,7000001_0_1_10000,30000_10018_1_10000,30000_10019_1_2000</t>
  </si>
  <si>
    <t>30000_60001_3_10000,7000001_0_1_10000,30000_10018_1_10000,30000_10019_1_2000</t>
  </si>
  <si>
    <t>30000_60001_4_10000,7000002_0_1_10000,30000_10018_1_10000,30000_10019_1_2000</t>
  </si>
  <si>
    <t>30000_60001_5_10000,7000002_0_1_10000,30000_10018_1_10000,30000_10019_1_2000</t>
  </si>
  <si>
    <t>30000_60001_6_10000,7000002_0_1_10000,30000_10018_1_10000,30000_10019_1_2000</t>
  </si>
  <si>
    <t>30000_60001_7_10000,7000003_0_1_10000,30000_10018_1_10000,30000_10019_1_2000</t>
  </si>
  <si>
    <t>30000_60001_8_10000,7000003_0_1_10000,30000_10018_1_10000,30000_10019_1_2000</t>
  </si>
  <si>
    <t>30000_60001_9_10000,7000004_0_1_10000,30000_10018_1_10000,30000_10019_1_2000</t>
  </si>
  <si>
    <t>30000_60001_10_10000,7000004_0_1_10000,30000_10018_1_10000,30000_10019_1_2000</t>
  </si>
  <si>
    <t>30000_60001_11_10000,7000004_0_1_10000,30000_10018_1_10000,30000_10019_1_2000</t>
  </si>
  <si>
    <t>30000_60001_12_10000,7000005_0_1_10000,30000_10018_1_10000,30000_10019_1_2000</t>
  </si>
  <si>
    <t>30000_60001_13_10000,7000005_0_1_10000,30000_10018_1_10000,30000_10019_1_2000</t>
  </si>
  <si>
    <t>30000_60001_14_10000,7000006_0_1_10000,30000_10018_1_10000,30000_10019_1_2000</t>
  </si>
  <si>
    <t>30000_60001_15_10000,7000006_0_1_10000,30000_10018_1_10000,30000_10019_1_2000</t>
  </si>
  <si>
    <t>30000_60001_16_10000,7000006_0_1_10000,30000_10018_1_10000,30000_10019_1_2000</t>
  </si>
  <si>
    <t>30000_60001_17_10000,7000007_0_1_10000,30000_10018_1_10000,30000_10019_1_2000</t>
  </si>
  <si>
    <t>30000_60001_18_10000,7000007_0_1_10000,30000_10018_1_10000,30000_10019_1_2000</t>
  </si>
  <si>
    <t>30000_60001_19_10000,7000008_0_1_10000,30000_10018_1_10000,30000_10019_1_2000</t>
  </si>
  <si>
    <t>30000_60001_20_10000,7000008_0_1_10000,30000_10018_1_10000,30000_10019_1_2000</t>
  </si>
  <si>
    <t>30000_60001_21_10000,7000008_0_1_10000,30000_10018_1_10000,30000_10019_1_2000</t>
  </si>
  <si>
    <t>30000_60001_22_10000,7000009_0_1_10000,30000_10018_1_10000,30000_10019_1_2000</t>
  </si>
  <si>
    <t>30000_60001_23_10000,7000009_0_1_10000,30000_10018_1_10000,30000_10019_1_2000</t>
  </si>
  <si>
    <t>30000_60001_24_10000,7000010_0_1_10000,30000_10018_1_10000,30000_10019_1_2000</t>
  </si>
  <si>
    <t>30000_60001_25_10000,7000010_0_1_10000,30000_10018_1_10000,30000_10019_1_2000</t>
  </si>
  <si>
    <t>30000_60001_26_10000,7000010_0_1_10000,30000_10018_1_10000,30000_10019_1_2000</t>
  </si>
  <si>
    <t>30000_60001_27_10000,7000011_0_1_10000,30000_10018_1_10000,30000_10019_1_2000</t>
  </si>
  <si>
    <t>30000_60001_28_10000,7000011_0_1_10000,30000_10018_1_10000,30000_10019_1_2000</t>
  </si>
  <si>
    <t>30000_60001_29_10000,7000012_0_1_10000,30000_10018_1_10000,30000_10019_1_2000</t>
  </si>
  <si>
    <t>30000_60001_30_10000,7000012_0_1_10000,30000_10018_1_10000,30000_10019_1_2000</t>
  </si>
  <si>
    <t>30000_60001_31_10000,7000012_0_1_10000,30000_10018_1_10000,30000_10019_1_2000</t>
  </si>
  <si>
    <t>30000_60001_32_10000,7000013_0_1_10000,30000_10018_1_10000,30000_10019_1_2000</t>
  </si>
  <si>
    <t>30000_60001_33_10000,7000013_0_1_10000,30000_10018_1_10000,30000_10019_1_2000</t>
  </si>
  <si>
    <t>30000_60001_34_10000,7000013_0_1_10000,30000_10018_1_10000,30000_10019_1_2000</t>
  </si>
  <si>
    <t>30000_60001_35_10000,7000014_0_1_10000,30000_10018_1_10000,30000_10019_1_2000</t>
  </si>
  <si>
    <t>30000_60001_36_10000,7000014_0_1_10000,30000_10018_1_10000,30000_10019_1_2000</t>
  </si>
  <si>
    <t>30000_60001_37_10000,7000015_0_1_10000,30000_10018_1_10000,30000_10019_1_2000</t>
  </si>
  <si>
    <t>30000_60001_38_10000,7000016_0_1_10000,30000_10018_1_10000,30000_10019_1_2000</t>
  </si>
  <si>
    <t>30000_60001_39_10000,7000017_0_1_10000,30000_10018_1_10000,30000_10019_1_2000</t>
  </si>
  <si>
    <t>30000_60001_40_10000,7000018_0_1_10000,30000_10018_1_10000,30000_10019_1_2000</t>
  </si>
  <si>
    <t>30000_60001_41_10000,7000019_0_1_10000,30000_10018_1_10000,30000_10019_1_2000</t>
  </si>
  <si>
    <t>30000_60001_42_10000,7000020_0_1_10000,30000_10018_1_10000,30000_10019_1_2000</t>
  </si>
  <si>
    <t>30000_60001_43_10000,7000021_0_1_10000,30000_10018_1_10000,30000_10019_1_2000</t>
  </si>
  <si>
    <t>30000_60001_44_10000,7000022_0_1_10000,30000_10018_1_10000,30000_10019_1_2000</t>
  </si>
  <si>
    <t>30000_60001_45_10000,7000023_0_1_10000,30000_10018_1_10000,30000_10019_1_2000</t>
  </si>
  <si>
    <t>30000_60001_46_10000,7000024_0_1_10000,30000_10018_1_10000,30000_10019_1_2000</t>
  </si>
  <si>
    <t>30000_60001_47_10000,7000025_0_1_10000,30000_10018_1_10000,30000_10019_1_2000</t>
  </si>
  <si>
    <t>30000_60001_48_10000,7000026_0_1_10000,30000_10018_1_10000,30000_10019_1_2000</t>
  </si>
  <si>
    <t>30000_60001_49_10000,7000027_0_1_10000,30000_10018_1_10000,30000_10019_1_2000</t>
  </si>
  <si>
    <t>30000_60001_50_10000,7000028_0_1_10000,30000_10018_1_10000,30000_10019_1_2000</t>
  </si>
  <si>
    <t>30000_60001_51_10000,7000029_0_1_10000,30000_10018_1_10000,30000_10019_1_2000</t>
  </si>
  <si>
    <t>30000_60001_52_10000,7000030_0_1_10000,30000_10018_1_10000,30000_10019_1_2000</t>
  </si>
</sst>
</file>

<file path=xl/styles.xml><?xml version="1.0" encoding="utf-8"?>
<styleSheet xmlns="http://schemas.openxmlformats.org/spreadsheetml/2006/main">
  <fonts count="15">
    <font>
      <sz val="11"/>
      <color indexed="8"/>
      <name val="宋体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</font>
    <font>
      <sz val="11"/>
      <color indexed="8"/>
      <name val="宋体"/>
      <family val="3"/>
      <charset val="134"/>
    </font>
    <font>
      <sz val="11"/>
      <color theme="0"/>
      <name val="宋体"/>
      <family val="2"/>
      <charset val="134"/>
    </font>
    <font>
      <b/>
      <sz val="9"/>
      <color indexed="81"/>
      <name val="宋体"/>
      <family val="3"/>
      <charset val="134"/>
    </font>
    <font>
      <sz val="11"/>
      <color indexed="8"/>
      <name val="宋体"/>
      <family val="2"/>
      <charset val="134"/>
    </font>
    <font>
      <b/>
      <sz val="11"/>
      <color indexed="52"/>
      <name val="宋体"/>
      <family val="2"/>
      <charset val="134"/>
    </font>
    <font>
      <sz val="11"/>
      <color indexed="60"/>
      <name val="宋体"/>
      <family val="2"/>
      <charset val="134"/>
    </font>
    <font>
      <b/>
      <sz val="11"/>
      <color indexed="63"/>
      <name val="宋体"/>
      <family val="2"/>
      <charset val="134"/>
    </font>
    <font>
      <sz val="11"/>
      <color indexed="17"/>
      <name val="宋体"/>
      <family val="2"/>
      <charset val="134"/>
    </font>
    <font>
      <sz val="11"/>
      <color rgb="FF00610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</borders>
  <cellStyleXfs count="16">
    <xf numFmtId="0" fontId="0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12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3" borderId="0" applyNumberFormat="0" applyBorder="0" applyAlignment="0" applyProtection="0">
      <alignment vertical="center"/>
    </xf>
    <xf numFmtId="0" fontId="9" fillId="2" borderId="1" applyNumberFormat="0" applyAlignment="0" applyProtection="0">
      <alignment vertical="center"/>
    </xf>
    <xf numFmtId="0" fontId="11" fillId="2" borderId="2" applyNumberFormat="0" applyAlignment="0" applyProtection="0">
      <alignment vertical="center"/>
    </xf>
    <xf numFmtId="0" fontId="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3" fillId="7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>
      <alignment vertical="center"/>
    </xf>
    <xf numFmtId="49" fontId="0" fillId="5" borderId="0" xfId="0" applyNumberFormat="1" applyFill="1">
      <alignment vertical="center"/>
    </xf>
    <xf numFmtId="49" fontId="0" fillId="6" borderId="0" xfId="0" applyNumberFormat="1" applyFill="1">
      <alignment vertical="center"/>
    </xf>
    <xf numFmtId="0" fontId="2" fillId="0" borderId="0" xfId="14">
      <alignment vertical="center"/>
    </xf>
    <xf numFmtId="0" fontId="0" fillId="0" borderId="0" xfId="0" applyNumberFormat="1">
      <alignment vertical="center"/>
    </xf>
    <xf numFmtId="0" fontId="1" fillId="0" borderId="0" xfId="14" applyFont="1">
      <alignment vertical="center"/>
    </xf>
    <xf numFmtId="0" fontId="13" fillId="7" borderId="0" xfId="15">
      <alignment vertical="center"/>
    </xf>
    <xf numFmtId="0" fontId="0" fillId="0" borderId="0" xfId="0" applyAlignment="1">
      <alignment horizontal="center" vertical="center"/>
    </xf>
    <xf numFmtId="0" fontId="12" fillId="4" borderId="0" xfId="5">
      <alignment vertical="center"/>
    </xf>
    <xf numFmtId="0" fontId="0" fillId="0" borderId="0" xfId="0" applyAlignment="1">
      <alignment horizontal="center" vertical="center"/>
    </xf>
  </cellXfs>
  <cellStyles count="16">
    <cellStyle name="差 2" xfId="7"/>
    <cellStyle name="常规" xfId="0" builtinId="0"/>
    <cellStyle name="常规 2" xfId="1"/>
    <cellStyle name="常规 2 2" xfId="4"/>
    <cellStyle name="常规 2 2 2" xfId="2"/>
    <cellStyle name="常规 2 2 3" xfId="10"/>
    <cellStyle name="常规 2 2 4" xfId="13"/>
    <cellStyle name="常规 2 3" xfId="3"/>
    <cellStyle name="常规 2 4" xfId="11"/>
    <cellStyle name="常规 2 5" xfId="12"/>
    <cellStyle name="常规 3" xfId="6"/>
    <cellStyle name="常规 4" xfId="14"/>
    <cellStyle name="好" xfId="15" builtinId="26"/>
    <cellStyle name="好 2" xfId="5"/>
    <cellStyle name="计算 2" xfId="8"/>
    <cellStyle name="输出 2" xfId="9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.4&#22320;&#2227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trunk/&#31574;&#21010;&#25968;&#25454;&#34920;/&#25968;&#20540;&#35745;&#31639;/&#25346;&#26426;WOW&#25968;&#20540;&#24635;&#34920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2.4&#24618;&#29289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35013;&#22791;/2.2/&#35013;&#2279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p.xml"/>
      <sheetName val="map-客户端"/>
      <sheetName val="掉落权重"/>
      <sheetName val="精英副本"/>
      <sheetName val="精英副本客户端"/>
      <sheetName val="精英副本掉落"/>
      <sheetName val="Sheet3"/>
      <sheetName val="eliteMapLevelIndex"/>
    </sheetNames>
    <sheetDataSet>
      <sheetData sheetId="0">
        <row r="58">
          <cell r="E58" t="str">
            <v>1030011_1</v>
          </cell>
          <cell r="F58" t="str">
            <v>1_10000,2_0,3_0</v>
          </cell>
          <cell r="G58" t="str">
            <v>40000_50350105_1_1000,40000_50303065_1_2000,4000430_0_1_5000,4000430_0_1_5000,4000430_0_1_5000,30000_90002_3_10000,30000_90003_1_1100</v>
          </cell>
          <cell r="H58">
            <v>0</v>
          </cell>
          <cell r="I58" t="str">
            <v>30000_90004_1_10000,4000430_0_1_5000,4000430_0_1_5000,4000430_0_1_5000</v>
          </cell>
          <cell r="J58">
            <v>0</v>
          </cell>
        </row>
        <row r="59">
          <cell r="E59" t="str">
            <v>1030021_1</v>
          </cell>
          <cell r="F59" t="str">
            <v>1_10000,2_0,3_0</v>
          </cell>
          <cell r="G59" t="str">
            <v>40000_50350075_1_993,40000_50301055_1_1990,4000430_0_1_5050,4000430_0_1_5050,4000430_0_1_5050,30000_90002_3_10000,30000_90003_1_1100</v>
          </cell>
          <cell r="H59">
            <v>0</v>
          </cell>
          <cell r="I59" t="str">
            <v>30000_90004_1_10000,4000430_0_1_5050,4000430_0_1_5050,4000430_0_1_5050</v>
          </cell>
          <cell r="J59">
            <v>0</v>
          </cell>
        </row>
        <row r="60">
          <cell r="E60" t="str">
            <v>1030031_1</v>
          </cell>
          <cell r="F60" t="str">
            <v>1_10000,2_0,3_0</v>
          </cell>
          <cell r="G60" t="str">
            <v>40000_50350045_1_986,40000_50301065_1_1980,4000430_0_1_5100,4000430_0_1_5100,4000430_0_1_5100,30000_90002_3_10000,30000_90003_1_2200</v>
          </cell>
          <cell r="H60">
            <v>0</v>
          </cell>
          <cell r="I60" t="str">
            <v>30000_90004_1_10000,4000430_0_1_5100,4000430_0_1_5100,4000430_0_1_5100</v>
          </cell>
          <cell r="J60">
            <v>0</v>
          </cell>
        </row>
        <row r="61">
          <cell r="E61" t="str">
            <v>1030041_1</v>
          </cell>
          <cell r="F61" t="str">
            <v>1_10000,2_0,3_0</v>
          </cell>
          <cell r="G61" t="str">
            <v>40000_50350025_1_979,40000_50302055_1_1970,4000430_0_1_5150,4000430_0_1_5150,4000430_0_1_5150,30000_90002_3_10000,30000_90003_1_2200</v>
          </cell>
          <cell r="H61">
            <v>0</v>
          </cell>
          <cell r="I61" t="str">
            <v>30000_90004_1_10000,4000430_0_1_5150,4000430_0_1_5150,4000430_0_1_5150</v>
          </cell>
          <cell r="J61">
            <v>0</v>
          </cell>
        </row>
        <row r="62">
          <cell r="E62" t="str">
            <v>1030051_1</v>
          </cell>
          <cell r="F62" t="str">
            <v>1_10000,2_0,3_0</v>
          </cell>
          <cell r="G62" t="str">
            <v>40000_50350095_1_972,40000_50303055_1_1960,4000430_0_1_5200,4000430_0_1_5200,4000430_0_1_5200,30000_90002_3_10000,30000_90003_1_2200</v>
          </cell>
          <cell r="H62">
            <v>0</v>
          </cell>
          <cell r="I62" t="str">
            <v>30000_90004_1_10000,4000430_0_1_5200,4000430_0_1_5200,4000430_0_1_5200</v>
          </cell>
          <cell r="J62">
            <v>0</v>
          </cell>
        </row>
        <row r="63">
          <cell r="E63" t="str">
            <v>1030061_1</v>
          </cell>
          <cell r="F63" t="str">
            <v>1_10000,2_0,3_0</v>
          </cell>
          <cell r="G63" t="str">
            <v>40000_50350085_1_965,40000_50300015_1_1950,4000430_0_1_5250,4000430_0_1_5250,4000430_0_1_5250,30000_90002_3_10000,30000_90003_1_3300</v>
          </cell>
          <cell r="H63">
            <v>0</v>
          </cell>
          <cell r="I63" t="str">
            <v>30000_90004_1_10000,4000430_0_1_5250,4000430_0_1_5250,4000430_0_1_5250</v>
          </cell>
          <cell r="J63">
            <v>0</v>
          </cell>
        </row>
        <row r="64">
          <cell r="E64" t="str">
            <v>1030071_1,1030072_1</v>
          </cell>
          <cell r="F64" t="str">
            <v>1_0,2_10000,3_0</v>
          </cell>
          <cell r="G64" t="str">
            <v>40000_50350015_1_958,40000_50351066_1_1940,4000430_0_1_5300,4000430_0_1_5300,4000430_0_1_5300,30000_90002_3_10000,30000_90003_1_3300</v>
          </cell>
          <cell r="H64">
            <v>0</v>
          </cell>
          <cell r="I64" t="str">
            <v>30000_90004_1_10000,4000430_0_1_5300,4000430_0_1_5300,4000430_0_1_5300</v>
          </cell>
          <cell r="J64">
            <v>0</v>
          </cell>
        </row>
        <row r="65">
          <cell r="E65" t="str">
            <v>1030081_1</v>
          </cell>
          <cell r="F65" t="str">
            <v>1_10000,2_0,3_0</v>
          </cell>
          <cell r="G65" t="str">
            <v>40000_50350035_1_951,40000_50302065_1_1930,4000430_0_1_5350,4000430_0_1_5350,4000430_0_1_5350,30000_90002_3_10000,30000_90003_1_3300</v>
          </cell>
          <cell r="H65">
            <v>0</v>
          </cell>
          <cell r="I65" t="str">
            <v>30000_90004_1_10000,4000430_0_1_5350,4000430_0_1_5350,4000430_0_1_5350</v>
          </cell>
          <cell r="J65">
            <v>0</v>
          </cell>
        </row>
        <row r="66">
          <cell r="E66" t="str">
            <v>1030091_1</v>
          </cell>
          <cell r="F66" t="str">
            <v>1_10000,2_0,3_0</v>
          </cell>
          <cell r="G66" t="str">
            <v>40000_50351055_1_944,40000_50300035_1_1920,4000430_0_1_5400,4000430_0_1_5400,4000430_0_1_5400,30000_90002_3_10000,30000_90003_1_4400</v>
          </cell>
          <cell r="H66">
            <v>0</v>
          </cell>
          <cell r="I66" t="str">
            <v>30000_90004_1_10000,4000430_0_1_5400,4000430_0_1_5400,4000430_0_1_5400</v>
          </cell>
          <cell r="J66">
            <v>0</v>
          </cell>
        </row>
        <row r="67">
          <cell r="E67" t="str">
            <v>1035011_1</v>
          </cell>
          <cell r="F67" t="str">
            <v>1_10000,2_0,3_0</v>
          </cell>
          <cell r="G67" t="str">
            <v>40000_50400015_1_937,40000_50353065_1_1910,4000435_0_1_5450,4000435_0_1_5450,4000435_0_1_5450,30000_90002_3_10000,30000_90003_1_2200</v>
          </cell>
          <cell r="H67">
            <v>0</v>
          </cell>
          <cell r="I67" t="str">
            <v>30000_90004_1_10000,4000435_0_1_5450,4000435_0_1_5450,4000435_0_1_5450</v>
          </cell>
          <cell r="J67">
            <v>0</v>
          </cell>
        </row>
        <row r="68">
          <cell r="E68" t="str">
            <v>1035021_1</v>
          </cell>
          <cell r="F68" t="str">
            <v>1_10000,2_0,3_0</v>
          </cell>
          <cell r="G68" t="str">
            <v>40000_50400095_1_930,40000_50352055_1_1900,4000435_0_1_5500,4000435_0_1_5500,4000435_0_1_5500,30000_90002_3_10000,30000_90003_1_2200</v>
          </cell>
          <cell r="H68">
            <v>0</v>
          </cell>
          <cell r="I68" t="str">
            <v>30000_90004_1_10000,4000435_0_1_5500,4000435_0_1_5500,4000435_0_1_5500</v>
          </cell>
          <cell r="J68">
            <v>0</v>
          </cell>
        </row>
        <row r="69">
          <cell r="E69" t="str">
            <v>1035031_1</v>
          </cell>
          <cell r="F69" t="str">
            <v>1_10000,2_0,3_0</v>
          </cell>
          <cell r="G69" t="str">
            <v>40000_50400045_1_923,40000_50351055_1_1890,4000435_0_1_5550,4000435_0_1_5550,4000435_0_1_5550,30000_90002_3_10000,30000_90003_1_3300</v>
          </cell>
          <cell r="H69">
            <v>0</v>
          </cell>
          <cell r="I69" t="str">
            <v>30000_90004_1_10000,4000435_0_1_5550,4000435_0_1_5550,4000435_0_1_5550</v>
          </cell>
          <cell r="J69">
            <v>0</v>
          </cell>
        </row>
        <row r="70">
          <cell r="E70" t="str">
            <v>1035041_1</v>
          </cell>
          <cell r="F70" t="str">
            <v>1_10000,2_0,3_0</v>
          </cell>
          <cell r="G70" t="str">
            <v>40000_50400085_1_916,40000_50401065_1_1880,4000435_0_1_5600,4000435_0_1_5600,4000435_0_1_5600,30000_90002_3_10000,30000_90003_1_3300</v>
          </cell>
          <cell r="H70">
            <v>0</v>
          </cell>
          <cell r="I70" t="str">
            <v>30000_90004_1_10000,4000435_0_1_5600,4000435_0_1_5600,4000435_0_1_5600</v>
          </cell>
          <cell r="J70">
            <v>0</v>
          </cell>
        </row>
        <row r="71">
          <cell r="E71" t="str">
            <v>1035051_1</v>
          </cell>
          <cell r="F71" t="str">
            <v>1_10000,2_0,3_0</v>
          </cell>
          <cell r="G71" t="str">
            <v>40000_50400075_1_909,40000_50351065_1_1870,4000435_0_1_5650,4000435_0_1_5650,4000435_0_1_5650,30000_90002_3_10000,30000_90003_1_3300</v>
          </cell>
          <cell r="H71">
            <v>0</v>
          </cell>
          <cell r="I71" t="str">
            <v>30000_90004_1_10000,4000435_0_1_5650,4000435_0_1_5650,4000435_0_1_5650</v>
          </cell>
          <cell r="J71">
            <v>0</v>
          </cell>
        </row>
        <row r="72">
          <cell r="E72" t="str">
            <v>1035061_1</v>
          </cell>
          <cell r="F72" t="str">
            <v>1_10000,2_0,3_0</v>
          </cell>
          <cell r="G72" t="str">
            <v>40000_50400025_1_902,40000_50350015_1_1860,4000435_0_1_5700,4000435_0_1_5700,4000435_0_1_5700,30000_90002_3_10000,30000_90003_1_4400</v>
          </cell>
          <cell r="H72">
            <v>0</v>
          </cell>
          <cell r="I72" t="str">
            <v>30000_90004_1_10000,4000435_0_1_5700,4000435_0_1_5700,4000435_0_1_5700</v>
          </cell>
          <cell r="J72">
            <v>0</v>
          </cell>
        </row>
        <row r="73">
          <cell r="E73" t="str">
            <v>1035071_1,1035072_1</v>
          </cell>
          <cell r="F73" t="str">
            <v>1_0,2_10000,3_0</v>
          </cell>
          <cell r="G73" t="str">
            <v>40000_50400105_1_895,40000_50353055_1_1850,4000435_0_1_5750,4000435_0_1_5750,4000435_0_1_5750,30000_90002_3_10000,30000_90003_1_4400</v>
          </cell>
          <cell r="H73">
            <v>0</v>
          </cell>
          <cell r="I73" t="str">
            <v>30000_90004_1_10000,4000435_0_1_5750,4000435_0_1_5750,4000435_0_1_5750</v>
          </cell>
          <cell r="J73">
            <v>0</v>
          </cell>
        </row>
        <row r="74">
          <cell r="E74" t="str">
            <v>1035081_1</v>
          </cell>
          <cell r="F74" t="str">
            <v>1_10000,2_0,3_0</v>
          </cell>
          <cell r="G74" t="str">
            <v>40000_50400035_1_888,40000_50350035_1_1840,4000435_0_1_5800,4000435_0_1_5800,4000435_0_1_5800,30000_90002_3_10000,30000_90003_1_4400</v>
          </cell>
          <cell r="H74">
            <v>0</v>
          </cell>
          <cell r="I74" t="str">
            <v>30000_90004_1_10000,4000435_0_1_5800,4000435_0_1_5800,4000435_0_1_5800</v>
          </cell>
          <cell r="J74">
            <v>0</v>
          </cell>
        </row>
        <row r="75">
          <cell r="E75" t="str">
            <v>1035091_1</v>
          </cell>
          <cell r="F75" t="str">
            <v>1_10000,2_0,3_0</v>
          </cell>
          <cell r="G75" t="str">
            <v>40000_50401056_1_881,40000_50352065_1_1830,4000435_0_1_5850,4000435_0_1_5850,4000435_0_1_5850,30000_90002_3_10000,30000_90003_1_5500</v>
          </cell>
          <cell r="H75">
            <v>0</v>
          </cell>
          <cell r="I75" t="str">
            <v>30000_90004_1_10000,4000435_0_1_5850,4000435_0_1_5850,4000435_0_1_5850</v>
          </cell>
          <cell r="J75">
            <v>0</v>
          </cell>
        </row>
        <row r="76">
          <cell r="E76" t="str">
            <v>1040011_1</v>
          </cell>
          <cell r="F76" t="str">
            <v>1_10000,2_0,3_0</v>
          </cell>
          <cell r="G76" t="str">
            <v>40000_50450025_1_874,40000_50403065_1_1820,4000440_0_1_5900,4000440_0_1_5900,4000440_0_1_5900,30000_90002_3_10000,30000_90003_1_3300</v>
          </cell>
          <cell r="H76">
            <v>0</v>
          </cell>
          <cell r="I76" t="str">
            <v>30000_90004_1_10000,4000440_0_1_5900,4000440_0_1_5900,4000440_0_1_5900</v>
          </cell>
          <cell r="J76">
            <v>0</v>
          </cell>
        </row>
        <row r="77">
          <cell r="E77" t="str">
            <v>1040021_1</v>
          </cell>
          <cell r="F77" t="str">
            <v>1_10000,2_0,3_0</v>
          </cell>
          <cell r="G77" t="str">
            <v>40000_50450105_1_867,40000_50400015_1_1810,4000440_0_1_5950,4000440_0_1_5950,4000440_0_1_5950,30000_90002_3_10000,30000_90003_1_3300</v>
          </cell>
          <cell r="H77">
            <v>0</v>
          </cell>
          <cell r="I77" t="str">
            <v>30000_90004_1_10000,4000440_0_1_5950,4000440_0_1_5950,4000440_0_1_5950</v>
          </cell>
          <cell r="J77">
            <v>0</v>
          </cell>
        </row>
        <row r="78">
          <cell r="E78" t="str">
            <v>1040031_1</v>
          </cell>
          <cell r="F78" t="str">
            <v>1_10000,2_0,3_0</v>
          </cell>
          <cell r="G78" t="str">
            <v>40000_50450045_1_860,40000_50401055_1_1800,4000440_0_1_6000,4000440_0_1_6000,4000440_0_1_6000,30000_90002_3_10000,30000_90003_1_4400</v>
          </cell>
          <cell r="H78">
            <v>0</v>
          </cell>
          <cell r="I78" t="str">
            <v>30000_90004_1_10000,4000440_0_1_6000,4000440_0_1_6000,4000440_0_1_6000</v>
          </cell>
          <cell r="J78">
            <v>0</v>
          </cell>
        </row>
        <row r="79">
          <cell r="E79" t="str">
            <v>1040041_1</v>
          </cell>
          <cell r="F79" t="str">
            <v>1_10000,2_0,3_0</v>
          </cell>
          <cell r="G79" t="str">
            <v>40000_50450075_1_853,40000_50401065_1_1790,4000440_0_1_6025,4000440_0_1_6025,4000440_0_1_6025,30000_90002_3_10000,30000_90003_1_4400</v>
          </cell>
          <cell r="H79">
            <v>0</v>
          </cell>
          <cell r="I79" t="str">
            <v>30000_90004_1_10000,4000440_0_1_6025,4000440_0_1_6025,4000440_0_1_6025</v>
          </cell>
          <cell r="J79">
            <v>0</v>
          </cell>
        </row>
        <row r="80">
          <cell r="E80" t="str">
            <v>1040051_1</v>
          </cell>
          <cell r="F80" t="str">
            <v>1_10000,2_0,3_0</v>
          </cell>
          <cell r="G80" t="str">
            <v>40000_50450035_1_846,40000_50402065_1_1780,4000440_0_1_6050,4000440_0_1_6050,4000440_0_1_6050,30000_90002_3_10000,30000_90003_1_4400</v>
          </cell>
          <cell r="H80">
            <v>0</v>
          </cell>
          <cell r="I80" t="str">
            <v>30000_90004_1_10000,4000440_0_1_6050,4000440_0_1_6050,4000440_0_1_6050</v>
          </cell>
          <cell r="J80">
            <v>0</v>
          </cell>
        </row>
        <row r="81">
          <cell r="E81" t="str">
            <v>1040061_1</v>
          </cell>
          <cell r="F81" t="str">
            <v>1_10000,2_0,3_0</v>
          </cell>
          <cell r="G81" t="str">
            <v>40000_50450095_1_839,40000_50402055_1_1770,4000440_0_1_6075,4000440_0_1_6075,4000440_0_1_6075,30000_90002_3_10000,30000_90003_1_5500</v>
          </cell>
          <cell r="H81">
            <v>0</v>
          </cell>
          <cell r="I81" t="str">
            <v>30000_90004_1_10000,4000440_0_1_6075,4000440_0_1_6075,4000440_0_1_6075</v>
          </cell>
          <cell r="J81">
            <v>0</v>
          </cell>
        </row>
        <row r="82">
          <cell r="E82" t="str">
            <v>1040071_1,1040072_1</v>
          </cell>
          <cell r="F82" t="str">
            <v>1_0,2_10000,3_0</v>
          </cell>
          <cell r="G82" t="str">
            <v>40000_50450015_1_832,40000_50451065_1_1760,4000440_0_1_6100,4000440_0_1_6100,4000440_0_1_6100,30000_90002_3_10000,30000_90003_1_5500</v>
          </cell>
          <cell r="H82">
            <v>0</v>
          </cell>
          <cell r="I82" t="str">
            <v>30000_90004_1_10000,4000440_0_1_6100,4000440_0_1_6100,4000440_0_1_6100</v>
          </cell>
          <cell r="J82">
            <v>0</v>
          </cell>
        </row>
        <row r="83">
          <cell r="E83" t="str">
            <v>1040081_1</v>
          </cell>
          <cell r="F83" t="str">
            <v>1_10000,2_0,3_0</v>
          </cell>
          <cell r="G83" t="str">
            <v>40000_50450085_1_825,40000_50400035_1_1750,4000440_0_1_6125,4000440_0_1_6125,4000440_0_1_6125,30000_90002_3_10000,30000_90003_1_5500</v>
          </cell>
          <cell r="H83">
            <v>0</v>
          </cell>
          <cell r="I83" t="str">
            <v>30000_90004_1_10000,4000440_0_1_6125,4000440_0_1_6125,4000440_0_1_6125</v>
          </cell>
          <cell r="J83">
            <v>0</v>
          </cell>
        </row>
        <row r="84">
          <cell r="E84" t="str">
            <v>1040091_1</v>
          </cell>
          <cell r="F84" t="str">
            <v>1_10000,2_0,3_0</v>
          </cell>
          <cell r="G84" t="str">
            <v>40000_50451055_1_818,40000_50403055_1_1740,4000440_0_1_6150,4000440_0_1_6150,4000440_0_1_6150,30000_90002_3_10000,30000_90003_1_6600</v>
          </cell>
          <cell r="H84">
            <v>0</v>
          </cell>
          <cell r="I84" t="str">
            <v>30000_90004_1_10000,4000440_0_1_6150,4000440_0_1_6150,4000440_0_1_6150</v>
          </cell>
          <cell r="J84">
            <v>0</v>
          </cell>
        </row>
        <row r="85">
          <cell r="E85" t="str">
            <v>1045011_1</v>
          </cell>
          <cell r="F85" t="str">
            <v>1_10000,2_0,3_0</v>
          </cell>
          <cell r="G85" t="str">
            <v>40000_50500045_1_811,40000_50452065_1_1730,4000445_0_1_6175,4000445_0_1_6175,4000445_0_1_6175,30000_90002_3_10000,30000_90003_1_4400</v>
          </cell>
          <cell r="H85">
            <v>0</v>
          </cell>
          <cell r="I85" t="str">
            <v>30000_90004_1_10000,4000445_0_1_6175,4000445_0_1_6175,4000445_0_1_6175</v>
          </cell>
          <cell r="J85">
            <v>0</v>
          </cell>
        </row>
        <row r="86">
          <cell r="E86" t="str">
            <v>1045021_1</v>
          </cell>
          <cell r="F86" t="str">
            <v>1_10000,2_0,3_0</v>
          </cell>
          <cell r="G86" t="str">
            <v>40000_50500075_1_804,40000_50451065_1_1720,4000445_0_1_6200,4000445_0_1_6200,4000445_0_1_6200,30000_90002_3_10000,30000_90003_1_4400</v>
          </cell>
          <cell r="H86">
            <v>0</v>
          </cell>
          <cell r="I86" t="str">
            <v>30000_90004_1_10000,4000445_0_1_6200,4000445_0_1_6200,4000445_0_1_6200</v>
          </cell>
          <cell r="J86">
            <v>0</v>
          </cell>
        </row>
        <row r="87">
          <cell r="E87" t="str">
            <v>1045031_1</v>
          </cell>
          <cell r="F87" t="str">
            <v>1_10000,2_0,3_0</v>
          </cell>
          <cell r="G87" t="str">
            <v>40000_50500025_1_797,40000_50452055_1_1710,4000445_0_1_6225,4000445_0_1_6225,4000445_0_1_6225,30000_90002_3_10000,30000_90003_1_5500</v>
          </cell>
          <cell r="H87">
            <v>0</v>
          </cell>
          <cell r="I87" t="str">
            <v>30000_90004_1_10000,4000445_0_1_6225,4000445_0_1_6225,4000445_0_1_6225</v>
          </cell>
          <cell r="J87">
            <v>0</v>
          </cell>
        </row>
        <row r="88">
          <cell r="E88" t="str">
            <v>1045041_1</v>
          </cell>
          <cell r="F88" t="str">
            <v>1_10000,2_0,3_0</v>
          </cell>
          <cell r="G88" t="str">
            <v>40000_50500105_1_790,40000_50453055_1_1700,4000445_0_1_6250,4000445_0_1_6250,4000445_0_1_6250,30000_90002_3_10000,30000_90003_1_5500</v>
          </cell>
          <cell r="H88">
            <v>0</v>
          </cell>
          <cell r="I88" t="str">
            <v>30000_90004_1_10000,4000445_0_1_6250,4000445_0_1_6250,4000445_0_1_6250</v>
          </cell>
          <cell r="J88">
            <v>0</v>
          </cell>
        </row>
        <row r="89">
          <cell r="E89" t="str">
            <v>1045051_1</v>
          </cell>
          <cell r="F89" t="str">
            <v>1_10000,2_0,3_0</v>
          </cell>
          <cell r="G89" t="str">
            <v>40000_50500095_1_783,40000_50451055_1_1690,4000445_0_1_6275,4000445_0_1_6275,4000445_0_1_6275,30000_90002_3_10000,30000_90003_1_5500</v>
          </cell>
          <cell r="H89">
            <v>0</v>
          </cell>
          <cell r="I89" t="str">
            <v>30000_90004_1_10000,4000445_0_1_6275,4000445_0_1_6275,4000445_0_1_6275</v>
          </cell>
          <cell r="J89">
            <v>0</v>
          </cell>
        </row>
        <row r="90">
          <cell r="E90" t="str">
            <v>1045061_1</v>
          </cell>
          <cell r="F90" t="str">
            <v>1_10000,2_0,3_0</v>
          </cell>
          <cell r="G90" t="str">
            <v>40000_50500085_1_776,40000_50453065_1_1680,4000445_0_1_6300,4000445_0_1_6300,4000445_0_1_6300,30000_90002_3_10000,30000_90003_1_6600</v>
          </cell>
          <cell r="H90">
            <v>0</v>
          </cell>
          <cell r="I90" t="str">
            <v>30000_90004_1_10000,4000445_0_1_6300,4000445_0_1_6300,4000445_0_1_6300</v>
          </cell>
          <cell r="J90">
            <v>0</v>
          </cell>
        </row>
        <row r="91">
          <cell r="E91" t="str">
            <v>1045071_1,1045072_1</v>
          </cell>
          <cell r="F91" t="str">
            <v>1_0,2_10000,3_0</v>
          </cell>
          <cell r="G91" t="str">
            <v>40000_50500035_1_769,40000_50501066_1_1670,4000445_0_1_6325,4000445_0_1_6325,4000445_0_1_6325,30000_90002_3_10000,30000_90003_1_6600</v>
          </cell>
          <cell r="H91">
            <v>0</v>
          </cell>
          <cell r="I91" t="str">
            <v>30000_90004_1_10000,4000445_0_1_6325,4000445_0_1_6325,4000445_0_1_6325</v>
          </cell>
          <cell r="J91">
            <v>0</v>
          </cell>
        </row>
        <row r="92">
          <cell r="E92" t="str">
            <v>1045081_1</v>
          </cell>
          <cell r="F92" t="str">
            <v>1_10000,2_0,3_0</v>
          </cell>
          <cell r="G92" t="str">
            <v>40000_50500015_1_762,40000_50450035_1_1660,4000445_0_1_6350,4000445_0_1_6350,4000445_0_1_6350,30000_90002_3_10000,30000_90003_1_6600</v>
          </cell>
          <cell r="H92">
            <v>0</v>
          </cell>
          <cell r="I92" t="str">
            <v>30000_90004_1_10000,4000445_0_1_6350,4000445_0_1_6350,4000445_0_1_6350</v>
          </cell>
          <cell r="J92">
            <v>0</v>
          </cell>
        </row>
        <row r="93">
          <cell r="E93" t="str">
            <v>1045091_1</v>
          </cell>
          <cell r="F93" t="str">
            <v>1_10000,2_0,3_0</v>
          </cell>
          <cell r="G93" t="str">
            <v>40000_50501056_1_755,40000_50450015_1_1650,4000445_0_1_6375,4000445_0_1_6375,4000445_0_1_6375,30000_90002_3_10000,30000_90003_1_7700</v>
          </cell>
          <cell r="H93">
            <v>0</v>
          </cell>
          <cell r="I93" t="str">
            <v>30000_90004_1_10000,4000445_0_1_6375,4000445_0_1_6375,4000445_0_1_6375</v>
          </cell>
          <cell r="J93">
            <v>0</v>
          </cell>
        </row>
        <row r="94">
          <cell r="E94" t="str">
            <v>1050011_1</v>
          </cell>
          <cell r="F94" t="str">
            <v>1_10000,2_0,3_0</v>
          </cell>
          <cell r="G94" t="str">
            <v>40000_50550045_1_748,40000_50502065_1_1640,4000450_0_1_6400,4000450_0_1_6400,4000450_0_1_6400,30000_90002_3_10000,30000_90003_1_5500</v>
          </cell>
          <cell r="H94">
            <v>0</v>
          </cell>
          <cell r="I94" t="str">
            <v>30000_90004_1_10000,4000450_0_1_6400,4000450_0_1_6400,4000450_0_1_6400</v>
          </cell>
          <cell r="J94">
            <v>0</v>
          </cell>
        </row>
        <row r="95">
          <cell r="E95" t="str">
            <v>1050021_1</v>
          </cell>
          <cell r="F95" t="str">
            <v>1_10000,2_0,3_0</v>
          </cell>
          <cell r="G95" t="str">
            <v>40000_50550015_1_741,40000_50501055_1_1630,4000450_0_1_6425,4000450_0_1_6425,4000450_0_1_6425,30000_90002_3_10000,30000_90003_1_5500</v>
          </cell>
          <cell r="H95">
            <v>0</v>
          </cell>
          <cell r="I95" t="str">
            <v>30000_90004_1_10000,4000450_0_1_6425,4000450_0_1_6425,4000450_0_1_6425</v>
          </cell>
          <cell r="J95">
            <v>0</v>
          </cell>
        </row>
        <row r="96">
          <cell r="E96" t="str">
            <v>1050031_1</v>
          </cell>
          <cell r="F96" t="str">
            <v>1_10000,2_0,3_0</v>
          </cell>
          <cell r="G96" t="str">
            <v>40000_50550105_1_734,40000_50503055_1_1620,4000450_0_1_6450,4000450_0_1_6450,4000450_0_1_6450,30000_90002_3_10000,30000_90003_1_6600</v>
          </cell>
          <cell r="H96">
            <v>0</v>
          </cell>
          <cell r="I96" t="str">
            <v>30000_90004_1_10000,4000450_0_1_6450,4000450_0_1_6450,4000450_0_1_6450</v>
          </cell>
          <cell r="J96">
            <v>0</v>
          </cell>
        </row>
        <row r="97">
          <cell r="E97" t="str">
            <v>1050041_1</v>
          </cell>
          <cell r="F97" t="str">
            <v>1_10000,2_0,3_0</v>
          </cell>
          <cell r="G97" t="str">
            <v>40000_50550075_1_727,40000_50503065_1_1610,4000450_0_1_6475,4000450_0_1_6475,4000450_0_1_6475,30000_90002_3_10000,30000_90003_1_6600</v>
          </cell>
          <cell r="H97">
            <v>0</v>
          </cell>
          <cell r="I97" t="str">
            <v>30000_90004_1_10000,4000450_0_1_6475,4000450_0_1_6475,4000450_0_1_6475</v>
          </cell>
          <cell r="J97">
            <v>0</v>
          </cell>
        </row>
        <row r="98">
          <cell r="E98" t="str">
            <v>1050051_1</v>
          </cell>
          <cell r="F98" t="str">
            <v>1_10000,2_0,3_0</v>
          </cell>
          <cell r="G98" t="str">
            <v>40000_50550085_1_720,40000_50551066_1_1600,4000450_0_1_6500,4000450_0_1_6500,4000450_0_1_6500,30000_90002_3_10000,30000_90003_1_6600</v>
          </cell>
          <cell r="H98">
            <v>0</v>
          </cell>
          <cell r="I98" t="str">
            <v>30000_90004_1_10000,4000450_0_1_6500,4000450_0_1_6500,4000450_0_1_6500</v>
          </cell>
          <cell r="J98">
            <v>0</v>
          </cell>
        </row>
        <row r="99">
          <cell r="E99" t="str">
            <v>1050061_1</v>
          </cell>
          <cell r="F99" t="str">
            <v>1_10000,2_0,3_0</v>
          </cell>
          <cell r="G99" t="str">
            <v>40000_50550035_1_713,40000_50500035_1_1590,4000450_0_1_6525,4000450_0_1_6525,4000450_0_1_6525,30000_90002_3_10000,30000_90003_1_7700</v>
          </cell>
          <cell r="H99">
            <v>0</v>
          </cell>
          <cell r="I99" t="str">
            <v>30000_90004_1_10000,4000450_0_1_6525,4000450_0_1_6525,4000450_0_1_6525</v>
          </cell>
          <cell r="J99">
            <v>0</v>
          </cell>
        </row>
        <row r="100">
          <cell r="E100" t="str">
            <v>1050071_1,1050072_1</v>
          </cell>
          <cell r="F100" t="str">
            <v>1_0,2_10000,3_0</v>
          </cell>
          <cell r="G100" t="str">
            <v>40000_50550025_1_706,40000_50501065_1_1580,4000450_0_1_6550,4000450_0_1_6550,4000450_0_1_6550,30000_90002_3_10000,30000_90003_1_7700</v>
          </cell>
          <cell r="H100">
            <v>0</v>
          </cell>
          <cell r="I100" t="str">
            <v>30000_90004_1_10000,4000450_0_1_6550,4000450_0_1_6550,4000450_0_1_6550</v>
          </cell>
          <cell r="J100">
            <v>0</v>
          </cell>
        </row>
        <row r="101">
          <cell r="E101" t="str">
            <v>1050081_1</v>
          </cell>
          <cell r="F101" t="str">
            <v>1_10000,2_0,3_0</v>
          </cell>
          <cell r="G101" t="str">
            <v>40000_50550095_1_699,40000_50500015_1_1570,4000450_0_1_6575,4000450_0_1_6575,4000450_0_1_6575,30000_90002_3_10000,30000_90003_1_7700</v>
          </cell>
          <cell r="H101">
            <v>0</v>
          </cell>
          <cell r="I101" t="str">
            <v>30000_90004_1_10000,4000450_0_1_6575,4000450_0_1_6575,4000450_0_1_6575</v>
          </cell>
          <cell r="J101">
            <v>0</v>
          </cell>
        </row>
        <row r="102">
          <cell r="E102" t="str">
            <v>1050091_1</v>
          </cell>
          <cell r="F102" t="str">
            <v>1_10000,2_0,3_0</v>
          </cell>
          <cell r="G102" t="str">
            <v>40000_50551055_1_692,40000_50502055_1_1560,4000450_0_1_6600,4000450_0_1_6600,4000450_0_1_6600,30000_90002_3_10000,30000_90003_1_8800</v>
          </cell>
          <cell r="H102">
            <v>0</v>
          </cell>
          <cell r="I102" t="str">
            <v>30000_90004_1_10000,4000450_0_1_6600,4000450_0_1_6600,4000450_0_1_6600</v>
          </cell>
          <cell r="J102">
            <v>0</v>
          </cell>
        </row>
        <row r="103">
          <cell r="E103" t="str">
            <v>1055011_1</v>
          </cell>
          <cell r="F103" t="str">
            <v>1_10000,2_0,3_0</v>
          </cell>
          <cell r="G103" t="str">
            <v>40000_50600025_1_685,40000_50550035_1_1550,4000455_0_1_6625,4000455_0_1_6625,4000455_0_1_6625,30000_90002_3_10000,30000_90003_1_6600</v>
          </cell>
          <cell r="H103">
            <v>0</v>
          </cell>
          <cell r="I103" t="str">
            <v>30000_90004_1_10000,4000455_0_1_6625,4000455_0_1_6625,4000455_0_1_6625</v>
          </cell>
          <cell r="J103">
            <v>0</v>
          </cell>
        </row>
        <row r="104">
          <cell r="E104" t="str">
            <v>1055021_1</v>
          </cell>
          <cell r="F104" t="str">
            <v>1_10000,2_0,3_0</v>
          </cell>
          <cell r="G104" t="str">
            <v>40000_50600105_1_678,40000_50553055_1_1540,4000455_0_1_6650,4000455_0_1_6650,4000455_0_1_6650,30000_90002_3_10000,30000_90003_1_6600</v>
          </cell>
          <cell r="H104">
            <v>0</v>
          </cell>
          <cell r="I104" t="str">
            <v>30000_90004_1_10000,4000455_0_1_6650,4000455_0_1_6650,4000455_0_1_6650</v>
          </cell>
          <cell r="J104">
            <v>0</v>
          </cell>
        </row>
        <row r="105">
          <cell r="E105" t="str">
            <v>1055031_1</v>
          </cell>
          <cell r="F105" t="str">
            <v>1_10000,2_0,3_0</v>
          </cell>
          <cell r="G105" t="str">
            <v>40000_50600045_1_671,40000_50601065_1_1530,4000455_0_1_6675,4000455_0_1_6675,4000455_0_1_6675,30000_90002_3_10000,30000_90003_1_7700</v>
          </cell>
          <cell r="H105">
            <v>0</v>
          </cell>
          <cell r="I105" t="str">
            <v>30000_90004_1_10000,4000455_0_1_6675,4000455_0_1_6675,4000455_0_1_6675</v>
          </cell>
          <cell r="J105">
            <v>0</v>
          </cell>
        </row>
        <row r="106">
          <cell r="E106" t="str">
            <v>1055041_1</v>
          </cell>
          <cell r="F106" t="str">
            <v>1_10000,2_0,3_0</v>
          </cell>
          <cell r="G106" t="str">
            <v>40000_50600035_1_664,40000_50553065_1_1520,4000455_0_1_6700,4000455_0_1_6700,4000455_0_1_6700,30000_90002_3_10000,30000_90003_1_7700</v>
          </cell>
          <cell r="H106">
            <v>0</v>
          </cell>
          <cell r="I106" t="str">
            <v>30000_90004_1_10000,4000455_0_1_6700,4000455_0_1_6700,4000455_0_1_6700</v>
          </cell>
          <cell r="J106">
            <v>0</v>
          </cell>
        </row>
        <row r="107">
          <cell r="E107" t="str">
            <v>1055051_1</v>
          </cell>
          <cell r="F107" t="str">
            <v>1_10000,2_0,3_0</v>
          </cell>
          <cell r="G107" t="str">
            <v>40000_50600095_1_657,40000_50551055_1_1510,4000455_0_1_6725,4000455_0_1_6725,4000455_0_1_6725,30000_90002_3_10000,30000_90003_1_7700</v>
          </cell>
          <cell r="H107">
            <v>0</v>
          </cell>
          <cell r="I107" t="str">
            <v>30000_90004_1_10000,4000455_0_1_6725,4000455_0_1_6725,4000455_0_1_6725</v>
          </cell>
          <cell r="J107">
            <v>0</v>
          </cell>
        </row>
        <row r="108">
          <cell r="E108" t="str">
            <v>1055061_1</v>
          </cell>
          <cell r="F108" t="str">
            <v>1_10000,2_0,3_0</v>
          </cell>
          <cell r="G108" t="str">
            <v>40000_50600075_1_650,40000_50550015_1_1500,4000455_0_1_6750,4000455_0_1_6750,4000455_0_1_6750,30000_90002_3_10000,30000_90003_1_8800</v>
          </cell>
          <cell r="H108">
            <v>0</v>
          </cell>
          <cell r="I108" t="str">
            <v>30000_90004_1_10000,4000455_0_1_6750,4000455_0_1_6750,4000455_0_1_6750</v>
          </cell>
          <cell r="J108">
            <v>0</v>
          </cell>
        </row>
        <row r="109">
          <cell r="E109" t="str">
            <v>1055071_1,1055072_1</v>
          </cell>
          <cell r="F109" t="str">
            <v>1_0,2_10000,3_0</v>
          </cell>
          <cell r="G109" t="str">
            <v>40000_50600015_1_643,40000_50552055_1_1490,4000455_0_1_6775,4000455_0_1_6775,4000455_0_1_6775,30000_90002_3_10000,30000_90003_1_8800</v>
          </cell>
          <cell r="H109">
            <v>0</v>
          </cell>
          <cell r="I109" t="str">
            <v>30000_90004_1_10000,4000455_0_1_6775,4000455_0_1_6775,4000455_0_1_6775</v>
          </cell>
          <cell r="J109">
            <v>0</v>
          </cell>
        </row>
        <row r="110">
          <cell r="E110" t="str">
            <v>1055081_1</v>
          </cell>
          <cell r="F110" t="str">
            <v>1_10000,2_0,3_0</v>
          </cell>
          <cell r="G110" t="str">
            <v>40000_50600085_1_636,40000_50551065_1_1480,4000455_0_1_6800,4000455_0_1_6800,4000455_0_1_6800,30000_90002_3_10000,30000_90003_1_8800</v>
          </cell>
          <cell r="H110">
            <v>0</v>
          </cell>
          <cell r="I110" t="str">
            <v>30000_90004_1_10000,4000455_0_1_6800,4000455_0_1_6800,4000455_0_1_6800</v>
          </cell>
          <cell r="J110">
            <v>0</v>
          </cell>
        </row>
        <row r="111">
          <cell r="E111" t="str">
            <v>1055091_1</v>
          </cell>
          <cell r="F111" t="str">
            <v>1_10000,2_0,3_0</v>
          </cell>
          <cell r="G111" t="str">
            <v>40000_50601056_1_629,40000_50552065_1_1470,4000455_0_1_6825,4000455_0_1_6825,4000455_0_1_6825,30000_90002_3_10000,30000_90003_1_9900</v>
          </cell>
          <cell r="H111">
            <v>0</v>
          </cell>
          <cell r="I111" t="str">
            <v>30000_90004_1_10000,4000455_0_1_6825,4000455_0_1_6825,4000455_0_1_6825</v>
          </cell>
          <cell r="J111">
            <v>0</v>
          </cell>
        </row>
        <row r="112">
          <cell r="E112" t="str">
            <v>1060011_1</v>
          </cell>
          <cell r="F112" t="str">
            <v>1_10000,2_0,3_0</v>
          </cell>
          <cell r="G112" t="str">
            <v>40000_50650035_1_622,40000_50603055_1_1460,4000460_0_1_6850,4000460_0_1_6850,4000460_0_1_6850,30000_90003_1_10000,30000_90004_1_1250</v>
          </cell>
          <cell r="H112">
            <v>0</v>
          </cell>
          <cell r="I112" t="str">
            <v>30000_90005_1_10000,4000460_0_1_6850,4000460_0_1_6850,4000460_0_1_6850</v>
          </cell>
          <cell r="J112">
            <v>0</v>
          </cell>
        </row>
        <row r="113">
          <cell r="E113" t="str">
            <v>1060021_1</v>
          </cell>
          <cell r="F113" t="str">
            <v>1_10000,2_0,3_0</v>
          </cell>
          <cell r="G113" t="str">
            <v>40000_50650025_1_615,40000_50602065_1_1450,4000460_0_1_6875,4000460_0_1_6875,4000460_0_1_6875,30000_90003_1_10000,30000_90004_1_1250</v>
          </cell>
          <cell r="H113">
            <v>0</v>
          </cell>
          <cell r="I113" t="str">
            <v>30000_90005_1_10000,4000460_0_1_6875,4000460_0_1_6875,4000460_0_1_6875</v>
          </cell>
          <cell r="J113">
            <v>0</v>
          </cell>
        </row>
        <row r="114">
          <cell r="E114" t="str">
            <v>1060031_1</v>
          </cell>
          <cell r="F114" t="str">
            <v>1_10000,2_0,3_0</v>
          </cell>
          <cell r="G114" t="str">
            <v>40000_50650085_1_608,40000_50601055_1_1440,4000460_0_1_6900,4000460_0_1_6900,4000460_0_1_6900,30000_90003_1_10000,30000_90004_1_2500</v>
          </cell>
          <cell r="H114">
            <v>0</v>
          </cell>
          <cell r="I114" t="str">
            <v>30000_90005_1_10000,4000460_0_1_6900,4000460_0_1_6900,4000460_0_1_6900</v>
          </cell>
          <cell r="J114">
            <v>0</v>
          </cell>
        </row>
        <row r="115">
          <cell r="E115" t="str">
            <v>1060041_1,1060042_1,1060043_1</v>
          </cell>
          <cell r="F115" t="str">
            <v>1_0,2_0,3_10000</v>
          </cell>
          <cell r="G115" t="str">
            <v>40000_50650105_1_601,40000_50600015_1_1430,4000460_0_1_6925,4000460_0_1_6925,4000460_0_1_6925,30000_90003_1_10000,30000_90004_1_2500</v>
          </cell>
          <cell r="H115">
            <v>0</v>
          </cell>
          <cell r="I115" t="str">
            <v>30000_90005_1_10000,4000460_0_1_6925,4000460_0_1_6925,4000460_0_1_6925</v>
          </cell>
          <cell r="J115">
            <v>0</v>
          </cell>
        </row>
        <row r="116">
          <cell r="E116" t="str">
            <v>1060051_1</v>
          </cell>
          <cell r="F116" t="str">
            <v>1_10000,2_0,3_0</v>
          </cell>
          <cell r="G116" t="str">
            <v>40000_50650045_1_594,40000_50602055_1_1420,4000460_0_1_6950,4000460_0_1_6950,4000460_0_1_6950,30000_90003_1_10000,30000_90004_1_2500</v>
          </cell>
          <cell r="H116">
            <v>0</v>
          </cell>
          <cell r="I116" t="str">
            <v>30000_90005_1_10000,4000460_0_1_6950,4000460_0_1_6950,4000460_0_1_6950</v>
          </cell>
          <cell r="J116">
            <v>0</v>
          </cell>
        </row>
        <row r="117">
          <cell r="E117" t="str">
            <v>1060061_1</v>
          </cell>
          <cell r="F117" t="str">
            <v>1_10000,2_0,3_0</v>
          </cell>
          <cell r="G117" t="str">
            <v>40000_50650095_1_587,40000_50601065_1_1410,4000460_0_1_6975,4000460_0_1_6975,4000460_0_1_6975,30000_90003_1_10000,30000_90004_1_3750</v>
          </cell>
          <cell r="H117">
            <v>0</v>
          </cell>
          <cell r="I117" t="str">
            <v>30000_90005_1_10000,4000460_0_1_6975,4000460_0_1_6975,4000460_0_1_6975</v>
          </cell>
          <cell r="J117">
            <v>0</v>
          </cell>
        </row>
        <row r="118">
          <cell r="E118" t="str">
            <v>1060071_1</v>
          </cell>
          <cell r="F118" t="str">
            <v>1_10000,2_0,3_0</v>
          </cell>
          <cell r="G118" t="str">
            <v>40000_50650015_1_580,40000_50603065_1_1400,4000460_0_1_7000,4000460_0_1_7000,4000460_0_1_7000,30000_90003_1_10000,30000_90004_1_3750</v>
          </cell>
          <cell r="H118">
            <v>0</v>
          </cell>
          <cell r="I118" t="str">
            <v>30000_90005_1_10000,4000460_0_1_7000,4000460_0_1_7000,4000460_0_1_7000</v>
          </cell>
          <cell r="J118">
            <v>0</v>
          </cell>
        </row>
        <row r="119">
          <cell r="E119" t="str">
            <v>1060081_1</v>
          </cell>
          <cell r="F119" t="str">
            <v>1_10000,2_0,3_0</v>
          </cell>
          <cell r="G119" t="str">
            <v>40000_50650075_1_573,40000_50651065_1_1390,4000460_0_1_7025,4000460_0_1_7025,4000460_0_1_7025,30000_90003_1_10000,30000_90004_1_3750</v>
          </cell>
          <cell r="H119">
            <v>0</v>
          </cell>
          <cell r="I119" t="str">
            <v>30000_90005_1_10000,4000460_0_1_7025,4000460_0_1_7025,4000460_0_1_7025</v>
          </cell>
          <cell r="J119">
            <v>0</v>
          </cell>
        </row>
        <row r="120">
          <cell r="E120" t="str">
            <v>1060091_1</v>
          </cell>
          <cell r="F120" t="str">
            <v>1_10000,2_0,3_0</v>
          </cell>
          <cell r="G120" t="str">
            <v>40000_50651055_1_566,40000_50600035_1_1380,4000460_0_1_7050,4000460_0_1_7050,4000460_0_1_7050,30000_90003_1_10000,30000_90004_1_5000</v>
          </cell>
          <cell r="H120">
            <v>0</v>
          </cell>
          <cell r="I120" t="str">
            <v>30000_90005_1_10000,4000460_0_1_7050,4000460_0_1_7050,4000460_0_1_7050</v>
          </cell>
          <cell r="J120">
            <v>0</v>
          </cell>
        </row>
        <row r="121">
          <cell r="E121" t="str">
            <v>1065011_1</v>
          </cell>
          <cell r="F121" t="str">
            <v>1_10000,2_0,3_0</v>
          </cell>
          <cell r="G121" t="str">
            <v>40000_50700105_1_559,40000_50650015_1_1370,4000465_0_1_7075,4000465_0_1_7075,4000465_0_1_7075,30000_90003_1_10000,30000_90004_1_2500</v>
          </cell>
          <cell r="H121">
            <v>0</v>
          </cell>
          <cell r="I121" t="str">
            <v>30000_90005_1_10000,4000465_0_1_7075,4000465_0_1_7075,4000465_0_1_7075</v>
          </cell>
          <cell r="J121">
            <v>0</v>
          </cell>
        </row>
        <row r="122">
          <cell r="E122" t="str">
            <v>1065021_1</v>
          </cell>
          <cell r="F122" t="str">
            <v>1_10000,2_0,3_0</v>
          </cell>
          <cell r="G122" t="str">
            <v>40000_50700095_1_552,40000_50651065_1_1360,4000465_0_1_7100,4000465_0_1_7100,4000465_0_1_7100,30000_90003_1_10000,30000_90004_1_2500</v>
          </cell>
          <cell r="H122">
            <v>0</v>
          </cell>
          <cell r="I122" t="str">
            <v>30000_90005_1_10000,4000465_0_1_7100,4000465_0_1_7100,4000465_0_1_7100</v>
          </cell>
          <cell r="J122">
            <v>0</v>
          </cell>
        </row>
        <row r="123">
          <cell r="E123" t="str">
            <v>1065031_1</v>
          </cell>
          <cell r="F123" t="str">
            <v>1_10000,2_0,3_0</v>
          </cell>
          <cell r="G123" t="str">
            <v>40000_50700075_1_545,40000_50701065_1_1350,4000465_0_1_7125,4000465_0_1_7125,4000465_0_1_7125,30000_90003_1_10000,30000_90004_1_3750</v>
          </cell>
          <cell r="H123">
            <v>0</v>
          </cell>
          <cell r="I123" t="str">
            <v>30000_90005_1_10000,4000465_0_1_7125,4000465_0_1_7125,4000465_0_1_7125</v>
          </cell>
          <cell r="J123">
            <v>0</v>
          </cell>
        </row>
        <row r="124">
          <cell r="E124" t="str">
            <v>1065041_1,1065042_1,1065043_1</v>
          </cell>
          <cell r="F124" t="str">
            <v>1_0,2_0,3_10000</v>
          </cell>
          <cell r="G124" t="str">
            <v>40000_50700085_1_538,40000_50653065_1_1340,4000465_0_1_7150,4000465_0_1_7150,4000465_0_1_7150,30000_90003_1_10000,30000_90004_1_3750</v>
          </cell>
          <cell r="H124">
            <v>0</v>
          </cell>
          <cell r="I124" t="str">
            <v>30000_90005_1_10000,4000465_0_1_7150,4000465_0_1_7150,4000465_0_1_7150</v>
          </cell>
          <cell r="J124">
            <v>0</v>
          </cell>
        </row>
        <row r="125">
          <cell r="E125" t="str">
            <v>1065051_1</v>
          </cell>
          <cell r="F125" t="str">
            <v>1_10000,2_0,3_0</v>
          </cell>
          <cell r="G125" t="str">
            <v>40000_50700045_1_531,40000_50653055_1_1330,4000465_0_1_7175,4000465_0_1_7175,4000465_0_1_7175,30000_90003_1_10000,30000_90004_1_3750</v>
          </cell>
          <cell r="H125">
            <v>0</v>
          </cell>
          <cell r="I125" t="str">
            <v>30000_90005_1_10000,4000465_0_1_7175,4000465_0_1_7175,4000465_0_1_7175</v>
          </cell>
          <cell r="J125">
            <v>0</v>
          </cell>
        </row>
        <row r="126">
          <cell r="E126" t="str">
            <v>1065061_1</v>
          </cell>
          <cell r="F126" t="str">
            <v>1_10000,2_0,3_0</v>
          </cell>
          <cell r="G126" t="str">
            <v>40000_50700015_1_524,40000_50652065_1_1320,4000465_0_1_7200,4000465_0_1_7200,4000465_0_1_7200,30000_90003_1_10000,30000_90004_1_5000</v>
          </cell>
          <cell r="H126">
            <v>0</v>
          </cell>
          <cell r="I126" t="str">
            <v>30000_90005_1_10000,4000465_0_1_7200,4000465_0_1_7200,4000465_0_1_7200</v>
          </cell>
          <cell r="J126">
            <v>0</v>
          </cell>
        </row>
        <row r="127">
          <cell r="E127" t="str">
            <v>1065071_1</v>
          </cell>
          <cell r="F127" t="str">
            <v>1_10000,2_0,3_0</v>
          </cell>
          <cell r="G127" t="str">
            <v>40000_50700025_1_517,40000_50652055_1_1310,4000465_0_1_7225,4000465_0_1_7225,4000465_0_1_7225,30000_90003_1_10000,30000_90004_1_5000</v>
          </cell>
          <cell r="H127">
            <v>0</v>
          </cell>
          <cell r="I127" t="str">
            <v>30000_90005_1_10000,4000465_0_1_7225,4000465_0_1_7225,4000465_0_1_7225</v>
          </cell>
          <cell r="J127">
            <v>0</v>
          </cell>
        </row>
        <row r="128">
          <cell r="E128" t="str">
            <v>1065081_1</v>
          </cell>
          <cell r="F128" t="str">
            <v>1_10000,2_0,3_0</v>
          </cell>
          <cell r="G128" t="str">
            <v>40000_50700035_1_510,40000_50650035_1_1300,4000465_0_1_7250,4000465_0_1_7250,4000465_0_1_7250,30000_90003_1_10000,30000_90004_1_5000</v>
          </cell>
          <cell r="H128">
            <v>0</v>
          </cell>
          <cell r="I128" t="str">
            <v>30000_90005_1_10000,4000465_0_1_7250,4000465_0_1_7250,4000465_0_1_7250</v>
          </cell>
          <cell r="J128">
            <v>0</v>
          </cell>
        </row>
        <row r="129">
          <cell r="E129" t="str">
            <v>1065091_1</v>
          </cell>
          <cell r="F129" t="str">
            <v>1_10000,2_0,3_0</v>
          </cell>
          <cell r="G129" t="str">
            <v>40000_50701055_1_503,40000_50651055_1_1290,4000465_0_1_7275,4000465_0_1_7275,4000465_0_1_7275,30000_90003_1_10000,30000_90004_1_6250</v>
          </cell>
          <cell r="H129">
            <v>0</v>
          </cell>
          <cell r="I129" t="str">
            <v>30000_90005_1_10000,4000465_0_1_7275,4000465_0_1_7275,4000465_0_1_7275</v>
          </cell>
          <cell r="J129">
            <v>0</v>
          </cell>
        </row>
        <row r="130">
          <cell r="E130" t="str">
            <v>1070011_1</v>
          </cell>
          <cell r="F130" t="str">
            <v>1_10000,2_0,3_0</v>
          </cell>
          <cell r="G130" t="str">
            <v>40000_50750045_1_496,40000_50700015_1_1280,4000470_0_1_7300,4000470_0_1_7300,4000470_0_1_7300,30000_90003_1_10000,30000_90004_1_3750</v>
          </cell>
          <cell r="H130">
            <v>0</v>
          </cell>
          <cell r="I130" t="str">
            <v>30000_90005_1_10000,4000470_0_1_7300,4000470_0_1_7300,4000470_0_1_7300</v>
          </cell>
          <cell r="J130">
            <v>0</v>
          </cell>
        </row>
        <row r="131">
          <cell r="E131" t="str">
            <v>1070021_1</v>
          </cell>
          <cell r="F131" t="str">
            <v>1_10000,2_0,3_0</v>
          </cell>
          <cell r="G131" t="str">
            <v>40000_50750025_1_489,40000_50701065_1_1270,4000470_0_1_7325,4000470_0_1_7325,4000470_0_1_7325,30000_90003_1_10000,30000_90004_1_3750</v>
          </cell>
          <cell r="H131">
            <v>0</v>
          </cell>
          <cell r="I131" t="str">
            <v>30000_90005_1_10000,4000470_0_1_7325,4000470_0_1_7325,4000470_0_1_7325</v>
          </cell>
          <cell r="J131">
            <v>0</v>
          </cell>
        </row>
        <row r="132">
          <cell r="E132" t="str">
            <v>1070031_1</v>
          </cell>
          <cell r="F132" t="str">
            <v>1_10000,2_0,3_0</v>
          </cell>
          <cell r="G132" t="str">
            <v>40000_50750095_1_482,40000_50702055_1_1260,4000470_0_1_7350,4000470_0_1_7350,4000470_0_1_7350,30000_90003_1_10000,30000_90004_1_5000</v>
          </cell>
          <cell r="H132">
            <v>0</v>
          </cell>
          <cell r="I132" t="str">
            <v>30000_90005_1_10000,4000470_0_1_7350,4000470_0_1_7350,4000470_0_1_7350</v>
          </cell>
          <cell r="J132">
            <v>0</v>
          </cell>
        </row>
        <row r="133">
          <cell r="E133" t="str">
            <v>1070041_1,1070042_1,1070043_1</v>
          </cell>
          <cell r="F133" t="str">
            <v>1_0,2_0,3_10000</v>
          </cell>
          <cell r="G133" t="str">
            <v>40000_50750035_1_475,40000_50751066_1_1250,4000470_0_1_7375,4000470_0_1_7375,4000470_0_1_7375,30000_90003_1_10000,30000_90004_1_5000</v>
          </cell>
          <cell r="H133">
            <v>0</v>
          </cell>
          <cell r="I133" t="str">
            <v>30000_90005_1_10000,4000470_0_1_7375,4000470_0_1_7375,4000470_0_1_7375</v>
          </cell>
          <cell r="J133">
            <v>0</v>
          </cell>
        </row>
        <row r="134">
          <cell r="E134" t="str">
            <v>1070051_1</v>
          </cell>
          <cell r="F134" t="str">
            <v>1_10000,2_0,3_0</v>
          </cell>
          <cell r="G134" t="str">
            <v>40000_50750085_1_468,40000_50703065_1_1240,4000470_0_1_7400,4000470_0_1_7400,4000470_0_1_7400,30000_90003_1_10000,30000_90004_1_5000</v>
          </cell>
          <cell r="H134">
            <v>0</v>
          </cell>
          <cell r="I134" t="str">
            <v>30000_90005_1_10000,4000470_0_1_7400,4000470_0_1_7400,4000470_0_1_7400</v>
          </cell>
          <cell r="J134">
            <v>0</v>
          </cell>
        </row>
        <row r="135">
          <cell r="E135" t="str">
            <v>1070061_1</v>
          </cell>
          <cell r="F135" t="str">
            <v>1_10000,2_0,3_0</v>
          </cell>
          <cell r="G135" t="str">
            <v>40000_50750105_1_461,40000_50702065_1_1230,4000470_0_1_7425,4000470_0_1_7425,4000470_0_1_7425,30000_90003_1_10000,30000_90004_1_6250</v>
          </cell>
          <cell r="H135">
            <v>0</v>
          </cell>
          <cell r="I135" t="str">
            <v>30000_90005_1_10000,4000470_0_1_7425,4000470_0_1_7425,4000470_0_1_7425</v>
          </cell>
          <cell r="J135">
            <v>0</v>
          </cell>
        </row>
        <row r="136">
          <cell r="E136" t="str">
            <v>1070071_1</v>
          </cell>
          <cell r="F136" t="str">
            <v>1_10000,2_0,3_0</v>
          </cell>
          <cell r="G136" t="str">
            <v>40000_50750015_1_454,40000_50700035_1_1220,4000470_0_1_7450,4000470_0_1_7450,4000470_0_1_7450,30000_90003_1_10000,30000_90004_1_6250</v>
          </cell>
          <cell r="H136">
            <v>0</v>
          </cell>
          <cell r="I136" t="str">
            <v>30000_90005_1_10000,4000470_0_1_7450,4000470_0_1_7450,4000470_0_1_7450</v>
          </cell>
          <cell r="J136">
            <v>0</v>
          </cell>
        </row>
        <row r="137">
          <cell r="E137" t="str">
            <v>1070081_1</v>
          </cell>
          <cell r="F137" t="str">
            <v>1_10000,2_0,3_0</v>
          </cell>
          <cell r="G137" t="str">
            <v>40000_50750035_1_447,40000_50703055_1_1210,4000470_0_1_7475,4000470_0_1_7475,4000470_0_1_7475,30000_90003_1_10000,30000_90004_1_6250</v>
          </cell>
          <cell r="H137">
            <v>0</v>
          </cell>
          <cell r="I137" t="str">
            <v>30000_90005_1_10000,4000470_0_1_7475,4000470_0_1_7475,4000470_0_1_7475</v>
          </cell>
          <cell r="J137">
            <v>0</v>
          </cell>
        </row>
        <row r="138">
          <cell r="E138" t="str">
            <v>1070091_1</v>
          </cell>
          <cell r="F138" t="str">
            <v>1_10000,2_0,3_0</v>
          </cell>
          <cell r="G138" t="str">
            <v>40000_50751056_1_440,40000_50701055_1_1200,4000470_0_1_7500,4000470_0_1_7500,4000470_0_1_7500,30000_90003_1_10000,30000_90004_1_7500</v>
          </cell>
          <cell r="H138">
            <v>0</v>
          </cell>
          <cell r="I138" t="str">
            <v>30000_90005_1_10000,4000470_0_1_7500,4000470_0_1_7500,4000470_0_1_7500</v>
          </cell>
          <cell r="J138">
            <v>0</v>
          </cell>
        </row>
        <row r="139">
          <cell r="E139" t="str">
            <v>1075011_1</v>
          </cell>
          <cell r="F139" t="str">
            <v>1_10000,2_0,3_0</v>
          </cell>
          <cell r="G139" t="str">
            <v>40000_50800105_1_433,40000_50752055_1_1190,4004074_0_1_7525,4004074_0_1_7525,4004074_0_1_7525,30000_90003_1_10000,30000_90004_1_5000</v>
          </cell>
          <cell r="H139">
            <v>0</v>
          </cell>
          <cell r="I139" t="str">
            <v>30000_90005_1_10000,4004074_0_1_7525,4004074_0_1_7525,4004074_0_1_7525</v>
          </cell>
          <cell r="J139">
            <v>0</v>
          </cell>
        </row>
        <row r="140">
          <cell r="E140" t="str">
            <v>1075021_1</v>
          </cell>
          <cell r="F140" t="str">
            <v>1_10000,2_0,3_0</v>
          </cell>
          <cell r="G140" t="str">
            <v>40000_50800085_1_426,40000_50801066_1_1180,4004074_0_1_7550,4004074_0_1_7550,4004074_0_1_7550,30000_90003_1_10000,30000_90004_1_5000</v>
          </cell>
          <cell r="H140">
            <v>0</v>
          </cell>
          <cell r="I140" t="str">
            <v>30000_90005_1_10000,4004074_0_1_7550,4004074_0_1_7550,4004074_0_1_7550</v>
          </cell>
          <cell r="J140">
            <v>0</v>
          </cell>
        </row>
        <row r="141">
          <cell r="E141" t="str">
            <v>1075031_1</v>
          </cell>
          <cell r="F141" t="str">
            <v>1_10000,2_0,3_0</v>
          </cell>
          <cell r="G141" t="str">
            <v>40000_50800095_1_419,40000_50751065_1_1170,4004074_0_1_7575,4004074_0_1_7575,4004074_0_1_7575,30000_90003_1_10000,30000_90004_1_6250</v>
          </cell>
          <cell r="H141">
            <v>0</v>
          </cell>
          <cell r="I141" t="str">
            <v>30000_90005_1_10000,4004074_0_1_7575,4004074_0_1_7575,4004074_0_1_7575</v>
          </cell>
          <cell r="J141">
            <v>0</v>
          </cell>
        </row>
        <row r="142">
          <cell r="E142" t="str">
            <v>1075041_1,1075042_1,1075043_1</v>
          </cell>
          <cell r="F142" t="str">
            <v>1_0,2_0,3_10000</v>
          </cell>
          <cell r="G142" t="str">
            <v>40000_50800075_1_412,40000_50750035_1_1160,4004074_0_1_7600,4004074_0_1_7600,4004074_0_1_7600,30000_90003_1_10000,30000_90004_1_6250</v>
          </cell>
          <cell r="H142">
            <v>0</v>
          </cell>
          <cell r="I142" t="str">
            <v>30000_90005_1_10000,4004074_0_1_7600,4004074_0_1_7600,4004074_0_1_7600</v>
          </cell>
          <cell r="J142">
            <v>0</v>
          </cell>
        </row>
        <row r="143">
          <cell r="E143" t="str">
            <v>1075051_1</v>
          </cell>
          <cell r="F143" t="str">
            <v>1_10000,2_0,3_0</v>
          </cell>
          <cell r="G143" t="str">
            <v>40000_50800025_1_405,40000_50753065_1_1150,4004074_0_1_7625,4004074_0_1_7625,4004074_0_1_7625,30000_90003_1_10000,30000_90004_1_6250</v>
          </cell>
          <cell r="H143">
            <v>0</v>
          </cell>
          <cell r="I143" t="str">
            <v>30000_90005_1_10000,4004074_0_1_7625,4004074_0_1_7625,4004074_0_1_7625</v>
          </cell>
          <cell r="J143">
            <v>0</v>
          </cell>
        </row>
        <row r="144">
          <cell r="E144" t="str">
            <v>1075061_1</v>
          </cell>
          <cell r="F144" t="str">
            <v>1_10000,2_0,3_0</v>
          </cell>
          <cell r="G144" t="str">
            <v>40000_50800045_1_398,40000_50752065_1_1140,4004074_0_1_7650,4004074_0_1_7650,4004074_0_1_7650,30000_90003_1_10000,30000_90004_1_7500</v>
          </cell>
          <cell r="H144">
            <v>0</v>
          </cell>
          <cell r="I144" t="str">
            <v>30000_90005_1_10000,4004074_0_1_7650,4004074_0_1_7650,4004074_0_1_7650</v>
          </cell>
          <cell r="J144">
            <v>0</v>
          </cell>
        </row>
        <row r="145">
          <cell r="E145" t="str">
            <v>1075071_1</v>
          </cell>
          <cell r="F145" t="str">
            <v>1_10000,2_0,3_0</v>
          </cell>
          <cell r="G145" t="str">
            <v>40000_50800035_1_391,40000_50753055_1_1130,4004074_0_1_7675,4004074_0_1_7675,4004074_0_1_7675,30000_90003_1_10000,30000_90004_1_7500</v>
          </cell>
          <cell r="H145">
            <v>0</v>
          </cell>
          <cell r="I145" t="str">
            <v>30000_90005_1_10000,4004074_0_1_7675,4004074_0_1_7675,4004074_0_1_7675</v>
          </cell>
          <cell r="J145">
            <v>0</v>
          </cell>
        </row>
        <row r="146">
          <cell r="E146" t="str">
            <v>1075081_1</v>
          </cell>
          <cell r="F146" t="str">
            <v>1_10000,2_0,3_0</v>
          </cell>
          <cell r="G146" t="str">
            <v>40000_50800015_1_384,40000_50751055_1_1120,4004074_0_1_7700,4004074_0_1_7700,4004074_0_1_7700,30000_90003_1_10000,30000_90004_1_7500</v>
          </cell>
          <cell r="H146">
            <v>0</v>
          </cell>
          <cell r="I146" t="str">
            <v>30000_90005_1_10000,4004074_0_1_7700,4004074_0_1_7700,4004074_0_1_7700</v>
          </cell>
          <cell r="J146">
            <v>0</v>
          </cell>
        </row>
        <row r="147">
          <cell r="E147" t="str">
            <v>1075091_1</v>
          </cell>
          <cell r="F147" t="str">
            <v>1_10000,2_0,3_0</v>
          </cell>
          <cell r="G147" t="str">
            <v>40000_50801056_1_377,40000_50750015_1_1110,4004074_0_1_7725,4004074_0_1_7725,4004074_0_1_7725,30000_90003_1_10000,30000_90004_1_8750</v>
          </cell>
          <cell r="H147">
            <v>0</v>
          </cell>
          <cell r="I147" t="str">
            <v>30000_90005_1_10000,4004074_0_1_7725,4004074_0_1_7725,4004074_0_1_7725</v>
          </cell>
          <cell r="J147">
            <v>0</v>
          </cell>
        </row>
        <row r="148">
          <cell r="E148" t="str">
            <v>1080011_1</v>
          </cell>
          <cell r="F148" t="str">
            <v>1_10000,2_0,3_0</v>
          </cell>
          <cell r="G148" t="str">
            <v>40000_50850105_1_370,40000_50802065_1_1100,4004078_0_1_7750,4004078_0_1_7750,4004078_0_1_7750,30000_90003_1_10000,30000_90004_1_6250</v>
          </cell>
          <cell r="H148">
            <v>0</v>
          </cell>
          <cell r="I148" t="str">
            <v>30000_90005_1_10000,4004078_0_1_7750,4004078_0_1_7750,4004078_0_1_7750</v>
          </cell>
          <cell r="J148">
            <v>0</v>
          </cell>
        </row>
        <row r="149">
          <cell r="E149" t="str">
            <v>1080021_1</v>
          </cell>
          <cell r="F149" t="str">
            <v>1_10000,2_0,3_0</v>
          </cell>
          <cell r="G149" t="str">
            <v>40000_50850085_1_363,40000_50802055_1_1090,4004078_0_1_7775,4004078_0_1_7775,4004078_0_1_7775,30000_90003_1_10000,30000_90004_1_6250</v>
          </cell>
          <cell r="H149">
            <v>0</v>
          </cell>
          <cell r="I149" t="str">
            <v>30000_90005_1_10000,4004078_0_1_7775,4004078_0_1_7775,4004078_0_1_7775</v>
          </cell>
          <cell r="J149">
            <v>0</v>
          </cell>
        </row>
        <row r="150">
          <cell r="E150" t="str">
            <v>1080031_1</v>
          </cell>
          <cell r="F150" t="str">
            <v>1_10000,2_0,3_0</v>
          </cell>
          <cell r="G150" t="str">
            <v>40000_50850045_1_356,40000_50800015_1_1080,4004078_0_1_7800,4004078_0_1_7800,4004078_0_1_7800,30000_90003_1_10000,30000_90004_1_7500</v>
          </cell>
          <cell r="H150">
            <v>0</v>
          </cell>
          <cell r="I150" t="str">
            <v>30000_90005_1_10000,4004078_0_1_7800,4004078_0_1_7800,4004078_0_1_7800</v>
          </cell>
          <cell r="J150">
            <v>0</v>
          </cell>
        </row>
        <row r="151">
          <cell r="E151" t="str">
            <v>1080041_1,1080042_1,1080043_1</v>
          </cell>
          <cell r="F151" t="str">
            <v>1_0,2_0,3_10000</v>
          </cell>
          <cell r="G151" t="str">
            <v>40000_50850025_1_349,40000_50801055_1_1070,4004078_0_1_7825,4004078_0_1_7825,4004078_0_1_7825,30000_90003_1_10000,30000_90004_1_7500</v>
          </cell>
          <cell r="H151">
            <v>0</v>
          </cell>
          <cell r="I151" t="str">
            <v>30000_90005_1_10000,4004078_0_1_7825,4004078_0_1_7825,4004078_0_1_7825</v>
          </cell>
          <cell r="J151">
            <v>0</v>
          </cell>
        </row>
        <row r="152">
          <cell r="E152" t="str">
            <v>1080051_1</v>
          </cell>
          <cell r="F152" t="str">
            <v>1_10000,2_0,3_0</v>
          </cell>
          <cell r="G152" t="str">
            <v>40000_50850075_1_342,40000_50801065_1_1060,4004078_0_1_7850,4004078_0_1_7850,4004078_0_1_7850,30000_90003_1_10000,30000_90004_1_7500</v>
          </cell>
          <cell r="H152">
            <v>0</v>
          </cell>
          <cell r="I152" t="str">
            <v>30000_90005_1_10000,4004078_0_1_7850,4004078_0_1_7850,4004078_0_1_7850</v>
          </cell>
          <cell r="J152">
            <v>0</v>
          </cell>
        </row>
        <row r="153">
          <cell r="E153" t="str">
            <v>1080061_1</v>
          </cell>
          <cell r="F153" t="str">
            <v>1_10000,2_0,3_0</v>
          </cell>
          <cell r="G153" t="str">
            <v>40000_50850095_1_335,40000_50803055_1_1050,4004078_0_1_7875,4004078_0_1_7875,4004078_0_1_7875,30000_90003_1_10000,30000_90004_1_8750</v>
          </cell>
          <cell r="H153">
            <v>0</v>
          </cell>
          <cell r="I153" t="str">
            <v>30000_90005_1_10000,4004078_0_1_7875,4004078_0_1_7875,4004078_0_1_7875</v>
          </cell>
          <cell r="J153">
            <v>0</v>
          </cell>
        </row>
        <row r="154">
          <cell r="E154" t="str">
            <v>1080071_1</v>
          </cell>
          <cell r="F154" t="str">
            <v>1_10000,2_0,3_0</v>
          </cell>
          <cell r="G154" t="str">
            <v>40000_50850015_1_328,40000_50803065_1_1040,4004078_0_1_7900,4004078_0_1_7900,4004078_0_1_7900,30000_90003_1_10000,30000_90004_1_8750</v>
          </cell>
          <cell r="H154">
            <v>0</v>
          </cell>
          <cell r="I154" t="str">
            <v>30000_90005_1_10000,4004078_0_1_7900,4004078_0_1_7900,4004078_0_1_7900</v>
          </cell>
          <cell r="J154">
            <v>0</v>
          </cell>
        </row>
        <row r="155">
          <cell r="E155" t="str">
            <v>1080081_1</v>
          </cell>
          <cell r="F155" t="str">
            <v>1_10000,2_0,3_0</v>
          </cell>
          <cell r="G155" t="str">
            <v>40000_50850035_1_321,40000_50800035_1_1030,4004078_0_1_7925,4004078_0_1_7925,4004078_0_1_7925,30000_90003_1_10000,30000_90004_1_8750</v>
          </cell>
          <cell r="H155">
            <v>0</v>
          </cell>
          <cell r="I155" t="str">
            <v>30000_90005_1_10000,4004078_0_1_7925,4004078_0_1_7925,4004078_0_1_7925</v>
          </cell>
          <cell r="J155">
            <v>0</v>
          </cell>
        </row>
        <row r="156">
          <cell r="E156" t="str">
            <v>1080091_1</v>
          </cell>
          <cell r="F156" t="str">
            <v>1_10000,2_0,3_0</v>
          </cell>
          <cell r="G156" t="str">
            <v>40000_50851056_1_314,40000_50851066_1_1020,4004078_0_1_7950,4004078_0_1_7950,4004078_0_1_7950,30000_90003_1_10000,30000_90004_1_10000</v>
          </cell>
          <cell r="H156">
            <v>0</v>
          </cell>
          <cell r="I156" t="str">
            <v>30000_90005_1_10000,4004078_0_1_7950,4004078_0_1_7950,4004078_0_1_7950</v>
          </cell>
          <cell r="J156">
            <v>0</v>
          </cell>
        </row>
        <row r="157">
          <cell r="E157" t="str">
            <v>1085011_1</v>
          </cell>
          <cell r="F157" t="str">
            <v>1_10000,2_0,3_0</v>
          </cell>
          <cell r="G157" t="str">
            <v>40000_50900105_1_307,40000_50852065_1_1010,4004082_0_1_7975,4004082_0_1_7975,4004082_0_1_7975,30000_90004_1_10000,30000_90005_1_1400</v>
          </cell>
          <cell r="H157">
            <v>0</v>
          </cell>
          <cell r="I157" t="str">
            <v>30000_90006_1_10000,4004082_0_1_7975,4004082_0_1_7975,4004082_0_1_7975</v>
          </cell>
          <cell r="J157">
            <v>0</v>
          </cell>
        </row>
        <row r="158">
          <cell r="E158" t="str">
            <v>1085021_1</v>
          </cell>
          <cell r="F158" t="str">
            <v>1_10000,2_0,3_0</v>
          </cell>
          <cell r="G158" t="str">
            <v>40000_50900025_1_300,40000_50853065_1_1000,4004082_0_1_8000,4004082_0_1_8000,4004082_0_1_8000,30000_90004_1_10000,30000_90005_1_1400</v>
          </cell>
          <cell r="H158">
            <v>0</v>
          </cell>
          <cell r="I158" t="str">
            <v>30000_90006_1_10000,4004082_0_1_8000,4004082_0_1_8000,4004082_0_1_8000</v>
          </cell>
          <cell r="J158">
            <v>0</v>
          </cell>
        </row>
        <row r="159">
          <cell r="E159" t="str">
            <v>1085031_1</v>
          </cell>
          <cell r="F159" t="str">
            <v>1_10000,2_0,3_0</v>
          </cell>
          <cell r="G159" t="str">
            <v>40000_50900045_1_293,40000_50851055_1_990,4004082_0_1_8025,4004082_0_1_8025,4004082_0_1_8025,30000_90004_1_10000,30000_90005_1_2800</v>
          </cell>
          <cell r="H159">
            <v>0</v>
          </cell>
          <cell r="I159" t="str">
            <v>30000_90006_1_10000,4004082_0_1_8025,4004082_0_1_8025,4004082_0_1_8025</v>
          </cell>
          <cell r="J159">
            <v>0</v>
          </cell>
        </row>
        <row r="160">
          <cell r="E160" t="str">
            <v>1085041_1</v>
          </cell>
          <cell r="F160" t="str">
            <v>1_10000,2_0,3_0</v>
          </cell>
          <cell r="G160" t="str">
            <v>40000_50900075_1_286,40000_50851065_1_980,4004082_0_1_8050,4004082_0_1_8050,4004082_0_1_8050,30000_90004_1_10000,30000_90005_1_2800</v>
          </cell>
          <cell r="H160">
            <v>0</v>
          </cell>
          <cell r="I160" t="str">
            <v>30000_90006_1_10000,4004082_0_1_8050,4004082_0_1_8050,4004082_0_1_8050</v>
          </cell>
          <cell r="J160">
            <v>0</v>
          </cell>
        </row>
        <row r="161">
          <cell r="E161" t="str">
            <v>1085051_1,1085052_1,1085053_1</v>
          </cell>
          <cell r="F161" t="str">
            <v>1_0,2_0,3_10000</v>
          </cell>
          <cell r="G161" t="str">
            <v>40000_50900085_1_279,40000_50850035_1_970,4004082_0_1_8075,4004082_0_1_8075,4004082_0_1_8075,30000_90004_1_10000,30000_90005_1_2800</v>
          </cell>
          <cell r="H161">
            <v>0</v>
          </cell>
          <cell r="I161" t="str">
            <v>30000_90006_1_10000,4004082_0_1_8075,4004082_0_1_8075,4004082_0_1_8075</v>
          </cell>
          <cell r="J161">
            <v>0</v>
          </cell>
        </row>
        <row r="162">
          <cell r="E162" t="str">
            <v>1085061_1</v>
          </cell>
          <cell r="F162" t="str">
            <v>1_10000,2_0,3_0</v>
          </cell>
          <cell r="G162" t="str">
            <v>40000_50900095_1_272,40000_50850015_1_960,4004082_0_1_8100,4004082_0_1_8100,4004082_0_1_8100,30000_90004_1_10000,30000_90005_1_4200</v>
          </cell>
          <cell r="H162">
            <v>0</v>
          </cell>
          <cell r="I162" t="str">
            <v>30000_90006_1_10000,4004082_0_1_8100,4004082_0_1_8100,4004082_0_1_8100</v>
          </cell>
          <cell r="J162">
            <v>0</v>
          </cell>
        </row>
        <row r="163">
          <cell r="E163" t="str">
            <v>1085071_1</v>
          </cell>
          <cell r="F163" t="str">
            <v>1_10000,2_0,3_0</v>
          </cell>
          <cell r="G163" t="str">
            <v>40000_50900015_1_265,40000_50853055_1_950,4004082_0_1_8125,4004082_0_1_8125,4004082_0_1_8125,30000_90004_1_10000,30000_90005_1_4200</v>
          </cell>
          <cell r="H163">
            <v>0</v>
          </cell>
          <cell r="I163" t="str">
            <v>30000_90006_1_10000,4004082_0_1_8125,4004082_0_1_8125,4004082_0_1_8125</v>
          </cell>
          <cell r="J163">
            <v>0</v>
          </cell>
        </row>
        <row r="164">
          <cell r="E164" t="str">
            <v>1085081_1</v>
          </cell>
          <cell r="F164" t="str">
            <v>1_10000,2_0,3_0</v>
          </cell>
          <cell r="G164" t="str">
            <v>40000_50900035_1_258,40000_50852055_1_940,4004082_0_1_8150,4004082_0_1_8150,4004082_0_1_8150,30000_90004_1_10000,30000_90005_1_4200</v>
          </cell>
          <cell r="H164">
            <v>0</v>
          </cell>
          <cell r="I164" t="str">
            <v>30000_90006_1_10000,4004082_0_1_8150,4004082_0_1_8150,4004082_0_1_8150</v>
          </cell>
          <cell r="J164">
            <v>0</v>
          </cell>
        </row>
        <row r="165">
          <cell r="E165" t="str">
            <v>1085091_1</v>
          </cell>
          <cell r="F165" t="str">
            <v>1_10000,2_0,3_0</v>
          </cell>
          <cell r="G165" t="str">
            <v>40000_50901055_1_251,40000_50901066_1_930,4004082_0_1_8175,4004082_0_1_8175,4004082_0_1_8175,30000_90004_1_10000,30000_90005_1_5600</v>
          </cell>
          <cell r="H165">
            <v>0</v>
          </cell>
          <cell r="I165" t="str">
            <v>30000_90006_1_10000,4004082_0_1_8175,4004082_0_1_8175,4004082_0_1_8175</v>
          </cell>
          <cell r="J165">
            <v>0</v>
          </cell>
        </row>
        <row r="166">
          <cell r="E166" t="str">
            <v>1090011_1</v>
          </cell>
          <cell r="F166" t="str">
            <v>1_10000,2_0,3_0</v>
          </cell>
          <cell r="G166" t="str">
            <v>40000_50900105_1_244,40000_50902055_1_920,4004086_0_1_8200,4004086_0_1_8200,4004086_0_1_8200,30000_90004_1_10000,30000_90005_1_2800</v>
          </cell>
          <cell r="H166">
            <v>0</v>
          </cell>
          <cell r="I166" t="str">
            <v>30000_90006_1_10000,4004086_0_1_8200,4004086_0_1_8200,4004086_0_1_8200</v>
          </cell>
          <cell r="J166">
            <v>0</v>
          </cell>
        </row>
        <row r="167">
          <cell r="E167" t="str">
            <v>1090021_1</v>
          </cell>
          <cell r="F167" t="str">
            <v>1_10000,2_0,3_0</v>
          </cell>
          <cell r="G167" t="str">
            <v>40000_50900025_1_237,40000_50900035_1_910,4004086_0_1_8225,4004086_0_1_8225,4004086_0_1_8225,30000_90004_1_10000,30000_90005_1_2800</v>
          </cell>
          <cell r="H167">
            <v>0</v>
          </cell>
          <cell r="I167" t="str">
            <v>30000_90006_1_10000,4004086_0_1_8225,4004086_0_1_8225,4004086_0_1_8225</v>
          </cell>
          <cell r="J167">
            <v>0</v>
          </cell>
        </row>
        <row r="168">
          <cell r="E168" t="str">
            <v>1090031_1</v>
          </cell>
          <cell r="F168" t="str">
            <v>1_10000,2_0,3_0</v>
          </cell>
          <cell r="G168" t="str">
            <v>40000_50900046_1_230,40000_50902065_1_900,4004086_0_1_8250,4004086_0_1_8250,4004086_0_1_8250,30000_90004_1_10000,30000_90005_1_4200</v>
          </cell>
          <cell r="H168">
            <v>0</v>
          </cell>
          <cell r="I168" t="str">
            <v>30000_90006_1_10000,4004086_0_1_8250,4004086_0_1_8250,4004086_0_1_8250</v>
          </cell>
          <cell r="J168">
            <v>0</v>
          </cell>
        </row>
        <row r="169">
          <cell r="E169" t="str">
            <v>1090041_1</v>
          </cell>
          <cell r="F169" t="str">
            <v>1_10000,2_0,3_0</v>
          </cell>
          <cell r="G169" t="str">
            <v>40000_50900076_1_223,40000_50901055_1_890,4004086_0_1_8275,4004086_0_1_8275,4004086_0_1_8275,30000_90004_1_10000,30000_90005_1_4200</v>
          </cell>
          <cell r="H169">
            <v>0</v>
          </cell>
          <cell r="I169" t="str">
            <v>30000_90006_1_10000,4004086_0_1_8275,4004086_0_1_8275,4004086_0_1_8275</v>
          </cell>
          <cell r="J169">
            <v>0</v>
          </cell>
        </row>
        <row r="170">
          <cell r="E170" t="str">
            <v>1090051_1,1090052_1,1090053_1</v>
          </cell>
          <cell r="F170" t="str">
            <v>1_0,2_0,3_10000</v>
          </cell>
          <cell r="G170" t="str">
            <v>40000_50900085_1_216,40000_50901065_1_880,4004086_0_1_8300,4004086_0_1_8300,4004086_0_1_8300,30000_90004_1_10000,30000_90005_1_4200</v>
          </cell>
          <cell r="H170">
            <v>0</v>
          </cell>
          <cell r="I170" t="str">
            <v>30000_90006_1_10000,4004086_0_1_8300,4004086_0_1_8300,4004086_0_1_8300</v>
          </cell>
          <cell r="J170">
            <v>0</v>
          </cell>
        </row>
        <row r="171">
          <cell r="E171" t="str">
            <v>1090061_1</v>
          </cell>
          <cell r="F171" t="str">
            <v>1_10000,2_0,3_0</v>
          </cell>
          <cell r="G171" t="str">
            <v>40000_50900095_1_209,40000_50900015_1_870,4004086_0_1_8325,4004086_0_1_8325,4004086_0_1_8325,30000_90004_1_10000,30000_90005_1_5600</v>
          </cell>
          <cell r="H171">
            <v>0</v>
          </cell>
          <cell r="I171" t="str">
            <v>30000_90006_1_10000,4004086_0_1_8325,4004086_0_1_8325,4004086_0_1_8325</v>
          </cell>
          <cell r="J171">
            <v>0</v>
          </cell>
        </row>
        <row r="172">
          <cell r="E172" t="str">
            <v>1090071_1</v>
          </cell>
          <cell r="F172" t="str">
            <v>1_10000,2_0,3_0</v>
          </cell>
          <cell r="G172" t="str">
            <v>40000_50900015_1_202,40000_50901065_1_860,4004086_0_1_8350,4004086_0_1_8350,4004086_0_1_8350,30000_90004_1_10000,30000_90005_1_5600</v>
          </cell>
          <cell r="H172">
            <v>0</v>
          </cell>
          <cell r="I172" t="str">
            <v>30000_90006_1_10000,4004086_0_1_8350,4004086_0_1_8350,4004086_0_1_8350</v>
          </cell>
          <cell r="J172">
            <v>0</v>
          </cell>
        </row>
        <row r="173">
          <cell r="E173" t="str">
            <v>1090081_1</v>
          </cell>
          <cell r="F173" t="str">
            <v>1_10000,2_0,3_0</v>
          </cell>
          <cell r="G173" t="str">
            <v>40000_50900035_1_195,40000_50903055_1_850,4004086_0_1_8375,4004086_0_1_8375,4004086_0_1_8375,30000_90004_1_10000,30000_90005_1_5600</v>
          </cell>
          <cell r="H173">
            <v>0</v>
          </cell>
          <cell r="I173" t="str">
            <v>30000_90006_1_10000,4004086_0_1_8375,4004086_0_1_8375,4004086_0_1_8375</v>
          </cell>
          <cell r="J173">
            <v>0</v>
          </cell>
        </row>
        <row r="174">
          <cell r="E174" t="str">
            <v>1090091_1</v>
          </cell>
          <cell r="F174" t="str">
            <v>1_10000,2_0,3_0</v>
          </cell>
          <cell r="G174" t="str">
            <v>40000_50901056_1_188,40000_50903065_1_840,4004086_0_1_8400,4004086_0_1_8400,4004086_0_1_8400,30000_90004_1_10000,30000_90005_1_7000</v>
          </cell>
          <cell r="H174">
            <v>0</v>
          </cell>
          <cell r="I174" t="str">
            <v>30000_90006_1_10000,4004086_0_1_8400,4004086_0_1_8400,4004086_0_1_8400</v>
          </cell>
          <cell r="J174">
            <v>0</v>
          </cell>
        </row>
        <row r="175">
          <cell r="E175" t="str">
            <v>1095011_1</v>
          </cell>
          <cell r="F175" t="str">
            <v>1_10000,2_0,3_0</v>
          </cell>
          <cell r="G175" t="str">
            <v>40000_50950105_1_0,40000_50950015_1_0,4004090_0_1_8425,4004090_0_1_8425,4004090_0_1_8425,30000_90004_1_10000,30000_90005_1_4200</v>
          </cell>
          <cell r="H175">
            <v>0</v>
          </cell>
          <cell r="I175" t="str">
            <v>30000_90006_1_10000,4004090_0_1_8425,4004090_0_1_8425,4004090_0_1_8425</v>
          </cell>
          <cell r="J175">
            <v>0</v>
          </cell>
        </row>
        <row r="176">
          <cell r="E176" t="str">
            <v>1095021_1</v>
          </cell>
          <cell r="F176" t="str">
            <v>1_10000,2_0,3_0</v>
          </cell>
          <cell r="G176" t="str">
            <v>40000_50950025_1_0,40000_50952055_1_0,4004090_0_1_8450,4004090_0_1_8450,4004090_0_1_8450,30000_90004_1_10000,30000_90005_1_4200</v>
          </cell>
          <cell r="H176">
            <v>0</v>
          </cell>
          <cell r="I176" t="str">
            <v>30000_90006_1_10000,4004090_0_1_8450,4004090_0_1_8450,4004090_0_1_8450</v>
          </cell>
          <cell r="J176">
            <v>0</v>
          </cell>
        </row>
        <row r="177">
          <cell r="E177" t="str">
            <v>1095031_1</v>
          </cell>
          <cell r="F177" t="str">
            <v>1_10000,2_0,3_0</v>
          </cell>
          <cell r="G177" t="str">
            <v>40000_50950046_1_0,40000_50952065_1_0,4004090_0_1_8475,4004090_0_1_8475,4004090_0_1_8475,30000_90004_1_10000,30000_90005_1_5600</v>
          </cell>
          <cell r="H177">
            <v>0</v>
          </cell>
          <cell r="I177" t="str">
            <v>30000_90006_1_10000,4004090_0_1_8475,4004090_0_1_8475,4004090_0_1_8475</v>
          </cell>
          <cell r="J177">
            <v>0</v>
          </cell>
        </row>
        <row r="178">
          <cell r="E178" t="str">
            <v>1095041_1</v>
          </cell>
          <cell r="F178" t="str">
            <v>1_10000,2_0,3_0</v>
          </cell>
          <cell r="G178" t="str">
            <v>40000_50950076_1_0,40000_50950035_1_0,4004090_0_1_8500,4004090_0_1_8500,4004090_0_1_8500,30000_90004_1_10000,30000_90005_1_5600</v>
          </cell>
          <cell r="H178">
            <v>0</v>
          </cell>
          <cell r="I178" t="str">
            <v>30000_90006_1_10000,4004090_0_1_8500,4004090_0_1_8500,4004090_0_1_8500</v>
          </cell>
          <cell r="J178">
            <v>0</v>
          </cell>
        </row>
        <row r="179">
          <cell r="E179" t="str">
            <v>1095051_1,1095052_1,1095053_1</v>
          </cell>
          <cell r="F179" t="str">
            <v>1_0,2_0,3_10000</v>
          </cell>
          <cell r="G179" t="str">
            <v>40000_50950085_1_0,40000_50953065_1_0,4004090_0_1_8525,4004090_0_1_8525,4004090_0_1_8525,30000_90004_1_10000,30000_90005_1_5600</v>
          </cell>
          <cell r="H179">
            <v>0</v>
          </cell>
          <cell r="I179" t="str">
            <v>30000_90006_1_10000,4004090_0_1_8525,4004090_0_1_8525,4004090_0_1_8525</v>
          </cell>
          <cell r="J179">
            <v>0</v>
          </cell>
        </row>
        <row r="180">
          <cell r="E180" t="str">
            <v>1095061_1</v>
          </cell>
          <cell r="F180" t="str">
            <v>1_10000,2_0,3_0</v>
          </cell>
          <cell r="G180" t="str">
            <v>40000_50950095_1_0,40000_50951055_1_0,4004090_0_1_8550,4004090_0_1_8550,4004090_0_1_8550,30000_90004_1_10000,30000_90005_1_7000</v>
          </cell>
          <cell r="H180">
            <v>0</v>
          </cell>
          <cell r="I180" t="str">
            <v>30000_90006_1_10000,4004090_0_1_8550,4004090_0_1_8550,4004090_0_1_8550</v>
          </cell>
          <cell r="J180">
            <v>0</v>
          </cell>
        </row>
        <row r="181">
          <cell r="E181" t="str">
            <v>1095071_1</v>
          </cell>
          <cell r="F181" t="str">
            <v>1_10000,2_0,3_0</v>
          </cell>
          <cell r="G181" t="str">
            <v>40000_50950015_1_0,40000_50951065_1_0,4004090_0_1_8575,4004090_0_1_8575,4004090_0_1_8575,30000_90004_1_10000,30000_90005_1_7000</v>
          </cell>
          <cell r="H181">
            <v>0</v>
          </cell>
          <cell r="I181" t="str">
            <v>30000_90006_1_10000,4004090_0_1_8575,4004090_0_1_8575,4004090_0_1_8575</v>
          </cell>
          <cell r="J181">
            <v>0</v>
          </cell>
        </row>
        <row r="182">
          <cell r="E182" t="str">
            <v>1095081_1</v>
          </cell>
          <cell r="F182" t="str">
            <v>1_10000,2_0,3_0</v>
          </cell>
          <cell r="G182" t="str">
            <v>40000_50950035_1_0,40000_50953055_1_0,4004090_0_1_8600,4004090_0_1_8600,4004090_0_1_8600,30000_90004_1_10000,30000_90005_1_7000</v>
          </cell>
          <cell r="H182">
            <v>0</v>
          </cell>
          <cell r="I182" t="str">
            <v>30000_90006_1_10000,4004090_0_1_8600,4004090_0_1_8600,4004090_0_1_8600</v>
          </cell>
          <cell r="J182">
            <v>0</v>
          </cell>
        </row>
        <row r="183">
          <cell r="E183" t="str">
            <v>1095091_1</v>
          </cell>
          <cell r="F183" t="str">
            <v>1_10000,2_0,3_0</v>
          </cell>
          <cell r="G183" t="str">
            <v>40000_50951056_1_0,40000_50953065_1_0,4004090_0_1_8625,4004090_0_1_8625,4004090_0_1_8625,30000_90004_1_10000,30000_90005_1_8400</v>
          </cell>
          <cell r="H183">
            <v>0</v>
          </cell>
          <cell r="I183" t="str">
            <v>30000_90006_1_10000,4004090_0_1_8625,4004090_0_1_8625,4004090_0_1_8625</v>
          </cell>
          <cell r="J183">
            <v>0</v>
          </cell>
        </row>
        <row r="184">
          <cell r="E184" t="str">
            <v>1100011_1</v>
          </cell>
          <cell r="F184" t="str">
            <v>1_10000,2_0,3_0</v>
          </cell>
          <cell r="G184" t="str">
            <v>40000_51000105_1_0,40000_51000015_1_0,4004094_0_1_8650,4004094_0_1_8650,4004094_0_1_8650,30000_90004_1_10000,30000_90005_1_5600</v>
          </cell>
          <cell r="H184">
            <v>0</v>
          </cell>
          <cell r="I184" t="str">
            <v>30000_90006_1_10000,4004094_0_1_8650,4004094_0_1_8650,4004094_0_1_8650</v>
          </cell>
          <cell r="J184">
            <v>0</v>
          </cell>
        </row>
        <row r="185">
          <cell r="E185" t="str">
            <v>1100021_1</v>
          </cell>
          <cell r="F185" t="str">
            <v>1_10000,2_0,3_0</v>
          </cell>
          <cell r="G185" t="str">
            <v>40000_51000025_1_0,40000_51002055_1_0,4004094_0_1_8675,4004094_0_1_8675,4004094_0_1_8675,30000_90004_1_10000,30000_90005_1_5600</v>
          </cell>
          <cell r="H185">
            <v>0</v>
          </cell>
          <cell r="I185" t="str">
            <v>30000_90006_1_10000,4004094_0_1_8675,4004094_0_1_8675,4004094_0_1_8675</v>
          </cell>
          <cell r="J185">
            <v>0</v>
          </cell>
        </row>
        <row r="186">
          <cell r="E186" t="str">
            <v>1100031_1</v>
          </cell>
          <cell r="F186" t="str">
            <v>1_10000,2_0,3_0</v>
          </cell>
          <cell r="G186" t="str">
            <v>40000_51000046_1_0,40000_51002065_1_0,4004094_0_1_8700,4004094_0_1_8700,4004094_0_1_8700,30000_90004_1_10000,30000_90005_1_7000</v>
          </cell>
          <cell r="H186">
            <v>0</v>
          </cell>
          <cell r="I186" t="str">
            <v>30000_90006_1_10000,4004094_0_1_8700,4004094_0_1_8700,4004094_0_1_8700</v>
          </cell>
          <cell r="J186">
            <v>0</v>
          </cell>
        </row>
        <row r="187">
          <cell r="E187" t="str">
            <v>1100041_1</v>
          </cell>
          <cell r="F187" t="str">
            <v>1_10000,2_0,3_0</v>
          </cell>
          <cell r="G187" t="str">
            <v>40000_51000076_1_0,40000_51000035_1_0,4004094_0_1_8725,4004094_0_1_8725,4004094_0_1_8725,30000_90004_1_10000,30000_90005_1_7000</v>
          </cell>
          <cell r="H187">
            <v>0</v>
          </cell>
          <cell r="I187" t="str">
            <v>30000_90006_1_10000,4004094_0_1_8725,4004094_0_1_8725,4004094_0_1_8725</v>
          </cell>
          <cell r="J187">
            <v>0</v>
          </cell>
        </row>
        <row r="188">
          <cell r="E188" t="str">
            <v>1100051_1,1100052_1,1100053_1</v>
          </cell>
          <cell r="F188" t="str">
            <v>1_0,2_0,3_10000</v>
          </cell>
          <cell r="G188" t="str">
            <v>40000_51000085_1_0,40000_51003065_1_0,4004094_0_1_8750,4004094_0_1_8750,4004094_0_1_8750,30000_90004_1_10000,30000_90005_1_7000</v>
          </cell>
          <cell r="H188">
            <v>0</v>
          </cell>
          <cell r="I188" t="str">
            <v>30000_90006_1_10000,4004094_0_1_8750,4004094_0_1_8750,4004094_0_1_8750</v>
          </cell>
          <cell r="J188">
            <v>0</v>
          </cell>
        </row>
        <row r="189">
          <cell r="E189" t="str">
            <v>1100061_1</v>
          </cell>
          <cell r="F189" t="str">
            <v>1_10000,2_0,3_0</v>
          </cell>
          <cell r="G189" t="str">
            <v>40000_51000095_1_0,40000_51001055_1_0,4004094_0_1_8775,4004094_0_1_8775,4004094_0_1_8775,30000_90004_1_10000,30000_90005_1_8400</v>
          </cell>
          <cell r="H189">
            <v>0</v>
          </cell>
          <cell r="I189" t="str">
            <v>30000_90006_1_10000,4004094_0_1_8775,4004094_0_1_8775,4004094_0_1_8775</v>
          </cell>
          <cell r="J189">
            <v>0</v>
          </cell>
        </row>
        <row r="190">
          <cell r="E190" t="str">
            <v>1100071_1</v>
          </cell>
          <cell r="F190" t="str">
            <v>1_10000,2_0,3_0</v>
          </cell>
          <cell r="G190" t="str">
            <v>40000_51000015_1_0,40000_51001065_1_0,4004094_0_1_8800,4004094_0_1_8800,4004094_0_1_8800,30000_90004_1_10000,30000_90005_1_8400</v>
          </cell>
          <cell r="H190">
            <v>0</v>
          </cell>
          <cell r="I190" t="str">
            <v>30000_90006_1_10000,4004094_0_1_8800,4004094_0_1_8800,4004094_0_1_8800</v>
          </cell>
          <cell r="J190">
            <v>0</v>
          </cell>
        </row>
        <row r="191">
          <cell r="E191" t="str">
            <v>1100081_1</v>
          </cell>
          <cell r="F191" t="str">
            <v>1_10000,2_0,3_0</v>
          </cell>
          <cell r="G191" t="str">
            <v>40000_51000035_1_0,40000_51003055_1_0,4004094_0_1_8825,4004094_0_1_8825,4004094_0_1_8825,30000_90004_1_10000,30000_90005_1_8400</v>
          </cell>
          <cell r="H191">
            <v>0</v>
          </cell>
          <cell r="I191" t="str">
            <v>30000_90006_1_10000,4004094_0_1_8825,4004094_0_1_8825,4004094_0_1_8825</v>
          </cell>
          <cell r="J191">
            <v>0</v>
          </cell>
        </row>
        <row r="192">
          <cell r="E192" t="str">
            <v>1100091_1</v>
          </cell>
          <cell r="F192" t="str">
            <v>1_10000,2_0,3_0</v>
          </cell>
          <cell r="G192" t="str">
            <v>40000_51001056_1_0,40000_51003065_1_0,4004094_0_1_8850,4004094_0_1_8850,4004094_0_1_8850,30000_90004_1_10000,30000_90005_1_9800</v>
          </cell>
          <cell r="H192">
            <v>0</v>
          </cell>
          <cell r="I192" t="str">
            <v>30000_90006_1_10000,4004094_0_1_8850,4004094_0_1_8850,4004094_0_1_8850</v>
          </cell>
          <cell r="J192">
            <v>0</v>
          </cell>
        </row>
        <row r="193">
          <cell r="E193" t="str">
            <v>2030011_1</v>
          </cell>
          <cell r="F193" t="str">
            <v>1_10000,2_0,3_0</v>
          </cell>
          <cell r="G193" t="str">
            <v>40000_50350105_1_1000,40000_50303065_1_2000,4000430_0_1_5000,4000430_0_1_5000,4000430_0_1_5000,30000_90002_3_10000,30000_90003_1_1100</v>
          </cell>
          <cell r="H193">
            <v>0</v>
          </cell>
          <cell r="I193" t="str">
            <v>30000_90004_1_10000,4000430_0_1_5000,4000430_0_1_5000,4000430_0_1_5000</v>
          </cell>
          <cell r="J193">
            <v>0</v>
          </cell>
        </row>
        <row r="194">
          <cell r="E194" t="str">
            <v>2030021_1</v>
          </cell>
          <cell r="F194" t="str">
            <v>1_10000,2_0,3_0</v>
          </cell>
          <cell r="G194" t="str">
            <v>40000_50350075_1_993,40000_50301055_1_1990,4000430_0_1_5050,4000430_0_1_5050,4000430_0_1_5050,30000_90002_3_10000,30000_90003_1_1100</v>
          </cell>
          <cell r="H194">
            <v>0</v>
          </cell>
          <cell r="I194" t="str">
            <v>30000_90004_1_10000,4000430_0_1_5050,4000430_0_1_5050,4000430_0_1_5050</v>
          </cell>
          <cell r="J194">
            <v>0</v>
          </cell>
        </row>
        <row r="195">
          <cell r="E195" t="str">
            <v>2030031_1</v>
          </cell>
          <cell r="F195" t="str">
            <v>1_10000,2_0,3_0</v>
          </cell>
          <cell r="G195" t="str">
            <v>40000_50350045_1_986,40000_50301065_1_1980,4000430_0_1_5100,4000430_0_1_5100,4000430_0_1_5100,30000_90002_3_10000,30000_90003_1_2200</v>
          </cell>
          <cell r="H195">
            <v>0</v>
          </cell>
          <cell r="I195" t="str">
            <v>30000_90004_1_10000,4000430_0_1_5100,4000430_0_1_5100,4000430_0_1_5100</v>
          </cell>
          <cell r="J195">
            <v>0</v>
          </cell>
        </row>
        <row r="196">
          <cell r="E196" t="str">
            <v>2030041_1</v>
          </cell>
          <cell r="F196" t="str">
            <v>1_10000,2_0,3_0</v>
          </cell>
          <cell r="G196" t="str">
            <v>40000_50350025_1_979,40000_50302055_1_1970,4000430_0_1_5150,4000430_0_1_5150,4000430_0_1_5150,30000_90002_3_10000,30000_90003_1_2200</v>
          </cell>
          <cell r="H196">
            <v>0</v>
          </cell>
          <cell r="I196" t="str">
            <v>30000_90004_1_10000,4000430_0_1_5150,4000430_0_1_5150,4000430_0_1_5150</v>
          </cell>
          <cell r="J196">
            <v>0</v>
          </cell>
        </row>
        <row r="197">
          <cell r="E197" t="str">
            <v>2030051_1</v>
          </cell>
          <cell r="F197" t="str">
            <v>1_10000,2_0,3_0</v>
          </cell>
          <cell r="G197" t="str">
            <v>40000_50350095_1_972,40000_50303055_1_1960,4000430_0_1_5200,4000430_0_1_5200,4000430_0_1_5200,30000_90002_3_10000,30000_90003_1_2200</v>
          </cell>
          <cell r="H197">
            <v>0</v>
          </cell>
          <cell r="I197" t="str">
            <v>30000_90004_1_10000,4000430_0_1_5200,4000430_0_1_5200,4000430_0_1_5200</v>
          </cell>
          <cell r="J197">
            <v>0</v>
          </cell>
        </row>
        <row r="198">
          <cell r="E198" t="str">
            <v>2030061_1</v>
          </cell>
          <cell r="F198" t="str">
            <v>1_10000,2_0,3_0</v>
          </cell>
          <cell r="G198" t="str">
            <v>40000_50350085_1_965,40000_50300015_1_1950,4000430_0_1_5250,4000430_0_1_5250,4000430_0_1_5250,30000_90002_3_10000,30000_90003_1_3300</v>
          </cell>
          <cell r="H198">
            <v>0</v>
          </cell>
          <cell r="I198" t="str">
            <v>30000_90004_1_10000,4000430_0_1_5250,4000430_0_1_5250,4000430_0_1_5250</v>
          </cell>
          <cell r="J198">
            <v>0</v>
          </cell>
        </row>
        <row r="199">
          <cell r="E199" t="str">
            <v>2030071_1,2030072_1</v>
          </cell>
          <cell r="F199" t="str">
            <v>1_0,2_10000,3_0</v>
          </cell>
          <cell r="G199" t="str">
            <v>40000_50350015_1_958,40000_50352066_1_1940,4000430_0_1_5300,4000430_0_1_5300,4000430_0_1_5300,30000_90002_3_10000,30000_90003_1_3300</v>
          </cell>
          <cell r="H199">
            <v>0</v>
          </cell>
          <cell r="I199" t="str">
            <v>30000_90004_1_10000,4000430_0_1_5300,4000430_0_1_5300,4000430_0_1_5300</v>
          </cell>
          <cell r="J199">
            <v>0</v>
          </cell>
        </row>
        <row r="200">
          <cell r="E200" t="str">
            <v>2030081_1</v>
          </cell>
          <cell r="F200" t="str">
            <v>1_10000,2_0,3_0</v>
          </cell>
          <cell r="G200" t="str">
            <v>40000_50350035_1_951,40000_50302065_1_1930,4000430_0_1_5350,4000430_0_1_5350,4000430_0_1_5350,30000_90002_3_10000,30000_90003_1_3300</v>
          </cell>
          <cell r="H200">
            <v>0</v>
          </cell>
          <cell r="I200" t="str">
            <v>30000_90004_1_10000,4000430_0_1_5350,4000430_0_1_5350,4000430_0_1_5350</v>
          </cell>
          <cell r="J200">
            <v>0</v>
          </cell>
        </row>
        <row r="201">
          <cell r="E201" t="str">
            <v>2030091_1</v>
          </cell>
          <cell r="F201" t="str">
            <v>1_10000,2_0,3_0</v>
          </cell>
          <cell r="G201" t="str">
            <v>40000_50352055_1_944,40000_50300035_1_1920,4000430_0_1_5400,4000430_0_1_5400,4000430_0_1_5400,30000_90002_3_10000,30000_90003_1_4400</v>
          </cell>
          <cell r="H201">
            <v>0</v>
          </cell>
          <cell r="I201" t="str">
            <v>30000_90004_1_10000,4000430_0_1_5400,4000430_0_1_5400,4000430_0_1_5400</v>
          </cell>
          <cell r="J201">
            <v>0</v>
          </cell>
        </row>
        <row r="202">
          <cell r="E202" t="str">
            <v>2035011_1</v>
          </cell>
          <cell r="F202" t="str">
            <v>1_10000,2_0,3_0</v>
          </cell>
          <cell r="G202" t="str">
            <v>40000_50400015_1_937,40000_50353065_1_1910,4000435_0_1_5450,4000435_0_1_5450,4000435_0_1_5450,30000_90002_3_10000,30000_90003_1_2200</v>
          </cell>
          <cell r="H202">
            <v>0</v>
          </cell>
          <cell r="I202" t="str">
            <v>30000_90004_1_10000,4000435_0_1_5450,4000435_0_1_5450,4000435_0_1_5450</v>
          </cell>
          <cell r="J202">
            <v>0</v>
          </cell>
        </row>
        <row r="203">
          <cell r="E203" t="str">
            <v>2035021_1</v>
          </cell>
          <cell r="F203" t="str">
            <v>1_10000,2_0,3_0</v>
          </cell>
          <cell r="G203" t="str">
            <v>40000_50400095_1_930,40000_50352055_1_1900,4000435_0_1_5500,4000435_0_1_5500,4000435_0_1_5500,30000_90002_3_10000,30000_90003_1_2200</v>
          </cell>
          <cell r="H203">
            <v>0</v>
          </cell>
          <cell r="I203" t="str">
            <v>30000_90004_1_10000,4000435_0_1_5500,4000435_0_1_5500,4000435_0_1_5500</v>
          </cell>
          <cell r="J203">
            <v>0</v>
          </cell>
        </row>
        <row r="204">
          <cell r="E204" t="str">
            <v>2035031_1</v>
          </cell>
          <cell r="F204" t="str">
            <v>1_10000,2_0,3_0</v>
          </cell>
          <cell r="G204" t="str">
            <v>40000_50400045_1_923,40000_50351055_1_1890,4000435_0_1_5550,4000435_0_1_5550,4000435_0_1_5550,30000_90002_3_10000,30000_90003_1_3300</v>
          </cell>
          <cell r="H204">
            <v>0</v>
          </cell>
          <cell r="I204" t="str">
            <v>30000_90004_1_10000,4000435_0_1_5550,4000435_0_1_5550,4000435_0_1_5550</v>
          </cell>
          <cell r="J204">
            <v>0</v>
          </cell>
        </row>
        <row r="205">
          <cell r="E205" t="str">
            <v>2035041_1</v>
          </cell>
          <cell r="F205" t="str">
            <v>1_10000,2_0,3_0</v>
          </cell>
          <cell r="G205" t="str">
            <v>40000_50400085_1_916,40000_50402065_1_1880,4000435_0_1_5600,4000435_0_1_5600,4000435_0_1_5600,30000_90002_3_10000,30000_90003_1_3300</v>
          </cell>
          <cell r="H205">
            <v>0</v>
          </cell>
          <cell r="I205" t="str">
            <v>30000_90004_1_10000,4000435_0_1_5600,4000435_0_1_5600,4000435_0_1_5600</v>
          </cell>
          <cell r="J205">
            <v>0</v>
          </cell>
        </row>
        <row r="206">
          <cell r="E206" t="str">
            <v>2035051_1</v>
          </cell>
          <cell r="F206" t="str">
            <v>1_10000,2_0,3_0</v>
          </cell>
          <cell r="G206" t="str">
            <v>40000_50400075_1_909,40000_50351065_1_1870,4000435_0_1_5650,4000435_0_1_5650,4000435_0_1_5650,30000_90002_3_10000,30000_90003_1_3300</v>
          </cell>
          <cell r="H206">
            <v>0</v>
          </cell>
          <cell r="I206" t="str">
            <v>30000_90004_1_10000,4000435_0_1_5650,4000435_0_1_5650,4000435_0_1_5650</v>
          </cell>
          <cell r="J206">
            <v>0</v>
          </cell>
        </row>
        <row r="207">
          <cell r="E207" t="str">
            <v>2035061_1</v>
          </cell>
          <cell r="F207" t="str">
            <v>1_10000,2_0,3_0</v>
          </cell>
          <cell r="G207" t="str">
            <v>40000_50400025_1_902,40000_50350015_1_1860,4000435_0_1_5700,4000435_0_1_5700,4000435_0_1_5700,30000_90002_3_10000,30000_90003_1_4400</v>
          </cell>
          <cell r="H207">
            <v>0</v>
          </cell>
          <cell r="I207" t="str">
            <v>30000_90004_1_10000,4000435_0_1_5700,4000435_0_1_5700,4000435_0_1_5700</v>
          </cell>
          <cell r="J207">
            <v>0</v>
          </cell>
        </row>
        <row r="208">
          <cell r="E208" t="str">
            <v>2035071_1,2035072_1</v>
          </cell>
          <cell r="F208" t="str">
            <v>1_0,2_10000,3_0</v>
          </cell>
          <cell r="G208" t="str">
            <v>40000_50400105_1_895,40000_50353055_1_1850,4000435_0_1_5750,4000435_0_1_5750,4000435_0_1_5750,30000_90002_3_10000,30000_90003_1_4400</v>
          </cell>
          <cell r="H208">
            <v>0</v>
          </cell>
          <cell r="I208" t="str">
            <v>30000_90004_1_10000,4000435_0_1_5750,4000435_0_1_5750,4000435_0_1_5750</v>
          </cell>
          <cell r="J208">
            <v>0</v>
          </cell>
        </row>
        <row r="209">
          <cell r="E209" t="str">
            <v>2035081_1</v>
          </cell>
          <cell r="F209" t="str">
            <v>1_10000,2_0,3_0</v>
          </cell>
          <cell r="G209" t="str">
            <v>40000_50400035_1_888,40000_50350035_1_1840,4000435_0_1_5800,4000435_0_1_5800,4000435_0_1_5800,30000_90002_3_10000,30000_90003_1_4400</v>
          </cell>
          <cell r="H209">
            <v>0</v>
          </cell>
          <cell r="I209" t="str">
            <v>30000_90004_1_10000,4000435_0_1_5800,4000435_0_1_5800,4000435_0_1_5800</v>
          </cell>
          <cell r="J209">
            <v>0</v>
          </cell>
        </row>
        <row r="210">
          <cell r="E210" t="str">
            <v>2035091_1</v>
          </cell>
          <cell r="F210" t="str">
            <v>1_10000,2_0,3_0</v>
          </cell>
          <cell r="G210" t="str">
            <v>40000_50402056_1_881,40000_50352065_1_1830,4000435_0_1_5850,4000435_0_1_5850,4000435_0_1_5850,30000_90002_3_10000,30000_90003_1_5500</v>
          </cell>
          <cell r="H210">
            <v>0</v>
          </cell>
          <cell r="I210" t="str">
            <v>30000_90004_1_10000,4000435_0_1_5850,4000435_0_1_5850,4000435_0_1_5850</v>
          </cell>
          <cell r="J210">
            <v>0</v>
          </cell>
        </row>
        <row r="211">
          <cell r="E211" t="str">
            <v>2040011_1</v>
          </cell>
          <cell r="F211" t="str">
            <v>1_10000,2_0,3_0</v>
          </cell>
          <cell r="G211" t="str">
            <v>40000_50450025_1_874,40000_50403065_1_1820,4000440_0_1_5900,4000440_0_1_5900,4000440_0_1_5900,30000_90002_3_10000,30000_90003_1_3300</v>
          </cell>
          <cell r="H211">
            <v>0</v>
          </cell>
          <cell r="I211" t="str">
            <v>30000_90004_1_10000,4000440_0_1_5900,4000440_0_1_5900,4000440_0_1_5900</v>
          </cell>
          <cell r="J211">
            <v>0</v>
          </cell>
        </row>
        <row r="212">
          <cell r="E212" t="str">
            <v>2040021_1</v>
          </cell>
          <cell r="F212" t="str">
            <v>1_10000,2_0,3_0</v>
          </cell>
          <cell r="G212" t="str">
            <v>40000_50450105_1_867,40000_50400015_1_1810,4000440_0_1_5950,4000440_0_1_5950,4000440_0_1_5950,30000_90002_3_10000,30000_90003_1_3300</v>
          </cell>
          <cell r="H212">
            <v>0</v>
          </cell>
          <cell r="I212" t="str">
            <v>30000_90004_1_10000,4000440_0_1_5950,4000440_0_1_5950,4000440_0_1_5950</v>
          </cell>
          <cell r="J212">
            <v>0</v>
          </cell>
        </row>
        <row r="213">
          <cell r="E213" t="str">
            <v>2040031_1</v>
          </cell>
          <cell r="F213" t="str">
            <v>1_10000,2_0,3_0</v>
          </cell>
          <cell r="G213" t="str">
            <v>40000_50450045_1_860,40000_50401055_1_1800,4000440_0_1_6000,4000440_0_1_6000,4000440_0_1_6000,30000_90002_3_10000,30000_90003_1_4400</v>
          </cell>
          <cell r="H213">
            <v>0</v>
          </cell>
          <cell r="I213" t="str">
            <v>30000_90004_1_10000,4000440_0_1_6000,4000440_0_1_6000,4000440_0_1_6000</v>
          </cell>
          <cell r="J213">
            <v>0</v>
          </cell>
        </row>
        <row r="214">
          <cell r="E214" t="str">
            <v>2040041_1</v>
          </cell>
          <cell r="F214" t="str">
            <v>1_10000,2_0,3_0</v>
          </cell>
          <cell r="G214" t="str">
            <v>40000_50450075_1_853,40000_50401065_1_1790,4000440_0_1_6025,4000440_0_1_6025,4000440_0_1_6025,30000_90002_3_10000,30000_90003_1_4400</v>
          </cell>
          <cell r="H214">
            <v>0</v>
          </cell>
          <cell r="I214" t="str">
            <v>30000_90004_1_10000,4000440_0_1_6025,4000440_0_1_6025,4000440_0_1_6025</v>
          </cell>
          <cell r="J214">
            <v>0</v>
          </cell>
        </row>
        <row r="215">
          <cell r="E215" t="str">
            <v>2040051_1</v>
          </cell>
          <cell r="F215" t="str">
            <v>1_10000,2_0,3_0</v>
          </cell>
          <cell r="G215" t="str">
            <v>40000_50450035_1_846,40000_50402065_1_1780,4000440_0_1_6050,4000440_0_1_6050,4000440_0_1_6050,30000_90002_3_10000,30000_90003_1_4400</v>
          </cell>
          <cell r="H215">
            <v>0</v>
          </cell>
          <cell r="I215" t="str">
            <v>30000_90004_1_10000,4000440_0_1_6050,4000440_0_1_6050,4000440_0_1_6050</v>
          </cell>
          <cell r="J215">
            <v>0</v>
          </cell>
        </row>
        <row r="216">
          <cell r="E216" t="str">
            <v>2040061_1</v>
          </cell>
          <cell r="F216" t="str">
            <v>1_10000,2_0,3_0</v>
          </cell>
          <cell r="G216" t="str">
            <v>40000_50450095_1_839,40000_50402055_1_1770,4000440_0_1_6075,4000440_0_1_6075,4000440_0_1_6075,30000_90002_3_10000,30000_90003_1_5500</v>
          </cell>
          <cell r="H216">
            <v>0</v>
          </cell>
          <cell r="I216" t="str">
            <v>30000_90004_1_10000,4000440_0_1_6075,4000440_0_1_6075,4000440_0_1_6075</v>
          </cell>
          <cell r="J216">
            <v>0</v>
          </cell>
        </row>
        <row r="217">
          <cell r="E217" t="str">
            <v>2040071_1,2040072_1</v>
          </cell>
          <cell r="F217" t="str">
            <v>1_0,2_10000,3_0</v>
          </cell>
          <cell r="G217" t="str">
            <v>40000_50450015_1_832,40000_50452065_1_1760,4000440_0_1_6100,4000440_0_1_6100,4000440_0_1_6100,30000_90002_3_10000,30000_90003_1_5500</v>
          </cell>
          <cell r="H217">
            <v>0</v>
          </cell>
          <cell r="I217" t="str">
            <v>30000_90004_1_10000,4000440_0_1_6100,4000440_0_1_6100,4000440_0_1_6100</v>
          </cell>
          <cell r="J217">
            <v>0</v>
          </cell>
        </row>
        <row r="218">
          <cell r="E218" t="str">
            <v>2040081_1</v>
          </cell>
          <cell r="F218" t="str">
            <v>1_10000,2_0,3_0</v>
          </cell>
          <cell r="G218" t="str">
            <v>40000_50450085_1_825,40000_50400035_1_1750,4000440_0_1_6125,4000440_0_1_6125,4000440_0_1_6125,30000_90002_3_10000,30000_90003_1_5500</v>
          </cell>
          <cell r="H218">
            <v>0</v>
          </cell>
          <cell r="I218" t="str">
            <v>30000_90004_1_10000,4000440_0_1_6125,4000440_0_1_6125,4000440_0_1_6125</v>
          </cell>
          <cell r="J218">
            <v>0</v>
          </cell>
        </row>
        <row r="219">
          <cell r="E219" t="str">
            <v>2040091_1</v>
          </cell>
          <cell r="F219" t="str">
            <v>1_10000,2_0,3_0</v>
          </cell>
          <cell r="G219" t="str">
            <v>40000_50452055_1_818,40000_50403055_1_1740,4000440_0_1_6150,4000440_0_1_6150,4000440_0_1_6150,30000_90002_3_10000,30000_90003_1_6600</v>
          </cell>
          <cell r="H219">
            <v>0</v>
          </cell>
          <cell r="I219" t="str">
            <v>30000_90004_1_10000,4000440_0_1_6150,4000440_0_1_6150,4000440_0_1_6150</v>
          </cell>
          <cell r="J219">
            <v>0</v>
          </cell>
        </row>
        <row r="220">
          <cell r="E220" t="str">
            <v>2045011_1</v>
          </cell>
          <cell r="F220" t="str">
            <v>1_10000,2_0,3_0</v>
          </cell>
          <cell r="G220" t="str">
            <v>40000_50500045_1_811,40000_50452065_1_1730,4000445_0_1_6175,4000445_0_1_6175,4000445_0_1_6175,30000_90002_3_10000,30000_90003_1_4400</v>
          </cell>
          <cell r="H220">
            <v>0</v>
          </cell>
          <cell r="I220" t="str">
            <v>30000_90004_1_10000,4000445_0_1_6175,4000445_0_1_6175,4000445_0_1_6175</v>
          </cell>
          <cell r="J220">
            <v>0</v>
          </cell>
        </row>
        <row r="221">
          <cell r="E221" t="str">
            <v>2045021_1</v>
          </cell>
          <cell r="F221" t="str">
            <v>1_10000,2_0,3_0</v>
          </cell>
          <cell r="G221" t="str">
            <v>40000_50500075_1_804,40000_50451065_1_1720,4000445_0_1_6200,4000445_0_1_6200,4000445_0_1_6200,30000_90002_3_10000,30000_90003_1_4400</v>
          </cell>
          <cell r="H221">
            <v>0</v>
          </cell>
          <cell r="I221" t="str">
            <v>30000_90004_1_10000,4000445_0_1_6200,4000445_0_1_6200,4000445_0_1_6200</v>
          </cell>
          <cell r="J221">
            <v>0</v>
          </cell>
        </row>
        <row r="222">
          <cell r="E222" t="str">
            <v>2045031_1</v>
          </cell>
          <cell r="F222" t="str">
            <v>1_10000,2_0,3_0</v>
          </cell>
          <cell r="G222" t="str">
            <v>40000_50500025_1_797,40000_50452055_1_1710,4000445_0_1_6225,4000445_0_1_6225,4000445_0_1_6225,30000_90002_3_10000,30000_90003_1_5500</v>
          </cell>
          <cell r="H222">
            <v>0</v>
          </cell>
          <cell r="I222" t="str">
            <v>30000_90004_1_10000,4000445_0_1_6225,4000445_0_1_6225,4000445_0_1_6225</v>
          </cell>
          <cell r="J222">
            <v>0</v>
          </cell>
        </row>
        <row r="223">
          <cell r="E223" t="str">
            <v>2045041_1</v>
          </cell>
          <cell r="F223" t="str">
            <v>1_10000,2_0,3_0</v>
          </cell>
          <cell r="G223" t="str">
            <v>40000_50500105_1_790,40000_50453055_1_1700,4000445_0_1_6250,4000445_0_1_6250,4000445_0_1_6250,30000_90002_3_10000,30000_90003_1_5500</v>
          </cell>
          <cell r="H223">
            <v>0</v>
          </cell>
          <cell r="I223" t="str">
            <v>30000_90004_1_10000,4000445_0_1_6250,4000445_0_1_6250,4000445_0_1_6250</v>
          </cell>
          <cell r="J223">
            <v>0</v>
          </cell>
        </row>
        <row r="224">
          <cell r="E224" t="str">
            <v>2045051_1</v>
          </cell>
          <cell r="F224" t="str">
            <v>1_10000,2_0,3_0</v>
          </cell>
          <cell r="G224" t="str">
            <v>40000_50500095_1_783,40000_50451055_1_1690,4000445_0_1_6275,4000445_0_1_6275,4000445_0_1_6275,30000_90002_3_10000,30000_90003_1_5500</v>
          </cell>
          <cell r="H224">
            <v>0</v>
          </cell>
          <cell r="I224" t="str">
            <v>30000_90004_1_10000,4000445_0_1_6275,4000445_0_1_6275,4000445_0_1_6275</v>
          </cell>
          <cell r="J224">
            <v>0</v>
          </cell>
        </row>
        <row r="225">
          <cell r="E225" t="str">
            <v>2045061_1</v>
          </cell>
          <cell r="F225" t="str">
            <v>1_10000,2_0,3_0</v>
          </cell>
          <cell r="G225" t="str">
            <v>40000_50500085_1_776,40000_50453065_1_1680,4000445_0_1_6300,4000445_0_1_6300,4000445_0_1_6300,30000_90002_3_10000,30000_90003_1_6600</v>
          </cell>
          <cell r="H225">
            <v>0</v>
          </cell>
          <cell r="I225" t="str">
            <v>30000_90004_1_10000,4000445_0_1_6300,4000445_0_1_6300,4000445_0_1_6300</v>
          </cell>
          <cell r="J225">
            <v>0</v>
          </cell>
        </row>
        <row r="226">
          <cell r="E226" t="str">
            <v>2045071_1,2045072_1</v>
          </cell>
          <cell r="F226" t="str">
            <v>1_0,2_10000,3_0</v>
          </cell>
          <cell r="G226" t="str">
            <v>40000_50500035_1_769,40000_50502066_1_1670,4000445_0_1_6325,4000445_0_1_6325,4000445_0_1_6325,30000_90002_3_10000,30000_90003_1_6600</v>
          </cell>
          <cell r="H226">
            <v>0</v>
          </cell>
          <cell r="I226" t="str">
            <v>30000_90004_1_10000,4000445_0_1_6325,4000445_0_1_6325,4000445_0_1_6325</v>
          </cell>
          <cell r="J226">
            <v>0</v>
          </cell>
        </row>
        <row r="227">
          <cell r="E227" t="str">
            <v>2045081_1</v>
          </cell>
          <cell r="F227" t="str">
            <v>1_10000,2_0,3_0</v>
          </cell>
          <cell r="G227" t="str">
            <v>40000_50500015_1_762,40000_50450035_1_1660,4000445_0_1_6350,4000445_0_1_6350,4000445_0_1_6350,30000_90002_3_10000,30000_90003_1_6600</v>
          </cell>
          <cell r="H227">
            <v>0</v>
          </cell>
          <cell r="I227" t="str">
            <v>30000_90004_1_10000,4000445_0_1_6350,4000445_0_1_6350,4000445_0_1_6350</v>
          </cell>
          <cell r="J227">
            <v>0</v>
          </cell>
        </row>
        <row r="228">
          <cell r="E228" t="str">
            <v>2045091_1</v>
          </cell>
          <cell r="F228" t="str">
            <v>1_10000,2_0,3_0</v>
          </cell>
          <cell r="G228" t="str">
            <v>40000_50502056_1_755,40000_50450015_1_1650,4000445_0_1_6375,4000445_0_1_6375,4000445_0_1_6375,30000_90002_3_10000,30000_90003_1_7700</v>
          </cell>
          <cell r="H228">
            <v>0</v>
          </cell>
          <cell r="I228" t="str">
            <v>30000_90004_1_10000,4000445_0_1_6375,4000445_0_1_6375,4000445_0_1_6375</v>
          </cell>
          <cell r="J228">
            <v>0</v>
          </cell>
        </row>
        <row r="229">
          <cell r="E229" t="str">
            <v>2050011_1</v>
          </cell>
          <cell r="F229" t="str">
            <v>1_10000,2_0,3_0</v>
          </cell>
          <cell r="G229" t="str">
            <v>40000_50550045_1_748,40000_50502065_1_1640,4000450_0_1_6400,4000450_0_1_6400,4000450_0_1_6400,30000_90002_3_10000,30000_90003_1_5500</v>
          </cell>
          <cell r="H229">
            <v>0</v>
          </cell>
          <cell r="I229" t="str">
            <v>30000_90004_1_10000,4000450_0_1_6400,4000450_0_1_6400,4000450_0_1_6400</v>
          </cell>
          <cell r="J229">
            <v>0</v>
          </cell>
        </row>
        <row r="230">
          <cell r="E230" t="str">
            <v>2050021_1</v>
          </cell>
          <cell r="F230" t="str">
            <v>1_10000,2_0,3_0</v>
          </cell>
          <cell r="G230" t="str">
            <v>40000_50550015_1_741,40000_50501055_1_1630,4000450_0_1_6425,4000450_0_1_6425,4000450_0_1_6425,30000_90002_3_10000,30000_90003_1_5500</v>
          </cell>
          <cell r="H230">
            <v>0</v>
          </cell>
          <cell r="I230" t="str">
            <v>30000_90004_1_10000,4000450_0_1_6425,4000450_0_1_6425,4000450_0_1_6425</v>
          </cell>
          <cell r="J230">
            <v>0</v>
          </cell>
        </row>
        <row r="231">
          <cell r="E231" t="str">
            <v>2050031_1</v>
          </cell>
          <cell r="F231" t="str">
            <v>1_10000,2_0,3_0</v>
          </cell>
          <cell r="G231" t="str">
            <v>40000_50550105_1_734,40000_50503055_1_1620,4000450_0_1_6450,4000450_0_1_6450,4000450_0_1_6450,30000_90002_3_10000,30000_90003_1_6600</v>
          </cell>
          <cell r="H231">
            <v>0</v>
          </cell>
          <cell r="I231" t="str">
            <v>30000_90004_1_10000,4000450_0_1_6450,4000450_0_1_6450,4000450_0_1_6450</v>
          </cell>
          <cell r="J231">
            <v>0</v>
          </cell>
        </row>
        <row r="232">
          <cell r="E232" t="str">
            <v>2050041_1</v>
          </cell>
          <cell r="F232" t="str">
            <v>1_10000,2_0,3_0</v>
          </cell>
          <cell r="G232" t="str">
            <v>40000_50550075_1_727,40000_50503065_1_1610,4000450_0_1_6475,4000450_0_1_6475,4000450_0_1_6475,30000_90002_3_10000,30000_90003_1_6600</v>
          </cell>
          <cell r="H232">
            <v>0</v>
          </cell>
          <cell r="I232" t="str">
            <v>30000_90004_1_10000,4000450_0_1_6475,4000450_0_1_6475,4000450_0_1_6475</v>
          </cell>
          <cell r="J232">
            <v>0</v>
          </cell>
        </row>
        <row r="233">
          <cell r="E233" t="str">
            <v>2050051_1</v>
          </cell>
          <cell r="F233" t="str">
            <v>1_10000,2_0,3_0</v>
          </cell>
          <cell r="G233" t="str">
            <v>40000_50550085_1_720,40000_50552066_1_1600,4000450_0_1_6500,4000450_0_1_6500,4000450_0_1_6500,30000_90002_3_10000,30000_90003_1_6600</v>
          </cell>
          <cell r="H233">
            <v>0</v>
          </cell>
          <cell r="I233" t="str">
            <v>30000_90004_1_10000,4000450_0_1_6500,4000450_0_1_6500,4000450_0_1_6500</v>
          </cell>
          <cell r="J233">
            <v>0</v>
          </cell>
        </row>
        <row r="234">
          <cell r="E234" t="str">
            <v>2050061_1</v>
          </cell>
          <cell r="F234" t="str">
            <v>1_10000,2_0,3_0</v>
          </cell>
          <cell r="G234" t="str">
            <v>40000_50550035_1_713,40000_50500035_1_1590,4000450_0_1_6525,4000450_0_1_6525,4000450_0_1_6525,30000_90002_3_10000,30000_90003_1_7700</v>
          </cell>
          <cell r="H234">
            <v>0</v>
          </cell>
          <cell r="I234" t="str">
            <v>30000_90004_1_10000,4000450_0_1_6525,4000450_0_1_6525,4000450_0_1_6525</v>
          </cell>
          <cell r="J234">
            <v>0</v>
          </cell>
        </row>
        <row r="235">
          <cell r="E235" t="str">
            <v>2050071_1,2050072_1</v>
          </cell>
          <cell r="F235" t="str">
            <v>1_0,2_10000,3_0</v>
          </cell>
          <cell r="G235" t="str">
            <v>40000_50550025_1_706,40000_50501065_1_1580,4000450_0_1_6550,4000450_0_1_6550,4000450_0_1_6550,30000_90002_3_10000,30000_90003_1_7700</v>
          </cell>
          <cell r="H235">
            <v>0</v>
          </cell>
          <cell r="I235" t="str">
            <v>30000_90004_1_10000,4000450_0_1_6550,4000450_0_1_6550,4000450_0_1_6550</v>
          </cell>
          <cell r="J235">
            <v>0</v>
          </cell>
        </row>
        <row r="236">
          <cell r="E236" t="str">
            <v>2050081_1</v>
          </cell>
          <cell r="F236" t="str">
            <v>1_10000,2_0,3_0</v>
          </cell>
          <cell r="G236" t="str">
            <v>40000_50550095_1_699,40000_50500015_1_1570,4000450_0_1_6575,4000450_0_1_6575,4000450_0_1_6575,30000_90002_3_10000,30000_90003_1_7700</v>
          </cell>
          <cell r="H236">
            <v>0</v>
          </cell>
          <cell r="I236" t="str">
            <v>30000_90004_1_10000,4000450_0_1_6575,4000450_0_1_6575,4000450_0_1_6575</v>
          </cell>
          <cell r="J236">
            <v>0</v>
          </cell>
        </row>
        <row r="237">
          <cell r="E237" t="str">
            <v>2050091_1</v>
          </cell>
          <cell r="F237" t="str">
            <v>1_10000,2_0,3_0</v>
          </cell>
          <cell r="G237" t="str">
            <v>40000_50552055_1_692,40000_50502055_1_1560,4000450_0_1_6600,4000450_0_1_6600,4000450_0_1_6600,30000_90002_3_10000,30000_90003_1_8800</v>
          </cell>
          <cell r="H237">
            <v>0</v>
          </cell>
          <cell r="I237" t="str">
            <v>30000_90004_1_10000,4000450_0_1_6600,4000450_0_1_6600,4000450_0_1_6600</v>
          </cell>
          <cell r="J237">
            <v>0</v>
          </cell>
        </row>
        <row r="238">
          <cell r="E238" t="str">
            <v>2055011_1</v>
          </cell>
          <cell r="F238" t="str">
            <v>1_10000,2_0,3_0</v>
          </cell>
          <cell r="G238" t="str">
            <v>40000_50600025_1_685,40000_50550035_1_1550,4000455_0_1_6625,4000455_0_1_6625,4000455_0_1_6625,30000_90002_3_10000,30000_90003_1_6600</v>
          </cell>
          <cell r="H238">
            <v>0</v>
          </cell>
          <cell r="I238" t="str">
            <v>30000_90004_1_10000,4000455_0_1_6625,4000455_0_1_6625,4000455_0_1_6625</v>
          </cell>
          <cell r="J238">
            <v>0</v>
          </cell>
        </row>
        <row r="239">
          <cell r="E239" t="str">
            <v>2055021_1</v>
          </cell>
          <cell r="F239" t="str">
            <v>1_10000,2_0,3_0</v>
          </cell>
          <cell r="G239" t="str">
            <v>40000_50600105_1_678,40000_50553055_1_1540,4000455_0_1_6650,4000455_0_1_6650,4000455_0_1_6650,30000_90002_3_10000,30000_90003_1_6600</v>
          </cell>
          <cell r="H239">
            <v>0</v>
          </cell>
          <cell r="I239" t="str">
            <v>30000_90004_1_10000,4000455_0_1_6650,4000455_0_1_6650,4000455_0_1_6650</v>
          </cell>
          <cell r="J239">
            <v>0</v>
          </cell>
        </row>
        <row r="240">
          <cell r="E240" t="str">
            <v>2055031_1</v>
          </cell>
          <cell r="F240" t="str">
            <v>1_10000,2_0,3_0</v>
          </cell>
          <cell r="G240" t="str">
            <v>40000_50600045_1_671,40000_50602065_1_1530,4000455_0_1_6675,4000455_0_1_6675,4000455_0_1_6675,30000_90002_3_10000,30000_90003_1_7700</v>
          </cell>
          <cell r="H240">
            <v>0</v>
          </cell>
          <cell r="I240" t="str">
            <v>30000_90004_1_10000,4000455_0_1_6675,4000455_0_1_6675,4000455_0_1_6675</v>
          </cell>
          <cell r="J240">
            <v>0</v>
          </cell>
        </row>
        <row r="241">
          <cell r="E241" t="str">
            <v>2055041_1</v>
          </cell>
          <cell r="F241" t="str">
            <v>1_10000,2_0,3_0</v>
          </cell>
          <cell r="G241" t="str">
            <v>40000_50600035_1_664,40000_50553065_1_1520,4000455_0_1_6700,4000455_0_1_6700,4000455_0_1_6700,30000_90002_3_10000,30000_90003_1_7700</v>
          </cell>
          <cell r="H241">
            <v>0</v>
          </cell>
          <cell r="I241" t="str">
            <v>30000_90004_1_10000,4000455_0_1_6700,4000455_0_1_6700,4000455_0_1_6700</v>
          </cell>
          <cell r="J241">
            <v>0</v>
          </cell>
        </row>
        <row r="242">
          <cell r="E242" t="str">
            <v>2055051_1</v>
          </cell>
          <cell r="F242" t="str">
            <v>1_10000,2_0,3_0</v>
          </cell>
          <cell r="G242" t="str">
            <v>40000_50600095_1_657,40000_50551055_1_1510,4000455_0_1_6725,4000455_0_1_6725,4000455_0_1_6725,30000_90002_3_10000,30000_90003_1_7700</v>
          </cell>
          <cell r="H242">
            <v>0</v>
          </cell>
          <cell r="I242" t="str">
            <v>30000_90004_1_10000,4000455_0_1_6725,4000455_0_1_6725,4000455_0_1_6725</v>
          </cell>
          <cell r="J242">
            <v>0</v>
          </cell>
        </row>
        <row r="243">
          <cell r="E243" t="str">
            <v>2055061_1</v>
          </cell>
          <cell r="F243" t="str">
            <v>1_10000,2_0,3_0</v>
          </cell>
          <cell r="G243" t="str">
            <v>40000_50600075_1_650,40000_50550015_1_1500,4000455_0_1_6750,4000455_0_1_6750,4000455_0_1_6750,30000_90002_3_10000,30000_90003_1_8800</v>
          </cell>
          <cell r="H243">
            <v>0</v>
          </cell>
          <cell r="I243" t="str">
            <v>30000_90004_1_10000,4000455_0_1_6750,4000455_0_1_6750,4000455_0_1_6750</v>
          </cell>
          <cell r="J243">
            <v>0</v>
          </cell>
        </row>
        <row r="244">
          <cell r="E244" t="str">
            <v>2055071_1,2055072_1</v>
          </cell>
          <cell r="F244" t="str">
            <v>1_0,2_10000,3_0</v>
          </cell>
          <cell r="G244" t="str">
            <v>40000_50600015_1_643,40000_50552055_1_1490,4000455_0_1_6775,4000455_0_1_6775,4000455_0_1_6775,30000_90002_3_10000,30000_90003_1_8800</v>
          </cell>
          <cell r="H244">
            <v>0</v>
          </cell>
          <cell r="I244" t="str">
            <v>30000_90004_1_10000,4000455_0_1_6775,4000455_0_1_6775,4000455_0_1_6775</v>
          </cell>
          <cell r="J244">
            <v>0</v>
          </cell>
        </row>
        <row r="245">
          <cell r="E245" t="str">
            <v>2055081_1</v>
          </cell>
          <cell r="F245" t="str">
            <v>1_10000,2_0,3_0</v>
          </cell>
          <cell r="G245" t="str">
            <v>40000_50600085_1_636,40000_50551065_1_1480,4000455_0_1_6800,4000455_0_1_6800,4000455_0_1_6800,30000_90002_3_10000,30000_90003_1_8800</v>
          </cell>
          <cell r="H245">
            <v>0</v>
          </cell>
          <cell r="I245" t="str">
            <v>30000_90004_1_10000,4000455_0_1_6800,4000455_0_1_6800,4000455_0_1_6800</v>
          </cell>
          <cell r="J245">
            <v>0</v>
          </cell>
        </row>
        <row r="246">
          <cell r="E246" t="str">
            <v>2055091_1</v>
          </cell>
          <cell r="F246" t="str">
            <v>1_10000,2_0,3_0</v>
          </cell>
          <cell r="G246" t="str">
            <v>40000_50602055_1_629,40000_50552065_1_1470,4000455_0_1_6825,4000455_0_1_6825,4000455_0_1_6825,30000_90002_3_10000,30000_90003_1_9900</v>
          </cell>
          <cell r="H246">
            <v>0</v>
          </cell>
          <cell r="I246" t="str">
            <v>30000_90004_1_10000,4000455_0_1_6825,4000455_0_1_6825,4000455_0_1_6825</v>
          </cell>
          <cell r="J246">
            <v>0</v>
          </cell>
        </row>
        <row r="247">
          <cell r="E247" t="str">
            <v>2060011_1</v>
          </cell>
          <cell r="F247" t="str">
            <v>1_10000,2_0,3_0</v>
          </cell>
          <cell r="G247" t="str">
            <v>40000_50650035_1_622,40000_50603055_1_1460,4000460_0_1_6850,4000460_0_1_6850,4000460_0_1_6850,30000_90003_1_10000,30000_90004_1_1250</v>
          </cell>
          <cell r="H247">
            <v>0</v>
          </cell>
          <cell r="I247" t="str">
            <v>30000_90005_1_10000,4000460_0_1_6850,4000460_0_1_6850,4000460_0_1_6850</v>
          </cell>
          <cell r="J247">
            <v>0</v>
          </cell>
        </row>
        <row r="248">
          <cell r="E248" t="str">
            <v>2060021_1</v>
          </cell>
          <cell r="F248" t="str">
            <v>1_10000,2_0,3_0</v>
          </cell>
          <cell r="G248" t="str">
            <v>40000_50650025_1_615,40000_50602065_1_1450,4000460_0_1_6875,4000460_0_1_6875,4000460_0_1_6875,30000_90003_1_10000,30000_90004_1_1250</v>
          </cell>
          <cell r="H248">
            <v>0</v>
          </cell>
          <cell r="I248" t="str">
            <v>30000_90005_1_10000,4000460_0_1_6875,4000460_0_1_6875,4000460_0_1_6875</v>
          </cell>
          <cell r="J248">
            <v>0</v>
          </cell>
        </row>
        <row r="249">
          <cell r="E249" t="str">
            <v>2060031_1</v>
          </cell>
          <cell r="F249" t="str">
            <v>1_10000,2_0,3_0</v>
          </cell>
          <cell r="G249" t="str">
            <v>40000_50650085_1_608,40000_50601055_1_1440,4000460_0_1_6900,4000460_0_1_6900,4000460_0_1_6900,30000_90003_1_10000,30000_90004_1_2500</v>
          </cell>
          <cell r="H249">
            <v>0</v>
          </cell>
          <cell r="I249" t="str">
            <v>30000_90005_1_10000,4000460_0_1_6900,4000460_0_1_6900,4000460_0_1_6900</v>
          </cell>
          <cell r="J249">
            <v>0</v>
          </cell>
        </row>
        <row r="250">
          <cell r="E250" t="str">
            <v>2060041_1,2060042_1,2060043_1</v>
          </cell>
          <cell r="F250" t="str">
            <v>1_0,2_0,3_10000</v>
          </cell>
          <cell r="G250" t="str">
            <v>40000_50650105_1_601,40000_50600015_1_1430,4000460_0_1_6925,4000460_0_1_6925,4000460_0_1_6925,30000_90003_1_10000,30000_90004_1_2500</v>
          </cell>
          <cell r="H250">
            <v>0</v>
          </cell>
          <cell r="I250" t="str">
            <v>30000_90005_1_10000,4000460_0_1_6925,4000460_0_1_6925,4000460_0_1_6925</v>
          </cell>
          <cell r="J250">
            <v>0</v>
          </cell>
        </row>
        <row r="251">
          <cell r="E251" t="str">
            <v>2060051_1</v>
          </cell>
          <cell r="F251" t="str">
            <v>1_10000,2_0,3_0</v>
          </cell>
          <cell r="G251" t="str">
            <v>40000_50650045_1_594,40000_50602055_1_1420,4000460_0_1_6950,4000460_0_1_6950,4000460_0_1_6950,30000_90003_1_10000,30000_90004_1_2500</v>
          </cell>
          <cell r="H251">
            <v>0</v>
          </cell>
          <cell r="I251" t="str">
            <v>30000_90005_1_10000,4000460_0_1_6950,4000460_0_1_6950,4000460_0_1_6950</v>
          </cell>
          <cell r="J251">
            <v>0</v>
          </cell>
        </row>
        <row r="252">
          <cell r="E252" t="str">
            <v>2060061_1</v>
          </cell>
          <cell r="F252" t="str">
            <v>1_10000,2_0,3_0</v>
          </cell>
          <cell r="G252" t="str">
            <v>40000_50650095_1_587,40000_50601065_1_1410,4000460_0_1_6975,4000460_0_1_6975,4000460_0_1_6975,30000_90003_1_10000,30000_90004_1_3750</v>
          </cell>
          <cell r="H252">
            <v>0</v>
          </cell>
          <cell r="I252" t="str">
            <v>30000_90005_1_10000,4000460_0_1_6975,4000460_0_1_6975,4000460_0_1_6975</v>
          </cell>
          <cell r="J252">
            <v>0</v>
          </cell>
        </row>
        <row r="253">
          <cell r="E253" t="str">
            <v>2060071_1</v>
          </cell>
          <cell r="F253" t="str">
            <v>1_10000,2_0,3_0</v>
          </cell>
          <cell r="G253" t="str">
            <v>40000_50650015_1_580,40000_50603065_1_1400,4000460_0_1_7000,4000460_0_1_7000,4000460_0_1_7000,30000_90003_1_10000,30000_90004_1_3750</v>
          </cell>
          <cell r="H253">
            <v>0</v>
          </cell>
          <cell r="I253" t="str">
            <v>30000_90005_1_10000,4000460_0_1_7000,4000460_0_1_7000,4000460_0_1_7000</v>
          </cell>
          <cell r="J253">
            <v>0</v>
          </cell>
        </row>
        <row r="254">
          <cell r="E254" t="str">
            <v>2060081_1</v>
          </cell>
          <cell r="F254" t="str">
            <v>1_10000,2_0,3_0</v>
          </cell>
          <cell r="G254" t="str">
            <v>40000_50650075_1_573,40000_50652065_1_1390,4000460_0_1_7025,4000460_0_1_7025,4000460_0_1_7025,30000_90003_1_10000,30000_90004_1_3750</v>
          </cell>
          <cell r="H254">
            <v>0</v>
          </cell>
          <cell r="I254" t="str">
            <v>30000_90005_1_10000,4000460_0_1_7025,4000460_0_1_7025,4000460_0_1_7025</v>
          </cell>
          <cell r="J254">
            <v>0</v>
          </cell>
        </row>
        <row r="255">
          <cell r="E255" t="str">
            <v>2060091_1</v>
          </cell>
          <cell r="F255" t="str">
            <v>1_10000,2_0,3_0</v>
          </cell>
          <cell r="G255" t="str">
            <v>40000_50652055_1_566,40000_50600035_1_1380,4000460_0_1_7050,4000460_0_1_7050,4000460_0_1_7050,30000_90003_1_10000,30000_90004_1_5000</v>
          </cell>
          <cell r="H255">
            <v>0</v>
          </cell>
          <cell r="I255" t="str">
            <v>30000_90005_1_10000,4000460_0_1_7050,4000460_0_1_7050,4000460_0_1_7050</v>
          </cell>
          <cell r="J255">
            <v>0</v>
          </cell>
        </row>
        <row r="256">
          <cell r="E256" t="str">
            <v>2065011_1</v>
          </cell>
          <cell r="F256" t="str">
            <v>1_10000,2_0,3_0</v>
          </cell>
          <cell r="G256" t="str">
            <v>40000_50700105_1_559,40000_50650015_1_1370,4000465_0_1_7075,4000465_0_1_7075,4000465_0_1_7075,30000_90003_1_10000,30000_90004_1_2500</v>
          </cell>
          <cell r="H256">
            <v>0</v>
          </cell>
          <cell r="I256" t="str">
            <v>30000_90005_1_10000,4000465_0_1_7075,4000465_0_1_7075,4000465_0_1_7075</v>
          </cell>
          <cell r="J256">
            <v>0</v>
          </cell>
        </row>
        <row r="257">
          <cell r="E257" t="str">
            <v>2065021_1</v>
          </cell>
          <cell r="F257" t="str">
            <v>1_10000,2_0,3_0</v>
          </cell>
          <cell r="G257" t="str">
            <v>40000_50700095_1_552,40000_50651065_1_1360,4000465_0_1_7100,4000465_0_1_7100,4000465_0_1_7100,30000_90003_1_10000,30000_90004_1_2500</v>
          </cell>
          <cell r="H257">
            <v>0</v>
          </cell>
          <cell r="I257" t="str">
            <v>30000_90005_1_10000,4000465_0_1_7100,4000465_0_1_7100,4000465_0_1_7100</v>
          </cell>
          <cell r="J257">
            <v>0</v>
          </cell>
        </row>
        <row r="258">
          <cell r="E258" t="str">
            <v>2065031_1</v>
          </cell>
          <cell r="F258" t="str">
            <v>1_10000,2_0,3_0</v>
          </cell>
          <cell r="G258" t="str">
            <v>40000_50700075_1_545,40000_50702065_1_1350,4000465_0_1_7125,4000465_0_1_7125,4000465_0_1_7125,30000_90003_1_10000,30000_90004_1_3750</v>
          </cell>
          <cell r="H258">
            <v>0</v>
          </cell>
          <cell r="I258" t="str">
            <v>30000_90005_1_10000,4000465_0_1_7125,4000465_0_1_7125,4000465_0_1_7125</v>
          </cell>
          <cell r="J258">
            <v>0</v>
          </cell>
        </row>
        <row r="259">
          <cell r="E259" t="str">
            <v>2065041_1,2065042_1,2065043_1</v>
          </cell>
          <cell r="F259" t="str">
            <v>1_0,2_0,3_10000</v>
          </cell>
          <cell r="G259" t="str">
            <v>40000_50700085_1_538,40000_50653065_1_1340,4000465_0_1_7150,4000465_0_1_7150,4000465_0_1_7150,30000_90003_1_10000,30000_90004_1_3750</v>
          </cell>
          <cell r="H259">
            <v>0</v>
          </cell>
          <cell r="I259" t="str">
            <v>30000_90005_1_10000,4000465_0_1_7150,4000465_0_1_7150,4000465_0_1_7150</v>
          </cell>
          <cell r="J259">
            <v>0</v>
          </cell>
        </row>
        <row r="260">
          <cell r="E260" t="str">
            <v>2065051_1</v>
          </cell>
          <cell r="F260" t="str">
            <v>1_10000,2_0,3_0</v>
          </cell>
          <cell r="G260" t="str">
            <v>40000_50700045_1_531,40000_50653055_1_1330,4000465_0_1_7175,4000465_0_1_7175,4000465_0_1_7175,30000_90003_1_10000,30000_90004_1_3750</v>
          </cell>
          <cell r="H260">
            <v>0</v>
          </cell>
          <cell r="I260" t="str">
            <v>30000_90005_1_10000,4000465_0_1_7175,4000465_0_1_7175,4000465_0_1_7175</v>
          </cell>
          <cell r="J260">
            <v>0</v>
          </cell>
        </row>
        <row r="261">
          <cell r="E261" t="str">
            <v>2065061_1</v>
          </cell>
          <cell r="F261" t="str">
            <v>1_10000,2_0,3_0</v>
          </cell>
          <cell r="G261" t="str">
            <v>40000_50700015_1_524,40000_50652065_1_1320,4000465_0_1_7200,4000465_0_1_7200,4000465_0_1_7200,30000_90003_1_10000,30000_90004_1_5000</v>
          </cell>
          <cell r="H261">
            <v>0</v>
          </cell>
          <cell r="I261" t="str">
            <v>30000_90005_1_10000,4000465_0_1_7200,4000465_0_1_7200,4000465_0_1_7200</v>
          </cell>
          <cell r="J261">
            <v>0</v>
          </cell>
        </row>
        <row r="262">
          <cell r="E262" t="str">
            <v>2065071_1</v>
          </cell>
          <cell r="F262" t="str">
            <v>1_10000,2_0,3_0</v>
          </cell>
          <cell r="G262" t="str">
            <v>40000_50700025_1_517,40000_50652055_1_1310,4000465_0_1_7225,4000465_0_1_7225,4000465_0_1_7225,30000_90003_1_10000,30000_90004_1_5000</v>
          </cell>
          <cell r="H262">
            <v>0</v>
          </cell>
          <cell r="I262" t="str">
            <v>30000_90005_1_10000,4000465_0_1_7225,4000465_0_1_7225,4000465_0_1_7225</v>
          </cell>
          <cell r="J262">
            <v>0</v>
          </cell>
        </row>
        <row r="263">
          <cell r="E263" t="str">
            <v>2065081_1</v>
          </cell>
          <cell r="F263" t="str">
            <v>1_10000,2_0,3_0</v>
          </cell>
          <cell r="G263" t="str">
            <v>40000_50700035_1_510,40000_50650035_1_1300,4000465_0_1_7250,4000465_0_1_7250,4000465_0_1_7250,30000_90003_1_10000,30000_90004_1_5000</v>
          </cell>
          <cell r="H263">
            <v>0</v>
          </cell>
          <cell r="I263" t="str">
            <v>30000_90005_1_10000,4000465_0_1_7250,4000465_0_1_7250,4000465_0_1_7250</v>
          </cell>
          <cell r="J263">
            <v>0</v>
          </cell>
        </row>
        <row r="264">
          <cell r="E264" t="str">
            <v>2065091_1</v>
          </cell>
          <cell r="F264" t="str">
            <v>1_10000,2_0,3_0</v>
          </cell>
          <cell r="G264" t="str">
            <v>40000_50702055_1_503,40000_50651055_1_1290,4000465_0_1_7275,4000465_0_1_7275,4000465_0_1_7275,30000_90003_1_10000,30000_90004_1_6250</v>
          </cell>
          <cell r="H264">
            <v>0</v>
          </cell>
          <cell r="I264" t="str">
            <v>30000_90005_1_10000,4000465_0_1_7275,4000465_0_1_7275,4000465_0_1_7275</v>
          </cell>
          <cell r="J264">
            <v>0</v>
          </cell>
        </row>
        <row r="265">
          <cell r="E265" t="str">
            <v>2070011_1</v>
          </cell>
          <cell r="F265" t="str">
            <v>1_10000,2_0,3_0</v>
          </cell>
          <cell r="G265" t="str">
            <v>40000_50750045_1_496,40000_50700015_1_1280,4000470_0_1_7300,4000470_0_1_7300,4000470_0_1_7300,30000_90003_1_10000,30000_90004_1_3750</v>
          </cell>
          <cell r="H265">
            <v>0</v>
          </cell>
          <cell r="I265" t="str">
            <v>30000_90005_1_10000,4000470_0_1_7300,4000470_0_1_7300,4000470_0_1_7300</v>
          </cell>
          <cell r="J265">
            <v>0</v>
          </cell>
        </row>
        <row r="266">
          <cell r="E266" t="str">
            <v>2070021_1</v>
          </cell>
          <cell r="F266" t="str">
            <v>1_10000,2_0,3_0</v>
          </cell>
          <cell r="G266" t="str">
            <v>40000_50750025_1_489,40000_50701065_1_1270,4000470_0_1_7325,4000470_0_1_7325,4000470_0_1_7325,30000_90003_1_10000,30000_90004_1_3750</v>
          </cell>
          <cell r="H266">
            <v>0</v>
          </cell>
          <cell r="I266" t="str">
            <v>30000_90005_1_10000,4000470_0_1_7325,4000470_0_1_7325,4000470_0_1_7325</v>
          </cell>
          <cell r="J266">
            <v>0</v>
          </cell>
        </row>
        <row r="267">
          <cell r="E267" t="str">
            <v>2070031_1</v>
          </cell>
          <cell r="F267" t="str">
            <v>1_10000,2_0,3_0</v>
          </cell>
          <cell r="G267" t="str">
            <v>40000_50750095_1_482,40000_50702055_1_1260,4000470_0_1_7350,4000470_0_1_7350,4000470_0_1_7350,30000_90003_1_10000,30000_90004_1_5000</v>
          </cell>
          <cell r="H267">
            <v>0</v>
          </cell>
          <cell r="I267" t="str">
            <v>30000_90005_1_10000,4000470_0_1_7350,4000470_0_1_7350,4000470_0_1_7350</v>
          </cell>
          <cell r="J267">
            <v>0</v>
          </cell>
        </row>
        <row r="268">
          <cell r="E268" t="str">
            <v>2070041_1,2070042_1,2070043_1</v>
          </cell>
          <cell r="F268" t="str">
            <v>1_0,2_0,3_10000</v>
          </cell>
          <cell r="G268" t="str">
            <v>40000_50750035_1_475,40000_50752066_1_1250,4000470_0_1_7375,4000470_0_1_7375,4000470_0_1_7375,30000_90003_1_10000,30000_90004_1_5000</v>
          </cell>
          <cell r="H268">
            <v>0</v>
          </cell>
          <cell r="I268" t="str">
            <v>30000_90005_1_10000,4000470_0_1_7375,4000470_0_1_7375,4000470_0_1_7375</v>
          </cell>
          <cell r="J268">
            <v>0</v>
          </cell>
        </row>
        <row r="269">
          <cell r="E269" t="str">
            <v>2070051_1</v>
          </cell>
          <cell r="F269" t="str">
            <v>1_10000,2_0,3_0</v>
          </cell>
          <cell r="G269" t="str">
            <v>40000_50750085_1_468,40000_50703065_1_1240,4000470_0_1_7400,4000470_0_1_7400,4000470_0_1_7400,30000_90003_1_10000,30000_90004_1_5000</v>
          </cell>
          <cell r="H269">
            <v>0</v>
          </cell>
          <cell r="I269" t="str">
            <v>30000_90005_1_10000,4000470_0_1_7400,4000470_0_1_7400,4000470_0_1_7400</v>
          </cell>
          <cell r="J269">
            <v>0</v>
          </cell>
        </row>
        <row r="270">
          <cell r="E270" t="str">
            <v>2070061_1</v>
          </cell>
          <cell r="F270" t="str">
            <v>1_10000,2_0,3_0</v>
          </cell>
          <cell r="G270" t="str">
            <v>40000_50750105_1_461,40000_50702065_1_1230,4000470_0_1_7425,4000470_0_1_7425,4000470_0_1_7425,30000_90003_1_10000,30000_90004_1_6250</v>
          </cell>
          <cell r="H270">
            <v>0</v>
          </cell>
          <cell r="I270" t="str">
            <v>30000_90005_1_10000,4000470_0_1_7425,4000470_0_1_7425,4000470_0_1_7425</v>
          </cell>
          <cell r="J270">
            <v>0</v>
          </cell>
        </row>
        <row r="271">
          <cell r="E271" t="str">
            <v>2070071_1</v>
          </cell>
          <cell r="F271" t="str">
            <v>1_10000,2_0,3_0</v>
          </cell>
          <cell r="G271" t="str">
            <v>40000_50750015_1_454,40000_50700035_1_1220,4000470_0_1_7450,4000470_0_1_7450,4000470_0_1_7450,30000_90003_1_10000,30000_90004_1_6250</v>
          </cell>
          <cell r="H271">
            <v>0</v>
          </cell>
          <cell r="I271" t="str">
            <v>30000_90005_1_10000,4000470_0_1_7450,4000470_0_1_7450,4000470_0_1_7450</v>
          </cell>
          <cell r="J271">
            <v>0</v>
          </cell>
        </row>
        <row r="272">
          <cell r="E272" t="str">
            <v>2070081_1</v>
          </cell>
          <cell r="F272" t="str">
            <v>1_10000,2_0,3_0</v>
          </cell>
          <cell r="G272" t="str">
            <v>40000_50750035_1_447,40000_50703055_1_1210,4000470_0_1_7475,4000470_0_1_7475,4000470_0_1_7475,30000_90003_1_10000,30000_90004_1_6250</v>
          </cell>
          <cell r="H272">
            <v>0</v>
          </cell>
          <cell r="I272" t="str">
            <v>30000_90005_1_10000,4000470_0_1_7475,4000470_0_1_7475,4000470_0_1_7475</v>
          </cell>
          <cell r="J272">
            <v>0</v>
          </cell>
        </row>
        <row r="273">
          <cell r="E273" t="str">
            <v>2070091_1</v>
          </cell>
          <cell r="F273" t="str">
            <v>1_10000,2_0,3_0</v>
          </cell>
          <cell r="G273" t="str">
            <v>40000_50752056_1_440,40000_50701055_1_1200,4000470_0_1_7500,4000470_0_1_7500,4000470_0_1_7500,30000_90003_1_10000,30000_90004_1_7500</v>
          </cell>
          <cell r="H273">
            <v>0</v>
          </cell>
          <cell r="I273" t="str">
            <v>30000_90005_1_10000,4000470_0_1_7500,4000470_0_1_7500,4000470_0_1_7500</v>
          </cell>
          <cell r="J273">
            <v>0</v>
          </cell>
        </row>
        <row r="274">
          <cell r="E274" t="str">
            <v>2075011_1</v>
          </cell>
          <cell r="F274" t="str">
            <v>1_10000,2_0,3_0</v>
          </cell>
          <cell r="G274" t="str">
            <v>40000_50800105_1_433,40000_50752055_1_1190,4004074_0_1_7525,4004074_0_1_7525,4004074_0_1_7525,30000_90003_1_10000,30000_90004_1_5000</v>
          </cell>
          <cell r="H274">
            <v>0</v>
          </cell>
          <cell r="I274" t="str">
            <v>30000_90005_1_10000,4004074_0_1_7525,4004074_0_1_7525,4004074_0_1_7525</v>
          </cell>
          <cell r="J274">
            <v>0</v>
          </cell>
        </row>
        <row r="275">
          <cell r="E275" t="str">
            <v>2075021_1</v>
          </cell>
          <cell r="F275" t="str">
            <v>1_10000,2_0,3_0</v>
          </cell>
          <cell r="G275" t="str">
            <v>40000_50800085_1_426,40000_50802066_1_1180,4004074_0_1_7550,4004074_0_1_7550,4004074_0_1_7550,30000_90003_1_10000,30000_90004_1_5000</v>
          </cell>
          <cell r="H275">
            <v>0</v>
          </cell>
          <cell r="I275" t="str">
            <v>30000_90005_1_10000,4004074_0_1_7550,4004074_0_1_7550,4004074_0_1_7550</v>
          </cell>
          <cell r="J275">
            <v>0</v>
          </cell>
        </row>
        <row r="276">
          <cell r="E276" t="str">
            <v>2075031_1</v>
          </cell>
          <cell r="F276" t="str">
            <v>1_10000,2_0,3_0</v>
          </cell>
          <cell r="G276" t="str">
            <v>40000_50800095_1_419,40000_50751065_1_1170,4004074_0_1_7575,4004074_0_1_7575,4004074_0_1_7575,30000_90003_1_10000,30000_90004_1_6250</v>
          </cell>
          <cell r="H276">
            <v>0</v>
          </cell>
          <cell r="I276" t="str">
            <v>30000_90005_1_10000,4004074_0_1_7575,4004074_0_1_7575,4004074_0_1_7575</v>
          </cell>
          <cell r="J276">
            <v>0</v>
          </cell>
        </row>
        <row r="277">
          <cell r="E277" t="str">
            <v>2075041_1,2075042_1,2075043_1</v>
          </cell>
          <cell r="F277" t="str">
            <v>1_0,2_0,3_10000</v>
          </cell>
          <cell r="G277" t="str">
            <v>40000_50800075_1_412,40000_50750035_1_1160,4004074_0_1_7600,4004074_0_1_7600,4004074_0_1_7600,30000_90003_1_10000,30000_90004_1_6250</v>
          </cell>
          <cell r="H277">
            <v>0</v>
          </cell>
          <cell r="I277" t="str">
            <v>30000_90005_1_10000,4004074_0_1_7600,4004074_0_1_7600,4004074_0_1_7600</v>
          </cell>
          <cell r="J277">
            <v>0</v>
          </cell>
        </row>
        <row r="278">
          <cell r="E278" t="str">
            <v>2075051_1</v>
          </cell>
          <cell r="F278" t="str">
            <v>1_10000,2_0,3_0</v>
          </cell>
          <cell r="G278" t="str">
            <v>40000_50800025_1_405,40000_50753065_1_1150,4004074_0_1_7625,4004074_0_1_7625,4004074_0_1_7625,30000_90003_1_10000,30000_90004_1_6250</v>
          </cell>
          <cell r="H278">
            <v>0</v>
          </cell>
          <cell r="I278" t="str">
            <v>30000_90005_1_10000,4004074_0_1_7625,4004074_0_1_7625,4004074_0_1_7625</v>
          </cell>
          <cell r="J278">
            <v>0</v>
          </cell>
        </row>
        <row r="279">
          <cell r="E279" t="str">
            <v>2075061_1</v>
          </cell>
          <cell r="F279" t="str">
            <v>1_10000,2_0,3_0</v>
          </cell>
          <cell r="G279" t="str">
            <v>40000_50800045_1_398,40000_50752065_1_1140,4004074_0_1_7650,4004074_0_1_7650,4004074_0_1_7650,30000_90003_1_10000,30000_90004_1_7500</v>
          </cell>
          <cell r="H279">
            <v>0</v>
          </cell>
          <cell r="I279" t="str">
            <v>30000_90005_1_10000,4004074_0_1_7650,4004074_0_1_7650,4004074_0_1_7650</v>
          </cell>
          <cell r="J279">
            <v>0</v>
          </cell>
        </row>
        <row r="280">
          <cell r="E280" t="str">
            <v>2075071_1</v>
          </cell>
          <cell r="F280" t="str">
            <v>1_10000,2_0,3_0</v>
          </cell>
          <cell r="G280" t="str">
            <v>40000_50800035_1_391,40000_50753055_1_1130,4004074_0_1_7675,4004074_0_1_7675,4004074_0_1_7675,30000_90003_1_10000,30000_90004_1_7500</v>
          </cell>
          <cell r="H280">
            <v>0</v>
          </cell>
          <cell r="I280" t="str">
            <v>30000_90005_1_10000,4004074_0_1_7675,4004074_0_1_7675,4004074_0_1_7675</v>
          </cell>
          <cell r="J280">
            <v>0</v>
          </cell>
        </row>
        <row r="281">
          <cell r="E281" t="str">
            <v>2075081_1</v>
          </cell>
          <cell r="F281" t="str">
            <v>1_10000,2_0,3_0</v>
          </cell>
          <cell r="G281" t="str">
            <v>40000_50800015_1_384,40000_50751055_1_1120,4004074_0_1_7700,4004074_0_1_7700,4004074_0_1_7700,30000_90003_1_10000,30000_90004_1_7500</v>
          </cell>
          <cell r="H281">
            <v>0</v>
          </cell>
          <cell r="I281" t="str">
            <v>30000_90005_1_10000,4004074_0_1_7700,4004074_0_1_7700,4004074_0_1_7700</v>
          </cell>
          <cell r="J281">
            <v>0</v>
          </cell>
        </row>
        <row r="282">
          <cell r="E282" t="str">
            <v>2075091_1</v>
          </cell>
          <cell r="F282" t="str">
            <v>1_10000,2_0,3_0</v>
          </cell>
          <cell r="G282" t="str">
            <v>40000_50802056_1_377,40000_50750015_1_1110,4004074_0_1_7725,4004074_0_1_7725,4004074_0_1_7725,30000_90003_1_10000,30000_90004_1_8750</v>
          </cell>
          <cell r="H282">
            <v>0</v>
          </cell>
          <cell r="I282" t="str">
            <v>30000_90005_1_10000,4004074_0_1_7725,4004074_0_1_7725,4004074_0_1_7725</v>
          </cell>
          <cell r="J282">
            <v>0</v>
          </cell>
        </row>
        <row r="283">
          <cell r="E283" t="str">
            <v>2080011_1</v>
          </cell>
          <cell r="F283" t="str">
            <v>1_10000,2_0,3_0</v>
          </cell>
          <cell r="G283" t="str">
            <v>40000_50850105_1_370,40000_50802065_1_1100,4004078_0_1_7750,4004078_0_1_7750,4004078_0_1_7750,30000_90003_1_10000,30000_90004_1_6250</v>
          </cell>
          <cell r="H283">
            <v>0</v>
          </cell>
          <cell r="I283" t="str">
            <v>30000_90005_1_10000,4004078_0_1_7750,4004078_0_1_7750,4004078_0_1_7750</v>
          </cell>
          <cell r="J283">
            <v>0</v>
          </cell>
        </row>
        <row r="284">
          <cell r="E284" t="str">
            <v>2080021_1</v>
          </cell>
          <cell r="F284" t="str">
            <v>1_10000,2_0,3_0</v>
          </cell>
          <cell r="G284" t="str">
            <v>40000_50850085_1_363,40000_50802055_1_1090,4004078_0_1_7775,4004078_0_1_7775,4004078_0_1_7775,30000_90003_1_10000,30000_90004_1_6250</v>
          </cell>
          <cell r="H284">
            <v>0</v>
          </cell>
          <cell r="I284" t="str">
            <v>30000_90005_1_10000,4004078_0_1_7775,4004078_0_1_7775,4004078_0_1_7775</v>
          </cell>
          <cell r="J284">
            <v>0</v>
          </cell>
        </row>
        <row r="285">
          <cell r="E285" t="str">
            <v>2080031_1</v>
          </cell>
          <cell r="F285" t="str">
            <v>1_10000,2_0,3_0</v>
          </cell>
          <cell r="G285" t="str">
            <v>40000_50850045_1_356,40000_50800015_1_1080,4004078_0_1_7800,4004078_0_1_7800,4004078_0_1_7800,30000_90003_1_10000,30000_90004_1_7500</v>
          </cell>
          <cell r="H285">
            <v>0</v>
          </cell>
          <cell r="I285" t="str">
            <v>30000_90005_1_10000,4004078_0_1_7800,4004078_0_1_7800,4004078_0_1_7800</v>
          </cell>
          <cell r="J285">
            <v>0</v>
          </cell>
        </row>
        <row r="286">
          <cell r="E286" t="str">
            <v>2080041_1,2080042_1,2080043_1</v>
          </cell>
          <cell r="F286" t="str">
            <v>1_0,2_0,3_10000</v>
          </cell>
          <cell r="G286" t="str">
            <v>40000_50850025_1_349,40000_50801055_1_1070,4004078_0_1_7825,4004078_0_1_7825,4004078_0_1_7825,30000_90003_1_10000,30000_90004_1_7500</v>
          </cell>
          <cell r="H286">
            <v>0</v>
          </cell>
          <cell r="I286" t="str">
            <v>30000_90005_1_10000,4004078_0_1_7825,4004078_0_1_7825,4004078_0_1_7825</v>
          </cell>
          <cell r="J286">
            <v>0</v>
          </cell>
        </row>
        <row r="287">
          <cell r="E287" t="str">
            <v>2080051_1</v>
          </cell>
          <cell r="F287" t="str">
            <v>1_10000,2_0,3_0</v>
          </cell>
          <cell r="G287" t="str">
            <v>40000_50850075_1_342,40000_50801065_1_1060,4004078_0_1_7850,4004078_0_1_7850,4004078_0_1_7850,30000_90003_1_10000,30000_90004_1_7500</v>
          </cell>
          <cell r="H287">
            <v>0</v>
          </cell>
          <cell r="I287" t="str">
            <v>30000_90005_1_10000,4004078_0_1_7850,4004078_0_1_7850,4004078_0_1_7850</v>
          </cell>
          <cell r="J287">
            <v>0</v>
          </cell>
        </row>
        <row r="288">
          <cell r="E288" t="str">
            <v>2080061_1</v>
          </cell>
          <cell r="F288" t="str">
            <v>1_10000,2_0,3_0</v>
          </cell>
          <cell r="G288" t="str">
            <v>40000_50850095_1_335,40000_50803055_1_1050,4004078_0_1_7875,4004078_0_1_7875,4004078_0_1_7875,30000_90003_1_10000,30000_90004_1_8750</v>
          </cell>
          <cell r="H288">
            <v>0</v>
          </cell>
          <cell r="I288" t="str">
            <v>30000_90005_1_10000,4004078_0_1_7875,4004078_0_1_7875,4004078_0_1_7875</v>
          </cell>
          <cell r="J288">
            <v>0</v>
          </cell>
        </row>
        <row r="289">
          <cell r="E289" t="str">
            <v>2080071_1</v>
          </cell>
          <cell r="F289" t="str">
            <v>1_10000,2_0,3_0</v>
          </cell>
          <cell r="G289" t="str">
            <v>40000_50850015_1_328,40000_50803065_1_1040,4004078_0_1_7900,4004078_0_1_7900,4004078_0_1_7900,30000_90003_1_10000,30000_90004_1_8750</v>
          </cell>
          <cell r="H289">
            <v>0</v>
          </cell>
          <cell r="I289" t="str">
            <v>30000_90005_1_10000,4004078_0_1_7900,4004078_0_1_7900,4004078_0_1_7900</v>
          </cell>
          <cell r="J289">
            <v>0</v>
          </cell>
        </row>
        <row r="290">
          <cell r="E290" t="str">
            <v>2080081_1</v>
          </cell>
          <cell r="F290" t="str">
            <v>1_10000,2_0,3_0</v>
          </cell>
          <cell r="G290" t="str">
            <v>40000_50850035_1_321,40000_50800035_1_1030,4004078_0_1_7925,4004078_0_1_7925,4004078_0_1_7925,30000_90003_1_10000,30000_90004_1_8750</v>
          </cell>
          <cell r="H290">
            <v>0</v>
          </cell>
          <cell r="I290" t="str">
            <v>30000_90005_1_10000,4004078_0_1_7925,4004078_0_1_7925,4004078_0_1_7925</v>
          </cell>
          <cell r="J290">
            <v>0</v>
          </cell>
        </row>
        <row r="291">
          <cell r="E291" t="str">
            <v>2080091_1</v>
          </cell>
          <cell r="F291" t="str">
            <v>1_10000,2_0,3_0</v>
          </cell>
          <cell r="G291" t="str">
            <v>40000_50852056_1_314,40000_50852066_1_1020,4004078_0_1_7950,4004078_0_1_7950,4004078_0_1_7950,30000_90003_1_10000,30000_90004_1_10000</v>
          </cell>
          <cell r="H291">
            <v>0</v>
          </cell>
          <cell r="I291" t="str">
            <v>30000_90005_1_10000,4004078_0_1_7950,4004078_0_1_7950,4004078_0_1_7950</v>
          </cell>
          <cell r="J291">
            <v>0</v>
          </cell>
        </row>
        <row r="292">
          <cell r="E292" t="str">
            <v>2085011_1</v>
          </cell>
          <cell r="F292" t="str">
            <v>1_10000,2_0,3_0</v>
          </cell>
          <cell r="G292" t="str">
            <v>40000_50900105_1_307,40000_50852065_1_1010,4004082_0_1_7975,4004082_0_1_7975,4004082_0_1_7975,30000_90004_1_10000,30000_90005_1_1400</v>
          </cell>
          <cell r="H292">
            <v>0</v>
          </cell>
          <cell r="I292" t="str">
            <v>30000_90006_1_10000,4004082_0_1_7975,4004082_0_1_7975,4004082_0_1_7975</v>
          </cell>
          <cell r="J292">
            <v>0</v>
          </cell>
        </row>
        <row r="293">
          <cell r="E293" t="str">
            <v>2085021_1</v>
          </cell>
          <cell r="F293" t="str">
            <v>1_10000,2_0,3_0</v>
          </cell>
          <cell r="G293" t="str">
            <v>40000_50900025_1_300,40000_50853065_1_1000,4004082_0_1_8000,4004082_0_1_8000,4004082_0_1_8000,30000_90004_1_10000,30000_90005_1_1400</v>
          </cell>
          <cell r="H293">
            <v>0</v>
          </cell>
          <cell r="I293" t="str">
            <v>30000_90006_1_10000,4004082_0_1_8000,4004082_0_1_8000,4004082_0_1_8000</v>
          </cell>
          <cell r="J293">
            <v>0</v>
          </cell>
        </row>
        <row r="294">
          <cell r="E294" t="str">
            <v>2085031_1</v>
          </cell>
          <cell r="F294" t="str">
            <v>1_10000,2_0,3_0</v>
          </cell>
          <cell r="G294" t="str">
            <v>40000_50900045_1_293,40000_50851055_1_990,4004082_0_1_8025,4004082_0_1_8025,4004082_0_1_8025,30000_90004_1_10000,30000_90005_1_2800</v>
          </cell>
          <cell r="H294">
            <v>0</v>
          </cell>
          <cell r="I294" t="str">
            <v>30000_90006_1_10000,4004082_0_1_8025,4004082_0_1_8025,4004082_0_1_8025</v>
          </cell>
          <cell r="J294">
            <v>0</v>
          </cell>
        </row>
        <row r="295">
          <cell r="E295" t="str">
            <v>2085041_1</v>
          </cell>
          <cell r="F295" t="str">
            <v>1_10000,2_0,3_0</v>
          </cell>
          <cell r="G295" t="str">
            <v>40000_50900075_1_286,40000_50851065_1_980,4004082_0_1_8050,4004082_0_1_8050,4004082_0_1_8050,30000_90004_1_10000,30000_90005_1_2800</v>
          </cell>
          <cell r="H295">
            <v>0</v>
          </cell>
          <cell r="I295" t="str">
            <v>30000_90006_1_10000,4004082_0_1_8050,4004082_0_1_8050,4004082_0_1_8050</v>
          </cell>
          <cell r="J295">
            <v>0</v>
          </cell>
        </row>
        <row r="296">
          <cell r="E296" t="str">
            <v>2085051_1,2085052_1,2085053_1</v>
          </cell>
          <cell r="F296" t="str">
            <v>1_0,2_0,3_10000</v>
          </cell>
          <cell r="G296" t="str">
            <v>40000_50900085_1_279,40000_50850035_1_970,4004082_0_1_8075,4004082_0_1_8075,4004082_0_1_8075,30000_90004_1_10000,30000_90005_1_2800</v>
          </cell>
          <cell r="H296">
            <v>0</v>
          </cell>
          <cell r="I296" t="str">
            <v>30000_90006_1_10000,4004082_0_1_8075,4004082_0_1_8075,4004082_0_1_8075</v>
          </cell>
          <cell r="J296">
            <v>0</v>
          </cell>
        </row>
        <row r="297">
          <cell r="E297" t="str">
            <v>2085061_1</v>
          </cell>
          <cell r="F297" t="str">
            <v>1_10000,2_0,3_0</v>
          </cell>
          <cell r="G297" t="str">
            <v>40000_50900095_1_272,40000_50850015_1_960,4004082_0_1_8100,4004082_0_1_8100,4004082_0_1_8100,30000_90004_1_10000,30000_90005_1_4200</v>
          </cell>
          <cell r="H297">
            <v>0</v>
          </cell>
          <cell r="I297" t="str">
            <v>30000_90006_1_10000,4004082_0_1_8100,4004082_0_1_8100,4004082_0_1_8100</v>
          </cell>
          <cell r="J297">
            <v>0</v>
          </cell>
        </row>
        <row r="298">
          <cell r="E298" t="str">
            <v>2085071_1</v>
          </cell>
          <cell r="F298" t="str">
            <v>1_10000,2_0,3_0</v>
          </cell>
          <cell r="G298" t="str">
            <v>40000_50900015_1_265,40000_50853055_1_950,4004082_0_1_8125,4004082_0_1_8125,4004082_0_1_8125,30000_90004_1_10000,30000_90005_1_4200</v>
          </cell>
          <cell r="H298">
            <v>0</v>
          </cell>
          <cell r="I298" t="str">
            <v>30000_90006_1_10000,4004082_0_1_8125,4004082_0_1_8125,4004082_0_1_8125</v>
          </cell>
          <cell r="J298">
            <v>0</v>
          </cell>
        </row>
        <row r="299">
          <cell r="E299" t="str">
            <v>2085081_1</v>
          </cell>
          <cell r="F299" t="str">
            <v>1_10000,2_0,3_0</v>
          </cell>
          <cell r="G299" t="str">
            <v>40000_50900035_1_258,40000_50852055_1_940,4004082_0_1_8150,4004082_0_1_8150,4004082_0_1_8150,30000_90004_1_10000,30000_90005_1_4200</v>
          </cell>
          <cell r="H299">
            <v>0</v>
          </cell>
          <cell r="I299" t="str">
            <v>30000_90006_1_10000,4004082_0_1_8150,4004082_0_1_8150,4004082_0_1_8150</v>
          </cell>
          <cell r="J299">
            <v>0</v>
          </cell>
        </row>
        <row r="300">
          <cell r="E300" t="str">
            <v>2085091_1</v>
          </cell>
          <cell r="F300" t="str">
            <v>1_10000,2_0,3_0</v>
          </cell>
          <cell r="G300" t="str">
            <v>40000_50902055_1_251,40000_50902066_1_930,4004082_0_1_8175,4004082_0_1_8175,4004082_0_1_8175,30000_90004_1_10000,30000_90005_1_5600</v>
          </cell>
          <cell r="H300">
            <v>0</v>
          </cell>
          <cell r="I300" t="str">
            <v>30000_90006_1_10000,4004082_0_1_8175,4004082_0_1_8175,4004082_0_1_8175</v>
          </cell>
          <cell r="J300">
            <v>0</v>
          </cell>
        </row>
        <row r="301">
          <cell r="E301" t="str">
            <v>2090011_1</v>
          </cell>
          <cell r="F301" t="str">
            <v>1_10000,2_0,3_0</v>
          </cell>
          <cell r="G301" t="str">
            <v>40000_50900105_1_244,40000_50902055_1_920,4004086_0_1_8200,4004086_0_1_8200,4004086_0_1_8200,30000_90004_1_10000,30000_90005_1_2800</v>
          </cell>
          <cell r="H301">
            <v>0</v>
          </cell>
          <cell r="I301" t="str">
            <v>30000_90006_1_10000,4004086_0_1_8200,4004086_0_1_8200,4004086_0_1_8200</v>
          </cell>
          <cell r="J301">
            <v>0</v>
          </cell>
        </row>
        <row r="302">
          <cell r="E302" t="str">
            <v>2090021_1</v>
          </cell>
          <cell r="F302" t="str">
            <v>1_10000,2_0,3_0</v>
          </cell>
          <cell r="G302" t="str">
            <v>40000_50900025_1_237,40000_50900035_1_910,4004086_0_1_8225,4004086_0_1_8225,4004086_0_1_8225,30000_90004_1_10000,30000_90005_1_2800</v>
          </cell>
          <cell r="H302">
            <v>0</v>
          </cell>
          <cell r="I302" t="str">
            <v>30000_90006_1_10000,4004086_0_1_8225,4004086_0_1_8225,4004086_0_1_8225</v>
          </cell>
          <cell r="J302">
            <v>0</v>
          </cell>
        </row>
        <row r="303">
          <cell r="E303" t="str">
            <v>2090031_1</v>
          </cell>
          <cell r="F303" t="str">
            <v>1_10000,2_0,3_0</v>
          </cell>
          <cell r="G303" t="str">
            <v>40000_50900046_1_230,40000_50902065_1_900,4004086_0_1_8250,4004086_0_1_8250,4004086_0_1_8250,30000_90004_1_10000,30000_90005_1_4200</v>
          </cell>
          <cell r="H303">
            <v>0</v>
          </cell>
          <cell r="I303" t="str">
            <v>30000_90006_1_10000,4004086_0_1_8250,4004086_0_1_8250,4004086_0_1_8250</v>
          </cell>
          <cell r="J303">
            <v>0</v>
          </cell>
        </row>
        <row r="304">
          <cell r="E304" t="str">
            <v>2090041_1</v>
          </cell>
          <cell r="F304" t="str">
            <v>1_10000,2_0,3_0</v>
          </cell>
          <cell r="G304" t="str">
            <v>40000_50900076_1_223,40000_50901055_1_890,4004086_0_1_8275,4004086_0_1_8275,4004086_0_1_8275,30000_90004_1_10000,30000_90005_1_4200</v>
          </cell>
          <cell r="H304">
            <v>0</v>
          </cell>
          <cell r="I304" t="str">
            <v>30000_90006_1_10000,4004086_0_1_8275,4004086_0_1_8275,4004086_0_1_8275</v>
          </cell>
          <cell r="J304">
            <v>0</v>
          </cell>
        </row>
        <row r="305">
          <cell r="E305" t="str">
            <v>2090051_1,2090052_1,2090053_1</v>
          </cell>
          <cell r="F305" t="str">
            <v>1_0,2_0,3_10000</v>
          </cell>
          <cell r="G305" t="str">
            <v>40000_50900085_1_216,40000_50901065_1_880,4004086_0_1_8300,4004086_0_1_8300,4004086_0_1_8300,30000_90004_1_10000,30000_90005_1_4200</v>
          </cell>
          <cell r="H305">
            <v>0</v>
          </cell>
          <cell r="I305" t="str">
            <v>30000_90006_1_10000,4004086_0_1_8300,4004086_0_1_8300,4004086_0_1_8300</v>
          </cell>
          <cell r="J305">
            <v>0</v>
          </cell>
        </row>
        <row r="306">
          <cell r="E306" t="str">
            <v>2090061_1</v>
          </cell>
          <cell r="F306" t="str">
            <v>1_10000,2_0,3_0</v>
          </cell>
          <cell r="G306" t="str">
            <v>40000_50900095_1_209,40000_50900015_1_870,4004086_0_1_8325,4004086_0_1_8325,4004086_0_1_8325,30000_90004_1_10000,30000_90005_1_5600</v>
          </cell>
          <cell r="H306">
            <v>0</v>
          </cell>
          <cell r="I306" t="str">
            <v>30000_90006_1_10000,4004086_0_1_8325,4004086_0_1_8325,4004086_0_1_8325</v>
          </cell>
          <cell r="J306">
            <v>0</v>
          </cell>
        </row>
        <row r="307">
          <cell r="E307" t="str">
            <v>2090071_1</v>
          </cell>
          <cell r="F307" t="str">
            <v>1_10000,2_0,3_0</v>
          </cell>
          <cell r="G307" t="str">
            <v>40000_50900015_1_202,40000_50902065_1_860,4004086_0_1_8350,4004086_0_1_8350,4004086_0_1_8350,30000_90004_1_10000,30000_90005_1_5600</v>
          </cell>
          <cell r="H307">
            <v>0</v>
          </cell>
          <cell r="I307" t="str">
            <v>30000_90006_1_10000,4004086_0_1_8350,4004086_0_1_8350,4004086_0_1_8350</v>
          </cell>
          <cell r="J307">
            <v>0</v>
          </cell>
        </row>
        <row r="308">
          <cell r="E308" t="str">
            <v>2090081_1</v>
          </cell>
          <cell r="F308" t="str">
            <v>1_10000,2_0,3_0</v>
          </cell>
          <cell r="G308" t="str">
            <v>40000_50900035_1_195,40000_50903055_1_850,4004086_0_1_8375,4004086_0_1_8375,4004086_0_1_8375,30000_90004_1_10000,30000_90005_1_5600</v>
          </cell>
          <cell r="H308">
            <v>0</v>
          </cell>
          <cell r="I308" t="str">
            <v>30000_90006_1_10000,4004086_0_1_8375,4004086_0_1_8375,4004086_0_1_8375</v>
          </cell>
          <cell r="J308">
            <v>0</v>
          </cell>
        </row>
        <row r="309">
          <cell r="E309" t="str">
            <v>2090091_1</v>
          </cell>
          <cell r="F309" t="str">
            <v>1_10000,2_0,3_0</v>
          </cell>
          <cell r="G309" t="str">
            <v>40000_50902056_1_188,40000_50903065_1_840,4004086_0_1_8400,4004086_0_1_8400,4004086_0_1_8400,30000_90004_1_10000,30000_90005_1_7000</v>
          </cell>
          <cell r="H309">
            <v>0</v>
          </cell>
          <cell r="I309" t="str">
            <v>30000_90006_1_10000,4004086_0_1_8400,4004086_0_1_8400,4004086_0_1_8400</v>
          </cell>
          <cell r="J309">
            <v>0</v>
          </cell>
        </row>
        <row r="310">
          <cell r="E310" t="str">
            <v>2095011_1</v>
          </cell>
          <cell r="F310" t="str">
            <v>1_10000,2_0,3_0</v>
          </cell>
          <cell r="G310" t="str">
            <v>40000_50950105_1_0,40000_50950015_1_0,4004090_0_1_8425,4004090_0_1_8425,4004090_0_1_8425,30000_90004_1_10000,30000_90005_1_4200</v>
          </cell>
          <cell r="H310">
            <v>0</v>
          </cell>
          <cell r="I310" t="str">
            <v>30000_90006_1_10000,4004090_0_1_8425,4004090_0_1_8425,4004090_0_1_8425</v>
          </cell>
          <cell r="J310">
            <v>0</v>
          </cell>
        </row>
        <row r="311">
          <cell r="E311" t="str">
            <v>2095021_1</v>
          </cell>
          <cell r="F311" t="str">
            <v>1_10000,2_0,3_0</v>
          </cell>
          <cell r="G311" t="str">
            <v>40000_50950025_1_0,40000_50952055_1_0,4004090_0_1_8450,4004090_0_1_8450,4004090_0_1_8450,30000_90004_1_10000,30000_90005_1_4200</v>
          </cell>
          <cell r="H311">
            <v>0</v>
          </cell>
          <cell r="I311" t="str">
            <v>30000_90006_1_10000,4004090_0_1_8450,4004090_0_1_8450,4004090_0_1_8450</v>
          </cell>
          <cell r="J311">
            <v>0</v>
          </cell>
        </row>
        <row r="312">
          <cell r="E312" t="str">
            <v>2095031_1</v>
          </cell>
          <cell r="F312" t="str">
            <v>1_10000,2_0,3_0</v>
          </cell>
          <cell r="G312" t="str">
            <v>40000_50950046_1_0,40000_50952065_1_0,4004090_0_1_8475,4004090_0_1_8475,4004090_0_1_8475,30000_90004_1_10000,30000_90005_1_5600</v>
          </cell>
          <cell r="H312">
            <v>0</v>
          </cell>
          <cell r="I312" t="str">
            <v>30000_90006_1_10000,4004090_0_1_8475,4004090_0_1_8475,4004090_0_1_8475</v>
          </cell>
          <cell r="J312">
            <v>0</v>
          </cell>
        </row>
        <row r="313">
          <cell r="E313" t="str">
            <v>2095041_1</v>
          </cell>
          <cell r="F313" t="str">
            <v>1_10000,2_0,3_0</v>
          </cell>
          <cell r="G313" t="str">
            <v>40000_50950076_1_0,40000_50950035_1_0,4004090_0_1_8500,4004090_0_1_8500,4004090_0_1_8500,30000_90004_1_10000,30000_90005_1_5600</v>
          </cell>
          <cell r="H313">
            <v>0</v>
          </cell>
          <cell r="I313" t="str">
            <v>30000_90006_1_10000,4004090_0_1_8500,4004090_0_1_8500,4004090_0_1_8500</v>
          </cell>
          <cell r="J313">
            <v>0</v>
          </cell>
        </row>
        <row r="314">
          <cell r="E314" t="str">
            <v>2095051_1,2095052_1,2095053_1</v>
          </cell>
          <cell r="F314" t="str">
            <v>1_0,2_0,3_10000</v>
          </cell>
          <cell r="G314" t="str">
            <v>40000_50950085_1_0,40000_50953065_1_0,4004090_0_1_8525,4004090_0_1_8525,4004090_0_1_8525,30000_90004_1_10000,30000_90005_1_5600</v>
          </cell>
          <cell r="H314">
            <v>0</v>
          </cell>
          <cell r="I314" t="str">
            <v>30000_90006_1_10000,4004090_0_1_8525,4004090_0_1_8525,4004090_0_1_8525</v>
          </cell>
          <cell r="J314">
            <v>0</v>
          </cell>
        </row>
        <row r="315">
          <cell r="E315" t="str">
            <v>2095061_1</v>
          </cell>
          <cell r="F315" t="str">
            <v>1_10000,2_0,3_0</v>
          </cell>
          <cell r="G315" t="str">
            <v>40000_50950095_1_0,40000_50951055_1_0,4004090_0_1_8550,4004090_0_1_8550,4004090_0_1_8550,30000_90004_1_10000,30000_90005_1_7000</v>
          </cell>
          <cell r="H315">
            <v>0</v>
          </cell>
          <cell r="I315" t="str">
            <v>30000_90006_1_10000,4004090_0_1_8550,4004090_0_1_8550,4004090_0_1_8550</v>
          </cell>
          <cell r="J315">
            <v>0</v>
          </cell>
        </row>
        <row r="316">
          <cell r="E316" t="str">
            <v>2095071_1</v>
          </cell>
          <cell r="F316" t="str">
            <v>1_10000,2_0,3_0</v>
          </cell>
          <cell r="G316" t="str">
            <v>40000_50950015_1_0,40000_50952065_1_0,4004090_0_1_8575,4004090_0_1_8575,4004090_0_1_8575,30000_90004_1_10000,30000_90005_1_7000</v>
          </cell>
          <cell r="H316">
            <v>0</v>
          </cell>
          <cell r="I316" t="str">
            <v>30000_90006_1_10000,4004090_0_1_8575,4004090_0_1_8575,4004090_0_1_8575</v>
          </cell>
          <cell r="J316">
            <v>0</v>
          </cell>
        </row>
        <row r="317">
          <cell r="E317" t="str">
            <v>2095081_1</v>
          </cell>
          <cell r="F317" t="str">
            <v>1_10000,2_0,3_0</v>
          </cell>
          <cell r="G317" t="str">
            <v>40000_50950035_1_0,40000_50953055_1_0,4004090_0_1_8600,4004090_0_1_8600,4004090_0_1_8600,30000_90004_1_10000,30000_90005_1_7000</v>
          </cell>
          <cell r="H317">
            <v>0</v>
          </cell>
          <cell r="I317" t="str">
            <v>30000_90006_1_10000,4004090_0_1_8600,4004090_0_1_8600,4004090_0_1_8600</v>
          </cell>
          <cell r="J317">
            <v>0</v>
          </cell>
        </row>
        <row r="318">
          <cell r="E318" t="str">
            <v>2095091_1</v>
          </cell>
          <cell r="F318" t="str">
            <v>1_10000,2_0,3_0</v>
          </cell>
          <cell r="G318" t="str">
            <v>40000_50952056_1_0,40000_50953065_1_0,4004090_0_1_8625,4004090_0_1_8625,4004090_0_1_8625,30000_90004_1_10000,30000_90005_1_8400</v>
          </cell>
          <cell r="H318">
            <v>0</v>
          </cell>
          <cell r="I318" t="str">
            <v>30000_90006_1_10000,4004090_0_1_8625,4004090_0_1_8625,4004090_0_1_8625</v>
          </cell>
          <cell r="J318">
            <v>0</v>
          </cell>
        </row>
        <row r="319">
          <cell r="E319" t="str">
            <v>2100011_1</v>
          </cell>
          <cell r="F319" t="str">
            <v>1_10000,2_0,3_0</v>
          </cell>
          <cell r="G319" t="str">
            <v>40000_51000105_1_0,40000_51000015_1_0,4004094_0_1_8650,4004094_0_1_8650,4004094_0_1_8650,30000_90004_1_10000,30000_90005_1_5600</v>
          </cell>
          <cell r="H319">
            <v>0</v>
          </cell>
          <cell r="I319" t="str">
            <v>30000_90006_1_10000,4004094_0_1_8650,4004094_0_1_8650,4004094_0_1_8650</v>
          </cell>
          <cell r="J319">
            <v>0</v>
          </cell>
        </row>
        <row r="320">
          <cell r="E320" t="str">
            <v>2100021_1</v>
          </cell>
          <cell r="F320" t="str">
            <v>1_10000,2_0,3_0</v>
          </cell>
          <cell r="G320" t="str">
            <v>40000_51000025_1_0,40000_51002055_1_0,4004094_0_1_8675,4004094_0_1_8675,4004094_0_1_8675,30000_90004_1_10000,30000_90005_1_5600</v>
          </cell>
          <cell r="H320">
            <v>0</v>
          </cell>
          <cell r="I320" t="str">
            <v>30000_90006_1_10000,4004094_0_1_8675,4004094_0_1_8675,4004094_0_1_8675</v>
          </cell>
          <cell r="J320">
            <v>0</v>
          </cell>
        </row>
        <row r="321">
          <cell r="E321" t="str">
            <v>2100031_1</v>
          </cell>
          <cell r="F321" t="str">
            <v>1_10000,2_0,3_0</v>
          </cell>
          <cell r="G321" t="str">
            <v>40000_51000046_1_0,40000_51002065_1_0,4004094_0_1_8700,4004094_0_1_8700,4004094_0_1_8700,30000_90004_1_10000,30000_90005_1_7000</v>
          </cell>
          <cell r="H321">
            <v>0</v>
          </cell>
          <cell r="I321" t="str">
            <v>30000_90006_1_10000,4004094_0_1_8700,4004094_0_1_8700,4004094_0_1_8700</v>
          </cell>
          <cell r="J321">
            <v>0</v>
          </cell>
        </row>
        <row r="322">
          <cell r="E322" t="str">
            <v>2100041_1</v>
          </cell>
          <cell r="F322" t="str">
            <v>1_10000,2_0,3_0</v>
          </cell>
          <cell r="G322" t="str">
            <v>40000_51000076_1_0,40000_51000035_1_0,4004094_0_1_8725,4004094_0_1_8725,4004094_0_1_8725,30000_90004_1_10000,30000_90005_1_7000</v>
          </cell>
          <cell r="H322">
            <v>0</v>
          </cell>
          <cell r="I322" t="str">
            <v>30000_90006_1_10000,4004094_0_1_8725,4004094_0_1_8725,4004094_0_1_8725</v>
          </cell>
          <cell r="J322">
            <v>0</v>
          </cell>
        </row>
        <row r="323">
          <cell r="E323" t="str">
            <v>2100051_1,2100052_1,2100053_1</v>
          </cell>
          <cell r="F323" t="str">
            <v>1_0,2_0,3_10000</v>
          </cell>
          <cell r="G323" t="str">
            <v>40000_51000085_1_0,40000_51003065_1_0,4004094_0_1_8750,4004094_0_1_8750,4004094_0_1_8750,30000_90004_1_10000,30000_90005_1_7000</v>
          </cell>
          <cell r="H323">
            <v>0</v>
          </cell>
          <cell r="I323" t="str">
            <v>30000_90006_1_10000,4004094_0_1_8750,4004094_0_1_8750,4004094_0_1_8750</v>
          </cell>
          <cell r="J323">
            <v>0</v>
          </cell>
        </row>
        <row r="324">
          <cell r="E324" t="str">
            <v>2100061_1</v>
          </cell>
          <cell r="F324" t="str">
            <v>1_10000,2_0,3_0</v>
          </cell>
          <cell r="G324" t="str">
            <v>40000_51000095_1_0,40000_51001055_1_0,4004094_0_1_8775,4004094_0_1_8775,4004094_0_1_8775,30000_90004_1_10000,30000_90005_1_8400</v>
          </cell>
          <cell r="H324">
            <v>0</v>
          </cell>
          <cell r="I324" t="str">
            <v>30000_90006_1_10000,4004094_0_1_8775,4004094_0_1_8775,4004094_0_1_8775</v>
          </cell>
          <cell r="J324">
            <v>0</v>
          </cell>
        </row>
        <row r="325">
          <cell r="E325" t="str">
            <v>2100071_1</v>
          </cell>
          <cell r="F325" t="str">
            <v>1_10000,2_0,3_0</v>
          </cell>
          <cell r="G325" t="str">
            <v>40000_51000015_1_0,40000_51002065_1_0,4004094_0_1_8800,4004094_0_1_8800,4004094_0_1_8800,30000_90004_1_10000,30000_90005_1_8400</v>
          </cell>
          <cell r="H325">
            <v>0</v>
          </cell>
          <cell r="I325" t="str">
            <v>30000_90006_1_10000,4004094_0_1_8800,4004094_0_1_8800,4004094_0_1_8800</v>
          </cell>
          <cell r="J325">
            <v>0</v>
          </cell>
        </row>
        <row r="326">
          <cell r="E326" t="str">
            <v>2100081_1</v>
          </cell>
          <cell r="F326" t="str">
            <v>1_10000,2_0,3_0</v>
          </cell>
          <cell r="G326" t="str">
            <v>40000_51000035_1_0,40000_51003055_1_0,4004094_0_1_8825,4004094_0_1_8825,4004094_0_1_8825,30000_90004_1_10000,30000_90005_1_8400</v>
          </cell>
          <cell r="H326">
            <v>0</v>
          </cell>
          <cell r="I326" t="str">
            <v>30000_90006_1_10000,4004094_0_1_8825,4004094_0_1_8825,4004094_0_1_8825</v>
          </cell>
          <cell r="J326">
            <v>0</v>
          </cell>
        </row>
        <row r="327">
          <cell r="E327" t="str">
            <v>2100091_1</v>
          </cell>
          <cell r="F327" t="str">
            <v>1_10000,2_0,3_0</v>
          </cell>
          <cell r="G327" t="str">
            <v>40000_51002056_1_0,40000_51003065_1_0,4004094_0_1_8850,4004094_0_1_8850,4004094_0_1_8850,30000_90004_1_10000,30000_90005_1_9800</v>
          </cell>
          <cell r="H327">
            <v>0</v>
          </cell>
          <cell r="I327" t="str">
            <v>30000_90006_1_10000,4004094_0_1_8850,4004094_0_1_8850,4004094_0_1_8850</v>
          </cell>
          <cell r="J327">
            <v>0</v>
          </cell>
        </row>
        <row r="328">
          <cell r="E328" t="str">
            <v>3030011_1</v>
          </cell>
          <cell r="F328" t="str">
            <v>1_10000,2_0,3_0</v>
          </cell>
          <cell r="G328" t="str">
            <v>40000_50350105_1_1000,40000_50303065_1_2000,4000430_0_1_5000,4000430_0_1_5000,4000430_0_1_5000,30000_90002_3_10000,30000_90003_1_1100</v>
          </cell>
          <cell r="H328">
            <v>0</v>
          </cell>
          <cell r="I328" t="str">
            <v>30000_90004_1_10000,4000430_0_1_5000,4000430_0_1_5000,4000430_0_1_5000</v>
          </cell>
          <cell r="J328">
            <v>0</v>
          </cell>
        </row>
        <row r="329">
          <cell r="E329" t="str">
            <v>3030021_1</v>
          </cell>
          <cell r="F329" t="str">
            <v>1_10000,2_0,3_0</v>
          </cell>
          <cell r="G329" t="str">
            <v>40000_50350075_1_993,40000_50301055_1_1990,4000430_0_1_5050,4000430_0_1_5050,4000430_0_1_5050,30000_90002_3_10000,30000_90003_1_1100</v>
          </cell>
          <cell r="H329">
            <v>0</v>
          </cell>
          <cell r="I329" t="str">
            <v>30000_90004_1_10000,4000430_0_1_5050,4000430_0_1_5050,4000430_0_1_5050</v>
          </cell>
          <cell r="J329">
            <v>0</v>
          </cell>
        </row>
        <row r="330">
          <cell r="E330" t="str">
            <v>3030031_1</v>
          </cell>
          <cell r="F330" t="str">
            <v>1_10000,2_0,3_0</v>
          </cell>
          <cell r="G330" t="str">
            <v>40000_50350045_1_986,40000_50301065_1_1980,4000430_0_1_5100,4000430_0_1_5100,4000430_0_1_5100,30000_90002_3_10000,30000_90003_1_2200</v>
          </cell>
          <cell r="H330">
            <v>0</v>
          </cell>
          <cell r="I330" t="str">
            <v>30000_90004_1_10000,4000430_0_1_5100,4000430_0_1_5100,4000430_0_1_5100</v>
          </cell>
          <cell r="J330">
            <v>0</v>
          </cell>
        </row>
        <row r="331">
          <cell r="E331" t="str">
            <v>3030041_1</v>
          </cell>
          <cell r="F331" t="str">
            <v>1_10000,2_0,3_0</v>
          </cell>
          <cell r="G331" t="str">
            <v>40000_50350025_1_979,40000_50302055_1_1970,4000430_0_1_5150,4000430_0_1_5150,4000430_0_1_5150,30000_90002_3_10000,30000_90003_1_2200</v>
          </cell>
          <cell r="H331">
            <v>0</v>
          </cell>
          <cell r="I331" t="str">
            <v>30000_90004_1_10000,4000430_0_1_5150,4000430_0_1_5150,4000430_0_1_5150</v>
          </cell>
          <cell r="J331">
            <v>0</v>
          </cell>
        </row>
        <row r="332">
          <cell r="E332" t="str">
            <v>3030051_1</v>
          </cell>
          <cell r="F332" t="str">
            <v>1_10000,2_0,3_0</v>
          </cell>
          <cell r="G332" t="str">
            <v>40000_50350095_1_972,40000_50303055_1_1960,4000430_0_1_5200,4000430_0_1_5200,4000430_0_1_5200,30000_90002_3_10000,30000_90003_1_2200</v>
          </cell>
          <cell r="H332">
            <v>0</v>
          </cell>
          <cell r="I332" t="str">
            <v>30000_90004_1_10000,4000430_0_1_5200,4000430_0_1_5200,4000430_0_1_5200</v>
          </cell>
          <cell r="J332">
            <v>0</v>
          </cell>
        </row>
        <row r="333">
          <cell r="E333" t="str">
            <v>3030061_1</v>
          </cell>
          <cell r="F333" t="str">
            <v>1_10000,2_0,3_0</v>
          </cell>
          <cell r="G333" t="str">
            <v>40000_50350085_1_965,40000_50300015_1_1950,4000430_0_1_5250,4000430_0_1_5250,4000430_0_1_5250,30000_90002_3_10000,30000_90003_1_3300</v>
          </cell>
          <cell r="H333">
            <v>0</v>
          </cell>
          <cell r="I333" t="str">
            <v>30000_90004_1_10000,4000430_0_1_5250,4000430_0_1_5250,4000430_0_1_5250</v>
          </cell>
          <cell r="J333">
            <v>0</v>
          </cell>
        </row>
        <row r="334">
          <cell r="E334" t="str">
            <v>3030071_1,3030072_1</v>
          </cell>
          <cell r="F334" t="str">
            <v>1_0,2_10000,3_0</v>
          </cell>
          <cell r="G334" t="str">
            <v>40000_50350015_1_958,40000_50353066_1_1940,4000430_0_1_5300,4000430_0_1_5300,4000430_0_1_5300,30000_90002_3_10000,30000_90003_1_3300</v>
          </cell>
          <cell r="H334">
            <v>0</v>
          </cell>
          <cell r="I334" t="str">
            <v>30000_90004_1_10000,4000430_0_1_5300,4000430_0_1_5300,4000430_0_1_5300</v>
          </cell>
          <cell r="J334">
            <v>0</v>
          </cell>
        </row>
        <row r="335">
          <cell r="E335" t="str">
            <v>3030081_1</v>
          </cell>
          <cell r="F335" t="str">
            <v>1_10000,2_0,3_0</v>
          </cell>
          <cell r="G335" t="str">
            <v>40000_50350035_1_951,40000_50302065_1_1930,4000430_0_1_5350,4000430_0_1_5350,4000430_0_1_5350,30000_90002_3_10000,30000_90003_1_3300</v>
          </cell>
          <cell r="H335">
            <v>0</v>
          </cell>
          <cell r="I335" t="str">
            <v>30000_90004_1_10000,4000430_0_1_5350,4000430_0_1_5350,4000430_0_1_5350</v>
          </cell>
          <cell r="J335">
            <v>0</v>
          </cell>
        </row>
        <row r="336">
          <cell r="E336" t="str">
            <v>3030091_1</v>
          </cell>
          <cell r="F336" t="str">
            <v>1_10000,2_0,3_0</v>
          </cell>
          <cell r="G336" t="str">
            <v>40000_50353055_1_944,40000_50300035_1_1920,4000430_0_1_5400,4000430_0_1_5400,4000430_0_1_5400,30000_90002_3_10000,30000_90003_1_4400</v>
          </cell>
          <cell r="H336">
            <v>0</v>
          </cell>
          <cell r="I336" t="str">
            <v>30000_90004_1_10000,4000430_0_1_5400,4000430_0_1_5400,4000430_0_1_5400</v>
          </cell>
          <cell r="J336">
            <v>0</v>
          </cell>
        </row>
        <row r="337">
          <cell r="E337" t="str">
            <v>3035011_1</v>
          </cell>
          <cell r="F337" t="str">
            <v>1_10000,2_0,3_0</v>
          </cell>
          <cell r="G337" t="str">
            <v>40000_50400015_1_937,40000_50353065_1_1910,4000435_0_1_5450,4000435_0_1_5450,4000435_0_1_5450,30000_90002_3_10000,30000_90003_1_2200</v>
          </cell>
          <cell r="H337">
            <v>0</v>
          </cell>
          <cell r="I337" t="str">
            <v>30000_90004_1_10000,4000435_0_1_5450,4000435_0_1_5450,4000435_0_1_5450</v>
          </cell>
          <cell r="J337">
            <v>0</v>
          </cell>
        </row>
        <row r="338">
          <cell r="E338" t="str">
            <v>3035021_1</v>
          </cell>
          <cell r="F338" t="str">
            <v>1_10000,2_0,3_0</v>
          </cell>
          <cell r="G338" t="str">
            <v>40000_50400095_1_930,40000_50352055_1_1900,4000435_0_1_5500,4000435_0_1_5500,4000435_0_1_5500,30000_90002_3_10000,30000_90003_1_2200</v>
          </cell>
          <cell r="H338">
            <v>0</v>
          </cell>
          <cell r="I338" t="str">
            <v>30000_90004_1_10000,4000435_0_1_5500,4000435_0_1_5500,4000435_0_1_5500</v>
          </cell>
          <cell r="J338">
            <v>0</v>
          </cell>
        </row>
        <row r="339">
          <cell r="E339" t="str">
            <v>3035031_1</v>
          </cell>
          <cell r="F339" t="str">
            <v>1_10000,2_0,3_0</v>
          </cell>
          <cell r="G339" t="str">
            <v>40000_50400045_1_923,40000_50351055_1_1890,4000435_0_1_5550,4000435_0_1_5550,4000435_0_1_5550,30000_90002_3_10000,30000_90003_1_3300</v>
          </cell>
          <cell r="H339">
            <v>0</v>
          </cell>
          <cell r="I339" t="str">
            <v>30000_90004_1_10000,4000435_0_1_5550,4000435_0_1_5550,4000435_0_1_5550</v>
          </cell>
          <cell r="J339">
            <v>0</v>
          </cell>
        </row>
        <row r="340">
          <cell r="E340" t="str">
            <v>3035041_1</v>
          </cell>
          <cell r="F340" t="str">
            <v>1_10000,2_0,3_0</v>
          </cell>
          <cell r="G340" t="str">
            <v>40000_50400085_1_916,40000_50403065_1_1880,4000435_0_1_5600,4000435_0_1_5600,4000435_0_1_5600,30000_90002_3_10000,30000_90003_1_3300</v>
          </cell>
          <cell r="H340">
            <v>0</v>
          </cell>
          <cell r="I340" t="str">
            <v>30000_90004_1_10000,4000435_0_1_5600,4000435_0_1_5600,4000435_0_1_5600</v>
          </cell>
          <cell r="J340">
            <v>0</v>
          </cell>
        </row>
        <row r="341">
          <cell r="E341" t="str">
            <v>3035051_1</v>
          </cell>
          <cell r="F341" t="str">
            <v>1_10000,2_0,3_0</v>
          </cell>
          <cell r="G341" t="str">
            <v>40000_50400075_1_909,40000_50351065_1_1870,4000435_0_1_5650,4000435_0_1_5650,4000435_0_1_5650,30000_90002_3_10000,30000_90003_1_3300</v>
          </cell>
          <cell r="H341">
            <v>0</v>
          </cell>
          <cell r="I341" t="str">
            <v>30000_90004_1_10000,4000435_0_1_5650,4000435_0_1_5650,4000435_0_1_5650</v>
          </cell>
          <cell r="J341">
            <v>0</v>
          </cell>
        </row>
        <row r="342">
          <cell r="E342" t="str">
            <v>3035061_1</v>
          </cell>
          <cell r="F342" t="str">
            <v>1_10000,2_0,3_0</v>
          </cell>
          <cell r="G342" t="str">
            <v>40000_50400025_1_902,40000_50350015_1_1860,4000435_0_1_5700,4000435_0_1_5700,4000435_0_1_5700,30000_90002_3_10000,30000_90003_1_4400</v>
          </cell>
          <cell r="H342">
            <v>0</v>
          </cell>
          <cell r="I342" t="str">
            <v>30000_90004_1_10000,4000435_0_1_5700,4000435_0_1_5700,4000435_0_1_5700</v>
          </cell>
          <cell r="J342">
            <v>0</v>
          </cell>
        </row>
        <row r="343">
          <cell r="E343" t="str">
            <v>3035071_1,3035072_1</v>
          </cell>
          <cell r="F343" t="str">
            <v>1_0,2_10000,3_0</v>
          </cell>
          <cell r="G343" t="str">
            <v>40000_50400105_1_895,40000_50353055_1_1850,4000435_0_1_5750,4000435_0_1_5750,4000435_0_1_5750,30000_90002_3_10000,30000_90003_1_4400</v>
          </cell>
          <cell r="H343">
            <v>0</v>
          </cell>
          <cell r="I343" t="str">
            <v>30000_90004_1_10000,4000435_0_1_5750,4000435_0_1_5750,4000435_0_1_5750</v>
          </cell>
          <cell r="J343">
            <v>0</v>
          </cell>
        </row>
        <row r="344">
          <cell r="E344" t="str">
            <v>3035081_1</v>
          </cell>
          <cell r="F344" t="str">
            <v>1_10000,2_0,3_0</v>
          </cell>
          <cell r="G344" t="str">
            <v>40000_50400035_1_888,40000_50350035_1_1840,4000435_0_1_5800,4000435_0_1_5800,4000435_0_1_5800,30000_90002_3_10000,30000_90003_1_4400</v>
          </cell>
          <cell r="H344">
            <v>0</v>
          </cell>
          <cell r="I344" t="str">
            <v>30000_90004_1_10000,4000435_0_1_5800,4000435_0_1_5800,4000435_0_1_5800</v>
          </cell>
          <cell r="J344">
            <v>0</v>
          </cell>
        </row>
        <row r="345">
          <cell r="E345" t="str">
            <v>3035091_1</v>
          </cell>
          <cell r="F345" t="str">
            <v>1_10000,2_0,3_0</v>
          </cell>
          <cell r="G345" t="str">
            <v>40000_50403056_1_881,40000_50352065_1_1830,4000435_0_1_5850,4000435_0_1_5850,4000435_0_1_5850,30000_90002_3_10000,30000_90003_1_5500</v>
          </cell>
          <cell r="H345">
            <v>0</v>
          </cell>
          <cell r="I345" t="str">
            <v>30000_90004_1_10000,4000435_0_1_5850,4000435_0_1_5850,4000435_0_1_5850</v>
          </cell>
          <cell r="J345">
            <v>0</v>
          </cell>
        </row>
        <row r="346">
          <cell r="E346" t="str">
            <v>3040011_1</v>
          </cell>
          <cell r="F346" t="str">
            <v>1_10000,2_0,3_0</v>
          </cell>
          <cell r="G346" t="str">
            <v>40000_50450025_1_874,40000_50403065_1_1820,4000440_0_1_5900,4000440_0_1_5900,4000440_0_1_5900,30000_90002_3_10000,30000_90003_1_3300</v>
          </cell>
          <cell r="H346">
            <v>0</v>
          </cell>
          <cell r="I346" t="str">
            <v>30000_90004_1_10000,4000440_0_1_5900,4000440_0_1_5900,4000440_0_1_5900</v>
          </cell>
          <cell r="J346">
            <v>0</v>
          </cell>
        </row>
        <row r="347">
          <cell r="E347" t="str">
            <v>3040021_1</v>
          </cell>
          <cell r="F347" t="str">
            <v>1_10000,2_0,3_0</v>
          </cell>
          <cell r="G347" t="str">
            <v>40000_50450105_1_867,40000_50400015_1_1810,4000440_0_1_5950,4000440_0_1_5950,4000440_0_1_5950,30000_90002_3_10000,30000_90003_1_3300</v>
          </cell>
          <cell r="H347">
            <v>0</v>
          </cell>
          <cell r="I347" t="str">
            <v>30000_90004_1_10000,4000440_0_1_5950,4000440_0_1_5950,4000440_0_1_5950</v>
          </cell>
          <cell r="J347">
            <v>0</v>
          </cell>
        </row>
        <row r="348">
          <cell r="E348" t="str">
            <v>3040031_1</v>
          </cell>
          <cell r="F348" t="str">
            <v>1_10000,2_0,3_0</v>
          </cell>
          <cell r="G348" t="str">
            <v>40000_50450045_1_860,40000_50401055_1_1800,4000440_0_1_6000,4000440_0_1_6000,4000440_0_1_6000,30000_90002_3_10000,30000_90003_1_4400</v>
          </cell>
          <cell r="H348">
            <v>0</v>
          </cell>
          <cell r="I348" t="str">
            <v>30000_90004_1_10000,4000440_0_1_6000,4000440_0_1_6000,4000440_0_1_6000</v>
          </cell>
          <cell r="J348">
            <v>0</v>
          </cell>
        </row>
        <row r="349">
          <cell r="E349" t="str">
            <v>3040041_1</v>
          </cell>
          <cell r="F349" t="str">
            <v>1_10000,2_0,3_0</v>
          </cell>
          <cell r="G349" t="str">
            <v>40000_50450075_1_853,40000_50401065_1_1790,4000440_0_1_6025,4000440_0_1_6025,4000440_0_1_6025,30000_90002_3_10000,30000_90003_1_4400</v>
          </cell>
          <cell r="H349">
            <v>0</v>
          </cell>
          <cell r="I349" t="str">
            <v>30000_90004_1_10000,4000440_0_1_6025,4000440_0_1_6025,4000440_0_1_6025</v>
          </cell>
          <cell r="J349">
            <v>0</v>
          </cell>
        </row>
        <row r="350">
          <cell r="E350" t="str">
            <v>3040051_1</v>
          </cell>
          <cell r="F350" t="str">
            <v>1_10000,2_0,3_0</v>
          </cell>
          <cell r="G350" t="str">
            <v>40000_50450035_1_846,40000_50402065_1_1780,4000440_0_1_6050,4000440_0_1_6050,4000440_0_1_6050,30000_90002_3_10000,30000_90003_1_4400</v>
          </cell>
          <cell r="H350">
            <v>0</v>
          </cell>
          <cell r="I350" t="str">
            <v>30000_90004_1_10000,4000440_0_1_6050,4000440_0_1_6050,4000440_0_1_6050</v>
          </cell>
          <cell r="J350">
            <v>0</v>
          </cell>
        </row>
        <row r="351">
          <cell r="E351" t="str">
            <v>3040061_1</v>
          </cell>
          <cell r="F351" t="str">
            <v>1_10000,2_0,3_0</v>
          </cell>
          <cell r="G351" t="str">
            <v>40000_50450095_1_839,40000_50402055_1_1770,4000440_0_1_6075,4000440_0_1_6075,4000440_0_1_6075,30000_90002_3_10000,30000_90003_1_5500</v>
          </cell>
          <cell r="H351">
            <v>0</v>
          </cell>
          <cell r="I351" t="str">
            <v>30000_90004_1_10000,4000440_0_1_6075,4000440_0_1_6075,4000440_0_1_6075</v>
          </cell>
          <cell r="J351">
            <v>0</v>
          </cell>
        </row>
        <row r="352">
          <cell r="E352" t="str">
            <v>3040071_1,3040072_1</v>
          </cell>
          <cell r="F352" t="str">
            <v>1_0,2_10000,3_0</v>
          </cell>
          <cell r="G352" t="str">
            <v>40000_50450015_1_832,40000_50453065_1_1760,4000440_0_1_6100,4000440_0_1_6100,4000440_0_1_6100,30000_90002_3_10000,30000_90003_1_5500</v>
          </cell>
          <cell r="H352">
            <v>0</v>
          </cell>
          <cell r="I352" t="str">
            <v>30000_90004_1_10000,4000440_0_1_6100,4000440_0_1_6100,4000440_0_1_6100</v>
          </cell>
          <cell r="J352">
            <v>0</v>
          </cell>
        </row>
        <row r="353">
          <cell r="E353" t="str">
            <v>3040081_1</v>
          </cell>
          <cell r="F353" t="str">
            <v>1_10000,2_0,3_0</v>
          </cell>
          <cell r="G353" t="str">
            <v>40000_50450085_1_825,40000_50400035_1_1750,4000440_0_1_6125,4000440_0_1_6125,4000440_0_1_6125,30000_90002_3_10000,30000_90003_1_5500</v>
          </cell>
          <cell r="H353">
            <v>0</v>
          </cell>
          <cell r="I353" t="str">
            <v>30000_90004_1_10000,4000440_0_1_6125,4000440_0_1_6125,4000440_0_1_6125</v>
          </cell>
          <cell r="J353">
            <v>0</v>
          </cell>
        </row>
        <row r="354">
          <cell r="E354" t="str">
            <v>3040091_1</v>
          </cell>
          <cell r="F354" t="str">
            <v>1_10000,2_0,3_0</v>
          </cell>
          <cell r="G354" t="str">
            <v>40000_50453056_1_818,40000_50403055_1_1740,4000440_0_1_6150,4000440_0_1_6150,4000440_0_1_6150,30000_90002_3_10000,30000_90003_1_6600</v>
          </cell>
          <cell r="H354">
            <v>0</v>
          </cell>
          <cell r="I354" t="str">
            <v>30000_90004_1_10000,4000440_0_1_6150,4000440_0_1_6150,4000440_0_1_6150</v>
          </cell>
          <cell r="J354">
            <v>0</v>
          </cell>
        </row>
        <row r="355">
          <cell r="E355" t="str">
            <v>3045011_1</v>
          </cell>
          <cell r="F355" t="str">
            <v>1_10000,2_0,3_0</v>
          </cell>
          <cell r="G355" t="str">
            <v>40000_50500045_1_811,40000_50452065_1_1730,4000445_0_1_6175,4000445_0_1_6175,4000445_0_1_6175,30000_90002_3_10000,30000_90003_1_4400</v>
          </cell>
          <cell r="H355">
            <v>0</v>
          </cell>
          <cell r="I355" t="str">
            <v>30000_90004_1_10000,4000445_0_1_6175,4000445_0_1_6175,4000445_0_1_6175</v>
          </cell>
          <cell r="J355">
            <v>0</v>
          </cell>
        </row>
        <row r="356">
          <cell r="E356" t="str">
            <v>3045021_1</v>
          </cell>
          <cell r="F356" t="str">
            <v>1_10000,2_0,3_0</v>
          </cell>
          <cell r="G356" t="str">
            <v>40000_50500075_1_804,40000_50451065_1_1720,4000445_0_1_6200,4000445_0_1_6200,4000445_0_1_6200,30000_90002_3_10000,30000_90003_1_4400</v>
          </cell>
          <cell r="H356">
            <v>0</v>
          </cell>
          <cell r="I356" t="str">
            <v>30000_90004_1_10000,4000445_0_1_6200,4000445_0_1_6200,4000445_0_1_6200</v>
          </cell>
          <cell r="J356">
            <v>0</v>
          </cell>
        </row>
        <row r="357">
          <cell r="E357" t="str">
            <v>3045031_1</v>
          </cell>
          <cell r="F357" t="str">
            <v>1_10000,2_0,3_0</v>
          </cell>
          <cell r="G357" t="str">
            <v>40000_50500025_1_797,40000_50452055_1_1710,4000445_0_1_6225,4000445_0_1_6225,4000445_0_1_6225,30000_90002_3_10000,30000_90003_1_5500</v>
          </cell>
          <cell r="H357">
            <v>0</v>
          </cell>
          <cell r="I357" t="str">
            <v>30000_90004_1_10000,4000445_0_1_6225,4000445_0_1_6225,4000445_0_1_6225</v>
          </cell>
          <cell r="J357">
            <v>0</v>
          </cell>
        </row>
        <row r="358">
          <cell r="E358" t="str">
            <v>3045041_1</v>
          </cell>
          <cell r="F358" t="str">
            <v>1_10000,2_0,3_0</v>
          </cell>
          <cell r="G358" t="str">
            <v>40000_50500105_1_790,40000_50453055_1_1700,4000445_0_1_6250,4000445_0_1_6250,4000445_0_1_6250,30000_90002_3_10000,30000_90003_1_5500</v>
          </cell>
          <cell r="H358">
            <v>0</v>
          </cell>
          <cell r="I358" t="str">
            <v>30000_90004_1_10000,4000445_0_1_6250,4000445_0_1_6250,4000445_0_1_6250</v>
          </cell>
          <cell r="J358">
            <v>0</v>
          </cell>
        </row>
        <row r="359">
          <cell r="E359" t="str">
            <v>3045051_1</v>
          </cell>
          <cell r="F359" t="str">
            <v>1_10000,2_0,3_0</v>
          </cell>
          <cell r="G359" t="str">
            <v>40000_50500095_1_783,40000_50451055_1_1690,4000445_0_1_6275,4000445_0_1_6275,4000445_0_1_6275,30000_90002_3_10000,30000_90003_1_5500</v>
          </cell>
          <cell r="H359">
            <v>0</v>
          </cell>
          <cell r="I359" t="str">
            <v>30000_90004_1_10000,4000445_0_1_6275,4000445_0_1_6275,4000445_0_1_6275</v>
          </cell>
          <cell r="J359">
            <v>0</v>
          </cell>
        </row>
        <row r="360">
          <cell r="E360" t="str">
            <v>3045061_1</v>
          </cell>
          <cell r="F360" t="str">
            <v>1_10000,2_0,3_0</v>
          </cell>
          <cell r="G360" t="str">
            <v>40000_50500085_1_776,40000_50453065_1_1680,4000445_0_1_6300,4000445_0_1_6300,4000445_0_1_6300,30000_90002_3_10000,30000_90003_1_6600</v>
          </cell>
          <cell r="H360">
            <v>0</v>
          </cell>
          <cell r="I360" t="str">
            <v>30000_90004_1_10000,4000445_0_1_6300,4000445_0_1_6300,4000445_0_1_6300</v>
          </cell>
          <cell r="J360">
            <v>0</v>
          </cell>
        </row>
        <row r="361">
          <cell r="E361" t="str">
            <v>3045071_1,3045072_1</v>
          </cell>
          <cell r="F361" t="str">
            <v>1_0,2_10000,3_0</v>
          </cell>
          <cell r="G361" t="str">
            <v>40000_50500035_1_769,40000_50503066_1_1670,4000445_0_1_6325,4000445_0_1_6325,4000445_0_1_6325,30000_90002_3_10000,30000_90003_1_6600</v>
          </cell>
          <cell r="H361">
            <v>0</v>
          </cell>
          <cell r="I361" t="str">
            <v>30000_90004_1_10000,4000445_0_1_6325,4000445_0_1_6325,4000445_0_1_6325</v>
          </cell>
          <cell r="J361">
            <v>0</v>
          </cell>
        </row>
        <row r="362">
          <cell r="E362" t="str">
            <v>3045081_1</v>
          </cell>
          <cell r="F362" t="str">
            <v>1_10000,2_0,3_0</v>
          </cell>
          <cell r="G362" t="str">
            <v>40000_50500015_1_762,40000_50450035_1_1660,4000445_0_1_6350,4000445_0_1_6350,4000445_0_1_6350,30000_90002_3_10000,30000_90003_1_6600</v>
          </cell>
          <cell r="H362">
            <v>0</v>
          </cell>
          <cell r="I362" t="str">
            <v>30000_90004_1_10000,4000445_0_1_6350,4000445_0_1_6350,4000445_0_1_6350</v>
          </cell>
          <cell r="J362">
            <v>0</v>
          </cell>
        </row>
        <row r="363">
          <cell r="E363" t="str">
            <v>3045091_1</v>
          </cell>
          <cell r="F363" t="str">
            <v>1_10000,2_0,3_0</v>
          </cell>
          <cell r="G363" t="str">
            <v>40000_50503056_1_755,40000_50450015_1_1650,4000445_0_1_6375,4000445_0_1_6375,4000445_0_1_6375,30000_90002_3_10000,30000_90003_1_7700</v>
          </cell>
          <cell r="H363">
            <v>0</v>
          </cell>
          <cell r="I363" t="str">
            <v>30000_90004_1_10000,4000445_0_1_6375,4000445_0_1_6375,4000445_0_1_6375</v>
          </cell>
          <cell r="J363">
            <v>0</v>
          </cell>
        </row>
        <row r="364">
          <cell r="E364" t="str">
            <v>3050011_1</v>
          </cell>
          <cell r="F364" t="str">
            <v>1_10000,2_0,3_0</v>
          </cell>
          <cell r="G364" t="str">
            <v>40000_50550045_1_748,40000_50502065_1_1640,4000450_0_1_6400,4000450_0_1_6400,4000450_0_1_6400,30000_90002_3_10000,30000_90003_1_5500</v>
          </cell>
          <cell r="H364">
            <v>0</v>
          </cell>
          <cell r="I364" t="str">
            <v>30000_90004_1_10000,4000450_0_1_6400,4000450_0_1_6400,4000450_0_1_6400</v>
          </cell>
          <cell r="J364">
            <v>0</v>
          </cell>
        </row>
        <row r="365">
          <cell r="E365" t="str">
            <v>3050021_1</v>
          </cell>
          <cell r="F365" t="str">
            <v>1_10000,2_0,3_0</v>
          </cell>
          <cell r="G365" t="str">
            <v>40000_50550015_1_741,40000_50501055_1_1630,4000450_0_1_6425,4000450_0_1_6425,4000450_0_1_6425,30000_90002_3_10000,30000_90003_1_5500</v>
          </cell>
          <cell r="H365">
            <v>0</v>
          </cell>
          <cell r="I365" t="str">
            <v>30000_90004_1_10000,4000450_0_1_6425,4000450_0_1_6425,4000450_0_1_6425</v>
          </cell>
          <cell r="J365">
            <v>0</v>
          </cell>
        </row>
        <row r="366">
          <cell r="E366" t="str">
            <v>3050031_1</v>
          </cell>
          <cell r="F366" t="str">
            <v>1_10000,2_0,3_0</v>
          </cell>
          <cell r="G366" t="str">
            <v>40000_50550105_1_734,40000_50503055_1_1620,4000450_0_1_6450,4000450_0_1_6450,4000450_0_1_6450,30000_90002_3_10000,30000_90003_1_6600</v>
          </cell>
          <cell r="H366">
            <v>0</v>
          </cell>
          <cell r="I366" t="str">
            <v>30000_90004_1_10000,4000450_0_1_6450,4000450_0_1_6450,4000450_0_1_6450</v>
          </cell>
          <cell r="J366">
            <v>0</v>
          </cell>
        </row>
        <row r="367">
          <cell r="E367" t="str">
            <v>3050041_1</v>
          </cell>
          <cell r="F367" t="str">
            <v>1_10000,2_0,3_0</v>
          </cell>
          <cell r="G367" t="str">
            <v>40000_50550075_1_727,40000_50503065_1_1610,4000450_0_1_6475,4000450_0_1_6475,4000450_0_1_6475,30000_90002_3_10000,30000_90003_1_6600</v>
          </cell>
          <cell r="H367">
            <v>0</v>
          </cell>
          <cell r="I367" t="str">
            <v>30000_90004_1_10000,4000450_0_1_6475,4000450_0_1_6475,4000450_0_1_6475</v>
          </cell>
          <cell r="J367">
            <v>0</v>
          </cell>
        </row>
        <row r="368">
          <cell r="E368" t="str">
            <v>3050051_1</v>
          </cell>
          <cell r="F368" t="str">
            <v>1_10000,2_0,3_0</v>
          </cell>
          <cell r="G368" t="str">
            <v>40000_50550085_1_720,40000_50553066_1_1600,4000450_0_1_6500,4000450_0_1_6500,4000450_0_1_6500,30000_90002_3_10000,30000_90003_1_6600</v>
          </cell>
          <cell r="H368">
            <v>0</v>
          </cell>
          <cell r="I368" t="str">
            <v>30000_90004_1_10000,4000450_0_1_6500,4000450_0_1_6500,4000450_0_1_6500</v>
          </cell>
          <cell r="J368">
            <v>0</v>
          </cell>
        </row>
        <row r="369">
          <cell r="E369" t="str">
            <v>3050061_1</v>
          </cell>
          <cell r="F369" t="str">
            <v>1_10000,2_0,3_0</v>
          </cell>
          <cell r="G369" t="str">
            <v>40000_50550035_1_713,40000_50500035_1_1590,4000450_0_1_6525,4000450_0_1_6525,4000450_0_1_6525,30000_90002_3_10000,30000_90003_1_7700</v>
          </cell>
          <cell r="H369">
            <v>0</v>
          </cell>
          <cell r="I369" t="str">
            <v>30000_90004_1_10000,4000450_0_1_6525,4000450_0_1_6525,4000450_0_1_6525</v>
          </cell>
          <cell r="J369">
            <v>0</v>
          </cell>
        </row>
        <row r="370">
          <cell r="E370" t="str">
            <v>3050071_1,3050072_1</v>
          </cell>
          <cell r="F370" t="str">
            <v>1_0,2_10000,3_0</v>
          </cell>
          <cell r="G370" t="str">
            <v>40000_50550025_1_706,40000_50501065_1_1580,4000450_0_1_6550,4000450_0_1_6550,4000450_0_1_6550,30000_90002_3_10000,30000_90003_1_7700</v>
          </cell>
          <cell r="H370">
            <v>0</v>
          </cell>
          <cell r="I370" t="str">
            <v>30000_90004_1_10000,4000450_0_1_6550,4000450_0_1_6550,4000450_0_1_6550</v>
          </cell>
          <cell r="J370">
            <v>0</v>
          </cell>
        </row>
        <row r="371">
          <cell r="E371" t="str">
            <v>3050081_1</v>
          </cell>
          <cell r="F371" t="str">
            <v>1_10000,2_0,3_0</v>
          </cell>
          <cell r="G371" t="str">
            <v>40000_50550095_1_699,40000_50500015_1_1570,4000450_0_1_6575,4000450_0_1_6575,4000450_0_1_6575,30000_90002_3_10000,30000_90003_1_7700</v>
          </cell>
          <cell r="H371">
            <v>0</v>
          </cell>
          <cell r="I371" t="str">
            <v>30000_90004_1_10000,4000450_0_1_6575,4000450_0_1_6575,4000450_0_1_6575</v>
          </cell>
          <cell r="J371">
            <v>0</v>
          </cell>
        </row>
        <row r="372">
          <cell r="E372" t="str">
            <v>3050091_1</v>
          </cell>
          <cell r="F372" t="str">
            <v>1_10000,2_0,3_0</v>
          </cell>
          <cell r="G372" t="str">
            <v>40000_50553055_1_692,40000_50502055_1_1560,4000450_0_1_6600,4000450_0_1_6600,4000450_0_1_6600,30000_90002_3_10000,30000_90003_1_8800</v>
          </cell>
          <cell r="H372">
            <v>0</v>
          </cell>
          <cell r="I372" t="str">
            <v>30000_90004_1_10000,4000450_0_1_6600,4000450_0_1_6600,4000450_0_1_6600</v>
          </cell>
          <cell r="J372">
            <v>0</v>
          </cell>
        </row>
        <row r="373">
          <cell r="E373" t="str">
            <v>3055011_1</v>
          </cell>
          <cell r="F373" t="str">
            <v>1_10000,2_0,3_0</v>
          </cell>
          <cell r="G373" t="str">
            <v>40000_50600025_1_685,40000_50550035_1_1550,4000455_0_1_6625,4000455_0_1_6625,4000455_0_1_6625,30000_90002_3_10000,30000_90003_1_6600</v>
          </cell>
          <cell r="H373">
            <v>0</v>
          </cell>
          <cell r="I373" t="str">
            <v>30000_90004_1_10000,4000455_0_1_6625,4000455_0_1_6625,4000455_0_1_6625</v>
          </cell>
          <cell r="J373">
            <v>0</v>
          </cell>
        </row>
        <row r="374">
          <cell r="E374" t="str">
            <v>3055021_1</v>
          </cell>
          <cell r="F374" t="str">
            <v>1_10000,2_0,3_0</v>
          </cell>
          <cell r="G374" t="str">
            <v>40000_50600105_1_678,40000_50553055_1_1540,4000455_0_1_6650,4000455_0_1_6650,4000455_0_1_6650,30000_90002_3_10000,30000_90003_1_6600</v>
          </cell>
          <cell r="H374">
            <v>0</v>
          </cell>
          <cell r="I374" t="str">
            <v>30000_90004_1_10000,4000455_0_1_6650,4000455_0_1_6650,4000455_0_1_6650</v>
          </cell>
          <cell r="J374">
            <v>0</v>
          </cell>
        </row>
        <row r="375">
          <cell r="E375" t="str">
            <v>3055031_1</v>
          </cell>
          <cell r="F375" t="str">
            <v>1_10000,2_0,3_0</v>
          </cell>
          <cell r="G375" t="str">
            <v>40000_50600045_1_671,40000_50603065_1_1530,4000455_0_1_6675,4000455_0_1_6675,4000455_0_1_6675,30000_90002_3_10000,30000_90003_1_7700</v>
          </cell>
          <cell r="H375">
            <v>0</v>
          </cell>
          <cell r="I375" t="str">
            <v>30000_90004_1_10000,4000455_0_1_6675,4000455_0_1_6675,4000455_0_1_6675</v>
          </cell>
          <cell r="J375">
            <v>0</v>
          </cell>
        </row>
        <row r="376">
          <cell r="E376" t="str">
            <v>3055041_1</v>
          </cell>
          <cell r="F376" t="str">
            <v>1_10000,2_0,3_0</v>
          </cell>
          <cell r="G376" t="str">
            <v>40000_50600035_1_664,40000_50553065_1_1520,4000455_0_1_6700,4000455_0_1_6700,4000455_0_1_6700,30000_90002_3_10000,30000_90003_1_7700</v>
          </cell>
          <cell r="H376">
            <v>0</v>
          </cell>
          <cell r="I376" t="str">
            <v>30000_90004_1_10000,4000455_0_1_6700,4000455_0_1_6700,4000455_0_1_6700</v>
          </cell>
          <cell r="J376">
            <v>0</v>
          </cell>
        </row>
        <row r="377">
          <cell r="E377" t="str">
            <v>3055051_1</v>
          </cell>
          <cell r="F377" t="str">
            <v>1_10000,2_0,3_0</v>
          </cell>
          <cell r="G377" t="str">
            <v>40000_50600095_1_657,40000_50551055_1_1510,4000455_0_1_6725,4000455_0_1_6725,4000455_0_1_6725,30000_90002_3_10000,30000_90003_1_7700</v>
          </cell>
          <cell r="H377">
            <v>0</v>
          </cell>
          <cell r="I377" t="str">
            <v>30000_90004_1_10000,4000455_0_1_6725,4000455_0_1_6725,4000455_0_1_6725</v>
          </cell>
          <cell r="J377">
            <v>0</v>
          </cell>
        </row>
        <row r="378">
          <cell r="E378" t="str">
            <v>3055061_1</v>
          </cell>
          <cell r="F378" t="str">
            <v>1_10000,2_0,3_0</v>
          </cell>
          <cell r="G378" t="str">
            <v>40000_50600075_1_650,40000_50550015_1_1500,4000455_0_1_6750,4000455_0_1_6750,4000455_0_1_6750,30000_90002_3_10000,30000_90003_1_8800</v>
          </cell>
          <cell r="H378">
            <v>0</v>
          </cell>
          <cell r="I378" t="str">
            <v>30000_90004_1_10000,4000455_0_1_6750,4000455_0_1_6750,4000455_0_1_6750</v>
          </cell>
          <cell r="J378">
            <v>0</v>
          </cell>
        </row>
        <row r="379">
          <cell r="E379" t="str">
            <v>3055071_1,3055072_1</v>
          </cell>
          <cell r="F379" t="str">
            <v>1_0,2_10000,3_0</v>
          </cell>
          <cell r="G379" t="str">
            <v>40000_50600015_1_643,40000_50552055_1_1490,4000455_0_1_6775,4000455_0_1_6775,4000455_0_1_6775,30000_90002_3_10000,30000_90003_1_8800</v>
          </cell>
          <cell r="H379">
            <v>0</v>
          </cell>
          <cell r="I379" t="str">
            <v>30000_90004_1_10000,4000455_0_1_6775,4000455_0_1_6775,4000455_0_1_6775</v>
          </cell>
          <cell r="J379">
            <v>0</v>
          </cell>
        </row>
        <row r="380">
          <cell r="E380" t="str">
            <v>3055081_1</v>
          </cell>
          <cell r="F380" t="str">
            <v>1_10000,2_0,3_0</v>
          </cell>
          <cell r="G380" t="str">
            <v>40000_50600085_1_636,40000_50551065_1_1480,4000455_0_1_6800,4000455_0_1_6800,4000455_0_1_6800,30000_90002_3_10000,30000_90003_1_8800</v>
          </cell>
          <cell r="H380">
            <v>0</v>
          </cell>
          <cell r="I380" t="str">
            <v>30000_90004_1_10000,4000455_0_1_6800,4000455_0_1_6800,4000455_0_1_6800</v>
          </cell>
          <cell r="J380">
            <v>0</v>
          </cell>
        </row>
        <row r="381">
          <cell r="E381" t="str">
            <v>3055091_1</v>
          </cell>
          <cell r="F381" t="str">
            <v>1_10000,2_0,3_0</v>
          </cell>
          <cell r="G381" t="str">
            <v>40000_50603056_1_629,40000_50552065_1_1470,4000455_0_1_6825,4000455_0_1_6825,4000455_0_1_6825,30000_90002_3_10000,30000_90003_1_9900</v>
          </cell>
          <cell r="H381">
            <v>0</v>
          </cell>
          <cell r="I381" t="str">
            <v>30000_90004_1_10000,4000455_0_1_6825,4000455_0_1_6825,4000455_0_1_6825</v>
          </cell>
          <cell r="J381">
            <v>0</v>
          </cell>
        </row>
        <row r="382">
          <cell r="E382" t="str">
            <v>3060011_1</v>
          </cell>
          <cell r="F382" t="str">
            <v>1_10000,2_0,3_0</v>
          </cell>
          <cell r="G382" t="str">
            <v>40000_50650035_1_622,40000_50603055_1_1460,4000460_0_1_6850,4000460_0_1_6850,4000460_0_1_6850,30000_90003_1_10000,30000_90004_1_1250</v>
          </cell>
          <cell r="H382">
            <v>0</v>
          </cell>
          <cell r="I382" t="str">
            <v>30000_90005_1_10000,4000460_0_1_6850,4000460_0_1_6850,4000460_0_1_6850</v>
          </cell>
          <cell r="J382">
            <v>0</v>
          </cell>
        </row>
        <row r="383">
          <cell r="E383" t="str">
            <v>3060021_1</v>
          </cell>
          <cell r="F383" t="str">
            <v>1_10000,2_0,3_0</v>
          </cell>
          <cell r="G383" t="str">
            <v>40000_50650025_1_615,40000_50602065_1_1450,4000460_0_1_6875,4000460_0_1_6875,4000460_0_1_6875,30000_90003_1_10000,30000_90004_1_1250</v>
          </cell>
          <cell r="H383">
            <v>0</v>
          </cell>
          <cell r="I383" t="str">
            <v>30000_90005_1_10000,4000460_0_1_6875,4000460_0_1_6875,4000460_0_1_6875</v>
          </cell>
          <cell r="J383">
            <v>0</v>
          </cell>
        </row>
        <row r="384">
          <cell r="E384" t="str">
            <v>3060031_1</v>
          </cell>
          <cell r="F384" t="str">
            <v>1_10000,2_0,3_0</v>
          </cell>
          <cell r="G384" t="str">
            <v>40000_50650085_1_608,40000_50601055_1_1440,4000460_0_1_6900,4000460_0_1_6900,4000460_0_1_6900,30000_90003_1_10000,30000_90004_1_2500</v>
          </cell>
          <cell r="H384">
            <v>0</v>
          </cell>
          <cell r="I384" t="str">
            <v>30000_90005_1_10000,4000460_0_1_6900,4000460_0_1_6900,4000460_0_1_6900</v>
          </cell>
          <cell r="J384">
            <v>0</v>
          </cell>
        </row>
        <row r="385">
          <cell r="E385" t="str">
            <v>3060041_1,3060042_1,3060043_1</v>
          </cell>
          <cell r="F385" t="str">
            <v>1_0,2_0,3_10000</v>
          </cell>
          <cell r="G385" t="str">
            <v>40000_50650105_1_601,40000_50600015_1_1430,4000460_0_1_6925,4000460_0_1_6925,4000460_0_1_6925,30000_90003_1_10000,30000_90004_1_2500</v>
          </cell>
          <cell r="H385">
            <v>0</v>
          </cell>
          <cell r="I385" t="str">
            <v>30000_90005_1_10000,4000460_0_1_6925,4000460_0_1_6925,4000460_0_1_6925</v>
          </cell>
          <cell r="J385">
            <v>0</v>
          </cell>
        </row>
        <row r="386">
          <cell r="E386" t="str">
            <v>3060051_1</v>
          </cell>
          <cell r="F386" t="str">
            <v>1_10000,2_0,3_0</v>
          </cell>
          <cell r="G386" t="str">
            <v>40000_50650045_1_594,40000_50602055_1_1420,4000460_0_1_6950,4000460_0_1_6950,4000460_0_1_6950,30000_90003_1_10000,30000_90004_1_2500</v>
          </cell>
          <cell r="H386">
            <v>0</v>
          </cell>
          <cell r="I386" t="str">
            <v>30000_90005_1_10000,4000460_0_1_6950,4000460_0_1_6950,4000460_0_1_6950</v>
          </cell>
          <cell r="J386">
            <v>0</v>
          </cell>
        </row>
        <row r="387">
          <cell r="E387" t="str">
            <v>3060061_1</v>
          </cell>
          <cell r="F387" t="str">
            <v>1_10000,2_0,3_0</v>
          </cell>
          <cell r="G387" t="str">
            <v>40000_50650095_1_587,40000_50601065_1_1410,4000460_0_1_6975,4000460_0_1_6975,4000460_0_1_6975,30000_90003_1_10000,30000_90004_1_3750</v>
          </cell>
          <cell r="H387">
            <v>0</v>
          </cell>
          <cell r="I387" t="str">
            <v>30000_90005_1_10000,4000460_0_1_6975,4000460_0_1_6975,4000460_0_1_6975</v>
          </cell>
          <cell r="J387">
            <v>0</v>
          </cell>
        </row>
        <row r="388">
          <cell r="E388" t="str">
            <v>3060071_1</v>
          </cell>
          <cell r="F388" t="str">
            <v>1_10000,2_0,3_0</v>
          </cell>
          <cell r="G388" t="str">
            <v>40000_50650015_1_580,40000_50603065_1_1400,4000460_0_1_7000,4000460_0_1_7000,4000460_0_1_7000,30000_90003_1_10000,30000_90004_1_3750</v>
          </cell>
          <cell r="H388">
            <v>0</v>
          </cell>
          <cell r="I388" t="str">
            <v>30000_90005_1_10000,4000460_0_1_7000,4000460_0_1_7000,4000460_0_1_7000</v>
          </cell>
          <cell r="J388">
            <v>0</v>
          </cell>
        </row>
        <row r="389">
          <cell r="E389" t="str">
            <v>3060081_1</v>
          </cell>
          <cell r="F389" t="str">
            <v>1_10000,2_0,3_0</v>
          </cell>
          <cell r="G389" t="str">
            <v>40000_50650075_1_573,40000_50653065_1_1390,4000460_0_1_7025,4000460_0_1_7025,4000460_0_1_7025,30000_90003_1_10000,30000_90004_1_3750</v>
          </cell>
          <cell r="H389">
            <v>0</v>
          </cell>
          <cell r="I389" t="str">
            <v>30000_90005_1_10000,4000460_0_1_7025,4000460_0_1_7025,4000460_0_1_7025</v>
          </cell>
          <cell r="J389">
            <v>0</v>
          </cell>
        </row>
        <row r="390">
          <cell r="E390" t="str">
            <v>3060091_1</v>
          </cell>
          <cell r="F390" t="str">
            <v>1_10000,2_0,3_0</v>
          </cell>
          <cell r="G390" t="str">
            <v>40000_50653055_1_566,40000_50600035_1_1380,4000460_0_1_7050,4000460_0_1_7050,4000460_0_1_7050,30000_90003_1_10000,30000_90004_1_5000</v>
          </cell>
          <cell r="H390">
            <v>0</v>
          </cell>
          <cell r="I390" t="str">
            <v>30000_90005_1_10000,4000460_0_1_7050,4000460_0_1_7050,4000460_0_1_7050</v>
          </cell>
          <cell r="J390">
            <v>0</v>
          </cell>
        </row>
        <row r="391">
          <cell r="E391" t="str">
            <v>3065011_1</v>
          </cell>
          <cell r="F391" t="str">
            <v>1_10000,2_0,3_0</v>
          </cell>
          <cell r="G391" t="str">
            <v>40000_50700105_1_559,40000_50650015_1_1370,4000465_0_1_7075,4000465_0_1_7075,4000465_0_1_7075,30000_90003_1_10000,30000_90004_1_2500</v>
          </cell>
          <cell r="H391">
            <v>0</v>
          </cell>
          <cell r="I391" t="str">
            <v>30000_90005_1_10000,4000465_0_1_7075,4000465_0_1_7075,4000465_0_1_7075</v>
          </cell>
          <cell r="J391">
            <v>0</v>
          </cell>
        </row>
        <row r="392">
          <cell r="E392" t="str">
            <v>3065021_1</v>
          </cell>
          <cell r="F392" t="str">
            <v>1_10000,2_0,3_0</v>
          </cell>
          <cell r="G392" t="str">
            <v>40000_50700095_1_552,40000_50651065_1_1360,4000465_0_1_7100,4000465_0_1_7100,4000465_0_1_7100,30000_90003_1_10000,30000_90004_1_2500</v>
          </cell>
          <cell r="H392">
            <v>0</v>
          </cell>
          <cell r="I392" t="str">
            <v>30000_90005_1_10000,4000465_0_1_7100,4000465_0_1_7100,4000465_0_1_7100</v>
          </cell>
          <cell r="J392">
            <v>0</v>
          </cell>
        </row>
        <row r="393">
          <cell r="E393" t="str">
            <v>3065031_1</v>
          </cell>
          <cell r="F393" t="str">
            <v>1_10000,2_0,3_0</v>
          </cell>
          <cell r="G393" t="str">
            <v>40000_50700075_1_545,40000_50703065_1_1350,4000465_0_1_7125,4000465_0_1_7125,4000465_0_1_7125,30000_90003_1_10000,30000_90004_1_3750</v>
          </cell>
          <cell r="H393">
            <v>0</v>
          </cell>
          <cell r="I393" t="str">
            <v>30000_90005_1_10000,4000465_0_1_7125,4000465_0_1_7125,4000465_0_1_7125</v>
          </cell>
          <cell r="J393">
            <v>0</v>
          </cell>
        </row>
        <row r="394">
          <cell r="E394" t="str">
            <v>3065041_1,3065042_1,3065043_1</v>
          </cell>
          <cell r="F394" t="str">
            <v>1_0,2_0,3_10000</v>
          </cell>
          <cell r="G394" t="str">
            <v>40000_50700085_1_538,40000_50653065_1_1340,4000465_0_1_7150,4000465_0_1_7150,4000465_0_1_7150,30000_90003_1_10000,30000_90004_1_3750</v>
          </cell>
          <cell r="H394">
            <v>0</v>
          </cell>
          <cell r="I394" t="str">
            <v>30000_90005_1_10000,4000465_0_1_7150,4000465_0_1_7150,4000465_0_1_7150</v>
          </cell>
          <cell r="J394">
            <v>0</v>
          </cell>
        </row>
        <row r="395">
          <cell r="E395" t="str">
            <v>3065051_1</v>
          </cell>
          <cell r="F395" t="str">
            <v>1_10000,2_0,3_0</v>
          </cell>
          <cell r="G395" t="str">
            <v>40000_50700045_1_531,40000_50653055_1_1330,4000465_0_1_7175,4000465_0_1_7175,4000465_0_1_7175,30000_90003_1_10000,30000_90004_1_3750</v>
          </cell>
          <cell r="H395">
            <v>0</v>
          </cell>
          <cell r="I395" t="str">
            <v>30000_90005_1_10000,4000465_0_1_7175,4000465_0_1_7175,4000465_0_1_7175</v>
          </cell>
          <cell r="J395">
            <v>0</v>
          </cell>
        </row>
        <row r="396">
          <cell r="E396" t="str">
            <v>3065061_1</v>
          </cell>
          <cell r="F396" t="str">
            <v>1_10000,2_0,3_0</v>
          </cell>
          <cell r="G396" t="str">
            <v>40000_50700015_1_524,40000_50652065_1_1320,4000465_0_1_7200,4000465_0_1_7200,4000465_0_1_7200,30000_90003_1_10000,30000_90004_1_5000</v>
          </cell>
          <cell r="H396">
            <v>0</v>
          </cell>
          <cell r="I396" t="str">
            <v>30000_90005_1_10000,4000465_0_1_7200,4000465_0_1_7200,4000465_0_1_7200</v>
          </cell>
          <cell r="J396">
            <v>0</v>
          </cell>
        </row>
        <row r="397">
          <cell r="E397" t="str">
            <v>3065071_1</v>
          </cell>
          <cell r="F397" t="str">
            <v>1_10000,2_0,3_0</v>
          </cell>
          <cell r="G397" t="str">
            <v>40000_50700025_1_517,40000_50652055_1_1310,4000465_0_1_7225,4000465_0_1_7225,4000465_0_1_7225,30000_90003_1_10000,30000_90004_1_5000</v>
          </cell>
          <cell r="H397">
            <v>0</v>
          </cell>
          <cell r="I397" t="str">
            <v>30000_90005_1_10000,4000465_0_1_7225,4000465_0_1_7225,4000465_0_1_7225</v>
          </cell>
          <cell r="J397">
            <v>0</v>
          </cell>
        </row>
        <row r="398">
          <cell r="E398" t="str">
            <v>3065081_1</v>
          </cell>
          <cell r="F398" t="str">
            <v>1_10000,2_0,3_0</v>
          </cell>
          <cell r="G398" t="str">
            <v>40000_50700035_1_510,40000_50650035_1_1300,4000465_0_1_7250,4000465_0_1_7250,4000465_0_1_7250,30000_90003_1_10000,30000_90004_1_5000</v>
          </cell>
          <cell r="H398">
            <v>0</v>
          </cell>
          <cell r="I398" t="str">
            <v>30000_90005_1_10000,4000465_0_1_7250,4000465_0_1_7250,4000465_0_1_7250</v>
          </cell>
          <cell r="J398">
            <v>0</v>
          </cell>
        </row>
        <row r="399">
          <cell r="E399" t="str">
            <v>3065091_1</v>
          </cell>
          <cell r="F399" t="str">
            <v>1_10000,2_0,3_0</v>
          </cell>
          <cell r="G399" t="str">
            <v>40000_50703055_1_503,40000_50651055_1_1290,4000465_0_1_7275,4000465_0_1_7275,4000465_0_1_7275,30000_90003_1_10000,30000_90004_1_6250</v>
          </cell>
          <cell r="H399">
            <v>0</v>
          </cell>
          <cell r="I399" t="str">
            <v>30000_90005_1_10000,4000465_0_1_7275,4000465_0_1_7275,4000465_0_1_7275</v>
          </cell>
          <cell r="J399">
            <v>0</v>
          </cell>
        </row>
        <row r="400">
          <cell r="E400" t="str">
            <v>3070011_1</v>
          </cell>
          <cell r="F400" t="str">
            <v>1_10000,2_0,3_0</v>
          </cell>
          <cell r="G400" t="str">
            <v>40000_50750045_1_496,40000_50700015_1_1280,4000470_0_1_7300,4000470_0_1_7300,4000470_0_1_7300,30000_90003_1_10000,30000_90004_1_3750</v>
          </cell>
          <cell r="H400">
            <v>0</v>
          </cell>
          <cell r="I400" t="str">
            <v>30000_90005_1_10000,4000470_0_1_7300,4000470_0_1_7300,4000470_0_1_7300</v>
          </cell>
          <cell r="J400">
            <v>0</v>
          </cell>
        </row>
        <row r="401">
          <cell r="E401" t="str">
            <v>3070021_1</v>
          </cell>
          <cell r="F401" t="str">
            <v>1_10000,2_0,3_0</v>
          </cell>
          <cell r="G401" t="str">
            <v>40000_50750025_1_489,40000_50701065_1_1270,4000470_0_1_7325,4000470_0_1_7325,4000470_0_1_7325,30000_90003_1_10000,30000_90004_1_3750</v>
          </cell>
          <cell r="H401">
            <v>0</v>
          </cell>
          <cell r="I401" t="str">
            <v>30000_90005_1_10000,4000470_0_1_7325,4000470_0_1_7325,4000470_0_1_7325</v>
          </cell>
          <cell r="J401">
            <v>0</v>
          </cell>
        </row>
        <row r="402">
          <cell r="E402" t="str">
            <v>3070031_1</v>
          </cell>
          <cell r="F402" t="str">
            <v>1_10000,2_0,3_0</v>
          </cell>
          <cell r="G402" t="str">
            <v>40000_50750095_1_482,40000_50702055_1_1260,4000470_0_1_7350,4000470_0_1_7350,4000470_0_1_7350,30000_90003_1_10000,30000_90004_1_5000</v>
          </cell>
          <cell r="H402">
            <v>0</v>
          </cell>
          <cell r="I402" t="str">
            <v>30000_90005_1_10000,4000470_0_1_7350,4000470_0_1_7350,4000470_0_1_7350</v>
          </cell>
          <cell r="J402">
            <v>0</v>
          </cell>
        </row>
        <row r="403">
          <cell r="E403" t="str">
            <v>3070041_1,3070042_1,3070043_1</v>
          </cell>
          <cell r="F403" t="str">
            <v>1_0,2_0,3_10000</v>
          </cell>
          <cell r="G403" t="str">
            <v>40000_50750035_1_475,40000_50753066_1_1250,4000470_0_1_7375,4000470_0_1_7375,4000470_0_1_7375,30000_90003_1_10000,30000_90004_1_5000</v>
          </cell>
          <cell r="H403">
            <v>0</v>
          </cell>
          <cell r="I403" t="str">
            <v>30000_90005_1_10000,4000470_0_1_7375,4000470_0_1_7375,4000470_0_1_7375</v>
          </cell>
          <cell r="J403">
            <v>0</v>
          </cell>
        </row>
        <row r="404">
          <cell r="E404" t="str">
            <v>3070051_1</v>
          </cell>
          <cell r="F404" t="str">
            <v>1_10000,2_0,3_0</v>
          </cell>
          <cell r="G404" t="str">
            <v>40000_50750085_1_468,40000_50703065_1_1240,4000470_0_1_7400,4000470_0_1_7400,4000470_0_1_7400,30000_90003_1_10000,30000_90004_1_5000</v>
          </cell>
          <cell r="H404">
            <v>0</v>
          </cell>
          <cell r="I404" t="str">
            <v>30000_90005_1_10000,4000470_0_1_7400,4000470_0_1_7400,4000470_0_1_7400</v>
          </cell>
          <cell r="J404">
            <v>0</v>
          </cell>
        </row>
        <row r="405">
          <cell r="E405" t="str">
            <v>3070061_1</v>
          </cell>
          <cell r="F405" t="str">
            <v>1_10000,2_0,3_0</v>
          </cell>
          <cell r="G405" t="str">
            <v>40000_50750105_1_461,40000_50702065_1_1230,4000470_0_1_7425,4000470_0_1_7425,4000470_0_1_7425,30000_90003_1_10000,30000_90004_1_6250</v>
          </cell>
          <cell r="H405">
            <v>0</v>
          </cell>
          <cell r="I405" t="str">
            <v>30000_90005_1_10000,4000470_0_1_7425,4000470_0_1_7425,4000470_0_1_7425</v>
          </cell>
          <cell r="J405">
            <v>0</v>
          </cell>
        </row>
        <row r="406">
          <cell r="E406" t="str">
            <v>3070071_1</v>
          </cell>
          <cell r="F406" t="str">
            <v>1_10000,2_0,3_0</v>
          </cell>
          <cell r="G406" t="str">
            <v>40000_50750015_1_454,40000_50700035_1_1220,4000470_0_1_7450,4000470_0_1_7450,4000470_0_1_7450,30000_90003_1_10000,30000_90004_1_6250</v>
          </cell>
          <cell r="H406">
            <v>0</v>
          </cell>
          <cell r="I406" t="str">
            <v>30000_90005_1_10000,4000470_0_1_7450,4000470_0_1_7450,4000470_0_1_7450</v>
          </cell>
          <cell r="J406">
            <v>0</v>
          </cell>
        </row>
        <row r="407">
          <cell r="E407" t="str">
            <v>3070081_1</v>
          </cell>
          <cell r="F407" t="str">
            <v>1_10000,2_0,3_0</v>
          </cell>
          <cell r="G407" t="str">
            <v>40000_50750035_1_447,40000_50703055_1_1210,4000470_0_1_7475,4000470_0_1_7475,4000470_0_1_7475,30000_90003_1_10000,30000_90004_1_6250</v>
          </cell>
          <cell r="H407">
            <v>0</v>
          </cell>
          <cell r="I407" t="str">
            <v>30000_90005_1_10000,4000470_0_1_7475,4000470_0_1_7475,4000470_0_1_7475</v>
          </cell>
          <cell r="J407">
            <v>0</v>
          </cell>
        </row>
        <row r="408">
          <cell r="E408" t="str">
            <v>3070091_1</v>
          </cell>
          <cell r="F408" t="str">
            <v>1_10000,2_0,3_0</v>
          </cell>
          <cell r="G408" t="str">
            <v>40000_50753056_1_440,40000_50701055_1_1200,4000470_0_1_7500,4000470_0_1_7500,4000470_0_1_7500,30000_90003_1_10000,30000_90004_1_7500</v>
          </cell>
          <cell r="H408">
            <v>0</v>
          </cell>
          <cell r="I408" t="str">
            <v>30000_90005_1_10000,4000470_0_1_7500,4000470_0_1_7500,4000470_0_1_7500</v>
          </cell>
          <cell r="J408">
            <v>0</v>
          </cell>
        </row>
        <row r="409">
          <cell r="E409" t="str">
            <v>3075011_1</v>
          </cell>
          <cell r="F409" t="str">
            <v>1_10000,2_0,3_0</v>
          </cell>
          <cell r="G409" t="str">
            <v>40000_50800105_1_433,40000_50752055_1_1190,4004074_0_1_7525,4004074_0_1_7525,4004074_0_1_7525,30000_90003_1_10000,30000_90004_1_5000</v>
          </cell>
          <cell r="H409">
            <v>0</v>
          </cell>
          <cell r="I409" t="str">
            <v>30000_90005_1_10000,4004074_0_1_7525,4004074_0_1_7525,4004074_0_1_7525</v>
          </cell>
          <cell r="J409">
            <v>0</v>
          </cell>
        </row>
        <row r="410">
          <cell r="E410" t="str">
            <v>3075021_1</v>
          </cell>
          <cell r="F410" t="str">
            <v>1_10000,2_0,3_0</v>
          </cell>
          <cell r="G410" t="str">
            <v>40000_50800085_1_426,40000_50803066_1_1180,4004074_0_1_7550,4004074_0_1_7550,4004074_0_1_7550,30000_90003_1_10000,30000_90004_1_5000</v>
          </cell>
          <cell r="H410">
            <v>0</v>
          </cell>
          <cell r="I410" t="str">
            <v>30000_90005_1_10000,4004074_0_1_7550,4004074_0_1_7550,4004074_0_1_7550</v>
          </cell>
          <cell r="J410">
            <v>0</v>
          </cell>
        </row>
        <row r="411">
          <cell r="E411" t="str">
            <v>3075031_1</v>
          </cell>
          <cell r="F411" t="str">
            <v>1_10000,2_0,3_0</v>
          </cell>
          <cell r="G411" t="str">
            <v>40000_50800095_1_419,40000_50751065_1_1170,4004074_0_1_7575,4004074_0_1_7575,4004074_0_1_7575,30000_90003_1_10000,30000_90004_1_6250</v>
          </cell>
          <cell r="H411">
            <v>0</v>
          </cell>
          <cell r="I411" t="str">
            <v>30000_90005_1_10000,4004074_0_1_7575,4004074_0_1_7575,4004074_0_1_7575</v>
          </cell>
          <cell r="J411">
            <v>0</v>
          </cell>
        </row>
        <row r="412">
          <cell r="E412" t="str">
            <v>3075041_1,3075042_1,3075043_1</v>
          </cell>
          <cell r="F412" t="str">
            <v>1_0,2_0,3_10000</v>
          </cell>
          <cell r="G412" t="str">
            <v>40000_50800075_1_412,40000_50750035_1_1160,4004074_0_1_7600,4004074_0_1_7600,4004074_0_1_7600,30000_90003_1_10000,30000_90004_1_6250</v>
          </cell>
          <cell r="H412">
            <v>0</v>
          </cell>
          <cell r="I412" t="str">
            <v>30000_90005_1_10000,4004074_0_1_7600,4004074_0_1_7600,4004074_0_1_7600</v>
          </cell>
          <cell r="J412">
            <v>0</v>
          </cell>
        </row>
        <row r="413">
          <cell r="E413" t="str">
            <v>3075051_1</v>
          </cell>
          <cell r="F413" t="str">
            <v>1_10000,2_0,3_0</v>
          </cell>
          <cell r="G413" t="str">
            <v>40000_50800025_1_405,40000_50753065_1_1150,4004074_0_1_7625,4004074_0_1_7625,4004074_0_1_7625,30000_90003_1_10000,30000_90004_1_6250</v>
          </cell>
          <cell r="H413">
            <v>0</v>
          </cell>
          <cell r="I413" t="str">
            <v>30000_90005_1_10000,4004074_0_1_7625,4004074_0_1_7625,4004074_0_1_7625</v>
          </cell>
          <cell r="J413">
            <v>0</v>
          </cell>
        </row>
        <row r="414">
          <cell r="E414" t="str">
            <v>3075061_1</v>
          </cell>
          <cell r="F414" t="str">
            <v>1_10000,2_0,3_0</v>
          </cell>
          <cell r="G414" t="str">
            <v>40000_50800045_1_398,40000_50752065_1_1140,4004074_0_1_7650,4004074_0_1_7650,4004074_0_1_7650,30000_90003_1_10000,30000_90004_1_7500</v>
          </cell>
          <cell r="H414">
            <v>0</v>
          </cell>
          <cell r="I414" t="str">
            <v>30000_90005_1_10000,4004074_0_1_7650,4004074_0_1_7650,4004074_0_1_7650</v>
          </cell>
          <cell r="J414">
            <v>0</v>
          </cell>
        </row>
        <row r="415">
          <cell r="E415" t="str">
            <v>3075071_1</v>
          </cell>
          <cell r="F415" t="str">
            <v>1_10000,2_0,3_0</v>
          </cell>
          <cell r="G415" t="str">
            <v>40000_50800035_1_391,40000_50753055_1_1130,4004074_0_1_7675,4004074_0_1_7675,4004074_0_1_7675,30000_90003_1_10000,30000_90004_1_7500</v>
          </cell>
          <cell r="H415">
            <v>0</v>
          </cell>
          <cell r="I415" t="str">
            <v>30000_90005_1_10000,4004074_0_1_7675,4004074_0_1_7675,4004074_0_1_7675</v>
          </cell>
          <cell r="J415">
            <v>0</v>
          </cell>
        </row>
        <row r="416">
          <cell r="E416" t="str">
            <v>3075081_1</v>
          </cell>
          <cell r="F416" t="str">
            <v>1_10000,2_0,3_0</v>
          </cell>
          <cell r="G416" t="str">
            <v>40000_50800015_1_384,40000_50751055_1_1120,4004074_0_1_7700,4004074_0_1_7700,4004074_0_1_7700,30000_90003_1_10000,30000_90004_1_7500</v>
          </cell>
          <cell r="H416">
            <v>0</v>
          </cell>
          <cell r="I416" t="str">
            <v>30000_90005_1_10000,4004074_0_1_7700,4004074_0_1_7700,4004074_0_1_7700</v>
          </cell>
          <cell r="J416">
            <v>0</v>
          </cell>
        </row>
        <row r="417">
          <cell r="E417" t="str">
            <v>3075091_1</v>
          </cell>
          <cell r="F417" t="str">
            <v>1_10000,2_0,3_0</v>
          </cell>
          <cell r="G417" t="str">
            <v>40000_50803056_1_377,40000_50750015_1_1110,4004074_0_1_7725,4004074_0_1_7725,4004074_0_1_7725,30000_90003_1_10000,30000_90004_1_8750</v>
          </cell>
          <cell r="H417">
            <v>0</v>
          </cell>
          <cell r="I417" t="str">
            <v>30000_90005_1_10000,4004074_0_1_7725,4004074_0_1_7725,4004074_0_1_7725</v>
          </cell>
          <cell r="J417">
            <v>0</v>
          </cell>
        </row>
        <row r="418">
          <cell r="E418" t="str">
            <v>3080011_1</v>
          </cell>
          <cell r="F418" t="str">
            <v>1_10000,2_0,3_0</v>
          </cell>
          <cell r="G418" t="str">
            <v>40000_50850105_1_370,40000_50802065_1_1100,4004078_0_1_7750,4004078_0_1_7750,4004078_0_1_7750,30000_90003_1_10000,30000_90004_1_6250</v>
          </cell>
          <cell r="H418">
            <v>0</v>
          </cell>
          <cell r="I418" t="str">
            <v>30000_90005_1_10000,4004078_0_1_7750,4004078_0_1_7750,4004078_0_1_7750</v>
          </cell>
          <cell r="J418">
            <v>0</v>
          </cell>
        </row>
        <row r="419">
          <cell r="E419" t="str">
            <v>3080021_1</v>
          </cell>
          <cell r="F419" t="str">
            <v>1_10000,2_0,3_0</v>
          </cell>
          <cell r="G419" t="str">
            <v>40000_50850085_1_363,40000_50802055_1_1090,4004078_0_1_7775,4004078_0_1_7775,4004078_0_1_7775,30000_90003_1_10000,30000_90004_1_6250</v>
          </cell>
          <cell r="H419">
            <v>0</v>
          </cell>
          <cell r="I419" t="str">
            <v>30000_90005_1_10000,4004078_0_1_7775,4004078_0_1_7775,4004078_0_1_7775</v>
          </cell>
          <cell r="J419">
            <v>0</v>
          </cell>
        </row>
        <row r="420">
          <cell r="E420" t="str">
            <v>3080031_1</v>
          </cell>
          <cell r="F420" t="str">
            <v>1_10000,2_0,3_0</v>
          </cell>
          <cell r="G420" t="str">
            <v>40000_50850045_1_356,40000_50800015_1_1080,4004078_0_1_7800,4004078_0_1_7800,4004078_0_1_7800,30000_90003_1_10000,30000_90004_1_7500</v>
          </cell>
          <cell r="H420">
            <v>0</v>
          </cell>
          <cell r="I420" t="str">
            <v>30000_90005_1_10000,4004078_0_1_7800,4004078_0_1_7800,4004078_0_1_7800</v>
          </cell>
          <cell r="J420">
            <v>0</v>
          </cell>
        </row>
        <row r="421">
          <cell r="E421" t="str">
            <v>3080041_1,3080042_1,3080043_1</v>
          </cell>
          <cell r="F421" t="str">
            <v>1_0,2_0,3_10000</v>
          </cell>
          <cell r="G421" t="str">
            <v>40000_50850025_1_349,40000_50801055_1_1070,4004078_0_1_7825,4004078_0_1_7825,4004078_0_1_7825,30000_90003_1_10000,30000_90004_1_7500</v>
          </cell>
          <cell r="H421">
            <v>0</v>
          </cell>
          <cell r="I421" t="str">
            <v>30000_90005_1_10000,4004078_0_1_7825,4004078_0_1_7825,4004078_0_1_7825</v>
          </cell>
          <cell r="J421">
            <v>0</v>
          </cell>
        </row>
        <row r="422">
          <cell r="E422" t="str">
            <v>3080051_1</v>
          </cell>
          <cell r="F422" t="str">
            <v>1_10000,2_0,3_0</v>
          </cell>
          <cell r="G422" t="str">
            <v>40000_50850075_1_342,40000_50801065_1_1060,4004078_0_1_7850,4004078_0_1_7850,4004078_0_1_7850,30000_90003_1_10000,30000_90004_1_7500</v>
          </cell>
          <cell r="H422">
            <v>0</v>
          </cell>
          <cell r="I422" t="str">
            <v>30000_90005_1_10000,4004078_0_1_7850,4004078_0_1_7850,4004078_0_1_7850</v>
          </cell>
          <cell r="J422">
            <v>0</v>
          </cell>
        </row>
        <row r="423">
          <cell r="E423" t="str">
            <v>3080061_1</v>
          </cell>
          <cell r="F423" t="str">
            <v>1_10000,2_0,3_0</v>
          </cell>
          <cell r="G423" t="str">
            <v>40000_50850095_1_335,40000_50803055_1_1050,4004078_0_1_7875,4004078_0_1_7875,4004078_0_1_7875,30000_90003_1_10000,30000_90004_1_8750</v>
          </cell>
          <cell r="H423">
            <v>0</v>
          </cell>
          <cell r="I423" t="str">
            <v>30000_90005_1_10000,4004078_0_1_7875,4004078_0_1_7875,4004078_0_1_7875</v>
          </cell>
          <cell r="J423">
            <v>0</v>
          </cell>
        </row>
        <row r="424">
          <cell r="E424" t="str">
            <v>3080071_1</v>
          </cell>
          <cell r="F424" t="str">
            <v>1_10000,2_0,3_0</v>
          </cell>
          <cell r="G424" t="str">
            <v>40000_50850015_1_328,40000_50803065_1_1040,4004078_0_1_7900,4004078_0_1_7900,4004078_0_1_7900,30000_90003_1_10000,30000_90004_1_8750</v>
          </cell>
          <cell r="H424">
            <v>0</v>
          </cell>
          <cell r="I424" t="str">
            <v>30000_90005_1_10000,4004078_0_1_7900,4004078_0_1_7900,4004078_0_1_7900</v>
          </cell>
          <cell r="J424">
            <v>0</v>
          </cell>
        </row>
        <row r="425">
          <cell r="E425" t="str">
            <v>3080081_1</v>
          </cell>
          <cell r="F425" t="str">
            <v>1_10000,2_0,3_0</v>
          </cell>
          <cell r="G425" t="str">
            <v>40000_50850035_1_321,40000_50800035_1_1030,4004078_0_1_7925,4004078_0_1_7925,4004078_0_1_7925,30000_90003_1_10000,30000_90004_1_8750</v>
          </cell>
          <cell r="H425">
            <v>0</v>
          </cell>
          <cell r="I425" t="str">
            <v>30000_90005_1_10000,4004078_0_1_7925,4004078_0_1_7925,4004078_0_1_7925</v>
          </cell>
          <cell r="J425">
            <v>0</v>
          </cell>
        </row>
        <row r="426">
          <cell r="E426" t="str">
            <v>3080091_1</v>
          </cell>
          <cell r="F426" t="str">
            <v>1_10000,2_0,3_0</v>
          </cell>
          <cell r="G426" t="str">
            <v>40000_50853056_1_314,40000_50853066_1_1020,4004078_0_1_7950,4004078_0_1_7950,4004078_0_1_7950,30000_90003_1_10000,30000_90004_1_10000</v>
          </cell>
          <cell r="H426">
            <v>0</v>
          </cell>
          <cell r="I426" t="str">
            <v>30000_90005_1_10000,4004078_0_1_7950,4004078_0_1_7950,4004078_0_1_7950</v>
          </cell>
          <cell r="J426">
            <v>0</v>
          </cell>
        </row>
        <row r="427">
          <cell r="E427" t="str">
            <v>3085011_1</v>
          </cell>
          <cell r="F427" t="str">
            <v>1_10000,2_0,3_0</v>
          </cell>
          <cell r="G427" t="str">
            <v>40000_50900105_1_307,40000_50852065_1_1010,4004082_0_1_7975,4004082_0_1_7975,4004082_0_1_7975,30000_90004_1_10000,30000_90005_1_1400</v>
          </cell>
          <cell r="H427">
            <v>0</v>
          </cell>
          <cell r="I427" t="str">
            <v>30000_90006_1_10000,4004082_0_1_7975,4004082_0_1_7975,4004082_0_1_7975</v>
          </cell>
          <cell r="J427">
            <v>0</v>
          </cell>
        </row>
        <row r="428">
          <cell r="E428" t="str">
            <v>3085021_1</v>
          </cell>
          <cell r="F428" t="str">
            <v>1_10000,2_0,3_0</v>
          </cell>
          <cell r="G428" t="str">
            <v>40000_50900025_1_300,40000_50853065_1_1000,4004082_0_1_8000,4004082_0_1_8000,4004082_0_1_8000,30000_90004_1_10000,30000_90005_1_1400</v>
          </cell>
          <cell r="H428">
            <v>0</v>
          </cell>
          <cell r="I428" t="str">
            <v>30000_90006_1_10000,4004082_0_1_8000,4004082_0_1_8000,4004082_0_1_8000</v>
          </cell>
          <cell r="J428">
            <v>0</v>
          </cell>
        </row>
        <row r="429">
          <cell r="E429" t="str">
            <v>3085031_1</v>
          </cell>
          <cell r="F429" t="str">
            <v>1_10000,2_0,3_0</v>
          </cell>
          <cell r="G429" t="str">
            <v>40000_50900045_1_293,40000_50851055_1_990,4004082_0_1_8025,4004082_0_1_8025,4004082_0_1_8025,30000_90004_1_10000,30000_90005_1_2800</v>
          </cell>
          <cell r="H429">
            <v>0</v>
          </cell>
          <cell r="I429" t="str">
            <v>30000_90006_1_10000,4004082_0_1_8025,4004082_0_1_8025,4004082_0_1_8025</v>
          </cell>
          <cell r="J429">
            <v>0</v>
          </cell>
        </row>
        <row r="430">
          <cell r="E430" t="str">
            <v>3085041_1</v>
          </cell>
          <cell r="F430" t="str">
            <v>1_10000,2_0,3_0</v>
          </cell>
          <cell r="G430" t="str">
            <v>40000_50900075_1_286,40000_50851065_1_980,4004082_0_1_8050,4004082_0_1_8050,4004082_0_1_8050,30000_90004_1_10000,30000_90005_1_2800</v>
          </cell>
          <cell r="H430">
            <v>0</v>
          </cell>
          <cell r="I430" t="str">
            <v>30000_90006_1_10000,4004082_0_1_8050,4004082_0_1_8050,4004082_0_1_8050</v>
          </cell>
          <cell r="J430">
            <v>0</v>
          </cell>
        </row>
        <row r="431">
          <cell r="E431" t="str">
            <v>3085051_1,3085052_1,3085053_1</v>
          </cell>
          <cell r="F431" t="str">
            <v>1_0,2_0,3_10000</v>
          </cell>
          <cell r="G431" t="str">
            <v>40000_50900085_1_279,40000_50850035_1_970,4004082_0_1_8075,4004082_0_1_8075,4004082_0_1_8075,30000_90004_1_10000,30000_90005_1_2800</v>
          </cell>
          <cell r="H431">
            <v>0</v>
          </cell>
          <cell r="I431" t="str">
            <v>30000_90006_1_10000,4004082_0_1_8075,4004082_0_1_8075,4004082_0_1_8075</v>
          </cell>
          <cell r="J431">
            <v>0</v>
          </cell>
        </row>
        <row r="432">
          <cell r="E432" t="str">
            <v>3085061_1</v>
          </cell>
          <cell r="F432" t="str">
            <v>1_10000,2_0,3_0</v>
          </cell>
          <cell r="G432" t="str">
            <v>40000_50900095_1_272,40000_50850015_1_960,4004082_0_1_8100,4004082_0_1_8100,4004082_0_1_8100,30000_90004_1_10000,30000_90005_1_4200</v>
          </cell>
          <cell r="H432">
            <v>0</v>
          </cell>
          <cell r="I432" t="str">
            <v>30000_90006_1_10000,4004082_0_1_8100,4004082_0_1_8100,4004082_0_1_8100</v>
          </cell>
          <cell r="J432">
            <v>0</v>
          </cell>
        </row>
        <row r="433">
          <cell r="E433" t="str">
            <v>3085071_1</v>
          </cell>
          <cell r="F433" t="str">
            <v>1_10000,2_0,3_0</v>
          </cell>
          <cell r="G433" t="str">
            <v>40000_50900015_1_265,40000_50853055_1_950,4004082_0_1_8125,4004082_0_1_8125,4004082_0_1_8125,30000_90004_1_10000,30000_90005_1_4200</v>
          </cell>
          <cell r="H433">
            <v>0</v>
          </cell>
          <cell r="I433" t="str">
            <v>30000_90006_1_10000,4004082_0_1_8125,4004082_0_1_8125,4004082_0_1_8125</v>
          </cell>
          <cell r="J433">
            <v>0</v>
          </cell>
        </row>
        <row r="434">
          <cell r="E434" t="str">
            <v>3085081_1</v>
          </cell>
          <cell r="F434" t="str">
            <v>1_10000,2_0,3_0</v>
          </cell>
          <cell r="G434" t="str">
            <v>40000_50900035_1_258,40000_50852055_1_940,4004082_0_1_8150,4004082_0_1_8150,4004082_0_1_8150,30000_90004_1_10000,30000_90005_1_4200</v>
          </cell>
          <cell r="H434">
            <v>0</v>
          </cell>
          <cell r="I434" t="str">
            <v>30000_90006_1_10000,4004082_0_1_8150,4004082_0_1_8150,4004082_0_1_8150</v>
          </cell>
          <cell r="J434">
            <v>0</v>
          </cell>
        </row>
        <row r="435">
          <cell r="E435" t="str">
            <v>3085091_1</v>
          </cell>
          <cell r="F435" t="str">
            <v>1_10000,2_0,3_0</v>
          </cell>
          <cell r="G435" t="str">
            <v>40000_50903055_1_251,40000_50903066_1_930,4004082_0_1_8175,4004082_0_1_8175,4004082_0_1_8175,30000_90004_1_10000,30000_90005_1_5600</v>
          </cell>
          <cell r="H435">
            <v>0</v>
          </cell>
          <cell r="I435" t="str">
            <v>30000_90006_1_10000,4004082_0_1_8175,4004082_0_1_8175,4004082_0_1_8175</v>
          </cell>
          <cell r="J435">
            <v>0</v>
          </cell>
        </row>
        <row r="436">
          <cell r="E436" t="str">
            <v>3090011_1</v>
          </cell>
          <cell r="F436" t="str">
            <v>1_10000,2_0,3_0</v>
          </cell>
          <cell r="G436" t="str">
            <v>40000_50900105_1_244,40000_50902055_1_920,4004086_0_1_8200,4004086_0_1_8200,4004086_0_1_8200,30000_90004_1_10000,30000_90005_1_2800</v>
          </cell>
          <cell r="H436">
            <v>0</v>
          </cell>
          <cell r="I436" t="str">
            <v>30000_90006_1_10000,4004086_0_1_8200,4004086_0_1_8200,4004086_0_1_8200</v>
          </cell>
          <cell r="J436">
            <v>0</v>
          </cell>
        </row>
        <row r="437">
          <cell r="E437" t="str">
            <v>3090021_1</v>
          </cell>
          <cell r="F437" t="str">
            <v>1_10000,2_0,3_0</v>
          </cell>
          <cell r="G437" t="str">
            <v>40000_50900025_1_237,40000_50900035_1_910,4004086_0_1_8225,4004086_0_1_8225,4004086_0_1_8225,30000_90004_1_10000,30000_90005_1_2800</v>
          </cell>
          <cell r="H437">
            <v>0</v>
          </cell>
          <cell r="I437" t="str">
            <v>30000_90006_1_10000,4004086_0_1_8225,4004086_0_1_8225,4004086_0_1_8225</v>
          </cell>
          <cell r="J437">
            <v>0</v>
          </cell>
        </row>
        <row r="438">
          <cell r="E438" t="str">
            <v>3090031_1</v>
          </cell>
          <cell r="F438" t="str">
            <v>1_10000,2_0,3_0</v>
          </cell>
          <cell r="G438" t="str">
            <v>40000_50900046_1_230,40000_50902065_1_900,4004086_0_1_8250,4004086_0_1_8250,4004086_0_1_8250,30000_90004_1_10000,30000_90005_1_4200</v>
          </cell>
          <cell r="H438">
            <v>0</v>
          </cell>
          <cell r="I438" t="str">
            <v>30000_90006_1_10000,4004086_0_1_8250,4004086_0_1_8250,4004086_0_1_8250</v>
          </cell>
          <cell r="J438">
            <v>0</v>
          </cell>
        </row>
        <row r="439">
          <cell r="E439" t="str">
            <v>3090041_1</v>
          </cell>
          <cell r="F439" t="str">
            <v>1_10000,2_0,3_0</v>
          </cell>
          <cell r="G439" t="str">
            <v>40000_50900076_1_223,40000_50901055_1_890,4004086_0_1_8275,4004086_0_1_8275,4004086_0_1_8275,30000_90004_1_10000,30000_90005_1_4200</v>
          </cell>
          <cell r="H439">
            <v>0</v>
          </cell>
          <cell r="I439" t="str">
            <v>30000_90006_1_10000,4004086_0_1_8275,4004086_0_1_8275,4004086_0_1_8275</v>
          </cell>
          <cell r="J439">
            <v>0</v>
          </cell>
        </row>
        <row r="440">
          <cell r="E440" t="str">
            <v>3090051_1,3090052_1,3090053_1</v>
          </cell>
          <cell r="F440" t="str">
            <v>1_0,2_0,3_10000</v>
          </cell>
          <cell r="G440" t="str">
            <v>40000_50900085_1_216,40000_50901065_1_880,4004086_0_1_8300,4004086_0_1_8300,4004086_0_1_8300,30000_90004_1_10000,30000_90005_1_4200</v>
          </cell>
          <cell r="H440">
            <v>0</v>
          </cell>
          <cell r="I440" t="str">
            <v>30000_90006_1_10000,4004086_0_1_8300,4004086_0_1_8300,4004086_0_1_8300</v>
          </cell>
          <cell r="J440">
            <v>0</v>
          </cell>
        </row>
        <row r="441">
          <cell r="E441" t="str">
            <v>3090061_1</v>
          </cell>
          <cell r="F441" t="str">
            <v>1_10000,2_0,3_0</v>
          </cell>
          <cell r="G441" t="str">
            <v>40000_50900095_1_209,40000_50900015_1_870,4004086_0_1_8325,4004086_0_1_8325,4004086_0_1_8325,30000_90004_1_10000,30000_90005_1_5600</v>
          </cell>
          <cell r="H441">
            <v>0</v>
          </cell>
          <cell r="I441" t="str">
            <v>30000_90006_1_10000,4004086_0_1_8325,4004086_0_1_8325,4004086_0_1_8325</v>
          </cell>
          <cell r="J441">
            <v>0</v>
          </cell>
        </row>
        <row r="442">
          <cell r="E442" t="str">
            <v>3090071_1</v>
          </cell>
          <cell r="F442" t="str">
            <v>1_10000,2_0,3_0</v>
          </cell>
          <cell r="G442" t="str">
            <v>40000_50900015_1_202,40000_50903065_1_860,4004086_0_1_8350,4004086_0_1_8350,4004086_0_1_8350,30000_90004_1_10000,30000_90005_1_5600</v>
          </cell>
          <cell r="H442">
            <v>0</v>
          </cell>
          <cell r="I442" t="str">
            <v>30000_90006_1_10000,4004086_0_1_8350,4004086_0_1_8350,4004086_0_1_8350</v>
          </cell>
          <cell r="J442">
            <v>0</v>
          </cell>
        </row>
        <row r="443">
          <cell r="E443" t="str">
            <v>3090081_1</v>
          </cell>
          <cell r="F443" t="str">
            <v>1_10000,2_0,3_0</v>
          </cell>
          <cell r="G443" t="str">
            <v>40000_50900035_1_195,40000_50903055_1_850,4004086_0_1_8375,4004086_0_1_8375,4004086_0_1_8375,30000_90004_1_10000,30000_90005_1_5600</v>
          </cell>
          <cell r="H443">
            <v>0</v>
          </cell>
          <cell r="I443" t="str">
            <v>30000_90006_1_10000,4004086_0_1_8375,4004086_0_1_8375,4004086_0_1_8375</v>
          </cell>
          <cell r="J443">
            <v>0</v>
          </cell>
        </row>
        <row r="444">
          <cell r="E444" t="str">
            <v>3090091_1</v>
          </cell>
          <cell r="F444" t="str">
            <v>1_10000,2_0,3_0</v>
          </cell>
          <cell r="G444" t="str">
            <v>40000_50903056_1_188,40000_50903065_1_840,4004086_0_1_8400,4004086_0_1_8400,4004086_0_1_8400,30000_90004_1_10000,30000_90005_1_7000</v>
          </cell>
          <cell r="H444">
            <v>0</v>
          </cell>
          <cell r="I444" t="str">
            <v>30000_90006_1_10000,4004086_0_1_8400,4004086_0_1_8400,4004086_0_1_8400</v>
          </cell>
          <cell r="J444">
            <v>0</v>
          </cell>
        </row>
        <row r="445">
          <cell r="E445" t="str">
            <v>3095011_1</v>
          </cell>
          <cell r="F445" t="str">
            <v>1_10000,2_0,3_0</v>
          </cell>
          <cell r="G445" t="str">
            <v>40000_50950105_1_0,40000_50950015_1_0,4004090_0_1_8425,4004090_0_1_8425,4004090_0_1_8425,30000_90004_1_10000,30000_90005_1_4200</v>
          </cell>
          <cell r="H445">
            <v>0</v>
          </cell>
          <cell r="I445" t="str">
            <v>30000_90006_1_10000,4004090_0_1_8425,4004090_0_1_8425,4004090_0_1_8425</v>
          </cell>
          <cell r="J445">
            <v>0</v>
          </cell>
        </row>
        <row r="446">
          <cell r="E446" t="str">
            <v>3095021_1</v>
          </cell>
          <cell r="F446" t="str">
            <v>1_10000,2_0,3_0</v>
          </cell>
          <cell r="G446" t="str">
            <v>40000_50950025_1_0,40000_50952055_1_0,4004090_0_1_8450,4004090_0_1_8450,4004090_0_1_8450,30000_90004_1_10000,30000_90005_1_4200</v>
          </cell>
          <cell r="H446">
            <v>0</v>
          </cell>
          <cell r="I446" t="str">
            <v>30000_90006_1_10000,4004090_0_1_8450,4004090_0_1_8450,4004090_0_1_8450</v>
          </cell>
          <cell r="J446">
            <v>0</v>
          </cell>
        </row>
        <row r="447">
          <cell r="E447" t="str">
            <v>3095031_1</v>
          </cell>
          <cell r="F447" t="str">
            <v>1_10000,2_0,3_0</v>
          </cell>
          <cell r="G447" t="str">
            <v>40000_50950046_1_0,40000_50952065_1_0,4004090_0_1_8475,4004090_0_1_8475,4004090_0_1_8475,30000_90004_1_10000,30000_90005_1_5600</v>
          </cell>
          <cell r="H447">
            <v>0</v>
          </cell>
          <cell r="I447" t="str">
            <v>30000_90006_1_10000,4004090_0_1_8475,4004090_0_1_8475,4004090_0_1_8475</v>
          </cell>
          <cell r="J447">
            <v>0</v>
          </cell>
        </row>
        <row r="448">
          <cell r="E448" t="str">
            <v>3095041_1</v>
          </cell>
          <cell r="F448" t="str">
            <v>1_10000,2_0,3_0</v>
          </cell>
          <cell r="G448" t="str">
            <v>40000_50950076_1_0,40000_50950035_1_0,4004090_0_1_8500,4004090_0_1_8500,4004090_0_1_8500,30000_90004_1_10000,30000_90005_1_5600</v>
          </cell>
          <cell r="H448">
            <v>0</v>
          </cell>
          <cell r="I448" t="str">
            <v>30000_90006_1_10000,4004090_0_1_8500,4004090_0_1_8500,4004090_0_1_8500</v>
          </cell>
          <cell r="J448">
            <v>0</v>
          </cell>
        </row>
        <row r="449">
          <cell r="E449" t="str">
            <v>3095051_1,3095052_1,3095053_1</v>
          </cell>
          <cell r="F449" t="str">
            <v>1_0,2_0,3_10000</v>
          </cell>
          <cell r="G449" t="str">
            <v>40000_50950085_1_0,40000_50953065_1_0,4004090_0_1_8525,4004090_0_1_8525,4004090_0_1_8525,30000_90004_1_10000,30000_90005_1_5600</v>
          </cell>
          <cell r="H449">
            <v>0</v>
          </cell>
          <cell r="I449" t="str">
            <v>30000_90006_1_10000,4004090_0_1_8525,4004090_0_1_8525,4004090_0_1_8525</v>
          </cell>
          <cell r="J449">
            <v>0</v>
          </cell>
        </row>
        <row r="450">
          <cell r="E450" t="str">
            <v>3095061_1</v>
          </cell>
          <cell r="F450" t="str">
            <v>1_10000,2_0,3_0</v>
          </cell>
          <cell r="G450" t="str">
            <v>40000_50950095_1_0,40000_50951055_1_0,4004090_0_1_8550,4004090_0_1_8550,4004090_0_1_8550,30000_90004_1_10000,30000_90005_1_7000</v>
          </cell>
          <cell r="H450">
            <v>0</v>
          </cell>
          <cell r="I450" t="str">
            <v>30000_90006_1_10000,4004090_0_1_8550,4004090_0_1_8550,4004090_0_1_8550</v>
          </cell>
          <cell r="J450">
            <v>0</v>
          </cell>
        </row>
        <row r="451">
          <cell r="E451" t="str">
            <v>3095071_1</v>
          </cell>
          <cell r="F451" t="str">
            <v>1_10000,2_0,3_0</v>
          </cell>
          <cell r="G451" t="str">
            <v>40000_50950015_1_0,40000_50953065_1_0,4004090_0_1_8575,4004090_0_1_8575,4004090_0_1_8575,30000_90004_1_10000,30000_90005_1_7000</v>
          </cell>
          <cell r="H451">
            <v>0</v>
          </cell>
          <cell r="I451" t="str">
            <v>30000_90006_1_10000,4004090_0_1_8575,4004090_0_1_8575,4004090_0_1_8575</v>
          </cell>
          <cell r="J451">
            <v>0</v>
          </cell>
        </row>
        <row r="452">
          <cell r="E452" t="str">
            <v>3095081_1</v>
          </cell>
          <cell r="F452" t="str">
            <v>1_10000,2_0,3_0</v>
          </cell>
          <cell r="G452" t="str">
            <v>40000_50950035_1_0,40000_50953055_1_0,4004090_0_1_8600,4004090_0_1_8600,4004090_0_1_8600,30000_90004_1_10000,30000_90005_1_7000</v>
          </cell>
          <cell r="H452">
            <v>0</v>
          </cell>
          <cell r="I452" t="str">
            <v>30000_90006_1_10000,4004090_0_1_8600,4004090_0_1_8600,4004090_0_1_8600</v>
          </cell>
          <cell r="J452">
            <v>0</v>
          </cell>
        </row>
        <row r="453">
          <cell r="E453" t="str">
            <v>3095091_1</v>
          </cell>
          <cell r="F453" t="str">
            <v>1_10000,2_0,3_0</v>
          </cell>
          <cell r="G453" t="str">
            <v>40000_50953056_1_0,40000_50953065_1_0,4004090_0_1_8625,4004090_0_1_8625,4004090_0_1_8625,30000_90004_1_10000,30000_90005_1_8400</v>
          </cell>
          <cell r="H453">
            <v>0</v>
          </cell>
          <cell r="I453" t="str">
            <v>30000_90006_1_10000,4004090_0_1_8625,4004090_0_1_8625,4004090_0_1_8625</v>
          </cell>
          <cell r="J453">
            <v>0</v>
          </cell>
        </row>
        <row r="454">
          <cell r="E454" t="str">
            <v>3100011_1</v>
          </cell>
          <cell r="F454" t="str">
            <v>1_10000,2_0,3_0</v>
          </cell>
          <cell r="G454" t="str">
            <v>40000_51000105_1_0,40000_51000015_1_0,4004094_0_1_8650,4004094_0_1_8650,4004094_0_1_8650,30000_90004_1_10000,30000_90005_1_5600</v>
          </cell>
          <cell r="H454">
            <v>0</v>
          </cell>
          <cell r="I454" t="str">
            <v>30000_90006_1_10000,4004094_0_1_8650,4004094_0_1_8650,4004094_0_1_8650</v>
          </cell>
          <cell r="J454">
            <v>0</v>
          </cell>
        </row>
        <row r="455">
          <cell r="E455" t="str">
            <v>3100021_1</v>
          </cell>
          <cell r="F455" t="str">
            <v>1_10000,2_0,3_0</v>
          </cell>
          <cell r="G455" t="str">
            <v>40000_51000025_1_0,40000_51002055_1_0,4004094_0_1_8675,4004094_0_1_8675,4004094_0_1_8675,30000_90004_1_10000,30000_90005_1_5600</v>
          </cell>
          <cell r="H455">
            <v>0</v>
          </cell>
          <cell r="I455" t="str">
            <v>30000_90006_1_10000,4004094_0_1_8675,4004094_0_1_8675,4004094_0_1_8675</v>
          </cell>
          <cell r="J455">
            <v>0</v>
          </cell>
        </row>
        <row r="456">
          <cell r="E456" t="str">
            <v>3100031_1</v>
          </cell>
          <cell r="F456" t="str">
            <v>1_10000,2_0,3_0</v>
          </cell>
          <cell r="G456" t="str">
            <v>40000_51000046_1_0,40000_51002065_1_0,4004094_0_1_8700,4004094_0_1_8700,4004094_0_1_8700,30000_90004_1_10000,30000_90005_1_7000</v>
          </cell>
          <cell r="H456">
            <v>0</v>
          </cell>
          <cell r="I456" t="str">
            <v>30000_90006_1_10000,4004094_0_1_8700,4004094_0_1_8700,4004094_0_1_8700</v>
          </cell>
          <cell r="J456">
            <v>0</v>
          </cell>
        </row>
        <row r="457">
          <cell r="E457" t="str">
            <v>3100041_1</v>
          </cell>
          <cell r="F457" t="str">
            <v>1_10000,2_0,3_0</v>
          </cell>
          <cell r="G457" t="str">
            <v>40000_51000076_1_0,40000_51000035_1_0,4004094_0_1_8725,4004094_0_1_8725,4004094_0_1_8725,30000_90004_1_10000,30000_90005_1_7000</v>
          </cell>
          <cell r="H457">
            <v>0</v>
          </cell>
          <cell r="I457" t="str">
            <v>30000_90006_1_10000,4004094_0_1_8725,4004094_0_1_8725,4004094_0_1_8725</v>
          </cell>
          <cell r="J457">
            <v>0</v>
          </cell>
        </row>
        <row r="458">
          <cell r="E458" t="str">
            <v>3100051_1,3100052_1,3100053_1</v>
          </cell>
          <cell r="F458" t="str">
            <v>1_0,2_0,3_10000</v>
          </cell>
          <cell r="G458" t="str">
            <v>40000_51000085_1_0,40000_51003065_1_0,4004094_0_1_8750,4004094_0_1_8750,4004094_0_1_8750,30000_90004_1_10000,30000_90005_1_7000</v>
          </cell>
          <cell r="H458">
            <v>0</v>
          </cell>
          <cell r="I458" t="str">
            <v>30000_90006_1_10000,4004094_0_1_8750,4004094_0_1_8750,4004094_0_1_8750</v>
          </cell>
          <cell r="J458">
            <v>0</v>
          </cell>
        </row>
        <row r="459">
          <cell r="E459" t="str">
            <v>3100061_1</v>
          </cell>
          <cell r="F459" t="str">
            <v>1_10000,2_0,3_0</v>
          </cell>
          <cell r="G459" t="str">
            <v>40000_51000095_1_0,40000_51001055_1_0,4004094_0_1_8775,4004094_0_1_8775,4004094_0_1_8775,30000_90004_1_10000,30000_90005_1_8400</v>
          </cell>
          <cell r="H459">
            <v>0</v>
          </cell>
          <cell r="I459" t="str">
            <v>30000_90006_1_10000,4004094_0_1_8775,4004094_0_1_8775,4004094_0_1_8775</v>
          </cell>
          <cell r="J459">
            <v>0</v>
          </cell>
        </row>
        <row r="460">
          <cell r="E460" t="str">
            <v>3100071_1</v>
          </cell>
          <cell r="F460" t="str">
            <v>1_10000,2_0,3_0</v>
          </cell>
          <cell r="G460" t="str">
            <v>40000_51000015_1_0,40000_51001065_1_0,4004094_0_1_8800,4004094_0_1_8800,4004094_0_1_8800,30000_90004_1_10000,30000_90005_1_8400</v>
          </cell>
          <cell r="H460">
            <v>0</v>
          </cell>
          <cell r="I460" t="str">
            <v>30000_90006_1_10000,4004094_0_1_8800,4004094_0_1_8800,4004094_0_1_8800</v>
          </cell>
          <cell r="J460">
            <v>0</v>
          </cell>
        </row>
        <row r="461">
          <cell r="E461" t="str">
            <v>3100081_1</v>
          </cell>
          <cell r="F461" t="str">
            <v>1_10000,2_0,3_0</v>
          </cell>
          <cell r="G461" t="str">
            <v>40000_51000035_1_0,40000_51003055_1_0,4004094_0_1_8825,4004094_0_1_8825,4004094_0_1_8825,30000_90004_1_10000,30000_90005_1_8400</v>
          </cell>
          <cell r="H461">
            <v>0</v>
          </cell>
          <cell r="I461" t="str">
            <v>30000_90006_1_10000,4004094_0_1_8825,4004094_0_1_8825,4004094_0_1_8825</v>
          </cell>
          <cell r="J461">
            <v>0</v>
          </cell>
        </row>
        <row r="462">
          <cell r="E462" t="str">
            <v>3100091_1</v>
          </cell>
          <cell r="F462" t="str">
            <v>1_10000,2_0,3_0</v>
          </cell>
          <cell r="G462" t="str">
            <v>40000_51003056_1_0,40000_51003065_1_0,4004094_0_1_8850,4004094_0_1_8850,4004094_0_1_8850,30000_90004_1_10000,30000_90005_1_9800</v>
          </cell>
          <cell r="H462">
            <v>0</v>
          </cell>
          <cell r="I462" t="str">
            <v>30000_90006_1_10000,4004094_0_1_8850,4004094_0_1_8850,4004094_0_1_8850</v>
          </cell>
          <cell r="J462">
            <v>0</v>
          </cell>
        </row>
      </sheetData>
      <sheetData sheetId="1"/>
      <sheetData sheetId="2">
        <row r="109">
          <cell r="E109" t="str">
            <v>4000101_0_1_400,4000201_0_1_360,4000301_0_1_160,4000401_0_1_0,4000501_0_1_0,4000105_0_1_0,4000205_0_1_0,4000305_0_1_0,4000405_0_1_0,4000505_0_1_0,30000_40001_1_0,30000_40002_1_0,30000_40003_1_0</v>
          </cell>
        </row>
        <row r="110">
          <cell r="E110" t="str">
            <v>4000101_0_1_199,4000201_0_1_179,4000301_0_1_81,4000401_0_1_0,4000501_0_1_0,4000105_0_1_199,4000205_0_1_179,4000305_0_1_81,4000405_0_1_0,4000505_0_1_0,30000_40001_1_0,30000_40002_1_0,30000_40003_1_0</v>
          </cell>
        </row>
        <row r="111">
          <cell r="E111" t="str">
            <v>4000101_0_1_79,4000201_0_1_71,4000301_0_1_33,4000401_0_1_0,4000501_0_1_0,4000105_0_1_318,4000205_0_1_284,4000305_0_1_132,4000405_0_1_0,4000505_0_1_0,30000_40001_1_0,30000_40002_1_0,30000_40003_1_0</v>
          </cell>
        </row>
        <row r="112">
          <cell r="E112" t="str">
            <v>4000105_0_1_397,4000205_0_1_354,4000305_0_1_169,4000405_0_1_0,4000505_0_1_0,4000110_0_1_0,4000210_0_1_0,4000310_0_1_0,4000410_0_1_0,4000510_0_1_0,30000_40001_1_300,30000_40002_1_200,30000_40003_1_100</v>
          </cell>
        </row>
        <row r="113">
          <cell r="E113" t="str">
            <v>4000105_0_1_291,4000205_0_1_259,4000305_0_1_126,4000405_0_1_0,4000505_0_1_0,4000110_0_1_194,4000210_0_1_172,4000310_0_1_84,4000410_0_1_0,4000510_0_1_0,30000_40001_1_310,30000_40002_1_200,30000_40003_1_105</v>
          </cell>
        </row>
        <row r="114">
          <cell r="E114" t="str">
            <v>4000105_0_1_96,4000205_0_1_85,4000305_0_1_43,4000405_0_1_0,4000505_0_1_0,4000110_0_1_386,4000210_0_1_343,4000310_0_1_172,4000410_0_1_0,4000510_0_1_0,30000_40001_1_320,30000_40002_1_200,30000_40003_1_110</v>
          </cell>
        </row>
        <row r="115">
          <cell r="E115" t="str">
            <v>4000110_0_1_384,4000210_0_1_341,4000310_0_1_175,4000410_0_1_0,4000510_0_1_0,4000115_0_1_96,4000215_0_1_85,4000315_0_1_43,4000415_0_1_0,4000515_0_1_0,30000_40001_1_330,30000_40002_1_200,30000_40003_1_115</v>
          </cell>
        </row>
        <row r="116">
          <cell r="E116" t="str">
            <v>4000110_0_1_197,4000210_0_1_174,4000310_0_1_92,4000410_0_1_0,4000510_0_1_0,4000115_0_1_296,4000215_0_1_261,4000315_0_1_138,4000415_0_1_0,4000515_0_1_0,30000_40001_1_340,30000_40002_1_200,30000_40003_1_120</v>
          </cell>
        </row>
        <row r="117">
          <cell r="E117" t="str">
            <v>4000115_0_1_501,4000215_0_1_441,4000315_0_1_238,4000415_0_1_12,4000515_0_1_0,4000120_0_1_0,4000220_0_1_0,4000320_0_1_0,4000420_0_1_0,4000520_0_1_0,30000_40001_1_350,30000_40002_1_200,30000_40003_1_125</v>
          </cell>
        </row>
        <row r="118">
          <cell r="E118" t="str">
            <v>4000115_0_1_304,4000215_0_1_267,4000315_0_1_148,4000415_0_1_15,4000515_0_1_0,4000120_0_1_202,4000220_0_1_178,4000320_0_1_98,4000420_0_1_10,4000520_0_1_0,30000_40001_1_340,30000_40002_1_210,30000_40003_1_130</v>
          </cell>
        </row>
        <row r="119">
          <cell r="E119" t="str">
            <v>4000115_0_1_99,4000215_0_1_86,4000315_0_1_49,4000415_0_1_7,4000515_0_1_0,4000120_0_1_397,4000220_0_1_347,4000320_0_1_198,4000420_0_1_29,4000520_0_1_0,30000_40001_1_330,30000_40002_1_220,30000_40003_1_135</v>
          </cell>
        </row>
        <row r="120">
          <cell r="E120" t="str">
            <v>4000120_0_1_401,4000220_0_1_349,4000320_0_1_205,4000420_0_1_40,4000520_0_1_0,4000125_0_1_100,4000225_0_1_87,4000325_0_1_51,4000425_0_1_10,4000525_0_1_0,30000_40001_1_320,30000_40002_1_230,30000_40003_1_140</v>
          </cell>
        </row>
        <row r="121">
          <cell r="E121" t="str">
            <v>4000120_0_1_256,4000220_0_1_222,4000320_0_1_135,4000420_0_1_33,4000520_0_1_0,4000125_0_1_384,4000225_0_1_334,4000325_0_1_202,4000425_0_1_50,4000525_0_1_0,30000_40001_1_310,30000_40002_1_240,30000_40003_1_145</v>
          </cell>
        </row>
        <row r="122">
          <cell r="E122" t="str">
            <v>4000125_0_1_630,4000225_0_1_545,4000325_0_1_341,4000425_0_1_94,4000525_0_1_0,4000130_0_1_0,4000230_0_1_0,4000330_0_1_0,4000430_0_1_0,4000530_0_1_0,30000_40001_1_300,30000_40002_1_250,30000_40003_1_150</v>
          </cell>
        </row>
        <row r="123">
          <cell r="E123" t="str">
            <v>4000125_0_1_371,4000225_0_1_319,4000325_0_1_206,4000425_0_1_61,4000525_0_1_0,4000130_0_1_247,4000230_0_1_213,4000330_0_1_137,4000430_0_1_41,4000530_0_1_0,30000_40001_1_290,30000_40002_1_260,30000_40003_1_155</v>
          </cell>
        </row>
        <row r="124">
          <cell r="E124" t="str">
            <v>4000125_0_1_133,4000225_0_1_114,4000325_0_1_76,4000425_0_1_24,4000525_0_1_0,4000130_0_1_532,4000230_0_1_456,4000330_0_1_304,4000430_0_1_99,4000530_0_1_0,30000_40001_1_280,30000_40002_1_270,30000_40003_1_160</v>
          </cell>
        </row>
        <row r="125">
          <cell r="E125" t="str">
            <v>4000130_0_1_533,4000230_0_1_455,4000330_0_1_313,4000430_0_1_109,4000530_0_1_0,4000135_0_1_133,4000235_0_1_113,4000335_0_1_78,4000435_0_1_27,4000535_0_1_0,30000_40001_1_270,30000_40002_1_280,30000_40003_1_165</v>
          </cell>
        </row>
        <row r="126">
          <cell r="E126" t="str">
            <v>4000130_0_1_264,4000230_0_1_224,4000330_0_1_160,4000430_0_1_60,4000530_0_1_8,4000135_0_1_396,4000235_0_1_336,4000335_0_1_240,4000435_0_1_90,4000535_0_1_12,30000_40001_1_260,30000_40002_1_290,30000_40003_1_170</v>
          </cell>
        </row>
        <row r="127">
          <cell r="E127" t="str">
            <v>4000135_0_1_656,4000235_0_1_554,4000335_0_1_410,4000435_0_1_164,4000535_0_1_31,4000140_0_1_0,4000240_0_1_0,4000340_0_1_0,4000440_0_1_0,4000540_0_1_0,30000_40001_1_250,30000_40002_1_300,30000_40003_1_175</v>
          </cell>
        </row>
        <row r="128">
          <cell r="E128" t="str">
            <v>4000135_0_1_391,4000235_0_1_328,4000335_0_1_252,4000435_0_1_107,4000535_0_1_25,4000140_0_1_260,4000240_0_1_218,4000340_0_1_168,4000440_0_1_71,4000540_0_1_16,30000_40001_1_240,30000_40002_1_310,30000_40003_1_180</v>
          </cell>
        </row>
        <row r="129">
          <cell r="E129" t="str">
            <v>4000135_0_1_239,4000235_0_1_199,4000335_0_1_159,4000435_0_1_71,4000535_0_1_19,4000140_0_1_406,4000240_0_1_339,4000340_0_1_271,4000440_0_1_122,4000540_0_1_34,30000_40001_1_230,30000_40002_1_305,30000_40003_1_185</v>
          </cell>
        </row>
        <row r="130">
          <cell r="E130" t="str">
            <v>4000140_0_1_379,4000240_0_1_315,4000340_0_1_257,4000440_0_1_122,4000540_0_1_38,4000143_0_1_264,4000243_0_1_219,4000343_0_1_178,4000443_0_1_84,4000543_0_1_26,30000_40001_1_220,30000_40002_1_300,30000_40003_1_190</v>
          </cell>
        </row>
        <row r="131">
          <cell r="E131" t="str">
            <v>4000143_0_1_439,4000243_0_1_365,4000343_0_1_298,4000443_0_1_148,4000543_0_1_52,4000145_0_1_216,4000245_0_1_179,4000345_0_1_146,4000445_0_1_73,4000545_0_1_25,30000_40001_1_210,30000_40002_1_295,30000_40003_1_195</v>
          </cell>
        </row>
        <row r="132">
          <cell r="E132" t="str">
            <v>4000145_0_1_351,4000245_0_1_291,4000345_0_1_238,4000445_0_1_119,4000545_0_1_41,4000145_0_1_324,4000245_0_1_269,4000345_0_1_219,4000445_0_1_109,4000545_0_1_38,30000_40001_1_200,30000_40002_1_290,30000_40003_1_200</v>
          </cell>
        </row>
        <row r="133">
          <cell r="E133" t="str">
            <v>4000145_0_1_366,4000245_0_1_304,4000345_0_1_248,4000445_0_1_124,4000545_0_1_43,4000147_0_1_308,4000247_0_1_256,4000347_0_1_209,4000447_0_1_104,4000547_0_1_36,30000_40001_1_190,30000_40002_1_285,30000_40003_1_205</v>
          </cell>
        </row>
        <row r="134">
          <cell r="E134" t="str">
            <v>4000147_0_1_377,4000247_0_1_313,4000347_0_1_256,4000447_0_1_128,4000547_0_1_44,4000150_0_1_297,4000250_0_1_247,4000350_0_1_201,4000450_0_1_100,4000550_0_1_35,30000_40001_1_180,30000_40002_1_280,30000_40003_1_210</v>
          </cell>
        </row>
        <row r="135">
          <cell r="E135" t="str">
            <v>4000150_0_1_406,4000250_0_1_337,4000350_0_1_275,4000450_0_1_137,4000550_0_1_48,4000153_0_1_285,4000253_0_1_237,4000353_0_1_193,4000453_0_1_97,4000553_0_1_33,30000_40001_1_170,30000_40002_1_275,30000_40003_1_215</v>
          </cell>
        </row>
        <row r="136">
          <cell r="E136" t="str">
            <v>4000153_0_1_423,4000253_0_1_351,4000353_0_1_287,4000453_0_1_143,4000553_0_1_50,4000153_0_1_268,4000253_0_1_223,4000353_0_1_181,4000453_0_1_91,4000553_0_1_31,30000_40001_1_160,30000_40002_1_270,30000_40003_1_220</v>
          </cell>
        </row>
        <row r="137">
          <cell r="E137" t="str">
            <v>4000153_0_1_439,4000253_0_1_365,4000353_0_1_297,4000453_0_1_149,4000553_0_1_52,4000155_0_1_252,4000255_0_1_209,4000355_0_1_171,4000455_0_1_85,4000555_0_1_29,30000_40001_1_150,30000_40002_1_265,30000_40003_1_225</v>
          </cell>
        </row>
        <row r="138">
          <cell r="E138" t="str">
            <v>4000155_0_1_453,4000255_0_1_377,4000355_0_1_307,4000455_0_1_154,4000555_0_1_53,4000157_0_1_238,4000257_0_1_197,4000357_0_1_161,4000457_0_1_80,4000557_0_1_28,30000_40001_1_140,30000_40002_1_260,30000_40003_1_230</v>
          </cell>
        </row>
        <row r="139">
          <cell r="E139" t="str">
            <v>4000157_0_1_467,4000257_0_1_388,4000357_0_1_316,4000457_0_1_158,4000557_0_1_55,4000157_0_1_224,4000257_0_1_186,4000357_0_1_152,4000457_0_1_76,4000557_0_1_26,30000_40001_1_130,30000_40002_1_255,30000_40003_1_235</v>
          </cell>
        </row>
        <row r="140">
          <cell r="E140" t="str">
            <v>4000157_0_1_479,4000257_0_1_398,4000357_0_1_325,4000457_0_1_162,4000557_0_1_56,4000160_0_1_212,4000260_0_1_176,4000360_0_1_143,4000460_0_1_72,4000560_0_1_25,30000_40001_1_120,30000_40002_1_250,30000_40003_1_240</v>
          </cell>
        </row>
        <row r="141">
          <cell r="E141" t="str">
            <v>4000160_0_1_489,4000260_0_1_406,4000360_0_1_331,4000460_0_1_166,4000560_0_1_57,4000163_0_1_202,4000263_0_1_168,4000363_0_1_137,4000463_0_1_68,4000563_0_1_24,30000_40001_1_120,30000_40002_1_250,30000_40003_1_245</v>
          </cell>
        </row>
        <row r="142">
          <cell r="E142" t="str">
            <v>4000163_0_1_498,4000263_0_1_414,4000363_0_1_337,4000463_0_1_169,4000563_0_1_59,4000163_0_1_193,4000263_0_1_161,4000363_0_1_131,4000463_0_1_65,4000563_0_1_22,30000_40001_1_120,30000_40002_1_250,30000_40003_1_250</v>
          </cell>
        </row>
        <row r="143">
          <cell r="E143" t="str">
            <v>4000163_0_1_506,4000263_0_1_420,4000363_0_1_343,4000463_0_1_172,4000563_0_1_60,4000165_0_1_185,4000265_0_1_154,4000365_0_1_125,4000465_0_1_62,4000565_0_1_21,30000_40001_1_120,30000_40002_1_250,30000_40003_1_255</v>
          </cell>
        </row>
        <row r="144">
          <cell r="E144" t="str">
            <v>4000167_0_1_522,4000267_0_1_434,4000367_0_1_354,4000467_0_1_177,4000567_0_1_61,4000170_0_1_169,4000270_0_1_140,4000370_0_1_114,4000470_0_1_57,4000570_0_1_20,30000_40001_1_120,30000_40002_1_250,30000_40003_1_260</v>
          </cell>
        </row>
        <row r="145">
          <cell r="E145" t="str">
            <v>4000167_0_1_362,4000267_0_1_301,4000367_0_1_245,4000467_0_1_123,4000567_0_1_43,4000170_0_1_346,4000270_0_1_287,4000370_0_1_234,4000470_0_1_117,4000570_0_1_41,30000_40001_1_120,30000_40002_1_250,30000_40003_1_265</v>
          </cell>
        </row>
        <row r="146">
          <cell r="E146" t="str">
            <v>4001072_0_1_560,4002072_0_1_465,4003072_0_1_379,4004072_0_1_190,4005072_0_1_66,4001074_0_1_164,4002074_0_1_136,4003074_0_1_111,4004074_0_1_55,4005074_0_1_19,30000_40001_1_120,30000_40002_1_250,30000_40003_1_270</v>
          </cell>
        </row>
        <row r="147">
          <cell r="E147" t="str">
            <v>4001074_0_1_598,4002074_0_1_496,4003074_0_1_405,4004074_0_1_202,4005074_0_1_71,4001076_0_1_133,4002076_0_1_111,4003076_0_1_90,4004076_0_1_45,4005076_0_1_15,30000_40001_1_120,30000_40002_1_250,30000_40003_1_275</v>
          </cell>
        </row>
        <row r="148">
          <cell r="E148" t="str">
            <v>4001076_0_1_627,4002076_0_1_521,4003076_0_1_425,4004076_0_1_212,4005076_0_1_74,4001078_0_1_110,4002078_0_1_91,4003078_0_1_75,4004078_0_1_37,4005078_0_1_13,30000_40001_1_120,30000_40002_1_250,30000_40003_1_280</v>
          </cell>
        </row>
        <row r="149">
          <cell r="E149" t="str">
            <v>4001078_0_1_651,4002078_0_1_541,4003078_0_1_441,4004078_0_1_221,4005078_0_1_77,4001080_0_1_93,4002080_0_1_77,4003080_0_1_63,4004080_0_1_31,4005080_0_1_11,30000_40001_1_120,30000_40002_1_250,30000_40003_1_285</v>
          </cell>
        </row>
        <row r="150">
          <cell r="E150" t="str">
            <v>4001080_0_1_691,4002080_0_1_574,4003080_0_1_469,4004080_0_1_234,4005080_0_1_81,4001082_0_1_60,4002082_0_1_49,4003082_0_1_40,4004082_0_1_20,4005082_0_1_7,30000_40001_1_120,30000_40002_1_250,30000_40003_1_290</v>
          </cell>
        </row>
        <row r="151">
          <cell r="E151" t="str">
            <v>4001082_0_1_705,4002082_0_1_585,4003082_0_1_478,4004082_0_1_239,4005082_0_1_83,4001084_0_1_53,4002084_0_1_44,4003084_0_1_35,4004084_0_1_17,4005084_0_1_6,30000_40001_1_120,30000_40002_1_250,30000_40003_1_295</v>
          </cell>
        </row>
        <row r="152">
          <cell r="E152" t="str">
            <v>4001084_0_1_719,4002084_0_1_597,4003084_0_1_487,4004084_0_1_243,4005084_0_1_85,4001086_0_1_45,4002086_0_1_38,4003086_0_1_31,4004086_0_1_15,4005086_0_1_5,30000_40001_1_120,30000_40002_1_250,30000_40003_1_300</v>
          </cell>
        </row>
        <row r="153">
          <cell r="E153" t="str">
            <v>4001086_0_1_733,4002086_0_1_608,4003086_0_1_496,4004086_0_1_248,4005086_0_1_87,4001088_0_1_38,4002088_0_1_32,4003088_0_1_26,4004088_0_1_13,4005088_0_1_4,30000_40001_1_120,30000_40002_1_250,30000_40003_1_305</v>
          </cell>
        </row>
        <row r="154">
          <cell r="E154" t="str">
            <v>4001088_0_1_740,4002088_0_1_614,4003088_0_1_501,4004088_0_1_250,4005088_0_1_87,4001090_0_1_38,4002090_0_1_32,4003090_0_1_26,4004090_0_1_13,4005090_0_1_4,30000_40001_1_120,30000_40002_1_250,30000_40003_1_310</v>
          </cell>
        </row>
        <row r="155">
          <cell r="E155" t="str">
            <v>4001090_0_1_746,4002090_0_1_619,4003090_0_1_506,4004090_0_1_252,4005090_0_1_88,4001092_0_1_39,4002092_0_1_32,4003092_0_1_26,4004092_0_1_13,4005092_0_1_4,30000_40001_1_120,30000_40002_1_250,30000_40003_1_315</v>
          </cell>
        </row>
        <row r="156">
          <cell r="E156" t="str">
            <v>4001092_0_1_752,4002092_0_1_625,4003092_0_1_510,4004092_0_1_255,4005092_0_1_89,4001094_0_1_39,4002094_0_1_32,4003094_0_1_26,4004094_0_1_13,4005094_0_1_4,30000_40001_1_120,30000_40002_1_250,30000_40003_1_320</v>
          </cell>
        </row>
        <row r="157">
          <cell r="E157" t="str">
            <v>4001094_0_1_759,4002094_0_1_630,4003094_0_1_514,4004094_0_1_257,4005094_0_1_90,4001096_0_1_39,4002096_0_1_33,4003096_0_1_27,4004096_0_1_13,4005096_0_1_4,30000_40001_1_120,30000_40002_1_250,30000_40003_1_325</v>
          </cell>
        </row>
        <row r="158">
          <cell r="E158" t="str">
            <v>4001096_0_1_765,4002096_0_1_635,4003096_0_1_518,4004096_0_1_259,4005096_0_1_91,4001098_0_1_40,4002098_0_1_33,4003098_0_1_27,4004098_0_1_13,4005098_0_1_4,30000_40001_1_120,30000_40002_1_250,30000_40003_1_330</v>
          </cell>
        </row>
        <row r="159">
          <cell r="E159" t="str">
            <v>4001098_0_1_772,4002098_0_1_641,4003098_0_1_523,4004098_0_1_261,4005098_0_1_91,4001098_0_1_40,4002098_0_1_33,4003098_0_1_27,4004098_0_1_13,4005098_0_1_4,30000_40001_1_120,30000_40002_1_250,30000_40003_1_335</v>
          </cell>
        </row>
        <row r="160">
          <cell r="E160" t="str">
            <v>4001098_0_1_778,4002098_0_1_646,4003098_0_1_527,4004098_0_1_264,4005098_0_1_92,4001100_0_1_40,4002100_0_1_34,4003100_0_1_27,4004100_0_1_13,4005100_0_1_4,30000_40001_1_121,30000_40002_1_251,30000_40003_1_336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计算规则"/>
      <sheetName val="游戏类型定义"/>
      <sheetName val="用户升级"/>
      <sheetName val="防御属性修正系数"/>
      <sheetName val="职业设计"/>
      <sheetName val="职业属性"/>
      <sheetName val="装备设计"/>
      <sheetName val="装备一览"/>
      <sheetName val="装备强化"/>
      <sheetName val="装备强化附表"/>
      <sheetName val="关卡"/>
      <sheetName val="怪物"/>
      <sheetName val="商城"/>
      <sheetName val="购买金币"/>
      <sheetName val="Sheet1"/>
    </sheetNames>
    <sheetDataSet>
      <sheetData sheetId="0"/>
      <sheetData sheetId="1"/>
      <sheetData sheetId="2">
        <row r="3">
          <cell r="A3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8">
          <cell r="M8">
            <v>400</v>
          </cell>
          <cell r="N8">
            <v>360</v>
          </cell>
          <cell r="O8">
            <v>160</v>
          </cell>
          <cell r="P8">
            <v>0</v>
          </cell>
          <cell r="Q8">
            <v>0</v>
          </cell>
        </row>
        <row r="9">
          <cell r="M9">
            <v>399</v>
          </cell>
          <cell r="N9">
            <v>358</v>
          </cell>
          <cell r="O9">
            <v>163</v>
          </cell>
          <cell r="P9">
            <v>0</v>
          </cell>
          <cell r="Q9">
            <v>0</v>
          </cell>
        </row>
        <row r="10">
          <cell r="M10">
            <v>398</v>
          </cell>
          <cell r="N10">
            <v>356</v>
          </cell>
          <cell r="O10">
            <v>166</v>
          </cell>
          <cell r="P10">
            <v>0</v>
          </cell>
          <cell r="Q10">
            <v>0</v>
          </cell>
        </row>
        <row r="11">
          <cell r="M11">
            <v>397</v>
          </cell>
          <cell r="N11">
            <v>354</v>
          </cell>
          <cell r="O11">
            <v>169</v>
          </cell>
          <cell r="P11">
            <v>0</v>
          </cell>
          <cell r="Q11">
            <v>0</v>
          </cell>
        </row>
        <row r="12">
          <cell r="M12">
            <v>485</v>
          </cell>
          <cell r="N12">
            <v>432</v>
          </cell>
          <cell r="O12">
            <v>211</v>
          </cell>
          <cell r="P12">
            <v>0</v>
          </cell>
          <cell r="Q12">
            <v>0</v>
          </cell>
        </row>
        <row r="13">
          <cell r="M13">
            <v>483</v>
          </cell>
          <cell r="N13">
            <v>429</v>
          </cell>
          <cell r="O13">
            <v>215</v>
          </cell>
          <cell r="P13">
            <v>0</v>
          </cell>
          <cell r="Q13">
            <v>0</v>
          </cell>
        </row>
        <row r="14">
          <cell r="M14">
            <v>481</v>
          </cell>
          <cell r="N14">
            <v>427</v>
          </cell>
          <cell r="O14">
            <v>219</v>
          </cell>
          <cell r="P14">
            <v>0</v>
          </cell>
          <cell r="Q14">
            <v>0</v>
          </cell>
        </row>
        <row r="15">
          <cell r="M15">
            <v>494</v>
          </cell>
          <cell r="N15">
            <v>436</v>
          </cell>
          <cell r="O15">
            <v>230</v>
          </cell>
          <cell r="P15">
            <v>0</v>
          </cell>
          <cell r="Q15">
            <v>0</v>
          </cell>
        </row>
        <row r="16">
          <cell r="M16">
            <v>501</v>
          </cell>
          <cell r="N16">
            <v>441</v>
          </cell>
          <cell r="O16">
            <v>238</v>
          </cell>
          <cell r="P16">
            <v>12</v>
          </cell>
          <cell r="Q16">
            <v>0</v>
          </cell>
        </row>
        <row r="17">
          <cell r="M17">
            <v>507</v>
          </cell>
          <cell r="N17">
            <v>445</v>
          </cell>
          <cell r="O17">
            <v>247</v>
          </cell>
          <cell r="P17">
            <v>25</v>
          </cell>
          <cell r="Q17">
            <v>0</v>
          </cell>
        </row>
        <row r="18">
          <cell r="M18">
            <v>497</v>
          </cell>
          <cell r="N18">
            <v>434</v>
          </cell>
          <cell r="O18">
            <v>248</v>
          </cell>
          <cell r="P18">
            <v>37</v>
          </cell>
          <cell r="Q18">
            <v>0</v>
          </cell>
        </row>
        <row r="19">
          <cell r="M19">
            <v>502</v>
          </cell>
          <cell r="N19">
            <v>437</v>
          </cell>
          <cell r="O19">
            <v>257</v>
          </cell>
          <cell r="P19">
            <v>51</v>
          </cell>
          <cell r="Q19">
            <v>0</v>
          </cell>
        </row>
        <row r="20">
          <cell r="M20">
            <v>641</v>
          </cell>
          <cell r="N20">
            <v>557</v>
          </cell>
          <cell r="O20">
            <v>338</v>
          </cell>
          <cell r="P20">
            <v>84</v>
          </cell>
          <cell r="Q20">
            <v>0</v>
          </cell>
        </row>
        <row r="21">
          <cell r="M21">
            <v>630</v>
          </cell>
          <cell r="N21">
            <v>545</v>
          </cell>
          <cell r="O21">
            <v>341</v>
          </cell>
          <cell r="P21">
            <v>94</v>
          </cell>
          <cell r="Q21">
            <v>0</v>
          </cell>
        </row>
        <row r="22">
          <cell r="M22">
            <v>619</v>
          </cell>
          <cell r="N22">
            <v>533</v>
          </cell>
          <cell r="O22">
            <v>344</v>
          </cell>
          <cell r="P22">
            <v>103</v>
          </cell>
          <cell r="Q22">
            <v>0</v>
          </cell>
        </row>
        <row r="23">
          <cell r="M23">
            <v>665</v>
          </cell>
          <cell r="N23">
            <v>570</v>
          </cell>
          <cell r="O23">
            <v>380</v>
          </cell>
          <cell r="P23">
            <v>124</v>
          </cell>
          <cell r="Q23">
            <v>0</v>
          </cell>
        </row>
        <row r="24">
          <cell r="M24">
            <v>667</v>
          </cell>
          <cell r="N24">
            <v>569</v>
          </cell>
          <cell r="O24">
            <v>392</v>
          </cell>
          <cell r="P24">
            <v>137</v>
          </cell>
          <cell r="Q24">
            <v>0</v>
          </cell>
        </row>
        <row r="25">
          <cell r="M25">
            <v>660</v>
          </cell>
          <cell r="N25">
            <v>560</v>
          </cell>
          <cell r="O25">
            <v>400</v>
          </cell>
          <cell r="P25">
            <v>150</v>
          </cell>
          <cell r="Q25">
            <v>20</v>
          </cell>
        </row>
        <row r="26">
          <cell r="M26">
            <v>656</v>
          </cell>
          <cell r="N26">
            <v>554</v>
          </cell>
          <cell r="O26">
            <v>410</v>
          </cell>
          <cell r="P26">
            <v>164</v>
          </cell>
          <cell r="Q26">
            <v>31</v>
          </cell>
        </row>
        <row r="27">
          <cell r="M27">
            <v>652</v>
          </cell>
          <cell r="N27">
            <v>547</v>
          </cell>
          <cell r="O27">
            <v>421</v>
          </cell>
          <cell r="P27">
            <v>179</v>
          </cell>
          <cell r="Q27">
            <v>42</v>
          </cell>
        </row>
        <row r="28">
          <cell r="M28">
            <v>646</v>
          </cell>
          <cell r="N28">
            <v>539</v>
          </cell>
          <cell r="O28">
            <v>431</v>
          </cell>
          <cell r="P28">
            <v>194</v>
          </cell>
          <cell r="Q28">
            <v>54</v>
          </cell>
        </row>
        <row r="29">
          <cell r="M29">
            <v>644</v>
          </cell>
          <cell r="N29">
            <v>535</v>
          </cell>
          <cell r="O29">
            <v>436</v>
          </cell>
          <cell r="P29">
            <v>207</v>
          </cell>
          <cell r="Q29">
            <v>65</v>
          </cell>
        </row>
        <row r="30">
          <cell r="M30">
            <v>656</v>
          </cell>
          <cell r="N30">
            <v>545</v>
          </cell>
          <cell r="O30">
            <v>445</v>
          </cell>
          <cell r="P30">
            <v>222</v>
          </cell>
          <cell r="Q30">
            <v>78</v>
          </cell>
        </row>
        <row r="31">
          <cell r="M31">
            <v>675</v>
          </cell>
          <cell r="N31">
            <v>561</v>
          </cell>
          <cell r="O31">
            <v>458</v>
          </cell>
          <cell r="P31">
            <v>229</v>
          </cell>
          <cell r="Q31">
            <v>80</v>
          </cell>
        </row>
        <row r="32">
          <cell r="M32">
            <v>675</v>
          </cell>
          <cell r="N32">
            <v>561</v>
          </cell>
          <cell r="O32">
            <v>458</v>
          </cell>
          <cell r="P32">
            <v>229</v>
          </cell>
          <cell r="Q32">
            <v>80</v>
          </cell>
        </row>
        <row r="33">
          <cell r="M33">
            <v>675</v>
          </cell>
          <cell r="N33">
            <v>561</v>
          </cell>
          <cell r="O33">
            <v>458</v>
          </cell>
          <cell r="P33">
            <v>229</v>
          </cell>
          <cell r="Q33">
            <v>80</v>
          </cell>
        </row>
        <row r="34">
          <cell r="M34">
            <v>692</v>
          </cell>
          <cell r="N34">
            <v>575</v>
          </cell>
          <cell r="O34">
            <v>469</v>
          </cell>
          <cell r="P34">
            <v>235</v>
          </cell>
          <cell r="Q34">
            <v>82</v>
          </cell>
        </row>
        <row r="35">
          <cell r="M35">
            <v>692</v>
          </cell>
          <cell r="N35">
            <v>575</v>
          </cell>
          <cell r="O35">
            <v>469</v>
          </cell>
          <cell r="P35">
            <v>235</v>
          </cell>
          <cell r="Q35">
            <v>82</v>
          </cell>
        </row>
        <row r="36">
          <cell r="M36">
            <v>692</v>
          </cell>
          <cell r="N36">
            <v>575</v>
          </cell>
          <cell r="O36">
            <v>469</v>
          </cell>
          <cell r="P36">
            <v>235</v>
          </cell>
          <cell r="Q36">
            <v>82</v>
          </cell>
        </row>
        <row r="37">
          <cell r="M37">
            <v>692</v>
          </cell>
          <cell r="N37">
            <v>575</v>
          </cell>
          <cell r="O37">
            <v>469</v>
          </cell>
          <cell r="P37">
            <v>235</v>
          </cell>
          <cell r="Q37">
            <v>82</v>
          </cell>
        </row>
        <row r="38">
          <cell r="M38">
            <v>692</v>
          </cell>
          <cell r="N38">
            <v>575</v>
          </cell>
          <cell r="O38">
            <v>469</v>
          </cell>
          <cell r="P38">
            <v>235</v>
          </cell>
          <cell r="Q38">
            <v>82</v>
          </cell>
        </row>
        <row r="39">
          <cell r="M39">
            <v>692</v>
          </cell>
          <cell r="N39">
            <v>575</v>
          </cell>
          <cell r="O39">
            <v>469</v>
          </cell>
          <cell r="P39">
            <v>235</v>
          </cell>
          <cell r="Q39">
            <v>82</v>
          </cell>
        </row>
        <row r="40">
          <cell r="M40">
            <v>692</v>
          </cell>
          <cell r="N40">
            <v>575</v>
          </cell>
          <cell r="O40">
            <v>469</v>
          </cell>
          <cell r="P40">
            <v>235</v>
          </cell>
          <cell r="Q40">
            <v>82</v>
          </cell>
        </row>
        <row r="41">
          <cell r="M41">
            <v>692</v>
          </cell>
          <cell r="N41">
            <v>575</v>
          </cell>
          <cell r="O41">
            <v>469</v>
          </cell>
          <cell r="P41">
            <v>235</v>
          </cell>
          <cell r="Q41">
            <v>82</v>
          </cell>
        </row>
        <row r="42">
          <cell r="M42">
            <v>692</v>
          </cell>
          <cell r="N42">
            <v>575</v>
          </cell>
          <cell r="O42">
            <v>469</v>
          </cell>
          <cell r="P42">
            <v>235</v>
          </cell>
          <cell r="Q42">
            <v>82</v>
          </cell>
        </row>
        <row r="43">
          <cell r="M43">
            <v>692</v>
          </cell>
          <cell r="N43">
            <v>575</v>
          </cell>
          <cell r="O43">
            <v>469</v>
          </cell>
          <cell r="P43">
            <v>235</v>
          </cell>
          <cell r="Q43">
            <v>82</v>
          </cell>
        </row>
        <row r="44">
          <cell r="M44">
            <v>725</v>
          </cell>
          <cell r="N44">
            <v>602</v>
          </cell>
          <cell r="O44">
            <v>491</v>
          </cell>
          <cell r="P44">
            <v>246</v>
          </cell>
          <cell r="Q44">
            <v>86</v>
          </cell>
        </row>
        <row r="45">
          <cell r="M45">
            <v>732</v>
          </cell>
          <cell r="N45">
            <v>608</v>
          </cell>
          <cell r="O45">
            <v>496</v>
          </cell>
          <cell r="P45">
            <v>248</v>
          </cell>
          <cell r="Q45">
            <v>87</v>
          </cell>
        </row>
        <row r="46">
          <cell r="M46">
            <v>738</v>
          </cell>
          <cell r="N46">
            <v>613</v>
          </cell>
          <cell r="O46">
            <v>501</v>
          </cell>
          <cell r="P46">
            <v>250</v>
          </cell>
          <cell r="Q46">
            <v>88</v>
          </cell>
        </row>
        <row r="47">
          <cell r="M47">
            <v>745</v>
          </cell>
          <cell r="N47">
            <v>619</v>
          </cell>
          <cell r="O47">
            <v>505</v>
          </cell>
          <cell r="P47">
            <v>253</v>
          </cell>
          <cell r="Q47">
            <v>88</v>
          </cell>
        </row>
        <row r="48">
          <cell r="M48">
            <v>752</v>
          </cell>
          <cell r="N48">
            <v>624</v>
          </cell>
          <cell r="O48">
            <v>510</v>
          </cell>
          <cell r="P48">
            <v>255</v>
          </cell>
          <cell r="Q48">
            <v>89</v>
          </cell>
        </row>
        <row r="49">
          <cell r="M49">
            <v>759</v>
          </cell>
          <cell r="N49">
            <v>630</v>
          </cell>
          <cell r="O49">
            <v>514</v>
          </cell>
          <cell r="P49">
            <v>257</v>
          </cell>
          <cell r="Q49">
            <v>90</v>
          </cell>
        </row>
        <row r="50">
          <cell r="M50">
            <v>765</v>
          </cell>
          <cell r="N50">
            <v>636</v>
          </cell>
          <cell r="O50">
            <v>519</v>
          </cell>
          <cell r="P50">
            <v>259</v>
          </cell>
          <cell r="Q50">
            <v>91</v>
          </cell>
        </row>
        <row r="51">
          <cell r="M51">
            <v>772</v>
          </cell>
          <cell r="N51">
            <v>641</v>
          </cell>
          <cell r="O51">
            <v>523</v>
          </cell>
          <cell r="P51">
            <v>262</v>
          </cell>
          <cell r="Q51">
            <v>92</v>
          </cell>
        </row>
        <row r="52">
          <cell r="M52">
            <v>779</v>
          </cell>
          <cell r="N52">
            <v>647</v>
          </cell>
          <cell r="O52">
            <v>528</v>
          </cell>
          <cell r="P52">
            <v>264</v>
          </cell>
          <cell r="Q52">
            <v>92</v>
          </cell>
        </row>
        <row r="53">
          <cell r="M53">
            <v>786</v>
          </cell>
          <cell r="N53">
            <v>652</v>
          </cell>
          <cell r="O53">
            <v>533</v>
          </cell>
          <cell r="P53">
            <v>266</v>
          </cell>
          <cell r="Q53">
            <v>93</v>
          </cell>
        </row>
        <row r="54">
          <cell r="M54">
            <v>792</v>
          </cell>
          <cell r="N54">
            <v>658</v>
          </cell>
          <cell r="O54">
            <v>537</v>
          </cell>
          <cell r="P54">
            <v>269</v>
          </cell>
          <cell r="Q54">
            <v>94</v>
          </cell>
        </row>
        <row r="55">
          <cell r="M55">
            <v>799</v>
          </cell>
          <cell r="N55">
            <v>664</v>
          </cell>
          <cell r="O55">
            <v>542</v>
          </cell>
          <cell r="P55">
            <v>271</v>
          </cell>
          <cell r="Q55">
            <v>95</v>
          </cell>
        </row>
        <row r="56">
          <cell r="M56">
            <v>806</v>
          </cell>
          <cell r="N56">
            <v>669</v>
          </cell>
          <cell r="O56">
            <v>546</v>
          </cell>
          <cell r="P56">
            <v>273</v>
          </cell>
          <cell r="Q56">
            <v>96</v>
          </cell>
        </row>
        <row r="57">
          <cell r="M57">
            <v>813</v>
          </cell>
          <cell r="N57">
            <v>675</v>
          </cell>
          <cell r="O57">
            <v>551</v>
          </cell>
          <cell r="P57">
            <v>275</v>
          </cell>
          <cell r="Q57">
            <v>96</v>
          </cell>
        </row>
        <row r="58">
          <cell r="M58">
            <v>819</v>
          </cell>
          <cell r="N58">
            <v>680</v>
          </cell>
          <cell r="O58">
            <v>555</v>
          </cell>
          <cell r="P58">
            <v>278</v>
          </cell>
          <cell r="Q58">
            <v>97</v>
          </cell>
        </row>
      </sheetData>
      <sheetData sheetId="11"/>
      <sheetData sheetId="12"/>
      <sheetData sheetId="13"/>
      <sheetData sheetId="1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onster.xml"/>
      <sheetName val="monster-客户端"/>
      <sheetName val="精英副本难度"/>
    </sheetNames>
    <sheetDataSet>
      <sheetData sheetId="0">
        <row r="347">
          <cell r="A347">
            <v>1030011</v>
          </cell>
          <cell r="B347">
            <v>2001</v>
          </cell>
          <cell r="C347">
            <v>30</v>
          </cell>
          <cell r="D347" t="str">
            <v>战士幻象</v>
          </cell>
          <cell r="E347">
            <v>660</v>
          </cell>
          <cell r="F347">
            <v>660</v>
          </cell>
          <cell r="G347">
            <v>3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31817</v>
          </cell>
          <cell r="M347">
            <v>500</v>
          </cell>
          <cell r="N347">
            <v>2320</v>
          </cell>
          <cell r="O347">
            <v>2784</v>
          </cell>
          <cell r="P347">
            <v>20</v>
          </cell>
          <cell r="Q347">
            <v>0</v>
          </cell>
          <cell r="R347">
            <v>0</v>
          </cell>
          <cell r="S347">
            <v>0</v>
          </cell>
          <cell r="T347">
            <v>1206</v>
          </cell>
          <cell r="U347">
            <v>346</v>
          </cell>
          <cell r="V347">
            <v>0</v>
          </cell>
          <cell r="W347">
            <v>0</v>
          </cell>
          <cell r="X347" t="str">
            <v>UI/Program/HeroWarrior_Man_1.png</v>
          </cell>
          <cell r="Y347">
            <v>1</v>
          </cell>
          <cell r="Z347">
            <v>0</v>
          </cell>
          <cell r="AA347">
            <v>50</v>
          </cell>
          <cell r="AB347">
            <v>25</v>
          </cell>
          <cell r="AC347">
            <v>0.4</v>
          </cell>
        </row>
        <row r="348">
          <cell r="A348">
            <v>1030021</v>
          </cell>
          <cell r="B348">
            <v>2001</v>
          </cell>
          <cell r="C348">
            <v>30</v>
          </cell>
          <cell r="D348" t="str">
            <v>法力风暴</v>
          </cell>
          <cell r="E348">
            <v>660</v>
          </cell>
          <cell r="F348">
            <v>660</v>
          </cell>
          <cell r="G348" t="str">
            <v>25,30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26745</v>
          </cell>
          <cell r="M348">
            <v>2675</v>
          </cell>
          <cell r="N348">
            <v>3686</v>
          </cell>
          <cell r="O348">
            <v>4423</v>
          </cell>
          <cell r="P348">
            <v>20</v>
          </cell>
          <cell r="Q348">
            <v>0</v>
          </cell>
          <cell r="R348">
            <v>0</v>
          </cell>
          <cell r="S348">
            <v>0</v>
          </cell>
          <cell r="T348">
            <v>0</v>
          </cell>
          <cell r="U348">
            <v>346</v>
          </cell>
          <cell r="V348">
            <v>0</v>
          </cell>
          <cell r="W348">
            <v>0</v>
          </cell>
          <cell r="X348" t="str">
            <v>monster/10061.png</v>
          </cell>
          <cell r="Y348">
            <v>1</v>
          </cell>
          <cell r="Z348">
            <v>0</v>
          </cell>
          <cell r="AA348">
            <v>50</v>
          </cell>
          <cell r="AB348">
            <v>25</v>
          </cell>
          <cell r="AC348">
            <v>0.4</v>
          </cell>
        </row>
        <row r="349">
          <cell r="A349">
            <v>1030031</v>
          </cell>
          <cell r="B349">
            <v>2001</v>
          </cell>
          <cell r="C349">
            <v>31</v>
          </cell>
          <cell r="D349" t="str">
            <v>角斗士里奥</v>
          </cell>
          <cell r="E349">
            <v>690</v>
          </cell>
          <cell r="F349">
            <v>690</v>
          </cell>
          <cell r="G349">
            <v>5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51769</v>
          </cell>
          <cell r="M349">
            <v>1010</v>
          </cell>
          <cell r="N349">
            <v>2653</v>
          </cell>
          <cell r="O349">
            <v>3184</v>
          </cell>
          <cell r="P349">
            <v>50</v>
          </cell>
          <cell r="Q349">
            <v>0</v>
          </cell>
          <cell r="R349">
            <v>0</v>
          </cell>
          <cell r="S349">
            <v>0</v>
          </cell>
          <cell r="T349">
            <v>0</v>
          </cell>
          <cell r="U349">
            <v>369</v>
          </cell>
          <cell r="V349">
            <v>0</v>
          </cell>
          <cell r="W349">
            <v>0</v>
          </cell>
          <cell r="X349" t="str">
            <v>monster/10067.png</v>
          </cell>
          <cell r="Y349">
            <v>1</v>
          </cell>
          <cell r="Z349">
            <v>0</v>
          </cell>
          <cell r="AA349">
            <v>50</v>
          </cell>
          <cell r="AB349">
            <v>25</v>
          </cell>
          <cell r="AC349">
            <v>0.4</v>
          </cell>
        </row>
        <row r="350">
          <cell r="A350">
            <v>1030041</v>
          </cell>
          <cell r="B350">
            <v>2001</v>
          </cell>
          <cell r="C350">
            <v>31</v>
          </cell>
          <cell r="D350" t="str">
            <v>荒野游侠</v>
          </cell>
          <cell r="E350">
            <v>690</v>
          </cell>
          <cell r="F350">
            <v>690</v>
          </cell>
          <cell r="G350">
            <v>16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46835</v>
          </cell>
          <cell r="M350">
            <v>2020</v>
          </cell>
          <cell r="N350">
            <v>2784</v>
          </cell>
          <cell r="O350">
            <v>3341</v>
          </cell>
          <cell r="P350">
            <v>50</v>
          </cell>
          <cell r="Q350">
            <v>0</v>
          </cell>
          <cell r="R350">
            <v>0</v>
          </cell>
          <cell r="S350">
            <v>0</v>
          </cell>
          <cell r="T350">
            <v>0</v>
          </cell>
          <cell r="U350">
            <v>917</v>
          </cell>
          <cell r="V350">
            <v>0</v>
          </cell>
          <cell r="W350">
            <v>0</v>
          </cell>
          <cell r="X350" t="str">
            <v>monster/10096.png</v>
          </cell>
          <cell r="Y350">
            <v>1</v>
          </cell>
          <cell r="Z350">
            <v>0</v>
          </cell>
          <cell r="AA350">
            <v>50</v>
          </cell>
          <cell r="AB350">
            <v>25</v>
          </cell>
          <cell r="AC350">
            <v>0.4</v>
          </cell>
        </row>
        <row r="351">
          <cell r="A351">
            <v>1030051</v>
          </cell>
          <cell r="B351">
            <v>2001</v>
          </cell>
          <cell r="C351">
            <v>31</v>
          </cell>
          <cell r="D351" t="str">
            <v>憾地者</v>
          </cell>
          <cell r="E351">
            <v>690</v>
          </cell>
          <cell r="F351">
            <v>690</v>
          </cell>
          <cell r="G351">
            <v>4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66205</v>
          </cell>
          <cell r="M351">
            <v>1010</v>
          </cell>
          <cell r="N351">
            <v>2483</v>
          </cell>
          <cell r="O351">
            <v>2980</v>
          </cell>
          <cell r="P351">
            <v>50</v>
          </cell>
          <cell r="Q351">
            <v>0</v>
          </cell>
          <cell r="R351">
            <v>0</v>
          </cell>
          <cell r="S351">
            <v>0</v>
          </cell>
          <cell r="T351">
            <v>0</v>
          </cell>
          <cell r="U351">
            <v>369</v>
          </cell>
          <cell r="V351">
            <v>0</v>
          </cell>
          <cell r="W351">
            <v>0</v>
          </cell>
          <cell r="X351" t="str">
            <v>monster/10123.png</v>
          </cell>
          <cell r="Y351">
            <v>1</v>
          </cell>
          <cell r="Z351">
            <v>0</v>
          </cell>
          <cell r="AA351">
            <v>50</v>
          </cell>
          <cell r="AB351">
            <v>25</v>
          </cell>
          <cell r="AC351">
            <v>0.4</v>
          </cell>
        </row>
        <row r="352">
          <cell r="A352">
            <v>1030061</v>
          </cell>
          <cell r="B352">
            <v>2001</v>
          </cell>
          <cell r="C352">
            <v>32</v>
          </cell>
          <cell r="D352" t="str">
            <v>拉兹</v>
          </cell>
          <cell r="E352">
            <v>720</v>
          </cell>
          <cell r="F352">
            <v>720</v>
          </cell>
          <cell r="G352">
            <v>10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77082</v>
          </cell>
          <cell r="M352">
            <v>2040</v>
          </cell>
          <cell r="N352">
            <v>3738</v>
          </cell>
          <cell r="O352">
            <v>4486</v>
          </cell>
          <cell r="P352">
            <v>80</v>
          </cell>
          <cell r="Q352">
            <v>10</v>
          </cell>
          <cell r="R352">
            <v>10</v>
          </cell>
          <cell r="S352">
            <v>0</v>
          </cell>
          <cell r="T352">
            <v>798</v>
          </cell>
          <cell r="U352">
            <v>393</v>
          </cell>
          <cell r="V352">
            <v>0</v>
          </cell>
          <cell r="W352">
            <v>0</v>
          </cell>
          <cell r="X352" t="str">
            <v>monster/10106.png</v>
          </cell>
          <cell r="Y352">
            <v>1</v>
          </cell>
          <cell r="Z352">
            <v>0</v>
          </cell>
          <cell r="AA352">
            <v>50</v>
          </cell>
          <cell r="AB352">
            <v>25</v>
          </cell>
          <cell r="AC352">
            <v>0.4</v>
          </cell>
        </row>
        <row r="353">
          <cell r="A353">
            <v>1030071</v>
          </cell>
          <cell r="B353">
            <v>2001</v>
          </cell>
          <cell r="C353">
            <v>32</v>
          </cell>
          <cell r="D353" t="str">
            <v>塔克</v>
          </cell>
          <cell r="E353">
            <v>720</v>
          </cell>
          <cell r="F353">
            <v>720</v>
          </cell>
          <cell r="G353">
            <v>3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46249</v>
          </cell>
          <cell r="M353">
            <v>1020</v>
          </cell>
          <cell r="N353">
            <v>1090</v>
          </cell>
          <cell r="O353">
            <v>1308</v>
          </cell>
          <cell r="P353">
            <v>80</v>
          </cell>
          <cell r="Q353">
            <v>10</v>
          </cell>
          <cell r="R353">
            <v>10</v>
          </cell>
          <cell r="S353">
            <v>0</v>
          </cell>
          <cell r="T353">
            <v>0</v>
          </cell>
          <cell r="U353">
            <v>393</v>
          </cell>
          <cell r="V353">
            <v>0</v>
          </cell>
          <cell r="W353">
            <v>0</v>
          </cell>
          <cell r="X353" t="str">
            <v>monster/10085.png</v>
          </cell>
          <cell r="Y353">
            <v>1</v>
          </cell>
          <cell r="Z353">
            <v>0</v>
          </cell>
          <cell r="AA353">
            <v>50</v>
          </cell>
          <cell r="AB353">
            <v>25</v>
          </cell>
          <cell r="AC353">
            <v>0.4</v>
          </cell>
        </row>
        <row r="354">
          <cell r="A354">
            <v>1030072</v>
          </cell>
          <cell r="B354">
            <v>2001</v>
          </cell>
          <cell r="C354">
            <v>32</v>
          </cell>
          <cell r="D354" t="str">
            <v>迪皮斯</v>
          </cell>
          <cell r="E354">
            <v>720</v>
          </cell>
          <cell r="F354">
            <v>720</v>
          </cell>
          <cell r="G354" t="str">
            <v>17,14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34458</v>
          </cell>
          <cell r="M354">
            <v>1020</v>
          </cell>
          <cell r="N354">
            <v>1973</v>
          </cell>
          <cell r="O354">
            <v>2368</v>
          </cell>
          <cell r="P354">
            <v>80</v>
          </cell>
          <cell r="Q354">
            <v>10</v>
          </cell>
          <cell r="R354">
            <v>10</v>
          </cell>
          <cell r="S354">
            <v>0</v>
          </cell>
          <cell r="T354">
            <v>0</v>
          </cell>
          <cell r="U354">
            <v>393</v>
          </cell>
          <cell r="V354">
            <v>0</v>
          </cell>
          <cell r="W354">
            <v>0</v>
          </cell>
          <cell r="X354" t="str">
            <v>monster/10012.png</v>
          </cell>
          <cell r="Y354">
            <v>1</v>
          </cell>
          <cell r="Z354">
            <v>0</v>
          </cell>
          <cell r="AA354">
            <v>50</v>
          </cell>
          <cell r="AB354">
            <v>25</v>
          </cell>
          <cell r="AC354">
            <v>0.4</v>
          </cell>
        </row>
        <row r="355">
          <cell r="A355">
            <v>1030081</v>
          </cell>
          <cell r="B355">
            <v>2001</v>
          </cell>
          <cell r="C355">
            <v>33</v>
          </cell>
          <cell r="D355" t="str">
            <v>狂野安东尼</v>
          </cell>
          <cell r="E355">
            <v>750</v>
          </cell>
          <cell r="F355">
            <v>750</v>
          </cell>
          <cell r="G355">
            <v>7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95276</v>
          </cell>
          <cell r="M355">
            <v>1030</v>
          </cell>
          <cell r="N355">
            <v>3472</v>
          </cell>
          <cell r="O355">
            <v>4166</v>
          </cell>
          <cell r="P355">
            <v>110</v>
          </cell>
          <cell r="Q355">
            <v>20</v>
          </cell>
          <cell r="R355">
            <v>20</v>
          </cell>
          <cell r="S355">
            <v>0</v>
          </cell>
          <cell r="T355">
            <v>0</v>
          </cell>
          <cell r="U355">
            <v>417</v>
          </cell>
          <cell r="V355">
            <v>0</v>
          </cell>
          <cell r="W355">
            <v>0</v>
          </cell>
          <cell r="X355" t="str">
            <v>monster/10086.png</v>
          </cell>
          <cell r="Y355">
            <v>1</v>
          </cell>
          <cell r="Z355">
            <v>0</v>
          </cell>
          <cell r="AA355">
            <v>50</v>
          </cell>
          <cell r="AB355">
            <v>25</v>
          </cell>
          <cell r="AC355">
            <v>0.4</v>
          </cell>
        </row>
        <row r="356">
          <cell r="A356">
            <v>1030091</v>
          </cell>
          <cell r="B356">
            <v>2001</v>
          </cell>
          <cell r="C356">
            <v>34</v>
          </cell>
          <cell r="D356" t="str">
            <v>巡林者瑞克</v>
          </cell>
          <cell r="E356">
            <v>780</v>
          </cell>
          <cell r="F356">
            <v>780</v>
          </cell>
          <cell r="G356">
            <v>15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109493</v>
          </cell>
          <cell r="M356">
            <v>1040</v>
          </cell>
          <cell r="N356">
            <v>3732</v>
          </cell>
          <cell r="O356">
            <v>4478</v>
          </cell>
          <cell r="P356">
            <v>140</v>
          </cell>
          <cell r="Q356">
            <v>30</v>
          </cell>
          <cell r="R356">
            <v>30</v>
          </cell>
          <cell r="S356">
            <v>0</v>
          </cell>
          <cell r="T356">
            <v>0</v>
          </cell>
          <cell r="U356">
            <v>442</v>
          </cell>
          <cell r="V356">
            <v>0</v>
          </cell>
          <cell r="W356">
            <v>0</v>
          </cell>
          <cell r="X356" t="str">
            <v>monster/10094.png</v>
          </cell>
          <cell r="Y356">
            <v>1</v>
          </cell>
          <cell r="Z356">
            <v>0</v>
          </cell>
          <cell r="AA356">
            <v>50</v>
          </cell>
          <cell r="AB356">
            <v>25</v>
          </cell>
          <cell r="AC356">
            <v>0.4</v>
          </cell>
        </row>
        <row r="357">
          <cell r="A357">
            <v>1035011</v>
          </cell>
          <cell r="B357">
            <v>2001</v>
          </cell>
          <cell r="C357">
            <v>35</v>
          </cell>
          <cell r="D357" t="str">
            <v>战士幻象</v>
          </cell>
          <cell r="E357">
            <v>810</v>
          </cell>
          <cell r="F357">
            <v>810</v>
          </cell>
          <cell r="G357">
            <v>3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52983</v>
          </cell>
          <cell r="M357">
            <v>525</v>
          </cell>
          <cell r="N357">
            <v>3472</v>
          </cell>
          <cell r="O357">
            <v>4166</v>
          </cell>
          <cell r="P357">
            <v>170</v>
          </cell>
          <cell r="Q357">
            <v>40</v>
          </cell>
          <cell r="R357">
            <v>40</v>
          </cell>
          <cell r="S357">
            <v>0</v>
          </cell>
          <cell r="T357">
            <v>1629</v>
          </cell>
          <cell r="U357">
            <v>468</v>
          </cell>
          <cell r="V357">
            <v>0</v>
          </cell>
          <cell r="W357">
            <v>0</v>
          </cell>
          <cell r="X357" t="str">
            <v>UI/Program/HeroWarrior_Man_1.png</v>
          </cell>
          <cell r="Y357">
            <v>1</v>
          </cell>
          <cell r="Z357">
            <v>0</v>
          </cell>
          <cell r="AA357">
            <v>50</v>
          </cell>
          <cell r="AB357">
            <v>25</v>
          </cell>
          <cell r="AC357">
            <v>0.4</v>
          </cell>
        </row>
        <row r="358">
          <cell r="A358">
            <v>1035021</v>
          </cell>
          <cell r="B358">
            <v>2001</v>
          </cell>
          <cell r="C358">
            <v>35</v>
          </cell>
          <cell r="D358" t="str">
            <v>法力风暴</v>
          </cell>
          <cell r="E358">
            <v>810</v>
          </cell>
          <cell r="F358">
            <v>810</v>
          </cell>
          <cell r="G358" t="str">
            <v>25,30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43427</v>
          </cell>
          <cell r="M358">
            <v>4343</v>
          </cell>
          <cell r="N358">
            <v>5721</v>
          </cell>
          <cell r="O358">
            <v>6865</v>
          </cell>
          <cell r="P358">
            <v>170</v>
          </cell>
          <cell r="Q358">
            <v>40</v>
          </cell>
          <cell r="R358">
            <v>40</v>
          </cell>
          <cell r="S358">
            <v>0</v>
          </cell>
          <cell r="T358">
            <v>0</v>
          </cell>
          <cell r="U358">
            <v>468</v>
          </cell>
          <cell r="V358">
            <v>0</v>
          </cell>
          <cell r="W358">
            <v>0</v>
          </cell>
          <cell r="X358" t="str">
            <v>monster/10061.png</v>
          </cell>
          <cell r="Y358">
            <v>1</v>
          </cell>
          <cell r="Z358">
            <v>0</v>
          </cell>
          <cell r="AA358">
            <v>50</v>
          </cell>
          <cell r="AB358">
            <v>25</v>
          </cell>
          <cell r="AC358">
            <v>0.4</v>
          </cell>
        </row>
        <row r="359">
          <cell r="A359">
            <v>1035031</v>
          </cell>
          <cell r="B359">
            <v>2001</v>
          </cell>
          <cell r="C359">
            <v>36</v>
          </cell>
          <cell r="D359" t="str">
            <v>角斗士里奥</v>
          </cell>
          <cell r="E359">
            <v>840</v>
          </cell>
          <cell r="F359">
            <v>840</v>
          </cell>
          <cell r="G359">
            <v>5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81344</v>
          </cell>
          <cell r="M359">
            <v>1060</v>
          </cell>
          <cell r="N359">
            <v>4324</v>
          </cell>
          <cell r="O359">
            <v>5189</v>
          </cell>
          <cell r="P359">
            <v>200</v>
          </cell>
          <cell r="Q359">
            <v>50</v>
          </cell>
          <cell r="R359">
            <v>50</v>
          </cell>
          <cell r="S359">
            <v>0</v>
          </cell>
          <cell r="T359">
            <v>0</v>
          </cell>
          <cell r="U359">
            <v>494</v>
          </cell>
          <cell r="V359">
            <v>0</v>
          </cell>
          <cell r="W359">
            <v>0</v>
          </cell>
          <cell r="X359" t="str">
            <v>monster/10067.png</v>
          </cell>
          <cell r="Y359">
            <v>1</v>
          </cell>
          <cell r="Z359">
            <v>0</v>
          </cell>
          <cell r="AA359">
            <v>50</v>
          </cell>
          <cell r="AB359">
            <v>25</v>
          </cell>
          <cell r="AC359">
            <v>0.4</v>
          </cell>
        </row>
        <row r="360">
          <cell r="A360">
            <v>1035041</v>
          </cell>
          <cell r="B360">
            <v>2001</v>
          </cell>
          <cell r="C360">
            <v>36</v>
          </cell>
          <cell r="D360" t="str">
            <v>荒野游侠</v>
          </cell>
          <cell r="E360">
            <v>840</v>
          </cell>
          <cell r="F360">
            <v>840</v>
          </cell>
          <cell r="G360">
            <v>16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72950</v>
          </cell>
          <cell r="M360">
            <v>2120</v>
          </cell>
          <cell r="N360">
            <v>4646</v>
          </cell>
          <cell r="O360">
            <v>5575</v>
          </cell>
          <cell r="P360">
            <v>200</v>
          </cell>
          <cell r="Q360">
            <v>50</v>
          </cell>
          <cell r="R360">
            <v>50</v>
          </cell>
          <cell r="S360">
            <v>0</v>
          </cell>
          <cell r="T360">
            <v>0</v>
          </cell>
          <cell r="U360">
            <v>1226</v>
          </cell>
          <cell r="V360">
            <v>0</v>
          </cell>
          <cell r="W360">
            <v>0</v>
          </cell>
          <cell r="X360" t="str">
            <v>monster/10096.png</v>
          </cell>
          <cell r="Y360">
            <v>1</v>
          </cell>
          <cell r="Z360">
            <v>0</v>
          </cell>
          <cell r="AA360">
            <v>50</v>
          </cell>
          <cell r="AB360">
            <v>25</v>
          </cell>
          <cell r="AC360">
            <v>0.4</v>
          </cell>
        </row>
        <row r="361">
          <cell r="A361">
            <v>1035051</v>
          </cell>
          <cell r="B361">
            <v>2001</v>
          </cell>
          <cell r="C361">
            <v>36</v>
          </cell>
          <cell r="D361" t="str">
            <v>憾地者</v>
          </cell>
          <cell r="E361">
            <v>840</v>
          </cell>
          <cell r="F361">
            <v>840</v>
          </cell>
          <cell r="G361">
            <v>4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102222</v>
          </cell>
          <cell r="M361">
            <v>1060</v>
          </cell>
          <cell r="N361">
            <v>4242</v>
          </cell>
          <cell r="O361">
            <v>5090</v>
          </cell>
          <cell r="P361">
            <v>200</v>
          </cell>
          <cell r="Q361">
            <v>50</v>
          </cell>
          <cell r="R361">
            <v>50</v>
          </cell>
          <cell r="S361">
            <v>0</v>
          </cell>
          <cell r="T361">
            <v>0</v>
          </cell>
          <cell r="U361">
            <v>494</v>
          </cell>
          <cell r="V361">
            <v>0</v>
          </cell>
          <cell r="W361">
            <v>0</v>
          </cell>
          <cell r="X361" t="str">
            <v>monster/10123.png</v>
          </cell>
          <cell r="Y361">
            <v>1</v>
          </cell>
          <cell r="Z361">
            <v>0</v>
          </cell>
          <cell r="AA361">
            <v>50</v>
          </cell>
          <cell r="AB361">
            <v>25</v>
          </cell>
          <cell r="AC361">
            <v>0.4</v>
          </cell>
        </row>
        <row r="362">
          <cell r="A362">
            <v>1035061</v>
          </cell>
          <cell r="B362">
            <v>2001</v>
          </cell>
          <cell r="C362">
            <v>37</v>
          </cell>
          <cell r="D362" t="str">
            <v>拉兹</v>
          </cell>
          <cell r="E362">
            <v>870</v>
          </cell>
          <cell r="F362">
            <v>870</v>
          </cell>
          <cell r="G362">
            <v>10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118301</v>
          </cell>
          <cell r="M362">
            <v>2140</v>
          </cell>
          <cell r="N362">
            <v>6588</v>
          </cell>
          <cell r="O362">
            <v>7906</v>
          </cell>
          <cell r="P362">
            <v>230</v>
          </cell>
          <cell r="Q362">
            <v>60</v>
          </cell>
          <cell r="R362">
            <v>60</v>
          </cell>
          <cell r="S362">
            <v>0</v>
          </cell>
          <cell r="T362">
            <v>1059</v>
          </cell>
          <cell r="U362">
            <v>522</v>
          </cell>
          <cell r="V362">
            <v>0</v>
          </cell>
          <cell r="W362">
            <v>0</v>
          </cell>
          <cell r="X362" t="str">
            <v>monster/10106.png</v>
          </cell>
          <cell r="Y362">
            <v>1</v>
          </cell>
          <cell r="Z362">
            <v>0</v>
          </cell>
          <cell r="AA362">
            <v>50</v>
          </cell>
          <cell r="AB362">
            <v>25</v>
          </cell>
          <cell r="AC362">
            <v>0.4</v>
          </cell>
        </row>
        <row r="363">
          <cell r="A363">
            <v>1035071</v>
          </cell>
          <cell r="B363">
            <v>2001</v>
          </cell>
          <cell r="C363">
            <v>37</v>
          </cell>
          <cell r="D363" t="str">
            <v>塔克</v>
          </cell>
          <cell r="E363">
            <v>870</v>
          </cell>
          <cell r="F363">
            <v>870</v>
          </cell>
          <cell r="G363">
            <v>3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70980</v>
          </cell>
          <cell r="M363">
            <v>1070</v>
          </cell>
          <cell r="N363">
            <v>1922</v>
          </cell>
          <cell r="O363">
            <v>2306</v>
          </cell>
          <cell r="P363">
            <v>230</v>
          </cell>
          <cell r="Q363">
            <v>60</v>
          </cell>
          <cell r="R363">
            <v>60</v>
          </cell>
          <cell r="S363">
            <v>0</v>
          </cell>
          <cell r="T363">
            <v>0</v>
          </cell>
          <cell r="U363">
            <v>522</v>
          </cell>
          <cell r="V363">
            <v>0</v>
          </cell>
          <cell r="W363">
            <v>0</v>
          </cell>
          <cell r="X363" t="str">
            <v>monster/10085.png</v>
          </cell>
          <cell r="Y363">
            <v>1</v>
          </cell>
          <cell r="Z363">
            <v>0</v>
          </cell>
          <cell r="AA363">
            <v>50</v>
          </cell>
          <cell r="AB363">
            <v>25</v>
          </cell>
          <cell r="AC363">
            <v>0.4</v>
          </cell>
        </row>
        <row r="364">
          <cell r="A364">
            <v>1035072</v>
          </cell>
          <cell r="B364">
            <v>2001</v>
          </cell>
          <cell r="C364">
            <v>37</v>
          </cell>
          <cell r="D364" t="str">
            <v>迪皮斯</v>
          </cell>
          <cell r="E364">
            <v>870</v>
          </cell>
          <cell r="F364">
            <v>870</v>
          </cell>
          <cell r="G364" t="str">
            <v>17,14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52594</v>
          </cell>
          <cell r="M364">
            <v>1070</v>
          </cell>
          <cell r="N364">
            <v>3550</v>
          </cell>
          <cell r="O364">
            <v>4260</v>
          </cell>
          <cell r="P364">
            <v>230</v>
          </cell>
          <cell r="Q364">
            <v>60</v>
          </cell>
          <cell r="R364">
            <v>60</v>
          </cell>
          <cell r="S364">
            <v>0</v>
          </cell>
          <cell r="T364">
            <v>0</v>
          </cell>
          <cell r="U364">
            <v>522</v>
          </cell>
          <cell r="V364">
            <v>0</v>
          </cell>
          <cell r="W364">
            <v>0</v>
          </cell>
          <cell r="X364" t="str">
            <v>monster/10012.png</v>
          </cell>
          <cell r="Y364">
            <v>1</v>
          </cell>
          <cell r="Z364">
            <v>0</v>
          </cell>
          <cell r="AA364">
            <v>50</v>
          </cell>
          <cell r="AB364">
            <v>25</v>
          </cell>
          <cell r="AC364">
            <v>0.4</v>
          </cell>
        </row>
        <row r="365">
          <cell r="A365">
            <v>1035081</v>
          </cell>
          <cell r="B365">
            <v>2001</v>
          </cell>
          <cell r="C365">
            <v>38</v>
          </cell>
          <cell r="D365" t="str">
            <v>狂野安东尼</v>
          </cell>
          <cell r="E365">
            <v>900</v>
          </cell>
          <cell r="F365">
            <v>900</v>
          </cell>
          <cell r="G365">
            <v>7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145338</v>
          </cell>
          <cell r="M365">
            <v>1080</v>
          </cell>
          <cell r="N365">
            <v>6375</v>
          </cell>
          <cell r="O365">
            <v>7650</v>
          </cell>
          <cell r="P365">
            <v>260</v>
          </cell>
          <cell r="Q365">
            <v>70</v>
          </cell>
          <cell r="R365">
            <v>70</v>
          </cell>
          <cell r="S365">
            <v>0</v>
          </cell>
          <cell r="T365">
            <v>0</v>
          </cell>
          <cell r="U365">
            <v>549</v>
          </cell>
          <cell r="V365">
            <v>0</v>
          </cell>
          <cell r="W365">
            <v>0</v>
          </cell>
          <cell r="X365" t="str">
            <v>monster/10086.png</v>
          </cell>
          <cell r="Y365">
            <v>1</v>
          </cell>
          <cell r="Z365">
            <v>0</v>
          </cell>
          <cell r="AA365">
            <v>50</v>
          </cell>
          <cell r="AB365">
            <v>25</v>
          </cell>
          <cell r="AC365">
            <v>0.4</v>
          </cell>
        </row>
        <row r="366">
          <cell r="A366">
            <v>1035091</v>
          </cell>
          <cell r="B366">
            <v>2001</v>
          </cell>
          <cell r="C366">
            <v>39</v>
          </cell>
          <cell r="D366" t="str">
            <v>巡林者瑞克</v>
          </cell>
          <cell r="E366">
            <v>930</v>
          </cell>
          <cell r="F366">
            <v>930</v>
          </cell>
          <cell r="G366">
            <v>15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166513</v>
          </cell>
          <cell r="M366">
            <v>1090</v>
          </cell>
          <cell r="N366">
            <v>7043</v>
          </cell>
          <cell r="O366">
            <v>8452</v>
          </cell>
          <cell r="P366">
            <v>290</v>
          </cell>
          <cell r="Q366">
            <v>80</v>
          </cell>
          <cell r="R366">
            <v>80</v>
          </cell>
          <cell r="S366">
            <v>0</v>
          </cell>
          <cell r="T366">
            <v>0</v>
          </cell>
          <cell r="U366">
            <v>578</v>
          </cell>
          <cell r="V366">
            <v>0</v>
          </cell>
          <cell r="W366">
            <v>0</v>
          </cell>
          <cell r="X366" t="str">
            <v>monster/10094.png</v>
          </cell>
          <cell r="Y366">
            <v>1</v>
          </cell>
          <cell r="Z366">
            <v>0</v>
          </cell>
          <cell r="AA366">
            <v>50</v>
          </cell>
          <cell r="AB366">
            <v>25</v>
          </cell>
          <cell r="AC366">
            <v>0.4</v>
          </cell>
        </row>
        <row r="367">
          <cell r="A367">
            <v>1040011</v>
          </cell>
          <cell r="B367">
            <v>2001</v>
          </cell>
          <cell r="C367">
            <v>40</v>
          </cell>
          <cell r="D367" t="str">
            <v>战士幻象</v>
          </cell>
          <cell r="E367">
            <v>960</v>
          </cell>
          <cell r="F367">
            <v>960</v>
          </cell>
          <cell r="G367">
            <v>3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85363</v>
          </cell>
          <cell r="M367">
            <v>550</v>
          </cell>
          <cell r="N367">
            <v>5322</v>
          </cell>
          <cell r="O367">
            <v>6386</v>
          </cell>
          <cell r="P367">
            <v>320</v>
          </cell>
          <cell r="Q367">
            <v>90</v>
          </cell>
          <cell r="R367">
            <v>90</v>
          </cell>
          <cell r="S367">
            <v>0</v>
          </cell>
          <cell r="T367">
            <v>2115</v>
          </cell>
          <cell r="U367">
            <v>607</v>
          </cell>
          <cell r="V367">
            <v>0</v>
          </cell>
          <cell r="W367">
            <v>0</v>
          </cell>
          <cell r="X367" t="str">
            <v>UI/Program/HeroWarrior_Man_1.png</v>
          </cell>
          <cell r="Y367">
            <v>1</v>
          </cell>
          <cell r="Z367">
            <v>0</v>
          </cell>
          <cell r="AA367">
            <v>50</v>
          </cell>
          <cell r="AB367">
            <v>25</v>
          </cell>
          <cell r="AC367">
            <v>0.4</v>
          </cell>
        </row>
        <row r="368">
          <cell r="A368">
            <v>1040021</v>
          </cell>
          <cell r="B368">
            <v>2001</v>
          </cell>
          <cell r="C368">
            <v>40</v>
          </cell>
          <cell r="D368" t="str">
            <v>法力风暴</v>
          </cell>
          <cell r="E368">
            <v>960</v>
          </cell>
          <cell r="F368">
            <v>960</v>
          </cell>
          <cell r="G368" t="str">
            <v>25,30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68268</v>
          </cell>
          <cell r="M368">
            <v>6827</v>
          </cell>
          <cell r="N368">
            <v>9031</v>
          </cell>
          <cell r="O368">
            <v>10837</v>
          </cell>
          <cell r="P368">
            <v>320</v>
          </cell>
          <cell r="Q368">
            <v>90</v>
          </cell>
          <cell r="R368">
            <v>90</v>
          </cell>
          <cell r="S368">
            <v>0</v>
          </cell>
          <cell r="T368">
            <v>0</v>
          </cell>
          <cell r="U368">
            <v>607</v>
          </cell>
          <cell r="V368">
            <v>0</v>
          </cell>
          <cell r="W368">
            <v>0</v>
          </cell>
          <cell r="X368" t="str">
            <v>monster/10061.png</v>
          </cell>
          <cell r="Y368">
            <v>1</v>
          </cell>
          <cell r="Z368">
            <v>0</v>
          </cell>
          <cell r="AA368">
            <v>50</v>
          </cell>
          <cell r="AB368">
            <v>25</v>
          </cell>
          <cell r="AC368">
            <v>0.4</v>
          </cell>
        </row>
        <row r="369">
          <cell r="A369">
            <v>1040031</v>
          </cell>
          <cell r="B369">
            <v>2001</v>
          </cell>
          <cell r="C369">
            <v>41</v>
          </cell>
          <cell r="D369" t="str">
            <v>角斗士里奥</v>
          </cell>
          <cell r="E369">
            <v>1000</v>
          </cell>
          <cell r="F369">
            <v>1000</v>
          </cell>
          <cell r="G369">
            <v>5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124154</v>
          </cell>
          <cell r="M369">
            <v>1110</v>
          </cell>
          <cell r="N369">
            <v>7098</v>
          </cell>
          <cell r="O369">
            <v>8518</v>
          </cell>
          <cell r="P369">
            <v>350</v>
          </cell>
          <cell r="Q369">
            <v>100</v>
          </cell>
          <cell r="R369">
            <v>100</v>
          </cell>
          <cell r="S369">
            <v>0</v>
          </cell>
          <cell r="T369">
            <v>0</v>
          </cell>
          <cell r="U369">
            <v>638</v>
          </cell>
          <cell r="V369">
            <v>0</v>
          </cell>
          <cell r="W369">
            <v>0</v>
          </cell>
          <cell r="X369" t="str">
            <v>monster/10067.png</v>
          </cell>
          <cell r="Y369">
            <v>1</v>
          </cell>
          <cell r="Z369">
            <v>0</v>
          </cell>
          <cell r="AA369">
            <v>50</v>
          </cell>
          <cell r="AB369">
            <v>25</v>
          </cell>
          <cell r="AC369">
            <v>0.4</v>
          </cell>
        </row>
        <row r="370">
          <cell r="A370">
            <v>1040041</v>
          </cell>
          <cell r="B370">
            <v>2001</v>
          </cell>
          <cell r="C370">
            <v>41</v>
          </cell>
          <cell r="D370" t="str">
            <v>荒野游侠</v>
          </cell>
          <cell r="E370">
            <v>1000</v>
          </cell>
          <cell r="F370">
            <v>1000</v>
          </cell>
          <cell r="G370">
            <v>16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110285</v>
          </cell>
          <cell r="M370">
            <v>2220</v>
          </cell>
          <cell r="N370">
            <v>7744</v>
          </cell>
          <cell r="O370">
            <v>9293</v>
          </cell>
          <cell r="P370">
            <v>350</v>
          </cell>
          <cell r="Q370">
            <v>100</v>
          </cell>
          <cell r="R370">
            <v>100</v>
          </cell>
          <cell r="S370">
            <v>0</v>
          </cell>
          <cell r="T370">
            <v>0</v>
          </cell>
          <cell r="U370">
            <v>1583</v>
          </cell>
          <cell r="V370">
            <v>0</v>
          </cell>
          <cell r="W370">
            <v>0</v>
          </cell>
          <cell r="X370" t="str">
            <v>monster/10096.png</v>
          </cell>
          <cell r="Y370">
            <v>1</v>
          </cell>
          <cell r="Z370">
            <v>0</v>
          </cell>
          <cell r="AA370">
            <v>50</v>
          </cell>
          <cell r="AB370">
            <v>25</v>
          </cell>
          <cell r="AC370">
            <v>0.4</v>
          </cell>
        </row>
        <row r="371">
          <cell r="A371">
            <v>1040051</v>
          </cell>
          <cell r="B371">
            <v>2001</v>
          </cell>
          <cell r="C371">
            <v>41</v>
          </cell>
          <cell r="D371" t="str">
            <v>憾地者</v>
          </cell>
          <cell r="E371">
            <v>1000</v>
          </cell>
          <cell r="F371">
            <v>1000</v>
          </cell>
          <cell r="G371">
            <v>4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153072</v>
          </cell>
          <cell r="M371">
            <v>1110</v>
          </cell>
          <cell r="N371">
            <v>7183</v>
          </cell>
          <cell r="O371">
            <v>8620</v>
          </cell>
          <cell r="P371">
            <v>350</v>
          </cell>
          <cell r="Q371">
            <v>100</v>
          </cell>
          <cell r="R371">
            <v>100</v>
          </cell>
          <cell r="S371">
            <v>0</v>
          </cell>
          <cell r="T371">
            <v>0</v>
          </cell>
          <cell r="U371">
            <v>638</v>
          </cell>
          <cell r="V371">
            <v>0</v>
          </cell>
          <cell r="W371">
            <v>0</v>
          </cell>
          <cell r="X371" t="str">
            <v>monster/10123.png</v>
          </cell>
          <cell r="Y371">
            <v>1</v>
          </cell>
          <cell r="Z371">
            <v>0</v>
          </cell>
          <cell r="AA371">
            <v>50</v>
          </cell>
          <cell r="AB371">
            <v>25</v>
          </cell>
          <cell r="AC371">
            <v>0.4</v>
          </cell>
        </row>
        <row r="372">
          <cell r="A372">
            <v>1040061</v>
          </cell>
          <cell r="B372">
            <v>2001</v>
          </cell>
          <cell r="C372">
            <v>42</v>
          </cell>
          <cell r="D372" t="str">
            <v>拉兹</v>
          </cell>
          <cell r="E372">
            <v>1040</v>
          </cell>
          <cell r="F372">
            <v>1040</v>
          </cell>
          <cell r="G372">
            <v>10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175407</v>
          </cell>
          <cell r="M372">
            <v>2240</v>
          </cell>
          <cell r="N372">
            <v>11390</v>
          </cell>
          <cell r="O372">
            <v>13668</v>
          </cell>
          <cell r="P372">
            <v>380</v>
          </cell>
          <cell r="Q372">
            <v>110</v>
          </cell>
          <cell r="R372">
            <v>110</v>
          </cell>
          <cell r="S372">
            <v>0</v>
          </cell>
          <cell r="T372">
            <v>1358</v>
          </cell>
          <cell r="U372">
            <v>668</v>
          </cell>
          <cell r="V372">
            <v>0</v>
          </cell>
          <cell r="W372">
            <v>0</v>
          </cell>
          <cell r="X372" t="str">
            <v>monster/10106.png</v>
          </cell>
          <cell r="Y372">
            <v>1</v>
          </cell>
          <cell r="Z372">
            <v>0</v>
          </cell>
          <cell r="AA372">
            <v>50</v>
          </cell>
          <cell r="AB372">
            <v>25</v>
          </cell>
          <cell r="AC372">
            <v>0.4</v>
          </cell>
        </row>
        <row r="373">
          <cell r="A373">
            <v>1040071</v>
          </cell>
          <cell r="B373">
            <v>2001</v>
          </cell>
          <cell r="C373">
            <v>42</v>
          </cell>
          <cell r="D373" t="str">
            <v>塔克</v>
          </cell>
          <cell r="E373">
            <v>1040</v>
          </cell>
          <cell r="F373">
            <v>1040</v>
          </cell>
          <cell r="G373">
            <v>3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105244</v>
          </cell>
          <cell r="M373">
            <v>1120</v>
          </cell>
          <cell r="N373">
            <v>3322</v>
          </cell>
          <cell r="O373">
            <v>3986</v>
          </cell>
          <cell r="P373">
            <v>380</v>
          </cell>
          <cell r="Q373">
            <v>110</v>
          </cell>
          <cell r="R373">
            <v>110</v>
          </cell>
          <cell r="S373">
            <v>0</v>
          </cell>
          <cell r="T373">
            <v>0</v>
          </cell>
          <cell r="U373">
            <v>668</v>
          </cell>
          <cell r="V373">
            <v>0</v>
          </cell>
          <cell r="W373">
            <v>0</v>
          </cell>
          <cell r="X373" t="str">
            <v>monster/10085.png</v>
          </cell>
          <cell r="Y373">
            <v>1</v>
          </cell>
          <cell r="Z373">
            <v>0</v>
          </cell>
          <cell r="AA373">
            <v>50</v>
          </cell>
          <cell r="AB373">
            <v>25</v>
          </cell>
          <cell r="AC373">
            <v>0.4</v>
          </cell>
        </row>
        <row r="374">
          <cell r="A374">
            <v>1040072</v>
          </cell>
          <cell r="B374">
            <v>2001</v>
          </cell>
          <cell r="C374">
            <v>42</v>
          </cell>
          <cell r="D374" t="str">
            <v>迪皮斯</v>
          </cell>
          <cell r="E374">
            <v>1040</v>
          </cell>
          <cell r="F374">
            <v>1040</v>
          </cell>
          <cell r="G374" t="str">
            <v>17,14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77495</v>
          </cell>
          <cell r="M374">
            <v>1120</v>
          </cell>
          <cell r="N374">
            <v>6212</v>
          </cell>
          <cell r="O374">
            <v>7454</v>
          </cell>
          <cell r="P374">
            <v>380</v>
          </cell>
          <cell r="Q374">
            <v>110</v>
          </cell>
          <cell r="R374">
            <v>110</v>
          </cell>
          <cell r="S374">
            <v>0</v>
          </cell>
          <cell r="T374">
            <v>0</v>
          </cell>
          <cell r="U374">
            <v>668</v>
          </cell>
          <cell r="V374">
            <v>0</v>
          </cell>
          <cell r="W374">
            <v>0</v>
          </cell>
          <cell r="X374" t="str">
            <v>monster/10012.png</v>
          </cell>
          <cell r="Y374">
            <v>1</v>
          </cell>
          <cell r="Z374">
            <v>0</v>
          </cell>
          <cell r="AA374">
            <v>50</v>
          </cell>
          <cell r="AB374">
            <v>25</v>
          </cell>
          <cell r="AC374">
            <v>0.4</v>
          </cell>
        </row>
        <row r="375">
          <cell r="A375">
            <v>1040081</v>
          </cell>
          <cell r="B375">
            <v>2001</v>
          </cell>
          <cell r="C375">
            <v>43</v>
          </cell>
          <cell r="D375" t="str">
            <v>狂野安东尼</v>
          </cell>
          <cell r="E375">
            <v>1080</v>
          </cell>
          <cell r="F375">
            <v>1080</v>
          </cell>
          <cell r="G375">
            <v>7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213342</v>
          </cell>
          <cell r="M375">
            <v>1130</v>
          </cell>
          <cell r="N375">
            <v>11295</v>
          </cell>
          <cell r="O375">
            <v>13554</v>
          </cell>
          <cell r="P375">
            <v>410</v>
          </cell>
          <cell r="Q375">
            <v>120</v>
          </cell>
          <cell r="R375">
            <v>120</v>
          </cell>
          <cell r="S375">
            <v>0</v>
          </cell>
          <cell r="T375">
            <v>0</v>
          </cell>
          <cell r="U375">
            <v>700</v>
          </cell>
          <cell r="V375">
            <v>0</v>
          </cell>
          <cell r="W375">
            <v>0</v>
          </cell>
          <cell r="X375" t="str">
            <v>monster/10086.png</v>
          </cell>
          <cell r="Y375">
            <v>1</v>
          </cell>
          <cell r="Z375">
            <v>0</v>
          </cell>
          <cell r="AA375">
            <v>50</v>
          </cell>
          <cell r="AB375">
            <v>25</v>
          </cell>
          <cell r="AC375">
            <v>0.4</v>
          </cell>
        </row>
        <row r="376">
          <cell r="A376">
            <v>1040091</v>
          </cell>
          <cell r="B376">
            <v>2001</v>
          </cell>
          <cell r="C376">
            <v>44</v>
          </cell>
          <cell r="D376" t="str">
            <v>巡林者瑞克</v>
          </cell>
          <cell r="E376">
            <v>1120</v>
          </cell>
          <cell r="F376">
            <v>1120</v>
          </cell>
          <cell r="G376">
            <v>15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242928</v>
          </cell>
          <cell r="M376">
            <v>1140.0000000000002</v>
          </cell>
          <cell r="N376">
            <v>12684</v>
          </cell>
          <cell r="O376">
            <v>15221</v>
          </cell>
          <cell r="P376">
            <v>440</v>
          </cell>
          <cell r="Q376">
            <v>130</v>
          </cell>
          <cell r="R376">
            <v>130</v>
          </cell>
          <cell r="S376">
            <v>0</v>
          </cell>
          <cell r="T376">
            <v>0</v>
          </cell>
          <cell r="U376">
            <v>732</v>
          </cell>
          <cell r="V376">
            <v>0</v>
          </cell>
          <cell r="W376">
            <v>0</v>
          </cell>
          <cell r="X376" t="str">
            <v>monster/10094.png</v>
          </cell>
          <cell r="Y376">
            <v>1</v>
          </cell>
          <cell r="Z376">
            <v>0</v>
          </cell>
          <cell r="AA376">
            <v>50</v>
          </cell>
          <cell r="AB376">
            <v>25</v>
          </cell>
          <cell r="AC376">
            <v>0.4</v>
          </cell>
        </row>
        <row r="377">
          <cell r="A377">
            <v>1045011</v>
          </cell>
          <cell r="B377">
            <v>2001</v>
          </cell>
          <cell r="C377">
            <v>45</v>
          </cell>
          <cell r="D377" t="str">
            <v>战士幻象</v>
          </cell>
          <cell r="E377">
            <v>1160</v>
          </cell>
          <cell r="F377">
            <v>1160</v>
          </cell>
          <cell r="G377">
            <v>3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123693</v>
          </cell>
          <cell r="M377">
            <v>575</v>
          </cell>
          <cell r="N377">
            <v>6757</v>
          </cell>
          <cell r="O377">
            <v>8108</v>
          </cell>
          <cell r="P377">
            <v>470</v>
          </cell>
          <cell r="Q377">
            <v>140</v>
          </cell>
          <cell r="R377">
            <v>140</v>
          </cell>
          <cell r="S377">
            <v>0</v>
          </cell>
          <cell r="T377">
            <v>2666</v>
          </cell>
          <cell r="U377">
            <v>766</v>
          </cell>
          <cell r="V377">
            <v>0</v>
          </cell>
          <cell r="W377">
            <v>0</v>
          </cell>
          <cell r="X377" t="str">
            <v>UI/Program/HeroWarrior_Man_1.png</v>
          </cell>
          <cell r="Y377">
            <v>1</v>
          </cell>
          <cell r="Z377">
            <v>0</v>
          </cell>
          <cell r="AA377">
            <v>50</v>
          </cell>
          <cell r="AB377">
            <v>25</v>
          </cell>
          <cell r="AC377">
            <v>0.4</v>
          </cell>
        </row>
        <row r="378">
          <cell r="A378">
            <v>1045021</v>
          </cell>
          <cell r="B378">
            <v>2001</v>
          </cell>
          <cell r="C378">
            <v>45</v>
          </cell>
          <cell r="D378" t="str">
            <v>法力风暴</v>
          </cell>
          <cell r="E378">
            <v>1160</v>
          </cell>
          <cell r="F378">
            <v>1160</v>
          </cell>
          <cell r="G378" t="str">
            <v>25,30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98042</v>
          </cell>
          <cell r="M378">
            <v>9804</v>
          </cell>
          <cell r="N378">
            <v>11876</v>
          </cell>
          <cell r="O378">
            <v>14251</v>
          </cell>
          <cell r="P378">
            <v>470</v>
          </cell>
          <cell r="Q378">
            <v>140</v>
          </cell>
          <cell r="R378">
            <v>140</v>
          </cell>
          <cell r="S378">
            <v>0</v>
          </cell>
          <cell r="T378">
            <v>0</v>
          </cell>
          <cell r="U378">
            <v>766</v>
          </cell>
          <cell r="V378">
            <v>0</v>
          </cell>
          <cell r="W378">
            <v>0</v>
          </cell>
          <cell r="X378" t="str">
            <v>monster/10061.png</v>
          </cell>
          <cell r="Y378">
            <v>1</v>
          </cell>
          <cell r="Z378">
            <v>0</v>
          </cell>
          <cell r="AA378">
            <v>50</v>
          </cell>
          <cell r="AB378">
            <v>25</v>
          </cell>
          <cell r="AC378">
            <v>0.4</v>
          </cell>
        </row>
        <row r="379">
          <cell r="A379">
            <v>1045031</v>
          </cell>
          <cell r="B379">
            <v>2001</v>
          </cell>
          <cell r="C379">
            <v>46</v>
          </cell>
          <cell r="D379" t="str">
            <v>角斗士里奥</v>
          </cell>
          <cell r="E379">
            <v>1200</v>
          </cell>
          <cell r="F379">
            <v>1200</v>
          </cell>
          <cell r="G379">
            <v>5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176498</v>
          </cell>
          <cell r="M379">
            <v>1160</v>
          </cell>
          <cell r="N379">
            <v>9781</v>
          </cell>
          <cell r="O379">
            <v>11737</v>
          </cell>
          <cell r="P379">
            <v>500</v>
          </cell>
          <cell r="Q379">
            <v>150</v>
          </cell>
          <cell r="R379">
            <v>150</v>
          </cell>
          <cell r="S379">
            <v>0</v>
          </cell>
          <cell r="T379">
            <v>0</v>
          </cell>
          <cell r="U379">
            <v>799</v>
          </cell>
          <cell r="V379">
            <v>0</v>
          </cell>
          <cell r="W379">
            <v>0</v>
          </cell>
          <cell r="X379" t="str">
            <v>monster/10067.png</v>
          </cell>
          <cell r="Y379">
            <v>1</v>
          </cell>
          <cell r="Z379">
            <v>0</v>
          </cell>
          <cell r="AA379">
            <v>50</v>
          </cell>
          <cell r="AB379">
            <v>25</v>
          </cell>
          <cell r="AC379">
            <v>0.4</v>
          </cell>
        </row>
        <row r="380">
          <cell r="A380">
            <v>1045041</v>
          </cell>
          <cell r="B380">
            <v>2001</v>
          </cell>
          <cell r="C380">
            <v>46</v>
          </cell>
          <cell r="D380" t="str">
            <v>荒野游侠</v>
          </cell>
          <cell r="E380">
            <v>1200</v>
          </cell>
          <cell r="F380">
            <v>1200</v>
          </cell>
          <cell r="G380">
            <v>16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156195</v>
          </cell>
          <cell r="M380">
            <v>2320</v>
          </cell>
          <cell r="N380">
            <v>10844</v>
          </cell>
          <cell r="O380">
            <v>13013</v>
          </cell>
          <cell r="P380">
            <v>500</v>
          </cell>
          <cell r="Q380">
            <v>150</v>
          </cell>
          <cell r="R380">
            <v>150</v>
          </cell>
          <cell r="S380">
            <v>0</v>
          </cell>
          <cell r="T380">
            <v>0</v>
          </cell>
          <cell r="U380">
            <v>1984</v>
          </cell>
          <cell r="V380">
            <v>0</v>
          </cell>
          <cell r="W380">
            <v>0</v>
          </cell>
          <cell r="X380" t="str">
            <v>monster/10096.png</v>
          </cell>
          <cell r="Y380">
            <v>1</v>
          </cell>
          <cell r="Z380">
            <v>0</v>
          </cell>
          <cell r="AA380">
            <v>50</v>
          </cell>
          <cell r="AB380">
            <v>25</v>
          </cell>
          <cell r="AC380">
            <v>0.4</v>
          </cell>
        </row>
        <row r="381">
          <cell r="A381">
            <v>1045051</v>
          </cell>
          <cell r="B381">
            <v>2001</v>
          </cell>
          <cell r="C381">
            <v>46</v>
          </cell>
          <cell r="D381" t="str">
            <v>憾地者</v>
          </cell>
          <cell r="E381">
            <v>1200</v>
          </cell>
          <cell r="F381">
            <v>1200</v>
          </cell>
          <cell r="G381">
            <v>4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215981</v>
          </cell>
          <cell r="M381">
            <v>1160</v>
          </cell>
          <cell r="N381">
            <v>10219</v>
          </cell>
          <cell r="O381">
            <v>12263</v>
          </cell>
          <cell r="P381">
            <v>500</v>
          </cell>
          <cell r="Q381">
            <v>150</v>
          </cell>
          <cell r="R381">
            <v>150</v>
          </cell>
          <cell r="S381">
            <v>0</v>
          </cell>
          <cell r="T381">
            <v>0</v>
          </cell>
          <cell r="U381">
            <v>799</v>
          </cell>
          <cell r="V381">
            <v>0</v>
          </cell>
          <cell r="W381">
            <v>0</v>
          </cell>
          <cell r="X381" t="str">
            <v>monster/10123.png</v>
          </cell>
          <cell r="Y381">
            <v>1</v>
          </cell>
          <cell r="Z381">
            <v>0</v>
          </cell>
          <cell r="AA381">
            <v>50</v>
          </cell>
          <cell r="AB381">
            <v>25</v>
          </cell>
          <cell r="AC381">
            <v>0.4</v>
          </cell>
        </row>
        <row r="382">
          <cell r="A382">
            <v>1045061</v>
          </cell>
          <cell r="B382">
            <v>2001</v>
          </cell>
          <cell r="C382">
            <v>47</v>
          </cell>
          <cell r="D382" t="str">
            <v>拉兹</v>
          </cell>
          <cell r="E382">
            <v>1240</v>
          </cell>
          <cell r="F382">
            <v>1240</v>
          </cell>
          <cell r="G382">
            <v>10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226657</v>
          </cell>
          <cell r="M382">
            <v>2340</v>
          </cell>
          <cell r="N382">
            <v>16554</v>
          </cell>
          <cell r="O382">
            <v>19865</v>
          </cell>
          <cell r="P382">
            <v>1000</v>
          </cell>
          <cell r="Q382">
            <v>300</v>
          </cell>
          <cell r="R382">
            <v>300</v>
          </cell>
          <cell r="S382">
            <v>0</v>
          </cell>
          <cell r="T382">
            <v>1694</v>
          </cell>
          <cell r="U382">
            <v>834</v>
          </cell>
          <cell r="V382">
            <v>0</v>
          </cell>
          <cell r="W382">
            <v>0</v>
          </cell>
          <cell r="X382" t="str">
            <v>monster/10106.png</v>
          </cell>
          <cell r="Y382">
            <v>1</v>
          </cell>
          <cell r="Z382">
            <v>0</v>
          </cell>
          <cell r="AA382">
            <v>50</v>
          </cell>
          <cell r="AB382">
            <v>25</v>
          </cell>
          <cell r="AC382">
            <v>0.4</v>
          </cell>
        </row>
        <row r="383">
          <cell r="A383">
            <v>1045071</v>
          </cell>
          <cell r="B383">
            <v>2001</v>
          </cell>
          <cell r="C383">
            <v>47</v>
          </cell>
          <cell r="D383" t="str">
            <v>塔克</v>
          </cell>
          <cell r="E383">
            <v>1240</v>
          </cell>
          <cell r="F383">
            <v>1240</v>
          </cell>
          <cell r="G383">
            <v>3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135994</v>
          </cell>
          <cell r="M383">
            <v>1170</v>
          </cell>
          <cell r="N383">
            <v>4828</v>
          </cell>
          <cell r="O383">
            <v>5794</v>
          </cell>
          <cell r="P383">
            <v>1000</v>
          </cell>
          <cell r="Q383">
            <v>300</v>
          </cell>
          <cell r="R383">
            <v>300</v>
          </cell>
          <cell r="S383">
            <v>0</v>
          </cell>
          <cell r="T383">
            <v>0</v>
          </cell>
          <cell r="U383">
            <v>834</v>
          </cell>
          <cell r="V383">
            <v>0</v>
          </cell>
          <cell r="W383">
            <v>0</v>
          </cell>
          <cell r="X383" t="str">
            <v>monster/10085.png</v>
          </cell>
          <cell r="Y383">
            <v>1</v>
          </cell>
          <cell r="Z383">
            <v>0</v>
          </cell>
          <cell r="AA383">
            <v>50</v>
          </cell>
          <cell r="AB383">
            <v>25</v>
          </cell>
          <cell r="AC383">
            <v>0.4</v>
          </cell>
        </row>
        <row r="384">
          <cell r="A384">
            <v>1045072</v>
          </cell>
          <cell r="B384">
            <v>2001</v>
          </cell>
          <cell r="C384">
            <v>47</v>
          </cell>
          <cell r="D384" t="str">
            <v>迪皮斯</v>
          </cell>
          <cell r="E384">
            <v>1240</v>
          </cell>
          <cell r="F384">
            <v>1240</v>
          </cell>
          <cell r="G384" t="str">
            <v>17,14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99881</v>
          </cell>
          <cell r="M384">
            <v>1170</v>
          </cell>
          <cell r="N384">
            <v>9132</v>
          </cell>
          <cell r="O384">
            <v>10958</v>
          </cell>
          <cell r="P384">
            <v>1000</v>
          </cell>
          <cell r="Q384">
            <v>300</v>
          </cell>
          <cell r="R384">
            <v>300</v>
          </cell>
          <cell r="S384">
            <v>0</v>
          </cell>
          <cell r="T384">
            <v>0</v>
          </cell>
          <cell r="U384">
            <v>834</v>
          </cell>
          <cell r="V384">
            <v>0</v>
          </cell>
          <cell r="W384">
            <v>0</v>
          </cell>
          <cell r="X384" t="str">
            <v>monster/10012.png</v>
          </cell>
          <cell r="Y384">
            <v>1</v>
          </cell>
          <cell r="Z384">
            <v>0</v>
          </cell>
          <cell r="AA384">
            <v>50</v>
          </cell>
          <cell r="AB384">
            <v>25</v>
          </cell>
          <cell r="AC384">
            <v>0.4</v>
          </cell>
        </row>
        <row r="385">
          <cell r="A385">
            <v>1045081</v>
          </cell>
          <cell r="B385">
            <v>2001</v>
          </cell>
          <cell r="C385">
            <v>48</v>
          </cell>
          <cell r="D385" t="str">
            <v>狂野安东尼</v>
          </cell>
          <cell r="E385">
            <v>1280</v>
          </cell>
          <cell r="F385">
            <v>1280</v>
          </cell>
          <cell r="G385">
            <v>7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254937</v>
          </cell>
          <cell r="M385">
            <v>1180</v>
          </cell>
          <cell r="N385">
            <v>16794</v>
          </cell>
          <cell r="O385">
            <v>20153</v>
          </cell>
          <cell r="P385">
            <v>1500</v>
          </cell>
          <cell r="Q385">
            <v>450</v>
          </cell>
          <cell r="R385">
            <v>450</v>
          </cell>
          <cell r="S385">
            <v>0</v>
          </cell>
          <cell r="T385">
            <v>0</v>
          </cell>
          <cell r="U385">
            <v>869</v>
          </cell>
          <cell r="V385">
            <v>0</v>
          </cell>
          <cell r="W385">
            <v>0</v>
          </cell>
          <cell r="X385" t="str">
            <v>monster/10086.png</v>
          </cell>
          <cell r="Y385">
            <v>1</v>
          </cell>
          <cell r="Z385">
            <v>0</v>
          </cell>
          <cell r="AA385">
            <v>50</v>
          </cell>
          <cell r="AB385">
            <v>25</v>
          </cell>
          <cell r="AC385">
            <v>0.4</v>
          </cell>
        </row>
        <row r="386">
          <cell r="A386">
            <v>1045091</v>
          </cell>
          <cell r="B386">
            <v>2001</v>
          </cell>
          <cell r="C386">
            <v>49</v>
          </cell>
          <cell r="D386" t="str">
            <v>巡林者瑞克</v>
          </cell>
          <cell r="E386">
            <v>1320</v>
          </cell>
          <cell r="F386">
            <v>1320</v>
          </cell>
          <cell r="G386">
            <v>15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271159</v>
          </cell>
          <cell r="M386">
            <v>1190</v>
          </cell>
          <cell r="N386">
            <v>19147</v>
          </cell>
          <cell r="O386">
            <v>22976</v>
          </cell>
          <cell r="P386">
            <v>2000</v>
          </cell>
          <cell r="Q386">
            <v>600</v>
          </cell>
          <cell r="R386">
            <v>600</v>
          </cell>
          <cell r="S386">
            <v>0</v>
          </cell>
          <cell r="T386">
            <v>0</v>
          </cell>
          <cell r="U386">
            <v>906</v>
          </cell>
          <cell r="V386">
            <v>0</v>
          </cell>
          <cell r="W386">
            <v>0</v>
          </cell>
          <cell r="X386" t="str">
            <v>monster/10094.png</v>
          </cell>
          <cell r="Y386">
            <v>1</v>
          </cell>
          <cell r="Z386">
            <v>0</v>
          </cell>
          <cell r="AA386">
            <v>50</v>
          </cell>
          <cell r="AB386">
            <v>25</v>
          </cell>
          <cell r="AC386">
            <v>0.4</v>
          </cell>
        </row>
        <row r="387">
          <cell r="A387">
            <v>1050011</v>
          </cell>
          <cell r="B387">
            <v>2001</v>
          </cell>
          <cell r="C387">
            <v>50</v>
          </cell>
          <cell r="D387" t="str">
            <v>战士幻象</v>
          </cell>
          <cell r="E387">
            <v>1360</v>
          </cell>
          <cell r="F387">
            <v>1360</v>
          </cell>
          <cell r="G387">
            <v>3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139584</v>
          </cell>
          <cell r="M387">
            <v>600</v>
          </cell>
          <cell r="N387">
            <v>10096</v>
          </cell>
          <cell r="O387">
            <v>12115</v>
          </cell>
          <cell r="P387">
            <v>2500</v>
          </cell>
          <cell r="Q387">
            <v>750</v>
          </cell>
          <cell r="R387">
            <v>750</v>
          </cell>
          <cell r="S387">
            <v>0</v>
          </cell>
          <cell r="T387">
            <v>3281</v>
          </cell>
          <cell r="U387">
            <v>942</v>
          </cell>
          <cell r="V387">
            <v>0</v>
          </cell>
          <cell r="W387">
            <v>0</v>
          </cell>
          <cell r="X387" t="str">
            <v>UI/Program/HeroWarrior_Man_1.png</v>
          </cell>
          <cell r="Y387">
            <v>1</v>
          </cell>
          <cell r="Z387">
            <v>0</v>
          </cell>
          <cell r="AA387">
            <v>50</v>
          </cell>
          <cell r="AB387">
            <v>25</v>
          </cell>
          <cell r="AC387">
            <v>0.4</v>
          </cell>
        </row>
        <row r="388">
          <cell r="A388">
            <v>1050021</v>
          </cell>
          <cell r="B388">
            <v>2001</v>
          </cell>
          <cell r="C388">
            <v>50</v>
          </cell>
          <cell r="D388" t="str">
            <v>法力风暴</v>
          </cell>
          <cell r="E388">
            <v>1360</v>
          </cell>
          <cell r="F388">
            <v>1360</v>
          </cell>
          <cell r="G388" t="str">
            <v>25,30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108883</v>
          </cell>
          <cell r="M388">
            <v>10888</v>
          </cell>
          <cell r="N388">
            <v>18182</v>
          </cell>
          <cell r="O388">
            <v>21818</v>
          </cell>
          <cell r="P388">
            <v>2500</v>
          </cell>
          <cell r="Q388">
            <v>750</v>
          </cell>
          <cell r="R388">
            <v>750</v>
          </cell>
          <cell r="S388">
            <v>0</v>
          </cell>
          <cell r="T388">
            <v>0</v>
          </cell>
          <cell r="U388">
            <v>942</v>
          </cell>
          <cell r="V388">
            <v>0</v>
          </cell>
          <cell r="W388">
            <v>0</v>
          </cell>
          <cell r="X388" t="str">
            <v>monster/10061.png</v>
          </cell>
          <cell r="Y388">
            <v>1</v>
          </cell>
          <cell r="Z388">
            <v>0</v>
          </cell>
          <cell r="AA388">
            <v>50</v>
          </cell>
          <cell r="AB388">
            <v>25</v>
          </cell>
          <cell r="AC388">
            <v>0.4</v>
          </cell>
        </row>
        <row r="389">
          <cell r="A389">
            <v>1050031</v>
          </cell>
          <cell r="B389">
            <v>2001</v>
          </cell>
          <cell r="C389">
            <v>51</v>
          </cell>
          <cell r="D389" t="str">
            <v>角斗士里奥</v>
          </cell>
          <cell r="E389">
            <v>1400</v>
          </cell>
          <cell r="F389">
            <v>1400</v>
          </cell>
          <cell r="G389">
            <v>5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182233</v>
          </cell>
          <cell r="M389">
            <v>1210</v>
          </cell>
          <cell r="N389">
            <v>15470</v>
          </cell>
          <cell r="O389">
            <v>18564</v>
          </cell>
          <cell r="P389">
            <v>3000</v>
          </cell>
          <cell r="Q389">
            <v>900</v>
          </cell>
          <cell r="R389">
            <v>900</v>
          </cell>
          <cell r="S389">
            <v>0</v>
          </cell>
          <cell r="T389">
            <v>0</v>
          </cell>
          <cell r="U389">
            <v>980</v>
          </cell>
          <cell r="V389">
            <v>0</v>
          </cell>
          <cell r="W389">
            <v>0</v>
          </cell>
          <cell r="X389" t="str">
            <v>monster/10067.png</v>
          </cell>
          <cell r="Y389">
            <v>1</v>
          </cell>
          <cell r="Z389">
            <v>0</v>
          </cell>
          <cell r="AA389">
            <v>50</v>
          </cell>
          <cell r="AB389">
            <v>25</v>
          </cell>
          <cell r="AC389">
            <v>0.4</v>
          </cell>
        </row>
        <row r="390">
          <cell r="A390">
            <v>1050041</v>
          </cell>
          <cell r="B390">
            <v>2001</v>
          </cell>
          <cell r="C390">
            <v>51</v>
          </cell>
          <cell r="D390" t="str">
            <v>荒野游侠</v>
          </cell>
          <cell r="E390">
            <v>1400</v>
          </cell>
          <cell r="F390">
            <v>1400</v>
          </cell>
          <cell r="G390">
            <v>16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160127</v>
          </cell>
          <cell r="M390">
            <v>2420</v>
          </cell>
          <cell r="N390">
            <v>17317</v>
          </cell>
          <cell r="O390">
            <v>20780</v>
          </cell>
          <cell r="P390">
            <v>3000</v>
          </cell>
          <cell r="Q390">
            <v>900</v>
          </cell>
          <cell r="R390">
            <v>900</v>
          </cell>
          <cell r="S390">
            <v>0</v>
          </cell>
          <cell r="T390">
            <v>0</v>
          </cell>
          <cell r="U390">
            <v>2432</v>
          </cell>
          <cell r="V390">
            <v>0</v>
          </cell>
          <cell r="W390">
            <v>0</v>
          </cell>
          <cell r="X390" t="str">
            <v>monster/10096.png</v>
          </cell>
          <cell r="Y390">
            <v>1</v>
          </cell>
          <cell r="Z390">
            <v>0</v>
          </cell>
          <cell r="AA390">
            <v>50</v>
          </cell>
          <cell r="AB390">
            <v>25</v>
          </cell>
          <cell r="AC390">
            <v>0.4</v>
          </cell>
        </row>
        <row r="391">
          <cell r="A391">
            <v>1050051</v>
          </cell>
          <cell r="B391">
            <v>2001</v>
          </cell>
          <cell r="C391">
            <v>51</v>
          </cell>
          <cell r="D391" t="str">
            <v>憾地者</v>
          </cell>
          <cell r="E391">
            <v>1400</v>
          </cell>
          <cell r="F391">
            <v>1400</v>
          </cell>
          <cell r="G391">
            <v>4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219847</v>
          </cell>
          <cell r="M391">
            <v>1210</v>
          </cell>
          <cell r="N391">
            <v>16479</v>
          </cell>
          <cell r="O391">
            <v>19775</v>
          </cell>
          <cell r="P391">
            <v>3000</v>
          </cell>
          <cell r="Q391">
            <v>900</v>
          </cell>
          <cell r="R391">
            <v>900</v>
          </cell>
          <cell r="S391">
            <v>0</v>
          </cell>
          <cell r="T391">
            <v>0</v>
          </cell>
          <cell r="U391">
            <v>980</v>
          </cell>
          <cell r="V391">
            <v>0</v>
          </cell>
          <cell r="W391">
            <v>0</v>
          </cell>
          <cell r="X391" t="str">
            <v>monster/10123.png</v>
          </cell>
          <cell r="Y391">
            <v>1</v>
          </cell>
          <cell r="Z391">
            <v>0</v>
          </cell>
          <cell r="AA391">
            <v>50</v>
          </cell>
          <cell r="AB391">
            <v>25</v>
          </cell>
          <cell r="AC391">
            <v>0.4</v>
          </cell>
        </row>
        <row r="392">
          <cell r="A392">
            <v>1050061</v>
          </cell>
          <cell r="B392">
            <v>2001</v>
          </cell>
          <cell r="C392">
            <v>52</v>
          </cell>
          <cell r="D392" t="str">
            <v>拉兹</v>
          </cell>
          <cell r="E392">
            <v>1440</v>
          </cell>
          <cell r="F392">
            <v>1440</v>
          </cell>
          <cell r="G392">
            <v>10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237430</v>
          </cell>
          <cell r="M392">
            <v>2440</v>
          </cell>
          <cell r="N392">
            <v>27040</v>
          </cell>
          <cell r="O392">
            <v>32448</v>
          </cell>
          <cell r="P392">
            <v>3500</v>
          </cell>
          <cell r="Q392">
            <v>1050</v>
          </cell>
          <cell r="R392">
            <v>1050</v>
          </cell>
          <cell r="S392">
            <v>0</v>
          </cell>
          <cell r="T392">
            <v>2068</v>
          </cell>
          <cell r="U392">
            <v>1018</v>
          </cell>
          <cell r="V392">
            <v>0</v>
          </cell>
          <cell r="W392">
            <v>0</v>
          </cell>
          <cell r="X392" t="str">
            <v>monster/10106.png</v>
          </cell>
          <cell r="Y392">
            <v>1</v>
          </cell>
          <cell r="Z392">
            <v>0</v>
          </cell>
          <cell r="AA392">
            <v>50</v>
          </cell>
          <cell r="AB392">
            <v>25</v>
          </cell>
          <cell r="AC392">
            <v>0.4</v>
          </cell>
        </row>
        <row r="393">
          <cell r="A393">
            <v>1050071</v>
          </cell>
          <cell r="B393">
            <v>2001</v>
          </cell>
          <cell r="C393">
            <v>52</v>
          </cell>
          <cell r="D393" t="str">
            <v>塔克</v>
          </cell>
          <cell r="E393">
            <v>1440</v>
          </cell>
          <cell r="F393">
            <v>1440</v>
          </cell>
          <cell r="G393">
            <v>3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142458</v>
          </cell>
          <cell r="M393">
            <v>1220</v>
          </cell>
          <cell r="N393">
            <v>7887</v>
          </cell>
          <cell r="O393">
            <v>9464</v>
          </cell>
          <cell r="P393">
            <v>3500</v>
          </cell>
          <cell r="Q393">
            <v>1050</v>
          </cell>
          <cell r="R393">
            <v>1050</v>
          </cell>
          <cell r="S393">
            <v>0</v>
          </cell>
          <cell r="T393">
            <v>0</v>
          </cell>
          <cell r="U393">
            <v>1018</v>
          </cell>
          <cell r="V393">
            <v>0</v>
          </cell>
          <cell r="W393">
            <v>0</v>
          </cell>
          <cell r="X393" t="str">
            <v>monster/10085.png</v>
          </cell>
          <cell r="Y393">
            <v>1</v>
          </cell>
          <cell r="Z393">
            <v>0</v>
          </cell>
          <cell r="AA393">
            <v>50</v>
          </cell>
          <cell r="AB393">
            <v>25</v>
          </cell>
          <cell r="AC393">
            <v>0.4</v>
          </cell>
        </row>
        <row r="394">
          <cell r="A394">
            <v>1050072</v>
          </cell>
          <cell r="B394">
            <v>2001</v>
          </cell>
          <cell r="C394">
            <v>52</v>
          </cell>
          <cell r="D394" t="str">
            <v>迪皮斯</v>
          </cell>
          <cell r="E394">
            <v>1440</v>
          </cell>
          <cell r="F394">
            <v>1440</v>
          </cell>
          <cell r="G394" t="str">
            <v>17,14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104106</v>
          </cell>
          <cell r="M394">
            <v>1220</v>
          </cell>
          <cell r="N394">
            <v>15013</v>
          </cell>
          <cell r="O394">
            <v>18016</v>
          </cell>
          <cell r="P394">
            <v>3500</v>
          </cell>
          <cell r="Q394">
            <v>1050</v>
          </cell>
          <cell r="R394">
            <v>1050</v>
          </cell>
          <cell r="S394">
            <v>0</v>
          </cell>
          <cell r="T394">
            <v>0</v>
          </cell>
          <cell r="U394">
            <v>1018</v>
          </cell>
          <cell r="V394">
            <v>0</v>
          </cell>
          <cell r="W394">
            <v>0</v>
          </cell>
          <cell r="X394" t="str">
            <v>monster/10012.png</v>
          </cell>
          <cell r="Y394">
            <v>1</v>
          </cell>
          <cell r="Z394">
            <v>0</v>
          </cell>
          <cell r="AA394">
            <v>50</v>
          </cell>
          <cell r="AB394">
            <v>25</v>
          </cell>
          <cell r="AC394">
            <v>0.4</v>
          </cell>
        </row>
        <row r="395">
          <cell r="A395">
            <v>1050081</v>
          </cell>
          <cell r="B395">
            <v>2001</v>
          </cell>
          <cell r="C395">
            <v>53</v>
          </cell>
          <cell r="D395" t="str">
            <v>狂野安东尼</v>
          </cell>
          <cell r="E395">
            <v>1480</v>
          </cell>
          <cell r="F395">
            <v>1480</v>
          </cell>
          <cell r="G395">
            <v>7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273194</v>
          </cell>
          <cell r="M395">
            <v>1230</v>
          </cell>
          <cell r="N395">
            <v>27785</v>
          </cell>
          <cell r="O395">
            <v>33342</v>
          </cell>
          <cell r="P395">
            <v>4000</v>
          </cell>
          <cell r="Q395">
            <v>1200</v>
          </cell>
          <cell r="R395">
            <v>1200</v>
          </cell>
          <cell r="S395">
            <v>0</v>
          </cell>
          <cell r="T395">
            <v>0</v>
          </cell>
          <cell r="U395">
            <v>1057</v>
          </cell>
          <cell r="V395">
            <v>0</v>
          </cell>
          <cell r="W395">
            <v>0</v>
          </cell>
          <cell r="X395" t="str">
            <v>monster/10086.png</v>
          </cell>
          <cell r="Y395">
            <v>1</v>
          </cell>
          <cell r="Z395">
            <v>0</v>
          </cell>
          <cell r="AA395">
            <v>50</v>
          </cell>
          <cell r="AB395">
            <v>25</v>
          </cell>
          <cell r="AC395">
            <v>0.4</v>
          </cell>
        </row>
        <row r="396">
          <cell r="A396">
            <v>1050091</v>
          </cell>
          <cell r="B396">
            <v>2001</v>
          </cell>
          <cell r="C396">
            <v>54</v>
          </cell>
          <cell r="D396" t="str">
            <v>巡林者瑞克</v>
          </cell>
          <cell r="E396">
            <v>1520</v>
          </cell>
          <cell r="F396">
            <v>1520</v>
          </cell>
          <cell r="G396">
            <v>15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296935</v>
          </cell>
          <cell r="M396">
            <v>1240</v>
          </cell>
          <cell r="N396">
            <v>31950</v>
          </cell>
          <cell r="O396">
            <v>38340</v>
          </cell>
          <cell r="P396">
            <v>4500</v>
          </cell>
          <cell r="Q396">
            <v>1350</v>
          </cell>
          <cell r="R396">
            <v>1350</v>
          </cell>
          <cell r="S396">
            <v>0</v>
          </cell>
          <cell r="T396">
            <v>0</v>
          </cell>
          <cell r="U396">
            <v>1097</v>
          </cell>
          <cell r="V396">
            <v>0</v>
          </cell>
          <cell r="W396">
            <v>0</v>
          </cell>
          <cell r="X396" t="str">
            <v>monster/10094.png</v>
          </cell>
          <cell r="Y396">
            <v>1</v>
          </cell>
          <cell r="Z396">
            <v>0</v>
          </cell>
          <cell r="AA396">
            <v>50</v>
          </cell>
          <cell r="AB396">
            <v>25</v>
          </cell>
          <cell r="AC396">
            <v>0.4</v>
          </cell>
        </row>
        <row r="397">
          <cell r="A397">
            <v>1055011</v>
          </cell>
          <cell r="B397">
            <v>2001</v>
          </cell>
          <cell r="C397">
            <v>55</v>
          </cell>
          <cell r="D397" t="str">
            <v>战士幻象</v>
          </cell>
          <cell r="E397">
            <v>1560</v>
          </cell>
          <cell r="F397">
            <v>1560</v>
          </cell>
          <cell r="G397">
            <v>3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161706</v>
          </cell>
          <cell r="M397">
            <v>625</v>
          </cell>
          <cell r="N397">
            <v>14969</v>
          </cell>
          <cell r="O397">
            <v>17963</v>
          </cell>
          <cell r="P397">
            <v>5000</v>
          </cell>
          <cell r="Q397">
            <v>1500</v>
          </cell>
          <cell r="R397">
            <v>1500</v>
          </cell>
          <cell r="S397">
            <v>0</v>
          </cell>
          <cell r="T397">
            <v>3960</v>
          </cell>
          <cell r="U397">
            <v>1138</v>
          </cell>
          <cell r="V397">
            <v>0</v>
          </cell>
          <cell r="W397">
            <v>0</v>
          </cell>
          <cell r="X397" t="str">
            <v>UI/Program/HeroWarrior_Man_1.png</v>
          </cell>
          <cell r="Y397">
            <v>1</v>
          </cell>
          <cell r="Z397">
            <v>0</v>
          </cell>
          <cell r="AA397">
            <v>50</v>
          </cell>
          <cell r="AB397">
            <v>25</v>
          </cell>
          <cell r="AC397">
            <v>0.4</v>
          </cell>
        </row>
        <row r="398">
          <cell r="A398">
            <v>1055021</v>
          </cell>
          <cell r="B398">
            <v>2001</v>
          </cell>
          <cell r="C398">
            <v>55</v>
          </cell>
          <cell r="D398" t="str">
            <v>法力风暴</v>
          </cell>
          <cell r="E398">
            <v>1560</v>
          </cell>
          <cell r="F398">
            <v>1560</v>
          </cell>
          <cell r="G398" t="str">
            <v>25,30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124727</v>
          </cell>
          <cell r="M398">
            <v>12473</v>
          </cell>
          <cell r="N398">
            <v>27585</v>
          </cell>
          <cell r="O398">
            <v>33102</v>
          </cell>
          <cell r="P398">
            <v>5000</v>
          </cell>
          <cell r="Q398">
            <v>1500</v>
          </cell>
          <cell r="R398">
            <v>1500</v>
          </cell>
          <cell r="S398">
            <v>0</v>
          </cell>
          <cell r="T398">
            <v>0</v>
          </cell>
          <cell r="U398">
            <v>1138</v>
          </cell>
          <cell r="V398">
            <v>0</v>
          </cell>
          <cell r="W398">
            <v>0</v>
          </cell>
          <cell r="X398" t="str">
            <v>monster/10061.png</v>
          </cell>
          <cell r="Y398">
            <v>1</v>
          </cell>
          <cell r="Z398">
            <v>0</v>
          </cell>
          <cell r="AA398">
            <v>50</v>
          </cell>
          <cell r="AB398">
            <v>25</v>
          </cell>
          <cell r="AC398">
            <v>0.4</v>
          </cell>
        </row>
        <row r="399">
          <cell r="A399">
            <v>1055031</v>
          </cell>
          <cell r="B399">
            <v>2001</v>
          </cell>
          <cell r="C399">
            <v>56</v>
          </cell>
          <cell r="D399" t="str">
            <v>角斗士里奥</v>
          </cell>
          <cell r="E399">
            <v>1600</v>
          </cell>
          <cell r="F399">
            <v>1600</v>
          </cell>
          <cell r="G399">
            <v>5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210135</v>
          </cell>
          <cell r="M399">
            <v>1260</v>
          </cell>
          <cell r="N399">
            <v>24199</v>
          </cell>
          <cell r="O399">
            <v>29039</v>
          </cell>
          <cell r="P399">
            <v>5500</v>
          </cell>
          <cell r="Q399">
            <v>1650</v>
          </cell>
          <cell r="R399">
            <v>1650</v>
          </cell>
          <cell r="S399">
            <v>0</v>
          </cell>
          <cell r="T399">
            <v>0</v>
          </cell>
          <cell r="U399">
            <v>1179</v>
          </cell>
          <cell r="V399">
            <v>0</v>
          </cell>
          <cell r="W399">
            <v>0</v>
          </cell>
          <cell r="X399" t="str">
            <v>monster/10067.png</v>
          </cell>
          <cell r="Y399">
            <v>1</v>
          </cell>
          <cell r="Z399">
            <v>0</v>
          </cell>
          <cell r="AA399">
            <v>50</v>
          </cell>
          <cell r="AB399">
            <v>25</v>
          </cell>
          <cell r="AC399">
            <v>0.4</v>
          </cell>
        </row>
        <row r="400">
          <cell r="A400">
            <v>1055041</v>
          </cell>
          <cell r="B400">
            <v>2001</v>
          </cell>
          <cell r="C400">
            <v>56</v>
          </cell>
          <cell r="D400" t="str">
            <v>荒野游侠</v>
          </cell>
          <cell r="E400">
            <v>1600</v>
          </cell>
          <cell r="F400">
            <v>1600</v>
          </cell>
          <cell r="G400">
            <v>16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183658</v>
          </cell>
          <cell r="M400">
            <v>2520</v>
          </cell>
          <cell r="N400">
            <v>27309</v>
          </cell>
          <cell r="O400">
            <v>32771</v>
          </cell>
          <cell r="P400">
            <v>5500</v>
          </cell>
          <cell r="Q400">
            <v>1650</v>
          </cell>
          <cell r="R400">
            <v>1650</v>
          </cell>
          <cell r="S400">
            <v>0</v>
          </cell>
          <cell r="T400">
            <v>0</v>
          </cell>
          <cell r="U400">
            <v>2925</v>
          </cell>
          <cell r="V400">
            <v>0</v>
          </cell>
          <cell r="W400">
            <v>0</v>
          </cell>
          <cell r="X400" t="str">
            <v>monster/10096.png</v>
          </cell>
          <cell r="Y400">
            <v>1</v>
          </cell>
          <cell r="Z400">
            <v>0</v>
          </cell>
          <cell r="AA400">
            <v>50</v>
          </cell>
          <cell r="AB400">
            <v>25</v>
          </cell>
          <cell r="AC400">
            <v>0.4</v>
          </cell>
        </row>
        <row r="401">
          <cell r="A401">
            <v>1055051</v>
          </cell>
          <cell r="B401">
            <v>2001</v>
          </cell>
          <cell r="C401">
            <v>56</v>
          </cell>
          <cell r="D401" t="str">
            <v>憾地者</v>
          </cell>
          <cell r="E401">
            <v>1600</v>
          </cell>
          <cell r="F401">
            <v>1600</v>
          </cell>
          <cell r="G401">
            <v>4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250806</v>
          </cell>
          <cell r="M401">
            <v>1260</v>
          </cell>
          <cell r="N401">
            <v>26197</v>
          </cell>
          <cell r="O401">
            <v>31436</v>
          </cell>
          <cell r="P401">
            <v>5500</v>
          </cell>
          <cell r="Q401">
            <v>1650</v>
          </cell>
          <cell r="R401">
            <v>1650</v>
          </cell>
          <cell r="S401">
            <v>0</v>
          </cell>
          <cell r="T401">
            <v>0</v>
          </cell>
          <cell r="U401">
            <v>1179</v>
          </cell>
          <cell r="V401">
            <v>0</v>
          </cell>
          <cell r="W401">
            <v>0</v>
          </cell>
          <cell r="X401" t="str">
            <v>monster/10123.png</v>
          </cell>
          <cell r="Y401">
            <v>1</v>
          </cell>
          <cell r="Z401">
            <v>0</v>
          </cell>
          <cell r="AA401">
            <v>50</v>
          </cell>
          <cell r="AB401">
            <v>25</v>
          </cell>
          <cell r="AC401">
            <v>0.4</v>
          </cell>
        </row>
        <row r="402">
          <cell r="A402">
            <v>1055061</v>
          </cell>
          <cell r="B402">
            <v>2001</v>
          </cell>
          <cell r="C402">
            <v>57</v>
          </cell>
          <cell r="D402" t="str">
            <v>拉兹</v>
          </cell>
          <cell r="E402">
            <v>1640</v>
          </cell>
          <cell r="F402">
            <v>1640</v>
          </cell>
          <cell r="G402">
            <v>10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274115</v>
          </cell>
          <cell r="M402">
            <v>2540</v>
          </cell>
          <cell r="N402">
            <v>43455</v>
          </cell>
          <cell r="O402">
            <v>52146</v>
          </cell>
          <cell r="P402">
            <v>6000</v>
          </cell>
          <cell r="Q402">
            <v>1800</v>
          </cell>
          <cell r="R402">
            <v>1800</v>
          </cell>
          <cell r="S402">
            <v>0</v>
          </cell>
          <cell r="T402">
            <v>2479</v>
          </cell>
          <cell r="U402">
            <v>1221</v>
          </cell>
          <cell r="V402">
            <v>0</v>
          </cell>
          <cell r="W402">
            <v>0</v>
          </cell>
          <cell r="X402" t="str">
            <v>monster/10106.png</v>
          </cell>
          <cell r="Y402">
            <v>1</v>
          </cell>
          <cell r="Z402">
            <v>0</v>
          </cell>
          <cell r="AA402">
            <v>50</v>
          </cell>
          <cell r="AB402">
            <v>25</v>
          </cell>
          <cell r="AC402">
            <v>0.4</v>
          </cell>
        </row>
        <row r="403">
          <cell r="A403">
            <v>1055071</v>
          </cell>
          <cell r="B403">
            <v>2001</v>
          </cell>
          <cell r="C403">
            <v>57</v>
          </cell>
          <cell r="D403" t="str">
            <v>塔克</v>
          </cell>
          <cell r="E403">
            <v>1640</v>
          </cell>
          <cell r="F403">
            <v>1640</v>
          </cell>
          <cell r="G403">
            <v>3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164469</v>
          </cell>
          <cell r="M403">
            <v>1270</v>
          </cell>
          <cell r="N403">
            <v>12674</v>
          </cell>
          <cell r="O403">
            <v>15209</v>
          </cell>
          <cell r="P403">
            <v>6000</v>
          </cell>
          <cell r="Q403">
            <v>1800</v>
          </cell>
          <cell r="R403">
            <v>1800</v>
          </cell>
          <cell r="S403">
            <v>0</v>
          </cell>
          <cell r="T403">
            <v>0</v>
          </cell>
          <cell r="U403">
            <v>1221</v>
          </cell>
          <cell r="V403">
            <v>0</v>
          </cell>
          <cell r="W403">
            <v>0</v>
          </cell>
          <cell r="X403" t="str">
            <v>monster/10085.png</v>
          </cell>
          <cell r="Y403">
            <v>1</v>
          </cell>
          <cell r="Z403">
            <v>0</v>
          </cell>
          <cell r="AA403">
            <v>50</v>
          </cell>
          <cell r="AB403">
            <v>25</v>
          </cell>
          <cell r="AC403">
            <v>0.4</v>
          </cell>
        </row>
        <row r="404">
          <cell r="A404">
            <v>1055072</v>
          </cell>
          <cell r="B404">
            <v>2001</v>
          </cell>
          <cell r="C404">
            <v>57</v>
          </cell>
          <cell r="D404" t="str">
            <v>迪皮斯</v>
          </cell>
          <cell r="E404">
            <v>1640</v>
          </cell>
          <cell r="F404">
            <v>1640</v>
          </cell>
          <cell r="G404" t="str">
            <v>17,14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119722</v>
          </cell>
          <cell r="M404">
            <v>1270</v>
          </cell>
          <cell r="N404">
            <v>24251</v>
          </cell>
          <cell r="O404">
            <v>29101</v>
          </cell>
          <cell r="P404">
            <v>6000</v>
          </cell>
          <cell r="Q404">
            <v>1800</v>
          </cell>
          <cell r="R404">
            <v>1800</v>
          </cell>
          <cell r="S404">
            <v>0</v>
          </cell>
          <cell r="T404">
            <v>0</v>
          </cell>
          <cell r="U404">
            <v>1221</v>
          </cell>
          <cell r="V404">
            <v>0</v>
          </cell>
          <cell r="W404">
            <v>0</v>
          </cell>
          <cell r="X404" t="str">
            <v>monster/10012.png</v>
          </cell>
          <cell r="Y404">
            <v>1</v>
          </cell>
          <cell r="Z404">
            <v>0</v>
          </cell>
          <cell r="AA404">
            <v>50</v>
          </cell>
          <cell r="AB404">
            <v>25</v>
          </cell>
          <cell r="AC404">
            <v>0.4</v>
          </cell>
        </row>
        <row r="405">
          <cell r="A405">
            <v>1055081</v>
          </cell>
          <cell r="B405">
            <v>2001</v>
          </cell>
          <cell r="C405">
            <v>58</v>
          </cell>
          <cell r="D405" t="str">
            <v>狂野安东尼</v>
          </cell>
          <cell r="E405">
            <v>1680</v>
          </cell>
          <cell r="F405">
            <v>1680</v>
          </cell>
          <cell r="G405">
            <v>7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318282</v>
          </cell>
          <cell r="M405">
            <v>1280</v>
          </cell>
          <cell r="N405">
            <v>45113</v>
          </cell>
          <cell r="O405">
            <v>54136</v>
          </cell>
          <cell r="P405">
            <v>6500</v>
          </cell>
          <cell r="Q405">
            <v>1950</v>
          </cell>
          <cell r="R405">
            <v>1950</v>
          </cell>
          <cell r="S405">
            <v>0</v>
          </cell>
          <cell r="T405">
            <v>0</v>
          </cell>
          <cell r="U405">
            <v>1263</v>
          </cell>
          <cell r="V405">
            <v>0</v>
          </cell>
          <cell r="W405">
            <v>0</v>
          </cell>
          <cell r="X405" t="str">
            <v>monster/10086.png</v>
          </cell>
          <cell r="Y405">
            <v>1</v>
          </cell>
          <cell r="Z405">
            <v>0</v>
          </cell>
          <cell r="AA405">
            <v>50</v>
          </cell>
          <cell r="AB405">
            <v>25</v>
          </cell>
          <cell r="AC405">
            <v>0.4</v>
          </cell>
        </row>
        <row r="406">
          <cell r="A406">
            <v>1055091</v>
          </cell>
          <cell r="B406">
            <v>2001</v>
          </cell>
          <cell r="C406">
            <v>59</v>
          </cell>
          <cell r="D406" t="str">
            <v>巡林者瑞克</v>
          </cell>
          <cell r="E406">
            <v>1720</v>
          </cell>
          <cell r="F406">
            <v>1720</v>
          </cell>
          <cell r="G406">
            <v>15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349358</v>
          </cell>
          <cell r="M406">
            <v>1290</v>
          </cell>
          <cell r="N406">
            <v>52232</v>
          </cell>
          <cell r="O406">
            <v>62678</v>
          </cell>
          <cell r="P406">
            <v>7000</v>
          </cell>
          <cell r="Q406">
            <v>2100</v>
          </cell>
          <cell r="R406">
            <v>2100</v>
          </cell>
          <cell r="S406">
            <v>0</v>
          </cell>
          <cell r="T406">
            <v>0</v>
          </cell>
          <cell r="U406">
            <v>1307</v>
          </cell>
          <cell r="V406">
            <v>0</v>
          </cell>
          <cell r="W406">
            <v>0</v>
          </cell>
          <cell r="X406" t="str">
            <v>monster/10094.png</v>
          </cell>
          <cell r="Y406">
            <v>1</v>
          </cell>
          <cell r="Z406">
            <v>0</v>
          </cell>
          <cell r="AA406">
            <v>50</v>
          </cell>
          <cell r="AB406">
            <v>25</v>
          </cell>
          <cell r="AC406">
            <v>0.4</v>
          </cell>
        </row>
        <row r="407">
          <cell r="A407">
            <v>1060011</v>
          </cell>
          <cell r="B407">
            <v>2001</v>
          </cell>
          <cell r="C407">
            <v>60</v>
          </cell>
          <cell r="D407" t="str">
            <v>坚定的格雷格</v>
          </cell>
          <cell r="E407">
            <v>1760</v>
          </cell>
          <cell r="F407">
            <v>1760</v>
          </cell>
          <cell r="G407">
            <v>3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168190</v>
          </cell>
          <cell r="M407">
            <v>780</v>
          </cell>
          <cell r="N407">
            <v>15483</v>
          </cell>
          <cell r="O407">
            <v>18580</v>
          </cell>
          <cell r="P407">
            <v>7500</v>
          </cell>
          <cell r="Q407">
            <v>2250</v>
          </cell>
          <cell r="R407">
            <v>2250</v>
          </cell>
          <cell r="S407">
            <v>0</v>
          </cell>
          <cell r="T407">
            <v>0</v>
          </cell>
          <cell r="U407">
            <v>1351</v>
          </cell>
          <cell r="V407">
            <v>0</v>
          </cell>
          <cell r="W407">
            <v>0</v>
          </cell>
          <cell r="X407" t="str">
            <v>monster/10119.png</v>
          </cell>
          <cell r="Y407">
            <v>1</v>
          </cell>
          <cell r="Z407">
            <v>0</v>
          </cell>
          <cell r="AA407">
            <v>50</v>
          </cell>
          <cell r="AB407">
            <v>25</v>
          </cell>
          <cell r="AC407">
            <v>0.4</v>
          </cell>
        </row>
        <row r="408">
          <cell r="A408">
            <v>1060021</v>
          </cell>
          <cell r="B408">
            <v>2001</v>
          </cell>
          <cell r="C408">
            <v>60</v>
          </cell>
          <cell r="D408" t="str">
            <v>莱恩的倒影</v>
          </cell>
          <cell r="E408">
            <v>1760</v>
          </cell>
          <cell r="F408">
            <v>1760</v>
          </cell>
          <cell r="G408" t="str">
            <v>1,2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189181</v>
          </cell>
          <cell r="M408">
            <v>1300</v>
          </cell>
          <cell r="N408">
            <v>33045</v>
          </cell>
          <cell r="O408">
            <v>39654</v>
          </cell>
          <cell r="P408">
            <v>7500</v>
          </cell>
          <cell r="Q408">
            <v>2250</v>
          </cell>
          <cell r="R408">
            <v>2250</v>
          </cell>
          <cell r="S408">
            <v>0</v>
          </cell>
          <cell r="T408">
            <v>0</v>
          </cell>
          <cell r="U408">
            <v>686</v>
          </cell>
          <cell r="V408">
            <v>0</v>
          </cell>
          <cell r="W408">
            <v>0</v>
          </cell>
          <cell r="X408" t="str">
            <v>UI/Program/MercenaryWarrior_1.png</v>
          </cell>
          <cell r="Y408">
            <v>1</v>
          </cell>
          <cell r="Z408">
            <v>0</v>
          </cell>
          <cell r="AA408">
            <v>50</v>
          </cell>
          <cell r="AB408">
            <v>25</v>
          </cell>
          <cell r="AC408">
            <v>0.4</v>
          </cell>
        </row>
        <row r="409">
          <cell r="A409">
            <v>1060031</v>
          </cell>
          <cell r="B409">
            <v>2001</v>
          </cell>
          <cell r="C409">
            <v>61</v>
          </cell>
          <cell r="D409" t="str">
            <v>混乱的玛尔达</v>
          </cell>
          <cell r="E409">
            <v>1810</v>
          </cell>
          <cell r="F409">
            <v>1810</v>
          </cell>
          <cell r="G409" t="str">
            <v>6,19,23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298267</v>
          </cell>
          <cell r="M409">
            <v>2358</v>
          </cell>
          <cell r="N409">
            <v>36884</v>
          </cell>
          <cell r="O409">
            <v>44261</v>
          </cell>
          <cell r="P409">
            <v>8000</v>
          </cell>
          <cell r="Q409">
            <v>2400</v>
          </cell>
          <cell r="R409">
            <v>2400</v>
          </cell>
          <cell r="S409">
            <v>0</v>
          </cell>
          <cell r="T409">
            <v>0</v>
          </cell>
          <cell r="U409">
            <v>1396</v>
          </cell>
          <cell r="V409">
            <v>0</v>
          </cell>
          <cell r="W409">
            <v>0</v>
          </cell>
          <cell r="X409" t="str">
            <v>monster/10086.png</v>
          </cell>
          <cell r="Y409">
            <v>1</v>
          </cell>
          <cell r="Z409">
            <v>0</v>
          </cell>
          <cell r="AA409">
            <v>50</v>
          </cell>
          <cell r="AB409">
            <v>25</v>
          </cell>
          <cell r="AC409">
            <v>0.4</v>
          </cell>
        </row>
        <row r="410">
          <cell r="A410">
            <v>1060041</v>
          </cell>
          <cell r="B410">
            <v>2001</v>
          </cell>
          <cell r="C410">
            <v>61</v>
          </cell>
          <cell r="D410" t="str">
            <v>驯兽师瓦纳</v>
          </cell>
          <cell r="E410">
            <v>1810</v>
          </cell>
          <cell r="F410">
            <v>1810</v>
          </cell>
          <cell r="G410">
            <v>2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176995</v>
          </cell>
          <cell r="M410">
            <v>1048</v>
          </cell>
          <cell r="N410">
            <v>25084</v>
          </cell>
          <cell r="O410">
            <v>30101</v>
          </cell>
          <cell r="P410">
            <v>8000</v>
          </cell>
          <cell r="Q410">
            <v>2400</v>
          </cell>
          <cell r="R410">
            <v>2400</v>
          </cell>
          <cell r="S410">
            <v>0</v>
          </cell>
          <cell r="T410">
            <v>0</v>
          </cell>
          <cell r="U410">
            <v>1396</v>
          </cell>
          <cell r="V410">
            <v>0</v>
          </cell>
          <cell r="W410">
            <v>0</v>
          </cell>
          <cell r="X410" t="str">
            <v>monster/10094.png</v>
          </cell>
          <cell r="Y410">
            <v>1</v>
          </cell>
          <cell r="Z410">
            <v>0</v>
          </cell>
          <cell r="AA410">
            <v>50</v>
          </cell>
          <cell r="AB410">
            <v>25</v>
          </cell>
          <cell r="AC410">
            <v>0.4</v>
          </cell>
        </row>
        <row r="411">
          <cell r="A411">
            <v>1060042</v>
          </cell>
          <cell r="B411">
            <v>2001</v>
          </cell>
          <cell r="C411">
            <v>61</v>
          </cell>
          <cell r="D411" t="str">
            <v>多兰</v>
          </cell>
          <cell r="E411">
            <v>1810</v>
          </cell>
          <cell r="F411">
            <v>1810</v>
          </cell>
          <cell r="G411">
            <v>9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82598</v>
          </cell>
          <cell r="M411">
            <v>1310</v>
          </cell>
          <cell r="N411">
            <v>14633</v>
          </cell>
          <cell r="O411">
            <v>17560</v>
          </cell>
          <cell r="P411">
            <v>8000</v>
          </cell>
          <cell r="Q411">
            <v>2400</v>
          </cell>
          <cell r="R411">
            <v>2400</v>
          </cell>
          <cell r="S411">
            <v>0</v>
          </cell>
          <cell r="T411">
            <v>0</v>
          </cell>
          <cell r="U411">
            <v>1396</v>
          </cell>
          <cell r="V411">
            <v>0</v>
          </cell>
          <cell r="W411">
            <v>0</v>
          </cell>
          <cell r="X411" t="str">
            <v>monster/10061.png</v>
          </cell>
          <cell r="Y411">
            <v>1</v>
          </cell>
          <cell r="Z411">
            <v>0</v>
          </cell>
          <cell r="AA411">
            <v>50</v>
          </cell>
          <cell r="AB411">
            <v>25</v>
          </cell>
          <cell r="AC411">
            <v>0.4</v>
          </cell>
        </row>
        <row r="412">
          <cell r="A412">
            <v>1060043</v>
          </cell>
          <cell r="B412">
            <v>2001</v>
          </cell>
          <cell r="C412">
            <v>61</v>
          </cell>
          <cell r="D412" t="str">
            <v>约翰</v>
          </cell>
          <cell r="E412">
            <v>1810</v>
          </cell>
          <cell r="F412">
            <v>1810</v>
          </cell>
          <cell r="G412">
            <v>10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82598</v>
          </cell>
          <cell r="M412">
            <v>1310</v>
          </cell>
          <cell r="N412">
            <v>14633</v>
          </cell>
          <cell r="O412">
            <v>17560</v>
          </cell>
          <cell r="P412">
            <v>8000</v>
          </cell>
          <cell r="Q412">
            <v>2400</v>
          </cell>
          <cell r="R412">
            <v>2400</v>
          </cell>
          <cell r="S412">
            <v>0</v>
          </cell>
          <cell r="T412">
            <v>0</v>
          </cell>
          <cell r="U412">
            <v>1396</v>
          </cell>
          <cell r="V412">
            <v>0</v>
          </cell>
          <cell r="W412">
            <v>0</v>
          </cell>
          <cell r="X412" t="str">
            <v>monster/10067.png</v>
          </cell>
          <cell r="Y412">
            <v>1</v>
          </cell>
          <cell r="Z412">
            <v>0</v>
          </cell>
          <cell r="AA412">
            <v>50</v>
          </cell>
          <cell r="AB412">
            <v>25</v>
          </cell>
          <cell r="AC412">
            <v>0.4</v>
          </cell>
        </row>
        <row r="413">
          <cell r="A413">
            <v>1060051</v>
          </cell>
          <cell r="B413">
            <v>2001</v>
          </cell>
          <cell r="C413">
            <v>61</v>
          </cell>
          <cell r="D413" t="str">
            <v>炎之安苏</v>
          </cell>
          <cell r="E413">
            <v>1810</v>
          </cell>
          <cell r="F413">
            <v>1810</v>
          </cell>
          <cell r="G413">
            <v>21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304882</v>
          </cell>
          <cell r="M413">
            <v>1310</v>
          </cell>
          <cell r="N413">
            <v>47387</v>
          </cell>
          <cell r="O413">
            <v>56864</v>
          </cell>
          <cell r="P413">
            <v>8000</v>
          </cell>
          <cell r="Q413">
            <v>2400</v>
          </cell>
          <cell r="R413">
            <v>2400</v>
          </cell>
          <cell r="S413">
            <v>0</v>
          </cell>
          <cell r="T413">
            <v>0</v>
          </cell>
          <cell r="U413">
            <v>1396</v>
          </cell>
          <cell r="V413">
            <v>0</v>
          </cell>
          <cell r="W413">
            <v>0</v>
          </cell>
          <cell r="X413" t="str">
            <v>monster/10096.png</v>
          </cell>
          <cell r="Y413">
            <v>1</v>
          </cell>
          <cell r="Z413">
            <v>0</v>
          </cell>
          <cell r="AA413">
            <v>50</v>
          </cell>
          <cell r="AB413">
            <v>25</v>
          </cell>
          <cell r="AC413">
            <v>0.4</v>
          </cell>
        </row>
        <row r="414">
          <cell r="A414">
            <v>1060061</v>
          </cell>
          <cell r="B414">
            <v>2001</v>
          </cell>
          <cell r="C414">
            <v>62</v>
          </cell>
          <cell r="D414" t="str">
            <v>迅捷的维恩</v>
          </cell>
          <cell r="E414">
            <v>1860</v>
          </cell>
          <cell r="F414">
            <v>1860</v>
          </cell>
          <cell r="G414">
            <v>14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352605</v>
          </cell>
          <cell r="M414">
            <v>1320</v>
          </cell>
          <cell r="N414">
            <v>56003</v>
          </cell>
          <cell r="O414">
            <v>67204</v>
          </cell>
          <cell r="P414">
            <v>8500</v>
          </cell>
          <cell r="Q414">
            <v>2550</v>
          </cell>
          <cell r="R414">
            <v>2550</v>
          </cell>
          <cell r="S414">
            <v>0</v>
          </cell>
          <cell r="T414">
            <v>0</v>
          </cell>
          <cell r="U414">
            <v>732</v>
          </cell>
          <cell r="V414">
            <v>0</v>
          </cell>
          <cell r="W414">
            <v>0</v>
          </cell>
          <cell r="X414" t="str">
            <v>monster/10073.png</v>
          </cell>
          <cell r="Y414">
            <v>1</v>
          </cell>
          <cell r="Z414">
            <v>0</v>
          </cell>
          <cell r="AA414">
            <v>50</v>
          </cell>
          <cell r="AB414">
            <v>25</v>
          </cell>
          <cell r="AC414">
            <v>0.4</v>
          </cell>
        </row>
        <row r="415">
          <cell r="A415">
            <v>1060071</v>
          </cell>
          <cell r="B415">
            <v>2001</v>
          </cell>
          <cell r="C415">
            <v>62</v>
          </cell>
          <cell r="D415" t="str">
            <v>暮光预言者</v>
          </cell>
          <cell r="E415">
            <v>1860</v>
          </cell>
          <cell r="F415">
            <v>1860</v>
          </cell>
          <cell r="G415">
            <v>13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383798</v>
          </cell>
          <cell r="M415">
            <v>1056</v>
          </cell>
          <cell r="N415">
            <v>43872</v>
          </cell>
          <cell r="O415">
            <v>52646</v>
          </cell>
          <cell r="P415">
            <v>8500</v>
          </cell>
          <cell r="Q415">
            <v>2550</v>
          </cell>
          <cell r="R415">
            <v>2550</v>
          </cell>
          <cell r="S415">
            <v>0</v>
          </cell>
          <cell r="T415">
            <v>0</v>
          </cell>
          <cell r="U415">
            <v>732</v>
          </cell>
          <cell r="V415">
            <v>0</v>
          </cell>
          <cell r="W415">
            <v>0</v>
          </cell>
          <cell r="X415" t="str">
            <v>monster/10080.png</v>
          </cell>
          <cell r="Y415">
            <v>1</v>
          </cell>
          <cell r="Z415">
            <v>0</v>
          </cell>
          <cell r="AA415">
            <v>50</v>
          </cell>
          <cell r="AB415">
            <v>25</v>
          </cell>
          <cell r="AC415">
            <v>0.4</v>
          </cell>
        </row>
        <row r="416">
          <cell r="A416">
            <v>1060081</v>
          </cell>
          <cell r="B416">
            <v>2001</v>
          </cell>
          <cell r="C416">
            <v>63</v>
          </cell>
          <cell r="D416" t="str">
            <v>卡雷</v>
          </cell>
          <cell r="E416">
            <v>1910</v>
          </cell>
          <cell r="F416">
            <v>1910</v>
          </cell>
          <cell r="G416">
            <v>25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410858</v>
          </cell>
          <cell r="M416">
            <v>42</v>
          </cell>
          <cell r="N416">
            <v>87675</v>
          </cell>
          <cell r="O416">
            <v>105210</v>
          </cell>
          <cell r="P416">
            <v>9000</v>
          </cell>
          <cell r="Q416">
            <v>2700</v>
          </cell>
          <cell r="R416">
            <v>2700</v>
          </cell>
          <cell r="S416">
            <v>0</v>
          </cell>
          <cell r="T416">
            <v>0</v>
          </cell>
          <cell r="U416">
            <v>1488</v>
          </cell>
          <cell r="V416">
            <v>0</v>
          </cell>
          <cell r="W416">
            <v>0</v>
          </cell>
          <cell r="X416" t="str">
            <v>monster/10056.png</v>
          </cell>
          <cell r="Y416">
            <v>1</v>
          </cell>
          <cell r="Z416">
            <v>0</v>
          </cell>
          <cell r="AA416">
            <v>50</v>
          </cell>
          <cell r="AB416">
            <v>25</v>
          </cell>
          <cell r="AC416">
            <v>0.4</v>
          </cell>
        </row>
        <row r="417">
          <cell r="A417">
            <v>1060091</v>
          </cell>
          <cell r="B417">
            <v>2001</v>
          </cell>
          <cell r="C417">
            <v>64</v>
          </cell>
          <cell r="D417" t="str">
            <v>日光弗雷尔</v>
          </cell>
          <cell r="E417">
            <v>1960</v>
          </cell>
          <cell r="F417">
            <v>1960</v>
          </cell>
          <cell r="G417">
            <v>28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407778</v>
          </cell>
          <cell r="M417">
            <v>1340</v>
          </cell>
          <cell r="N417">
            <v>73346</v>
          </cell>
          <cell r="O417">
            <v>88015</v>
          </cell>
          <cell r="P417">
            <v>9500</v>
          </cell>
          <cell r="Q417">
            <v>2850</v>
          </cell>
          <cell r="R417">
            <v>2850</v>
          </cell>
          <cell r="S417">
            <v>0</v>
          </cell>
          <cell r="T417">
            <v>0</v>
          </cell>
          <cell r="U417">
            <v>1535</v>
          </cell>
          <cell r="V417">
            <v>0</v>
          </cell>
          <cell r="W417">
            <v>0</v>
          </cell>
          <cell r="X417" t="str">
            <v>monster/10010.png</v>
          </cell>
          <cell r="Y417">
            <v>1</v>
          </cell>
          <cell r="Z417">
            <v>0</v>
          </cell>
          <cell r="AA417">
            <v>50</v>
          </cell>
          <cell r="AB417">
            <v>25</v>
          </cell>
          <cell r="AC417">
            <v>0.4</v>
          </cell>
        </row>
        <row r="418">
          <cell r="A418">
            <v>1065011</v>
          </cell>
          <cell r="B418">
            <v>2001</v>
          </cell>
          <cell r="C418">
            <v>65</v>
          </cell>
          <cell r="D418" t="str">
            <v>坚定的格雷格</v>
          </cell>
          <cell r="E418">
            <v>2010</v>
          </cell>
          <cell r="F418">
            <v>2010</v>
          </cell>
          <cell r="G418">
            <v>3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225950</v>
          </cell>
          <cell r="M418">
            <v>810</v>
          </cell>
          <cell r="N418">
            <v>24600</v>
          </cell>
          <cell r="O418">
            <v>29520</v>
          </cell>
          <cell r="P418">
            <v>10000</v>
          </cell>
          <cell r="Q418">
            <v>3000</v>
          </cell>
          <cell r="R418">
            <v>3000</v>
          </cell>
          <cell r="S418">
            <v>0</v>
          </cell>
          <cell r="T418">
            <v>0</v>
          </cell>
          <cell r="U418">
            <v>1584</v>
          </cell>
          <cell r="V418">
            <v>0</v>
          </cell>
          <cell r="W418">
            <v>0</v>
          </cell>
          <cell r="X418" t="str">
            <v>monster/10119.png</v>
          </cell>
          <cell r="Y418">
            <v>1</v>
          </cell>
          <cell r="Z418">
            <v>0</v>
          </cell>
          <cell r="AA418">
            <v>50</v>
          </cell>
          <cell r="AB418">
            <v>25</v>
          </cell>
          <cell r="AC418">
            <v>0.4</v>
          </cell>
        </row>
        <row r="419">
          <cell r="A419">
            <v>1065021</v>
          </cell>
          <cell r="B419">
            <v>2001</v>
          </cell>
          <cell r="C419">
            <v>65</v>
          </cell>
          <cell r="D419" t="str">
            <v>莱恩的倒影</v>
          </cell>
          <cell r="E419">
            <v>2010</v>
          </cell>
          <cell r="F419">
            <v>2010</v>
          </cell>
          <cell r="G419" t="str">
            <v>1,2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251796</v>
          </cell>
          <cell r="M419">
            <v>1350</v>
          </cell>
          <cell r="N419">
            <v>52711</v>
          </cell>
          <cell r="O419">
            <v>63253</v>
          </cell>
          <cell r="P419">
            <v>10000</v>
          </cell>
          <cell r="Q419">
            <v>3000</v>
          </cell>
          <cell r="R419">
            <v>3000</v>
          </cell>
          <cell r="S419">
            <v>0</v>
          </cell>
          <cell r="T419">
            <v>0</v>
          </cell>
          <cell r="U419">
            <v>804</v>
          </cell>
          <cell r="V419">
            <v>0</v>
          </cell>
          <cell r="W419">
            <v>0</v>
          </cell>
          <cell r="X419" t="str">
            <v>UI/Program/MercenaryWarrior_1.png</v>
          </cell>
          <cell r="Y419">
            <v>1</v>
          </cell>
          <cell r="Z419">
            <v>0</v>
          </cell>
          <cell r="AA419">
            <v>50</v>
          </cell>
          <cell r="AB419">
            <v>25</v>
          </cell>
          <cell r="AC419">
            <v>0.4</v>
          </cell>
        </row>
        <row r="420">
          <cell r="A420">
            <v>1065031</v>
          </cell>
          <cell r="B420">
            <v>2001</v>
          </cell>
          <cell r="C420">
            <v>66</v>
          </cell>
          <cell r="D420" t="str">
            <v>混乱的玛尔达</v>
          </cell>
          <cell r="E420">
            <v>2060</v>
          </cell>
          <cell r="F420">
            <v>2060</v>
          </cell>
          <cell r="G420" t="str">
            <v>6,19,23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394974</v>
          </cell>
          <cell r="M420">
            <v>2448</v>
          </cell>
          <cell r="N420">
            <v>59143</v>
          </cell>
          <cell r="O420">
            <v>70972</v>
          </cell>
          <cell r="P420">
            <v>10500</v>
          </cell>
          <cell r="Q420">
            <v>3150</v>
          </cell>
          <cell r="R420">
            <v>3150</v>
          </cell>
          <cell r="S420">
            <v>0</v>
          </cell>
          <cell r="T420">
            <v>0</v>
          </cell>
          <cell r="U420">
            <v>1632</v>
          </cell>
          <cell r="V420">
            <v>0</v>
          </cell>
          <cell r="W420">
            <v>0</v>
          </cell>
          <cell r="X420" t="str">
            <v>monster/10086.png</v>
          </cell>
          <cell r="Y420">
            <v>1</v>
          </cell>
          <cell r="Z420">
            <v>0</v>
          </cell>
          <cell r="AA420">
            <v>50</v>
          </cell>
          <cell r="AB420">
            <v>25</v>
          </cell>
          <cell r="AC420">
            <v>0.4</v>
          </cell>
        </row>
        <row r="421">
          <cell r="A421">
            <v>1065041</v>
          </cell>
          <cell r="B421">
            <v>2001</v>
          </cell>
          <cell r="C421">
            <v>66</v>
          </cell>
          <cell r="D421" t="str">
            <v>驯兽师瓦纳</v>
          </cell>
          <cell r="E421">
            <v>2060</v>
          </cell>
          <cell r="F421">
            <v>2060</v>
          </cell>
          <cell r="G421">
            <v>2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233246</v>
          </cell>
          <cell r="M421">
            <v>1088</v>
          </cell>
          <cell r="N421">
            <v>40272</v>
          </cell>
          <cell r="O421">
            <v>48326</v>
          </cell>
          <cell r="P421">
            <v>10500</v>
          </cell>
          <cell r="Q421">
            <v>3150</v>
          </cell>
          <cell r="R421">
            <v>3150</v>
          </cell>
          <cell r="S421">
            <v>0</v>
          </cell>
          <cell r="T421">
            <v>0</v>
          </cell>
          <cell r="U421">
            <v>1632</v>
          </cell>
          <cell r="V421">
            <v>0</v>
          </cell>
          <cell r="W421">
            <v>0</v>
          </cell>
          <cell r="X421" t="str">
            <v>monster/10094.png</v>
          </cell>
          <cell r="Y421">
            <v>1</v>
          </cell>
          <cell r="Z421">
            <v>0</v>
          </cell>
          <cell r="AA421">
            <v>50</v>
          </cell>
          <cell r="AB421">
            <v>25</v>
          </cell>
          <cell r="AC421">
            <v>0.4</v>
          </cell>
        </row>
        <row r="422">
          <cell r="A422">
            <v>1065042</v>
          </cell>
          <cell r="B422">
            <v>2001</v>
          </cell>
          <cell r="C422">
            <v>66</v>
          </cell>
          <cell r="D422" t="str">
            <v>多兰</v>
          </cell>
          <cell r="E422">
            <v>2060</v>
          </cell>
          <cell r="F422">
            <v>2060</v>
          </cell>
          <cell r="G422">
            <v>9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108848</v>
          </cell>
          <cell r="M422">
            <v>1359.9999999999998</v>
          </cell>
          <cell r="N422">
            <v>23492</v>
          </cell>
          <cell r="O422">
            <v>28190</v>
          </cell>
          <cell r="P422">
            <v>10500</v>
          </cell>
          <cell r="Q422">
            <v>3150</v>
          </cell>
          <cell r="R422">
            <v>3150</v>
          </cell>
          <cell r="S422">
            <v>0</v>
          </cell>
          <cell r="T422">
            <v>0</v>
          </cell>
          <cell r="U422">
            <v>1632</v>
          </cell>
          <cell r="V422">
            <v>0</v>
          </cell>
          <cell r="W422">
            <v>0</v>
          </cell>
          <cell r="X422" t="str">
            <v>monster/10061.png</v>
          </cell>
          <cell r="Y422">
            <v>1</v>
          </cell>
          <cell r="Z422">
            <v>0</v>
          </cell>
          <cell r="AA422">
            <v>50</v>
          </cell>
          <cell r="AB422">
            <v>25</v>
          </cell>
          <cell r="AC422">
            <v>0.4</v>
          </cell>
        </row>
        <row r="423">
          <cell r="A423">
            <v>1065043</v>
          </cell>
          <cell r="B423">
            <v>2001</v>
          </cell>
          <cell r="C423">
            <v>66</v>
          </cell>
          <cell r="D423" t="str">
            <v>约翰</v>
          </cell>
          <cell r="E423">
            <v>2060</v>
          </cell>
          <cell r="F423">
            <v>2060</v>
          </cell>
          <cell r="G423">
            <v>10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108848</v>
          </cell>
          <cell r="M423">
            <v>1359.9999999999998</v>
          </cell>
          <cell r="N423">
            <v>23492</v>
          </cell>
          <cell r="O423">
            <v>28190</v>
          </cell>
          <cell r="P423">
            <v>10500</v>
          </cell>
          <cell r="Q423">
            <v>3150</v>
          </cell>
          <cell r="R423">
            <v>3150</v>
          </cell>
          <cell r="S423">
            <v>0</v>
          </cell>
          <cell r="T423">
            <v>0</v>
          </cell>
          <cell r="U423">
            <v>1632</v>
          </cell>
          <cell r="V423">
            <v>0</v>
          </cell>
          <cell r="W423">
            <v>0</v>
          </cell>
          <cell r="X423" t="str">
            <v>monster/10067.png</v>
          </cell>
          <cell r="Y423">
            <v>1</v>
          </cell>
          <cell r="Z423">
            <v>0</v>
          </cell>
          <cell r="AA423">
            <v>50</v>
          </cell>
          <cell r="AB423">
            <v>25</v>
          </cell>
          <cell r="AC423">
            <v>0.4</v>
          </cell>
        </row>
        <row r="424">
          <cell r="A424">
            <v>1065051</v>
          </cell>
          <cell r="B424">
            <v>2001</v>
          </cell>
          <cell r="C424">
            <v>66</v>
          </cell>
          <cell r="D424" t="str">
            <v>炎之安苏</v>
          </cell>
          <cell r="E424">
            <v>2060</v>
          </cell>
          <cell r="F424">
            <v>2060</v>
          </cell>
          <cell r="G424">
            <v>21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399827</v>
          </cell>
          <cell r="M424">
            <v>1359.9999999999998</v>
          </cell>
          <cell r="N424">
            <v>76172</v>
          </cell>
          <cell r="O424">
            <v>91406</v>
          </cell>
          <cell r="P424">
            <v>10500</v>
          </cell>
          <cell r="Q424">
            <v>3150</v>
          </cell>
          <cell r="R424">
            <v>3150</v>
          </cell>
          <cell r="S424">
            <v>0</v>
          </cell>
          <cell r="T424">
            <v>0</v>
          </cell>
          <cell r="U424">
            <v>1632</v>
          </cell>
          <cell r="V424">
            <v>0</v>
          </cell>
          <cell r="W424">
            <v>0</v>
          </cell>
          <cell r="X424" t="str">
            <v>monster/10096.png</v>
          </cell>
          <cell r="Y424">
            <v>1</v>
          </cell>
          <cell r="Z424">
            <v>0</v>
          </cell>
          <cell r="AA424">
            <v>50</v>
          </cell>
          <cell r="AB424">
            <v>25</v>
          </cell>
          <cell r="AC424">
            <v>0.4</v>
          </cell>
        </row>
        <row r="425">
          <cell r="A425">
            <v>1065061</v>
          </cell>
          <cell r="B425">
            <v>2001</v>
          </cell>
          <cell r="C425">
            <v>67</v>
          </cell>
          <cell r="D425" t="str">
            <v>迅捷的维恩</v>
          </cell>
          <cell r="E425">
            <v>2110</v>
          </cell>
          <cell r="F425">
            <v>2110</v>
          </cell>
          <cell r="G425">
            <v>14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462502</v>
          </cell>
          <cell r="M425">
            <v>1370</v>
          </cell>
          <cell r="N425">
            <v>90170</v>
          </cell>
          <cell r="O425">
            <v>108204</v>
          </cell>
          <cell r="P425">
            <v>11000</v>
          </cell>
          <cell r="Q425">
            <v>3300</v>
          </cell>
          <cell r="R425">
            <v>3300</v>
          </cell>
          <cell r="S425">
            <v>0</v>
          </cell>
          <cell r="T425">
            <v>0</v>
          </cell>
          <cell r="U425">
            <v>854</v>
          </cell>
          <cell r="V425">
            <v>0</v>
          </cell>
          <cell r="W425">
            <v>0</v>
          </cell>
          <cell r="X425" t="str">
            <v>monster/10073.png</v>
          </cell>
          <cell r="Y425">
            <v>1</v>
          </cell>
          <cell r="Z425">
            <v>0</v>
          </cell>
          <cell r="AA425">
            <v>50</v>
          </cell>
          <cell r="AB425">
            <v>25</v>
          </cell>
          <cell r="AC425">
            <v>0.4</v>
          </cell>
        </row>
        <row r="426">
          <cell r="A426">
            <v>1065071</v>
          </cell>
          <cell r="B426">
            <v>2001</v>
          </cell>
          <cell r="C426">
            <v>67</v>
          </cell>
          <cell r="D426" t="str">
            <v>暮光预言者</v>
          </cell>
          <cell r="E426">
            <v>2110</v>
          </cell>
          <cell r="F426">
            <v>2110</v>
          </cell>
          <cell r="G426">
            <v>13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501536</v>
          </cell>
          <cell r="M426">
            <v>1096</v>
          </cell>
          <cell r="N426">
            <v>70690</v>
          </cell>
          <cell r="O426">
            <v>84828</v>
          </cell>
          <cell r="P426">
            <v>11000</v>
          </cell>
          <cell r="Q426">
            <v>3300</v>
          </cell>
          <cell r="R426">
            <v>3300</v>
          </cell>
          <cell r="S426">
            <v>0</v>
          </cell>
          <cell r="T426">
            <v>0</v>
          </cell>
          <cell r="U426">
            <v>854</v>
          </cell>
          <cell r="V426">
            <v>0</v>
          </cell>
          <cell r="W426">
            <v>0</v>
          </cell>
          <cell r="X426" t="str">
            <v>monster/10080.png</v>
          </cell>
          <cell r="Y426">
            <v>1</v>
          </cell>
          <cell r="Z426">
            <v>0</v>
          </cell>
          <cell r="AA426">
            <v>50</v>
          </cell>
          <cell r="AB426">
            <v>25</v>
          </cell>
          <cell r="AC426">
            <v>0.4</v>
          </cell>
        </row>
        <row r="427">
          <cell r="A427">
            <v>1065081</v>
          </cell>
          <cell r="B427">
            <v>2001</v>
          </cell>
          <cell r="C427">
            <v>68</v>
          </cell>
          <cell r="D427" t="str">
            <v>卡雷</v>
          </cell>
          <cell r="E427">
            <v>2160</v>
          </cell>
          <cell r="F427">
            <v>2160</v>
          </cell>
          <cell r="G427">
            <v>25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538164</v>
          </cell>
          <cell r="M427">
            <v>42</v>
          </cell>
          <cell r="N427">
            <v>141374</v>
          </cell>
          <cell r="O427">
            <v>169649</v>
          </cell>
          <cell r="P427">
            <v>11500</v>
          </cell>
          <cell r="Q427">
            <v>3450</v>
          </cell>
          <cell r="R427">
            <v>3450</v>
          </cell>
          <cell r="S427">
            <v>0</v>
          </cell>
          <cell r="T427">
            <v>0</v>
          </cell>
          <cell r="U427">
            <v>1731</v>
          </cell>
          <cell r="V427">
            <v>0</v>
          </cell>
          <cell r="W427">
            <v>0</v>
          </cell>
          <cell r="X427" t="str">
            <v>monster/10056.png</v>
          </cell>
          <cell r="Y427">
            <v>1</v>
          </cell>
          <cell r="Z427">
            <v>0</v>
          </cell>
          <cell r="AA427">
            <v>50</v>
          </cell>
          <cell r="AB427">
            <v>25</v>
          </cell>
          <cell r="AC427">
            <v>0.4</v>
          </cell>
        </row>
        <row r="428">
          <cell r="A428">
            <v>1065091</v>
          </cell>
          <cell r="B428">
            <v>2001</v>
          </cell>
          <cell r="C428">
            <v>69</v>
          </cell>
          <cell r="D428" t="str">
            <v>日光弗雷尔</v>
          </cell>
          <cell r="E428">
            <v>2210</v>
          </cell>
          <cell r="F428">
            <v>2210</v>
          </cell>
          <cell r="G428">
            <v>28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534447</v>
          </cell>
          <cell r="M428">
            <v>1390.0000000000002</v>
          </cell>
          <cell r="N428">
            <v>118386</v>
          </cell>
          <cell r="O428">
            <v>142063</v>
          </cell>
          <cell r="P428">
            <v>12000</v>
          </cell>
          <cell r="Q428">
            <v>3600</v>
          </cell>
          <cell r="R428">
            <v>3600</v>
          </cell>
          <cell r="S428">
            <v>0</v>
          </cell>
          <cell r="T428">
            <v>0</v>
          </cell>
          <cell r="U428">
            <v>1782</v>
          </cell>
          <cell r="V428">
            <v>0</v>
          </cell>
          <cell r="W428">
            <v>0</v>
          </cell>
          <cell r="X428" t="str">
            <v>monster/10010.png</v>
          </cell>
          <cell r="Y428">
            <v>1</v>
          </cell>
          <cell r="Z428">
            <v>0</v>
          </cell>
          <cell r="AA428">
            <v>50</v>
          </cell>
          <cell r="AB428">
            <v>25</v>
          </cell>
          <cell r="AC428">
            <v>0.4</v>
          </cell>
        </row>
        <row r="429">
          <cell r="A429">
            <v>1070011</v>
          </cell>
          <cell r="B429">
            <v>2001</v>
          </cell>
          <cell r="C429">
            <v>70</v>
          </cell>
          <cell r="D429" t="str">
            <v>坚定的格雷格</v>
          </cell>
          <cell r="E429">
            <v>2260</v>
          </cell>
          <cell r="F429">
            <v>2260</v>
          </cell>
          <cell r="G429">
            <v>3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305073</v>
          </cell>
          <cell r="M429">
            <v>840</v>
          </cell>
          <cell r="N429">
            <v>36874</v>
          </cell>
          <cell r="O429">
            <v>44249</v>
          </cell>
          <cell r="P429">
            <v>12500</v>
          </cell>
          <cell r="Q429">
            <v>3750</v>
          </cell>
          <cell r="R429">
            <v>3750</v>
          </cell>
          <cell r="S429">
            <v>0</v>
          </cell>
          <cell r="T429">
            <v>0</v>
          </cell>
          <cell r="U429">
            <v>1834</v>
          </cell>
          <cell r="V429">
            <v>0</v>
          </cell>
          <cell r="W429">
            <v>0</v>
          </cell>
          <cell r="X429" t="str">
            <v>monster/10119.png</v>
          </cell>
          <cell r="Y429">
            <v>1</v>
          </cell>
          <cell r="Z429">
            <v>0</v>
          </cell>
          <cell r="AA429">
            <v>50</v>
          </cell>
          <cell r="AB429">
            <v>25</v>
          </cell>
          <cell r="AC429">
            <v>0.4</v>
          </cell>
        </row>
        <row r="430">
          <cell r="A430">
            <v>1070021</v>
          </cell>
          <cell r="B430">
            <v>2001</v>
          </cell>
          <cell r="C430">
            <v>70</v>
          </cell>
          <cell r="D430" t="str">
            <v>莱恩的倒影</v>
          </cell>
          <cell r="E430">
            <v>2260</v>
          </cell>
          <cell r="F430">
            <v>2260</v>
          </cell>
          <cell r="G430" t="str">
            <v>1,2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338522</v>
          </cell>
          <cell r="M430">
            <v>1400</v>
          </cell>
          <cell r="N430">
            <v>79792</v>
          </cell>
          <cell r="O430">
            <v>95750</v>
          </cell>
          <cell r="P430">
            <v>12500</v>
          </cell>
          <cell r="Q430">
            <v>3750</v>
          </cell>
          <cell r="R430">
            <v>3750</v>
          </cell>
          <cell r="S430">
            <v>0</v>
          </cell>
          <cell r="T430">
            <v>0</v>
          </cell>
          <cell r="U430">
            <v>931</v>
          </cell>
          <cell r="V430">
            <v>0</v>
          </cell>
          <cell r="W430">
            <v>0</v>
          </cell>
          <cell r="X430" t="str">
            <v>UI/Program/MercenaryWarrior_1.png</v>
          </cell>
          <cell r="Y430">
            <v>1</v>
          </cell>
          <cell r="Z430">
            <v>0</v>
          </cell>
          <cell r="AA430">
            <v>50</v>
          </cell>
          <cell r="AB430">
            <v>25</v>
          </cell>
          <cell r="AC430">
            <v>0.4</v>
          </cell>
        </row>
        <row r="431">
          <cell r="A431">
            <v>1070031</v>
          </cell>
          <cell r="B431">
            <v>2001</v>
          </cell>
          <cell r="C431">
            <v>71</v>
          </cell>
          <cell r="D431" t="str">
            <v>混乱的玛尔达</v>
          </cell>
          <cell r="E431">
            <v>2320</v>
          </cell>
          <cell r="F431">
            <v>2320</v>
          </cell>
          <cell r="G431" t="str">
            <v>6,19,23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531096</v>
          </cell>
          <cell r="M431">
            <v>2538</v>
          </cell>
          <cell r="N431">
            <v>90712</v>
          </cell>
          <cell r="O431">
            <v>108854</v>
          </cell>
          <cell r="P431">
            <v>13000</v>
          </cell>
          <cell r="Q431">
            <v>3900</v>
          </cell>
          <cell r="R431">
            <v>3900</v>
          </cell>
          <cell r="S431">
            <v>0</v>
          </cell>
          <cell r="T431">
            <v>0</v>
          </cell>
          <cell r="U431">
            <v>1886</v>
          </cell>
          <cell r="V431">
            <v>0</v>
          </cell>
          <cell r="W431">
            <v>0</v>
          </cell>
          <cell r="X431" t="str">
            <v>monster/10086.png</v>
          </cell>
          <cell r="Y431">
            <v>1</v>
          </cell>
          <cell r="Z431">
            <v>0</v>
          </cell>
          <cell r="AA431">
            <v>50</v>
          </cell>
          <cell r="AB431">
            <v>25</v>
          </cell>
          <cell r="AC431">
            <v>0.4</v>
          </cell>
        </row>
        <row r="432">
          <cell r="A432">
            <v>1070041</v>
          </cell>
          <cell r="B432">
            <v>2001</v>
          </cell>
          <cell r="C432">
            <v>71</v>
          </cell>
          <cell r="D432" t="str">
            <v>驯兽师瓦纳</v>
          </cell>
          <cell r="E432">
            <v>2320</v>
          </cell>
          <cell r="F432">
            <v>2320</v>
          </cell>
          <cell r="G432">
            <v>2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312907</v>
          </cell>
          <cell r="M432">
            <v>1128</v>
          </cell>
          <cell r="N432">
            <v>61954</v>
          </cell>
          <cell r="O432">
            <v>74345</v>
          </cell>
          <cell r="P432">
            <v>13000</v>
          </cell>
          <cell r="Q432">
            <v>3900</v>
          </cell>
          <cell r="R432">
            <v>3900</v>
          </cell>
          <cell r="S432">
            <v>0</v>
          </cell>
          <cell r="T432">
            <v>0</v>
          </cell>
          <cell r="U432">
            <v>1886</v>
          </cell>
          <cell r="V432">
            <v>0</v>
          </cell>
          <cell r="W432">
            <v>0</v>
          </cell>
          <cell r="X432" t="str">
            <v>monster/10094.png</v>
          </cell>
          <cell r="Y432">
            <v>1</v>
          </cell>
          <cell r="Z432">
            <v>0</v>
          </cell>
          <cell r="AA432">
            <v>50</v>
          </cell>
          <cell r="AB432">
            <v>25</v>
          </cell>
          <cell r="AC432">
            <v>0.4</v>
          </cell>
        </row>
        <row r="433">
          <cell r="A433">
            <v>1070042</v>
          </cell>
          <cell r="B433">
            <v>2001</v>
          </cell>
          <cell r="C433">
            <v>71</v>
          </cell>
          <cell r="D433" t="str">
            <v>多兰</v>
          </cell>
          <cell r="E433">
            <v>2320</v>
          </cell>
          <cell r="F433">
            <v>2320</v>
          </cell>
          <cell r="G433">
            <v>9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146023</v>
          </cell>
          <cell r="M433">
            <v>1410</v>
          </cell>
          <cell r="N433">
            <v>36140</v>
          </cell>
          <cell r="O433">
            <v>43368</v>
          </cell>
          <cell r="P433">
            <v>13000</v>
          </cell>
          <cell r="Q433">
            <v>3900</v>
          </cell>
          <cell r="R433">
            <v>3900</v>
          </cell>
          <cell r="S433">
            <v>0</v>
          </cell>
          <cell r="T433">
            <v>0</v>
          </cell>
          <cell r="U433">
            <v>1886</v>
          </cell>
          <cell r="V433">
            <v>0</v>
          </cell>
          <cell r="W433">
            <v>0</v>
          </cell>
          <cell r="X433" t="str">
            <v>monster/10061.png</v>
          </cell>
          <cell r="Y433">
            <v>1</v>
          </cell>
          <cell r="Z433">
            <v>0</v>
          </cell>
          <cell r="AA433">
            <v>50</v>
          </cell>
          <cell r="AB433">
            <v>25</v>
          </cell>
          <cell r="AC433">
            <v>0.4</v>
          </cell>
        </row>
        <row r="434">
          <cell r="A434">
            <v>1070043</v>
          </cell>
          <cell r="B434">
            <v>2001</v>
          </cell>
          <cell r="C434">
            <v>71</v>
          </cell>
          <cell r="D434" t="str">
            <v>约翰</v>
          </cell>
          <cell r="E434">
            <v>2320</v>
          </cell>
          <cell r="F434">
            <v>2320</v>
          </cell>
          <cell r="G434">
            <v>10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146023</v>
          </cell>
          <cell r="M434">
            <v>1410</v>
          </cell>
          <cell r="N434">
            <v>36140</v>
          </cell>
          <cell r="O434">
            <v>43368</v>
          </cell>
          <cell r="P434">
            <v>13000</v>
          </cell>
          <cell r="Q434">
            <v>3900</v>
          </cell>
          <cell r="R434">
            <v>3900</v>
          </cell>
          <cell r="S434">
            <v>0</v>
          </cell>
          <cell r="T434">
            <v>0</v>
          </cell>
          <cell r="U434">
            <v>1886</v>
          </cell>
          <cell r="V434">
            <v>0</v>
          </cell>
          <cell r="W434">
            <v>0</v>
          </cell>
          <cell r="X434" t="str">
            <v>monster/10067.png</v>
          </cell>
          <cell r="Y434">
            <v>1</v>
          </cell>
          <cell r="Z434">
            <v>0</v>
          </cell>
          <cell r="AA434">
            <v>50</v>
          </cell>
          <cell r="AB434">
            <v>25</v>
          </cell>
          <cell r="AC434">
            <v>0.4</v>
          </cell>
        </row>
        <row r="435">
          <cell r="A435">
            <v>1070051</v>
          </cell>
          <cell r="B435">
            <v>2001</v>
          </cell>
          <cell r="C435">
            <v>71</v>
          </cell>
          <cell r="D435" t="str">
            <v>炎之安苏</v>
          </cell>
          <cell r="E435">
            <v>2320</v>
          </cell>
          <cell r="F435">
            <v>2320</v>
          </cell>
          <cell r="G435">
            <v>21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535146</v>
          </cell>
          <cell r="M435">
            <v>1410</v>
          </cell>
          <cell r="N435">
            <v>117537</v>
          </cell>
          <cell r="O435">
            <v>141044</v>
          </cell>
          <cell r="P435">
            <v>13000</v>
          </cell>
          <cell r="Q435">
            <v>3900</v>
          </cell>
          <cell r="R435">
            <v>3900</v>
          </cell>
          <cell r="S435">
            <v>0</v>
          </cell>
          <cell r="T435">
            <v>0</v>
          </cell>
          <cell r="U435">
            <v>1886</v>
          </cell>
          <cell r="V435">
            <v>0</v>
          </cell>
          <cell r="W435">
            <v>0</v>
          </cell>
          <cell r="X435" t="str">
            <v>monster/10096.png</v>
          </cell>
          <cell r="Y435">
            <v>1</v>
          </cell>
          <cell r="Z435">
            <v>0</v>
          </cell>
          <cell r="AA435">
            <v>50</v>
          </cell>
          <cell r="AB435">
            <v>25</v>
          </cell>
          <cell r="AC435">
            <v>0.4</v>
          </cell>
        </row>
        <row r="436">
          <cell r="A436">
            <v>1070061</v>
          </cell>
          <cell r="B436">
            <v>2001</v>
          </cell>
          <cell r="C436">
            <v>72</v>
          </cell>
          <cell r="D436" t="str">
            <v>迅捷的维恩</v>
          </cell>
          <cell r="E436">
            <v>2380</v>
          </cell>
          <cell r="F436">
            <v>2380</v>
          </cell>
          <cell r="G436">
            <v>14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621205</v>
          </cell>
          <cell r="M436">
            <v>1420</v>
          </cell>
          <cell r="N436">
            <v>139694</v>
          </cell>
          <cell r="O436">
            <v>167633</v>
          </cell>
          <cell r="P436">
            <v>13500</v>
          </cell>
          <cell r="Q436">
            <v>4050</v>
          </cell>
          <cell r="R436">
            <v>4050</v>
          </cell>
          <cell r="S436">
            <v>0</v>
          </cell>
          <cell r="T436">
            <v>0</v>
          </cell>
          <cell r="U436">
            <v>984</v>
          </cell>
          <cell r="V436">
            <v>0</v>
          </cell>
          <cell r="W436">
            <v>0</v>
          </cell>
          <cell r="X436" t="str">
            <v>monster/10073.png</v>
          </cell>
          <cell r="Y436">
            <v>1</v>
          </cell>
          <cell r="Z436">
            <v>0</v>
          </cell>
          <cell r="AA436">
            <v>50</v>
          </cell>
          <cell r="AB436">
            <v>25</v>
          </cell>
          <cell r="AC436">
            <v>0.4</v>
          </cell>
        </row>
        <row r="437">
          <cell r="A437">
            <v>1070071</v>
          </cell>
          <cell r="B437">
            <v>2001</v>
          </cell>
          <cell r="C437">
            <v>72</v>
          </cell>
          <cell r="D437" t="str">
            <v>暮光预言者</v>
          </cell>
          <cell r="E437">
            <v>2380</v>
          </cell>
          <cell r="F437">
            <v>2380</v>
          </cell>
          <cell r="G437">
            <v>13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672412</v>
          </cell>
          <cell r="M437">
            <v>1136</v>
          </cell>
          <cell r="N437">
            <v>109711</v>
          </cell>
          <cell r="O437">
            <v>131653</v>
          </cell>
          <cell r="P437">
            <v>13500</v>
          </cell>
          <cell r="Q437">
            <v>4050</v>
          </cell>
          <cell r="R437">
            <v>4050</v>
          </cell>
          <cell r="S437">
            <v>0</v>
          </cell>
          <cell r="T437">
            <v>0</v>
          </cell>
          <cell r="U437">
            <v>984</v>
          </cell>
          <cell r="V437">
            <v>0</v>
          </cell>
          <cell r="W437">
            <v>0</v>
          </cell>
          <cell r="X437" t="str">
            <v>monster/10080.png</v>
          </cell>
          <cell r="Y437">
            <v>1</v>
          </cell>
          <cell r="Z437">
            <v>0</v>
          </cell>
          <cell r="AA437">
            <v>50</v>
          </cell>
          <cell r="AB437">
            <v>25</v>
          </cell>
          <cell r="AC437">
            <v>0.4</v>
          </cell>
        </row>
        <row r="438">
          <cell r="A438">
            <v>1070081</v>
          </cell>
          <cell r="B438">
            <v>2001</v>
          </cell>
          <cell r="C438">
            <v>73</v>
          </cell>
          <cell r="D438" t="str">
            <v>卡雷</v>
          </cell>
          <cell r="E438">
            <v>2440</v>
          </cell>
          <cell r="F438">
            <v>2440</v>
          </cell>
          <cell r="G438">
            <v>25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725496</v>
          </cell>
          <cell r="M438">
            <v>42</v>
          </cell>
          <cell r="N438">
            <v>219805</v>
          </cell>
          <cell r="O438">
            <v>263766</v>
          </cell>
          <cell r="P438">
            <v>14000</v>
          </cell>
          <cell r="Q438">
            <v>4200</v>
          </cell>
          <cell r="R438">
            <v>4200</v>
          </cell>
          <cell r="S438">
            <v>0</v>
          </cell>
          <cell r="T438">
            <v>0</v>
          </cell>
          <cell r="U438">
            <v>1993</v>
          </cell>
          <cell r="V438">
            <v>0</v>
          </cell>
          <cell r="W438">
            <v>0</v>
          </cell>
          <cell r="X438" t="str">
            <v>monster/10056.png</v>
          </cell>
          <cell r="Y438">
            <v>1</v>
          </cell>
          <cell r="Z438">
            <v>0</v>
          </cell>
          <cell r="AA438">
            <v>50</v>
          </cell>
          <cell r="AB438">
            <v>25</v>
          </cell>
          <cell r="AC438">
            <v>0.4</v>
          </cell>
        </row>
        <row r="439">
          <cell r="A439">
            <v>1070091</v>
          </cell>
          <cell r="B439">
            <v>2001</v>
          </cell>
          <cell r="C439">
            <v>74</v>
          </cell>
          <cell r="D439" t="str">
            <v>日光弗雷尔</v>
          </cell>
          <cell r="E439">
            <v>2500</v>
          </cell>
          <cell r="F439">
            <v>2500</v>
          </cell>
          <cell r="G439">
            <v>28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724526</v>
          </cell>
          <cell r="M439">
            <v>1440</v>
          </cell>
          <cell r="N439">
            <v>184503</v>
          </cell>
          <cell r="O439">
            <v>221404</v>
          </cell>
          <cell r="P439">
            <v>14500</v>
          </cell>
          <cell r="Q439">
            <v>4350</v>
          </cell>
          <cell r="R439">
            <v>4350</v>
          </cell>
          <cell r="S439">
            <v>0</v>
          </cell>
          <cell r="T439">
            <v>0</v>
          </cell>
          <cell r="U439">
            <v>2047</v>
          </cell>
          <cell r="V439">
            <v>0</v>
          </cell>
          <cell r="W439">
            <v>0</v>
          </cell>
          <cell r="X439" t="str">
            <v>monster/10010.png</v>
          </cell>
          <cell r="Y439">
            <v>1</v>
          </cell>
          <cell r="Z439">
            <v>0</v>
          </cell>
          <cell r="AA439">
            <v>50</v>
          </cell>
          <cell r="AB439">
            <v>25</v>
          </cell>
          <cell r="AC439">
            <v>0.4</v>
          </cell>
        </row>
        <row r="440">
          <cell r="A440">
            <v>1075011</v>
          </cell>
          <cell r="B440">
            <v>2001</v>
          </cell>
          <cell r="C440">
            <v>75</v>
          </cell>
          <cell r="D440" t="str">
            <v>坚定的格雷格</v>
          </cell>
          <cell r="E440">
            <v>2560</v>
          </cell>
          <cell r="F440">
            <v>2560</v>
          </cell>
          <cell r="G440">
            <v>3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410439</v>
          </cell>
          <cell r="M440">
            <v>870</v>
          </cell>
          <cell r="N440">
            <v>53784</v>
          </cell>
          <cell r="O440">
            <v>64541</v>
          </cell>
          <cell r="P440">
            <v>15000</v>
          </cell>
          <cell r="Q440">
            <v>4500</v>
          </cell>
          <cell r="R440">
            <v>4500</v>
          </cell>
          <cell r="S440">
            <v>0</v>
          </cell>
          <cell r="T440">
            <v>0</v>
          </cell>
          <cell r="U440">
            <v>2103</v>
          </cell>
          <cell r="V440">
            <v>0</v>
          </cell>
          <cell r="W440">
            <v>0</v>
          </cell>
          <cell r="X440" t="str">
            <v>monster/10119.png</v>
          </cell>
          <cell r="Y440">
            <v>1</v>
          </cell>
          <cell r="Z440">
            <v>0</v>
          </cell>
          <cell r="AA440">
            <v>50</v>
          </cell>
          <cell r="AB440">
            <v>25</v>
          </cell>
          <cell r="AC440">
            <v>0.4</v>
          </cell>
        </row>
        <row r="441">
          <cell r="A441">
            <v>1075021</v>
          </cell>
          <cell r="B441">
            <v>2001</v>
          </cell>
          <cell r="C441">
            <v>75</v>
          </cell>
          <cell r="D441" t="str">
            <v>莱恩的倒影</v>
          </cell>
          <cell r="E441">
            <v>2560</v>
          </cell>
          <cell r="F441">
            <v>2560</v>
          </cell>
          <cell r="G441" t="str">
            <v>1,2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457194</v>
          </cell>
          <cell r="M441">
            <v>1450</v>
          </cell>
          <cell r="N441">
            <v>118596</v>
          </cell>
          <cell r="O441">
            <v>142315</v>
          </cell>
          <cell r="P441">
            <v>15000</v>
          </cell>
          <cell r="Q441">
            <v>4500</v>
          </cell>
          <cell r="R441">
            <v>4500</v>
          </cell>
          <cell r="S441">
            <v>0</v>
          </cell>
          <cell r="T441">
            <v>0</v>
          </cell>
          <cell r="U441">
            <v>1068</v>
          </cell>
          <cell r="V441">
            <v>0</v>
          </cell>
          <cell r="W441">
            <v>0</v>
          </cell>
          <cell r="X441" t="str">
            <v>UI/Program/MercenaryWarrior_1.png</v>
          </cell>
          <cell r="Y441">
            <v>1</v>
          </cell>
          <cell r="Z441">
            <v>0</v>
          </cell>
          <cell r="AA441">
            <v>50</v>
          </cell>
          <cell r="AB441">
            <v>25</v>
          </cell>
          <cell r="AC441">
            <v>0.4</v>
          </cell>
        </row>
        <row r="442">
          <cell r="A442">
            <v>1075031</v>
          </cell>
          <cell r="B442">
            <v>2001</v>
          </cell>
          <cell r="C442">
            <v>76</v>
          </cell>
          <cell r="D442" t="str">
            <v>混乱的玛尔达</v>
          </cell>
          <cell r="E442">
            <v>2620</v>
          </cell>
          <cell r="F442">
            <v>2620</v>
          </cell>
          <cell r="G442" t="str">
            <v>6,19,23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726866</v>
          </cell>
          <cell r="M442">
            <v>2628</v>
          </cell>
          <cell r="N442">
            <v>138249</v>
          </cell>
          <cell r="O442">
            <v>165899</v>
          </cell>
          <cell r="P442">
            <v>15500</v>
          </cell>
          <cell r="Q442">
            <v>4650</v>
          </cell>
          <cell r="R442">
            <v>4650</v>
          </cell>
          <cell r="S442">
            <v>0</v>
          </cell>
          <cell r="T442">
            <v>0</v>
          </cell>
          <cell r="U442">
            <v>2159</v>
          </cell>
          <cell r="V442">
            <v>0</v>
          </cell>
          <cell r="W442">
            <v>0</v>
          </cell>
          <cell r="X442" t="str">
            <v>monster/10086.png</v>
          </cell>
          <cell r="Y442">
            <v>1</v>
          </cell>
          <cell r="Z442">
            <v>0</v>
          </cell>
          <cell r="AA442">
            <v>50</v>
          </cell>
          <cell r="AB442">
            <v>25</v>
          </cell>
          <cell r="AC442">
            <v>0.4</v>
          </cell>
        </row>
        <row r="443">
          <cell r="A443">
            <v>1075041</v>
          </cell>
          <cell r="B443">
            <v>2001</v>
          </cell>
          <cell r="C443">
            <v>76</v>
          </cell>
          <cell r="D443" t="str">
            <v>驯兽师瓦纳</v>
          </cell>
          <cell r="E443">
            <v>2620</v>
          </cell>
          <cell r="F443">
            <v>2620</v>
          </cell>
          <cell r="G443">
            <v>2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429142</v>
          </cell>
          <cell r="M443">
            <v>1168</v>
          </cell>
          <cell r="N443">
            <v>94931</v>
          </cell>
          <cell r="O443">
            <v>113917</v>
          </cell>
          <cell r="P443">
            <v>15500</v>
          </cell>
          <cell r="Q443">
            <v>4650</v>
          </cell>
          <cell r="R443">
            <v>4650</v>
          </cell>
          <cell r="S443">
            <v>0</v>
          </cell>
          <cell r="T443">
            <v>0</v>
          </cell>
          <cell r="U443">
            <v>2159</v>
          </cell>
          <cell r="V443">
            <v>0</v>
          </cell>
          <cell r="W443">
            <v>0</v>
          </cell>
          <cell r="X443" t="str">
            <v>monster/10094.png</v>
          </cell>
          <cell r="Y443">
            <v>1</v>
          </cell>
          <cell r="Z443">
            <v>0</v>
          </cell>
          <cell r="AA443">
            <v>50</v>
          </cell>
          <cell r="AB443">
            <v>25</v>
          </cell>
          <cell r="AC443">
            <v>0.4</v>
          </cell>
        </row>
        <row r="444">
          <cell r="A444">
            <v>1075042</v>
          </cell>
          <cell r="B444">
            <v>2001</v>
          </cell>
          <cell r="C444">
            <v>76</v>
          </cell>
          <cell r="D444" t="str">
            <v>多兰</v>
          </cell>
          <cell r="E444">
            <v>2620</v>
          </cell>
          <cell r="F444">
            <v>2620</v>
          </cell>
          <cell r="G444">
            <v>9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200266</v>
          </cell>
          <cell r="M444">
            <v>1460</v>
          </cell>
          <cell r="N444">
            <v>55377</v>
          </cell>
          <cell r="O444">
            <v>66452</v>
          </cell>
          <cell r="P444">
            <v>15500</v>
          </cell>
          <cell r="Q444">
            <v>4650</v>
          </cell>
          <cell r="R444">
            <v>4650</v>
          </cell>
          <cell r="S444">
            <v>0</v>
          </cell>
          <cell r="T444">
            <v>0</v>
          </cell>
          <cell r="U444">
            <v>2159</v>
          </cell>
          <cell r="V444">
            <v>0</v>
          </cell>
          <cell r="W444">
            <v>0</v>
          </cell>
          <cell r="X444" t="str">
            <v>monster/10061.png</v>
          </cell>
          <cell r="Y444">
            <v>1</v>
          </cell>
          <cell r="Z444">
            <v>0</v>
          </cell>
          <cell r="AA444">
            <v>50</v>
          </cell>
          <cell r="AB444">
            <v>25</v>
          </cell>
          <cell r="AC444">
            <v>0.4</v>
          </cell>
        </row>
        <row r="445">
          <cell r="A445">
            <v>1075043</v>
          </cell>
          <cell r="B445">
            <v>2001</v>
          </cell>
          <cell r="C445">
            <v>76</v>
          </cell>
          <cell r="D445" t="str">
            <v>约翰</v>
          </cell>
          <cell r="E445">
            <v>2620</v>
          </cell>
          <cell r="F445">
            <v>2620</v>
          </cell>
          <cell r="G445">
            <v>10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200266</v>
          </cell>
          <cell r="M445">
            <v>1460</v>
          </cell>
          <cell r="N445">
            <v>55377</v>
          </cell>
          <cell r="O445">
            <v>66452</v>
          </cell>
          <cell r="P445">
            <v>15500</v>
          </cell>
          <cell r="Q445">
            <v>4650</v>
          </cell>
          <cell r="R445">
            <v>4650</v>
          </cell>
          <cell r="S445">
            <v>0</v>
          </cell>
          <cell r="T445">
            <v>0</v>
          </cell>
          <cell r="U445">
            <v>2159</v>
          </cell>
          <cell r="V445">
            <v>0</v>
          </cell>
          <cell r="W445">
            <v>0</v>
          </cell>
          <cell r="X445" t="str">
            <v>monster/10067.png</v>
          </cell>
          <cell r="Y445">
            <v>1</v>
          </cell>
          <cell r="Z445">
            <v>0</v>
          </cell>
          <cell r="AA445">
            <v>50</v>
          </cell>
          <cell r="AB445">
            <v>25</v>
          </cell>
          <cell r="AC445">
            <v>0.4</v>
          </cell>
        </row>
        <row r="446">
          <cell r="A446">
            <v>1075051</v>
          </cell>
          <cell r="B446">
            <v>2001</v>
          </cell>
          <cell r="C446">
            <v>76</v>
          </cell>
          <cell r="D446" t="str">
            <v>炎之安苏</v>
          </cell>
          <cell r="E446">
            <v>2620</v>
          </cell>
          <cell r="F446">
            <v>2620</v>
          </cell>
          <cell r="G446">
            <v>21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735463</v>
          </cell>
          <cell r="M446">
            <v>1460</v>
          </cell>
          <cell r="N446">
            <v>181074</v>
          </cell>
          <cell r="O446">
            <v>217289</v>
          </cell>
          <cell r="P446">
            <v>15500</v>
          </cell>
          <cell r="Q446">
            <v>4650</v>
          </cell>
          <cell r="R446">
            <v>4650</v>
          </cell>
          <cell r="S446">
            <v>0</v>
          </cell>
          <cell r="T446">
            <v>0</v>
          </cell>
          <cell r="U446">
            <v>2159</v>
          </cell>
          <cell r="V446">
            <v>0</v>
          </cell>
          <cell r="W446">
            <v>0</v>
          </cell>
          <cell r="X446" t="str">
            <v>monster/10096.png</v>
          </cell>
          <cell r="Y446">
            <v>1</v>
          </cell>
          <cell r="Z446">
            <v>0</v>
          </cell>
          <cell r="AA446">
            <v>50</v>
          </cell>
          <cell r="AB446">
            <v>25</v>
          </cell>
          <cell r="AC446">
            <v>0.4</v>
          </cell>
        </row>
        <row r="447">
          <cell r="A447">
            <v>1075061</v>
          </cell>
          <cell r="B447">
            <v>2001</v>
          </cell>
          <cell r="C447">
            <v>77</v>
          </cell>
          <cell r="D447" t="str">
            <v>迅捷的维恩</v>
          </cell>
          <cell r="E447">
            <v>2680</v>
          </cell>
          <cell r="F447">
            <v>2680</v>
          </cell>
          <cell r="G447">
            <v>14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862639</v>
          </cell>
          <cell r="M447">
            <v>1470</v>
          </cell>
          <cell r="N447">
            <v>216763</v>
          </cell>
          <cell r="O447">
            <v>260116</v>
          </cell>
          <cell r="P447">
            <v>16000</v>
          </cell>
          <cell r="Q447">
            <v>4800</v>
          </cell>
          <cell r="R447">
            <v>4800</v>
          </cell>
          <cell r="S447">
            <v>0</v>
          </cell>
          <cell r="T447">
            <v>0</v>
          </cell>
          <cell r="U447">
            <v>1125</v>
          </cell>
          <cell r="V447">
            <v>0</v>
          </cell>
          <cell r="W447">
            <v>0</v>
          </cell>
          <cell r="X447" t="str">
            <v>monster/10073.png</v>
          </cell>
          <cell r="Y447">
            <v>1</v>
          </cell>
          <cell r="Z447">
            <v>0</v>
          </cell>
          <cell r="AA447">
            <v>50</v>
          </cell>
          <cell r="AB447">
            <v>25</v>
          </cell>
          <cell r="AC447">
            <v>0.4</v>
          </cell>
        </row>
        <row r="448">
          <cell r="A448">
            <v>1075071</v>
          </cell>
          <cell r="B448">
            <v>2001</v>
          </cell>
          <cell r="C448">
            <v>77</v>
          </cell>
          <cell r="D448" t="str">
            <v>暮光预言者</v>
          </cell>
          <cell r="E448">
            <v>2680</v>
          </cell>
          <cell r="F448">
            <v>2680</v>
          </cell>
          <cell r="G448">
            <v>13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935279</v>
          </cell>
          <cell r="M448">
            <v>1176</v>
          </cell>
          <cell r="N448">
            <v>170773</v>
          </cell>
          <cell r="O448">
            <v>204928</v>
          </cell>
          <cell r="P448">
            <v>16000</v>
          </cell>
          <cell r="Q448">
            <v>4800</v>
          </cell>
          <cell r="R448">
            <v>4800</v>
          </cell>
          <cell r="S448">
            <v>0</v>
          </cell>
          <cell r="T448">
            <v>0</v>
          </cell>
          <cell r="U448">
            <v>1125</v>
          </cell>
          <cell r="V448">
            <v>0</v>
          </cell>
          <cell r="W448">
            <v>0</v>
          </cell>
          <cell r="X448" t="str">
            <v>monster/10080.png</v>
          </cell>
          <cell r="Y448">
            <v>1</v>
          </cell>
          <cell r="Z448">
            <v>0</v>
          </cell>
          <cell r="AA448">
            <v>50</v>
          </cell>
          <cell r="AB448">
            <v>25</v>
          </cell>
          <cell r="AC448">
            <v>0.4</v>
          </cell>
        </row>
        <row r="449">
          <cell r="A449">
            <v>1075081</v>
          </cell>
          <cell r="B449">
            <v>2001</v>
          </cell>
          <cell r="C449">
            <v>78</v>
          </cell>
          <cell r="D449" t="str">
            <v>卡雷</v>
          </cell>
          <cell r="E449">
            <v>2740</v>
          </cell>
          <cell r="F449">
            <v>2740</v>
          </cell>
          <cell r="G449">
            <v>25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1017894</v>
          </cell>
          <cell r="M449">
            <v>42</v>
          </cell>
          <cell r="N449">
            <v>343218</v>
          </cell>
          <cell r="O449">
            <v>411862</v>
          </cell>
          <cell r="P449">
            <v>16500</v>
          </cell>
          <cell r="Q449">
            <v>4950</v>
          </cell>
          <cell r="R449">
            <v>4950</v>
          </cell>
          <cell r="S449">
            <v>0</v>
          </cell>
          <cell r="T449">
            <v>0</v>
          </cell>
          <cell r="U449">
            <v>2273</v>
          </cell>
          <cell r="V449">
            <v>0</v>
          </cell>
          <cell r="W449">
            <v>0</v>
          </cell>
          <cell r="X449" t="str">
            <v>monster/10056.png</v>
          </cell>
          <cell r="Y449">
            <v>1</v>
          </cell>
          <cell r="Z449">
            <v>0</v>
          </cell>
          <cell r="AA449">
            <v>50</v>
          </cell>
          <cell r="AB449">
            <v>25</v>
          </cell>
          <cell r="AC449">
            <v>0.4</v>
          </cell>
        </row>
        <row r="450">
          <cell r="A450">
            <v>1075091</v>
          </cell>
          <cell r="B450">
            <v>2001</v>
          </cell>
          <cell r="C450">
            <v>79</v>
          </cell>
          <cell r="D450" t="str">
            <v>日光弗雷尔</v>
          </cell>
          <cell r="E450">
            <v>2800</v>
          </cell>
          <cell r="F450">
            <v>2800</v>
          </cell>
          <cell r="G450">
            <v>28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1025342</v>
          </cell>
          <cell r="M450">
            <v>1490</v>
          </cell>
          <cell r="N450">
            <v>289303</v>
          </cell>
          <cell r="O450">
            <v>347164</v>
          </cell>
          <cell r="P450">
            <v>17000</v>
          </cell>
          <cell r="Q450">
            <v>5100</v>
          </cell>
          <cell r="R450">
            <v>5100</v>
          </cell>
          <cell r="S450">
            <v>0</v>
          </cell>
          <cell r="T450">
            <v>0</v>
          </cell>
          <cell r="U450">
            <v>2332</v>
          </cell>
          <cell r="V450">
            <v>0</v>
          </cell>
          <cell r="W450">
            <v>0</v>
          </cell>
          <cell r="X450" t="str">
            <v>monster/10010.png</v>
          </cell>
          <cell r="Y450">
            <v>1</v>
          </cell>
          <cell r="Z450">
            <v>0</v>
          </cell>
          <cell r="AA450">
            <v>50</v>
          </cell>
          <cell r="AB450">
            <v>25</v>
          </cell>
          <cell r="AC450">
            <v>0.4</v>
          </cell>
        </row>
        <row r="451">
          <cell r="A451">
            <v>1080011</v>
          </cell>
          <cell r="B451">
            <v>2001</v>
          </cell>
          <cell r="C451">
            <v>80</v>
          </cell>
          <cell r="D451" t="str">
            <v>坚定的格雷格</v>
          </cell>
          <cell r="E451">
            <v>3000</v>
          </cell>
          <cell r="F451">
            <v>3000</v>
          </cell>
          <cell r="G451">
            <v>3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557379</v>
          </cell>
          <cell r="M451">
            <v>900</v>
          </cell>
          <cell r="N451">
            <v>73452</v>
          </cell>
          <cell r="O451">
            <v>88142</v>
          </cell>
          <cell r="P451">
            <v>17500</v>
          </cell>
          <cell r="Q451">
            <v>5250</v>
          </cell>
          <cell r="R451">
            <v>5250</v>
          </cell>
          <cell r="S451">
            <v>0</v>
          </cell>
          <cell r="T451">
            <v>0</v>
          </cell>
          <cell r="U451">
            <v>2390</v>
          </cell>
          <cell r="V451">
            <v>0</v>
          </cell>
          <cell r="W451">
            <v>0</v>
          </cell>
          <cell r="X451" t="str">
            <v>monster/10119.png</v>
          </cell>
          <cell r="Y451">
            <v>1</v>
          </cell>
          <cell r="Z451">
            <v>0</v>
          </cell>
          <cell r="AA451">
            <v>50</v>
          </cell>
          <cell r="AB451">
            <v>25</v>
          </cell>
          <cell r="AC451">
            <v>0.4</v>
          </cell>
        </row>
        <row r="452">
          <cell r="A452">
            <v>1080021</v>
          </cell>
          <cell r="B452">
            <v>2001</v>
          </cell>
          <cell r="C452">
            <v>80</v>
          </cell>
          <cell r="D452" t="str">
            <v>莱恩的倒影</v>
          </cell>
          <cell r="E452">
            <v>3000</v>
          </cell>
          <cell r="F452">
            <v>3000</v>
          </cell>
          <cell r="G452" t="str">
            <v>1,2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622721</v>
          </cell>
          <cell r="M452">
            <v>1500</v>
          </cell>
          <cell r="N452">
            <v>164590</v>
          </cell>
          <cell r="O452">
            <v>197508</v>
          </cell>
          <cell r="P452">
            <v>17500</v>
          </cell>
          <cell r="Q452">
            <v>5250</v>
          </cell>
          <cell r="R452">
            <v>5250</v>
          </cell>
          <cell r="S452">
            <v>0</v>
          </cell>
          <cell r="T452">
            <v>0</v>
          </cell>
          <cell r="U452">
            <v>1213</v>
          </cell>
          <cell r="V452">
            <v>0</v>
          </cell>
          <cell r="W452">
            <v>0</v>
          </cell>
          <cell r="X452" t="str">
            <v>UI/Program/MercenaryWarrior_1.png</v>
          </cell>
          <cell r="Y452">
            <v>1</v>
          </cell>
          <cell r="Z452">
            <v>0</v>
          </cell>
          <cell r="AA452">
            <v>50</v>
          </cell>
          <cell r="AB452">
            <v>25</v>
          </cell>
          <cell r="AC452">
            <v>0.4</v>
          </cell>
        </row>
        <row r="453">
          <cell r="A453">
            <v>1080031</v>
          </cell>
          <cell r="B453">
            <v>2001</v>
          </cell>
          <cell r="C453">
            <v>81</v>
          </cell>
          <cell r="D453" t="str">
            <v>混乱的玛尔达</v>
          </cell>
          <cell r="E453">
            <v>3200</v>
          </cell>
          <cell r="F453">
            <v>3200</v>
          </cell>
          <cell r="G453" t="str">
            <v>6,19,23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999229</v>
          </cell>
          <cell r="M453">
            <v>2718</v>
          </cell>
          <cell r="N453">
            <v>196020</v>
          </cell>
          <cell r="O453">
            <v>235224</v>
          </cell>
          <cell r="P453">
            <v>18000</v>
          </cell>
          <cell r="Q453">
            <v>5400</v>
          </cell>
          <cell r="R453">
            <v>5400</v>
          </cell>
          <cell r="S453">
            <v>0</v>
          </cell>
          <cell r="T453">
            <v>0</v>
          </cell>
          <cell r="U453">
            <v>2450</v>
          </cell>
          <cell r="V453">
            <v>0</v>
          </cell>
          <cell r="W453">
            <v>0</v>
          </cell>
          <cell r="X453" t="str">
            <v>monster/10086.png</v>
          </cell>
          <cell r="Y453">
            <v>1</v>
          </cell>
          <cell r="Z453">
            <v>0</v>
          </cell>
          <cell r="AA453">
            <v>50</v>
          </cell>
          <cell r="AB453">
            <v>25</v>
          </cell>
          <cell r="AC453">
            <v>0.4</v>
          </cell>
        </row>
        <row r="454">
          <cell r="A454">
            <v>1080041</v>
          </cell>
          <cell r="B454">
            <v>2001</v>
          </cell>
          <cell r="C454">
            <v>81</v>
          </cell>
          <cell r="D454" t="str">
            <v>驯兽师瓦纳</v>
          </cell>
          <cell r="E454">
            <v>3200</v>
          </cell>
          <cell r="F454">
            <v>3200</v>
          </cell>
          <cell r="G454">
            <v>2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590878</v>
          </cell>
          <cell r="M454">
            <v>1208</v>
          </cell>
          <cell r="N454">
            <v>135179</v>
          </cell>
          <cell r="O454">
            <v>162215</v>
          </cell>
          <cell r="P454">
            <v>18000</v>
          </cell>
          <cell r="Q454">
            <v>5400</v>
          </cell>
          <cell r="R454">
            <v>5400</v>
          </cell>
          <cell r="S454">
            <v>0</v>
          </cell>
          <cell r="T454">
            <v>0</v>
          </cell>
          <cell r="U454">
            <v>2450</v>
          </cell>
          <cell r="V454">
            <v>0</v>
          </cell>
          <cell r="W454">
            <v>0</v>
          </cell>
          <cell r="X454" t="str">
            <v>monster/10094.png</v>
          </cell>
          <cell r="Y454">
            <v>1</v>
          </cell>
          <cell r="Z454">
            <v>0</v>
          </cell>
          <cell r="AA454">
            <v>50</v>
          </cell>
          <cell r="AB454">
            <v>25</v>
          </cell>
          <cell r="AC454">
            <v>0.4</v>
          </cell>
        </row>
        <row r="455">
          <cell r="A455">
            <v>1080042</v>
          </cell>
          <cell r="B455">
            <v>2001</v>
          </cell>
          <cell r="C455">
            <v>81</v>
          </cell>
          <cell r="D455" t="str">
            <v>多兰</v>
          </cell>
          <cell r="E455">
            <v>3200</v>
          </cell>
          <cell r="F455">
            <v>3200</v>
          </cell>
          <cell r="G455">
            <v>9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275743</v>
          </cell>
          <cell r="M455">
            <v>1510</v>
          </cell>
          <cell r="N455">
            <v>78854</v>
          </cell>
          <cell r="O455">
            <v>94625</v>
          </cell>
          <cell r="P455">
            <v>18000</v>
          </cell>
          <cell r="Q455">
            <v>5400</v>
          </cell>
          <cell r="R455">
            <v>5400</v>
          </cell>
          <cell r="S455">
            <v>0</v>
          </cell>
          <cell r="T455">
            <v>0</v>
          </cell>
          <cell r="U455">
            <v>2450</v>
          </cell>
          <cell r="V455">
            <v>0</v>
          </cell>
          <cell r="W455">
            <v>0</v>
          </cell>
          <cell r="X455" t="str">
            <v>monster/10061.png</v>
          </cell>
          <cell r="Y455">
            <v>1</v>
          </cell>
          <cell r="Z455">
            <v>0</v>
          </cell>
          <cell r="AA455">
            <v>50</v>
          </cell>
          <cell r="AB455">
            <v>25</v>
          </cell>
          <cell r="AC455">
            <v>0.4</v>
          </cell>
        </row>
        <row r="456">
          <cell r="A456">
            <v>1080043</v>
          </cell>
          <cell r="B456">
            <v>2001</v>
          </cell>
          <cell r="C456">
            <v>81</v>
          </cell>
          <cell r="D456" t="str">
            <v>约翰</v>
          </cell>
          <cell r="E456">
            <v>3200</v>
          </cell>
          <cell r="F456">
            <v>3200</v>
          </cell>
          <cell r="G456">
            <v>10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275743</v>
          </cell>
          <cell r="M456">
            <v>1510</v>
          </cell>
          <cell r="N456">
            <v>78854</v>
          </cell>
          <cell r="O456">
            <v>94625</v>
          </cell>
          <cell r="P456">
            <v>18000</v>
          </cell>
          <cell r="Q456">
            <v>5400</v>
          </cell>
          <cell r="R456">
            <v>5400</v>
          </cell>
          <cell r="S456">
            <v>0</v>
          </cell>
          <cell r="T456">
            <v>0</v>
          </cell>
          <cell r="U456">
            <v>2450</v>
          </cell>
          <cell r="V456">
            <v>0</v>
          </cell>
          <cell r="W456">
            <v>0</v>
          </cell>
          <cell r="X456" t="str">
            <v>monster/10067.png</v>
          </cell>
          <cell r="Y456">
            <v>1</v>
          </cell>
          <cell r="Z456">
            <v>0</v>
          </cell>
          <cell r="AA456">
            <v>50</v>
          </cell>
          <cell r="AB456">
            <v>25</v>
          </cell>
          <cell r="AC456">
            <v>0.4</v>
          </cell>
        </row>
        <row r="457">
          <cell r="A457">
            <v>1080051</v>
          </cell>
          <cell r="B457">
            <v>2001</v>
          </cell>
          <cell r="C457">
            <v>81</v>
          </cell>
          <cell r="D457" t="str">
            <v>炎之安苏</v>
          </cell>
          <cell r="E457">
            <v>3200</v>
          </cell>
          <cell r="F457">
            <v>3200</v>
          </cell>
          <cell r="G457">
            <v>21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1014250</v>
          </cell>
          <cell r="M457">
            <v>1510</v>
          </cell>
          <cell r="N457">
            <v>258949</v>
          </cell>
          <cell r="O457">
            <v>310739</v>
          </cell>
          <cell r="P457">
            <v>18000</v>
          </cell>
          <cell r="Q457">
            <v>5400</v>
          </cell>
          <cell r="R457">
            <v>5400</v>
          </cell>
          <cell r="S457">
            <v>0</v>
          </cell>
          <cell r="T457">
            <v>0</v>
          </cell>
          <cell r="U457">
            <v>2450</v>
          </cell>
          <cell r="V457">
            <v>0</v>
          </cell>
          <cell r="W457">
            <v>0</v>
          </cell>
          <cell r="X457" t="str">
            <v>monster/10096.png</v>
          </cell>
          <cell r="Y457">
            <v>1</v>
          </cell>
          <cell r="Z457">
            <v>0</v>
          </cell>
          <cell r="AA457">
            <v>50</v>
          </cell>
          <cell r="AB457">
            <v>25</v>
          </cell>
          <cell r="AC457">
            <v>0.4</v>
          </cell>
        </row>
        <row r="458">
          <cell r="A458">
            <v>1080061</v>
          </cell>
          <cell r="B458">
            <v>2001</v>
          </cell>
          <cell r="C458">
            <v>82</v>
          </cell>
          <cell r="D458" t="str">
            <v>迅捷的维恩</v>
          </cell>
          <cell r="E458">
            <v>3400</v>
          </cell>
          <cell r="F458">
            <v>3400</v>
          </cell>
          <cell r="G458">
            <v>14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1197800</v>
          </cell>
          <cell r="M458">
            <v>1520</v>
          </cell>
          <cell r="N458">
            <v>311761</v>
          </cell>
          <cell r="O458">
            <v>374113</v>
          </cell>
          <cell r="P458">
            <v>18500</v>
          </cell>
          <cell r="Q458">
            <v>5550</v>
          </cell>
          <cell r="R458">
            <v>5550</v>
          </cell>
          <cell r="S458">
            <v>0</v>
          </cell>
          <cell r="T458">
            <v>0</v>
          </cell>
          <cell r="U458">
            <v>1274</v>
          </cell>
          <cell r="V458">
            <v>0</v>
          </cell>
          <cell r="W458">
            <v>0</v>
          </cell>
          <cell r="X458" t="str">
            <v>monster/10073.png</v>
          </cell>
          <cell r="Y458">
            <v>1</v>
          </cell>
          <cell r="Z458">
            <v>0</v>
          </cell>
          <cell r="AA458">
            <v>50</v>
          </cell>
          <cell r="AB458">
            <v>25</v>
          </cell>
          <cell r="AC458">
            <v>0.4</v>
          </cell>
        </row>
        <row r="459">
          <cell r="A459">
            <v>1080071</v>
          </cell>
          <cell r="B459">
            <v>2001</v>
          </cell>
          <cell r="C459">
            <v>82</v>
          </cell>
          <cell r="D459" t="str">
            <v>暮光预言者</v>
          </cell>
          <cell r="E459">
            <v>3400</v>
          </cell>
          <cell r="F459">
            <v>3400</v>
          </cell>
          <cell r="G459">
            <v>13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1300262</v>
          </cell>
          <cell r="M459">
            <v>1216</v>
          </cell>
          <cell r="N459">
            <v>246214</v>
          </cell>
          <cell r="O459">
            <v>295457</v>
          </cell>
          <cell r="P459">
            <v>18500</v>
          </cell>
          <cell r="Q459">
            <v>5550</v>
          </cell>
          <cell r="R459">
            <v>5550</v>
          </cell>
          <cell r="S459">
            <v>0</v>
          </cell>
          <cell r="T459">
            <v>0</v>
          </cell>
          <cell r="U459">
            <v>1274</v>
          </cell>
          <cell r="V459">
            <v>0</v>
          </cell>
          <cell r="W459">
            <v>0</v>
          </cell>
          <cell r="X459" t="str">
            <v>monster/10080.png</v>
          </cell>
          <cell r="Y459">
            <v>1</v>
          </cell>
          <cell r="Z459">
            <v>0</v>
          </cell>
          <cell r="AA459">
            <v>50</v>
          </cell>
          <cell r="AB459">
            <v>25</v>
          </cell>
          <cell r="AC459">
            <v>0.4</v>
          </cell>
        </row>
        <row r="460">
          <cell r="A460">
            <v>1080081</v>
          </cell>
          <cell r="B460">
            <v>2001</v>
          </cell>
          <cell r="C460">
            <v>83</v>
          </cell>
          <cell r="D460" t="str">
            <v>卡雷</v>
          </cell>
          <cell r="E460">
            <v>3600</v>
          </cell>
          <cell r="F460">
            <v>3600</v>
          </cell>
          <cell r="G460">
            <v>25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1422822</v>
          </cell>
          <cell r="M460">
            <v>42</v>
          </cell>
          <cell r="N460">
            <v>496041</v>
          </cell>
          <cell r="O460">
            <v>595249</v>
          </cell>
          <cell r="P460">
            <v>19000</v>
          </cell>
          <cell r="Q460">
            <v>5700</v>
          </cell>
          <cell r="R460">
            <v>5700</v>
          </cell>
          <cell r="S460">
            <v>0</v>
          </cell>
          <cell r="T460">
            <v>0</v>
          </cell>
          <cell r="U460">
            <v>2572</v>
          </cell>
          <cell r="V460">
            <v>0</v>
          </cell>
          <cell r="W460">
            <v>0</v>
          </cell>
          <cell r="X460" t="str">
            <v>monster/10056.png</v>
          </cell>
          <cell r="Y460">
            <v>1</v>
          </cell>
          <cell r="Z460">
            <v>0</v>
          </cell>
          <cell r="AA460">
            <v>50</v>
          </cell>
          <cell r="AB460">
            <v>25</v>
          </cell>
          <cell r="AC460">
            <v>0.4</v>
          </cell>
        </row>
        <row r="461">
          <cell r="A461">
            <v>1080091</v>
          </cell>
          <cell r="B461">
            <v>2001</v>
          </cell>
          <cell r="C461">
            <v>84</v>
          </cell>
          <cell r="D461" t="str">
            <v>日光弗雷尔</v>
          </cell>
          <cell r="E461">
            <v>3800</v>
          </cell>
          <cell r="F461">
            <v>3800</v>
          </cell>
          <cell r="G461">
            <v>28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1440896</v>
          </cell>
          <cell r="M461">
            <v>1540</v>
          </cell>
          <cell r="N461">
            <v>419475</v>
          </cell>
          <cell r="O461">
            <v>503370</v>
          </cell>
          <cell r="P461">
            <v>19500</v>
          </cell>
          <cell r="Q461">
            <v>5850</v>
          </cell>
          <cell r="R461">
            <v>5850</v>
          </cell>
          <cell r="S461">
            <v>0</v>
          </cell>
          <cell r="T461">
            <v>0</v>
          </cell>
          <cell r="U461">
            <v>2634</v>
          </cell>
          <cell r="V461">
            <v>0</v>
          </cell>
          <cell r="W461">
            <v>0</v>
          </cell>
          <cell r="X461" t="str">
            <v>monster/10010.png</v>
          </cell>
          <cell r="Y461">
            <v>1</v>
          </cell>
          <cell r="Z461">
            <v>0</v>
          </cell>
          <cell r="AA461">
            <v>50</v>
          </cell>
          <cell r="AB461">
            <v>25</v>
          </cell>
          <cell r="AC461">
            <v>0.4</v>
          </cell>
        </row>
        <row r="462">
          <cell r="A462">
            <v>1085011</v>
          </cell>
          <cell r="B462">
            <v>2001</v>
          </cell>
          <cell r="C462">
            <v>85</v>
          </cell>
          <cell r="D462" t="str">
            <v>疾风克鲁</v>
          </cell>
          <cell r="E462">
            <v>4000</v>
          </cell>
          <cell r="F462">
            <v>4000</v>
          </cell>
          <cell r="G462">
            <v>19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951544</v>
          </cell>
          <cell r="M462">
            <v>1550</v>
          </cell>
          <cell r="N462">
            <v>180327</v>
          </cell>
          <cell r="O462">
            <v>216392</v>
          </cell>
          <cell r="P462">
            <v>20000</v>
          </cell>
          <cell r="Q462">
            <v>6000</v>
          </cell>
          <cell r="R462">
            <v>6000</v>
          </cell>
          <cell r="S462">
            <v>0</v>
          </cell>
          <cell r="T462">
            <v>0</v>
          </cell>
          <cell r="U462">
            <v>2697</v>
          </cell>
          <cell r="V462">
            <v>0</v>
          </cell>
          <cell r="W462">
            <v>0</v>
          </cell>
          <cell r="X462" t="str">
            <v>monster/10134.png</v>
          </cell>
          <cell r="Y462">
            <v>1</v>
          </cell>
          <cell r="Z462">
            <v>0</v>
          </cell>
          <cell r="AA462">
            <v>50</v>
          </cell>
          <cell r="AB462">
            <v>25</v>
          </cell>
          <cell r="AC462">
            <v>0.4</v>
          </cell>
        </row>
        <row r="463">
          <cell r="A463">
            <v>1085021</v>
          </cell>
          <cell r="B463">
            <v>2001</v>
          </cell>
          <cell r="C463">
            <v>85</v>
          </cell>
          <cell r="D463" t="str">
            <v>拨弄的赛亚</v>
          </cell>
          <cell r="E463">
            <v>4000</v>
          </cell>
          <cell r="F463">
            <v>4000</v>
          </cell>
          <cell r="G463" t="str">
            <v>17,18,8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1064329</v>
          </cell>
          <cell r="M463">
            <v>4650</v>
          </cell>
          <cell r="N463">
            <v>278673</v>
          </cell>
          <cell r="O463">
            <v>334408</v>
          </cell>
          <cell r="P463">
            <v>20000</v>
          </cell>
          <cell r="Q463">
            <v>6000</v>
          </cell>
          <cell r="R463">
            <v>6000</v>
          </cell>
          <cell r="S463">
            <v>0</v>
          </cell>
          <cell r="T463">
            <v>0</v>
          </cell>
          <cell r="U463">
            <v>2697</v>
          </cell>
          <cell r="V463">
            <v>0</v>
          </cell>
          <cell r="W463">
            <v>0</v>
          </cell>
          <cell r="X463" t="str">
            <v>monster/10125.png</v>
          </cell>
          <cell r="Y463">
            <v>1</v>
          </cell>
          <cell r="Z463">
            <v>0</v>
          </cell>
          <cell r="AA463">
            <v>50</v>
          </cell>
          <cell r="AB463">
            <v>25</v>
          </cell>
          <cell r="AC463">
            <v>0.4</v>
          </cell>
        </row>
        <row r="464">
          <cell r="A464">
            <v>1085031</v>
          </cell>
          <cell r="B464">
            <v>2001</v>
          </cell>
          <cell r="C464">
            <v>86</v>
          </cell>
          <cell r="D464" t="str">
            <v>法力风暴</v>
          </cell>
          <cell r="E464">
            <v>4200</v>
          </cell>
          <cell r="F464">
            <v>4200</v>
          </cell>
          <cell r="G464" t="str">
            <v>25,30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829303</v>
          </cell>
          <cell r="M464">
            <v>82930</v>
          </cell>
          <cell r="N464">
            <v>488061</v>
          </cell>
          <cell r="O464">
            <v>585673</v>
          </cell>
          <cell r="P464">
            <v>21000</v>
          </cell>
          <cell r="Q464">
            <v>6400</v>
          </cell>
          <cell r="R464">
            <v>6400</v>
          </cell>
          <cell r="S464">
            <v>0</v>
          </cell>
          <cell r="T464">
            <v>0</v>
          </cell>
          <cell r="U464">
            <v>2760</v>
          </cell>
          <cell r="V464">
            <v>0</v>
          </cell>
          <cell r="W464">
            <v>0</v>
          </cell>
          <cell r="X464" t="str">
            <v>monster/10061.png</v>
          </cell>
          <cell r="Y464">
            <v>1</v>
          </cell>
          <cell r="Z464">
            <v>0</v>
          </cell>
          <cell r="AA464">
            <v>50</v>
          </cell>
          <cell r="AB464">
            <v>25</v>
          </cell>
          <cell r="AC464">
            <v>0.4</v>
          </cell>
        </row>
        <row r="465">
          <cell r="A465">
            <v>1085041</v>
          </cell>
          <cell r="B465">
            <v>2001</v>
          </cell>
          <cell r="C465">
            <v>86</v>
          </cell>
          <cell r="D465" t="str">
            <v>火舞者</v>
          </cell>
          <cell r="E465">
            <v>4200</v>
          </cell>
          <cell r="F465">
            <v>4200</v>
          </cell>
          <cell r="G465">
            <v>29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1256804</v>
          </cell>
          <cell r="M465">
            <v>1560</v>
          </cell>
          <cell r="N465">
            <v>372498</v>
          </cell>
          <cell r="O465">
            <v>446998</v>
          </cell>
          <cell r="P465">
            <v>21000</v>
          </cell>
          <cell r="Q465">
            <v>6400</v>
          </cell>
          <cell r="R465">
            <v>6400</v>
          </cell>
          <cell r="S465">
            <v>0</v>
          </cell>
          <cell r="T465">
            <v>0</v>
          </cell>
          <cell r="U465">
            <v>2760</v>
          </cell>
          <cell r="V465">
            <v>0</v>
          </cell>
          <cell r="W465">
            <v>0</v>
          </cell>
          <cell r="X465" t="str">
            <v>monster/10116.png</v>
          </cell>
          <cell r="Y465">
            <v>1</v>
          </cell>
          <cell r="Z465">
            <v>0</v>
          </cell>
          <cell r="AA465">
            <v>50</v>
          </cell>
          <cell r="AB465">
            <v>25</v>
          </cell>
          <cell r="AC465">
            <v>0.4</v>
          </cell>
        </row>
        <row r="466">
          <cell r="A466">
            <v>1085051</v>
          </cell>
          <cell r="B466">
            <v>2001</v>
          </cell>
          <cell r="C466">
            <v>86</v>
          </cell>
          <cell r="D466" t="str">
            <v>血誓审判者</v>
          </cell>
          <cell r="E466">
            <v>4200</v>
          </cell>
          <cell r="F466">
            <v>4200</v>
          </cell>
          <cell r="G466">
            <v>5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645798</v>
          </cell>
          <cell r="M466">
            <v>1560</v>
          </cell>
          <cell r="N466">
            <v>119405</v>
          </cell>
          <cell r="O466">
            <v>143286</v>
          </cell>
          <cell r="P466">
            <v>21000</v>
          </cell>
          <cell r="Q466">
            <v>6400</v>
          </cell>
          <cell r="R466">
            <v>6400</v>
          </cell>
          <cell r="S466">
            <v>0</v>
          </cell>
          <cell r="T466">
            <v>0</v>
          </cell>
          <cell r="U466">
            <v>2760</v>
          </cell>
          <cell r="V466">
            <v>0</v>
          </cell>
          <cell r="W466">
            <v>0</v>
          </cell>
          <cell r="X466" t="str">
            <v>monster/10083.png</v>
          </cell>
          <cell r="Y466">
            <v>1</v>
          </cell>
          <cell r="Z466">
            <v>0</v>
          </cell>
          <cell r="AA466">
            <v>50</v>
          </cell>
          <cell r="AB466">
            <v>25</v>
          </cell>
          <cell r="AC466">
            <v>0.4</v>
          </cell>
        </row>
        <row r="467">
          <cell r="A467">
            <v>1085052</v>
          </cell>
          <cell r="B467">
            <v>2001</v>
          </cell>
          <cell r="C467">
            <v>86</v>
          </cell>
          <cell r="D467" t="str">
            <v>血誓预言者</v>
          </cell>
          <cell r="E467">
            <v>4200</v>
          </cell>
          <cell r="F467">
            <v>4200</v>
          </cell>
          <cell r="G467">
            <v>2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602745</v>
          </cell>
          <cell r="M467">
            <v>1248</v>
          </cell>
          <cell r="N467">
            <v>127934</v>
          </cell>
          <cell r="O467">
            <v>153521</v>
          </cell>
          <cell r="P467">
            <v>21000</v>
          </cell>
          <cell r="Q467">
            <v>6400</v>
          </cell>
          <cell r="R467">
            <v>6400</v>
          </cell>
          <cell r="S467">
            <v>0</v>
          </cell>
          <cell r="T467">
            <v>0</v>
          </cell>
          <cell r="U467">
            <v>2760</v>
          </cell>
          <cell r="V467">
            <v>0</v>
          </cell>
          <cell r="W467">
            <v>0</v>
          </cell>
          <cell r="X467" t="str">
            <v>monster/10082.png</v>
          </cell>
          <cell r="Y467">
            <v>1</v>
          </cell>
          <cell r="Z467">
            <v>0</v>
          </cell>
          <cell r="AA467">
            <v>50</v>
          </cell>
          <cell r="AB467">
            <v>25</v>
          </cell>
          <cell r="AC467">
            <v>0.4</v>
          </cell>
        </row>
        <row r="468">
          <cell r="A468">
            <v>1085053</v>
          </cell>
          <cell r="B468">
            <v>2001</v>
          </cell>
          <cell r="C468">
            <v>86</v>
          </cell>
          <cell r="D468" t="str">
            <v>血誓召唤者</v>
          </cell>
          <cell r="E468">
            <v>4200</v>
          </cell>
          <cell r="F468">
            <v>4200</v>
          </cell>
          <cell r="G468">
            <v>26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631447</v>
          </cell>
          <cell r="M468">
            <v>1560</v>
          </cell>
          <cell r="N468">
            <v>153520</v>
          </cell>
          <cell r="O468">
            <v>184224</v>
          </cell>
          <cell r="P468">
            <v>21000</v>
          </cell>
          <cell r="Q468">
            <v>6400</v>
          </cell>
          <cell r="R468">
            <v>6400</v>
          </cell>
          <cell r="S468">
            <v>0</v>
          </cell>
          <cell r="T468">
            <v>0</v>
          </cell>
          <cell r="U468">
            <v>2760</v>
          </cell>
          <cell r="V468">
            <v>0</v>
          </cell>
          <cell r="W468">
            <v>0</v>
          </cell>
          <cell r="X468" t="str">
            <v>monster/10081.png</v>
          </cell>
          <cell r="Y468">
            <v>1</v>
          </cell>
          <cell r="Z468">
            <v>0</v>
          </cell>
          <cell r="AA468">
            <v>50</v>
          </cell>
          <cell r="AB468">
            <v>25</v>
          </cell>
          <cell r="AC468">
            <v>0.4</v>
          </cell>
        </row>
        <row r="469">
          <cell r="A469">
            <v>1085054</v>
          </cell>
          <cell r="B469">
            <v>2001</v>
          </cell>
          <cell r="C469">
            <v>86</v>
          </cell>
          <cell r="D469" t="str">
            <v>血誓领主</v>
          </cell>
          <cell r="E469">
            <v>4200</v>
          </cell>
          <cell r="F469">
            <v>4200</v>
          </cell>
          <cell r="G469">
            <v>14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617096</v>
          </cell>
          <cell r="M469">
            <v>1560</v>
          </cell>
          <cell r="N469">
            <v>153520</v>
          </cell>
          <cell r="O469">
            <v>184224</v>
          </cell>
          <cell r="P469">
            <v>21000</v>
          </cell>
          <cell r="Q469">
            <v>6400</v>
          </cell>
          <cell r="R469">
            <v>6400</v>
          </cell>
          <cell r="S469">
            <v>0</v>
          </cell>
          <cell r="T469">
            <v>0</v>
          </cell>
          <cell r="U469">
            <v>2760</v>
          </cell>
          <cell r="V469">
            <v>0</v>
          </cell>
          <cell r="W469">
            <v>0</v>
          </cell>
          <cell r="X469" t="str">
            <v>monster/10072.png</v>
          </cell>
          <cell r="Y469">
            <v>1</v>
          </cell>
          <cell r="Z469">
            <v>0</v>
          </cell>
          <cell r="AA469">
            <v>50</v>
          </cell>
          <cell r="AB469">
            <v>25</v>
          </cell>
          <cell r="AC469">
            <v>0.4</v>
          </cell>
        </row>
        <row r="470">
          <cell r="A470">
            <v>1085061</v>
          </cell>
          <cell r="B470">
            <v>2001</v>
          </cell>
          <cell r="C470">
            <v>87</v>
          </cell>
          <cell r="D470" t="str">
            <v>舞钢者拜伦</v>
          </cell>
          <cell r="E470">
            <v>4400</v>
          </cell>
          <cell r="F470">
            <v>4400</v>
          </cell>
          <cell r="G470">
            <v>8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1581905</v>
          </cell>
          <cell r="M470">
            <v>1569.9999999999998</v>
          </cell>
          <cell r="N470">
            <v>408577</v>
          </cell>
          <cell r="O470">
            <v>490292</v>
          </cell>
          <cell r="P470">
            <v>22000</v>
          </cell>
          <cell r="Q470">
            <v>6800</v>
          </cell>
          <cell r="R470">
            <v>6800</v>
          </cell>
          <cell r="S470">
            <v>0</v>
          </cell>
          <cell r="T470">
            <v>0</v>
          </cell>
          <cell r="U470">
            <v>2824</v>
          </cell>
          <cell r="V470">
            <v>0</v>
          </cell>
          <cell r="W470">
            <v>0</v>
          </cell>
          <cell r="X470" t="str">
            <v>monster/10084.png</v>
          </cell>
          <cell r="Y470">
            <v>1</v>
          </cell>
          <cell r="Z470">
            <v>0</v>
          </cell>
          <cell r="AA470">
            <v>50</v>
          </cell>
          <cell r="AB470">
            <v>25</v>
          </cell>
          <cell r="AC470">
            <v>0.4</v>
          </cell>
        </row>
        <row r="471">
          <cell r="A471">
            <v>1085071</v>
          </cell>
          <cell r="B471">
            <v>2001</v>
          </cell>
          <cell r="C471">
            <v>87</v>
          </cell>
          <cell r="D471" t="str">
            <v>风暴之王</v>
          </cell>
          <cell r="E471">
            <v>4400</v>
          </cell>
          <cell r="F471">
            <v>4400</v>
          </cell>
          <cell r="G471">
            <v>6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1580593</v>
          </cell>
          <cell r="M471">
            <v>1569.9999999999998</v>
          </cell>
          <cell r="N471">
            <v>459932</v>
          </cell>
          <cell r="O471">
            <v>551918</v>
          </cell>
          <cell r="P471">
            <v>22000</v>
          </cell>
          <cell r="Q471">
            <v>6800</v>
          </cell>
          <cell r="R471">
            <v>6800</v>
          </cell>
          <cell r="S471">
            <v>0</v>
          </cell>
          <cell r="T471">
            <v>0</v>
          </cell>
          <cell r="U471">
            <v>2824</v>
          </cell>
          <cell r="V471">
            <v>0</v>
          </cell>
          <cell r="W471">
            <v>0</v>
          </cell>
          <cell r="X471" t="str">
            <v>monster/10138.png</v>
          </cell>
          <cell r="Y471">
            <v>1</v>
          </cell>
          <cell r="Z471">
            <v>0</v>
          </cell>
          <cell r="AA471">
            <v>50</v>
          </cell>
          <cell r="AB471">
            <v>25</v>
          </cell>
          <cell r="AC471">
            <v>0.4</v>
          </cell>
        </row>
        <row r="472">
          <cell r="A472">
            <v>1085081</v>
          </cell>
          <cell r="B472">
            <v>2001</v>
          </cell>
          <cell r="C472">
            <v>88</v>
          </cell>
          <cell r="D472" t="str">
            <v>雷伊战争使者</v>
          </cell>
          <cell r="E472">
            <v>4600</v>
          </cell>
          <cell r="F472">
            <v>4600</v>
          </cell>
          <cell r="G472">
            <v>7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1848765</v>
          </cell>
          <cell r="M472">
            <v>1580</v>
          </cell>
          <cell r="N472">
            <v>647178</v>
          </cell>
          <cell r="O472">
            <v>776614</v>
          </cell>
          <cell r="P472">
            <v>23000</v>
          </cell>
          <cell r="Q472">
            <v>7200</v>
          </cell>
          <cell r="R472">
            <v>7200</v>
          </cell>
          <cell r="S472">
            <v>0</v>
          </cell>
          <cell r="T472">
            <v>0</v>
          </cell>
          <cell r="U472">
            <v>2889</v>
          </cell>
          <cell r="V472">
            <v>0</v>
          </cell>
          <cell r="W472">
            <v>0</v>
          </cell>
          <cell r="X472" t="str">
            <v>monster/10127.png</v>
          </cell>
          <cell r="Y472">
            <v>1</v>
          </cell>
          <cell r="Z472">
            <v>0</v>
          </cell>
          <cell r="AA472">
            <v>50</v>
          </cell>
          <cell r="AB472">
            <v>25</v>
          </cell>
          <cell r="AC472">
            <v>0.4</v>
          </cell>
        </row>
        <row r="473">
          <cell r="A473">
            <v>1085091</v>
          </cell>
          <cell r="B473">
            <v>2001</v>
          </cell>
          <cell r="C473">
            <v>89</v>
          </cell>
          <cell r="D473" t="str">
            <v>暴君泰伦</v>
          </cell>
          <cell r="E473">
            <v>4800</v>
          </cell>
          <cell r="F473">
            <v>4800</v>
          </cell>
          <cell r="G473" t="str">
            <v>10,9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2355699</v>
          </cell>
          <cell r="M473">
            <v>4770</v>
          </cell>
          <cell r="N473">
            <v>909422</v>
          </cell>
          <cell r="O473">
            <v>1091306</v>
          </cell>
          <cell r="P473">
            <v>24000</v>
          </cell>
          <cell r="Q473">
            <v>7600</v>
          </cell>
          <cell r="R473">
            <v>7600</v>
          </cell>
          <cell r="S473">
            <v>0</v>
          </cell>
          <cell r="T473">
            <v>4235</v>
          </cell>
          <cell r="U473">
            <v>3230</v>
          </cell>
          <cell r="V473">
            <v>0</v>
          </cell>
          <cell r="W473">
            <v>0</v>
          </cell>
          <cell r="X473" t="str">
            <v>monster/10140.png</v>
          </cell>
          <cell r="Y473">
            <v>1</v>
          </cell>
          <cell r="Z473">
            <v>0</v>
          </cell>
          <cell r="AA473">
            <v>50</v>
          </cell>
          <cell r="AB473">
            <v>25</v>
          </cell>
          <cell r="AC473">
            <v>0.4</v>
          </cell>
        </row>
        <row r="474">
          <cell r="A474">
            <v>1090011</v>
          </cell>
          <cell r="B474">
            <v>2001</v>
          </cell>
          <cell r="C474">
            <v>90</v>
          </cell>
          <cell r="D474" t="str">
            <v>疾风克鲁</v>
          </cell>
          <cell r="E474">
            <v>5000</v>
          </cell>
          <cell r="F474">
            <v>5000</v>
          </cell>
          <cell r="G474">
            <v>19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1176985</v>
          </cell>
          <cell r="M474">
            <v>1600</v>
          </cell>
          <cell r="N474">
            <v>231786</v>
          </cell>
          <cell r="O474">
            <v>278143</v>
          </cell>
          <cell r="P474">
            <v>25000</v>
          </cell>
          <cell r="Q474">
            <v>8000</v>
          </cell>
          <cell r="R474">
            <v>8000</v>
          </cell>
          <cell r="S474">
            <v>0</v>
          </cell>
          <cell r="T474">
            <v>0</v>
          </cell>
          <cell r="U474">
            <v>3021</v>
          </cell>
          <cell r="V474">
            <v>0</v>
          </cell>
          <cell r="W474">
            <v>0</v>
          </cell>
          <cell r="X474" t="str">
            <v>monster/10134.png</v>
          </cell>
          <cell r="Y474">
            <v>1</v>
          </cell>
          <cell r="Z474">
            <v>0</v>
          </cell>
          <cell r="AA474">
            <v>50</v>
          </cell>
          <cell r="AB474">
            <v>25</v>
          </cell>
          <cell r="AC474">
            <v>0.4</v>
          </cell>
        </row>
        <row r="475">
          <cell r="A475">
            <v>1090021</v>
          </cell>
          <cell r="B475">
            <v>2001</v>
          </cell>
          <cell r="C475">
            <v>90</v>
          </cell>
          <cell r="D475" t="str">
            <v>拨弄的赛亚</v>
          </cell>
          <cell r="E475">
            <v>5000</v>
          </cell>
          <cell r="F475">
            <v>5000</v>
          </cell>
          <cell r="G475" t="str">
            <v>17,18,8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1317797</v>
          </cell>
          <cell r="M475">
            <v>4800</v>
          </cell>
          <cell r="N475">
            <v>361881</v>
          </cell>
          <cell r="O475">
            <v>434257</v>
          </cell>
          <cell r="P475">
            <v>25000</v>
          </cell>
          <cell r="Q475">
            <v>8000</v>
          </cell>
          <cell r="R475">
            <v>8000</v>
          </cell>
          <cell r="S475">
            <v>0</v>
          </cell>
          <cell r="T475">
            <v>0</v>
          </cell>
          <cell r="U475">
            <v>3021</v>
          </cell>
          <cell r="V475">
            <v>0</v>
          </cell>
          <cell r="W475">
            <v>0</v>
          </cell>
          <cell r="X475" t="str">
            <v>monster/10125.png</v>
          </cell>
          <cell r="Y475">
            <v>1</v>
          </cell>
          <cell r="Z475">
            <v>0</v>
          </cell>
          <cell r="AA475">
            <v>50</v>
          </cell>
          <cell r="AB475">
            <v>25</v>
          </cell>
          <cell r="AC475">
            <v>0.4</v>
          </cell>
        </row>
        <row r="476">
          <cell r="A476">
            <v>1090031</v>
          </cell>
          <cell r="B476">
            <v>2001</v>
          </cell>
          <cell r="C476">
            <v>91</v>
          </cell>
          <cell r="D476" t="str">
            <v>法力风暴</v>
          </cell>
          <cell r="E476">
            <v>5200</v>
          </cell>
          <cell r="F476">
            <v>5200</v>
          </cell>
          <cell r="G476" t="str">
            <v>25,30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1037050</v>
          </cell>
          <cell r="M476">
            <v>103705</v>
          </cell>
          <cell r="N476">
            <v>642496</v>
          </cell>
          <cell r="O476">
            <v>770995</v>
          </cell>
          <cell r="P476">
            <v>26000</v>
          </cell>
          <cell r="Q476">
            <v>8400</v>
          </cell>
          <cell r="R476">
            <v>8400</v>
          </cell>
          <cell r="S476">
            <v>0</v>
          </cell>
          <cell r="T476">
            <v>0</v>
          </cell>
          <cell r="U476">
            <v>3088</v>
          </cell>
          <cell r="V476">
            <v>0</v>
          </cell>
          <cell r="W476">
            <v>0</v>
          </cell>
          <cell r="X476" t="str">
            <v>monster/10061.png</v>
          </cell>
          <cell r="Y476">
            <v>1</v>
          </cell>
          <cell r="Z476">
            <v>0</v>
          </cell>
          <cell r="AA476">
            <v>50</v>
          </cell>
          <cell r="AB476">
            <v>25</v>
          </cell>
          <cell r="AC476">
            <v>0.4</v>
          </cell>
        </row>
        <row r="477">
          <cell r="A477">
            <v>1090041</v>
          </cell>
          <cell r="B477">
            <v>2001</v>
          </cell>
          <cell r="C477">
            <v>91</v>
          </cell>
          <cell r="D477" t="str">
            <v>火舞者</v>
          </cell>
          <cell r="E477">
            <v>5200</v>
          </cell>
          <cell r="F477">
            <v>5200</v>
          </cell>
          <cell r="G477">
            <v>29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1572461</v>
          </cell>
          <cell r="M477">
            <v>1609.9999999999998</v>
          </cell>
          <cell r="N477">
            <v>491713</v>
          </cell>
          <cell r="O477">
            <v>590056</v>
          </cell>
          <cell r="P477">
            <v>26000</v>
          </cell>
          <cell r="Q477">
            <v>8400</v>
          </cell>
          <cell r="R477">
            <v>8400</v>
          </cell>
          <cell r="S477">
            <v>0</v>
          </cell>
          <cell r="T477">
            <v>0</v>
          </cell>
          <cell r="U477">
            <v>3088</v>
          </cell>
          <cell r="V477">
            <v>0</v>
          </cell>
          <cell r="W477">
            <v>0</v>
          </cell>
          <cell r="X477" t="str">
            <v>monster/10116.png</v>
          </cell>
          <cell r="Y477">
            <v>1</v>
          </cell>
          <cell r="Z477">
            <v>0</v>
          </cell>
          <cell r="AA477">
            <v>50</v>
          </cell>
          <cell r="AB477">
            <v>25</v>
          </cell>
          <cell r="AC477">
            <v>0.4</v>
          </cell>
        </row>
        <row r="478">
          <cell r="A478">
            <v>1090051</v>
          </cell>
          <cell r="B478">
            <v>2001</v>
          </cell>
          <cell r="C478">
            <v>91</v>
          </cell>
          <cell r="D478" t="str">
            <v>血誓审判者</v>
          </cell>
          <cell r="E478">
            <v>5200</v>
          </cell>
          <cell r="F478">
            <v>5200</v>
          </cell>
          <cell r="G478">
            <v>5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808415</v>
          </cell>
          <cell r="M478">
            <v>1609.9999999999998</v>
          </cell>
          <cell r="N478">
            <v>158053</v>
          </cell>
          <cell r="O478">
            <v>189664</v>
          </cell>
          <cell r="P478">
            <v>26000</v>
          </cell>
          <cell r="Q478">
            <v>8400</v>
          </cell>
          <cell r="R478">
            <v>8400</v>
          </cell>
          <cell r="S478">
            <v>0</v>
          </cell>
          <cell r="T478">
            <v>0</v>
          </cell>
          <cell r="U478">
            <v>3088</v>
          </cell>
          <cell r="V478">
            <v>0</v>
          </cell>
          <cell r="W478">
            <v>0</v>
          </cell>
          <cell r="X478" t="str">
            <v>monster/10083.png</v>
          </cell>
          <cell r="Y478">
            <v>1</v>
          </cell>
          <cell r="Z478">
            <v>0</v>
          </cell>
          <cell r="AA478">
            <v>50</v>
          </cell>
          <cell r="AB478">
            <v>25</v>
          </cell>
          <cell r="AC478">
            <v>0.4</v>
          </cell>
        </row>
        <row r="479">
          <cell r="A479">
            <v>1090052</v>
          </cell>
          <cell r="B479">
            <v>2001</v>
          </cell>
          <cell r="C479">
            <v>91</v>
          </cell>
          <cell r="D479" t="str">
            <v>血誓预言者</v>
          </cell>
          <cell r="E479">
            <v>5200</v>
          </cell>
          <cell r="F479">
            <v>5200</v>
          </cell>
          <cell r="G479">
            <v>2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754521</v>
          </cell>
          <cell r="M479">
            <v>1288</v>
          </cell>
          <cell r="N479">
            <v>169342</v>
          </cell>
          <cell r="O479">
            <v>203210</v>
          </cell>
          <cell r="P479">
            <v>26000</v>
          </cell>
          <cell r="Q479">
            <v>8400</v>
          </cell>
          <cell r="R479">
            <v>8400</v>
          </cell>
          <cell r="S479">
            <v>0</v>
          </cell>
          <cell r="T479">
            <v>0</v>
          </cell>
          <cell r="U479">
            <v>3088</v>
          </cell>
          <cell r="V479">
            <v>0</v>
          </cell>
          <cell r="W479">
            <v>0</v>
          </cell>
          <cell r="X479" t="str">
            <v>monster/10082.png</v>
          </cell>
          <cell r="Y479">
            <v>1</v>
          </cell>
          <cell r="Z479">
            <v>0</v>
          </cell>
          <cell r="AA479">
            <v>50</v>
          </cell>
          <cell r="AB479">
            <v>25</v>
          </cell>
          <cell r="AC479">
            <v>0.4</v>
          </cell>
        </row>
        <row r="480">
          <cell r="A480">
            <v>1090053</v>
          </cell>
          <cell r="B480">
            <v>2001</v>
          </cell>
          <cell r="C480">
            <v>91</v>
          </cell>
          <cell r="D480" t="str">
            <v>血誓召唤者</v>
          </cell>
          <cell r="E480">
            <v>5200</v>
          </cell>
          <cell r="F480">
            <v>5200</v>
          </cell>
          <cell r="G480">
            <v>26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790450</v>
          </cell>
          <cell r="M480">
            <v>1609.9999999999998</v>
          </cell>
          <cell r="N480">
            <v>203211</v>
          </cell>
          <cell r="O480">
            <v>243853</v>
          </cell>
          <cell r="P480">
            <v>26000</v>
          </cell>
          <cell r="Q480">
            <v>8400</v>
          </cell>
          <cell r="R480">
            <v>8400</v>
          </cell>
          <cell r="S480">
            <v>0</v>
          </cell>
          <cell r="T480">
            <v>0</v>
          </cell>
          <cell r="U480">
            <v>3088</v>
          </cell>
          <cell r="V480">
            <v>0</v>
          </cell>
          <cell r="W480">
            <v>0</v>
          </cell>
          <cell r="X480" t="str">
            <v>monster/10081.png</v>
          </cell>
          <cell r="Y480">
            <v>1</v>
          </cell>
          <cell r="Z480">
            <v>0</v>
          </cell>
          <cell r="AA480">
            <v>50</v>
          </cell>
          <cell r="AB480">
            <v>25</v>
          </cell>
          <cell r="AC480">
            <v>0.4</v>
          </cell>
        </row>
        <row r="481">
          <cell r="A481">
            <v>1090054</v>
          </cell>
          <cell r="B481">
            <v>2001</v>
          </cell>
          <cell r="C481">
            <v>91</v>
          </cell>
          <cell r="D481" t="str">
            <v>血誓领主</v>
          </cell>
          <cell r="E481">
            <v>5200</v>
          </cell>
          <cell r="F481">
            <v>5200</v>
          </cell>
          <cell r="G481">
            <v>14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772485</v>
          </cell>
          <cell r="M481">
            <v>1609.9999999999998</v>
          </cell>
          <cell r="N481">
            <v>203211</v>
          </cell>
          <cell r="O481">
            <v>243853</v>
          </cell>
          <cell r="P481">
            <v>26000</v>
          </cell>
          <cell r="Q481">
            <v>8400</v>
          </cell>
          <cell r="R481">
            <v>8400</v>
          </cell>
          <cell r="S481">
            <v>0</v>
          </cell>
          <cell r="T481">
            <v>0</v>
          </cell>
          <cell r="U481">
            <v>3088</v>
          </cell>
          <cell r="V481">
            <v>0</v>
          </cell>
          <cell r="W481">
            <v>0</v>
          </cell>
          <cell r="X481" t="str">
            <v>monster/10072.png</v>
          </cell>
          <cell r="Y481">
            <v>1</v>
          </cell>
          <cell r="Z481">
            <v>0</v>
          </cell>
          <cell r="AA481">
            <v>50</v>
          </cell>
          <cell r="AB481">
            <v>25</v>
          </cell>
          <cell r="AC481">
            <v>0.4</v>
          </cell>
        </row>
        <row r="482">
          <cell r="A482">
            <v>1090061</v>
          </cell>
          <cell r="B482">
            <v>2001</v>
          </cell>
          <cell r="C482">
            <v>92</v>
          </cell>
          <cell r="D482" t="str">
            <v>舞钢者拜伦</v>
          </cell>
          <cell r="E482">
            <v>5400</v>
          </cell>
          <cell r="F482">
            <v>5400</v>
          </cell>
          <cell r="G482">
            <v>8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1997050</v>
          </cell>
          <cell r="M482">
            <v>1620</v>
          </cell>
          <cell r="N482">
            <v>542807</v>
          </cell>
          <cell r="O482">
            <v>651368</v>
          </cell>
          <cell r="P482">
            <v>27000</v>
          </cell>
          <cell r="Q482">
            <v>8800</v>
          </cell>
          <cell r="R482">
            <v>8800</v>
          </cell>
          <cell r="S482">
            <v>0</v>
          </cell>
          <cell r="T482">
            <v>0</v>
          </cell>
          <cell r="U482">
            <v>3156</v>
          </cell>
          <cell r="V482">
            <v>0</v>
          </cell>
          <cell r="W482">
            <v>0</v>
          </cell>
          <cell r="X482" t="str">
            <v>monster/10084.png</v>
          </cell>
          <cell r="Y482">
            <v>1</v>
          </cell>
          <cell r="Z482">
            <v>0</v>
          </cell>
          <cell r="AA482">
            <v>50</v>
          </cell>
          <cell r="AB482">
            <v>25</v>
          </cell>
          <cell r="AC482">
            <v>0.4</v>
          </cell>
        </row>
        <row r="483">
          <cell r="A483">
            <v>1090071</v>
          </cell>
          <cell r="B483">
            <v>2001</v>
          </cell>
          <cell r="C483">
            <v>92</v>
          </cell>
          <cell r="D483" t="str">
            <v>风暴之王</v>
          </cell>
          <cell r="E483">
            <v>5400</v>
          </cell>
          <cell r="F483">
            <v>5400</v>
          </cell>
          <cell r="G483">
            <v>6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1996193</v>
          </cell>
          <cell r="M483">
            <v>1620</v>
          </cell>
          <cell r="N483">
            <v>611989</v>
          </cell>
          <cell r="O483">
            <v>734387</v>
          </cell>
          <cell r="P483">
            <v>27000</v>
          </cell>
          <cell r="Q483">
            <v>8800</v>
          </cell>
          <cell r="R483">
            <v>8800</v>
          </cell>
          <cell r="S483">
            <v>0</v>
          </cell>
          <cell r="T483">
            <v>0</v>
          </cell>
          <cell r="U483">
            <v>3156</v>
          </cell>
          <cell r="V483">
            <v>0</v>
          </cell>
          <cell r="W483">
            <v>0</v>
          </cell>
          <cell r="X483" t="str">
            <v>monster/10138.png</v>
          </cell>
          <cell r="Y483">
            <v>1</v>
          </cell>
          <cell r="Z483">
            <v>0</v>
          </cell>
          <cell r="AA483">
            <v>50</v>
          </cell>
          <cell r="AB483">
            <v>25</v>
          </cell>
          <cell r="AC483">
            <v>0.4</v>
          </cell>
        </row>
        <row r="484">
          <cell r="A484">
            <v>1090081</v>
          </cell>
          <cell r="B484">
            <v>2001</v>
          </cell>
          <cell r="C484">
            <v>93</v>
          </cell>
          <cell r="D484" t="str">
            <v>雷伊战争使者</v>
          </cell>
          <cell r="E484">
            <v>5600</v>
          </cell>
          <cell r="F484">
            <v>5600</v>
          </cell>
          <cell r="G484">
            <v>7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2352196</v>
          </cell>
          <cell r="M484">
            <v>1630</v>
          </cell>
          <cell r="N484">
            <v>862484</v>
          </cell>
          <cell r="O484">
            <v>1034981</v>
          </cell>
          <cell r="P484">
            <v>28000</v>
          </cell>
          <cell r="Q484">
            <v>9200</v>
          </cell>
          <cell r="R484">
            <v>9200</v>
          </cell>
          <cell r="S484">
            <v>0</v>
          </cell>
          <cell r="T484">
            <v>0</v>
          </cell>
          <cell r="U484">
            <v>3225</v>
          </cell>
          <cell r="V484">
            <v>0</v>
          </cell>
          <cell r="W484">
            <v>0</v>
          </cell>
          <cell r="X484" t="str">
            <v>monster/10127.png</v>
          </cell>
          <cell r="Y484">
            <v>1</v>
          </cell>
          <cell r="Z484">
            <v>0</v>
          </cell>
          <cell r="AA484">
            <v>50</v>
          </cell>
          <cell r="AB484">
            <v>25</v>
          </cell>
          <cell r="AC484">
            <v>0.4</v>
          </cell>
        </row>
        <row r="485">
          <cell r="A485">
            <v>1090091</v>
          </cell>
          <cell r="B485">
            <v>2001</v>
          </cell>
          <cell r="C485">
            <v>94</v>
          </cell>
          <cell r="D485" t="str">
            <v>暴君泰伦</v>
          </cell>
          <cell r="E485">
            <v>5800</v>
          </cell>
          <cell r="F485">
            <v>5800</v>
          </cell>
          <cell r="G485" t="str">
            <v>10,9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3017702</v>
          </cell>
          <cell r="M485">
            <v>4920</v>
          </cell>
          <cell r="N485">
            <v>1214496</v>
          </cell>
          <cell r="O485">
            <v>1457395</v>
          </cell>
          <cell r="P485">
            <v>29000</v>
          </cell>
          <cell r="Q485">
            <v>9600</v>
          </cell>
          <cell r="R485">
            <v>9600</v>
          </cell>
          <cell r="S485">
            <v>0</v>
          </cell>
          <cell r="T485">
            <v>4721</v>
          </cell>
          <cell r="U485">
            <v>3601</v>
          </cell>
          <cell r="V485">
            <v>0</v>
          </cell>
          <cell r="W485">
            <v>0</v>
          </cell>
          <cell r="X485" t="str">
            <v>monster/10140.png</v>
          </cell>
          <cell r="Y485">
            <v>1</v>
          </cell>
          <cell r="Z485">
            <v>0</v>
          </cell>
          <cell r="AA485">
            <v>50</v>
          </cell>
          <cell r="AB485">
            <v>25</v>
          </cell>
          <cell r="AC485">
            <v>0.4</v>
          </cell>
        </row>
        <row r="486">
          <cell r="A486">
            <v>1095011</v>
          </cell>
          <cell r="B486">
            <v>2001</v>
          </cell>
          <cell r="C486">
            <v>95</v>
          </cell>
          <cell r="D486" t="str">
            <v>疾风克鲁</v>
          </cell>
          <cell r="E486">
            <v>6000</v>
          </cell>
          <cell r="F486">
            <v>6000</v>
          </cell>
          <cell r="G486">
            <v>19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1488717</v>
          </cell>
          <cell r="M486">
            <v>1650</v>
          </cell>
          <cell r="N486">
            <v>300094</v>
          </cell>
          <cell r="O486">
            <v>360113</v>
          </cell>
          <cell r="P486">
            <v>30000</v>
          </cell>
          <cell r="Q486">
            <v>10000</v>
          </cell>
          <cell r="R486">
            <v>10000</v>
          </cell>
          <cell r="S486">
            <v>0</v>
          </cell>
          <cell r="T486">
            <v>0</v>
          </cell>
          <cell r="U486">
            <v>3364</v>
          </cell>
          <cell r="V486">
            <v>0</v>
          </cell>
          <cell r="W486">
            <v>0</v>
          </cell>
          <cell r="X486" t="str">
            <v>monster/10134.png</v>
          </cell>
          <cell r="Y486">
            <v>1</v>
          </cell>
          <cell r="Z486">
            <v>0</v>
          </cell>
          <cell r="AA486">
            <v>50</v>
          </cell>
          <cell r="AB486">
            <v>25</v>
          </cell>
          <cell r="AC486">
            <v>0.4</v>
          </cell>
        </row>
        <row r="487">
          <cell r="A487">
            <v>1095021</v>
          </cell>
          <cell r="B487">
            <v>2001</v>
          </cell>
          <cell r="C487">
            <v>95</v>
          </cell>
          <cell r="D487" t="str">
            <v>拨弄的赛亚</v>
          </cell>
          <cell r="E487">
            <v>6000</v>
          </cell>
          <cell r="F487">
            <v>6000</v>
          </cell>
          <cell r="G487" t="str">
            <v>17,18,8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1665558</v>
          </cell>
          <cell r="M487">
            <v>4950</v>
          </cell>
          <cell r="N487">
            <v>471471</v>
          </cell>
          <cell r="O487">
            <v>565765</v>
          </cell>
          <cell r="P487">
            <v>30000</v>
          </cell>
          <cell r="Q487">
            <v>10000</v>
          </cell>
          <cell r="R487">
            <v>10000</v>
          </cell>
          <cell r="S487">
            <v>0</v>
          </cell>
          <cell r="T487">
            <v>0</v>
          </cell>
          <cell r="U487">
            <v>3364</v>
          </cell>
          <cell r="V487">
            <v>0</v>
          </cell>
          <cell r="W487">
            <v>0</v>
          </cell>
          <cell r="X487" t="str">
            <v>monster/10125.png</v>
          </cell>
          <cell r="Y487">
            <v>1</v>
          </cell>
          <cell r="Z487">
            <v>0</v>
          </cell>
          <cell r="AA487">
            <v>50</v>
          </cell>
          <cell r="AB487">
            <v>25</v>
          </cell>
          <cell r="AC487">
            <v>0.4</v>
          </cell>
        </row>
        <row r="488">
          <cell r="A488">
            <v>1095031</v>
          </cell>
          <cell r="B488">
            <v>2001</v>
          </cell>
          <cell r="C488">
            <v>96</v>
          </cell>
          <cell r="D488" t="str">
            <v>法力风暴</v>
          </cell>
          <cell r="E488">
            <v>6200</v>
          </cell>
          <cell r="F488">
            <v>6200</v>
          </cell>
          <cell r="G488" t="str">
            <v>25,30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1316079</v>
          </cell>
          <cell r="M488">
            <v>131608</v>
          </cell>
          <cell r="N488">
            <v>844085</v>
          </cell>
          <cell r="O488">
            <v>1012902</v>
          </cell>
          <cell r="P488">
            <v>31000</v>
          </cell>
          <cell r="Q488">
            <v>10400</v>
          </cell>
          <cell r="R488">
            <v>10400</v>
          </cell>
          <cell r="S488">
            <v>0</v>
          </cell>
          <cell r="T488">
            <v>0</v>
          </cell>
          <cell r="U488">
            <v>3434</v>
          </cell>
          <cell r="V488">
            <v>0</v>
          </cell>
          <cell r="W488">
            <v>0</v>
          </cell>
          <cell r="X488" t="str">
            <v>monster/10061.png</v>
          </cell>
          <cell r="Y488">
            <v>1</v>
          </cell>
          <cell r="Z488">
            <v>0</v>
          </cell>
          <cell r="AA488">
            <v>50</v>
          </cell>
          <cell r="AB488">
            <v>25</v>
          </cell>
          <cell r="AC488">
            <v>0.4</v>
          </cell>
        </row>
        <row r="489">
          <cell r="A489">
            <v>1095041</v>
          </cell>
          <cell r="B489">
            <v>2001</v>
          </cell>
          <cell r="C489">
            <v>96</v>
          </cell>
          <cell r="D489" t="str">
            <v>火舞者</v>
          </cell>
          <cell r="E489">
            <v>6200</v>
          </cell>
          <cell r="F489">
            <v>6200</v>
          </cell>
          <cell r="G489">
            <v>29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1994754</v>
          </cell>
          <cell r="M489">
            <v>1660.0000000000002</v>
          </cell>
          <cell r="N489">
            <v>647042</v>
          </cell>
          <cell r="O489">
            <v>776450</v>
          </cell>
          <cell r="P489">
            <v>31000</v>
          </cell>
          <cell r="Q489">
            <v>10400</v>
          </cell>
          <cell r="R489">
            <v>10400</v>
          </cell>
          <cell r="S489">
            <v>0</v>
          </cell>
          <cell r="T489">
            <v>0</v>
          </cell>
          <cell r="U489">
            <v>3434</v>
          </cell>
          <cell r="V489">
            <v>0</v>
          </cell>
          <cell r="W489">
            <v>0</v>
          </cell>
          <cell r="X489" t="str">
            <v>monster/10116.png</v>
          </cell>
          <cell r="Y489">
            <v>1</v>
          </cell>
          <cell r="Z489">
            <v>0</v>
          </cell>
          <cell r="AA489">
            <v>50</v>
          </cell>
          <cell r="AB489">
            <v>25</v>
          </cell>
          <cell r="AC489">
            <v>0.4</v>
          </cell>
        </row>
        <row r="490">
          <cell r="A490">
            <v>1095051</v>
          </cell>
          <cell r="B490">
            <v>2001</v>
          </cell>
          <cell r="C490">
            <v>96</v>
          </cell>
          <cell r="D490" t="str">
            <v>血誓审判者</v>
          </cell>
          <cell r="E490">
            <v>6200</v>
          </cell>
          <cell r="F490">
            <v>6200</v>
          </cell>
          <cell r="G490">
            <v>5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1025112</v>
          </cell>
          <cell r="M490">
            <v>1660.0000000000002</v>
          </cell>
          <cell r="N490">
            <v>208319</v>
          </cell>
          <cell r="O490">
            <v>249983</v>
          </cell>
          <cell r="P490">
            <v>31000</v>
          </cell>
          <cell r="Q490">
            <v>10400</v>
          </cell>
          <cell r="R490">
            <v>10400</v>
          </cell>
          <cell r="S490">
            <v>0</v>
          </cell>
          <cell r="T490">
            <v>0</v>
          </cell>
          <cell r="U490">
            <v>3434</v>
          </cell>
          <cell r="V490">
            <v>0</v>
          </cell>
          <cell r="W490">
            <v>0</v>
          </cell>
          <cell r="X490" t="str">
            <v>monster/10083.png</v>
          </cell>
          <cell r="Y490">
            <v>1</v>
          </cell>
          <cell r="Z490">
            <v>0</v>
          </cell>
          <cell r="AA490">
            <v>50</v>
          </cell>
          <cell r="AB490">
            <v>25</v>
          </cell>
          <cell r="AC490">
            <v>0.4</v>
          </cell>
        </row>
        <row r="491">
          <cell r="A491">
            <v>1095052</v>
          </cell>
          <cell r="B491">
            <v>2001</v>
          </cell>
          <cell r="C491">
            <v>96</v>
          </cell>
          <cell r="D491" t="str">
            <v>血誓预言者</v>
          </cell>
          <cell r="E491">
            <v>6200</v>
          </cell>
          <cell r="F491">
            <v>6200</v>
          </cell>
          <cell r="G491">
            <v>2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956771</v>
          </cell>
          <cell r="M491">
            <v>1328</v>
          </cell>
          <cell r="N491">
            <v>223199</v>
          </cell>
          <cell r="O491">
            <v>267839</v>
          </cell>
          <cell r="P491">
            <v>31000</v>
          </cell>
          <cell r="Q491">
            <v>10400</v>
          </cell>
          <cell r="R491">
            <v>10400</v>
          </cell>
          <cell r="S491">
            <v>0</v>
          </cell>
          <cell r="T491">
            <v>0</v>
          </cell>
          <cell r="U491">
            <v>3434</v>
          </cell>
          <cell r="V491">
            <v>0</v>
          </cell>
          <cell r="W491">
            <v>0</v>
          </cell>
          <cell r="X491" t="str">
            <v>monster/10082.png</v>
          </cell>
          <cell r="Y491">
            <v>1</v>
          </cell>
          <cell r="Z491">
            <v>0</v>
          </cell>
          <cell r="AA491">
            <v>50</v>
          </cell>
          <cell r="AB491">
            <v>25</v>
          </cell>
          <cell r="AC491">
            <v>0.4</v>
          </cell>
        </row>
        <row r="492">
          <cell r="A492">
            <v>1095053</v>
          </cell>
          <cell r="B492">
            <v>2001</v>
          </cell>
          <cell r="C492">
            <v>96</v>
          </cell>
          <cell r="D492" t="str">
            <v>血誓召唤者</v>
          </cell>
          <cell r="E492">
            <v>6200</v>
          </cell>
          <cell r="F492">
            <v>6200</v>
          </cell>
          <cell r="G492">
            <v>26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1002331</v>
          </cell>
          <cell r="M492">
            <v>1660.0000000000002</v>
          </cell>
          <cell r="N492">
            <v>267838</v>
          </cell>
          <cell r="O492">
            <v>321406</v>
          </cell>
          <cell r="P492">
            <v>31000</v>
          </cell>
          <cell r="Q492">
            <v>10400</v>
          </cell>
          <cell r="R492">
            <v>10400</v>
          </cell>
          <cell r="S492">
            <v>0</v>
          </cell>
          <cell r="T492">
            <v>0</v>
          </cell>
          <cell r="U492">
            <v>3434</v>
          </cell>
          <cell r="V492">
            <v>0</v>
          </cell>
          <cell r="W492">
            <v>0</v>
          </cell>
          <cell r="X492" t="str">
            <v>monster/10081.png</v>
          </cell>
          <cell r="Y492">
            <v>1</v>
          </cell>
          <cell r="Z492">
            <v>0</v>
          </cell>
          <cell r="AA492">
            <v>50</v>
          </cell>
          <cell r="AB492">
            <v>25</v>
          </cell>
          <cell r="AC492">
            <v>0.4</v>
          </cell>
        </row>
        <row r="493">
          <cell r="A493">
            <v>1095054</v>
          </cell>
          <cell r="B493">
            <v>2001</v>
          </cell>
          <cell r="C493">
            <v>96</v>
          </cell>
          <cell r="D493" t="str">
            <v>血誓领主</v>
          </cell>
          <cell r="E493">
            <v>6200</v>
          </cell>
          <cell r="F493">
            <v>6200</v>
          </cell>
          <cell r="G493">
            <v>14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979551</v>
          </cell>
          <cell r="M493">
            <v>1660.0000000000002</v>
          </cell>
          <cell r="N493">
            <v>267838</v>
          </cell>
          <cell r="O493">
            <v>321406</v>
          </cell>
          <cell r="P493">
            <v>31000</v>
          </cell>
          <cell r="Q493">
            <v>10400</v>
          </cell>
          <cell r="R493">
            <v>10400</v>
          </cell>
          <cell r="S493">
            <v>0</v>
          </cell>
          <cell r="T493">
            <v>0</v>
          </cell>
          <cell r="U493">
            <v>3434</v>
          </cell>
          <cell r="V493">
            <v>0</v>
          </cell>
          <cell r="W493">
            <v>0</v>
          </cell>
          <cell r="X493" t="str">
            <v>monster/10072.png</v>
          </cell>
          <cell r="Y493">
            <v>1</v>
          </cell>
          <cell r="Z493">
            <v>0</v>
          </cell>
          <cell r="AA493">
            <v>50</v>
          </cell>
          <cell r="AB493">
            <v>25</v>
          </cell>
          <cell r="AC493">
            <v>0.4</v>
          </cell>
        </row>
        <row r="494">
          <cell r="A494">
            <v>1095061</v>
          </cell>
          <cell r="B494">
            <v>2001</v>
          </cell>
          <cell r="C494">
            <v>97</v>
          </cell>
          <cell r="D494" t="str">
            <v>舞钢者拜伦</v>
          </cell>
          <cell r="E494">
            <v>6400</v>
          </cell>
          <cell r="F494">
            <v>6400</v>
          </cell>
          <cell r="G494">
            <v>8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2542623</v>
          </cell>
          <cell r="M494">
            <v>1670</v>
          </cell>
          <cell r="N494">
            <v>716985</v>
          </cell>
          <cell r="O494">
            <v>860382</v>
          </cell>
          <cell r="P494">
            <v>32000</v>
          </cell>
          <cell r="Q494">
            <v>10800</v>
          </cell>
          <cell r="R494">
            <v>10800</v>
          </cell>
          <cell r="S494">
            <v>0</v>
          </cell>
          <cell r="T494">
            <v>0</v>
          </cell>
          <cell r="U494">
            <v>3506</v>
          </cell>
          <cell r="V494">
            <v>0</v>
          </cell>
          <cell r="W494">
            <v>0</v>
          </cell>
          <cell r="X494" t="str">
            <v>monster/10084.png</v>
          </cell>
          <cell r="Y494">
            <v>1</v>
          </cell>
          <cell r="Z494">
            <v>0</v>
          </cell>
          <cell r="AA494">
            <v>50</v>
          </cell>
          <cell r="AB494">
            <v>25</v>
          </cell>
          <cell r="AC494">
            <v>0.4</v>
          </cell>
        </row>
        <row r="495">
          <cell r="A495">
            <v>1095071</v>
          </cell>
          <cell r="B495">
            <v>2001</v>
          </cell>
          <cell r="C495">
            <v>97</v>
          </cell>
          <cell r="D495" t="str">
            <v>风暴之王</v>
          </cell>
          <cell r="E495">
            <v>6400</v>
          </cell>
          <cell r="F495">
            <v>6400</v>
          </cell>
          <cell r="G495">
            <v>6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2540753</v>
          </cell>
          <cell r="M495">
            <v>1670</v>
          </cell>
          <cell r="N495">
            <v>809103</v>
          </cell>
          <cell r="O495">
            <v>970924</v>
          </cell>
          <cell r="P495">
            <v>32000</v>
          </cell>
          <cell r="Q495">
            <v>10800</v>
          </cell>
          <cell r="R495">
            <v>10800</v>
          </cell>
          <cell r="S495">
            <v>0</v>
          </cell>
          <cell r="T495">
            <v>0</v>
          </cell>
          <cell r="U495">
            <v>3506</v>
          </cell>
          <cell r="V495">
            <v>0</v>
          </cell>
          <cell r="W495">
            <v>0</v>
          </cell>
          <cell r="X495" t="str">
            <v>monster/10138.png</v>
          </cell>
          <cell r="Y495">
            <v>1</v>
          </cell>
          <cell r="Z495">
            <v>0</v>
          </cell>
          <cell r="AA495">
            <v>50</v>
          </cell>
          <cell r="AB495">
            <v>25</v>
          </cell>
          <cell r="AC495">
            <v>0.4</v>
          </cell>
        </row>
        <row r="496">
          <cell r="A496">
            <v>1095081</v>
          </cell>
          <cell r="B496">
            <v>2001</v>
          </cell>
          <cell r="C496">
            <v>98</v>
          </cell>
          <cell r="D496" t="str">
            <v>雷伊战争使者</v>
          </cell>
          <cell r="E496">
            <v>6600</v>
          </cell>
          <cell r="F496">
            <v>6600</v>
          </cell>
          <cell r="G496">
            <v>7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3005273</v>
          </cell>
          <cell r="M496">
            <v>1680.0000000000002</v>
          </cell>
          <cell r="N496">
            <v>1141320</v>
          </cell>
          <cell r="O496">
            <v>1369584</v>
          </cell>
          <cell r="P496">
            <v>33000</v>
          </cell>
          <cell r="Q496">
            <v>11200</v>
          </cell>
          <cell r="R496">
            <v>11200</v>
          </cell>
          <cell r="S496">
            <v>0</v>
          </cell>
          <cell r="T496">
            <v>0</v>
          </cell>
          <cell r="U496">
            <v>3578</v>
          </cell>
          <cell r="V496">
            <v>0</v>
          </cell>
          <cell r="W496">
            <v>0</v>
          </cell>
          <cell r="X496" t="str">
            <v>monster/10127.png</v>
          </cell>
          <cell r="Y496">
            <v>1</v>
          </cell>
          <cell r="Z496">
            <v>0</v>
          </cell>
          <cell r="AA496">
            <v>50</v>
          </cell>
          <cell r="AB496">
            <v>25</v>
          </cell>
          <cell r="AC496">
            <v>0.4</v>
          </cell>
        </row>
        <row r="497">
          <cell r="A497">
            <v>1095091</v>
          </cell>
          <cell r="B497">
            <v>2001</v>
          </cell>
          <cell r="C497">
            <v>99</v>
          </cell>
          <cell r="D497" t="str">
            <v>暴君泰伦</v>
          </cell>
          <cell r="E497">
            <v>6800</v>
          </cell>
          <cell r="F497">
            <v>6800</v>
          </cell>
          <cell r="G497" t="str">
            <v>10,9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3868202</v>
          </cell>
          <cell r="M497">
            <v>5070</v>
          </cell>
          <cell r="N497">
            <v>1609090</v>
          </cell>
          <cell r="O497">
            <v>1930908</v>
          </cell>
          <cell r="P497">
            <v>34000</v>
          </cell>
          <cell r="Q497">
            <v>11600</v>
          </cell>
          <cell r="R497">
            <v>11600</v>
          </cell>
          <cell r="S497">
            <v>0</v>
          </cell>
          <cell r="T497">
            <v>5233</v>
          </cell>
          <cell r="U497">
            <v>3992</v>
          </cell>
          <cell r="V497">
            <v>0</v>
          </cell>
          <cell r="W497">
            <v>0</v>
          </cell>
          <cell r="X497" t="str">
            <v>monster/10140.png</v>
          </cell>
          <cell r="Y497">
            <v>1</v>
          </cell>
          <cell r="Z497">
            <v>0</v>
          </cell>
          <cell r="AA497">
            <v>50</v>
          </cell>
          <cell r="AB497">
            <v>25</v>
          </cell>
          <cell r="AC497">
            <v>0.4</v>
          </cell>
        </row>
        <row r="498">
          <cell r="A498">
            <v>1100011</v>
          </cell>
          <cell r="B498">
            <v>2001</v>
          </cell>
          <cell r="C498">
            <v>100</v>
          </cell>
          <cell r="D498" t="str">
            <v>疾风克鲁</v>
          </cell>
          <cell r="E498">
            <v>7000</v>
          </cell>
          <cell r="F498">
            <v>7000</v>
          </cell>
          <cell r="G498">
            <v>19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1906285</v>
          </cell>
          <cell r="M498">
            <v>1700</v>
          </cell>
          <cell r="N498">
            <v>395380</v>
          </cell>
          <cell r="O498">
            <v>474456</v>
          </cell>
          <cell r="P498">
            <v>35000</v>
          </cell>
          <cell r="Q498">
            <v>12000</v>
          </cell>
          <cell r="R498">
            <v>12000</v>
          </cell>
          <cell r="S498">
            <v>0</v>
          </cell>
          <cell r="T498">
            <v>0</v>
          </cell>
          <cell r="U498">
            <v>3725</v>
          </cell>
          <cell r="V498">
            <v>0</v>
          </cell>
          <cell r="W498">
            <v>0</v>
          </cell>
          <cell r="X498" t="str">
            <v>monster/10134.png</v>
          </cell>
          <cell r="Y498">
            <v>1</v>
          </cell>
          <cell r="Z498">
            <v>0</v>
          </cell>
          <cell r="AA498">
            <v>50</v>
          </cell>
          <cell r="AB498">
            <v>25</v>
          </cell>
          <cell r="AC498">
            <v>0.4</v>
          </cell>
        </row>
        <row r="499">
          <cell r="A499">
            <v>1100021</v>
          </cell>
          <cell r="B499">
            <v>2001</v>
          </cell>
          <cell r="C499">
            <v>100</v>
          </cell>
          <cell r="D499" t="str">
            <v>拨弄的赛亚</v>
          </cell>
          <cell r="E499">
            <v>7000</v>
          </cell>
          <cell r="F499">
            <v>7000</v>
          </cell>
          <cell r="G499" t="str">
            <v>17,18,8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2134912</v>
          </cell>
          <cell r="M499">
            <v>5100</v>
          </cell>
          <cell r="N499">
            <v>626907</v>
          </cell>
          <cell r="O499">
            <v>752288</v>
          </cell>
          <cell r="P499">
            <v>35000</v>
          </cell>
          <cell r="Q499">
            <v>12000</v>
          </cell>
          <cell r="R499">
            <v>12000</v>
          </cell>
          <cell r="S499">
            <v>0</v>
          </cell>
          <cell r="T499">
            <v>0</v>
          </cell>
          <cell r="U499">
            <v>3725</v>
          </cell>
          <cell r="V499">
            <v>0</v>
          </cell>
          <cell r="W499">
            <v>0</v>
          </cell>
          <cell r="X499" t="str">
            <v>monster/10125.png</v>
          </cell>
          <cell r="Y499">
            <v>1</v>
          </cell>
          <cell r="Z499">
            <v>0</v>
          </cell>
          <cell r="AA499">
            <v>50</v>
          </cell>
          <cell r="AB499">
            <v>25</v>
          </cell>
          <cell r="AC499">
            <v>0.4</v>
          </cell>
        </row>
        <row r="500">
          <cell r="A500">
            <v>1100031</v>
          </cell>
          <cell r="B500">
            <v>2001</v>
          </cell>
          <cell r="C500">
            <v>101</v>
          </cell>
          <cell r="D500" t="str">
            <v>法力风暴</v>
          </cell>
          <cell r="E500">
            <v>7200</v>
          </cell>
          <cell r="F500">
            <v>7200</v>
          </cell>
          <cell r="G500" t="str">
            <v>25,30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1683376</v>
          </cell>
          <cell r="M500">
            <v>168338</v>
          </cell>
          <cell r="N500">
            <v>1136204</v>
          </cell>
          <cell r="O500">
            <v>1363445</v>
          </cell>
          <cell r="P500">
            <v>36000</v>
          </cell>
          <cell r="Q500">
            <v>12400</v>
          </cell>
          <cell r="R500">
            <v>12400</v>
          </cell>
          <cell r="S500">
            <v>0</v>
          </cell>
          <cell r="T500">
            <v>0</v>
          </cell>
          <cell r="U500">
            <v>3800</v>
          </cell>
          <cell r="V500">
            <v>0</v>
          </cell>
          <cell r="W500">
            <v>0</v>
          </cell>
          <cell r="X500" t="str">
            <v>monster/10061.png</v>
          </cell>
          <cell r="Y500">
            <v>1</v>
          </cell>
          <cell r="Z500">
            <v>0</v>
          </cell>
          <cell r="AA500">
            <v>50</v>
          </cell>
          <cell r="AB500">
            <v>25</v>
          </cell>
          <cell r="AC500">
            <v>0.4</v>
          </cell>
        </row>
        <row r="501">
          <cell r="A501">
            <v>1100041</v>
          </cell>
          <cell r="B501">
            <v>2001</v>
          </cell>
          <cell r="C501">
            <v>101</v>
          </cell>
          <cell r="D501" t="str">
            <v>火舞者</v>
          </cell>
          <cell r="E501">
            <v>7200</v>
          </cell>
          <cell r="F501">
            <v>7200</v>
          </cell>
          <cell r="G501">
            <v>29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2552826</v>
          </cell>
          <cell r="M501">
            <v>1710</v>
          </cell>
          <cell r="N501">
            <v>872979</v>
          </cell>
          <cell r="O501">
            <v>1047575</v>
          </cell>
          <cell r="P501">
            <v>36000</v>
          </cell>
          <cell r="Q501">
            <v>12400</v>
          </cell>
          <cell r="R501">
            <v>12400</v>
          </cell>
          <cell r="S501">
            <v>0</v>
          </cell>
          <cell r="T501">
            <v>0</v>
          </cell>
          <cell r="U501">
            <v>3800</v>
          </cell>
          <cell r="V501">
            <v>0</v>
          </cell>
          <cell r="W501">
            <v>0</v>
          </cell>
          <cell r="X501" t="str">
            <v>monster/10116.png</v>
          </cell>
          <cell r="Y501">
            <v>1</v>
          </cell>
          <cell r="Z501">
            <v>0</v>
          </cell>
          <cell r="AA501">
            <v>50</v>
          </cell>
          <cell r="AB501">
            <v>25</v>
          </cell>
          <cell r="AC501">
            <v>0.4</v>
          </cell>
        </row>
        <row r="502">
          <cell r="A502">
            <v>1100051</v>
          </cell>
          <cell r="B502">
            <v>2001</v>
          </cell>
          <cell r="C502">
            <v>101</v>
          </cell>
          <cell r="D502" t="str">
            <v>血誓审判者</v>
          </cell>
          <cell r="E502">
            <v>7200</v>
          </cell>
          <cell r="F502">
            <v>7200</v>
          </cell>
          <cell r="G502">
            <v>5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1312609</v>
          </cell>
          <cell r="M502">
            <v>1710</v>
          </cell>
          <cell r="N502">
            <v>281709</v>
          </cell>
          <cell r="O502">
            <v>338051</v>
          </cell>
          <cell r="P502">
            <v>36000</v>
          </cell>
          <cell r="Q502">
            <v>12400</v>
          </cell>
          <cell r="R502">
            <v>12400</v>
          </cell>
          <cell r="S502">
            <v>0</v>
          </cell>
          <cell r="T502">
            <v>0</v>
          </cell>
          <cell r="U502">
            <v>3800</v>
          </cell>
          <cell r="V502">
            <v>0</v>
          </cell>
          <cell r="W502">
            <v>0</v>
          </cell>
          <cell r="X502" t="str">
            <v>monster/10083.png</v>
          </cell>
          <cell r="Y502">
            <v>1</v>
          </cell>
          <cell r="Z502">
            <v>0</v>
          </cell>
          <cell r="AA502">
            <v>50</v>
          </cell>
          <cell r="AB502">
            <v>25</v>
          </cell>
          <cell r="AC502">
            <v>0.4</v>
          </cell>
        </row>
        <row r="503">
          <cell r="A503">
            <v>1100052</v>
          </cell>
          <cell r="B503">
            <v>2001</v>
          </cell>
          <cell r="C503">
            <v>101</v>
          </cell>
          <cell r="D503" t="str">
            <v>血誓预言者</v>
          </cell>
          <cell r="E503">
            <v>7200</v>
          </cell>
          <cell r="F503">
            <v>7200</v>
          </cell>
          <cell r="G503">
            <v>2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1225102</v>
          </cell>
          <cell r="M503">
            <v>1368</v>
          </cell>
          <cell r="N503">
            <v>301832</v>
          </cell>
          <cell r="O503">
            <v>362198</v>
          </cell>
          <cell r="P503">
            <v>36000</v>
          </cell>
          <cell r="Q503">
            <v>12400</v>
          </cell>
          <cell r="R503">
            <v>12400</v>
          </cell>
          <cell r="S503">
            <v>0</v>
          </cell>
          <cell r="T503">
            <v>0</v>
          </cell>
          <cell r="U503">
            <v>3800</v>
          </cell>
          <cell r="V503">
            <v>0</v>
          </cell>
          <cell r="W503">
            <v>0</v>
          </cell>
          <cell r="X503" t="str">
            <v>monster/10082.png</v>
          </cell>
          <cell r="Y503">
            <v>1</v>
          </cell>
          <cell r="Z503">
            <v>0</v>
          </cell>
          <cell r="AA503">
            <v>50</v>
          </cell>
          <cell r="AB503">
            <v>25</v>
          </cell>
          <cell r="AC503">
            <v>0.4</v>
          </cell>
        </row>
        <row r="504">
          <cell r="A504">
            <v>1100053</v>
          </cell>
          <cell r="B504">
            <v>2001</v>
          </cell>
          <cell r="C504">
            <v>101</v>
          </cell>
          <cell r="D504" t="str">
            <v>血誓召唤者</v>
          </cell>
          <cell r="E504">
            <v>7200</v>
          </cell>
          <cell r="F504">
            <v>7200</v>
          </cell>
          <cell r="G504">
            <v>26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1283440</v>
          </cell>
          <cell r="M504">
            <v>1710</v>
          </cell>
          <cell r="N504">
            <v>362198</v>
          </cell>
          <cell r="O504">
            <v>434638</v>
          </cell>
          <cell r="P504">
            <v>36000</v>
          </cell>
          <cell r="Q504">
            <v>12400</v>
          </cell>
          <cell r="R504">
            <v>12400</v>
          </cell>
          <cell r="S504">
            <v>0</v>
          </cell>
          <cell r="T504">
            <v>0</v>
          </cell>
          <cell r="U504">
            <v>3800</v>
          </cell>
          <cell r="V504">
            <v>0</v>
          </cell>
          <cell r="W504">
            <v>0</v>
          </cell>
          <cell r="X504" t="str">
            <v>monster/10081.png</v>
          </cell>
          <cell r="Y504">
            <v>1</v>
          </cell>
          <cell r="Z504">
            <v>0</v>
          </cell>
          <cell r="AA504">
            <v>50</v>
          </cell>
          <cell r="AB504">
            <v>25</v>
          </cell>
          <cell r="AC504">
            <v>0.4</v>
          </cell>
        </row>
        <row r="505">
          <cell r="A505">
            <v>1100054</v>
          </cell>
          <cell r="B505">
            <v>2001</v>
          </cell>
          <cell r="C505">
            <v>101</v>
          </cell>
          <cell r="D505" t="str">
            <v>血誓领主</v>
          </cell>
          <cell r="E505">
            <v>7200</v>
          </cell>
          <cell r="F505">
            <v>7200</v>
          </cell>
          <cell r="G505">
            <v>14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1254271</v>
          </cell>
          <cell r="M505">
            <v>1710</v>
          </cell>
          <cell r="N505">
            <v>362198</v>
          </cell>
          <cell r="O505">
            <v>434638</v>
          </cell>
          <cell r="P505">
            <v>36000</v>
          </cell>
          <cell r="Q505">
            <v>12400</v>
          </cell>
          <cell r="R505">
            <v>12400</v>
          </cell>
          <cell r="S505">
            <v>0</v>
          </cell>
          <cell r="T505">
            <v>0</v>
          </cell>
          <cell r="U505">
            <v>3800</v>
          </cell>
          <cell r="V505">
            <v>0</v>
          </cell>
          <cell r="W505">
            <v>0</v>
          </cell>
          <cell r="X505" t="str">
            <v>monster/10072.png</v>
          </cell>
          <cell r="Y505">
            <v>1</v>
          </cell>
          <cell r="Z505">
            <v>0</v>
          </cell>
          <cell r="AA505">
            <v>50</v>
          </cell>
          <cell r="AB505">
            <v>25</v>
          </cell>
          <cell r="AC505">
            <v>0.4</v>
          </cell>
        </row>
        <row r="506">
          <cell r="A506">
            <v>1100061</v>
          </cell>
          <cell r="B506">
            <v>2001</v>
          </cell>
          <cell r="C506">
            <v>102</v>
          </cell>
          <cell r="D506" t="str">
            <v>舞钢者拜伦</v>
          </cell>
          <cell r="E506">
            <v>7500</v>
          </cell>
          <cell r="F506">
            <v>7500</v>
          </cell>
          <cell r="G506">
            <v>8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3263779</v>
          </cell>
          <cell r="M506">
            <v>1720</v>
          </cell>
          <cell r="N506">
            <v>972565</v>
          </cell>
          <cell r="O506">
            <v>1167078</v>
          </cell>
          <cell r="P506">
            <v>37000</v>
          </cell>
          <cell r="Q506">
            <v>12800</v>
          </cell>
          <cell r="R506">
            <v>12800</v>
          </cell>
          <cell r="S506">
            <v>0</v>
          </cell>
          <cell r="T506">
            <v>0</v>
          </cell>
          <cell r="U506">
            <v>3875</v>
          </cell>
          <cell r="V506">
            <v>0</v>
          </cell>
          <cell r="W506">
            <v>0</v>
          </cell>
          <cell r="X506" t="str">
            <v>monster/10084.png</v>
          </cell>
          <cell r="Y506">
            <v>1</v>
          </cell>
          <cell r="Z506">
            <v>0</v>
          </cell>
          <cell r="AA506">
            <v>50</v>
          </cell>
          <cell r="AB506">
            <v>25</v>
          </cell>
          <cell r="AC506">
            <v>0.4</v>
          </cell>
        </row>
        <row r="507">
          <cell r="A507">
            <v>1100071</v>
          </cell>
          <cell r="B507">
            <v>2001</v>
          </cell>
          <cell r="C507">
            <v>102</v>
          </cell>
          <cell r="D507" t="str">
            <v>风暴之王</v>
          </cell>
          <cell r="E507">
            <v>7500</v>
          </cell>
          <cell r="F507">
            <v>7500</v>
          </cell>
          <cell r="G507">
            <v>6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3262724</v>
          </cell>
          <cell r="M507">
            <v>1720</v>
          </cell>
          <cell r="N507">
            <v>1098928</v>
          </cell>
          <cell r="O507">
            <v>1318714</v>
          </cell>
          <cell r="P507">
            <v>37000</v>
          </cell>
          <cell r="Q507">
            <v>12800</v>
          </cell>
          <cell r="R507">
            <v>12800</v>
          </cell>
          <cell r="S507">
            <v>0</v>
          </cell>
          <cell r="T507">
            <v>0</v>
          </cell>
          <cell r="U507">
            <v>3875</v>
          </cell>
          <cell r="V507">
            <v>0</v>
          </cell>
          <cell r="W507">
            <v>0</v>
          </cell>
          <cell r="X507" t="str">
            <v>monster/10138.png</v>
          </cell>
          <cell r="Y507">
            <v>1</v>
          </cell>
          <cell r="Z507">
            <v>0</v>
          </cell>
          <cell r="AA507">
            <v>50</v>
          </cell>
          <cell r="AB507">
            <v>25</v>
          </cell>
          <cell r="AC507">
            <v>0.4</v>
          </cell>
        </row>
        <row r="508">
          <cell r="A508">
            <v>1100081</v>
          </cell>
          <cell r="B508">
            <v>2001</v>
          </cell>
          <cell r="C508">
            <v>102</v>
          </cell>
          <cell r="D508" t="str">
            <v>雷伊战争使者</v>
          </cell>
          <cell r="E508">
            <v>7500</v>
          </cell>
          <cell r="F508">
            <v>7500</v>
          </cell>
          <cell r="G508">
            <v>7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3853580</v>
          </cell>
          <cell r="M508">
            <v>1720</v>
          </cell>
          <cell r="N508">
            <v>1552138</v>
          </cell>
          <cell r="O508">
            <v>1862566</v>
          </cell>
          <cell r="P508">
            <v>37000</v>
          </cell>
          <cell r="Q508">
            <v>12800</v>
          </cell>
          <cell r="R508">
            <v>12800</v>
          </cell>
          <cell r="S508">
            <v>0</v>
          </cell>
          <cell r="T508">
            <v>0</v>
          </cell>
          <cell r="U508">
            <v>3875</v>
          </cell>
          <cell r="V508">
            <v>0</v>
          </cell>
          <cell r="W508">
            <v>0</v>
          </cell>
          <cell r="X508" t="str">
            <v>monster/10127.png</v>
          </cell>
          <cell r="Y508">
            <v>1</v>
          </cell>
          <cell r="Z508">
            <v>0</v>
          </cell>
          <cell r="AA508">
            <v>50</v>
          </cell>
          <cell r="AB508">
            <v>25</v>
          </cell>
          <cell r="AC508">
            <v>0.4</v>
          </cell>
        </row>
        <row r="509">
          <cell r="A509">
            <v>1100091</v>
          </cell>
          <cell r="B509">
            <v>2001</v>
          </cell>
          <cell r="C509">
            <v>102</v>
          </cell>
          <cell r="D509" t="str">
            <v>暴君泰伦</v>
          </cell>
          <cell r="E509">
            <v>7500</v>
          </cell>
          <cell r="F509">
            <v>7500</v>
          </cell>
          <cell r="G509" t="str">
            <v>10,9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4950601</v>
          </cell>
          <cell r="M509">
            <v>5160</v>
          </cell>
          <cell r="N509">
            <v>2192027</v>
          </cell>
          <cell r="O509">
            <v>2630432</v>
          </cell>
          <cell r="P509">
            <v>37000</v>
          </cell>
          <cell r="Q509">
            <v>12800</v>
          </cell>
          <cell r="R509">
            <v>12800</v>
          </cell>
          <cell r="S509">
            <v>0</v>
          </cell>
          <cell r="T509">
            <v>5554</v>
          </cell>
          <cell r="U509">
            <v>4236</v>
          </cell>
          <cell r="V509">
            <v>0</v>
          </cell>
          <cell r="W509">
            <v>0</v>
          </cell>
          <cell r="X509" t="str">
            <v>monster/10140.png</v>
          </cell>
          <cell r="Y509">
            <v>1</v>
          </cell>
          <cell r="Z509">
            <v>0</v>
          </cell>
          <cell r="AA509">
            <v>50</v>
          </cell>
          <cell r="AB509">
            <v>25</v>
          </cell>
          <cell r="AC509">
            <v>0.4</v>
          </cell>
        </row>
        <row r="510">
          <cell r="A510">
            <v>2030011</v>
          </cell>
          <cell r="B510">
            <v>2001</v>
          </cell>
          <cell r="C510">
            <v>30</v>
          </cell>
          <cell r="D510" t="str">
            <v>猎人幻象</v>
          </cell>
          <cell r="E510">
            <v>660</v>
          </cell>
          <cell r="F510">
            <v>660</v>
          </cell>
          <cell r="G510">
            <v>11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65758</v>
          </cell>
          <cell r="M510">
            <v>1000</v>
          </cell>
          <cell r="N510">
            <v>1549</v>
          </cell>
          <cell r="O510">
            <v>1859</v>
          </cell>
          <cell r="P510">
            <v>20</v>
          </cell>
          <cell r="Q510">
            <v>0</v>
          </cell>
          <cell r="R510">
            <v>0</v>
          </cell>
          <cell r="S510">
            <v>497</v>
          </cell>
          <cell r="T510">
            <v>0</v>
          </cell>
          <cell r="U510">
            <v>346</v>
          </cell>
          <cell r="V510">
            <v>0</v>
          </cell>
          <cell r="W510">
            <v>0</v>
          </cell>
          <cell r="X510" t="str">
            <v>UI/Program/HeroHunter_Woman_1.png</v>
          </cell>
          <cell r="Y510">
            <v>1</v>
          </cell>
          <cell r="Z510">
            <v>0</v>
          </cell>
          <cell r="AA510">
            <v>50</v>
          </cell>
          <cell r="AB510">
            <v>25</v>
          </cell>
          <cell r="AC510">
            <v>0.4</v>
          </cell>
        </row>
        <row r="511">
          <cell r="A511">
            <v>2030021</v>
          </cell>
          <cell r="B511">
            <v>2001</v>
          </cell>
          <cell r="C511">
            <v>30</v>
          </cell>
          <cell r="D511" t="str">
            <v>法力风暴</v>
          </cell>
          <cell r="E511">
            <v>660</v>
          </cell>
          <cell r="F511">
            <v>660</v>
          </cell>
          <cell r="G511" t="str">
            <v>25,30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54128</v>
          </cell>
          <cell r="M511">
            <v>5413</v>
          </cell>
          <cell r="N511">
            <v>2310</v>
          </cell>
          <cell r="O511">
            <v>2772</v>
          </cell>
          <cell r="P511">
            <v>20</v>
          </cell>
          <cell r="Q511">
            <v>0</v>
          </cell>
          <cell r="R511">
            <v>0</v>
          </cell>
          <cell r="S511">
            <v>0</v>
          </cell>
          <cell r="T511">
            <v>0</v>
          </cell>
          <cell r="U511">
            <v>346</v>
          </cell>
          <cell r="V511">
            <v>0</v>
          </cell>
          <cell r="W511">
            <v>0</v>
          </cell>
          <cell r="X511" t="str">
            <v>monster/10061.png</v>
          </cell>
          <cell r="Y511">
            <v>1</v>
          </cell>
          <cell r="Z511">
            <v>0</v>
          </cell>
          <cell r="AA511">
            <v>50</v>
          </cell>
          <cell r="AB511">
            <v>25</v>
          </cell>
          <cell r="AC511">
            <v>0.4</v>
          </cell>
        </row>
        <row r="512">
          <cell r="A512">
            <v>2030031</v>
          </cell>
          <cell r="B512">
            <v>2001</v>
          </cell>
          <cell r="C512">
            <v>31</v>
          </cell>
          <cell r="D512" t="str">
            <v>角斗士里奥</v>
          </cell>
          <cell r="E512">
            <v>690</v>
          </cell>
          <cell r="F512">
            <v>690</v>
          </cell>
          <cell r="G512">
            <v>5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101879</v>
          </cell>
          <cell r="M512">
            <v>1010</v>
          </cell>
          <cell r="N512">
            <v>1527</v>
          </cell>
          <cell r="O512">
            <v>1832</v>
          </cell>
          <cell r="P512">
            <v>50</v>
          </cell>
          <cell r="Q512">
            <v>0</v>
          </cell>
          <cell r="R512">
            <v>0</v>
          </cell>
          <cell r="S512">
            <v>0</v>
          </cell>
          <cell r="T512">
            <v>0</v>
          </cell>
          <cell r="U512">
            <v>369</v>
          </cell>
          <cell r="V512">
            <v>0</v>
          </cell>
          <cell r="W512">
            <v>0</v>
          </cell>
          <cell r="X512" t="str">
            <v>monster/10067.png</v>
          </cell>
          <cell r="Y512">
            <v>1</v>
          </cell>
          <cell r="Z512">
            <v>0</v>
          </cell>
          <cell r="AA512">
            <v>50</v>
          </cell>
          <cell r="AB512">
            <v>25</v>
          </cell>
          <cell r="AC512">
            <v>0.4</v>
          </cell>
        </row>
        <row r="513">
          <cell r="A513">
            <v>2030041</v>
          </cell>
          <cell r="B513">
            <v>2001</v>
          </cell>
          <cell r="C513">
            <v>31</v>
          </cell>
          <cell r="D513" t="str">
            <v>荒野游侠</v>
          </cell>
          <cell r="E513">
            <v>690</v>
          </cell>
          <cell r="F513">
            <v>690</v>
          </cell>
          <cell r="G513">
            <v>16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91508</v>
          </cell>
          <cell r="M513">
            <v>2020</v>
          </cell>
          <cell r="N513">
            <v>1517</v>
          </cell>
          <cell r="O513">
            <v>1820</v>
          </cell>
          <cell r="P513">
            <v>50</v>
          </cell>
          <cell r="Q513">
            <v>0</v>
          </cell>
          <cell r="R513">
            <v>0</v>
          </cell>
          <cell r="S513">
            <v>0</v>
          </cell>
          <cell r="T513">
            <v>0</v>
          </cell>
          <cell r="U513">
            <v>917</v>
          </cell>
          <cell r="V513">
            <v>0</v>
          </cell>
          <cell r="W513">
            <v>0</v>
          </cell>
          <cell r="X513" t="str">
            <v>monster/10096.png</v>
          </cell>
          <cell r="Y513">
            <v>1</v>
          </cell>
          <cell r="Z513">
            <v>0</v>
          </cell>
          <cell r="AA513">
            <v>50</v>
          </cell>
          <cell r="AB513">
            <v>25</v>
          </cell>
          <cell r="AC513">
            <v>0.4</v>
          </cell>
        </row>
        <row r="514">
          <cell r="A514">
            <v>2030051</v>
          </cell>
          <cell r="B514">
            <v>2001</v>
          </cell>
          <cell r="C514">
            <v>31</v>
          </cell>
          <cell r="D514" t="str">
            <v>憾地者</v>
          </cell>
          <cell r="E514">
            <v>690</v>
          </cell>
          <cell r="F514">
            <v>690</v>
          </cell>
          <cell r="G514">
            <v>4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128426</v>
          </cell>
          <cell r="M514">
            <v>1010</v>
          </cell>
          <cell r="N514">
            <v>1282</v>
          </cell>
          <cell r="O514">
            <v>1538</v>
          </cell>
          <cell r="P514">
            <v>50</v>
          </cell>
          <cell r="Q514">
            <v>0</v>
          </cell>
          <cell r="R514">
            <v>0</v>
          </cell>
          <cell r="S514">
            <v>0</v>
          </cell>
          <cell r="T514">
            <v>0</v>
          </cell>
          <cell r="U514">
            <v>369</v>
          </cell>
          <cell r="V514">
            <v>0</v>
          </cell>
          <cell r="W514">
            <v>0</v>
          </cell>
          <cell r="X514" t="str">
            <v>monster/10123.png</v>
          </cell>
          <cell r="Y514">
            <v>1</v>
          </cell>
          <cell r="Z514">
            <v>0</v>
          </cell>
          <cell r="AA514">
            <v>50</v>
          </cell>
          <cell r="AB514">
            <v>25</v>
          </cell>
          <cell r="AC514">
            <v>0.4</v>
          </cell>
        </row>
        <row r="515">
          <cell r="A515">
            <v>2030061</v>
          </cell>
          <cell r="B515">
            <v>2001</v>
          </cell>
          <cell r="C515">
            <v>32</v>
          </cell>
          <cell r="D515" t="str">
            <v>拉兹</v>
          </cell>
          <cell r="E515">
            <v>720</v>
          </cell>
          <cell r="F515">
            <v>720</v>
          </cell>
          <cell r="G515">
            <v>10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148097</v>
          </cell>
          <cell r="M515">
            <v>2040</v>
          </cell>
          <cell r="N515">
            <v>1794</v>
          </cell>
          <cell r="O515">
            <v>2153</v>
          </cell>
          <cell r="P515">
            <v>80</v>
          </cell>
          <cell r="Q515">
            <v>10</v>
          </cell>
          <cell r="R515">
            <v>10</v>
          </cell>
          <cell r="S515">
            <v>0</v>
          </cell>
          <cell r="T515">
            <v>798</v>
          </cell>
          <cell r="U515">
            <v>393</v>
          </cell>
          <cell r="V515">
            <v>0</v>
          </cell>
          <cell r="W515">
            <v>0</v>
          </cell>
          <cell r="X515" t="str">
            <v>monster/10106.png</v>
          </cell>
          <cell r="Y515">
            <v>1</v>
          </cell>
          <cell r="Z515">
            <v>0</v>
          </cell>
          <cell r="AA515">
            <v>50</v>
          </cell>
          <cell r="AB515">
            <v>25</v>
          </cell>
          <cell r="AC515">
            <v>0.4</v>
          </cell>
        </row>
        <row r="516">
          <cell r="A516">
            <v>2030071</v>
          </cell>
          <cell r="B516">
            <v>2001</v>
          </cell>
          <cell r="C516">
            <v>32</v>
          </cell>
          <cell r="D516" t="str">
            <v>塔克</v>
          </cell>
          <cell r="E516">
            <v>720</v>
          </cell>
          <cell r="F516">
            <v>720</v>
          </cell>
          <cell r="G516">
            <v>3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88858</v>
          </cell>
          <cell r="M516">
            <v>1020</v>
          </cell>
          <cell r="N516">
            <v>523</v>
          </cell>
          <cell r="O516">
            <v>628</v>
          </cell>
          <cell r="P516">
            <v>80</v>
          </cell>
          <cell r="Q516">
            <v>10</v>
          </cell>
          <cell r="R516">
            <v>10</v>
          </cell>
          <cell r="S516">
            <v>0</v>
          </cell>
          <cell r="T516">
            <v>0</v>
          </cell>
          <cell r="U516">
            <v>393</v>
          </cell>
          <cell r="V516">
            <v>0</v>
          </cell>
          <cell r="W516">
            <v>0</v>
          </cell>
          <cell r="X516" t="str">
            <v>monster/10085.png</v>
          </cell>
          <cell r="Y516">
            <v>1</v>
          </cell>
          <cell r="Z516">
            <v>0</v>
          </cell>
          <cell r="AA516">
            <v>50</v>
          </cell>
          <cell r="AB516">
            <v>25</v>
          </cell>
          <cell r="AC516">
            <v>0.4</v>
          </cell>
        </row>
        <row r="517">
          <cell r="A517">
            <v>2030072</v>
          </cell>
          <cell r="B517">
            <v>2001</v>
          </cell>
          <cell r="C517">
            <v>32</v>
          </cell>
          <cell r="D517" t="str">
            <v>迪皮斯</v>
          </cell>
          <cell r="E517">
            <v>720</v>
          </cell>
          <cell r="F517">
            <v>720</v>
          </cell>
          <cell r="G517" t="str">
            <v>17,14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65906</v>
          </cell>
          <cell r="M517">
            <v>1020</v>
          </cell>
          <cell r="N517">
            <v>889</v>
          </cell>
          <cell r="O517">
            <v>1067</v>
          </cell>
          <cell r="P517">
            <v>80</v>
          </cell>
          <cell r="Q517">
            <v>10</v>
          </cell>
          <cell r="R517">
            <v>10</v>
          </cell>
          <cell r="S517">
            <v>0</v>
          </cell>
          <cell r="T517">
            <v>0</v>
          </cell>
          <cell r="U517">
            <v>393</v>
          </cell>
          <cell r="V517">
            <v>0</v>
          </cell>
          <cell r="W517">
            <v>0</v>
          </cell>
          <cell r="X517" t="str">
            <v>monster/10012.png</v>
          </cell>
          <cell r="Y517">
            <v>1</v>
          </cell>
          <cell r="Z517">
            <v>0</v>
          </cell>
          <cell r="AA517">
            <v>50</v>
          </cell>
          <cell r="AB517">
            <v>25</v>
          </cell>
          <cell r="AC517">
            <v>0.4</v>
          </cell>
        </row>
        <row r="518">
          <cell r="A518">
            <v>2030081</v>
          </cell>
          <cell r="B518">
            <v>2001</v>
          </cell>
          <cell r="C518">
            <v>33</v>
          </cell>
          <cell r="D518" t="str">
            <v>狂野安东尼</v>
          </cell>
          <cell r="E518">
            <v>750</v>
          </cell>
          <cell r="F518">
            <v>750</v>
          </cell>
          <cell r="G518">
            <v>7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181416</v>
          </cell>
          <cell r="M518">
            <v>1030</v>
          </cell>
          <cell r="N518">
            <v>1470</v>
          </cell>
          <cell r="O518">
            <v>1764</v>
          </cell>
          <cell r="P518">
            <v>110</v>
          </cell>
          <cell r="Q518">
            <v>20</v>
          </cell>
          <cell r="R518">
            <v>20</v>
          </cell>
          <cell r="S518">
            <v>0</v>
          </cell>
          <cell r="T518">
            <v>0</v>
          </cell>
          <cell r="U518">
            <v>417</v>
          </cell>
          <cell r="V518">
            <v>0</v>
          </cell>
          <cell r="W518">
            <v>0</v>
          </cell>
          <cell r="X518" t="str">
            <v>monster/10086.png</v>
          </cell>
          <cell r="Y518">
            <v>1</v>
          </cell>
          <cell r="Z518">
            <v>0</v>
          </cell>
          <cell r="AA518">
            <v>50</v>
          </cell>
          <cell r="AB518">
            <v>25</v>
          </cell>
          <cell r="AC518">
            <v>0.4</v>
          </cell>
        </row>
        <row r="519">
          <cell r="A519">
            <v>2030091</v>
          </cell>
          <cell r="B519">
            <v>2001</v>
          </cell>
          <cell r="C519">
            <v>34</v>
          </cell>
          <cell r="D519" t="str">
            <v>巡林者瑞克</v>
          </cell>
          <cell r="E519">
            <v>780</v>
          </cell>
          <cell r="F519">
            <v>780</v>
          </cell>
          <cell r="G519">
            <v>15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207243</v>
          </cell>
          <cell r="M519">
            <v>1040</v>
          </cell>
          <cell r="N519">
            <v>1453</v>
          </cell>
          <cell r="O519">
            <v>1744</v>
          </cell>
          <cell r="P519">
            <v>140</v>
          </cell>
          <cell r="Q519">
            <v>30</v>
          </cell>
          <cell r="R519">
            <v>30</v>
          </cell>
          <cell r="S519">
            <v>0</v>
          </cell>
          <cell r="T519">
            <v>0</v>
          </cell>
          <cell r="U519">
            <v>442</v>
          </cell>
          <cell r="V519">
            <v>0</v>
          </cell>
          <cell r="W519">
            <v>0</v>
          </cell>
          <cell r="X519" t="str">
            <v>monster/10094.png</v>
          </cell>
          <cell r="Y519">
            <v>1</v>
          </cell>
          <cell r="Z519">
            <v>0</v>
          </cell>
          <cell r="AA519">
            <v>50</v>
          </cell>
          <cell r="AB519">
            <v>25</v>
          </cell>
          <cell r="AC519">
            <v>0.4</v>
          </cell>
        </row>
        <row r="520">
          <cell r="A520">
            <v>2035011</v>
          </cell>
          <cell r="B520">
            <v>2001</v>
          </cell>
          <cell r="C520">
            <v>35</v>
          </cell>
          <cell r="D520" t="str">
            <v>猎人幻象</v>
          </cell>
          <cell r="E520">
            <v>810</v>
          </cell>
          <cell r="F520">
            <v>810</v>
          </cell>
          <cell r="G520">
            <v>11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112295</v>
          </cell>
          <cell r="M520">
            <v>1050</v>
          </cell>
          <cell r="N520">
            <v>2246</v>
          </cell>
          <cell r="O520">
            <v>2695</v>
          </cell>
          <cell r="P520">
            <v>170</v>
          </cell>
          <cell r="Q520">
            <v>40</v>
          </cell>
          <cell r="R520">
            <v>40</v>
          </cell>
          <cell r="S520">
            <v>671</v>
          </cell>
          <cell r="T520">
            <v>0</v>
          </cell>
          <cell r="U520">
            <v>468</v>
          </cell>
          <cell r="V520">
            <v>0</v>
          </cell>
          <cell r="W520">
            <v>0</v>
          </cell>
          <cell r="X520" t="str">
            <v>UI/Program/HeroHunter_Woman_1.png</v>
          </cell>
          <cell r="Y520">
            <v>1</v>
          </cell>
          <cell r="Z520">
            <v>0</v>
          </cell>
          <cell r="AA520">
            <v>50</v>
          </cell>
          <cell r="AB520">
            <v>25</v>
          </cell>
          <cell r="AC520">
            <v>0.4</v>
          </cell>
        </row>
        <row r="521">
          <cell r="A521">
            <v>2035021</v>
          </cell>
          <cell r="B521">
            <v>2001</v>
          </cell>
          <cell r="C521">
            <v>35</v>
          </cell>
          <cell r="D521" t="str">
            <v>法力风暴</v>
          </cell>
          <cell r="E521">
            <v>810</v>
          </cell>
          <cell r="F521">
            <v>810</v>
          </cell>
          <cell r="G521" t="str">
            <v>25,30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89682</v>
          </cell>
          <cell r="M521">
            <v>8968</v>
          </cell>
          <cell r="N521">
            <v>3397</v>
          </cell>
          <cell r="O521">
            <v>4076</v>
          </cell>
          <cell r="P521">
            <v>170</v>
          </cell>
          <cell r="Q521">
            <v>40</v>
          </cell>
          <cell r="R521">
            <v>40</v>
          </cell>
          <cell r="S521">
            <v>0</v>
          </cell>
          <cell r="T521">
            <v>0</v>
          </cell>
          <cell r="U521">
            <v>468</v>
          </cell>
          <cell r="V521">
            <v>0</v>
          </cell>
          <cell r="W521">
            <v>0</v>
          </cell>
          <cell r="X521" t="str">
            <v>monster/10061.png</v>
          </cell>
          <cell r="Y521">
            <v>1</v>
          </cell>
          <cell r="Z521">
            <v>0</v>
          </cell>
          <cell r="AA521">
            <v>50</v>
          </cell>
          <cell r="AB521">
            <v>25</v>
          </cell>
          <cell r="AC521">
            <v>0.4</v>
          </cell>
        </row>
        <row r="522">
          <cell r="A522">
            <v>2035031</v>
          </cell>
          <cell r="B522">
            <v>2001</v>
          </cell>
          <cell r="C522">
            <v>36</v>
          </cell>
          <cell r="D522" t="str">
            <v>角斗士里奥</v>
          </cell>
          <cell r="E522">
            <v>840</v>
          </cell>
          <cell r="F522">
            <v>840</v>
          </cell>
          <cell r="G522">
            <v>5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162270</v>
          </cell>
          <cell r="M522">
            <v>1060</v>
          </cell>
          <cell r="N522">
            <v>2290</v>
          </cell>
          <cell r="O522">
            <v>2748</v>
          </cell>
          <cell r="P522">
            <v>200</v>
          </cell>
          <cell r="Q522">
            <v>50</v>
          </cell>
          <cell r="R522">
            <v>50</v>
          </cell>
          <cell r="S522">
            <v>0</v>
          </cell>
          <cell r="T522">
            <v>0</v>
          </cell>
          <cell r="U522">
            <v>494</v>
          </cell>
          <cell r="V522">
            <v>0</v>
          </cell>
          <cell r="W522">
            <v>0</v>
          </cell>
          <cell r="X522" t="str">
            <v>monster/10067.png</v>
          </cell>
          <cell r="Y522">
            <v>1</v>
          </cell>
          <cell r="Z522">
            <v>0</v>
          </cell>
          <cell r="AA522">
            <v>50</v>
          </cell>
          <cell r="AB522">
            <v>25</v>
          </cell>
          <cell r="AC522">
            <v>0.4</v>
          </cell>
        </row>
        <row r="523">
          <cell r="A523">
            <v>2035041</v>
          </cell>
          <cell r="B523">
            <v>2001</v>
          </cell>
          <cell r="C523">
            <v>36</v>
          </cell>
          <cell r="D523" t="str">
            <v>荒野游侠</v>
          </cell>
          <cell r="E523">
            <v>840</v>
          </cell>
          <cell r="F523">
            <v>840</v>
          </cell>
          <cell r="G523">
            <v>16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144061</v>
          </cell>
          <cell r="M523">
            <v>2120</v>
          </cell>
          <cell r="N523">
            <v>2309</v>
          </cell>
          <cell r="O523">
            <v>2771</v>
          </cell>
          <cell r="P523">
            <v>200</v>
          </cell>
          <cell r="Q523">
            <v>50</v>
          </cell>
          <cell r="R523">
            <v>50</v>
          </cell>
          <cell r="S523">
            <v>0</v>
          </cell>
          <cell r="T523">
            <v>0</v>
          </cell>
          <cell r="U523">
            <v>1226</v>
          </cell>
          <cell r="V523">
            <v>0</v>
          </cell>
          <cell r="W523">
            <v>0</v>
          </cell>
          <cell r="X523" t="str">
            <v>monster/10096.png</v>
          </cell>
          <cell r="Y523">
            <v>1</v>
          </cell>
          <cell r="Z523">
            <v>0</v>
          </cell>
          <cell r="AA523">
            <v>50</v>
          </cell>
          <cell r="AB523">
            <v>25</v>
          </cell>
          <cell r="AC523">
            <v>0.4</v>
          </cell>
        </row>
        <row r="524">
          <cell r="A524">
            <v>2035051</v>
          </cell>
          <cell r="B524">
            <v>2001</v>
          </cell>
          <cell r="C524">
            <v>36</v>
          </cell>
          <cell r="D524" t="str">
            <v>憾地者</v>
          </cell>
          <cell r="E524">
            <v>840</v>
          </cell>
          <cell r="F524">
            <v>840</v>
          </cell>
          <cell r="G524">
            <v>4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199837</v>
          </cell>
          <cell r="M524">
            <v>1060</v>
          </cell>
          <cell r="N524">
            <v>1978</v>
          </cell>
          <cell r="O524">
            <v>2374</v>
          </cell>
          <cell r="P524">
            <v>200</v>
          </cell>
          <cell r="Q524">
            <v>50</v>
          </cell>
          <cell r="R524">
            <v>50</v>
          </cell>
          <cell r="S524">
            <v>0</v>
          </cell>
          <cell r="T524">
            <v>0</v>
          </cell>
          <cell r="U524">
            <v>494</v>
          </cell>
          <cell r="V524">
            <v>0</v>
          </cell>
          <cell r="W524">
            <v>0</v>
          </cell>
          <cell r="X524" t="str">
            <v>monster/10123.png</v>
          </cell>
          <cell r="Y524">
            <v>1</v>
          </cell>
          <cell r="Z524">
            <v>0</v>
          </cell>
          <cell r="AA524">
            <v>50</v>
          </cell>
          <cell r="AB524">
            <v>25</v>
          </cell>
          <cell r="AC524">
            <v>0.4</v>
          </cell>
        </row>
        <row r="525">
          <cell r="A525">
            <v>2035061</v>
          </cell>
          <cell r="B525">
            <v>2001</v>
          </cell>
          <cell r="C525">
            <v>37</v>
          </cell>
          <cell r="D525" t="str">
            <v>拉兹</v>
          </cell>
          <cell r="E525">
            <v>870</v>
          </cell>
          <cell r="F525">
            <v>870</v>
          </cell>
          <cell r="G525">
            <v>10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228171</v>
          </cell>
          <cell r="M525">
            <v>2140</v>
          </cell>
          <cell r="N525">
            <v>2823</v>
          </cell>
          <cell r="O525">
            <v>3388</v>
          </cell>
          <cell r="P525">
            <v>230</v>
          </cell>
          <cell r="Q525">
            <v>60</v>
          </cell>
          <cell r="R525">
            <v>60</v>
          </cell>
          <cell r="S525">
            <v>0</v>
          </cell>
          <cell r="T525">
            <v>1059</v>
          </cell>
          <cell r="U525">
            <v>522</v>
          </cell>
          <cell r="V525">
            <v>0</v>
          </cell>
          <cell r="W525">
            <v>0</v>
          </cell>
          <cell r="X525" t="str">
            <v>monster/10106.png</v>
          </cell>
          <cell r="Y525">
            <v>1</v>
          </cell>
          <cell r="Z525">
            <v>0</v>
          </cell>
          <cell r="AA525">
            <v>50</v>
          </cell>
          <cell r="AB525">
            <v>25</v>
          </cell>
          <cell r="AC525">
            <v>0.4</v>
          </cell>
        </row>
        <row r="526">
          <cell r="A526">
            <v>2035071</v>
          </cell>
          <cell r="B526">
            <v>2001</v>
          </cell>
          <cell r="C526">
            <v>37</v>
          </cell>
          <cell r="D526" t="str">
            <v>塔克</v>
          </cell>
          <cell r="E526">
            <v>870</v>
          </cell>
          <cell r="F526">
            <v>870</v>
          </cell>
          <cell r="G526">
            <v>3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136903</v>
          </cell>
          <cell r="M526">
            <v>1070</v>
          </cell>
          <cell r="N526">
            <v>823</v>
          </cell>
          <cell r="O526">
            <v>988</v>
          </cell>
          <cell r="P526">
            <v>230</v>
          </cell>
          <cell r="Q526">
            <v>60</v>
          </cell>
          <cell r="R526">
            <v>60</v>
          </cell>
          <cell r="S526">
            <v>0</v>
          </cell>
          <cell r="T526">
            <v>0</v>
          </cell>
          <cell r="U526">
            <v>522</v>
          </cell>
          <cell r="V526">
            <v>0</v>
          </cell>
          <cell r="W526">
            <v>0</v>
          </cell>
          <cell r="X526" t="str">
            <v>monster/10085.png</v>
          </cell>
          <cell r="Y526">
            <v>1</v>
          </cell>
          <cell r="Z526">
            <v>0</v>
          </cell>
          <cell r="AA526">
            <v>50</v>
          </cell>
          <cell r="AB526">
            <v>25</v>
          </cell>
          <cell r="AC526">
            <v>0.4</v>
          </cell>
        </row>
        <row r="527">
          <cell r="A527">
            <v>2035072</v>
          </cell>
          <cell r="B527">
            <v>2001</v>
          </cell>
          <cell r="C527">
            <v>37</v>
          </cell>
          <cell r="D527" t="str">
            <v>迪皮斯</v>
          </cell>
          <cell r="E527">
            <v>870</v>
          </cell>
          <cell r="F527">
            <v>870</v>
          </cell>
          <cell r="G527" t="str">
            <v>17,14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100767</v>
          </cell>
          <cell r="M527">
            <v>1070</v>
          </cell>
          <cell r="N527">
            <v>1426</v>
          </cell>
          <cell r="O527">
            <v>1711</v>
          </cell>
          <cell r="P527">
            <v>230</v>
          </cell>
          <cell r="Q527">
            <v>60</v>
          </cell>
          <cell r="R527">
            <v>60</v>
          </cell>
          <cell r="S527">
            <v>0</v>
          </cell>
          <cell r="T527">
            <v>0</v>
          </cell>
          <cell r="U527">
            <v>522</v>
          </cell>
          <cell r="V527">
            <v>0</v>
          </cell>
          <cell r="W527">
            <v>0</v>
          </cell>
          <cell r="X527" t="str">
            <v>monster/10012.png</v>
          </cell>
          <cell r="Y527">
            <v>1</v>
          </cell>
          <cell r="Z527">
            <v>0</v>
          </cell>
          <cell r="AA527">
            <v>50</v>
          </cell>
          <cell r="AB527">
            <v>25</v>
          </cell>
          <cell r="AC527">
            <v>0.4</v>
          </cell>
        </row>
        <row r="528">
          <cell r="A528">
            <v>2035081</v>
          </cell>
          <cell r="B528">
            <v>2001</v>
          </cell>
          <cell r="C528">
            <v>38</v>
          </cell>
          <cell r="D528" t="str">
            <v>狂野安东尼</v>
          </cell>
          <cell r="E528">
            <v>900</v>
          </cell>
          <cell r="F528">
            <v>900</v>
          </cell>
          <cell r="G528">
            <v>7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276607</v>
          </cell>
          <cell r="M528">
            <v>1080</v>
          </cell>
          <cell r="N528">
            <v>2401</v>
          </cell>
          <cell r="O528">
            <v>2881</v>
          </cell>
          <cell r="P528">
            <v>260</v>
          </cell>
          <cell r="Q528">
            <v>70</v>
          </cell>
          <cell r="R528">
            <v>70</v>
          </cell>
          <cell r="S528">
            <v>0</v>
          </cell>
          <cell r="T528">
            <v>0</v>
          </cell>
          <cell r="U528">
            <v>549</v>
          </cell>
          <cell r="V528">
            <v>0</v>
          </cell>
          <cell r="W528">
            <v>0</v>
          </cell>
          <cell r="X528" t="str">
            <v>monster/10086.png</v>
          </cell>
          <cell r="Y528">
            <v>1</v>
          </cell>
          <cell r="Z528">
            <v>0</v>
          </cell>
          <cell r="AA528">
            <v>50</v>
          </cell>
          <cell r="AB528">
            <v>25</v>
          </cell>
          <cell r="AC528">
            <v>0.4</v>
          </cell>
        </row>
        <row r="529">
          <cell r="A529">
            <v>2035091</v>
          </cell>
          <cell r="B529">
            <v>2001</v>
          </cell>
          <cell r="C529">
            <v>39</v>
          </cell>
          <cell r="D529" t="str">
            <v>巡林者瑞克</v>
          </cell>
          <cell r="E529">
            <v>930</v>
          </cell>
          <cell r="F529">
            <v>930</v>
          </cell>
          <cell r="G529">
            <v>15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314107</v>
          </cell>
          <cell r="M529">
            <v>1090</v>
          </cell>
          <cell r="N529">
            <v>2435</v>
          </cell>
          <cell r="O529">
            <v>2922</v>
          </cell>
          <cell r="P529">
            <v>290</v>
          </cell>
          <cell r="Q529">
            <v>80</v>
          </cell>
          <cell r="R529">
            <v>80</v>
          </cell>
          <cell r="S529">
            <v>0</v>
          </cell>
          <cell r="T529">
            <v>0</v>
          </cell>
          <cell r="U529">
            <v>578</v>
          </cell>
          <cell r="V529">
            <v>0</v>
          </cell>
          <cell r="W529">
            <v>0</v>
          </cell>
          <cell r="X529" t="str">
            <v>monster/10094.png</v>
          </cell>
          <cell r="Y529">
            <v>1</v>
          </cell>
          <cell r="Z529">
            <v>0</v>
          </cell>
          <cell r="AA529">
            <v>50</v>
          </cell>
          <cell r="AB529">
            <v>25</v>
          </cell>
          <cell r="AC529">
            <v>0.4</v>
          </cell>
        </row>
        <row r="530">
          <cell r="A530">
            <v>2040011</v>
          </cell>
          <cell r="B530">
            <v>2001</v>
          </cell>
          <cell r="C530">
            <v>40</v>
          </cell>
          <cell r="D530" t="str">
            <v>猎人幻象</v>
          </cell>
          <cell r="E530">
            <v>960</v>
          </cell>
          <cell r="F530">
            <v>960</v>
          </cell>
          <cell r="G530">
            <v>11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191319</v>
          </cell>
          <cell r="M530">
            <v>1100</v>
          </cell>
          <cell r="N530">
            <v>3463</v>
          </cell>
          <cell r="O530">
            <v>4156</v>
          </cell>
          <cell r="P530">
            <v>320</v>
          </cell>
          <cell r="Q530">
            <v>90</v>
          </cell>
          <cell r="R530">
            <v>90</v>
          </cell>
          <cell r="S530">
            <v>871</v>
          </cell>
          <cell r="T530">
            <v>0</v>
          </cell>
          <cell r="U530">
            <v>607</v>
          </cell>
          <cell r="V530">
            <v>0</v>
          </cell>
          <cell r="W530">
            <v>0</v>
          </cell>
          <cell r="X530" t="str">
            <v>UI/Program/HeroHunter_Woman_1.png</v>
          </cell>
          <cell r="Y530">
            <v>1</v>
          </cell>
          <cell r="Z530">
            <v>0</v>
          </cell>
          <cell r="AA530">
            <v>50</v>
          </cell>
          <cell r="AB530">
            <v>25</v>
          </cell>
          <cell r="AC530">
            <v>0.4</v>
          </cell>
        </row>
        <row r="531">
          <cell r="A531">
            <v>2040021</v>
          </cell>
          <cell r="B531">
            <v>2001</v>
          </cell>
          <cell r="C531">
            <v>40</v>
          </cell>
          <cell r="D531" t="str">
            <v>法力风暴</v>
          </cell>
          <cell r="E531">
            <v>960</v>
          </cell>
          <cell r="F531">
            <v>960</v>
          </cell>
          <cell r="G531" t="str">
            <v>25,30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148290</v>
          </cell>
          <cell r="M531">
            <v>14829</v>
          </cell>
          <cell r="N531">
            <v>5324</v>
          </cell>
          <cell r="O531">
            <v>6389</v>
          </cell>
          <cell r="P531">
            <v>320</v>
          </cell>
          <cell r="Q531">
            <v>90</v>
          </cell>
          <cell r="R531">
            <v>90</v>
          </cell>
          <cell r="S531">
            <v>0</v>
          </cell>
          <cell r="T531">
            <v>0</v>
          </cell>
          <cell r="U531">
            <v>607</v>
          </cell>
          <cell r="V531">
            <v>0</v>
          </cell>
          <cell r="W531">
            <v>0</v>
          </cell>
          <cell r="X531" t="str">
            <v>monster/10061.png</v>
          </cell>
          <cell r="Y531">
            <v>1</v>
          </cell>
          <cell r="Z531">
            <v>0</v>
          </cell>
          <cell r="AA531">
            <v>50</v>
          </cell>
          <cell r="AB531">
            <v>25</v>
          </cell>
          <cell r="AC531">
            <v>0.4</v>
          </cell>
        </row>
        <row r="532">
          <cell r="A532">
            <v>2040031</v>
          </cell>
          <cell r="B532">
            <v>2001</v>
          </cell>
          <cell r="C532">
            <v>41</v>
          </cell>
          <cell r="D532" t="str">
            <v>角斗士里奥</v>
          </cell>
          <cell r="E532">
            <v>1000</v>
          </cell>
          <cell r="F532">
            <v>1000</v>
          </cell>
          <cell r="G532">
            <v>5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258663</v>
          </cell>
          <cell r="M532">
            <v>1110</v>
          </cell>
          <cell r="N532">
            <v>3668</v>
          </cell>
          <cell r="O532">
            <v>4402</v>
          </cell>
          <cell r="P532">
            <v>350</v>
          </cell>
          <cell r="Q532">
            <v>100</v>
          </cell>
          <cell r="R532">
            <v>100</v>
          </cell>
          <cell r="S532">
            <v>0</v>
          </cell>
          <cell r="T532">
            <v>0</v>
          </cell>
          <cell r="U532">
            <v>638</v>
          </cell>
          <cell r="V532">
            <v>0</v>
          </cell>
          <cell r="W532">
            <v>0</v>
          </cell>
          <cell r="X532" t="str">
            <v>monster/10067.png</v>
          </cell>
          <cell r="Y532">
            <v>1</v>
          </cell>
          <cell r="Z532">
            <v>0</v>
          </cell>
          <cell r="AA532">
            <v>50</v>
          </cell>
          <cell r="AB532">
            <v>25</v>
          </cell>
          <cell r="AC532">
            <v>0.4</v>
          </cell>
        </row>
        <row r="533">
          <cell r="A533">
            <v>2040041</v>
          </cell>
          <cell r="B533">
            <v>2001</v>
          </cell>
          <cell r="C533">
            <v>41</v>
          </cell>
          <cell r="D533" t="str">
            <v>荒野游侠</v>
          </cell>
          <cell r="E533">
            <v>1000</v>
          </cell>
          <cell r="F533">
            <v>1000</v>
          </cell>
          <cell r="G533">
            <v>16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226604</v>
          </cell>
          <cell r="M533">
            <v>2220</v>
          </cell>
          <cell r="N533">
            <v>3753</v>
          </cell>
          <cell r="O533">
            <v>4504</v>
          </cell>
          <cell r="P533">
            <v>350</v>
          </cell>
          <cell r="Q533">
            <v>100</v>
          </cell>
          <cell r="R533">
            <v>100</v>
          </cell>
          <cell r="S533">
            <v>0</v>
          </cell>
          <cell r="T533">
            <v>0</v>
          </cell>
          <cell r="U533">
            <v>1583</v>
          </cell>
          <cell r="V533">
            <v>0</v>
          </cell>
          <cell r="W533">
            <v>0</v>
          </cell>
          <cell r="X533" t="str">
            <v>monster/10096.png</v>
          </cell>
          <cell r="Y533">
            <v>1</v>
          </cell>
          <cell r="Z533">
            <v>0</v>
          </cell>
          <cell r="AA533">
            <v>50</v>
          </cell>
          <cell r="AB533">
            <v>25</v>
          </cell>
          <cell r="AC533">
            <v>0.4</v>
          </cell>
        </row>
        <row r="534">
          <cell r="A534">
            <v>2040051</v>
          </cell>
          <cell r="B534">
            <v>2001</v>
          </cell>
          <cell r="C534">
            <v>41</v>
          </cell>
          <cell r="D534" t="str">
            <v>憾地者</v>
          </cell>
          <cell r="E534">
            <v>1000</v>
          </cell>
          <cell r="F534">
            <v>1000</v>
          </cell>
          <cell r="G534">
            <v>4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310186</v>
          </cell>
          <cell r="M534">
            <v>1110</v>
          </cell>
          <cell r="N534">
            <v>3263</v>
          </cell>
          <cell r="O534">
            <v>3916</v>
          </cell>
          <cell r="P534">
            <v>350</v>
          </cell>
          <cell r="Q534">
            <v>100</v>
          </cell>
          <cell r="R534">
            <v>100</v>
          </cell>
          <cell r="S534">
            <v>0</v>
          </cell>
          <cell r="T534">
            <v>0</v>
          </cell>
          <cell r="U534">
            <v>638</v>
          </cell>
          <cell r="V534">
            <v>0</v>
          </cell>
          <cell r="W534">
            <v>0</v>
          </cell>
          <cell r="X534" t="str">
            <v>monster/10123.png</v>
          </cell>
          <cell r="Y534">
            <v>1</v>
          </cell>
          <cell r="Z534">
            <v>0</v>
          </cell>
          <cell r="AA534">
            <v>50</v>
          </cell>
          <cell r="AB534">
            <v>25</v>
          </cell>
          <cell r="AC534">
            <v>0.4</v>
          </cell>
        </row>
        <row r="535">
          <cell r="A535">
            <v>2040061</v>
          </cell>
          <cell r="B535">
            <v>2001</v>
          </cell>
          <cell r="C535">
            <v>42</v>
          </cell>
          <cell r="D535" t="str">
            <v>拉兹</v>
          </cell>
          <cell r="E535">
            <v>1040</v>
          </cell>
          <cell r="F535">
            <v>1040</v>
          </cell>
          <cell r="G535">
            <v>10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348935</v>
          </cell>
          <cell r="M535">
            <v>2240</v>
          </cell>
          <cell r="N535">
            <v>4749</v>
          </cell>
          <cell r="O535">
            <v>5699</v>
          </cell>
          <cell r="P535">
            <v>380</v>
          </cell>
          <cell r="Q535">
            <v>110</v>
          </cell>
          <cell r="R535">
            <v>110</v>
          </cell>
          <cell r="S535">
            <v>0</v>
          </cell>
          <cell r="T535">
            <v>1358</v>
          </cell>
          <cell r="U535">
            <v>668</v>
          </cell>
          <cell r="V535">
            <v>0</v>
          </cell>
          <cell r="W535">
            <v>0</v>
          </cell>
          <cell r="X535" t="str">
            <v>monster/10106.png</v>
          </cell>
          <cell r="Y535">
            <v>1</v>
          </cell>
          <cell r="Z535">
            <v>0</v>
          </cell>
          <cell r="AA535">
            <v>50</v>
          </cell>
          <cell r="AB535">
            <v>25</v>
          </cell>
          <cell r="AC535">
            <v>0.4</v>
          </cell>
        </row>
        <row r="536">
          <cell r="A536">
            <v>2040071</v>
          </cell>
          <cell r="B536">
            <v>2001</v>
          </cell>
          <cell r="C536">
            <v>42</v>
          </cell>
          <cell r="D536" t="str">
            <v>塔克</v>
          </cell>
          <cell r="E536">
            <v>1040</v>
          </cell>
          <cell r="F536">
            <v>1040</v>
          </cell>
          <cell r="G536">
            <v>3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209361</v>
          </cell>
          <cell r="M536">
            <v>1120</v>
          </cell>
          <cell r="N536">
            <v>1385</v>
          </cell>
          <cell r="O536">
            <v>1662</v>
          </cell>
          <cell r="P536">
            <v>380</v>
          </cell>
          <cell r="Q536">
            <v>110</v>
          </cell>
          <cell r="R536">
            <v>110</v>
          </cell>
          <cell r="S536">
            <v>0</v>
          </cell>
          <cell r="T536">
            <v>0</v>
          </cell>
          <cell r="U536">
            <v>668</v>
          </cell>
          <cell r="V536">
            <v>0</v>
          </cell>
          <cell r="W536">
            <v>0</v>
          </cell>
          <cell r="X536" t="str">
            <v>monster/10085.png</v>
          </cell>
          <cell r="Y536">
            <v>1</v>
          </cell>
          <cell r="Z536">
            <v>0</v>
          </cell>
          <cell r="AA536">
            <v>50</v>
          </cell>
          <cell r="AB536">
            <v>25</v>
          </cell>
          <cell r="AC536">
            <v>0.4</v>
          </cell>
        </row>
        <row r="537">
          <cell r="A537">
            <v>2040072</v>
          </cell>
          <cell r="B537">
            <v>2001</v>
          </cell>
          <cell r="C537">
            <v>42</v>
          </cell>
          <cell r="D537" t="str">
            <v>迪皮斯</v>
          </cell>
          <cell r="E537">
            <v>1040</v>
          </cell>
          <cell r="F537">
            <v>1040</v>
          </cell>
          <cell r="G537" t="str">
            <v>17,14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152665</v>
          </cell>
          <cell r="M537">
            <v>1120</v>
          </cell>
          <cell r="N537">
            <v>2442</v>
          </cell>
          <cell r="O537">
            <v>2930</v>
          </cell>
          <cell r="P537">
            <v>380</v>
          </cell>
          <cell r="Q537">
            <v>110</v>
          </cell>
          <cell r="R537">
            <v>110</v>
          </cell>
          <cell r="S537">
            <v>0</v>
          </cell>
          <cell r="T537">
            <v>0</v>
          </cell>
          <cell r="U537">
            <v>668</v>
          </cell>
          <cell r="V537">
            <v>0</v>
          </cell>
          <cell r="W537">
            <v>0</v>
          </cell>
          <cell r="X537" t="str">
            <v>monster/10012.png</v>
          </cell>
          <cell r="Y537">
            <v>1</v>
          </cell>
          <cell r="Z537">
            <v>0</v>
          </cell>
          <cell r="AA537">
            <v>50</v>
          </cell>
          <cell r="AB537">
            <v>25</v>
          </cell>
          <cell r="AC537">
            <v>0.4</v>
          </cell>
        </row>
        <row r="538">
          <cell r="A538">
            <v>2040081</v>
          </cell>
          <cell r="B538">
            <v>2001</v>
          </cell>
          <cell r="C538">
            <v>43</v>
          </cell>
          <cell r="D538" t="str">
            <v>狂野安东尼</v>
          </cell>
          <cell r="E538">
            <v>1080</v>
          </cell>
          <cell r="F538">
            <v>1080</v>
          </cell>
          <cell r="G538">
            <v>7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416209</v>
          </cell>
          <cell r="M538">
            <v>1130</v>
          </cell>
          <cell r="N538">
            <v>4185</v>
          </cell>
          <cell r="O538">
            <v>5022</v>
          </cell>
          <cell r="P538">
            <v>410</v>
          </cell>
          <cell r="Q538">
            <v>120</v>
          </cell>
          <cell r="R538">
            <v>120</v>
          </cell>
          <cell r="S538">
            <v>0</v>
          </cell>
          <cell r="T538">
            <v>0</v>
          </cell>
          <cell r="U538">
            <v>700</v>
          </cell>
          <cell r="V538">
            <v>0</v>
          </cell>
          <cell r="W538">
            <v>0</v>
          </cell>
          <cell r="X538" t="str">
            <v>monster/10086.png</v>
          </cell>
          <cell r="Y538">
            <v>1</v>
          </cell>
          <cell r="Z538">
            <v>0</v>
          </cell>
          <cell r="AA538">
            <v>50</v>
          </cell>
          <cell r="AB538">
            <v>25</v>
          </cell>
          <cell r="AC538">
            <v>0.4</v>
          </cell>
        </row>
        <row r="539">
          <cell r="A539">
            <v>2040091</v>
          </cell>
          <cell r="B539">
            <v>2001</v>
          </cell>
          <cell r="C539">
            <v>44</v>
          </cell>
          <cell r="D539" t="str">
            <v>巡林者瑞克</v>
          </cell>
          <cell r="E539">
            <v>1120</v>
          </cell>
          <cell r="F539">
            <v>1120</v>
          </cell>
          <cell r="G539">
            <v>15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467813</v>
          </cell>
          <cell r="M539">
            <v>1140.0000000000002</v>
          </cell>
          <cell r="N539">
            <v>4344</v>
          </cell>
          <cell r="O539">
            <v>5213</v>
          </cell>
          <cell r="P539">
            <v>440</v>
          </cell>
          <cell r="Q539">
            <v>130</v>
          </cell>
          <cell r="R539">
            <v>130</v>
          </cell>
          <cell r="S539">
            <v>0</v>
          </cell>
          <cell r="T539">
            <v>0</v>
          </cell>
          <cell r="U539">
            <v>732</v>
          </cell>
          <cell r="V539">
            <v>0</v>
          </cell>
          <cell r="W539">
            <v>0</v>
          </cell>
          <cell r="X539" t="str">
            <v>monster/10094.png</v>
          </cell>
          <cell r="Y539">
            <v>1</v>
          </cell>
          <cell r="Z539">
            <v>0</v>
          </cell>
          <cell r="AA539">
            <v>50</v>
          </cell>
          <cell r="AB539">
            <v>25</v>
          </cell>
          <cell r="AC539">
            <v>0.4</v>
          </cell>
        </row>
        <row r="540">
          <cell r="A540">
            <v>2045011</v>
          </cell>
          <cell r="B540">
            <v>2001</v>
          </cell>
          <cell r="C540">
            <v>45</v>
          </cell>
          <cell r="D540" t="str">
            <v>猎人幻象</v>
          </cell>
          <cell r="E540">
            <v>1160</v>
          </cell>
          <cell r="F540">
            <v>1160</v>
          </cell>
          <cell r="G540">
            <v>11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281069</v>
          </cell>
          <cell r="M540">
            <v>1150</v>
          </cell>
          <cell r="N540">
            <v>4133</v>
          </cell>
          <cell r="O540">
            <v>4960</v>
          </cell>
          <cell r="P540">
            <v>470</v>
          </cell>
          <cell r="Q540">
            <v>140</v>
          </cell>
          <cell r="R540">
            <v>140</v>
          </cell>
          <cell r="S540">
            <v>1098</v>
          </cell>
          <cell r="T540">
            <v>0</v>
          </cell>
          <cell r="U540">
            <v>766</v>
          </cell>
          <cell r="V540">
            <v>0</v>
          </cell>
          <cell r="W540">
            <v>0</v>
          </cell>
          <cell r="X540" t="str">
            <v>UI/Program/HeroHunter_Woman_1.png</v>
          </cell>
          <cell r="Y540">
            <v>1</v>
          </cell>
          <cell r="Z540">
            <v>0</v>
          </cell>
          <cell r="AA540">
            <v>50</v>
          </cell>
          <cell r="AB540">
            <v>25</v>
          </cell>
          <cell r="AC540">
            <v>0.4</v>
          </cell>
        </row>
        <row r="541">
          <cell r="A541">
            <v>2045021</v>
          </cell>
          <cell r="B541">
            <v>2001</v>
          </cell>
          <cell r="C541">
            <v>45</v>
          </cell>
          <cell r="D541" t="str">
            <v>法力风暴</v>
          </cell>
          <cell r="E541">
            <v>1160</v>
          </cell>
          <cell r="F541">
            <v>1160</v>
          </cell>
          <cell r="G541" t="str">
            <v>25,30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214256</v>
          </cell>
          <cell r="M541">
            <v>21426</v>
          </cell>
          <cell r="N541">
            <v>6429</v>
          </cell>
          <cell r="O541">
            <v>7715</v>
          </cell>
          <cell r="P541">
            <v>470</v>
          </cell>
          <cell r="Q541">
            <v>140</v>
          </cell>
          <cell r="R541">
            <v>140</v>
          </cell>
          <cell r="S541">
            <v>0</v>
          </cell>
          <cell r="T541">
            <v>0</v>
          </cell>
          <cell r="U541">
            <v>766</v>
          </cell>
          <cell r="V541">
            <v>0</v>
          </cell>
          <cell r="W541">
            <v>0</v>
          </cell>
          <cell r="X541" t="str">
            <v>monster/10061.png</v>
          </cell>
          <cell r="Y541">
            <v>1</v>
          </cell>
          <cell r="Z541">
            <v>0</v>
          </cell>
          <cell r="AA541">
            <v>50</v>
          </cell>
          <cell r="AB541">
            <v>25</v>
          </cell>
          <cell r="AC541">
            <v>0.4</v>
          </cell>
        </row>
        <row r="542">
          <cell r="A542">
            <v>2045031</v>
          </cell>
          <cell r="B542">
            <v>2001</v>
          </cell>
          <cell r="C542">
            <v>46</v>
          </cell>
          <cell r="D542" t="str">
            <v>角斗士里奥</v>
          </cell>
          <cell r="E542">
            <v>1200</v>
          </cell>
          <cell r="F542">
            <v>1200</v>
          </cell>
          <cell r="G542">
            <v>5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366161</v>
          </cell>
          <cell r="M542">
            <v>1160</v>
          </cell>
          <cell r="N542">
            <v>4499</v>
          </cell>
          <cell r="O542">
            <v>5399</v>
          </cell>
          <cell r="P542">
            <v>500</v>
          </cell>
          <cell r="Q542">
            <v>150</v>
          </cell>
          <cell r="R542">
            <v>150</v>
          </cell>
          <cell r="S542">
            <v>0</v>
          </cell>
          <cell r="T542">
            <v>0</v>
          </cell>
          <cell r="U542">
            <v>799</v>
          </cell>
          <cell r="V542">
            <v>0</v>
          </cell>
          <cell r="W542">
            <v>0</v>
          </cell>
          <cell r="X542" t="str">
            <v>monster/10067.png</v>
          </cell>
          <cell r="Y542">
            <v>1</v>
          </cell>
          <cell r="Z542">
            <v>0</v>
          </cell>
          <cell r="AA542">
            <v>50</v>
          </cell>
          <cell r="AB542">
            <v>25</v>
          </cell>
          <cell r="AC542">
            <v>0.4</v>
          </cell>
        </row>
        <row r="543">
          <cell r="A543">
            <v>2045041</v>
          </cell>
          <cell r="B543">
            <v>2001</v>
          </cell>
          <cell r="C543">
            <v>46</v>
          </cell>
          <cell r="D543" t="str">
            <v>荒野游侠</v>
          </cell>
          <cell r="E543">
            <v>1200</v>
          </cell>
          <cell r="F543">
            <v>1200</v>
          </cell>
          <cell r="G543">
            <v>16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318130</v>
          </cell>
          <cell r="M543">
            <v>2320</v>
          </cell>
          <cell r="N543">
            <v>4647</v>
          </cell>
          <cell r="O543">
            <v>5576</v>
          </cell>
          <cell r="P543">
            <v>500</v>
          </cell>
          <cell r="Q543">
            <v>150</v>
          </cell>
          <cell r="R543">
            <v>150</v>
          </cell>
          <cell r="S543">
            <v>0</v>
          </cell>
          <cell r="T543">
            <v>0</v>
          </cell>
          <cell r="U543">
            <v>1984</v>
          </cell>
          <cell r="V543">
            <v>0</v>
          </cell>
          <cell r="W543">
            <v>0</v>
          </cell>
          <cell r="X543" t="str">
            <v>monster/10096.png</v>
          </cell>
          <cell r="Y543">
            <v>1</v>
          </cell>
          <cell r="Z543">
            <v>0</v>
          </cell>
          <cell r="AA543">
            <v>50</v>
          </cell>
          <cell r="AB543">
            <v>25</v>
          </cell>
          <cell r="AC543">
            <v>0.4</v>
          </cell>
        </row>
        <row r="544">
          <cell r="A544">
            <v>2045051</v>
          </cell>
          <cell r="B544">
            <v>2001</v>
          </cell>
          <cell r="C544">
            <v>46</v>
          </cell>
          <cell r="D544" t="str">
            <v>憾地者</v>
          </cell>
          <cell r="E544">
            <v>1200</v>
          </cell>
          <cell r="F544">
            <v>1200</v>
          </cell>
          <cell r="G544">
            <v>4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431875</v>
          </cell>
          <cell r="M544">
            <v>1160</v>
          </cell>
          <cell r="N544">
            <v>4081</v>
          </cell>
          <cell r="O544">
            <v>4897</v>
          </cell>
          <cell r="P544">
            <v>500</v>
          </cell>
          <cell r="Q544">
            <v>150</v>
          </cell>
          <cell r="R544">
            <v>150</v>
          </cell>
          <cell r="S544">
            <v>0</v>
          </cell>
          <cell r="T544">
            <v>0</v>
          </cell>
          <cell r="U544">
            <v>799</v>
          </cell>
          <cell r="V544">
            <v>0</v>
          </cell>
          <cell r="W544">
            <v>0</v>
          </cell>
          <cell r="X544" t="str">
            <v>monster/10123.png</v>
          </cell>
          <cell r="Y544">
            <v>1</v>
          </cell>
          <cell r="Z544">
            <v>0</v>
          </cell>
          <cell r="AA544">
            <v>50</v>
          </cell>
          <cell r="AB544">
            <v>25</v>
          </cell>
          <cell r="AC544">
            <v>0.4</v>
          </cell>
        </row>
        <row r="545">
          <cell r="A545">
            <v>2045061</v>
          </cell>
          <cell r="B545">
            <v>2001</v>
          </cell>
          <cell r="C545">
            <v>47</v>
          </cell>
          <cell r="D545" t="str">
            <v>拉兹</v>
          </cell>
          <cell r="E545">
            <v>1240</v>
          </cell>
          <cell r="F545">
            <v>1240</v>
          </cell>
          <cell r="G545">
            <v>10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442234</v>
          </cell>
          <cell r="M545">
            <v>2340</v>
          </cell>
          <cell r="N545">
            <v>6016</v>
          </cell>
          <cell r="O545">
            <v>7219</v>
          </cell>
          <cell r="P545">
            <v>1000</v>
          </cell>
          <cell r="Q545">
            <v>300</v>
          </cell>
          <cell r="R545">
            <v>300</v>
          </cell>
          <cell r="S545">
            <v>0</v>
          </cell>
          <cell r="T545">
            <v>1694</v>
          </cell>
          <cell r="U545">
            <v>834</v>
          </cell>
          <cell r="V545">
            <v>0</v>
          </cell>
          <cell r="W545">
            <v>0</v>
          </cell>
          <cell r="X545" t="str">
            <v>monster/10106.png</v>
          </cell>
          <cell r="Y545">
            <v>1</v>
          </cell>
          <cell r="Z545">
            <v>0</v>
          </cell>
          <cell r="AA545">
            <v>50</v>
          </cell>
          <cell r="AB545">
            <v>25</v>
          </cell>
          <cell r="AC545">
            <v>0.4</v>
          </cell>
        </row>
        <row r="546">
          <cell r="A546">
            <v>2045071</v>
          </cell>
          <cell r="B546">
            <v>2001</v>
          </cell>
          <cell r="C546">
            <v>47</v>
          </cell>
          <cell r="D546" t="str">
            <v>塔克</v>
          </cell>
          <cell r="E546">
            <v>1240</v>
          </cell>
          <cell r="F546">
            <v>1240</v>
          </cell>
          <cell r="G546">
            <v>3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265340</v>
          </cell>
          <cell r="M546">
            <v>1170</v>
          </cell>
          <cell r="N546">
            <v>1755</v>
          </cell>
          <cell r="O546">
            <v>2106</v>
          </cell>
          <cell r="P546">
            <v>1000</v>
          </cell>
          <cell r="Q546">
            <v>300</v>
          </cell>
          <cell r="R546">
            <v>300</v>
          </cell>
          <cell r="S546">
            <v>0</v>
          </cell>
          <cell r="T546">
            <v>0</v>
          </cell>
          <cell r="U546">
            <v>834</v>
          </cell>
          <cell r="V546">
            <v>0</v>
          </cell>
          <cell r="W546">
            <v>0</v>
          </cell>
          <cell r="X546" t="str">
            <v>monster/10085.png</v>
          </cell>
          <cell r="Y546">
            <v>1</v>
          </cell>
          <cell r="Z546">
            <v>0</v>
          </cell>
          <cell r="AA546">
            <v>50</v>
          </cell>
          <cell r="AB546">
            <v>25</v>
          </cell>
          <cell r="AC546">
            <v>0.4</v>
          </cell>
        </row>
        <row r="547">
          <cell r="A547">
            <v>2045072</v>
          </cell>
          <cell r="B547">
            <v>2001</v>
          </cell>
          <cell r="C547">
            <v>47</v>
          </cell>
          <cell r="D547" t="str">
            <v>迪皮斯</v>
          </cell>
          <cell r="E547">
            <v>1240</v>
          </cell>
          <cell r="F547">
            <v>1240</v>
          </cell>
          <cell r="G547" t="str">
            <v>17,14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192287</v>
          </cell>
          <cell r="M547">
            <v>1170</v>
          </cell>
          <cell r="N547">
            <v>3126</v>
          </cell>
          <cell r="O547">
            <v>3751</v>
          </cell>
          <cell r="P547">
            <v>1000</v>
          </cell>
          <cell r="Q547">
            <v>300</v>
          </cell>
          <cell r="R547">
            <v>300</v>
          </cell>
          <cell r="S547">
            <v>0</v>
          </cell>
          <cell r="T547">
            <v>0</v>
          </cell>
          <cell r="U547">
            <v>834</v>
          </cell>
          <cell r="V547">
            <v>0</v>
          </cell>
          <cell r="W547">
            <v>0</v>
          </cell>
          <cell r="X547" t="str">
            <v>monster/10012.png</v>
          </cell>
          <cell r="Y547">
            <v>1</v>
          </cell>
          <cell r="Z547">
            <v>0</v>
          </cell>
          <cell r="AA547">
            <v>50</v>
          </cell>
          <cell r="AB547">
            <v>25</v>
          </cell>
          <cell r="AC547">
            <v>0.4</v>
          </cell>
        </row>
        <row r="548">
          <cell r="A548">
            <v>2045081</v>
          </cell>
          <cell r="B548">
            <v>2001</v>
          </cell>
          <cell r="C548">
            <v>48</v>
          </cell>
          <cell r="D548" t="str">
            <v>狂野安东尼</v>
          </cell>
          <cell r="E548">
            <v>1280</v>
          </cell>
          <cell r="F548">
            <v>1280</v>
          </cell>
          <cell r="G548">
            <v>7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484270</v>
          </cell>
          <cell r="M548">
            <v>1180</v>
          </cell>
          <cell r="N548">
            <v>5414</v>
          </cell>
          <cell r="O548">
            <v>6497</v>
          </cell>
          <cell r="P548">
            <v>1500</v>
          </cell>
          <cell r="Q548">
            <v>450</v>
          </cell>
          <cell r="R548">
            <v>450</v>
          </cell>
          <cell r="S548">
            <v>0</v>
          </cell>
          <cell r="T548">
            <v>0</v>
          </cell>
          <cell r="U548">
            <v>869</v>
          </cell>
          <cell r="V548">
            <v>0</v>
          </cell>
          <cell r="W548">
            <v>0</v>
          </cell>
          <cell r="X548" t="str">
            <v>monster/10086.png</v>
          </cell>
          <cell r="Y548">
            <v>1</v>
          </cell>
          <cell r="Z548">
            <v>0</v>
          </cell>
          <cell r="AA548">
            <v>50</v>
          </cell>
          <cell r="AB548">
            <v>25</v>
          </cell>
          <cell r="AC548">
            <v>0.4</v>
          </cell>
        </row>
        <row r="549">
          <cell r="A549">
            <v>2045091</v>
          </cell>
          <cell r="B549">
            <v>2001</v>
          </cell>
          <cell r="C549">
            <v>49</v>
          </cell>
          <cell r="D549" t="str">
            <v>巡林者瑞克</v>
          </cell>
          <cell r="E549">
            <v>1320</v>
          </cell>
          <cell r="F549">
            <v>1320</v>
          </cell>
          <cell r="G549">
            <v>15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505972</v>
          </cell>
          <cell r="M549">
            <v>1190</v>
          </cell>
          <cell r="N549">
            <v>5698</v>
          </cell>
          <cell r="O549">
            <v>6838</v>
          </cell>
          <cell r="P549">
            <v>2000</v>
          </cell>
          <cell r="Q549">
            <v>600</v>
          </cell>
          <cell r="R549">
            <v>600</v>
          </cell>
          <cell r="S549">
            <v>0</v>
          </cell>
          <cell r="T549">
            <v>0</v>
          </cell>
          <cell r="U549">
            <v>906</v>
          </cell>
          <cell r="V549">
            <v>0</v>
          </cell>
          <cell r="W549">
            <v>0</v>
          </cell>
          <cell r="X549" t="str">
            <v>monster/10094.png</v>
          </cell>
          <cell r="Y549">
            <v>1</v>
          </cell>
          <cell r="Z549">
            <v>0</v>
          </cell>
          <cell r="AA549">
            <v>50</v>
          </cell>
          <cell r="AB549">
            <v>25</v>
          </cell>
          <cell r="AC549">
            <v>0.4</v>
          </cell>
        </row>
        <row r="550">
          <cell r="A550">
            <v>2050011</v>
          </cell>
          <cell r="B550">
            <v>2001</v>
          </cell>
          <cell r="C550">
            <v>50</v>
          </cell>
          <cell r="D550" t="str">
            <v>猎人幻象</v>
          </cell>
          <cell r="E550">
            <v>1360</v>
          </cell>
          <cell r="F550">
            <v>1360</v>
          </cell>
          <cell r="G550">
            <v>11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335691</v>
          </cell>
          <cell r="M550">
            <v>1200</v>
          </cell>
          <cell r="N550">
            <v>6335</v>
          </cell>
          <cell r="O550">
            <v>7602</v>
          </cell>
          <cell r="P550">
            <v>2500</v>
          </cell>
          <cell r="Q550">
            <v>750</v>
          </cell>
          <cell r="R550">
            <v>750</v>
          </cell>
          <cell r="S550">
            <v>1351</v>
          </cell>
          <cell r="T550">
            <v>0</v>
          </cell>
          <cell r="U550">
            <v>942</v>
          </cell>
          <cell r="V550">
            <v>0</v>
          </cell>
          <cell r="W550">
            <v>0</v>
          </cell>
          <cell r="X550" t="str">
            <v>UI/Program/HeroHunter_Woman_1.png</v>
          </cell>
          <cell r="Y550">
            <v>1</v>
          </cell>
          <cell r="Z550">
            <v>0</v>
          </cell>
          <cell r="AA550">
            <v>50</v>
          </cell>
          <cell r="AB550">
            <v>25</v>
          </cell>
          <cell r="AC550">
            <v>0.4</v>
          </cell>
        </row>
        <row r="551">
          <cell r="A551">
            <v>2050021</v>
          </cell>
          <cell r="B551">
            <v>2001</v>
          </cell>
          <cell r="C551">
            <v>50</v>
          </cell>
          <cell r="D551" t="str">
            <v>法力风暴</v>
          </cell>
          <cell r="E551">
            <v>1360</v>
          </cell>
          <cell r="F551">
            <v>1360</v>
          </cell>
          <cell r="G551" t="str">
            <v>25,30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251226</v>
          </cell>
          <cell r="M551">
            <v>25123</v>
          </cell>
          <cell r="N551">
            <v>9969</v>
          </cell>
          <cell r="O551">
            <v>11963</v>
          </cell>
          <cell r="P551">
            <v>2500</v>
          </cell>
          <cell r="Q551">
            <v>750</v>
          </cell>
          <cell r="R551">
            <v>750</v>
          </cell>
          <cell r="S551">
            <v>0</v>
          </cell>
          <cell r="T551">
            <v>0</v>
          </cell>
          <cell r="U551">
            <v>942</v>
          </cell>
          <cell r="V551">
            <v>0</v>
          </cell>
          <cell r="W551">
            <v>0</v>
          </cell>
          <cell r="X551" t="str">
            <v>monster/10061.png</v>
          </cell>
          <cell r="Y551">
            <v>1</v>
          </cell>
          <cell r="Z551">
            <v>0</v>
          </cell>
          <cell r="AA551">
            <v>50</v>
          </cell>
          <cell r="AB551">
            <v>25</v>
          </cell>
          <cell r="AC551">
            <v>0.4</v>
          </cell>
        </row>
        <row r="552">
          <cell r="A552">
            <v>2050031</v>
          </cell>
          <cell r="B552">
            <v>2001</v>
          </cell>
          <cell r="C552">
            <v>51</v>
          </cell>
          <cell r="D552" t="str">
            <v>角斗士里奥</v>
          </cell>
          <cell r="E552">
            <v>1400</v>
          </cell>
          <cell r="F552">
            <v>1400</v>
          </cell>
          <cell r="G552">
            <v>5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397867</v>
          </cell>
          <cell r="M552">
            <v>1210</v>
          </cell>
          <cell r="N552">
            <v>7083</v>
          </cell>
          <cell r="O552">
            <v>8500</v>
          </cell>
          <cell r="P552">
            <v>3000</v>
          </cell>
          <cell r="Q552">
            <v>900</v>
          </cell>
          <cell r="R552">
            <v>900</v>
          </cell>
          <cell r="S552">
            <v>0</v>
          </cell>
          <cell r="T552">
            <v>0</v>
          </cell>
          <cell r="U552">
            <v>980</v>
          </cell>
          <cell r="V552">
            <v>0</v>
          </cell>
          <cell r="W552">
            <v>0</v>
          </cell>
          <cell r="X552" t="str">
            <v>monster/10067.png</v>
          </cell>
          <cell r="Y552">
            <v>1</v>
          </cell>
          <cell r="Z552">
            <v>0</v>
          </cell>
          <cell r="AA552">
            <v>50</v>
          </cell>
          <cell r="AB552">
            <v>25</v>
          </cell>
          <cell r="AC552">
            <v>0.4</v>
          </cell>
        </row>
        <row r="553">
          <cell r="A553">
            <v>2050041</v>
          </cell>
          <cell r="B553">
            <v>2001</v>
          </cell>
          <cell r="C553">
            <v>51</v>
          </cell>
          <cell r="D553" t="str">
            <v>荒野游侠</v>
          </cell>
          <cell r="E553">
            <v>1400</v>
          </cell>
          <cell r="F553">
            <v>1400</v>
          </cell>
          <cell r="G553">
            <v>16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342232</v>
          </cell>
          <cell r="M553">
            <v>2420</v>
          </cell>
          <cell r="N553">
            <v>7382</v>
          </cell>
          <cell r="O553">
            <v>8858</v>
          </cell>
          <cell r="P553">
            <v>3000</v>
          </cell>
          <cell r="Q553">
            <v>900</v>
          </cell>
          <cell r="R553">
            <v>900</v>
          </cell>
          <cell r="S553">
            <v>0</v>
          </cell>
          <cell r="T553">
            <v>0</v>
          </cell>
          <cell r="U553">
            <v>2432</v>
          </cell>
          <cell r="V553">
            <v>0</v>
          </cell>
          <cell r="W553">
            <v>0</v>
          </cell>
          <cell r="X553" t="str">
            <v>monster/10096.png</v>
          </cell>
          <cell r="Y553">
            <v>1</v>
          </cell>
          <cell r="Z553">
            <v>0</v>
          </cell>
          <cell r="AA553">
            <v>50</v>
          </cell>
          <cell r="AB553">
            <v>25</v>
          </cell>
          <cell r="AC553">
            <v>0.4</v>
          </cell>
        </row>
        <row r="554">
          <cell r="A554">
            <v>2050051</v>
          </cell>
          <cell r="B554">
            <v>2001</v>
          </cell>
          <cell r="C554">
            <v>51</v>
          </cell>
          <cell r="D554" t="str">
            <v>憾地者</v>
          </cell>
          <cell r="E554">
            <v>1400</v>
          </cell>
          <cell r="F554">
            <v>1400</v>
          </cell>
          <cell r="G554">
            <v>4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459964</v>
          </cell>
          <cell r="M554">
            <v>1210</v>
          </cell>
          <cell r="N554">
            <v>6538</v>
          </cell>
          <cell r="O554">
            <v>7846</v>
          </cell>
          <cell r="P554">
            <v>3000</v>
          </cell>
          <cell r="Q554">
            <v>900</v>
          </cell>
          <cell r="R554">
            <v>900</v>
          </cell>
          <cell r="S554">
            <v>0</v>
          </cell>
          <cell r="T554">
            <v>0</v>
          </cell>
          <cell r="U554">
            <v>980</v>
          </cell>
          <cell r="V554">
            <v>0</v>
          </cell>
          <cell r="W554">
            <v>0</v>
          </cell>
          <cell r="X554" t="str">
            <v>monster/10123.png</v>
          </cell>
          <cell r="Y554">
            <v>1</v>
          </cell>
          <cell r="Z554">
            <v>0</v>
          </cell>
          <cell r="AA554">
            <v>50</v>
          </cell>
          <cell r="AB554">
            <v>25</v>
          </cell>
          <cell r="AC554">
            <v>0.4</v>
          </cell>
        </row>
        <row r="555">
          <cell r="A555">
            <v>2050061</v>
          </cell>
          <cell r="B555">
            <v>2001</v>
          </cell>
          <cell r="C555">
            <v>52</v>
          </cell>
          <cell r="D555" t="str">
            <v>拉兹</v>
          </cell>
          <cell r="E555">
            <v>1440</v>
          </cell>
          <cell r="F555">
            <v>1440</v>
          </cell>
          <cell r="G555">
            <v>10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482838</v>
          </cell>
          <cell r="M555">
            <v>2440</v>
          </cell>
          <cell r="N555">
            <v>9753</v>
          </cell>
          <cell r="O555">
            <v>11704</v>
          </cell>
          <cell r="P555">
            <v>3500</v>
          </cell>
          <cell r="Q555">
            <v>1050</v>
          </cell>
          <cell r="R555">
            <v>1050</v>
          </cell>
          <cell r="S555">
            <v>0</v>
          </cell>
          <cell r="T555">
            <v>2068</v>
          </cell>
          <cell r="U555">
            <v>1018</v>
          </cell>
          <cell r="V555">
            <v>0</v>
          </cell>
          <cell r="W555">
            <v>0</v>
          </cell>
          <cell r="X555" t="str">
            <v>monster/10106.png</v>
          </cell>
          <cell r="Y555">
            <v>1</v>
          </cell>
          <cell r="Z555">
            <v>0</v>
          </cell>
          <cell r="AA555">
            <v>50</v>
          </cell>
          <cell r="AB555">
            <v>25</v>
          </cell>
          <cell r="AC555">
            <v>0.4</v>
          </cell>
        </row>
        <row r="556">
          <cell r="A556">
            <v>2050071</v>
          </cell>
          <cell r="B556">
            <v>2001</v>
          </cell>
          <cell r="C556">
            <v>52</v>
          </cell>
          <cell r="D556" t="str">
            <v>塔克</v>
          </cell>
          <cell r="E556">
            <v>1440</v>
          </cell>
          <cell r="F556">
            <v>1440</v>
          </cell>
          <cell r="G556">
            <v>3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289703</v>
          </cell>
          <cell r="M556">
            <v>1220</v>
          </cell>
          <cell r="N556">
            <v>2845</v>
          </cell>
          <cell r="O556">
            <v>3414</v>
          </cell>
          <cell r="P556">
            <v>3500</v>
          </cell>
          <cell r="Q556">
            <v>1050</v>
          </cell>
          <cell r="R556">
            <v>1050</v>
          </cell>
          <cell r="S556">
            <v>0</v>
          </cell>
          <cell r="T556">
            <v>0</v>
          </cell>
          <cell r="U556">
            <v>1018</v>
          </cell>
          <cell r="V556">
            <v>0</v>
          </cell>
          <cell r="W556">
            <v>0</v>
          </cell>
          <cell r="X556" t="str">
            <v>monster/10085.png</v>
          </cell>
          <cell r="Y556">
            <v>1</v>
          </cell>
          <cell r="Z556">
            <v>0</v>
          </cell>
          <cell r="AA556">
            <v>50</v>
          </cell>
          <cell r="AB556">
            <v>25</v>
          </cell>
          <cell r="AC556">
            <v>0.4</v>
          </cell>
        </row>
        <row r="557">
          <cell r="A557">
            <v>2050072</v>
          </cell>
          <cell r="B557">
            <v>2001</v>
          </cell>
          <cell r="C557">
            <v>52</v>
          </cell>
          <cell r="D557" t="str">
            <v>迪皮斯</v>
          </cell>
          <cell r="E557">
            <v>1440</v>
          </cell>
          <cell r="F557">
            <v>1440</v>
          </cell>
          <cell r="G557" t="str">
            <v>17,14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208288</v>
          </cell>
          <cell r="M557">
            <v>1220</v>
          </cell>
          <cell r="N557">
            <v>5113</v>
          </cell>
          <cell r="O557">
            <v>6136</v>
          </cell>
          <cell r="P557">
            <v>3500</v>
          </cell>
          <cell r="Q557">
            <v>1050</v>
          </cell>
          <cell r="R557">
            <v>1050</v>
          </cell>
          <cell r="S557">
            <v>0</v>
          </cell>
          <cell r="T557">
            <v>0</v>
          </cell>
          <cell r="U557">
            <v>1018</v>
          </cell>
          <cell r="V557">
            <v>0</v>
          </cell>
          <cell r="W557">
            <v>0</v>
          </cell>
          <cell r="X557" t="str">
            <v>monster/10012.png</v>
          </cell>
          <cell r="Y557">
            <v>1</v>
          </cell>
          <cell r="Z557">
            <v>0</v>
          </cell>
          <cell r="AA557">
            <v>50</v>
          </cell>
          <cell r="AB557">
            <v>25</v>
          </cell>
          <cell r="AC557">
            <v>0.4</v>
          </cell>
        </row>
        <row r="558">
          <cell r="A558">
            <v>2050081</v>
          </cell>
          <cell r="B558">
            <v>2001</v>
          </cell>
          <cell r="C558">
            <v>53</v>
          </cell>
          <cell r="D558" t="str">
            <v>狂野安东尼</v>
          </cell>
          <cell r="E558">
            <v>1480</v>
          </cell>
          <cell r="F558">
            <v>1480</v>
          </cell>
          <cell r="G558">
            <v>7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537756</v>
          </cell>
          <cell r="M558">
            <v>1230</v>
          </cell>
          <cell r="N558">
            <v>8935</v>
          </cell>
          <cell r="O558">
            <v>10722</v>
          </cell>
          <cell r="P558">
            <v>4000</v>
          </cell>
          <cell r="Q558">
            <v>1200</v>
          </cell>
          <cell r="R558">
            <v>1200</v>
          </cell>
          <cell r="S558">
            <v>0</v>
          </cell>
          <cell r="T558">
            <v>0</v>
          </cell>
          <cell r="U558">
            <v>1057</v>
          </cell>
          <cell r="V558">
            <v>0</v>
          </cell>
          <cell r="W558">
            <v>0</v>
          </cell>
          <cell r="X558" t="str">
            <v>monster/10086.png</v>
          </cell>
          <cell r="Y558">
            <v>1</v>
          </cell>
          <cell r="Z558">
            <v>0</v>
          </cell>
          <cell r="AA558">
            <v>50</v>
          </cell>
          <cell r="AB558">
            <v>25</v>
          </cell>
          <cell r="AC558">
            <v>0.4</v>
          </cell>
        </row>
        <row r="559">
          <cell r="A559">
            <v>2050091</v>
          </cell>
          <cell r="B559">
            <v>2001</v>
          </cell>
          <cell r="C559">
            <v>54</v>
          </cell>
          <cell r="D559" t="str">
            <v>巡林者瑞克</v>
          </cell>
          <cell r="E559">
            <v>1520</v>
          </cell>
          <cell r="F559">
            <v>1520</v>
          </cell>
          <cell r="G559">
            <v>15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571926</v>
          </cell>
          <cell r="M559">
            <v>1240</v>
          </cell>
          <cell r="N559">
            <v>9519</v>
          </cell>
          <cell r="O559">
            <v>11423</v>
          </cell>
          <cell r="P559">
            <v>4500</v>
          </cell>
          <cell r="Q559">
            <v>1350</v>
          </cell>
          <cell r="R559">
            <v>1350</v>
          </cell>
          <cell r="S559">
            <v>0</v>
          </cell>
          <cell r="T559">
            <v>0</v>
          </cell>
          <cell r="U559">
            <v>1097</v>
          </cell>
          <cell r="V559">
            <v>0</v>
          </cell>
          <cell r="W559">
            <v>0</v>
          </cell>
          <cell r="X559" t="str">
            <v>monster/10094.png</v>
          </cell>
          <cell r="Y559">
            <v>1</v>
          </cell>
          <cell r="Z559">
            <v>0</v>
          </cell>
          <cell r="AA559">
            <v>50</v>
          </cell>
          <cell r="AB559">
            <v>25</v>
          </cell>
          <cell r="AC559">
            <v>0.4</v>
          </cell>
        </row>
        <row r="560">
          <cell r="A560">
            <v>2055011</v>
          </cell>
          <cell r="B560">
            <v>2001</v>
          </cell>
          <cell r="C560">
            <v>55</v>
          </cell>
          <cell r="D560" t="str">
            <v>猎人幻象</v>
          </cell>
          <cell r="E560">
            <v>1560</v>
          </cell>
          <cell r="F560">
            <v>1560</v>
          </cell>
          <cell r="G560">
            <v>11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407028</v>
          </cell>
          <cell r="M560">
            <v>1250</v>
          </cell>
          <cell r="N560">
            <v>9314</v>
          </cell>
          <cell r="O560">
            <v>11177</v>
          </cell>
          <cell r="P560">
            <v>5000</v>
          </cell>
          <cell r="Q560">
            <v>1500</v>
          </cell>
          <cell r="R560">
            <v>1500</v>
          </cell>
          <cell r="S560">
            <v>1631</v>
          </cell>
          <cell r="T560">
            <v>0</v>
          </cell>
          <cell r="U560">
            <v>1138</v>
          </cell>
          <cell r="V560">
            <v>0</v>
          </cell>
          <cell r="W560">
            <v>0</v>
          </cell>
          <cell r="X560" t="str">
            <v>UI/Program/HeroHunter_Woman_1.png</v>
          </cell>
          <cell r="Y560">
            <v>1</v>
          </cell>
          <cell r="Z560">
            <v>0</v>
          </cell>
          <cell r="AA560">
            <v>50</v>
          </cell>
          <cell r="AB560">
            <v>25</v>
          </cell>
          <cell r="AC560">
            <v>0.4</v>
          </cell>
        </row>
        <row r="561">
          <cell r="A561">
            <v>2055021</v>
          </cell>
          <cell r="B561">
            <v>2001</v>
          </cell>
          <cell r="C561">
            <v>55</v>
          </cell>
          <cell r="D561" t="str">
            <v>法力风暴</v>
          </cell>
          <cell r="E561">
            <v>1560</v>
          </cell>
          <cell r="F561">
            <v>1560</v>
          </cell>
          <cell r="G561" t="str">
            <v>25,30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300455</v>
          </cell>
          <cell r="M561">
            <v>30046</v>
          </cell>
          <cell r="N561">
            <v>14808</v>
          </cell>
          <cell r="O561">
            <v>17770</v>
          </cell>
          <cell r="P561">
            <v>5000</v>
          </cell>
          <cell r="Q561">
            <v>1500</v>
          </cell>
          <cell r="R561">
            <v>1500</v>
          </cell>
          <cell r="S561">
            <v>0</v>
          </cell>
          <cell r="T561">
            <v>0</v>
          </cell>
          <cell r="U561">
            <v>1138</v>
          </cell>
          <cell r="V561">
            <v>0</v>
          </cell>
          <cell r="W561">
            <v>0</v>
          </cell>
          <cell r="X561" t="str">
            <v>monster/10061.png</v>
          </cell>
          <cell r="Y561">
            <v>1</v>
          </cell>
          <cell r="Z561">
            <v>0</v>
          </cell>
          <cell r="AA561">
            <v>50</v>
          </cell>
          <cell r="AB561">
            <v>25</v>
          </cell>
          <cell r="AC561">
            <v>0.4</v>
          </cell>
        </row>
        <row r="562">
          <cell r="A562">
            <v>2055031</v>
          </cell>
          <cell r="B562">
            <v>2001</v>
          </cell>
          <cell r="C562">
            <v>56</v>
          </cell>
          <cell r="D562" t="str">
            <v>角斗士里奥</v>
          </cell>
          <cell r="E562">
            <v>1600</v>
          </cell>
          <cell r="F562">
            <v>1600</v>
          </cell>
          <cell r="G562">
            <v>5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477398</v>
          </cell>
          <cell r="M562">
            <v>1260</v>
          </cell>
          <cell r="N562">
            <v>10669</v>
          </cell>
          <cell r="O562">
            <v>12803</v>
          </cell>
          <cell r="P562">
            <v>5500</v>
          </cell>
          <cell r="Q562">
            <v>1650</v>
          </cell>
          <cell r="R562">
            <v>1650</v>
          </cell>
          <cell r="S562">
            <v>0</v>
          </cell>
          <cell r="T562">
            <v>0</v>
          </cell>
          <cell r="U562">
            <v>1179</v>
          </cell>
          <cell r="V562">
            <v>0</v>
          </cell>
          <cell r="W562">
            <v>0</v>
          </cell>
          <cell r="X562" t="str">
            <v>monster/10067.png</v>
          </cell>
          <cell r="Y562">
            <v>1</v>
          </cell>
          <cell r="Z562">
            <v>0</v>
          </cell>
          <cell r="AA562">
            <v>50</v>
          </cell>
          <cell r="AB562">
            <v>25</v>
          </cell>
          <cell r="AC562">
            <v>0.4</v>
          </cell>
        </row>
        <row r="563">
          <cell r="A563">
            <v>2055041</v>
          </cell>
          <cell r="B563">
            <v>2001</v>
          </cell>
          <cell r="C563">
            <v>56</v>
          </cell>
          <cell r="D563" t="str">
            <v>荒野游侠</v>
          </cell>
          <cell r="E563">
            <v>1600</v>
          </cell>
          <cell r="F563">
            <v>1600</v>
          </cell>
          <cell r="G563">
            <v>16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407314</v>
          </cell>
          <cell r="M563">
            <v>2520</v>
          </cell>
          <cell r="N563">
            <v>11201</v>
          </cell>
          <cell r="O563">
            <v>13441</v>
          </cell>
          <cell r="P563">
            <v>5500</v>
          </cell>
          <cell r="Q563">
            <v>1650</v>
          </cell>
          <cell r="R563">
            <v>1650</v>
          </cell>
          <cell r="S563">
            <v>0</v>
          </cell>
          <cell r="T563">
            <v>0</v>
          </cell>
          <cell r="U563">
            <v>2925</v>
          </cell>
          <cell r="V563">
            <v>0</v>
          </cell>
          <cell r="W563">
            <v>0</v>
          </cell>
          <cell r="X563" t="str">
            <v>monster/10096.png</v>
          </cell>
          <cell r="Y563">
            <v>1</v>
          </cell>
          <cell r="Z563">
            <v>0</v>
          </cell>
          <cell r="AA563">
            <v>50</v>
          </cell>
          <cell r="AB563">
            <v>25</v>
          </cell>
          <cell r="AC563">
            <v>0.4</v>
          </cell>
        </row>
        <row r="564">
          <cell r="A564">
            <v>2055051</v>
          </cell>
          <cell r="B564">
            <v>2001</v>
          </cell>
          <cell r="C564">
            <v>56</v>
          </cell>
          <cell r="D564" t="str">
            <v>憾地者</v>
          </cell>
          <cell r="E564">
            <v>1600</v>
          </cell>
          <cell r="F564">
            <v>1600</v>
          </cell>
          <cell r="G564">
            <v>4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542998</v>
          </cell>
          <cell r="M564">
            <v>1260</v>
          </cell>
          <cell r="N564">
            <v>9997</v>
          </cell>
          <cell r="O564">
            <v>11996</v>
          </cell>
          <cell r="P564">
            <v>5500</v>
          </cell>
          <cell r="Q564">
            <v>1650</v>
          </cell>
          <cell r="R564">
            <v>1650</v>
          </cell>
          <cell r="S564">
            <v>0</v>
          </cell>
          <cell r="T564">
            <v>0</v>
          </cell>
          <cell r="U564">
            <v>1179</v>
          </cell>
          <cell r="V564">
            <v>0</v>
          </cell>
          <cell r="W564">
            <v>0</v>
          </cell>
          <cell r="X564" t="str">
            <v>monster/10123.png</v>
          </cell>
          <cell r="Y564">
            <v>1</v>
          </cell>
          <cell r="Z564">
            <v>0</v>
          </cell>
          <cell r="AA564">
            <v>50</v>
          </cell>
          <cell r="AB564">
            <v>25</v>
          </cell>
          <cell r="AC564">
            <v>0.4</v>
          </cell>
        </row>
        <row r="565">
          <cell r="A565">
            <v>2055061</v>
          </cell>
          <cell r="B565">
            <v>2001</v>
          </cell>
          <cell r="C565">
            <v>57</v>
          </cell>
          <cell r="D565" t="str">
            <v>拉兹</v>
          </cell>
          <cell r="E565">
            <v>1640</v>
          </cell>
          <cell r="F565">
            <v>1640</v>
          </cell>
          <cell r="G565">
            <v>10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574705</v>
          </cell>
          <cell r="M565">
            <v>2540</v>
          </cell>
          <cell r="N565">
            <v>15060</v>
          </cell>
          <cell r="O565">
            <v>18072</v>
          </cell>
          <cell r="P565">
            <v>6000</v>
          </cell>
          <cell r="Q565">
            <v>1800</v>
          </cell>
          <cell r="R565">
            <v>1800</v>
          </cell>
          <cell r="S565">
            <v>0</v>
          </cell>
          <cell r="T565">
            <v>2479</v>
          </cell>
          <cell r="U565">
            <v>1221</v>
          </cell>
          <cell r="V565">
            <v>0</v>
          </cell>
          <cell r="W565">
            <v>0</v>
          </cell>
          <cell r="X565" t="str">
            <v>monster/10106.png</v>
          </cell>
          <cell r="Y565">
            <v>1</v>
          </cell>
          <cell r="Z565">
            <v>0</v>
          </cell>
          <cell r="AA565">
            <v>50</v>
          </cell>
          <cell r="AB565">
            <v>25</v>
          </cell>
          <cell r="AC565">
            <v>0.4</v>
          </cell>
        </row>
        <row r="566">
          <cell r="A566">
            <v>2055071</v>
          </cell>
          <cell r="B566">
            <v>2001</v>
          </cell>
          <cell r="C566">
            <v>57</v>
          </cell>
          <cell r="D566" t="str">
            <v>塔克</v>
          </cell>
          <cell r="E566">
            <v>1640</v>
          </cell>
          <cell r="F566">
            <v>1640</v>
          </cell>
          <cell r="G566">
            <v>3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344823</v>
          </cell>
          <cell r="M566">
            <v>1270</v>
          </cell>
          <cell r="N566">
            <v>4392</v>
          </cell>
          <cell r="O566">
            <v>5270</v>
          </cell>
          <cell r="P566">
            <v>6000</v>
          </cell>
          <cell r="Q566">
            <v>1800</v>
          </cell>
          <cell r="R566">
            <v>1800</v>
          </cell>
          <cell r="S566">
            <v>0</v>
          </cell>
          <cell r="T566">
            <v>0</v>
          </cell>
          <cell r="U566">
            <v>1221</v>
          </cell>
          <cell r="V566">
            <v>0</v>
          </cell>
          <cell r="W566">
            <v>0</v>
          </cell>
          <cell r="X566" t="str">
            <v>monster/10085.png</v>
          </cell>
          <cell r="Y566">
            <v>1</v>
          </cell>
          <cell r="Z566">
            <v>0</v>
          </cell>
          <cell r="AA566">
            <v>50</v>
          </cell>
          <cell r="AB566">
            <v>25</v>
          </cell>
          <cell r="AC566">
            <v>0.4</v>
          </cell>
        </row>
        <row r="567">
          <cell r="A567">
            <v>2055072</v>
          </cell>
          <cell r="B567">
            <v>2001</v>
          </cell>
          <cell r="C567">
            <v>57</v>
          </cell>
          <cell r="D567" t="str">
            <v>迪皮斯</v>
          </cell>
          <cell r="E567">
            <v>1640</v>
          </cell>
          <cell r="F567">
            <v>1640</v>
          </cell>
          <cell r="G567" t="str">
            <v>17,14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246239</v>
          </cell>
          <cell r="M567">
            <v>1270</v>
          </cell>
          <cell r="N567">
            <v>7953</v>
          </cell>
          <cell r="O567">
            <v>9544</v>
          </cell>
          <cell r="P567">
            <v>6000</v>
          </cell>
          <cell r="Q567">
            <v>1800</v>
          </cell>
          <cell r="R567">
            <v>1800</v>
          </cell>
          <cell r="S567">
            <v>0</v>
          </cell>
          <cell r="T567">
            <v>0</v>
          </cell>
          <cell r="U567">
            <v>1221</v>
          </cell>
          <cell r="V567">
            <v>0</v>
          </cell>
          <cell r="W567">
            <v>0</v>
          </cell>
          <cell r="X567" t="str">
            <v>monster/10012.png</v>
          </cell>
          <cell r="Y567">
            <v>1</v>
          </cell>
          <cell r="Z567">
            <v>0</v>
          </cell>
          <cell r="AA567">
            <v>50</v>
          </cell>
          <cell r="AB567">
            <v>25</v>
          </cell>
          <cell r="AC567">
            <v>0.4</v>
          </cell>
        </row>
        <row r="568">
          <cell r="A568">
            <v>2055081</v>
          </cell>
          <cell r="B568">
            <v>2001</v>
          </cell>
          <cell r="C568">
            <v>58</v>
          </cell>
          <cell r="D568" t="str">
            <v>狂野安东尼</v>
          </cell>
          <cell r="E568">
            <v>1680</v>
          </cell>
          <cell r="F568">
            <v>1680</v>
          </cell>
          <cell r="G568">
            <v>7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642197</v>
          </cell>
          <cell r="M568">
            <v>1280</v>
          </cell>
          <cell r="N568">
            <v>14000</v>
          </cell>
          <cell r="O568">
            <v>16800</v>
          </cell>
          <cell r="P568">
            <v>6500</v>
          </cell>
          <cell r="Q568">
            <v>1950</v>
          </cell>
          <cell r="R568">
            <v>1950</v>
          </cell>
          <cell r="S568">
            <v>0</v>
          </cell>
          <cell r="T568">
            <v>0</v>
          </cell>
          <cell r="U568">
            <v>1263</v>
          </cell>
          <cell r="V568">
            <v>0</v>
          </cell>
          <cell r="W568">
            <v>0</v>
          </cell>
          <cell r="X568" t="str">
            <v>monster/10086.png</v>
          </cell>
          <cell r="Y568">
            <v>1</v>
          </cell>
          <cell r="Z568">
            <v>0</v>
          </cell>
          <cell r="AA568">
            <v>50</v>
          </cell>
          <cell r="AB568">
            <v>25</v>
          </cell>
          <cell r="AC568">
            <v>0.4</v>
          </cell>
        </row>
        <row r="569">
          <cell r="A569">
            <v>2055091</v>
          </cell>
          <cell r="B569">
            <v>2001</v>
          </cell>
          <cell r="C569">
            <v>59</v>
          </cell>
          <cell r="D569" t="str">
            <v>巡林者瑞克</v>
          </cell>
          <cell r="E569">
            <v>1720</v>
          </cell>
          <cell r="F569">
            <v>1720</v>
          </cell>
          <cell r="G569">
            <v>15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687104</v>
          </cell>
          <cell r="M569">
            <v>1290</v>
          </cell>
          <cell r="N569">
            <v>15059</v>
          </cell>
          <cell r="O569">
            <v>18071</v>
          </cell>
          <cell r="P569">
            <v>7000</v>
          </cell>
          <cell r="Q569">
            <v>2100</v>
          </cell>
          <cell r="R569">
            <v>2100</v>
          </cell>
          <cell r="S569">
            <v>0</v>
          </cell>
          <cell r="T569">
            <v>0</v>
          </cell>
          <cell r="U569">
            <v>1307</v>
          </cell>
          <cell r="V569">
            <v>0</v>
          </cell>
          <cell r="W569">
            <v>0</v>
          </cell>
          <cell r="X569" t="str">
            <v>monster/10094.png</v>
          </cell>
          <cell r="Y569">
            <v>1</v>
          </cell>
          <cell r="Z569">
            <v>0</v>
          </cell>
          <cell r="AA569">
            <v>50</v>
          </cell>
          <cell r="AB569">
            <v>25</v>
          </cell>
          <cell r="AC569">
            <v>0.4</v>
          </cell>
        </row>
        <row r="570">
          <cell r="A570">
            <v>2060011</v>
          </cell>
          <cell r="B570">
            <v>2001</v>
          </cell>
          <cell r="C570">
            <v>60</v>
          </cell>
          <cell r="D570" t="str">
            <v>坚定的格雷格</v>
          </cell>
          <cell r="E570">
            <v>1760</v>
          </cell>
          <cell r="F570">
            <v>1760</v>
          </cell>
          <cell r="G570">
            <v>3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434230</v>
          </cell>
          <cell r="M570">
            <v>780</v>
          </cell>
          <cell r="N570">
            <v>9458</v>
          </cell>
          <cell r="O570">
            <v>11350</v>
          </cell>
          <cell r="P570">
            <v>7500</v>
          </cell>
          <cell r="Q570">
            <v>2250</v>
          </cell>
          <cell r="R570">
            <v>2250</v>
          </cell>
          <cell r="S570">
            <v>0</v>
          </cell>
          <cell r="T570">
            <v>0</v>
          </cell>
          <cell r="U570">
            <v>1351</v>
          </cell>
          <cell r="V570">
            <v>0</v>
          </cell>
          <cell r="W570">
            <v>0</v>
          </cell>
          <cell r="X570" t="str">
            <v>monster/10119.png</v>
          </cell>
          <cell r="Y570">
            <v>1</v>
          </cell>
          <cell r="Z570">
            <v>0</v>
          </cell>
          <cell r="AA570">
            <v>50</v>
          </cell>
          <cell r="AB570">
            <v>25</v>
          </cell>
          <cell r="AC570">
            <v>0.4</v>
          </cell>
        </row>
        <row r="571">
          <cell r="A571">
            <v>2060021</v>
          </cell>
          <cell r="B571">
            <v>2001</v>
          </cell>
          <cell r="C571">
            <v>60</v>
          </cell>
          <cell r="D571" t="str">
            <v>菲德丝的倒影</v>
          </cell>
          <cell r="E571">
            <v>1760</v>
          </cell>
          <cell r="F571">
            <v>1760</v>
          </cell>
          <cell r="G571" t="str">
            <v>15,11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585754</v>
          </cell>
          <cell r="M571">
            <v>1300</v>
          </cell>
          <cell r="N571">
            <v>14472</v>
          </cell>
          <cell r="O571">
            <v>17366</v>
          </cell>
          <cell r="P571">
            <v>7500</v>
          </cell>
          <cell r="Q571">
            <v>2250</v>
          </cell>
          <cell r="R571">
            <v>2250</v>
          </cell>
          <cell r="S571">
            <v>0</v>
          </cell>
          <cell r="T571">
            <v>0</v>
          </cell>
          <cell r="U571">
            <v>1351</v>
          </cell>
          <cell r="V571">
            <v>0</v>
          </cell>
          <cell r="W571">
            <v>0</v>
          </cell>
          <cell r="X571" t="str">
            <v>UI/Program/MercenaryHunter_1.png</v>
          </cell>
          <cell r="Y571">
            <v>1</v>
          </cell>
          <cell r="Z571">
            <v>0</v>
          </cell>
          <cell r="AA571">
            <v>50</v>
          </cell>
          <cell r="AB571">
            <v>25</v>
          </cell>
          <cell r="AC571">
            <v>0.4</v>
          </cell>
        </row>
        <row r="572">
          <cell r="A572">
            <v>2060031</v>
          </cell>
          <cell r="B572">
            <v>2001</v>
          </cell>
          <cell r="C572">
            <v>61</v>
          </cell>
          <cell r="D572" t="str">
            <v>惊人的盖亚</v>
          </cell>
          <cell r="E572">
            <v>1810</v>
          </cell>
          <cell r="F572">
            <v>1810</v>
          </cell>
          <cell r="G572" t="str">
            <v>10,15,17,14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381330</v>
          </cell>
          <cell r="M572">
            <v>5895</v>
          </cell>
          <cell r="N572">
            <v>23791</v>
          </cell>
          <cell r="O572">
            <v>28549</v>
          </cell>
          <cell r="P572">
            <v>8000</v>
          </cell>
          <cell r="Q572">
            <v>2400</v>
          </cell>
          <cell r="R572">
            <v>2400</v>
          </cell>
          <cell r="S572">
            <v>0</v>
          </cell>
          <cell r="T572">
            <v>4860</v>
          </cell>
          <cell r="U572">
            <v>1396</v>
          </cell>
          <cell r="V572">
            <v>0</v>
          </cell>
          <cell r="W572">
            <v>0</v>
          </cell>
          <cell r="X572" t="str">
            <v>monster/10130.png</v>
          </cell>
          <cell r="Y572">
            <v>1</v>
          </cell>
          <cell r="Z572">
            <v>0</v>
          </cell>
          <cell r="AA572">
            <v>50</v>
          </cell>
          <cell r="AB572">
            <v>25</v>
          </cell>
          <cell r="AC572">
            <v>0.4</v>
          </cell>
        </row>
        <row r="573">
          <cell r="A573">
            <v>2060041</v>
          </cell>
          <cell r="B573">
            <v>2001</v>
          </cell>
          <cell r="C573">
            <v>61</v>
          </cell>
          <cell r="D573" t="str">
            <v>驯兽师瓦纳</v>
          </cell>
          <cell r="E573">
            <v>1810</v>
          </cell>
          <cell r="F573">
            <v>1810</v>
          </cell>
          <cell r="G573">
            <v>2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405194</v>
          </cell>
          <cell r="M573">
            <v>1048</v>
          </cell>
          <cell r="N573">
            <v>10063</v>
          </cell>
          <cell r="O573">
            <v>12076</v>
          </cell>
          <cell r="P573">
            <v>8000</v>
          </cell>
          <cell r="Q573">
            <v>2400</v>
          </cell>
          <cell r="R573">
            <v>2400</v>
          </cell>
          <cell r="S573">
            <v>0</v>
          </cell>
          <cell r="T573">
            <v>0</v>
          </cell>
          <cell r="U573">
            <v>1396</v>
          </cell>
          <cell r="V573">
            <v>0</v>
          </cell>
          <cell r="W573">
            <v>0</v>
          </cell>
          <cell r="X573" t="str">
            <v>monster/10094.png</v>
          </cell>
          <cell r="Y573">
            <v>1</v>
          </cell>
          <cell r="Z573">
            <v>0</v>
          </cell>
          <cell r="AA573">
            <v>50</v>
          </cell>
          <cell r="AB573">
            <v>25</v>
          </cell>
          <cell r="AC573">
            <v>0.4</v>
          </cell>
        </row>
        <row r="574">
          <cell r="A574">
            <v>2060042</v>
          </cell>
          <cell r="B574">
            <v>2001</v>
          </cell>
          <cell r="C574">
            <v>61</v>
          </cell>
          <cell r="D574" t="str">
            <v>多兰</v>
          </cell>
          <cell r="E574">
            <v>1810</v>
          </cell>
          <cell r="F574">
            <v>1810</v>
          </cell>
          <cell r="G574">
            <v>9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189091</v>
          </cell>
          <cell r="M574">
            <v>1310</v>
          </cell>
          <cell r="N574">
            <v>5870</v>
          </cell>
          <cell r="O574">
            <v>7044</v>
          </cell>
          <cell r="P574">
            <v>8000</v>
          </cell>
          <cell r="Q574">
            <v>2400</v>
          </cell>
          <cell r="R574">
            <v>2400</v>
          </cell>
          <cell r="S574">
            <v>0</v>
          </cell>
          <cell r="T574">
            <v>0</v>
          </cell>
          <cell r="U574">
            <v>1396</v>
          </cell>
          <cell r="V574">
            <v>0</v>
          </cell>
          <cell r="W574">
            <v>0</v>
          </cell>
          <cell r="X574" t="str">
            <v>monster/10061.png</v>
          </cell>
          <cell r="Y574">
            <v>1</v>
          </cell>
          <cell r="Z574">
            <v>0</v>
          </cell>
          <cell r="AA574">
            <v>50</v>
          </cell>
          <cell r="AB574">
            <v>25</v>
          </cell>
          <cell r="AC574">
            <v>0.4</v>
          </cell>
        </row>
        <row r="575">
          <cell r="A575">
            <v>2060043</v>
          </cell>
          <cell r="B575">
            <v>2001</v>
          </cell>
          <cell r="C575">
            <v>61</v>
          </cell>
          <cell r="D575" t="str">
            <v>约翰</v>
          </cell>
          <cell r="E575">
            <v>1810</v>
          </cell>
          <cell r="F575">
            <v>1810</v>
          </cell>
          <cell r="G575">
            <v>10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189091</v>
          </cell>
          <cell r="M575">
            <v>1310</v>
          </cell>
          <cell r="N575">
            <v>5870</v>
          </cell>
          <cell r="O575">
            <v>7044</v>
          </cell>
          <cell r="P575">
            <v>8000</v>
          </cell>
          <cell r="Q575">
            <v>2400</v>
          </cell>
          <cell r="R575">
            <v>2400</v>
          </cell>
          <cell r="S575">
            <v>0</v>
          </cell>
          <cell r="T575">
            <v>0</v>
          </cell>
          <cell r="U575">
            <v>1396</v>
          </cell>
          <cell r="V575">
            <v>0</v>
          </cell>
          <cell r="W575">
            <v>0</v>
          </cell>
          <cell r="X575" t="str">
            <v>monster/10067.png</v>
          </cell>
          <cell r="Y575">
            <v>1</v>
          </cell>
          <cell r="Z575">
            <v>0</v>
          </cell>
          <cell r="AA575">
            <v>50</v>
          </cell>
          <cell r="AB575">
            <v>25</v>
          </cell>
          <cell r="AC575">
            <v>0.4</v>
          </cell>
        </row>
        <row r="576">
          <cell r="A576">
            <v>2060051</v>
          </cell>
          <cell r="B576">
            <v>2001</v>
          </cell>
          <cell r="C576">
            <v>61</v>
          </cell>
          <cell r="D576" t="str">
            <v>炎之安苏</v>
          </cell>
          <cell r="E576">
            <v>1810</v>
          </cell>
          <cell r="F576">
            <v>1810</v>
          </cell>
          <cell r="G576">
            <v>21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681707</v>
          </cell>
          <cell r="M576">
            <v>1310</v>
          </cell>
          <cell r="N576">
            <v>17735</v>
          </cell>
          <cell r="O576">
            <v>21282</v>
          </cell>
          <cell r="P576">
            <v>8000</v>
          </cell>
          <cell r="Q576">
            <v>2400</v>
          </cell>
          <cell r="R576">
            <v>2400</v>
          </cell>
          <cell r="S576">
            <v>0</v>
          </cell>
          <cell r="T576">
            <v>0</v>
          </cell>
          <cell r="U576">
            <v>1396</v>
          </cell>
          <cell r="V576">
            <v>0</v>
          </cell>
          <cell r="W576">
            <v>0</v>
          </cell>
          <cell r="X576" t="str">
            <v>monster/10096.png</v>
          </cell>
          <cell r="Y576">
            <v>1</v>
          </cell>
          <cell r="Z576">
            <v>0</v>
          </cell>
          <cell r="AA576">
            <v>50</v>
          </cell>
          <cell r="AB576">
            <v>25</v>
          </cell>
          <cell r="AC576">
            <v>0.4</v>
          </cell>
        </row>
        <row r="577">
          <cell r="A577">
            <v>2060061</v>
          </cell>
          <cell r="B577">
            <v>2001</v>
          </cell>
          <cell r="C577">
            <v>62</v>
          </cell>
          <cell r="D577" t="str">
            <v>迅捷的维恩</v>
          </cell>
          <cell r="E577">
            <v>1860</v>
          </cell>
          <cell r="F577">
            <v>1860</v>
          </cell>
          <cell r="G577">
            <v>14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764023</v>
          </cell>
          <cell r="M577">
            <v>1320</v>
          </cell>
          <cell r="N577">
            <v>19106</v>
          </cell>
          <cell r="O577">
            <v>22927</v>
          </cell>
          <cell r="P577">
            <v>8500</v>
          </cell>
          <cell r="Q577">
            <v>2550</v>
          </cell>
          <cell r="R577">
            <v>2550</v>
          </cell>
          <cell r="S577">
            <v>0</v>
          </cell>
          <cell r="T577">
            <v>0</v>
          </cell>
          <cell r="U577">
            <v>732</v>
          </cell>
          <cell r="V577">
            <v>0</v>
          </cell>
          <cell r="W577">
            <v>0</v>
          </cell>
          <cell r="X577" t="str">
            <v>monster/10073.png</v>
          </cell>
          <cell r="Y577">
            <v>1</v>
          </cell>
          <cell r="Z577">
            <v>0</v>
          </cell>
          <cell r="AA577">
            <v>50</v>
          </cell>
          <cell r="AB577">
            <v>25</v>
          </cell>
          <cell r="AC577">
            <v>0.4</v>
          </cell>
        </row>
        <row r="578">
          <cell r="A578">
            <v>2060071</v>
          </cell>
          <cell r="B578">
            <v>2001</v>
          </cell>
          <cell r="C578">
            <v>62</v>
          </cell>
          <cell r="D578" t="str">
            <v>暮光预言者</v>
          </cell>
          <cell r="E578">
            <v>1860</v>
          </cell>
          <cell r="F578">
            <v>1860</v>
          </cell>
          <cell r="G578">
            <v>13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815789</v>
          </cell>
          <cell r="M578">
            <v>1056</v>
          </cell>
          <cell r="N578">
            <v>14220</v>
          </cell>
          <cell r="O578">
            <v>17064</v>
          </cell>
          <cell r="P578">
            <v>8500</v>
          </cell>
          <cell r="Q578">
            <v>2550</v>
          </cell>
          <cell r="R578">
            <v>2550</v>
          </cell>
          <cell r="S578">
            <v>0</v>
          </cell>
          <cell r="T578">
            <v>0</v>
          </cell>
          <cell r="U578">
            <v>732</v>
          </cell>
          <cell r="V578">
            <v>0</v>
          </cell>
          <cell r="W578">
            <v>0</v>
          </cell>
          <cell r="X578" t="str">
            <v>monster/10080.png</v>
          </cell>
          <cell r="Y578">
            <v>1</v>
          </cell>
          <cell r="Z578">
            <v>0</v>
          </cell>
          <cell r="AA578">
            <v>50</v>
          </cell>
          <cell r="AB578">
            <v>25</v>
          </cell>
          <cell r="AC578">
            <v>0.4</v>
          </cell>
        </row>
        <row r="579">
          <cell r="A579">
            <v>2060081</v>
          </cell>
          <cell r="B579">
            <v>2001</v>
          </cell>
          <cell r="C579">
            <v>63</v>
          </cell>
          <cell r="D579" t="str">
            <v>卡雷</v>
          </cell>
          <cell r="E579">
            <v>1910</v>
          </cell>
          <cell r="F579">
            <v>1910</v>
          </cell>
          <cell r="G579">
            <v>25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856687</v>
          </cell>
          <cell r="M579">
            <v>42</v>
          </cell>
          <cell r="N579">
            <v>26996</v>
          </cell>
          <cell r="O579">
            <v>32395</v>
          </cell>
          <cell r="P579">
            <v>9000</v>
          </cell>
          <cell r="Q579">
            <v>2700</v>
          </cell>
          <cell r="R579">
            <v>2700</v>
          </cell>
          <cell r="S579">
            <v>0</v>
          </cell>
          <cell r="T579">
            <v>0</v>
          </cell>
          <cell r="U579">
            <v>1488</v>
          </cell>
          <cell r="V579">
            <v>0</v>
          </cell>
          <cell r="W579">
            <v>0</v>
          </cell>
          <cell r="X579" t="str">
            <v>monster/10056.png</v>
          </cell>
          <cell r="Y579">
            <v>1</v>
          </cell>
          <cell r="Z579">
            <v>0</v>
          </cell>
          <cell r="AA579">
            <v>50</v>
          </cell>
          <cell r="AB579">
            <v>25</v>
          </cell>
          <cell r="AC579">
            <v>0.4</v>
          </cell>
        </row>
        <row r="580">
          <cell r="A580">
            <v>2060091</v>
          </cell>
          <cell r="B580">
            <v>2001</v>
          </cell>
          <cell r="C580">
            <v>64</v>
          </cell>
          <cell r="D580" t="str">
            <v>日光弗雷尔</v>
          </cell>
          <cell r="E580">
            <v>1960</v>
          </cell>
          <cell r="F580">
            <v>1960</v>
          </cell>
          <cell r="G580">
            <v>28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828762</v>
          </cell>
          <cell r="M580">
            <v>1340</v>
          </cell>
          <cell r="N580">
            <v>21092</v>
          </cell>
          <cell r="O580">
            <v>25310</v>
          </cell>
          <cell r="P580">
            <v>9500</v>
          </cell>
          <cell r="Q580">
            <v>2850</v>
          </cell>
          <cell r="R580">
            <v>2850</v>
          </cell>
          <cell r="S580">
            <v>0</v>
          </cell>
          <cell r="T580">
            <v>0</v>
          </cell>
          <cell r="U580">
            <v>1535</v>
          </cell>
          <cell r="V580">
            <v>0</v>
          </cell>
          <cell r="W580">
            <v>0</v>
          </cell>
          <cell r="X580" t="str">
            <v>monster/10010.png</v>
          </cell>
          <cell r="Y580">
            <v>1</v>
          </cell>
          <cell r="Z580">
            <v>0</v>
          </cell>
          <cell r="AA580">
            <v>50</v>
          </cell>
          <cell r="AB580">
            <v>25</v>
          </cell>
          <cell r="AC580">
            <v>0.4</v>
          </cell>
        </row>
        <row r="581">
          <cell r="A581">
            <v>2065011</v>
          </cell>
          <cell r="B581">
            <v>2001</v>
          </cell>
          <cell r="C581">
            <v>65</v>
          </cell>
          <cell r="D581" t="str">
            <v>坚定的格雷格</v>
          </cell>
          <cell r="E581">
            <v>2010</v>
          </cell>
          <cell r="F581">
            <v>2010</v>
          </cell>
          <cell r="G581">
            <v>3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590520</v>
          </cell>
          <cell r="M581">
            <v>810</v>
          </cell>
          <cell r="N581">
            <v>15065</v>
          </cell>
          <cell r="O581">
            <v>18078</v>
          </cell>
          <cell r="P581">
            <v>10000</v>
          </cell>
          <cell r="Q581">
            <v>3000</v>
          </cell>
          <cell r="R581">
            <v>3000</v>
          </cell>
          <cell r="S581">
            <v>0</v>
          </cell>
          <cell r="T581">
            <v>0</v>
          </cell>
          <cell r="U581">
            <v>1584</v>
          </cell>
          <cell r="V581">
            <v>0</v>
          </cell>
          <cell r="W581">
            <v>0</v>
          </cell>
          <cell r="X581" t="str">
            <v>monster/10119.png</v>
          </cell>
          <cell r="Y581">
            <v>1</v>
          </cell>
          <cell r="Z581">
            <v>0</v>
          </cell>
          <cell r="AA581">
            <v>50</v>
          </cell>
          <cell r="AB581">
            <v>25</v>
          </cell>
          <cell r="AC581">
            <v>0.4</v>
          </cell>
        </row>
        <row r="582">
          <cell r="A582">
            <v>2065021</v>
          </cell>
          <cell r="B582">
            <v>2001</v>
          </cell>
          <cell r="C582">
            <v>65</v>
          </cell>
          <cell r="D582" t="str">
            <v>菲德丝的倒影</v>
          </cell>
          <cell r="E582">
            <v>2010</v>
          </cell>
          <cell r="F582">
            <v>2010</v>
          </cell>
          <cell r="G582" t="str">
            <v>15,11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791270</v>
          </cell>
          <cell r="M582">
            <v>1350</v>
          </cell>
          <cell r="N582">
            <v>23280</v>
          </cell>
          <cell r="O582">
            <v>27936</v>
          </cell>
          <cell r="P582">
            <v>10000</v>
          </cell>
          <cell r="Q582">
            <v>3000</v>
          </cell>
          <cell r="R582">
            <v>3000</v>
          </cell>
          <cell r="S582">
            <v>0</v>
          </cell>
          <cell r="T582">
            <v>0</v>
          </cell>
          <cell r="U582">
            <v>1584</v>
          </cell>
          <cell r="V582">
            <v>0</v>
          </cell>
          <cell r="W582">
            <v>0</v>
          </cell>
          <cell r="X582" t="str">
            <v>UI/Program/MercenaryHunter_1.png</v>
          </cell>
          <cell r="Y582">
            <v>1</v>
          </cell>
          <cell r="Z582">
            <v>0</v>
          </cell>
          <cell r="AA582">
            <v>50</v>
          </cell>
          <cell r="AB582">
            <v>25</v>
          </cell>
          <cell r="AC582">
            <v>0.4</v>
          </cell>
        </row>
        <row r="583">
          <cell r="A583">
            <v>2065031</v>
          </cell>
          <cell r="B583">
            <v>2001</v>
          </cell>
          <cell r="C583">
            <v>66</v>
          </cell>
          <cell r="D583" t="str">
            <v>惊人的盖亚</v>
          </cell>
          <cell r="E583">
            <v>2060</v>
          </cell>
          <cell r="F583">
            <v>2060</v>
          </cell>
          <cell r="G583" t="str">
            <v>10,15,17,14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514301</v>
          </cell>
          <cell r="M583">
            <v>6119.9999999999991</v>
          </cell>
          <cell r="N583">
            <v>38774</v>
          </cell>
          <cell r="O583">
            <v>46529</v>
          </cell>
          <cell r="P583">
            <v>10500</v>
          </cell>
          <cell r="Q583">
            <v>3150</v>
          </cell>
          <cell r="R583">
            <v>3150</v>
          </cell>
          <cell r="S583">
            <v>0</v>
          </cell>
          <cell r="T583">
            <v>5681</v>
          </cell>
          <cell r="U583">
            <v>1632</v>
          </cell>
          <cell r="V583">
            <v>0</v>
          </cell>
          <cell r="W583">
            <v>0</v>
          </cell>
          <cell r="X583" t="str">
            <v>monster/10130.png</v>
          </cell>
          <cell r="Y583">
            <v>1</v>
          </cell>
          <cell r="Z583">
            <v>0</v>
          </cell>
          <cell r="AA583">
            <v>50</v>
          </cell>
          <cell r="AB583">
            <v>25</v>
          </cell>
          <cell r="AC583">
            <v>0.4</v>
          </cell>
        </row>
        <row r="584">
          <cell r="A584">
            <v>2065041</v>
          </cell>
          <cell r="B584">
            <v>2001</v>
          </cell>
          <cell r="C584">
            <v>66</v>
          </cell>
          <cell r="D584" t="str">
            <v>驯兽师瓦纳</v>
          </cell>
          <cell r="E584">
            <v>2060</v>
          </cell>
          <cell r="F584">
            <v>2060</v>
          </cell>
          <cell r="G584">
            <v>2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544133</v>
          </cell>
          <cell r="M584">
            <v>1088</v>
          </cell>
          <cell r="N584">
            <v>16505</v>
          </cell>
          <cell r="O584">
            <v>19806</v>
          </cell>
          <cell r="P584">
            <v>10500</v>
          </cell>
          <cell r="Q584">
            <v>3150</v>
          </cell>
          <cell r="R584">
            <v>3150</v>
          </cell>
          <cell r="S584">
            <v>0</v>
          </cell>
          <cell r="T584">
            <v>0</v>
          </cell>
          <cell r="U584">
            <v>1632</v>
          </cell>
          <cell r="V584">
            <v>0</v>
          </cell>
          <cell r="W584">
            <v>0</v>
          </cell>
          <cell r="X584" t="str">
            <v>monster/10094.png</v>
          </cell>
          <cell r="Y584">
            <v>1</v>
          </cell>
          <cell r="Z584">
            <v>0</v>
          </cell>
          <cell r="AA584">
            <v>50</v>
          </cell>
          <cell r="AB584">
            <v>25</v>
          </cell>
          <cell r="AC584">
            <v>0.4</v>
          </cell>
        </row>
        <row r="585">
          <cell r="A585">
            <v>2065042</v>
          </cell>
          <cell r="B585">
            <v>2001</v>
          </cell>
          <cell r="C585">
            <v>66</v>
          </cell>
          <cell r="D585" t="str">
            <v>多兰</v>
          </cell>
          <cell r="E585">
            <v>2060</v>
          </cell>
          <cell r="F585">
            <v>2060</v>
          </cell>
          <cell r="G585">
            <v>9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253929</v>
          </cell>
          <cell r="M585">
            <v>1359.9999999999998</v>
          </cell>
          <cell r="N585">
            <v>9628</v>
          </cell>
          <cell r="O585">
            <v>11554</v>
          </cell>
          <cell r="P585">
            <v>10500</v>
          </cell>
          <cell r="Q585">
            <v>3150</v>
          </cell>
          <cell r="R585">
            <v>3150</v>
          </cell>
          <cell r="S585">
            <v>0</v>
          </cell>
          <cell r="T585">
            <v>0</v>
          </cell>
          <cell r="U585">
            <v>1632</v>
          </cell>
          <cell r="V585">
            <v>0</v>
          </cell>
          <cell r="W585">
            <v>0</v>
          </cell>
          <cell r="X585" t="str">
            <v>monster/10061.png</v>
          </cell>
          <cell r="Y585">
            <v>1</v>
          </cell>
          <cell r="Z585">
            <v>0</v>
          </cell>
          <cell r="AA585">
            <v>50</v>
          </cell>
          <cell r="AB585">
            <v>25</v>
          </cell>
          <cell r="AC585">
            <v>0.4</v>
          </cell>
        </row>
        <row r="586">
          <cell r="A586">
            <v>2065043</v>
          </cell>
          <cell r="B586">
            <v>2001</v>
          </cell>
          <cell r="C586">
            <v>66</v>
          </cell>
          <cell r="D586" t="str">
            <v>约翰</v>
          </cell>
          <cell r="E586">
            <v>2060</v>
          </cell>
          <cell r="F586">
            <v>2060</v>
          </cell>
          <cell r="G586">
            <v>10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253929</v>
          </cell>
          <cell r="M586">
            <v>1359.9999999999998</v>
          </cell>
          <cell r="N586">
            <v>9628</v>
          </cell>
          <cell r="O586">
            <v>11554</v>
          </cell>
          <cell r="P586">
            <v>10500</v>
          </cell>
          <cell r="Q586">
            <v>3150</v>
          </cell>
          <cell r="R586">
            <v>3150</v>
          </cell>
          <cell r="S586">
            <v>0</v>
          </cell>
          <cell r="T586">
            <v>0</v>
          </cell>
          <cell r="U586">
            <v>1632</v>
          </cell>
          <cell r="V586">
            <v>0</v>
          </cell>
          <cell r="W586">
            <v>0</v>
          </cell>
          <cell r="X586" t="str">
            <v>monster/10067.png</v>
          </cell>
          <cell r="Y586">
            <v>1</v>
          </cell>
          <cell r="Z586">
            <v>0</v>
          </cell>
          <cell r="AA586">
            <v>50</v>
          </cell>
          <cell r="AB586">
            <v>25</v>
          </cell>
          <cell r="AC586">
            <v>0.4</v>
          </cell>
        </row>
        <row r="587">
          <cell r="A587">
            <v>2065051</v>
          </cell>
          <cell r="B587">
            <v>2001</v>
          </cell>
          <cell r="C587">
            <v>66</v>
          </cell>
          <cell r="D587" t="str">
            <v>炎之安苏</v>
          </cell>
          <cell r="E587">
            <v>2060</v>
          </cell>
          <cell r="F587">
            <v>2060</v>
          </cell>
          <cell r="G587">
            <v>21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911516</v>
          </cell>
          <cell r="M587">
            <v>1359.9999999999998</v>
          </cell>
          <cell r="N587">
            <v>29273</v>
          </cell>
          <cell r="O587">
            <v>35128</v>
          </cell>
          <cell r="P587">
            <v>10500</v>
          </cell>
          <cell r="Q587">
            <v>3150</v>
          </cell>
          <cell r="R587">
            <v>3150</v>
          </cell>
          <cell r="S587">
            <v>0</v>
          </cell>
          <cell r="T587">
            <v>0</v>
          </cell>
          <cell r="U587">
            <v>1632</v>
          </cell>
          <cell r="V587">
            <v>0</v>
          </cell>
          <cell r="W587">
            <v>0</v>
          </cell>
          <cell r="X587" t="str">
            <v>monster/10096.png</v>
          </cell>
          <cell r="Y587">
            <v>1</v>
          </cell>
          <cell r="Z587">
            <v>0</v>
          </cell>
          <cell r="AA587">
            <v>50</v>
          </cell>
          <cell r="AB587">
            <v>25</v>
          </cell>
          <cell r="AC587">
            <v>0.4</v>
          </cell>
        </row>
        <row r="588">
          <cell r="A588">
            <v>2065061</v>
          </cell>
          <cell r="B588">
            <v>2001</v>
          </cell>
          <cell r="C588">
            <v>67</v>
          </cell>
          <cell r="D588" t="str">
            <v>迅捷的维恩</v>
          </cell>
          <cell r="E588">
            <v>2110</v>
          </cell>
          <cell r="F588">
            <v>2110</v>
          </cell>
          <cell r="G588">
            <v>14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1022522</v>
          </cell>
          <cell r="M588">
            <v>1370</v>
          </cell>
          <cell r="N588">
            <v>31804</v>
          </cell>
          <cell r="O588">
            <v>38165</v>
          </cell>
          <cell r="P588">
            <v>11000</v>
          </cell>
          <cell r="Q588">
            <v>3300</v>
          </cell>
          <cell r="R588">
            <v>3300</v>
          </cell>
          <cell r="S588">
            <v>0</v>
          </cell>
          <cell r="T588">
            <v>0</v>
          </cell>
          <cell r="U588">
            <v>854</v>
          </cell>
          <cell r="V588">
            <v>0</v>
          </cell>
          <cell r="W588">
            <v>0</v>
          </cell>
          <cell r="X588" t="str">
            <v>monster/10073.png</v>
          </cell>
          <cell r="Y588">
            <v>1</v>
          </cell>
          <cell r="Z588">
            <v>0</v>
          </cell>
          <cell r="AA588">
            <v>50</v>
          </cell>
          <cell r="AB588">
            <v>25</v>
          </cell>
          <cell r="AC588">
            <v>0.4</v>
          </cell>
        </row>
        <row r="589">
          <cell r="A589">
            <v>2065071</v>
          </cell>
          <cell r="B589">
            <v>2001</v>
          </cell>
          <cell r="C589">
            <v>67</v>
          </cell>
          <cell r="D589" t="str">
            <v>暮光预言者</v>
          </cell>
          <cell r="E589">
            <v>2110</v>
          </cell>
          <cell r="F589">
            <v>2110</v>
          </cell>
          <cell r="G589">
            <v>13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1087628</v>
          </cell>
          <cell r="M589">
            <v>1096</v>
          </cell>
          <cell r="N589">
            <v>23802</v>
          </cell>
          <cell r="O589">
            <v>28562</v>
          </cell>
          <cell r="P589">
            <v>11000</v>
          </cell>
          <cell r="Q589">
            <v>3300</v>
          </cell>
          <cell r="R589">
            <v>3300</v>
          </cell>
          <cell r="S589">
            <v>0</v>
          </cell>
          <cell r="T589">
            <v>0</v>
          </cell>
          <cell r="U589">
            <v>854</v>
          </cell>
          <cell r="V589">
            <v>0</v>
          </cell>
          <cell r="W589">
            <v>0</v>
          </cell>
          <cell r="X589" t="str">
            <v>monster/10080.png</v>
          </cell>
          <cell r="Y589">
            <v>1</v>
          </cell>
          <cell r="Z589">
            <v>0</v>
          </cell>
          <cell r="AA589">
            <v>50</v>
          </cell>
          <cell r="AB589">
            <v>25</v>
          </cell>
          <cell r="AC589">
            <v>0.4</v>
          </cell>
        </row>
        <row r="590">
          <cell r="A590">
            <v>2065081</v>
          </cell>
          <cell r="B590">
            <v>2001</v>
          </cell>
          <cell r="C590">
            <v>68</v>
          </cell>
          <cell r="D590" t="str">
            <v>卡雷</v>
          </cell>
          <cell r="E590">
            <v>2160</v>
          </cell>
          <cell r="F590">
            <v>2160</v>
          </cell>
          <cell r="G590">
            <v>25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1144752</v>
          </cell>
          <cell r="M590">
            <v>42</v>
          </cell>
          <cell r="N590">
            <v>45441</v>
          </cell>
          <cell r="O590">
            <v>54529</v>
          </cell>
          <cell r="P590">
            <v>11500</v>
          </cell>
          <cell r="Q590">
            <v>3450</v>
          </cell>
          <cell r="R590">
            <v>3450</v>
          </cell>
          <cell r="S590">
            <v>0</v>
          </cell>
          <cell r="T590">
            <v>0</v>
          </cell>
          <cell r="U590">
            <v>1731</v>
          </cell>
          <cell r="V590">
            <v>0</v>
          </cell>
          <cell r="W590">
            <v>0</v>
          </cell>
          <cell r="X590" t="str">
            <v>monster/10056.png</v>
          </cell>
          <cell r="Y590">
            <v>1</v>
          </cell>
          <cell r="Z590">
            <v>0</v>
          </cell>
          <cell r="AA590">
            <v>50</v>
          </cell>
          <cell r="AB590">
            <v>25</v>
          </cell>
          <cell r="AC590">
            <v>0.4</v>
          </cell>
        </row>
        <row r="591">
          <cell r="A591">
            <v>2065091</v>
          </cell>
          <cell r="B591">
            <v>2001</v>
          </cell>
          <cell r="C591">
            <v>69</v>
          </cell>
          <cell r="D591" t="str">
            <v>日光弗雷尔</v>
          </cell>
          <cell r="E591">
            <v>2210</v>
          </cell>
          <cell r="F591">
            <v>2210</v>
          </cell>
          <cell r="G591">
            <v>28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1107965</v>
          </cell>
          <cell r="M591">
            <v>1390.0000000000002</v>
          </cell>
          <cell r="N591">
            <v>35767</v>
          </cell>
          <cell r="O591">
            <v>42920</v>
          </cell>
          <cell r="P591">
            <v>12000</v>
          </cell>
          <cell r="Q591">
            <v>3600</v>
          </cell>
          <cell r="R591">
            <v>3600</v>
          </cell>
          <cell r="S591">
            <v>0</v>
          </cell>
          <cell r="T591">
            <v>0</v>
          </cell>
          <cell r="U591">
            <v>1782</v>
          </cell>
          <cell r="V591">
            <v>0</v>
          </cell>
          <cell r="W591">
            <v>0</v>
          </cell>
          <cell r="X591" t="str">
            <v>monster/10010.png</v>
          </cell>
          <cell r="Y591">
            <v>1</v>
          </cell>
          <cell r="Z591">
            <v>0</v>
          </cell>
          <cell r="AA591">
            <v>50</v>
          </cell>
          <cell r="AB591">
            <v>25</v>
          </cell>
          <cell r="AC591">
            <v>0.4</v>
          </cell>
        </row>
        <row r="592">
          <cell r="A592">
            <v>2070011</v>
          </cell>
          <cell r="B592">
            <v>2001</v>
          </cell>
          <cell r="C592">
            <v>70</v>
          </cell>
          <cell r="D592" t="str">
            <v>坚定的格雷格</v>
          </cell>
          <cell r="E592">
            <v>2260</v>
          </cell>
          <cell r="F592">
            <v>2260</v>
          </cell>
          <cell r="G592">
            <v>3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788770</v>
          </cell>
          <cell r="M592">
            <v>840</v>
          </cell>
          <cell r="N592">
            <v>21963</v>
          </cell>
          <cell r="O592">
            <v>26356</v>
          </cell>
          <cell r="P592">
            <v>12500</v>
          </cell>
          <cell r="Q592">
            <v>3750</v>
          </cell>
          <cell r="R592">
            <v>3750</v>
          </cell>
          <cell r="S592">
            <v>0</v>
          </cell>
          <cell r="T592">
            <v>0</v>
          </cell>
          <cell r="U592">
            <v>1834</v>
          </cell>
          <cell r="V592">
            <v>0</v>
          </cell>
          <cell r="W592">
            <v>0</v>
          </cell>
          <cell r="X592" t="str">
            <v>monster/10119.png</v>
          </cell>
          <cell r="Y592">
            <v>1</v>
          </cell>
          <cell r="Z592">
            <v>0</v>
          </cell>
          <cell r="AA592">
            <v>50</v>
          </cell>
          <cell r="AB592">
            <v>25</v>
          </cell>
          <cell r="AC592">
            <v>0.4</v>
          </cell>
        </row>
        <row r="593">
          <cell r="A593">
            <v>2070021</v>
          </cell>
          <cell r="B593">
            <v>2001</v>
          </cell>
          <cell r="C593">
            <v>70</v>
          </cell>
          <cell r="D593" t="str">
            <v>菲德丝的倒影</v>
          </cell>
          <cell r="E593">
            <v>2260</v>
          </cell>
          <cell r="F593">
            <v>2260</v>
          </cell>
          <cell r="G593" t="str">
            <v>15,11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1054474</v>
          </cell>
          <cell r="M593">
            <v>1400</v>
          </cell>
          <cell r="N593">
            <v>34259</v>
          </cell>
          <cell r="O593">
            <v>41111</v>
          </cell>
          <cell r="P593">
            <v>12500</v>
          </cell>
          <cell r="Q593">
            <v>3750</v>
          </cell>
          <cell r="R593">
            <v>3750</v>
          </cell>
          <cell r="S593">
            <v>0</v>
          </cell>
          <cell r="T593">
            <v>0</v>
          </cell>
          <cell r="U593">
            <v>1834</v>
          </cell>
          <cell r="V593">
            <v>0</v>
          </cell>
          <cell r="W593">
            <v>0</v>
          </cell>
          <cell r="X593" t="str">
            <v>UI/Program/MercenaryHunter_1.png</v>
          </cell>
          <cell r="Y593">
            <v>1</v>
          </cell>
          <cell r="Z593">
            <v>0</v>
          </cell>
          <cell r="AA593">
            <v>50</v>
          </cell>
          <cell r="AB593">
            <v>25</v>
          </cell>
          <cell r="AC593">
            <v>0.4</v>
          </cell>
        </row>
        <row r="594">
          <cell r="A594">
            <v>2070031</v>
          </cell>
          <cell r="B594">
            <v>2001</v>
          </cell>
          <cell r="C594">
            <v>71</v>
          </cell>
          <cell r="D594" t="str">
            <v>惊人的盖亚</v>
          </cell>
          <cell r="E594">
            <v>2320</v>
          </cell>
          <cell r="F594">
            <v>2320</v>
          </cell>
          <cell r="G594" t="str">
            <v>10,15,17,14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687270</v>
          </cell>
          <cell r="M594">
            <v>6345</v>
          </cell>
          <cell r="N594">
            <v>57778</v>
          </cell>
          <cell r="O594">
            <v>69334</v>
          </cell>
          <cell r="P594">
            <v>13000</v>
          </cell>
          <cell r="Q594">
            <v>3900</v>
          </cell>
          <cell r="R594">
            <v>3900</v>
          </cell>
          <cell r="S594">
            <v>0</v>
          </cell>
          <cell r="T594">
            <v>6566</v>
          </cell>
          <cell r="U594">
            <v>1886</v>
          </cell>
          <cell r="V594">
            <v>0</v>
          </cell>
          <cell r="W594">
            <v>0</v>
          </cell>
          <cell r="X594" t="str">
            <v>monster/10130.png</v>
          </cell>
          <cell r="Y594">
            <v>1</v>
          </cell>
          <cell r="Z594">
            <v>0</v>
          </cell>
          <cell r="AA594">
            <v>50</v>
          </cell>
          <cell r="AB594">
            <v>25</v>
          </cell>
          <cell r="AC594">
            <v>0.4</v>
          </cell>
        </row>
        <row r="595">
          <cell r="A595">
            <v>2070041</v>
          </cell>
          <cell r="B595">
            <v>2001</v>
          </cell>
          <cell r="C595">
            <v>71</v>
          </cell>
          <cell r="D595" t="str">
            <v>驯兽师瓦纳</v>
          </cell>
          <cell r="E595">
            <v>2320</v>
          </cell>
          <cell r="F595">
            <v>2320</v>
          </cell>
          <cell r="G595">
            <v>2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726023</v>
          </cell>
          <cell r="M595">
            <v>1128</v>
          </cell>
          <cell r="N595">
            <v>24735</v>
          </cell>
          <cell r="O595">
            <v>29682</v>
          </cell>
          <cell r="P595">
            <v>13000</v>
          </cell>
          <cell r="Q595">
            <v>3900</v>
          </cell>
          <cell r="R595">
            <v>3900</v>
          </cell>
          <cell r="S595">
            <v>0</v>
          </cell>
          <cell r="T595">
            <v>0</v>
          </cell>
          <cell r="U595">
            <v>1886</v>
          </cell>
          <cell r="V595">
            <v>0</v>
          </cell>
          <cell r="W595">
            <v>0</v>
          </cell>
          <cell r="X595" t="str">
            <v>monster/10094.png</v>
          </cell>
          <cell r="Y595">
            <v>1</v>
          </cell>
          <cell r="Z595">
            <v>0</v>
          </cell>
          <cell r="AA595">
            <v>50</v>
          </cell>
          <cell r="AB595">
            <v>25</v>
          </cell>
          <cell r="AC595">
            <v>0.4</v>
          </cell>
        </row>
        <row r="596">
          <cell r="A596">
            <v>2070042</v>
          </cell>
          <cell r="B596">
            <v>2001</v>
          </cell>
          <cell r="C596">
            <v>71</v>
          </cell>
          <cell r="D596" t="str">
            <v>多兰</v>
          </cell>
          <cell r="E596">
            <v>2320</v>
          </cell>
          <cell r="F596">
            <v>2320</v>
          </cell>
          <cell r="G596">
            <v>9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338811</v>
          </cell>
          <cell r="M596">
            <v>1410</v>
          </cell>
          <cell r="N596">
            <v>14429</v>
          </cell>
          <cell r="O596">
            <v>17315</v>
          </cell>
          <cell r="P596">
            <v>13000</v>
          </cell>
          <cell r="Q596">
            <v>3900</v>
          </cell>
          <cell r="R596">
            <v>3900</v>
          </cell>
          <cell r="S596">
            <v>0</v>
          </cell>
          <cell r="T596">
            <v>0</v>
          </cell>
          <cell r="U596">
            <v>1886</v>
          </cell>
          <cell r="V596">
            <v>0</v>
          </cell>
          <cell r="W596">
            <v>0</v>
          </cell>
          <cell r="X596" t="str">
            <v>monster/10061.png</v>
          </cell>
          <cell r="Y596">
            <v>1</v>
          </cell>
          <cell r="Z596">
            <v>0</v>
          </cell>
          <cell r="AA596">
            <v>50</v>
          </cell>
          <cell r="AB596">
            <v>25</v>
          </cell>
          <cell r="AC596">
            <v>0.4</v>
          </cell>
        </row>
        <row r="597">
          <cell r="A597">
            <v>2070043</v>
          </cell>
          <cell r="B597">
            <v>2001</v>
          </cell>
          <cell r="C597">
            <v>71</v>
          </cell>
          <cell r="D597" t="str">
            <v>约翰</v>
          </cell>
          <cell r="E597">
            <v>2320</v>
          </cell>
          <cell r="F597">
            <v>2320</v>
          </cell>
          <cell r="G597">
            <v>10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338811</v>
          </cell>
          <cell r="M597">
            <v>1410</v>
          </cell>
          <cell r="N597">
            <v>14429</v>
          </cell>
          <cell r="O597">
            <v>17315</v>
          </cell>
          <cell r="P597">
            <v>13000</v>
          </cell>
          <cell r="Q597">
            <v>3900</v>
          </cell>
          <cell r="R597">
            <v>3900</v>
          </cell>
          <cell r="S597">
            <v>0</v>
          </cell>
          <cell r="T597">
            <v>0</v>
          </cell>
          <cell r="U597">
            <v>1886</v>
          </cell>
          <cell r="V597">
            <v>0</v>
          </cell>
          <cell r="W597">
            <v>0</v>
          </cell>
          <cell r="X597" t="str">
            <v>monster/10067.png</v>
          </cell>
          <cell r="Y597">
            <v>1</v>
          </cell>
          <cell r="Z597">
            <v>0</v>
          </cell>
          <cell r="AA597">
            <v>50</v>
          </cell>
          <cell r="AB597">
            <v>25</v>
          </cell>
          <cell r="AC597">
            <v>0.4</v>
          </cell>
        </row>
        <row r="598">
          <cell r="A598">
            <v>2070051</v>
          </cell>
          <cell r="B598">
            <v>2001</v>
          </cell>
          <cell r="C598">
            <v>71</v>
          </cell>
          <cell r="D598" t="str">
            <v>炎之安苏</v>
          </cell>
          <cell r="E598">
            <v>2320</v>
          </cell>
          <cell r="F598">
            <v>2320</v>
          </cell>
          <cell r="G598">
            <v>21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1214354</v>
          </cell>
          <cell r="M598">
            <v>1410</v>
          </cell>
          <cell r="N598">
            <v>44120</v>
          </cell>
          <cell r="O598">
            <v>52944</v>
          </cell>
          <cell r="P598">
            <v>13000</v>
          </cell>
          <cell r="Q598">
            <v>3900</v>
          </cell>
          <cell r="R598">
            <v>3900</v>
          </cell>
          <cell r="S598">
            <v>0</v>
          </cell>
          <cell r="T598">
            <v>0</v>
          </cell>
          <cell r="U598">
            <v>1886</v>
          </cell>
          <cell r="V598">
            <v>0</v>
          </cell>
          <cell r="W598">
            <v>0</v>
          </cell>
          <cell r="X598" t="str">
            <v>monster/10096.png</v>
          </cell>
          <cell r="Y598">
            <v>1</v>
          </cell>
          <cell r="Z598">
            <v>0</v>
          </cell>
          <cell r="AA598">
            <v>50</v>
          </cell>
          <cell r="AB598">
            <v>25</v>
          </cell>
          <cell r="AC598">
            <v>0.4</v>
          </cell>
        </row>
        <row r="599">
          <cell r="A599">
            <v>2070061</v>
          </cell>
          <cell r="B599">
            <v>2001</v>
          </cell>
          <cell r="C599">
            <v>72</v>
          </cell>
          <cell r="D599" t="str">
            <v>迅捷的维恩</v>
          </cell>
          <cell r="E599">
            <v>2380</v>
          </cell>
          <cell r="F599">
            <v>2380</v>
          </cell>
          <cell r="G599">
            <v>14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1368439</v>
          </cell>
          <cell r="M599">
            <v>1420</v>
          </cell>
          <cell r="N599">
            <v>48301</v>
          </cell>
          <cell r="O599">
            <v>57961</v>
          </cell>
          <cell r="P599">
            <v>13500</v>
          </cell>
          <cell r="Q599">
            <v>4050</v>
          </cell>
          <cell r="R599">
            <v>4050</v>
          </cell>
          <cell r="S599">
            <v>0</v>
          </cell>
          <cell r="T599">
            <v>0</v>
          </cell>
          <cell r="U599">
            <v>984</v>
          </cell>
          <cell r="V599">
            <v>0</v>
          </cell>
          <cell r="W599">
            <v>0</v>
          </cell>
          <cell r="X599" t="str">
            <v>monster/10073.png</v>
          </cell>
          <cell r="Y599">
            <v>1</v>
          </cell>
          <cell r="Z599">
            <v>0</v>
          </cell>
          <cell r="AA599">
            <v>50</v>
          </cell>
          <cell r="AB599">
            <v>25</v>
          </cell>
          <cell r="AC599">
            <v>0.4</v>
          </cell>
        </row>
        <row r="600">
          <cell r="A600">
            <v>2070071</v>
          </cell>
          <cell r="B600">
            <v>2001</v>
          </cell>
          <cell r="C600">
            <v>72</v>
          </cell>
          <cell r="D600" t="str">
            <v>暮光预言者</v>
          </cell>
          <cell r="E600">
            <v>2380</v>
          </cell>
          <cell r="F600">
            <v>2380</v>
          </cell>
          <cell r="G600">
            <v>13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1453558</v>
          </cell>
          <cell r="M600">
            <v>1136</v>
          </cell>
          <cell r="N600">
            <v>36324</v>
          </cell>
          <cell r="O600">
            <v>43589</v>
          </cell>
          <cell r="P600">
            <v>13500</v>
          </cell>
          <cell r="Q600">
            <v>4050</v>
          </cell>
          <cell r="R600">
            <v>4050</v>
          </cell>
          <cell r="S600">
            <v>0</v>
          </cell>
          <cell r="T600">
            <v>0</v>
          </cell>
          <cell r="U600">
            <v>984</v>
          </cell>
          <cell r="V600">
            <v>0</v>
          </cell>
          <cell r="W600">
            <v>0</v>
          </cell>
          <cell r="X600" t="str">
            <v>monster/10080.png</v>
          </cell>
          <cell r="Y600">
            <v>1</v>
          </cell>
          <cell r="Z600">
            <v>0</v>
          </cell>
          <cell r="AA600">
            <v>50</v>
          </cell>
          <cell r="AB600">
            <v>25</v>
          </cell>
          <cell r="AC600">
            <v>0.4</v>
          </cell>
        </row>
        <row r="601">
          <cell r="A601">
            <v>2070081</v>
          </cell>
          <cell r="B601">
            <v>2001</v>
          </cell>
          <cell r="C601">
            <v>73</v>
          </cell>
          <cell r="D601" t="str">
            <v>卡雷</v>
          </cell>
          <cell r="E601">
            <v>2440</v>
          </cell>
          <cell r="F601">
            <v>2440</v>
          </cell>
          <cell r="G601">
            <v>25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1538996</v>
          </cell>
          <cell r="M601">
            <v>42</v>
          </cell>
          <cell r="N601">
            <v>69688</v>
          </cell>
          <cell r="O601">
            <v>83626</v>
          </cell>
          <cell r="P601">
            <v>14000</v>
          </cell>
          <cell r="Q601">
            <v>4200</v>
          </cell>
          <cell r="R601">
            <v>4200</v>
          </cell>
          <cell r="S601">
            <v>0</v>
          </cell>
          <cell r="T601">
            <v>0</v>
          </cell>
          <cell r="U601">
            <v>1993</v>
          </cell>
          <cell r="V601">
            <v>0</v>
          </cell>
          <cell r="W601">
            <v>0</v>
          </cell>
          <cell r="X601" t="str">
            <v>monster/10056.png</v>
          </cell>
          <cell r="Y601">
            <v>1</v>
          </cell>
          <cell r="Z601">
            <v>0</v>
          </cell>
          <cell r="AA601">
            <v>50</v>
          </cell>
          <cell r="AB601">
            <v>25</v>
          </cell>
          <cell r="AC601">
            <v>0.4</v>
          </cell>
        </row>
        <row r="602">
          <cell r="A602">
            <v>2070091</v>
          </cell>
          <cell r="B602">
            <v>2001</v>
          </cell>
          <cell r="C602">
            <v>74</v>
          </cell>
          <cell r="D602" t="str">
            <v>日光弗雷尔</v>
          </cell>
          <cell r="E602">
            <v>2500</v>
          </cell>
          <cell r="F602">
            <v>2500</v>
          </cell>
          <cell r="G602">
            <v>28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1498759</v>
          </cell>
          <cell r="M602">
            <v>1440</v>
          </cell>
          <cell r="N602">
            <v>55210</v>
          </cell>
          <cell r="O602">
            <v>66252</v>
          </cell>
          <cell r="P602">
            <v>14500</v>
          </cell>
          <cell r="Q602">
            <v>4350</v>
          </cell>
          <cell r="R602">
            <v>4350</v>
          </cell>
          <cell r="S602">
            <v>0</v>
          </cell>
          <cell r="T602">
            <v>0</v>
          </cell>
          <cell r="U602">
            <v>2047</v>
          </cell>
          <cell r="V602">
            <v>0</v>
          </cell>
          <cell r="W602">
            <v>0</v>
          </cell>
          <cell r="X602" t="str">
            <v>monster/10010.png</v>
          </cell>
          <cell r="Y602">
            <v>1</v>
          </cell>
          <cell r="Z602">
            <v>0</v>
          </cell>
          <cell r="AA602">
            <v>50</v>
          </cell>
          <cell r="AB602">
            <v>25</v>
          </cell>
          <cell r="AC602">
            <v>0.4</v>
          </cell>
        </row>
        <row r="603">
          <cell r="A603">
            <v>2075011</v>
          </cell>
          <cell r="B603">
            <v>2001</v>
          </cell>
          <cell r="C603">
            <v>75</v>
          </cell>
          <cell r="D603" t="str">
            <v>坚定的格雷格</v>
          </cell>
          <cell r="E603">
            <v>2560</v>
          </cell>
          <cell r="F603">
            <v>2560</v>
          </cell>
          <cell r="G603">
            <v>3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1048674</v>
          </cell>
          <cell r="M603">
            <v>870</v>
          </cell>
          <cell r="N603">
            <v>32229</v>
          </cell>
          <cell r="O603">
            <v>38675</v>
          </cell>
          <cell r="P603">
            <v>15000</v>
          </cell>
          <cell r="Q603">
            <v>4500</v>
          </cell>
          <cell r="R603">
            <v>4500</v>
          </cell>
          <cell r="S603">
            <v>0</v>
          </cell>
          <cell r="T603">
            <v>0</v>
          </cell>
          <cell r="U603">
            <v>2103</v>
          </cell>
          <cell r="V603">
            <v>0</v>
          </cell>
          <cell r="W603">
            <v>0</v>
          </cell>
          <cell r="X603" t="str">
            <v>monster/10119.png</v>
          </cell>
          <cell r="Y603">
            <v>1</v>
          </cell>
          <cell r="Z603">
            <v>0</v>
          </cell>
          <cell r="AA603">
            <v>50</v>
          </cell>
          <cell r="AB603">
            <v>25</v>
          </cell>
          <cell r="AC603">
            <v>0.4</v>
          </cell>
        </row>
        <row r="604">
          <cell r="A604">
            <v>2075021</v>
          </cell>
          <cell r="B604">
            <v>2001</v>
          </cell>
          <cell r="C604">
            <v>75</v>
          </cell>
          <cell r="D604" t="str">
            <v>菲德丝的倒影</v>
          </cell>
          <cell r="E604">
            <v>2560</v>
          </cell>
          <cell r="F604">
            <v>2560</v>
          </cell>
          <cell r="G604" t="str">
            <v>15,11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1405428</v>
          </cell>
          <cell r="M604">
            <v>1450</v>
          </cell>
          <cell r="N604">
            <v>50721</v>
          </cell>
          <cell r="O604">
            <v>60865</v>
          </cell>
          <cell r="P604">
            <v>15000</v>
          </cell>
          <cell r="Q604">
            <v>4500</v>
          </cell>
          <cell r="R604">
            <v>4500</v>
          </cell>
          <cell r="S604">
            <v>0</v>
          </cell>
          <cell r="T604">
            <v>0</v>
          </cell>
          <cell r="U604">
            <v>2103</v>
          </cell>
          <cell r="V604">
            <v>0</v>
          </cell>
          <cell r="W604">
            <v>0</v>
          </cell>
          <cell r="X604" t="str">
            <v>UI/Program/MercenaryHunter_1.png</v>
          </cell>
          <cell r="Y604">
            <v>1</v>
          </cell>
          <cell r="Z604">
            <v>0</v>
          </cell>
          <cell r="AA604">
            <v>50</v>
          </cell>
          <cell r="AB604">
            <v>25</v>
          </cell>
          <cell r="AC604">
            <v>0.4</v>
          </cell>
        </row>
        <row r="605">
          <cell r="A605">
            <v>2075031</v>
          </cell>
          <cell r="B605">
            <v>2001</v>
          </cell>
          <cell r="C605">
            <v>76</v>
          </cell>
          <cell r="D605" t="str">
            <v>惊人的盖亚</v>
          </cell>
          <cell r="E605">
            <v>2620</v>
          </cell>
          <cell r="F605">
            <v>2620</v>
          </cell>
          <cell r="G605" t="str">
            <v>10,15,17,14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926585</v>
          </cell>
          <cell r="M605">
            <v>6570</v>
          </cell>
          <cell r="N605">
            <v>86560</v>
          </cell>
          <cell r="O605">
            <v>103872</v>
          </cell>
          <cell r="P605">
            <v>15500</v>
          </cell>
          <cell r="Q605">
            <v>4650</v>
          </cell>
          <cell r="R605">
            <v>4650</v>
          </cell>
          <cell r="S605">
            <v>0</v>
          </cell>
          <cell r="T605">
            <v>7515</v>
          </cell>
          <cell r="U605">
            <v>2159</v>
          </cell>
          <cell r="V605">
            <v>0</v>
          </cell>
          <cell r="W605">
            <v>0</v>
          </cell>
          <cell r="X605" t="str">
            <v>monster/10130.png</v>
          </cell>
          <cell r="Y605">
            <v>1</v>
          </cell>
          <cell r="Z605">
            <v>0</v>
          </cell>
          <cell r="AA605">
            <v>50</v>
          </cell>
          <cell r="AB605">
            <v>25</v>
          </cell>
          <cell r="AC605">
            <v>0.4</v>
          </cell>
        </row>
        <row r="606">
          <cell r="A606">
            <v>2075041</v>
          </cell>
          <cell r="B606">
            <v>2001</v>
          </cell>
          <cell r="C606">
            <v>76</v>
          </cell>
          <cell r="D606" t="str">
            <v>驯兽师瓦纳</v>
          </cell>
          <cell r="E606">
            <v>2620</v>
          </cell>
          <cell r="F606">
            <v>2620</v>
          </cell>
          <cell r="G606">
            <v>2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980446</v>
          </cell>
          <cell r="M606">
            <v>1168</v>
          </cell>
          <cell r="N606">
            <v>37249</v>
          </cell>
          <cell r="O606">
            <v>44699</v>
          </cell>
          <cell r="P606">
            <v>15500</v>
          </cell>
          <cell r="Q606">
            <v>4650</v>
          </cell>
          <cell r="R606">
            <v>4650</v>
          </cell>
          <cell r="S606">
            <v>0</v>
          </cell>
          <cell r="T606">
            <v>0</v>
          </cell>
          <cell r="U606">
            <v>2159</v>
          </cell>
          <cell r="V606">
            <v>0</v>
          </cell>
          <cell r="W606">
            <v>0</v>
          </cell>
          <cell r="X606" t="str">
            <v>monster/10094.png</v>
          </cell>
          <cell r="Y606">
            <v>1</v>
          </cell>
          <cell r="Z606">
            <v>0</v>
          </cell>
          <cell r="AA606">
            <v>50</v>
          </cell>
          <cell r="AB606">
            <v>25</v>
          </cell>
          <cell r="AC606">
            <v>0.4</v>
          </cell>
        </row>
        <row r="607">
          <cell r="A607">
            <v>2075042</v>
          </cell>
          <cell r="B607">
            <v>2001</v>
          </cell>
          <cell r="C607">
            <v>76</v>
          </cell>
          <cell r="D607" t="str">
            <v>多兰</v>
          </cell>
          <cell r="E607">
            <v>2620</v>
          </cell>
          <cell r="F607">
            <v>2620</v>
          </cell>
          <cell r="G607">
            <v>9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457542</v>
          </cell>
          <cell r="M607">
            <v>1460</v>
          </cell>
          <cell r="N607">
            <v>21728</v>
          </cell>
          <cell r="O607">
            <v>26074</v>
          </cell>
          <cell r="P607">
            <v>15500</v>
          </cell>
          <cell r="Q607">
            <v>4650</v>
          </cell>
          <cell r="R607">
            <v>4650</v>
          </cell>
          <cell r="S607">
            <v>0</v>
          </cell>
          <cell r="T607">
            <v>0</v>
          </cell>
          <cell r="U607">
            <v>2159</v>
          </cell>
          <cell r="V607">
            <v>0</v>
          </cell>
          <cell r="W607">
            <v>0</v>
          </cell>
          <cell r="X607" t="str">
            <v>monster/10061.png</v>
          </cell>
          <cell r="Y607">
            <v>1</v>
          </cell>
          <cell r="Z607">
            <v>0</v>
          </cell>
          <cell r="AA607">
            <v>50</v>
          </cell>
          <cell r="AB607">
            <v>25</v>
          </cell>
          <cell r="AC607">
            <v>0.4</v>
          </cell>
        </row>
        <row r="608">
          <cell r="A608">
            <v>2075043</v>
          </cell>
          <cell r="B608">
            <v>2001</v>
          </cell>
          <cell r="C608">
            <v>76</v>
          </cell>
          <cell r="D608" t="str">
            <v>约翰</v>
          </cell>
          <cell r="E608">
            <v>2620</v>
          </cell>
          <cell r="F608">
            <v>2620</v>
          </cell>
          <cell r="G608">
            <v>10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457542</v>
          </cell>
          <cell r="M608">
            <v>1460</v>
          </cell>
          <cell r="N608">
            <v>21728</v>
          </cell>
          <cell r="O608">
            <v>26074</v>
          </cell>
          <cell r="P608">
            <v>15500</v>
          </cell>
          <cell r="Q608">
            <v>4650</v>
          </cell>
          <cell r="R608">
            <v>4650</v>
          </cell>
          <cell r="S608">
            <v>0</v>
          </cell>
          <cell r="T608">
            <v>0</v>
          </cell>
          <cell r="U608">
            <v>2159</v>
          </cell>
          <cell r="V608">
            <v>0</v>
          </cell>
          <cell r="W608">
            <v>0</v>
          </cell>
          <cell r="X608" t="str">
            <v>monster/10067.png</v>
          </cell>
          <cell r="Y608">
            <v>1</v>
          </cell>
          <cell r="Z608">
            <v>0</v>
          </cell>
          <cell r="AA608">
            <v>50</v>
          </cell>
          <cell r="AB608">
            <v>25</v>
          </cell>
          <cell r="AC608">
            <v>0.4</v>
          </cell>
        </row>
        <row r="609">
          <cell r="A609">
            <v>2075051</v>
          </cell>
          <cell r="B609">
            <v>2001</v>
          </cell>
          <cell r="C609">
            <v>76</v>
          </cell>
          <cell r="D609" t="str">
            <v>炎之安苏</v>
          </cell>
          <cell r="E609">
            <v>2620</v>
          </cell>
          <cell r="F609">
            <v>2620</v>
          </cell>
          <cell r="G609">
            <v>21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1642611</v>
          </cell>
          <cell r="M609">
            <v>1460</v>
          </cell>
          <cell r="N609">
            <v>66787</v>
          </cell>
          <cell r="O609">
            <v>80144</v>
          </cell>
          <cell r="P609">
            <v>15500</v>
          </cell>
          <cell r="Q609">
            <v>4650</v>
          </cell>
          <cell r="R609">
            <v>4650</v>
          </cell>
          <cell r="S609">
            <v>0</v>
          </cell>
          <cell r="T609">
            <v>0</v>
          </cell>
          <cell r="U609">
            <v>2159</v>
          </cell>
          <cell r="V609">
            <v>0</v>
          </cell>
          <cell r="W609">
            <v>0</v>
          </cell>
          <cell r="X609" t="str">
            <v>monster/10096.png</v>
          </cell>
          <cell r="Y609">
            <v>1</v>
          </cell>
          <cell r="Z609">
            <v>0</v>
          </cell>
          <cell r="AA609">
            <v>50</v>
          </cell>
          <cell r="AB609">
            <v>25</v>
          </cell>
          <cell r="AC609">
            <v>0.4</v>
          </cell>
        </row>
        <row r="610">
          <cell r="A610">
            <v>2075061</v>
          </cell>
          <cell r="B610">
            <v>2001</v>
          </cell>
          <cell r="C610">
            <v>77</v>
          </cell>
          <cell r="D610" t="str">
            <v>迅捷的维恩</v>
          </cell>
          <cell r="E610">
            <v>2680</v>
          </cell>
          <cell r="F610">
            <v>2680</v>
          </cell>
          <cell r="G610">
            <v>14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1869262</v>
          </cell>
          <cell r="M610">
            <v>1470</v>
          </cell>
          <cell r="N610">
            <v>73620</v>
          </cell>
          <cell r="O610">
            <v>88344</v>
          </cell>
          <cell r="P610">
            <v>16000</v>
          </cell>
          <cell r="Q610">
            <v>4800</v>
          </cell>
          <cell r="R610">
            <v>4800</v>
          </cell>
          <cell r="S610">
            <v>0</v>
          </cell>
          <cell r="T610">
            <v>0</v>
          </cell>
          <cell r="U610">
            <v>1125</v>
          </cell>
          <cell r="V610">
            <v>0</v>
          </cell>
          <cell r="W610">
            <v>0</v>
          </cell>
          <cell r="X610" t="str">
            <v>monster/10073.png</v>
          </cell>
          <cell r="Y610">
            <v>1</v>
          </cell>
          <cell r="Z610">
            <v>0</v>
          </cell>
          <cell r="AA610">
            <v>50</v>
          </cell>
          <cell r="AB610">
            <v>25</v>
          </cell>
          <cell r="AC610">
            <v>0.4</v>
          </cell>
        </row>
        <row r="611">
          <cell r="A611">
            <v>2075071</v>
          </cell>
          <cell r="B611">
            <v>2001</v>
          </cell>
          <cell r="C611">
            <v>77</v>
          </cell>
          <cell r="D611" t="str">
            <v>暮光预言者</v>
          </cell>
          <cell r="E611">
            <v>2680</v>
          </cell>
          <cell r="F611">
            <v>2680</v>
          </cell>
          <cell r="G611">
            <v>13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1988492</v>
          </cell>
          <cell r="M611">
            <v>1176</v>
          </cell>
          <cell r="N611">
            <v>55602</v>
          </cell>
          <cell r="O611">
            <v>66722</v>
          </cell>
          <cell r="P611">
            <v>16000</v>
          </cell>
          <cell r="Q611">
            <v>4800</v>
          </cell>
          <cell r="R611">
            <v>4800</v>
          </cell>
          <cell r="S611">
            <v>0</v>
          </cell>
          <cell r="T611">
            <v>0</v>
          </cell>
          <cell r="U611">
            <v>1125</v>
          </cell>
          <cell r="V611">
            <v>0</v>
          </cell>
          <cell r="W611">
            <v>0</v>
          </cell>
          <cell r="X611" t="str">
            <v>monster/10080.png</v>
          </cell>
          <cell r="Y611">
            <v>1</v>
          </cell>
          <cell r="Z611">
            <v>0</v>
          </cell>
          <cell r="AA611">
            <v>50</v>
          </cell>
          <cell r="AB611">
            <v>25</v>
          </cell>
          <cell r="AC611">
            <v>0.4</v>
          </cell>
        </row>
        <row r="612">
          <cell r="A612">
            <v>2075081</v>
          </cell>
          <cell r="B612">
            <v>2001</v>
          </cell>
          <cell r="C612">
            <v>78</v>
          </cell>
          <cell r="D612" t="str">
            <v>卡雷</v>
          </cell>
          <cell r="E612">
            <v>2740</v>
          </cell>
          <cell r="F612">
            <v>2740</v>
          </cell>
          <cell r="G612">
            <v>25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2123377</v>
          </cell>
          <cell r="M612">
            <v>42</v>
          </cell>
          <cell r="N612">
            <v>107125</v>
          </cell>
          <cell r="O612">
            <v>128550</v>
          </cell>
          <cell r="P612">
            <v>16500</v>
          </cell>
          <cell r="Q612">
            <v>4950</v>
          </cell>
          <cell r="R612">
            <v>4950</v>
          </cell>
          <cell r="S612">
            <v>0</v>
          </cell>
          <cell r="T612">
            <v>0</v>
          </cell>
          <cell r="U612">
            <v>2273</v>
          </cell>
          <cell r="V612">
            <v>0</v>
          </cell>
          <cell r="W612">
            <v>0</v>
          </cell>
          <cell r="X612" t="str">
            <v>monster/10056.png</v>
          </cell>
          <cell r="Y612">
            <v>1</v>
          </cell>
          <cell r="Z612">
            <v>0</v>
          </cell>
          <cell r="AA612">
            <v>50</v>
          </cell>
          <cell r="AB612">
            <v>25</v>
          </cell>
          <cell r="AC612">
            <v>0.4</v>
          </cell>
        </row>
        <row r="613">
          <cell r="A613">
            <v>2075091</v>
          </cell>
          <cell r="B613">
            <v>2001</v>
          </cell>
          <cell r="C613">
            <v>79</v>
          </cell>
          <cell r="D613" t="str">
            <v>日光弗雷尔</v>
          </cell>
          <cell r="E613">
            <v>2800</v>
          </cell>
          <cell r="F613">
            <v>2800</v>
          </cell>
          <cell r="G613">
            <v>28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2085364</v>
          </cell>
          <cell r="M613">
            <v>1490</v>
          </cell>
          <cell r="N613">
            <v>85353</v>
          </cell>
          <cell r="O613">
            <v>102424</v>
          </cell>
          <cell r="P613">
            <v>17000</v>
          </cell>
          <cell r="Q613">
            <v>5100</v>
          </cell>
          <cell r="R613">
            <v>5100</v>
          </cell>
          <cell r="S613">
            <v>0</v>
          </cell>
          <cell r="T613">
            <v>0</v>
          </cell>
          <cell r="U613">
            <v>2332</v>
          </cell>
          <cell r="V613">
            <v>0</v>
          </cell>
          <cell r="W613">
            <v>0</v>
          </cell>
          <cell r="X613" t="str">
            <v>monster/10010.png</v>
          </cell>
          <cell r="Y613">
            <v>1</v>
          </cell>
          <cell r="Z613">
            <v>0</v>
          </cell>
          <cell r="AA613">
            <v>50</v>
          </cell>
          <cell r="AB613">
            <v>25</v>
          </cell>
          <cell r="AC613">
            <v>0.4</v>
          </cell>
        </row>
        <row r="614">
          <cell r="A614">
            <v>2080011</v>
          </cell>
          <cell r="B614">
            <v>2001</v>
          </cell>
          <cell r="C614">
            <v>80</v>
          </cell>
          <cell r="D614" t="str">
            <v>坚定的格雷格</v>
          </cell>
          <cell r="E614">
            <v>3000</v>
          </cell>
          <cell r="F614">
            <v>3000</v>
          </cell>
          <cell r="G614">
            <v>3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1407627</v>
          </cell>
          <cell r="M614">
            <v>900</v>
          </cell>
          <cell r="N614">
            <v>45282</v>
          </cell>
          <cell r="O614">
            <v>54338</v>
          </cell>
          <cell r="P614">
            <v>17500</v>
          </cell>
          <cell r="Q614">
            <v>5250</v>
          </cell>
          <cell r="R614">
            <v>5250</v>
          </cell>
          <cell r="S614">
            <v>0</v>
          </cell>
          <cell r="T614">
            <v>0</v>
          </cell>
          <cell r="U614">
            <v>2390</v>
          </cell>
          <cell r="V614">
            <v>0</v>
          </cell>
          <cell r="W614">
            <v>0</v>
          </cell>
          <cell r="X614" t="str">
            <v>monster/10119.png</v>
          </cell>
          <cell r="Y614">
            <v>1</v>
          </cell>
          <cell r="Z614">
            <v>0</v>
          </cell>
          <cell r="AA614">
            <v>50</v>
          </cell>
          <cell r="AB614">
            <v>25</v>
          </cell>
          <cell r="AC614">
            <v>0.4</v>
          </cell>
        </row>
        <row r="615">
          <cell r="A615">
            <v>2080021</v>
          </cell>
          <cell r="B615">
            <v>2001</v>
          </cell>
          <cell r="C615">
            <v>80</v>
          </cell>
          <cell r="D615" t="str">
            <v>菲德丝的倒影</v>
          </cell>
          <cell r="E615">
            <v>3000</v>
          </cell>
          <cell r="F615">
            <v>3000</v>
          </cell>
          <cell r="G615" t="str">
            <v>15,11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1889200</v>
          </cell>
          <cell r="M615">
            <v>1500</v>
          </cell>
          <cell r="N615">
            <v>71865</v>
          </cell>
          <cell r="O615">
            <v>86238</v>
          </cell>
          <cell r="P615">
            <v>17500</v>
          </cell>
          <cell r="Q615">
            <v>5250</v>
          </cell>
          <cell r="R615">
            <v>5250</v>
          </cell>
          <cell r="S615">
            <v>0</v>
          </cell>
          <cell r="T615">
            <v>0</v>
          </cell>
          <cell r="U615">
            <v>2390</v>
          </cell>
          <cell r="V615">
            <v>0</v>
          </cell>
          <cell r="W615">
            <v>0</v>
          </cell>
          <cell r="X615" t="str">
            <v>UI/Program/MercenaryHunter_1.png</v>
          </cell>
          <cell r="Y615">
            <v>1</v>
          </cell>
          <cell r="Z615">
            <v>0</v>
          </cell>
          <cell r="AA615">
            <v>50</v>
          </cell>
          <cell r="AB615">
            <v>25</v>
          </cell>
          <cell r="AC615">
            <v>0.4</v>
          </cell>
        </row>
        <row r="616">
          <cell r="A616">
            <v>2080031</v>
          </cell>
          <cell r="B616">
            <v>2001</v>
          </cell>
          <cell r="C616">
            <v>81</v>
          </cell>
          <cell r="D616" t="str">
            <v>惊人的盖亚</v>
          </cell>
          <cell r="E616">
            <v>3200</v>
          </cell>
          <cell r="F616">
            <v>3200</v>
          </cell>
          <cell r="G616" t="str">
            <v>10,15,17,14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1254531</v>
          </cell>
          <cell r="M616">
            <v>6795</v>
          </cell>
          <cell r="N616">
            <v>124031</v>
          </cell>
          <cell r="O616">
            <v>148837</v>
          </cell>
          <cell r="P616">
            <v>18000</v>
          </cell>
          <cell r="Q616">
            <v>5400</v>
          </cell>
          <cell r="R616">
            <v>5400</v>
          </cell>
          <cell r="S616">
            <v>0</v>
          </cell>
          <cell r="T616">
            <v>8529</v>
          </cell>
          <cell r="U616">
            <v>2450</v>
          </cell>
          <cell r="V616">
            <v>0</v>
          </cell>
          <cell r="W616">
            <v>0</v>
          </cell>
          <cell r="X616" t="str">
            <v>monster/10130.png</v>
          </cell>
          <cell r="Y616">
            <v>1</v>
          </cell>
          <cell r="Z616">
            <v>0</v>
          </cell>
          <cell r="AA616">
            <v>50</v>
          </cell>
          <cell r="AB616">
            <v>25</v>
          </cell>
          <cell r="AC616">
            <v>0.4</v>
          </cell>
        </row>
        <row r="617">
          <cell r="A617">
            <v>2080041</v>
          </cell>
          <cell r="B617">
            <v>2001</v>
          </cell>
          <cell r="C617">
            <v>81</v>
          </cell>
          <cell r="D617" t="str">
            <v>驯兽师瓦纳</v>
          </cell>
          <cell r="E617">
            <v>3200</v>
          </cell>
          <cell r="F617">
            <v>3200</v>
          </cell>
          <cell r="G617">
            <v>2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1328699</v>
          </cell>
          <cell r="M617">
            <v>1208</v>
          </cell>
          <cell r="N617">
            <v>53623</v>
          </cell>
          <cell r="O617">
            <v>64348</v>
          </cell>
          <cell r="P617">
            <v>18000</v>
          </cell>
          <cell r="Q617">
            <v>5400</v>
          </cell>
          <cell r="R617">
            <v>5400</v>
          </cell>
          <cell r="S617">
            <v>0</v>
          </cell>
          <cell r="T617">
            <v>0</v>
          </cell>
          <cell r="U617">
            <v>2450</v>
          </cell>
          <cell r="V617">
            <v>0</v>
          </cell>
          <cell r="W617">
            <v>0</v>
          </cell>
          <cell r="X617" t="str">
            <v>monster/10094.png</v>
          </cell>
          <cell r="Y617">
            <v>1</v>
          </cell>
          <cell r="Z617">
            <v>0</v>
          </cell>
          <cell r="AA617">
            <v>50</v>
          </cell>
          <cell r="AB617">
            <v>25</v>
          </cell>
          <cell r="AC617">
            <v>0.4</v>
          </cell>
        </row>
        <row r="618">
          <cell r="A618">
            <v>2080042</v>
          </cell>
          <cell r="B618">
            <v>2001</v>
          </cell>
          <cell r="C618">
            <v>81</v>
          </cell>
          <cell r="D618" t="str">
            <v>多兰</v>
          </cell>
          <cell r="E618">
            <v>3200</v>
          </cell>
          <cell r="F618">
            <v>3200</v>
          </cell>
          <cell r="G618">
            <v>9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620060</v>
          </cell>
          <cell r="M618">
            <v>1510</v>
          </cell>
          <cell r="N618">
            <v>31280</v>
          </cell>
          <cell r="O618">
            <v>37536</v>
          </cell>
          <cell r="P618">
            <v>18000</v>
          </cell>
          <cell r="Q618">
            <v>5400</v>
          </cell>
          <cell r="R618">
            <v>5400</v>
          </cell>
          <cell r="S618">
            <v>0</v>
          </cell>
          <cell r="T618">
            <v>0</v>
          </cell>
          <cell r="U618">
            <v>2450</v>
          </cell>
          <cell r="V618">
            <v>0</v>
          </cell>
          <cell r="W618">
            <v>0</v>
          </cell>
          <cell r="X618" t="str">
            <v>monster/10061.png</v>
          </cell>
          <cell r="Y618">
            <v>1</v>
          </cell>
          <cell r="Z618">
            <v>0</v>
          </cell>
          <cell r="AA618">
            <v>50</v>
          </cell>
          <cell r="AB618">
            <v>25</v>
          </cell>
          <cell r="AC618">
            <v>0.4</v>
          </cell>
        </row>
        <row r="619">
          <cell r="A619">
            <v>2080043</v>
          </cell>
          <cell r="B619">
            <v>2001</v>
          </cell>
          <cell r="C619">
            <v>81</v>
          </cell>
          <cell r="D619" t="str">
            <v>约翰</v>
          </cell>
          <cell r="E619">
            <v>3200</v>
          </cell>
          <cell r="F619">
            <v>3200</v>
          </cell>
          <cell r="G619">
            <v>10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620060</v>
          </cell>
          <cell r="M619">
            <v>1510</v>
          </cell>
          <cell r="N619">
            <v>31280</v>
          </cell>
          <cell r="O619">
            <v>37536</v>
          </cell>
          <cell r="P619">
            <v>18000</v>
          </cell>
          <cell r="Q619">
            <v>5400</v>
          </cell>
          <cell r="R619">
            <v>5400</v>
          </cell>
          <cell r="S619">
            <v>0</v>
          </cell>
          <cell r="T619">
            <v>0</v>
          </cell>
          <cell r="U619">
            <v>2450</v>
          </cell>
          <cell r="V619">
            <v>0</v>
          </cell>
          <cell r="W619">
            <v>0</v>
          </cell>
          <cell r="X619" t="str">
            <v>monster/10067.png</v>
          </cell>
          <cell r="Y619">
            <v>1</v>
          </cell>
          <cell r="Z619">
            <v>0</v>
          </cell>
          <cell r="AA619">
            <v>50</v>
          </cell>
          <cell r="AB619">
            <v>25</v>
          </cell>
          <cell r="AC619">
            <v>0.4</v>
          </cell>
        </row>
        <row r="620">
          <cell r="A620">
            <v>2080051</v>
          </cell>
          <cell r="B620">
            <v>2001</v>
          </cell>
          <cell r="C620">
            <v>81</v>
          </cell>
          <cell r="D620" t="str">
            <v>炎之安苏</v>
          </cell>
          <cell r="E620">
            <v>3200</v>
          </cell>
          <cell r="F620">
            <v>3200</v>
          </cell>
          <cell r="G620">
            <v>21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2228150</v>
          </cell>
          <cell r="M620">
            <v>1510</v>
          </cell>
          <cell r="N620">
            <v>96596</v>
          </cell>
          <cell r="O620">
            <v>115915</v>
          </cell>
          <cell r="P620">
            <v>18000</v>
          </cell>
          <cell r="Q620">
            <v>5400</v>
          </cell>
          <cell r="R620">
            <v>5400</v>
          </cell>
          <cell r="S620">
            <v>0</v>
          </cell>
          <cell r="T620">
            <v>0</v>
          </cell>
          <cell r="U620">
            <v>2450</v>
          </cell>
          <cell r="V620">
            <v>0</v>
          </cell>
          <cell r="W620">
            <v>0</v>
          </cell>
          <cell r="X620" t="str">
            <v>monster/10096.png</v>
          </cell>
          <cell r="Y620">
            <v>1</v>
          </cell>
          <cell r="Z620">
            <v>0</v>
          </cell>
          <cell r="AA620">
            <v>50</v>
          </cell>
          <cell r="AB620">
            <v>25</v>
          </cell>
          <cell r="AC620">
            <v>0.4</v>
          </cell>
        </row>
        <row r="621">
          <cell r="A621">
            <v>2080061</v>
          </cell>
          <cell r="B621">
            <v>2001</v>
          </cell>
          <cell r="C621">
            <v>82</v>
          </cell>
          <cell r="D621" t="str">
            <v>迅捷的维恩</v>
          </cell>
          <cell r="E621">
            <v>3400</v>
          </cell>
          <cell r="F621">
            <v>3400</v>
          </cell>
          <cell r="G621">
            <v>14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2550809</v>
          </cell>
          <cell r="M621">
            <v>1520</v>
          </cell>
          <cell r="N621">
            <v>107144</v>
          </cell>
          <cell r="O621">
            <v>128573</v>
          </cell>
          <cell r="P621">
            <v>18500</v>
          </cell>
          <cell r="Q621">
            <v>5550</v>
          </cell>
          <cell r="R621">
            <v>5550</v>
          </cell>
          <cell r="S621">
            <v>0</v>
          </cell>
          <cell r="T621">
            <v>0</v>
          </cell>
          <cell r="U621">
            <v>1274</v>
          </cell>
          <cell r="V621">
            <v>0</v>
          </cell>
          <cell r="W621">
            <v>0</v>
          </cell>
          <cell r="X621" t="str">
            <v>monster/10105.png</v>
          </cell>
          <cell r="Y621">
            <v>1</v>
          </cell>
          <cell r="Z621">
            <v>0</v>
          </cell>
          <cell r="AA621">
            <v>50</v>
          </cell>
          <cell r="AB621">
            <v>25</v>
          </cell>
          <cell r="AC621">
            <v>0.4</v>
          </cell>
        </row>
        <row r="622">
          <cell r="A622">
            <v>2080071</v>
          </cell>
          <cell r="B622">
            <v>2001</v>
          </cell>
          <cell r="C622">
            <v>82</v>
          </cell>
          <cell r="D622" t="str">
            <v>暮光预言者</v>
          </cell>
          <cell r="E622">
            <v>3400</v>
          </cell>
          <cell r="F622">
            <v>3400</v>
          </cell>
          <cell r="G622">
            <v>13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2715792</v>
          </cell>
          <cell r="M622">
            <v>1216</v>
          </cell>
          <cell r="N622">
            <v>81224</v>
          </cell>
          <cell r="O622">
            <v>97469</v>
          </cell>
          <cell r="P622">
            <v>18500</v>
          </cell>
          <cell r="Q622">
            <v>5550</v>
          </cell>
          <cell r="R622">
            <v>5550</v>
          </cell>
          <cell r="S622">
            <v>0</v>
          </cell>
          <cell r="T622">
            <v>0</v>
          </cell>
          <cell r="U622">
            <v>1274</v>
          </cell>
          <cell r="V622">
            <v>0</v>
          </cell>
          <cell r="W622">
            <v>0</v>
          </cell>
          <cell r="X622" t="str">
            <v>monster/10080.png</v>
          </cell>
          <cell r="Y622">
            <v>1</v>
          </cell>
          <cell r="Z622">
            <v>0</v>
          </cell>
          <cell r="AA622">
            <v>50</v>
          </cell>
          <cell r="AB622">
            <v>25</v>
          </cell>
          <cell r="AC622">
            <v>0.4</v>
          </cell>
        </row>
        <row r="623">
          <cell r="A623">
            <v>2080081</v>
          </cell>
          <cell r="B623">
            <v>2001</v>
          </cell>
          <cell r="C623">
            <v>83</v>
          </cell>
          <cell r="D623" t="str">
            <v>卡雷</v>
          </cell>
          <cell r="E623">
            <v>3600</v>
          </cell>
          <cell r="F623">
            <v>3600</v>
          </cell>
          <cell r="G623">
            <v>25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2914660</v>
          </cell>
          <cell r="M623">
            <v>42</v>
          </cell>
          <cell r="N623">
            <v>157077</v>
          </cell>
          <cell r="O623">
            <v>188492</v>
          </cell>
          <cell r="P623">
            <v>19000</v>
          </cell>
          <cell r="Q623">
            <v>5700</v>
          </cell>
          <cell r="R623">
            <v>5700</v>
          </cell>
          <cell r="S623">
            <v>0</v>
          </cell>
          <cell r="T623">
            <v>0</v>
          </cell>
          <cell r="U623">
            <v>2572</v>
          </cell>
          <cell r="V623">
            <v>0</v>
          </cell>
          <cell r="W623">
            <v>0</v>
          </cell>
          <cell r="X623" t="str">
            <v>monster/10056.png</v>
          </cell>
          <cell r="Y623">
            <v>1</v>
          </cell>
          <cell r="Z623">
            <v>0</v>
          </cell>
          <cell r="AA623">
            <v>50</v>
          </cell>
          <cell r="AB623">
            <v>25</v>
          </cell>
          <cell r="AC623">
            <v>0.4</v>
          </cell>
        </row>
        <row r="624">
          <cell r="A624">
            <v>2080091</v>
          </cell>
          <cell r="B624">
            <v>2001</v>
          </cell>
          <cell r="C624">
            <v>84</v>
          </cell>
          <cell r="D624" t="str">
            <v>日光弗雷尔</v>
          </cell>
          <cell r="E624">
            <v>3800</v>
          </cell>
          <cell r="F624">
            <v>3800</v>
          </cell>
          <cell r="G624">
            <v>28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2876288</v>
          </cell>
          <cell r="M624">
            <v>1540</v>
          </cell>
          <cell r="N624">
            <v>125778</v>
          </cell>
          <cell r="O624">
            <v>150934</v>
          </cell>
          <cell r="P624">
            <v>19500</v>
          </cell>
          <cell r="Q624">
            <v>5850</v>
          </cell>
          <cell r="R624">
            <v>5850</v>
          </cell>
          <cell r="S624">
            <v>0</v>
          </cell>
          <cell r="T624">
            <v>0</v>
          </cell>
          <cell r="U624">
            <v>2634</v>
          </cell>
          <cell r="V624">
            <v>0</v>
          </cell>
          <cell r="W624">
            <v>0</v>
          </cell>
          <cell r="X624" t="str">
            <v>monster/10010.png</v>
          </cell>
          <cell r="Y624">
            <v>1</v>
          </cell>
          <cell r="Z624">
            <v>0</v>
          </cell>
          <cell r="AA624">
            <v>50</v>
          </cell>
          <cell r="AB624">
            <v>25</v>
          </cell>
          <cell r="AC624">
            <v>0.4</v>
          </cell>
        </row>
        <row r="625">
          <cell r="A625">
            <v>2085011</v>
          </cell>
          <cell r="B625">
            <v>2001</v>
          </cell>
          <cell r="C625">
            <v>85</v>
          </cell>
          <cell r="D625" t="str">
            <v>咒术大师</v>
          </cell>
          <cell r="E625">
            <v>4000</v>
          </cell>
          <cell r="F625">
            <v>4000</v>
          </cell>
          <cell r="G625" t="str">
            <v>22,27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1664429</v>
          </cell>
          <cell r="M625">
            <v>7750</v>
          </cell>
          <cell r="N625">
            <v>61737</v>
          </cell>
          <cell r="O625">
            <v>74084</v>
          </cell>
          <cell r="P625">
            <v>20000</v>
          </cell>
          <cell r="Q625">
            <v>6000</v>
          </cell>
          <cell r="R625">
            <v>6000</v>
          </cell>
          <cell r="S625">
            <v>0</v>
          </cell>
          <cell r="T625">
            <v>0</v>
          </cell>
          <cell r="U625">
            <v>2697</v>
          </cell>
          <cell r="V625">
            <v>0</v>
          </cell>
          <cell r="W625">
            <v>0</v>
          </cell>
          <cell r="X625" t="str">
            <v>monster/10136.png</v>
          </cell>
          <cell r="Y625">
            <v>1</v>
          </cell>
          <cell r="Z625">
            <v>0</v>
          </cell>
          <cell r="AA625">
            <v>50</v>
          </cell>
          <cell r="AB625">
            <v>25</v>
          </cell>
          <cell r="AC625">
            <v>0.4</v>
          </cell>
        </row>
        <row r="626">
          <cell r="A626">
            <v>2085021</v>
          </cell>
          <cell r="B626">
            <v>2001</v>
          </cell>
          <cell r="C626">
            <v>85</v>
          </cell>
          <cell r="D626" t="str">
            <v>拨弄的赛亚</v>
          </cell>
          <cell r="E626">
            <v>4000</v>
          </cell>
          <cell r="F626">
            <v>4000</v>
          </cell>
          <cell r="G626" t="str">
            <v>17,18,8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2552728</v>
          </cell>
          <cell r="M626">
            <v>4650</v>
          </cell>
          <cell r="N626">
            <v>184171</v>
          </cell>
          <cell r="O626">
            <v>221005</v>
          </cell>
          <cell r="P626">
            <v>20000</v>
          </cell>
          <cell r="Q626">
            <v>6000</v>
          </cell>
          <cell r="R626">
            <v>6000</v>
          </cell>
          <cell r="S626">
            <v>0</v>
          </cell>
          <cell r="T626">
            <v>0</v>
          </cell>
          <cell r="U626">
            <v>2697</v>
          </cell>
          <cell r="V626">
            <v>0</v>
          </cell>
          <cell r="W626">
            <v>0</v>
          </cell>
          <cell r="X626" t="str">
            <v>monster/10125.png</v>
          </cell>
          <cell r="Y626">
            <v>1</v>
          </cell>
          <cell r="Z626">
            <v>0</v>
          </cell>
          <cell r="AA626">
            <v>50</v>
          </cell>
          <cell r="AB626">
            <v>25</v>
          </cell>
          <cell r="AC626">
            <v>0.4</v>
          </cell>
        </row>
        <row r="627">
          <cell r="A627">
            <v>2085031</v>
          </cell>
          <cell r="B627">
            <v>2001</v>
          </cell>
          <cell r="C627">
            <v>86</v>
          </cell>
          <cell r="D627" t="str">
            <v>法力风暴</v>
          </cell>
          <cell r="E627">
            <v>4200</v>
          </cell>
          <cell r="F627">
            <v>4200</v>
          </cell>
          <cell r="G627" t="str">
            <v>25,30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1883197</v>
          </cell>
          <cell r="M627">
            <v>188320</v>
          </cell>
          <cell r="N627">
            <v>267350</v>
          </cell>
          <cell r="O627">
            <v>320820</v>
          </cell>
          <cell r="P627">
            <v>21000</v>
          </cell>
          <cell r="Q627">
            <v>6400</v>
          </cell>
          <cell r="R627">
            <v>6400</v>
          </cell>
          <cell r="S627">
            <v>0</v>
          </cell>
          <cell r="T627">
            <v>0</v>
          </cell>
          <cell r="U627">
            <v>2760</v>
          </cell>
          <cell r="V627">
            <v>0</v>
          </cell>
          <cell r="W627">
            <v>0</v>
          </cell>
          <cell r="X627" t="str">
            <v>monster/10061.png</v>
          </cell>
          <cell r="Y627">
            <v>1</v>
          </cell>
          <cell r="Z627">
            <v>0</v>
          </cell>
          <cell r="AA627">
            <v>50</v>
          </cell>
          <cell r="AB627">
            <v>25</v>
          </cell>
          <cell r="AC627">
            <v>0.4</v>
          </cell>
        </row>
        <row r="628">
          <cell r="A628">
            <v>2085041</v>
          </cell>
          <cell r="B628">
            <v>2001</v>
          </cell>
          <cell r="C628">
            <v>86</v>
          </cell>
          <cell r="D628" t="str">
            <v>火舞者</v>
          </cell>
          <cell r="E628">
            <v>4200</v>
          </cell>
          <cell r="F628">
            <v>4200</v>
          </cell>
          <cell r="G628">
            <v>29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2786300</v>
          </cell>
          <cell r="M628">
            <v>1560</v>
          </cell>
          <cell r="N628">
            <v>193359</v>
          </cell>
          <cell r="O628">
            <v>232031</v>
          </cell>
          <cell r="P628">
            <v>21000</v>
          </cell>
          <cell r="Q628">
            <v>6400</v>
          </cell>
          <cell r="R628">
            <v>6400</v>
          </cell>
          <cell r="S628">
            <v>0</v>
          </cell>
          <cell r="T628">
            <v>0</v>
          </cell>
          <cell r="U628">
            <v>2760</v>
          </cell>
          <cell r="V628">
            <v>0</v>
          </cell>
          <cell r="W628">
            <v>0</v>
          </cell>
          <cell r="X628" t="str">
            <v>monster/10116.png</v>
          </cell>
          <cell r="Y628">
            <v>1</v>
          </cell>
          <cell r="Z628">
            <v>0</v>
          </cell>
          <cell r="AA628">
            <v>50</v>
          </cell>
          <cell r="AB628">
            <v>25</v>
          </cell>
          <cell r="AC628">
            <v>0.4</v>
          </cell>
        </row>
        <row r="629">
          <cell r="A629">
            <v>2085051</v>
          </cell>
          <cell r="B629">
            <v>2001</v>
          </cell>
          <cell r="C629">
            <v>86</v>
          </cell>
          <cell r="D629" t="str">
            <v>血誓审判者</v>
          </cell>
          <cell r="E629">
            <v>4200</v>
          </cell>
          <cell r="F629">
            <v>4200</v>
          </cell>
          <cell r="G629">
            <v>5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1397765</v>
          </cell>
          <cell r="M629">
            <v>1560</v>
          </cell>
          <cell r="N629">
            <v>58734</v>
          </cell>
          <cell r="O629">
            <v>70481</v>
          </cell>
          <cell r="P629">
            <v>21000</v>
          </cell>
          <cell r="Q629">
            <v>6400</v>
          </cell>
          <cell r="R629">
            <v>6400</v>
          </cell>
          <cell r="S629">
            <v>0</v>
          </cell>
          <cell r="T629">
            <v>0</v>
          </cell>
          <cell r="U629">
            <v>2760</v>
          </cell>
          <cell r="V629">
            <v>0</v>
          </cell>
          <cell r="W629">
            <v>0</v>
          </cell>
          <cell r="X629" t="str">
            <v>monster/10083.png</v>
          </cell>
          <cell r="Y629">
            <v>1</v>
          </cell>
          <cell r="Z629">
            <v>0</v>
          </cell>
          <cell r="AA629">
            <v>50</v>
          </cell>
          <cell r="AB629">
            <v>25</v>
          </cell>
          <cell r="AC629">
            <v>0.4</v>
          </cell>
        </row>
        <row r="630">
          <cell r="A630">
            <v>2085052</v>
          </cell>
          <cell r="B630">
            <v>2001</v>
          </cell>
          <cell r="C630">
            <v>86</v>
          </cell>
          <cell r="D630" t="str">
            <v>血誓预言者</v>
          </cell>
          <cell r="E630">
            <v>4200</v>
          </cell>
          <cell r="F630">
            <v>4200</v>
          </cell>
          <cell r="G630">
            <v>2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1304580</v>
          </cell>
          <cell r="M630">
            <v>1248</v>
          </cell>
          <cell r="N630">
            <v>62930</v>
          </cell>
          <cell r="O630">
            <v>75516</v>
          </cell>
          <cell r="P630">
            <v>21000</v>
          </cell>
          <cell r="Q630">
            <v>6400</v>
          </cell>
          <cell r="R630">
            <v>6400</v>
          </cell>
          <cell r="S630">
            <v>0</v>
          </cell>
          <cell r="T630">
            <v>0</v>
          </cell>
          <cell r="U630">
            <v>2760</v>
          </cell>
          <cell r="V630">
            <v>0</v>
          </cell>
          <cell r="W630">
            <v>0</v>
          </cell>
          <cell r="X630" t="str">
            <v>monster/10082.png</v>
          </cell>
          <cell r="Y630">
            <v>1</v>
          </cell>
          <cell r="Z630">
            <v>0</v>
          </cell>
          <cell r="AA630">
            <v>50</v>
          </cell>
          <cell r="AB630">
            <v>25</v>
          </cell>
          <cell r="AC630">
            <v>0.4</v>
          </cell>
        </row>
        <row r="631">
          <cell r="A631">
            <v>2085053</v>
          </cell>
          <cell r="B631">
            <v>2001</v>
          </cell>
          <cell r="C631">
            <v>86</v>
          </cell>
          <cell r="D631" t="str">
            <v>血誓召唤者</v>
          </cell>
          <cell r="E631">
            <v>4200</v>
          </cell>
          <cell r="F631">
            <v>4200</v>
          </cell>
          <cell r="G631">
            <v>26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1366703</v>
          </cell>
          <cell r="M631">
            <v>1560</v>
          </cell>
          <cell r="N631">
            <v>75516</v>
          </cell>
          <cell r="O631">
            <v>90619</v>
          </cell>
          <cell r="P631">
            <v>21000</v>
          </cell>
          <cell r="Q631">
            <v>6400</v>
          </cell>
          <cell r="R631">
            <v>6400</v>
          </cell>
          <cell r="S631">
            <v>0</v>
          </cell>
          <cell r="T631">
            <v>0</v>
          </cell>
          <cell r="U631">
            <v>2760</v>
          </cell>
          <cell r="V631">
            <v>0</v>
          </cell>
          <cell r="W631">
            <v>0</v>
          </cell>
          <cell r="X631" t="str">
            <v>monster/10081.png</v>
          </cell>
          <cell r="Y631">
            <v>1</v>
          </cell>
          <cell r="Z631">
            <v>0</v>
          </cell>
          <cell r="AA631">
            <v>50</v>
          </cell>
          <cell r="AB631">
            <v>25</v>
          </cell>
          <cell r="AC631">
            <v>0.4</v>
          </cell>
        </row>
        <row r="632">
          <cell r="A632">
            <v>2085054</v>
          </cell>
          <cell r="B632">
            <v>2001</v>
          </cell>
          <cell r="C632">
            <v>86</v>
          </cell>
          <cell r="D632" t="str">
            <v>血誓领主</v>
          </cell>
          <cell r="E632">
            <v>4200</v>
          </cell>
          <cell r="F632">
            <v>4200</v>
          </cell>
          <cell r="G632">
            <v>14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1335642</v>
          </cell>
          <cell r="M632">
            <v>1560</v>
          </cell>
          <cell r="N632">
            <v>75516</v>
          </cell>
          <cell r="O632">
            <v>90619</v>
          </cell>
          <cell r="P632">
            <v>21000</v>
          </cell>
          <cell r="Q632">
            <v>6400</v>
          </cell>
          <cell r="R632">
            <v>6400</v>
          </cell>
          <cell r="S632">
            <v>0</v>
          </cell>
          <cell r="T632">
            <v>0</v>
          </cell>
          <cell r="U632">
            <v>2760</v>
          </cell>
          <cell r="V632">
            <v>0</v>
          </cell>
          <cell r="W632">
            <v>0</v>
          </cell>
          <cell r="X632" t="str">
            <v>monster/10072.png</v>
          </cell>
          <cell r="Y632">
            <v>1</v>
          </cell>
          <cell r="Z632">
            <v>0</v>
          </cell>
          <cell r="AA632">
            <v>50</v>
          </cell>
          <cell r="AB632">
            <v>25</v>
          </cell>
          <cell r="AC632">
            <v>0.4</v>
          </cell>
        </row>
        <row r="633">
          <cell r="A633">
            <v>2085061</v>
          </cell>
          <cell r="B633">
            <v>2001</v>
          </cell>
          <cell r="C633">
            <v>87</v>
          </cell>
          <cell r="D633" t="str">
            <v>舞钢者拜伦</v>
          </cell>
          <cell r="E633">
            <v>4400</v>
          </cell>
          <cell r="F633">
            <v>4400</v>
          </cell>
          <cell r="G633">
            <v>8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3316050</v>
          </cell>
          <cell r="M633">
            <v>1569.9999999999998</v>
          </cell>
          <cell r="N633">
            <v>187064</v>
          </cell>
          <cell r="O633">
            <v>224477</v>
          </cell>
          <cell r="P633">
            <v>22000</v>
          </cell>
          <cell r="Q633">
            <v>6800</v>
          </cell>
          <cell r="R633">
            <v>6800</v>
          </cell>
          <cell r="S633">
            <v>0</v>
          </cell>
          <cell r="T633">
            <v>0</v>
          </cell>
          <cell r="U633">
            <v>2824</v>
          </cell>
          <cell r="V633">
            <v>0</v>
          </cell>
          <cell r="W633">
            <v>0</v>
          </cell>
          <cell r="X633" t="str">
            <v>monster/10084.png</v>
          </cell>
          <cell r="Y633">
            <v>1</v>
          </cell>
          <cell r="Z633">
            <v>0</v>
          </cell>
          <cell r="AA633">
            <v>50</v>
          </cell>
          <cell r="AB633">
            <v>25</v>
          </cell>
          <cell r="AC633">
            <v>0.4</v>
          </cell>
        </row>
        <row r="634">
          <cell r="A634">
            <v>2085071</v>
          </cell>
          <cell r="B634">
            <v>2001</v>
          </cell>
          <cell r="C634">
            <v>87</v>
          </cell>
          <cell r="D634" t="str">
            <v>风暴之王</v>
          </cell>
          <cell r="E634">
            <v>4400</v>
          </cell>
          <cell r="F634">
            <v>4400</v>
          </cell>
          <cell r="G634">
            <v>6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3247897</v>
          </cell>
          <cell r="M634">
            <v>1569.9999999999998</v>
          </cell>
          <cell r="N634">
            <v>203174</v>
          </cell>
          <cell r="O634">
            <v>243809</v>
          </cell>
          <cell r="P634">
            <v>22000</v>
          </cell>
          <cell r="Q634">
            <v>6800</v>
          </cell>
          <cell r="R634">
            <v>6800</v>
          </cell>
          <cell r="S634">
            <v>0</v>
          </cell>
          <cell r="T634">
            <v>0</v>
          </cell>
          <cell r="U634">
            <v>2824</v>
          </cell>
          <cell r="V634">
            <v>0</v>
          </cell>
          <cell r="W634">
            <v>0</v>
          </cell>
          <cell r="X634" t="str">
            <v>monster/10138.png</v>
          </cell>
          <cell r="Y634">
            <v>1</v>
          </cell>
          <cell r="Z634">
            <v>0</v>
          </cell>
          <cell r="AA634">
            <v>50</v>
          </cell>
          <cell r="AB634">
            <v>25</v>
          </cell>
          <cell r="AC634">
            <v>0.4</v>
          </cell>
        </row>
        <row r="635">
          <cell r="A635">
            <v>2085081</v>
          </cell>
          <cell r="B635">
            <v>2001</v>
          </cell>
          <cell r="C635">
            <v>88</v>
          </cell>
          <cell r="D635" t="str">
            <v>雷伊战争使者</v>
          </cell>
          <cell r="E635">
            <v>4600</v>
          </cell>
          <cell r="F635">
            <v>4600</v>
          </cell>
          <cell r="G635">
            <v>7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3723963</v>
          </cell>
          <cell r="M635">
            <v>1580</v>
          </cell>
          <cell r="N635">
            <v>275839</v>
          </cell>
          <cell r="O635">
            <v>331007</v>
          </cell>
          <cell r="P635">
            <v>23000</v>
          </cell>
          <cell r="Q635">
            <v>7200</v>
          </cell>
          <cell r="R635">
            <v>7200</v>
          </cell>
          <cell r="S635">
            <v>0</v>
          </cell>
          <cell r="T635">
            <v>0</v>
          </cell>
          <cell r="U635">
            <v>2889</v>
          </cell>
          <cell r="V635">
            <v>0</v>
          </cell>
          <cell r="W635">
            <v>0</v>
          </cell>
          <cell r="X635" t="str">
            <v>monster/10127.png</v>
          </cell>
          <cell r="Y635">
            <v>1</v>
          </cell>
          <cell r="Z635">
            <v>0</v>
          </cell>
          <cell r="AA635">
            <v>50</v>
          </cell>
          <cell r="AB635">
            <v>25</v>
          </cell>
          <cell r="AC635">
            <v>0.4</v>
          </cell>
        </row>
        <row r="636">
          <cell r="A636">
            <v>2085091</v>
          </cell>
          <cell r="B636">
            <v>2001</v>
          </cell>
          <cell r="C636">
            <v>89</v>
          </cell>
          <cell r="D636" t="str">
            <v>暴君泰伦</v>
          </cell>
          <cell r="E636">
            <v>4800</v>
          </cell>
          <cell r="F636">
            <v>4800</v>
          </cell>
          <cell r="G636" t="str">
            <v>10,9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4620604</v>
          </cell>
          <cell r="M636">
            <v>4770</v>
          </cell>
          <cell r="N636">
            <v>369551</v>
          </cell>
          <cell r="O636">
            <v>443461</v>
          </cell>
          <cell r="P636">
            <v>24000</v>
          </cell>
          <cell r="Q636">
            <v>7600</v>
          </cell>
          <cell r="R636">
            <v>7600</v>
          </cell>
          <cell r="S636">
            <v>0</v>
          </cell>
          <cell r="T636">
            <v>4235</v>
          </cell>
          <cell r="U636">
            <v>3230</v>
          </cell>
          <cell r="V636">
            <v>0</v>
          </cell>
          <cell r="W636">
            <v>0</v>
          </cell>
          <cell r="X636" t="str">
            <v>monster/10140.png</v>
          </cell>
          <cell r="Y636">
            <v>1</v>
          </cell>
          <cell r="Z636">
            <v>0</v>
          </cell>
          <cell r="AA636">
            <v>50</v>
          </cell>
          <cell r="AB636">
            <v>25</v>
          </cell>
          <cell r="AC636">
            <v>0.4</v>
          </cell>
        </row>
        <row r="637">
          <cell r="A637">
            <v>2090011</v>
          </cell>
          <cell r="B637">
            <v>2001</v>
          </cell>
          <cell r="C637">
            <v>90</v>
          </cell>
          <cell r="D637" t="str">
            <v>咒术大师</v>
          </cell>
          <cell r="E637">
            <v>5000</v>
          </cell>
          <cell r="F637">
            <v>5000</v>
          </cell>
          <cell r="G637" t="str">
            <v>22,27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2043814</v>
          </cell>
          <cell r="M637">
            <v>8000</v>
          </cell>
          <cell r="N637">
            <v>83797</v>
          </cell>
          <cell r="O637">
            <v>100556</v>
          </cell>
          <cell r="P637">
            <v>25000</v>
          </cell>
          <cell r="Q637">
            <v>8000</v>
          </cell>
          <cell r="R637">
            <v>8000</v>
          </cell>
          <cell r="S637">
            <v>0</v>
          </cell>
          <cell r="T637">
            <v>0</v>
          </cell>
          <cell r="U637">
            <v>3021</v>
          </cell>
          <cell r="V637">
            <v>0</v>
          </cell>
          <cell r="W637">
            <v>0</v>
          </cell>
          <cell r="X637" t="str">
            <v>monster/10136.png</v>
          </cell>
          <cell r="Y637">
            <v>1</v>
          </cell>
          <cell r="Z637">
            <v>0</v>
          </cell>
          <cell r="AA637">
            <v>50</v>
          </cell>
          <cell r="AB637">
            <v>25</v>
          </cell>
          <cell r="AC637">
            <v>0.4</v>
          </cell>
        </row>
        <row r="638">
          <cell r="A638">
            <v>2090021</v>
          </cell>
          <cell r="B638">
            <v>2001</v>
          </cell>
          <cell r="C638">
            <v>90</v>
          </cell>
          <cell r="D638" t="str">
            <v>拨弄的赛亚</v>
          </cell>
          <cell r="E638">
            <v>5000</v>
          </cell>
          <cell r="F638">
            <v>5000</v>
          </cell>
          <cell r="G638" t="str">
            <v>17,18,8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3133714</v>
          </cell>
          <cell r="M638">
            <v>4800</v>
          </cell>
          <cell r="N638">
            <v>251658</v>
          </cell>
          <cell r="O638">
            <v>301990</v>
          </cell>
          <cell r="P638">
            <v>25000</v>
          </cell>
          <cell r="Q638">
            <v>8000</v>
          </cell>
          <cell r="R638">
            <v>8000</v>
          </cell>
          <cell r="S638">
            <v>0</v>
          </cell>
          <cell r="T638">
            <v>0</v>
          </cell>
          <cell r="U638">
            <v>3021</v>
          </cell>
          <cell r="V638">
            <v>0</v>
          </cell>
          <cell r="W638">
            <v>0</v>
          </cell>
          <cell r="X638" t="str">
            <v>monster/10125.png</v>
          </cell>
          <cell r="Y638">
            <v>1</v>
          </cell>
          <cell r="Z638">
            <v>0</v>
          </cell>
          <cell r="AA638">
            <v>50</v>
          </cell>
          <cell r="AB638">
            <v>25</v>
          </cell>
          <cell r="AC638">
            <v>0.4</v>
          </cell>
        </row>
        <row r="639">
          <cell r="A639">
            <v>2090031</v>
          </cell>
          <cell r="B639">
            <v>2001</v>
          </cell>
          <cell r="C639">
            <v>91</v>
          </cell>
          <cell r="D639" t="str">
            <v>法力风暴</v>
          </cell>
          <cell r="E639">
            <v>5200</v>
          </cell>
          <cell r="F639">
            <v>5200</v>
          </cell>
          <cell r="G639" t="str">
            <v>25,30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2330928</v>
          </cell>
          <cell r="M639">
            <v>233093</v>
          </cell>
          <cell r="N639">
            <v>368588</v>
          </cell>
          <cell r="O639">
            <v>442306</v>
          </cell>
          <cell r="P639">
            <v>26000</v>
          </cell>
          <cell r="Q639">
            <v>8400</v>
          </cell>
          <cell r="R639">
            <v>8400</v>
          </cell>
          <cell r="S639">
            <v>0</v>
          </cell>
          <cell r="T639">
            <v>0</v>
          </cell>
          <cell r="U639">
            <v>3088</v>
          </cell>
          <cell r="V639">
            <v>0</v>
          </cell>
          <cell r="W639">
            <v>0</v>
          </cell>
          <cell r="X639" t="str">
            <v>monster/10061.png</v>
          </cell>
          <cell r="Y639">
            <v>1</v>
          </cell>
          <cell r="Z639">
            <v>0</v>
          </cell>
          <cell r="AA639">
            <v>50</v>
          </cell>
          <cell r="AB639">
            <v>25</v>
          </cell>
          <cell r="AC639">
            <v>0.4</v>
          </cell>
        </row>
        <row r="640">
          <cell r="A640">
            <v>2090041</v>
          </cell>
          <cell r="B640">
            <v>2001</v>
          </cell>
          <cell r="C640">
            <v>91</v>
          </cell>
          <cell r="D640" t="str">
            <v>火舞者</v>
          </cell>
          <cell r="E640">
            <v>5200</v>
          </cell>
          <cell r="F640">
            <v>5200</v>
          </cell>
          <cell r="G640">
            <v>29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3448117</v>
          </cell>
          <cell r="M640">
            <v>1609.9999999999998</v>
          </cell>
          <cell r="N640">
            <v>267499</v>
          </cell>
          <cell r="O640">
            <v>320999</v>
          </cell>
          <cell r="P640">
            <v>26000</v>
          </cell>
          <cell r="Q640">
            <v>8400</v>
          </cell>
          <cell r="R640">
            <v>8400</v>
          </cell>
          <cell r="S640">
            <v>0</v>
          </cell>
          <cell r="T640">
            <v>0</v>
          </cell>
          <cell r="U640">
            <v>3088</v>
          </cell>
          <cell r="V640">
            <v>0</v>
          </cell>
          <cell r="W640">
            <v>0</v>
          </cell>
          <cell r="X640" t="str">
            <v>monster/10116.png</v>
          </cell>
          <cell r="Y640">
            <v>1</v>
          </cell>
          <cell r="Z640">
            <v>0</v>
          </cell>
          <cell r="AA640">
            <v>50</v>
          </cell>
          <cell r="AB640">
            <v>25</v>
          </cell>
          <cell r="AC640">
            <v>0.4</v>
          </cell>
        </row>
        <row r="641">
          <cell r="A641">
            <v>2090051</v>
          </cell>
          <cell r="B641">
            <v>2001</v>
          </cell>
          <cell r="C641">
            <v>91</v>
          </cell>
          <cell r="D641" t="str">
            <v>血誓审判者</v>
          </cell>
          <cell r="E641">
            <v>5200</v>
          </cell>
          <cell r="F641">
            <v>5200</v>
          </cell>
          <cell r="G641">
            <v>5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1729455</v>
          </cell>
          <cell r="M641">
            <v>1609.9999999999998</v>
          </cell>
          <cell r="N641">
            <v>81536</v>
          </cell>
          <cell r="O641">
            <v>97843</v>
          </cell>
          <cell r="P641">
            <v>26000</v>
          </cell>
          <cell r="Q641">
            <v>8400</v>
          </cell>
          <cell r="R641">
            <v>8400</v>
          </cell>
          <cell r="S641">
            <v>0</v>
          </cell>
          <cell r="T641">
            <v>0</v>
          </cell>
          <cell r="U641">
            <v>3088</v>
          </cell>
          <cell r="V641">
            <v>0</v>
          </cell>
          <cell r="W641">
            <v>0</v>
          </cell>
          <cell r="X641" t="str">
            <v>monster/10083.png</v>
          </cell>
          <cell r="Y641">
            <v>1</v>
          </cell>
          <cell r="Z641">
            <v>0</v>
          </cell>
          <cell r="AA641">
            <v>50</v>
          </cell>
          <cell r="AB641">
            <v>25</v>
          </cell>
          <cell r="AC641">
            <v>0.4</v>
          </cell>
        </row>
        <row r="642">
          <cell r="A642">
            <v>2090052</v>
          </cell>
          <cell r="B642">
            <v>2001</v>
          </cell>
          <cell r="C642">
            <v>91</v>
          </cell>
          <cell r="D642" t="str">
            <v>血誓预言者</v>
          </cell>
          <cell r="E642">
            <v>5200</v>
          </cell>
          <cell r="F642">
            <v>5200</v>
          </cell>
          <cell r="G642">
            <v>2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1614158</v>
          </cell>
          <cell r="M642">
            <v>1288</v>
          </cell>
          <cell r="N642">
            <v>87360</v>
          </cell>
          <cell r="O642">
            <v>104832</v>
          </cell>
          <cell r="P642">
            <v>26000</v>
          </cell>
          <cell r="Q642">
            <v>8400</v>
          </cell>
          <cell r="R642">
            <v>8400</v>
          </cell>
          <cell r="S642">
            <v>0</v>
          </cell>
          <cell r="T642">
            <v>0</v>
          </cell>
          <cell r="U642">
            <v>3088</v>
          </cell>
          <cell r="V642">
            <v>0</v>
          </cell>
          <cell r="W642">
            <v>0</v>
          </cell>
          <cell r="X642" t="str">
            <v>monster/10082.png</v>
          </cell>
          <cell r="Y642">
            <v>1</v>
          </cell>
          <cell r="Z642">
            <v>0</v>
          </cell>
          <cell r="AA642">
            <v>50</v>
          </cell>
          <cell r="AB642">
            <v>25</v>
          </cell>
          <cell r="AC642">
            <v>0.4</v>
          </cell>
        </row>
        <row r="643">
          <cell r="A643">
            <v>2090053</v>
          </cell>
          <cell r="B643">
            <v>2001</v>
          </cell>
          <cell r="C643">
            <v>91</v>
          </cell>
          <cell r="D643" t="str">
            <v>血誓召唤者</v>
          </cell>
          <cell r="E643">
            <v>5200</v>
          </cell>
          <cell r="F643">
            <v>5200</v>
          </cell>
          <cell r="G643">
            <v>26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1691023</v>
          </cell>
          <cell r="M643">
            <v>1609.9999999999998</v>
          </cell>
          <cell r="N643">
            <v>104832</v>
          </cell>
          <cell r="O643">
            <v>125798</v>
          </cell>
          <cell r="P643">
            <v>26000</v>
          </cell>
          <cell r="Q643">
            <v>8400</v>
          </cell>
          <cell r="R643">
            <v>8400</v>
          </cell>
          <cell r="S643">
            <v>0</v>
          </cell>
          <cell r="T643">
            <v>0</v>
          </cell>
          <cell r="U643">
            <v>3088</v>
          </cell>
          <cell r="V643">
            <v>0</v>
          </cell>
          <cell r="W643">
            <v>0</v>
          </cell>
          <cell r="X643" t="str">
            <v>monster/10081.png</v>
          </cell>
          <cell r="Y643">
            <v>1</v>
          </cell>
          <cell r="Z643">
            <v>0</v>
          </cell>
          <cell r="AA643">
            <v>50</v>
          </cell>
          <cell r="AB643">
            <v>25</v>
          </cell>
          <cell r="AC643">
            <v>0.4</v>
          </cell>
        </row>
        <row r="644">
          <cell r="A644">
            <v>2090054</v>
          </cell>
          <cell r="B644">
            <v>2001</v>
          </cell>
          <cell r="C644">
            <v>91</v>
          </cell>
          <cell r="D644" t="str">
            <v>血誓领主</v>
          </cell>
          <cell r="E644">
            <v>5200</v>
          </cell>
          <cell r="F644">
            <v>5200</v>
          </cell>
          <cell r="G644">
            <v>14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1652590</v>
          </cell>
          <cell r="M644">
            <v>1609.9999999999998</v>
          </cell>
          <cell r="N644">
            <v>104832</v>
          </cell>
          <cell r="O644">
            <v>125798</v>
          </cell>
          <cell r="P644">
            <v>26000</v>
          </cell>
          <cell r="Q644">
            <v>8400</v>
          </cell>
          <cell r="R644">
            <v>8400</v>
          </cell>
          <cell r="S644">
            <v>0</v>
          </cell>
          <cell r="T644">
            <v>0</v>
          </cell>
          <cell r="U644">
            <v>3088</v>
          </cell>
          <cell r="V644">
            <v>0</v>
          </cell>
          <cell r="W644">
            <v>0</v>
          </cell>
          <cell r="X644" t="str">
            <v>monster/10072.png</v>
          </cell>
          <cell r="Y644">
            <v>1</v>
          </cell>
          <cell r="Z644">
            <v>0</v>
          </cell>
          <cell r="AA644">
            <v>50</v>
          </cell>
          <cell r="AB644">
            <v>25</v>
          </cell>
          <cell r="AC644">
            <v>0.4</v>
          </cell>
        </row>
        <row r="645">
          <cell r="A645">
            <v>2090061</v>
          </cell>
          <cell r="B645">
            <v>2001</v>
          </cell>
          <cell r="C645">
            <v>92</v>
          </cell>
          <cell r="D645" t="str">
            <v>舞钢者拜伦</v>
          </cell>
          <cell r="E645">
            <v>5400</v>
          </cell>
          <cell r="F645">
            <v>5400</v>
          </cell>
          <cell r="G645">
            <v>8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4133911</v>
          </cell>
          <cell r="M645">
            <v>1620</v>
          </cell>
          <cell r="N645">
            <v>260882</v>
          </cell>
          <cell r="O645">
            <v>313058</v>
          </cell>
          <cell r="P645">
            <v>27000</v>
          </cell>
          <cell r="Q645">
            <v>8800</v>
          </cell>
          <cell r="R645">
            <v>8800</v>
          </cell>
          <cell r="S645">
            <v>0</v>
          </cell>
          <cell r="T645">
            <v>0</v>
          </cell>
          <cell r="U645">
            <v>3156</v>
          </cell>
          <cell r="V645">
            <v>0</v>
          </cell>
          <cell r="W645">
            <v>0</v>
          </cell>
          <cell r="X645" t="str">
            <v>monster/10084.png</v>
          </cell>
          <cell r="Y645">
            <v>1</v>
          </cell>
          <cell r="Z645">
            <v>0</v>
          </cell>
          <cell r="AA645">
            <v>50</v>
          </cell>
          <cell r="AB645">
            <v>25</v>
          </cell>
          <cell r="AC645">
            <v>0.4</v>
          </cell>
        </row>
        <row r="646">
          <cell r="A646">
            <v>2090071</v>
          </cell>
          <cell r="B646">
            <v>2001</v>
          </cell>
          <cell r="C646">
            <v>92</v>
          </cell>
          <cell r="D646" t="str">
            <v>风暴之王</v>
          </cell>
          <cell r="E646">
            <v>5400</v>
          </cell>
          <cell r="F646">
            <v>5400</v>
          </cell>
          <cell r="G646">
            <v>6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4048291</v>
          </cell>
          <cell r="M646">
            <v>1620</v>
          </cell>
          <cell r="N646">
            <v>284097</v>
          </cell>
          <cell r="O646">
            <v>340916</v>
          </cell>
          <cell r="P646">
            <v>27000</v>
          </cell>
          <cell r="Q646">
            <v>8800</v>
          </cell>
          <cell r="R646">
            <v>8800</v>
          </cell>
          <cell r="S646">
            <v>0</v>
          </cell>
          <cell r="T646">
            <v>0</v>
          </cell>
          <cell r="U646">
            <v>3156</v>
          </cell>
          <cell r="V646">
            <v>0</v>
          </cell>
          <cell r="W646">
            <v>0</v>
          </cell>
          <cell r="X646" t="str">
            <v>monster/10138.png</v>
          </cell>
          <cell r="Y646">
            <v>1</v>
          </cell>
          <cell r="Z646">
            <v>0</v>
          </cell>
          <cell r="AA646">
            <v>50</v>
          </cell>
          <cell r="AB646">
            <v>25</v>
          </cell>
          <cell r="AC646">
            <v>0.4</v>
          </cell>
        </row>
        <row r="647">
          <cell r="A647">
            <v>2090081</v>
          </cell>
          <cell r="B647">
            <v>2001</v>
          </cell>
          <cell r="C647">
            <v>93</v>
          </cell>
          <cell r="D647" t="str">
            <v>雷伊战争使者</v>
          </cell>
          <cell r="E647">
            <v>5600</v>
          </cell>
          <cell r="F647">
            <v>5600</v>
          </cell>
          <cell r="G647">
            <v>7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4673474</v>
          </cell>
          <cell r="M647">
            <v>1630</v>
          </cell>
          <cell r="N647">
            <v>386722</v>
          </cell>
          <cell r="O647">
            <v>464066</v>
          </cell>
          <cell r="P647">
            <v>28000</v>
          </cell>
          <cell r="Q647">
            <v>9200</v>
          </cell>
          <cell r="R647">
            <v>9200</v>
          </cell>
          <cell r="S647">
            <v>0</v>
          </cell>
          <cell r="T647">
            <v>0</v>
          </cell>
          <cell r="U647">
            <v>3225</v>
          </cell>
          <cell r="V647">
            <v>0</v>
          </cell>
          <cell r="W647">
            <v>0</v>
          </cell>
          <cell r="X647" t="str">
            <v>monster/10127.png</v>
          </cell>
          <cell r="Y647">
            <v>1</v>
          </cell>
          <cell r="Z647">
            <v>0</v>
          </cell>
          <cell r="AA647">
            <v>50</v>
          </cell>
          <cell r="AB647">
            <v>25</v>
          </cell>
          <cell r="AC647">
            <v>0.4</v>
          </cell>
        </row>
        <row r="648">
          <cell r="A648">
            <v>2090091</v>
          </cell>
          <cell r="B648">
            <v>2001</v>
          </cell>
          <cell r="C648">
            <v>94</v>
          </cell>
          <cell r="D648" t="str">
            <v>暴君泰伦</v>
          </cell>
          <cell r="E648">
            <v>5800</v>
          </cell>
          <cell r="F648">
            <v>5800</v>
          </cell>
          <cell r="G648" t="str">
            <v>10,9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5834074</v>
          </cell>
          <cell r="M648">
            <v>4920</v>
          </cell>
          <cell r="N648">
            <v>519927</v>
          </cell>
          <cell r="O648">
            <v>623912</v>
          </cell>
          <cell r="P648">
            <v>29000</v>
          </cell>
          <cell r="Q648">
            <v>9600</v>
          </cell>
          <cell r="R648">
            <v>9600</v>
          </cell>
          <cell r="S648">
            <v>0</v>
          </cell>
          <cell r="T648">
            <v>4721</v>
          </cell>
          <cell r="U648">
            <v>3601</v>
          </cell>
          <cell r="V648">
            <v>0</v>
          </cell>
          <cell r="W648">
            <v>0</v>
          </cell>
          <cell r="X648" t="str">
            <v>monster/10140.png</v>
          </cell>
          <cell r="Y648">
            <v>1</v>
          </cell>
          <cell r="Z648">
            <v>0</v>
          </cell>
          <cell r="AA648">
            <v>50</v>
          </cell>
          <cell r="AB648">
            <v>25</v>
          </cell>
          <cell r="AC648">
            <v>0.4</v>
          </cell>
        </row>
        <row r="649">
          <cell r="A649">
            <v>2095011</v>
          </cell>
          <cell r="B649">
            <v>2001</v>
          </cell>
          <cell r="C649">
            <v>95</v>
          </cell>
          <cell r="D649" t="str">
            <v>咒术大师</v>
          </cell>
          <cell r="E649">
            <v>6000</v>
          </cell>
          <cell r="F649">
            <v>6000</v>
          </cell>
          <cell r="G649" t="str">
            <v>22,27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2573176</v>
          </cell>
          <cell r="M649">
            <v>8250</v>
          </cell>
          <cell r="N649">
            <v>113583</v>
          </cell>
          <cell r="O649">
            <v>136300</v>
          </cell>
          <cell r="P649">
            <v>30000</v>
          </cell>
          <cell r="Q649">
            <v>10000</v>
          </cell>
          <cell r="R649">
            <v>10000</v>
          </cell>
          <cell r="S649">
            <v>0</v>
          </cell>
          <cell r="T649">
            <v>0</v>
          </cell>
          <cell r="U649">
            <v>3364</v>
          </cell>
          <cell r="V649">
            <v>0</v>
          </cell>
          <cell r="W649">
            <v>0</v>
          </cell>
          <cell r="X649" t="str">
            <v>monster/10136.png</v>
          </cell>
          <cell r="Y649">
            <v>1</v>
          </cell>
          <cell r="Z649">
            <v>0</v>
          </cell>
          <cell r="AA649">
            <v>50</v>
          </cell>
          <cell r="AB649">
            <v>25</v>
          </cell>
          <cell r="AC649">
            <v>0.4</v>
          </cell>
        </row>
        <row r="650">
          <cell r="A650">
            <v>2095021</v>
          </cell>
          <cell r="B650">
            <v>2001</v>
          </cell>
          <cell r="C650">
            <v>95</v>
          </cell>
          <cell r="D650" t="str">
            <v>拨弄的赛亚</v>
          </cell>
          <cell r="E650">
            <v>6000</v>
          </cell>
          <cell r="F650">
            <v>6000</v>
          </cell>
          <cell r="G650" t="str">
            <v>17,18,8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3941084</v>
          </cell>
          <cell r="M650">
            <v>4950</v>
          </cell>
          <cell r="N650">
            <v>343284</v>
          </cell>
          <cell r="O650">
            <v>411941</v>
          </cell>
          <cell r="P650">
            <v>30000</v>
          </cell>
          <cell r="Q650">
            <v>10000</v>
          </cell>
          <cell r="R650">
            <v>10000</v>
          </cell>
          <cell r="S650">
            <v>0</v>
          </cell>
          <cell r="T650">
            <v>0</v>
          </cell>
          <cell r="U650">
            <v>3364</v>
          </cell>
          <cell r="V650">
            <v>0</v>
          </cell>
          <cell r="W650">
            <v>0</v>
          </cell>
          <cell r="X650" t="str">
            <v>monster/10125.png</v>
          </cell>
          <cell r="Y650">
            <v>1</v>
          </cell>
          <cell r="Z650">
            <v>0</v>
          </cell>
          <cell r="AA650">
            <v>50</v>
          </cell>
          <cell r="AB650">
            <v>25</v>
          </cell>
          <cell r="AC650">
            <v>0.4</v>
          </cell>
        </row>
        <row r="651">
          <cell r="A651">
            <v>2095031</v>
          </cell>
          <cell r="B651">
            <v>2001</v>
          </cell>
          <cell r="C651">
            <v>96</v>
          </cell>
          <cell r="D651" t="str">
            <v>法力风暴</v>
          </cell>
          <cell r="E651">
            <v>6200</v>
          </cell>
          <cell r="F651">
            <v>6200</v>
          </cell>
          <cell r="G651" t="str">
            <v>25,30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2942163</v>
          </cell>
          <cell r="M651">
            <v>294216</v>
          </cell>
          <cell r="N651">
            <v>507059</v>
          </cell>
          <cell r="O651">
            <v>608471</v>
          </cell>
          <cell r="P651">
            <v>31000</v>
          </cell>
          <cell r="Q651">
            <v>10400</v>
          </cell>
          <cell r="R651">
            <v>10400</v>
          </cell>
          <cell r="S651">
            <v>0</v>
          </cell>
          <cell r="T651">
            <v>0</v>
          </cell>
          <cell r="U651">
            <v>3434</v>
          </cell>
          <cell r="V651">
            <v>0</v>
          </cell>
          <cell r="W651">
            <v>0</v>
          </cell>
          <cell r="X651" t="str">
            <v>monster/10061.png</v>
          </cell>
          <cell r="Y651">
            <v>1</v>
          </cell>
          <cell r="Z651">
            <v>0</v>
          </cell>
          <cell r="AA651">
            <v>50</v>
          </cell>
          <cell r="AB651">
            <v>25</v>
          </cell>
          <cell r="AC651">
            <v>0.4</v>
          </cell>
        </row>
        <row r="652">
          <cell r="A652">
            <v>2095041</v>
          </cell>
          <cell r="B652">
            <v>2001</v>
          </cell>
          <cell r="C652">
            <v>96</v>
          </cell>
          <cell r="D652" t="str">
            <v>火舞者</v>
          </cell>
          <cell r="E652">
            <v>6200</v>
          </cell>
          <cell r="F652">
            <v>6200</v>
          </cell>
          <cell r="G652">
            <v>29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4349214</v>
          </cell>
          <cell r="M652">
            <v>1660.0000000000002</v>
          </cell>
          <cell r="N652">
            <v>369160</v>
          </cell>
          <cell r="O652">
            <v>442992</v>
          </cell>
          <cell r="P652">
            <v>31000</v>
          </cell>
          <cell r="Q652">
            <v>10400</v>
          </cell>
          <cell r="R652">
            <v>10400</v>
          </cell>
          <cell r="S652">
            <v>0</v>
          </cell>
          <cell r="T652">
            <v>0</v>
          </cell>
          <cell r="U652">
            <v>3434</v>
          </cell>
          <cell r="V652">
            <v>0</v>
          </cell>
          <cell r="W652">
            <v>0</v>
          </cell>
          <cell r="X652" t="str">
            <v>monster/10116.png</v>
          </cell>
          <cell r="Y652">
            <v>1</v>
          </cell>
          <cell r="Z652">
            <v>0</v>
          </cell>
          <cell r="AA652">
            <v>50</v>
          </cell>
          <cell r="AB652">
            <v>25</v>
          </cell>
          <cell r="AC652">
            <v>0.4</v>
          </cell>
        </row>
        <row r="653">
          <cell r="A653">
            <v>2095051</v>
          </cell>
          <cell r="B653">
            <v>2001</v>
          </cell>
          <cell r="C653">
            <v>96</v>
          </cell>
          <cell r="D653" t="str">
            <v>血誓审判者</v>
          </cell>
          <cell r="E653">
            <v>6200</v>
          </cell>
          <cell r="F653">
            <v>6200</v>
          </cell>
          <cell r="G653">
            <v>5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2179862</v>
          </cell>
          <cell r="M653">
            <v>1660.0000000000002</v>
          </cell>
          <cell r="N653">
            <v>112881</v>
          </cell>
          <cell r="O653">
            <v>135457</v>
          </cell>
          <cell r="P653">
            <v>31000</v>
          </cell>
          <cell r="Q653">
            <v>10400</v>
          </cell>
          <cell r="R653">
            <v>10400</v>
          </cell>
          <cell r="S653">
            <v>0</v>
          </cell>
          <cell r="T653">
            <v>0</v>
          </cell>
          <cell r="U653">
            <v>3434</v>
          </cell>
          <cell r="V653">
            <v>0</v>
          </cell>
          <cell r="W653">
            <v>0</v>
          </cell>
          <cell r="X653" t="str">
            <v>monster/10083.png</v>
          </cell>
          <cell r="Y653">
            <v>1</v>
          </cell>
          <cell r="Z653">
            <v>0</v>
          </cell>
          <cell r="AA653">
            <v>50</v>
          </cell>
          <cell r="AB653">
            <v>25</v>
          </cell>
          <cell r="AC653">
            <v>0.4</v>
          </cell>
        </row>
        <row r="654">
          <cell r="A654">
            <v>2095052</v>
          </cell>
          <cell r="B654">
            <v>2001</v>
          </cell>
          <cell r="C654">
            <v>96</v>
          </cell>
          <cell r="D654" t="str">
            <v>血誓预言者</v>
          </cell>
          <cell r="E654">
            <v>6200</v>
          </cell>
          <cell r="F654">
            <v>6200</v>
          </cell>
          <cell r="G654">
            <v>2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2034538</v>
          </cell>
          <cell r="M654">
            <v>1328</v>
          </cell>
          <cell r="N654">
            <v>120944</v>
          </cell>
          <cell r="O654">
            <v>145133</v>
          </cell>
          <cell r="P654">
            <v>31000</v>
          </cell>
          <cell r="Q654">
            <v>10400</v>
          </cell>
          <cell r="R654">
            <v>10400</v>
          </cell>
          <cell r="S654">
            <v>0</v>
          </cell>
          <cell r="T654">
            <v>0</v>
          </cell>
          <cell r="U654">
            <v>3434</v>
          </cell>
          <cell r="V654">
            <v>0</v>
          </cell>
          <cell r="W654">
            <v>0</v>
          </cell>
          <cell r="X654" t="str">
            <v>monster/10082.png</v>
          </cell>
          <cell r="Y654">
            <v>1</v>
          </cell>
          <cell r="Z654">
            <v>0</v>
          </cell>
          <cell r="AA654">
            <v>50</v>
          </cell>
          <cell r="AB654">
            <v>25</v>
          </cell>
          <cell r="AC654">
            <v>0.4</v>
          </cell>
        </row>
        <row r="655">
          <cell r="A655">
            <v>2095053</v>
          </cell>
          <cell r="B655">
            <v>2001</v>
          </cell>
          <cell r="C655">
            <v>96</v>
          </cell>
          <cell r="D655" t="str">
            <v>血誓召唤者</v>
          </cell>
          <cell r="E655">
            <v>6200</v>
          </cell>
          <cell r="F655">
            <v>6200</v>
          </cell>
          <cell r="G655">
            <v>26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2131421</v>
          </cell>
          <cell r="M655">
            <v>1660.0000000000002</v>
          </cell>
          <cell r="N655">
            <v>145132</v>
          </cell>
          <cell r="O655">
            <v>174158</v>
          </cell>
          <cell r="P655">
            <v>31000</v>
          </cell>
          <cell r="Q655">
            <v>10400</v>
          </cell>
          <cell r="R655">
            <v>10400</v>
          </cell>
          <cell r="S655">
            <v>0</v>
          </cell>
          <cell r="T655">
            <v>0</v>
          </cell>
          <cell r="U655">
            <v>3434</v>
          </cell>
          <cell r="V655">
            <v>0</v>
          </cell>
          <cell r="W655">
            <v>0</v>
          </cell>
          <cell r="X655" t="str">
            <v>monster/10081.png</v>
          </cell>
          <cell r="Y655">
            <v>1</v>
          </cell>
          <cell r="Z655">
            <v>0</v>
          </cell>
          <cell r="AA655">
            <v>50</v>
          </cell>
          <cell r="AB655">
            <v>25</v>
          </cell>
          <cell r="AC655">
            <v>0.4</v>
          </cell>
        </row>
        <row r="656">
          <cell r="A656">
            <v>2095054</v>
          </cell>
          <cell r="B656">
            <v>2001</v>
          </cell>
          <cell r="C656">
            <v>96</v>
          </cell>
          <cell r="D656" t="str">
            <v>血誓领主</v>
          </cell>
          <cell r="E656">
            <v>6200</v>
          </cell>
          <cell r="F656">
            <v>6200</v>
          </cell>
          <cell r="G656">
            <v>14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2082980</v>
          </cell>
          <cell r="M656">
            <v>1660.0000000000002</v>
          </cell>
          <cell r="N656">
            <v>145132</v>
          </cell>
          <cell r="O656">
            <v>174158</v>
          </cell>
          <cell r="P656">
            <v>31000</v>
          </cell>
          <cell r="Q656">
            <v>10400</v>
          </cell>
          <cell r="R656">
            <v>10400</v>
          </cell>
          <cell r="S656">
            <v>0</v>
          </cell>
          <cell r="T656">
            <v>0</v>
          </cell>
          <cell r="U656">
            <v>3434</v>
          </cell>
          <cell r="V656">
            <v>0</v>
          </cell>
          <cell r="W656">
            <v>0</v>
          </cell>
          <cell r="X656" t="str">
            <v>monster/10072.png</v>
          </cell>
          <cell r="Y656">
            <v>1</v>
          </cell>
          <cell r="Z656">
            <v>0</v>
          </cell>
          <cell r="AA656">
            <v>50</v>
          </cell>
          <cell r="AB656">
            <v>25</v>
          </cell>
          <cell r="AC656">
            <v>0.4</v>
          </cell>
        </row>
        <row r="657">
          <cell r="A657">
            <v>2095061</v>
          </cell>
          <cell r="B657">
            <v>2001</v>
          </cell>
          <cell r="C657">
            <v>97</v>
          </cell>
          <cell r="D657" t="str">
            <v>舞钢者拜伦</v>
          </cell>
          <cell r="E657">
            <v>6400</v>
          </cell>
          <cell r="F657">
            <v>6400</v>
          </cell>
          <cell r="G657">
            <v>8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5229442</v>
          </cell>
          <cell r="M657">
            <v>1670</v>
          </cell>
          <cell r="N657">
            <v>362700</v>
          </cell>
          <cell r="O657">
            <v>435240</v>
          </cell>
          <cell r="P657">
            <v>32000</v>
          </cell>
          <cell r="Q657">
            <v>10800</v>
          </cell>
          <cell r="R657">
            <v>10800</v>
          </cell>
          <cell r="S657">
            <v>0</v>
          </cell>
          <cell r="T657">
            <v>0</v>
          </cell>
          <cell r="U657">
            <v>3506</v>
          </cell>
          <cell r="V657">
            <v>0</v>
          </cell>
          <cell r="W657">
            <v>0</v>
          </cell>
          <cell r="X657" t="str">
            <v>monster/10084.png</v>
          </cell>
          <cell r="Y657">
            <v>1</v>
          </cell>
          <cell r="Z657">
            <v>0</v>
          </cell>
          <cell r="AA657">
            <v>50</v>
          </cell>
          <cell r="AB657">
            <v>25</v>
          </cell>
          <cell r="AC657">
            <v>0.4</v>
          </cell>
        </row>
        <row r="658">
          <cell r="A658">
            <v>2095071</v>
          </cell>
          <cell r="B658">
            <v>2001</v>
          </cell>
          <cell r="C658">
            <v>97</v>
          </cell>
          <cell r="D658" t="str">
            <v>风暴之王</v>
          </cell>
          <cell r="E658">
            <v>6400</v>
          </cell>
          <cell r="F658">
            <v>6400</v>
          </cell>
          <cell r="G658">
            <v>6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5117865</v>
          </cell>
          <cell r="M658">
            <v>1670</v>
          </cell>
          <cell r="N658">
            <v>395913</v>
          </cell>
          <cell r="O658">
            <v>475096</v>
          </cell>
          <cell r="P658">
            <v>32000</v>
          </cell>
          <cell r="Q658">
            <v>10800</v>
          </cell>
          <cell r="R658">
            <v>10800</v>
          </cell>
          <cell r="S658">
            <v>0</v>
          </cell>
          <cell r="T658">
            <v>0</v>
          </cell>
          <cell r="U658">
            <v>3506</v>
          </cell>
          <cell r="V658">
            <v>0</v>
          </cell>
          <cell r="W658">
            <v>0</v>
          </cell>
          <cell r="X658" t="str">
            <v>monster/10138.png</v>
          </cell>
          <cell r="Y658">
            <v>1</v>
          </cell>
          <cell r="Z658">
            <v>0</v>
          </cell>
          <cell r="AA658">
            <v>50</v>
          </cell>
          <cell r="AB658">
            <v>25</v>
          </cell>
          <cell r="AC658">
            <v>0.4</v>
          </cell>
        </row>
        <row r="659">
          <cell r="A659">
            <v>2095081</v>
          </cell>
          <cell r="B659">
            <v>2001</v>
          </cell>
          <cell r="C659">
            <v>98</v>
          </cell>
          <cell r="D659" t="str">
            <v>雷伊战争使者</v>
          </cell>
          <cell r="E659">
            <v>6600</v>
          </cell>
          <cell r="F659">
            <v>6600</v>
          </cell>
          <cell r="G659">
            <v>7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5928751</v>
          </cell>
          <cell r="M659">
            <v>1680.0000000000002</v>
          </cell>
          <cell r="N659">
            <v>540210</v>
          </cell>
          <cell r="O659">
            <v>648252</v>
          </cell>
          <cell r="P659">
            <v>33000</v>
          </cell>
          <cell r="Q659">
            <v>11200</v>
          </cell>
          <cell r="R659">
            <v>11200</v>
          </cell>
          <cell r="S659">
            <v>0</v>
          </cell>
          <cell r="T659">
            <v>0</v>
          </cell>
          <cell r="U659">
            <v>3578</v>
          </cell>
          <cell r="V659">
            <v>0</v>
          </cell>
          <cell r="W659">
            <v>0</v>
          </cell>
          <cell r="X659" t="str">
            <v>monster/10127.png</v>
          </cell>
          <cell r="Y659">
            <v>1</v>
          </cell>
          <cell r="Z659">
            <v>0</v>
          </cell>
          <cell r="AA659">
            <v>50</v>
          </cell>
          <cell r="AB659">
            <v>25</v>
          </cell>
          <cell r="AC659">
            <v>0.4</v>
          </cell>
        </row>
        <row r="660">
          <cell r="A660">
            <v>2095091</v>
          </cell>
          <cell r="B660">
            <v>2001</v>
          </cell>
          <cell r="C660">
            <v>99</v>
          </cell>
          <cell r="D660" t="str">
            <v>暴君泰伦</v>
          </cell>
          <cell r="E660">
            <v>6800</v>
          </cell>
          <cell r="F660">
            <v>6800</v>
          </cell>
          <cell r="G660" t="str">
            <v>10,9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7422079</v>
          </cell>
          <cell r="M660">
            <v>5070</v>
          </cell>
          <cell r="N660">
            <v>728585</v>
          </cell>
          <cell r="O660">
            <v>874302</v>
          </cell>
          <cell r="P660">
            <v>34000</v>
          </cell>
          <cell r="Q660">
            <v>11600</v>
          </cell>
          <cell r="R660">
            <v>11600</v>
          </cell>
          <cell r="S660">
            <v>0</v>
          </cell>
          <cell r="T660">
            <v>5233</v>
          </cell>
          <cell r="U660">
            <v>3992</v>
          </cell>
          <cell r="V660">
            <v>0</v>
          </cell>
          <cell r="W660">
            <v>0</v>
          </cell>
          <cell r="X660" t="str">
            <v>monster/10140.png</v>
          </cell>
          <cell r="Y660">
            <v>1</v>
          </cell>
          <cell r="Z660">
            <v>0</v>
          </cell>
          <cell r="AA660">
            <v>50</v>
          </cell>
          <cell r="AB660">
            <v>25</v>
          </cell>
          <cell r="AC660">
            <v>0.4</v>
          </cell>
        </row>
        <row r="661">
          <cell r="A661">
            <v>2100011</v>
          </cell>
          <cell r="B661">
            <v>2001</v>
          </cell>
          <cell r="C661">
            <v>100</v>
          </cell>
          <cell r="D661" t="str">
            <v>咒术大师</v>
          </cell>
          <cell r="E661">
            <v>7000</v>
          </cell>
          <cell r="F661">
            <v>7000</v>
          </cell>
          <cell r="G661" t="str">
            <v>22,27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3279033</v>
          </cell>
          <cell r="M661">
            <v>8500</v>
          </cell>
          <cell r="N661">
            <v>156463</v>
          </cell>
          <cell r="O661">
            <v>187756</v>
          </cell>
          <cell r="P661">
            <v>35000</v>
          </cell>
          <cell r="Q661">
            <v>12000</v>
          </cell>
          <cell r="R661">
            <v>12000</v>
          </cell>
          <cell r="S661">
            <v>0</v>
          </cell>
          <cell r="T661">
            <v>0</v>
          </cell>
          <cell r="U661">
            <v>3725</v>
          </cell>
          <cell r="V661">
            <v>0</v>
          </cell>
          <cell r="W661">
            <v>0</v>
          </cell>
          <cell r="X661" t="str">
            <v>monster/10136.png</v>
          </cell>
          <cell r="Y661">
            <v>1</v>
          </cell>
          <cell r="Z661">
            <v>0</v>
          </cell>
          <cell r="AA661">
            <v>50</v>
          </cell>
          <cell r="AB661">
            <v>25</v>
          </cell>
          <cell r="AC661">
            <v>0.4</v>
          </cell>
        </row>
        <row r="662">
          <cell r="A662">
            <v>2100021</v>
          </cell>
          <cell r="B662">
            <v>2001</v>
          </cell>
          <cell r="C662">
            <v>100</v>
          </cell>
          <cell r="D662" t="str">
            <v>拨弄的赛亚</v>
          </cell>
          <cell r="E662">
            <v>7000</v>
          </cell>
          <cell r="F662">
            <v>7000</v>
          </cell>
          <cell r="G662" t="str">
            <v>17,18,8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5022058</v>
          </cell>
          <cell r="M662">
            <v>5100</v>
          </cell>
          <cell r="N662">
            <v>475719</v>
          </cell>
          <cell r="O662">
            <v>570863</v>
          </cell>
          <cell r="P662">
            <v>35000</v>
          </cell>
          <cell r="Q662">
            <v>12000</v>
          </cell>
          <cell r="R662">
            <v>12000</v>
          </cell>
          <cell r="S662">
            <v>0</v>
          </cell>
          <cell r="T662">
            <v>0</v>
          </cell>
          <cell r="U662">
            <v>3725</v>
          </cell>
          <cell r="V662">
            <v>0</v>
          </cell>
          <cell r="W662">
            <v>0</v>
          </cell>
          <cell r="X662" t="str">
            <v>monster/10125.png</v>
          </cell>
          <cell r="Y662">
            <v>1</v>
          </cell>
          <cell r="Z662">
            <v>0</v>
          </cell>
          <cell r="AA662">
            <v>50</v>
          </cell>
          <cell r="AB662">
            <v>25</v>
          </cell>
          <cell r="AC662">
            <v>0.4</v>
          </cell>
        </row>
        <row r="663">
          <cell r="A663">
            <v>2100031</v>
          </cell>
          <cell r="B663">
            <v>2001</v>
          </cell>
          <cell r="C663">
            <v>101</v>
          </cell>
          <cell r="D663" t="str">
            <v>法力风暴</v>
          </cell>
          <cell r="E663">
            <v>7200</v>
          </cell>
          <cell r="F663">
            <v>7200</v>
          </cell>
          <cell r="G663" t="str">
            <v>25,30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3735986</v>
          </cell>
          <cell r="M663">
            <v>373599</v>
          </cell>
          <cell r="N663">
            <v>708307</v>
          </cell>
          <cell r="O663">
            <v>849968</v>
          </cell>
          <cell r="P663">
            <v>36000</v>
          </cell>
          <cell r="Q663">
            <v>12400</v>
          </cell>
          <cell r="R663">
            <v>12400</v>
          </cell>
          <cell r="S663">
            <v>0</v>
          </cell>
          <cell r="T663">
            <v>0</v>
          </cell>
          <cell r="U663">
            <v>3800</v>
          </cell>
          <cell r="V663">
            <v>0</v>
          </cell>
          <cell r="W663">
            <v>0</v>
          </cell>
          <cell r="X663" t="str">
            <v>monster/10061.png</v>
          </cell>
          <cell r="Y663">
            <v>1</v>
          </cell>
          <cell r="Z663">
            <v>0</v>
          </cell>
          <cell r="AA663">
            <v>50</v>
          </cell>
          <cell r="AB663">
            <v>25</v>
          </cell>
          <cell r="AC663">
            <v>0.4</v>
          </cell>
        </row>
        <row r="664">
          <cell r="A664">
            <v>2100041</v>
          </cell>
          <cell r="B664">
            <v>2001</v>
          </cell>
          <cell r="C664">
            <v>101</v>
          </cell>
          <cell r="D664" t="str">
            <v>火舞者</v>
          </cell>
          <cell r="E664">
            <v>7200</v>
          </cell>
          <cell r="F664">
            <v>7200</v>
          </cell>
          <cell r="G664">
            <v>29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5522588</v>
          </cell>
          <cell r="M664">
            <v>1710</v>
          </cell>
          <cell r="N664">
            <v>517172</v>
          </cell>
          <cell r="O664">
            <v>620606</v>
          </cell>
          <cell r="P664">
            <v>36000</v>
          </cell>
          <cell r="Q664">
            <v>12400</v>
          </cell>
          <cell r="R664">
            <v>12400</v>
          </cell>
          <cell r="S664">
            <v>0</v>
          </cell>
          <cell r="T664">
            <v>0</v>
          </cell>
          <cell r="U664">
            <v>3800</v>
          </cell>
          <cell r="V664">
            <v>0</v>
          </cell>
          <cell r="W664">
            <v>0</v>
          </cell>
          <cell r="X664" t="str">
            <v>monster/10116.png</v>
          </cell>
          <cell r="Y664">
            <v>1</v>
          </cell>
          <cell r="Z664">
            <v>0</v>
          </cell>
          <cell r="AA664">
            <v>50</v>
          </cell>
          <cell r="AB664">
            <v>25</v>
          </cell>
          <cell r="AC664">
            <v>0.4</v>
          </cell>
        </row>
        <row r="665">
          <cell r="A665">
            <v>2100051</v>
          </cell>
          <cell r="B665">
            <v>2001</v>
          </cell>
          <cell r="C665">
            <v>101</v>
          </cell>
          <cell r="D665" t="str">
            <v>血誓审判者</v>
          </cell>
          <cell r="E665">
            <v>7200</v>
          </cell>
          <cell r="F665">
            <v>7200</v>
          </cell>
          <cell r="G665">
            <v>5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2767924</v>
          </cell>
          <cell r="M665">
            <v>1710</v>
          </cell>
          <cell r="N665">
            <v>158598</v>
          </cell>
          <cell r="O665">
            <v>190318</v>
          </cell>
          <cell r="P665">
            <v>36000</v>
          </cell>
          <cell r="Q665">
            <v>12400</v>
          </cell>
          <cell r="R665">
            <v>12400</v>
          </cell>
          <cell r="S665">
            <v>0</v>
          </cell>
          <cell r="T665">
            <v>0</v>
          </cell>
          <cell r="U665">
            <v>3800</v>
          </cell>
          <cell r="V665">
            <v>0</v>
          </cell>
          <cell r="W665">
            <v>0</v>
          </cell>
          <cell r="X665" t="str">
            <v>monster/10083.png</v>
          </cell>
          <cell r="Y665">
            <v>1</v>
          </cell>
          <cell r="Z665">
            <v>0</v>
          </cell>
          <cell r="AA665">
            <v>50</v>
          </cell>
          <cell r="AB665">
            <v>25</v>
          </cell>
          <cell r="AC665">
            <v>0.4</v>
          </cell>
        </row>
        <row r="666">
          <cell r="A666">
            <v>2100052</v>
          </cell>
          <cell r="B666">
            <v>2001</v>
          </cell>
          <cell r="C666">
            <v>101</v>
          </cell>
          <cell r="D666" t="str">
            <v>血誓预言者</v>
          </cell>
          <cell r="E666">
            <v>7200</v>
          </cell>
          <cell r="F666">
            <v>7200</v>
          </cell>
          <cell r="G666">
            <v>2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2583396</v>
          </cell>
          <cell r="M666">
            <v>1368</v>
          </cell>
          <cell r="N666">
            <v>169927</v>
          </cell>
          <cell r="O666">
            <v>203912</v>
          </cell>
          <cell r="P666">
            <v>36000</v>
          </cell>
          <cell r="Q666">
            <v>12400</v>
          </cell>
          <cell r="R666">
            <v>12400</v>
          </cell>
          <cell r="S666">
            <v>0</v>
          </cell>
          <cell r="T666">
            <v>0</v>
          </cell>
          <cell r="U666">
            <v>3800</v>
          </cell>
          <cell r="V666">
            <v>0</v>
          </cell>
          <cell r="W666">
            <v>0</v>
          </cell>
          <cell r="X666" t="str">
            <v>monster/10082.png</v>
          </cell>
          <cell r="Y666">
            <v>1</v>
          </cell>
          <cell r="Z666">
            <v>0</v>
          </cell>
          <cell r="AA666">
            <v>50</v>
          </cell>
          <cell r="AB666">
            <v>25</v>
          </cell>
          <cell r="AC666">
            <v>0.4</v>
          </cell>
        </row>
        <row r="667">
          <cell r="A667">
            <v>2100053</v>
          </cell>
          <cell r="B667">
            <v>2001</v>
          </cell>
          <cell r="C667">
            <v>101</v>
          </cell>
          <cell r="D667" t="str">
            <v>血誓召唤者</v>
          </cell>
          <cell r="E667">
            <v>7200</v>
          </cell>
          <cell r="F667">
            <v>7200</v>
          </cell>
          <cell r="G667">
            <v>26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2706415</v>
          </cell>
          <cell r="M667">
            <v>1710</v>
          </cell>
          <cell r="N667">
            <v>203912</v>
          </cell>
          <cell r="O667">
            <v>244694</v>
          </cell>
          <cell r="P667">
            <v>36000</v>
          </cell>
          <cell r="Q667">
            <v>12400</v>
          </cell>
          <cell r="R667">
            <v>12400</v>
          </cell>
          <cell r="S667">
            <v>0</v>
          </cell>
          <cell r="T667">
            <v>0</v>
          </cell>
          <cell r="U667">
            <v>3800</v>
          </cell>
          <cell r="V667">
            <v>0</v>
          </cell>
          <cell r="W667">
            <v>0</v>
          </cell>
          <cell r="X667" t="str">
            <v>monster/10081.png</v>
          </cell>
          <cell r="Y667">
            <v>1</v>
          </cell>
          <cell r="Z667">
            <v>0</v>
          </cell>
          <cell r="AA667">
            <v>50</v>
          </cell>
          <cell r="AB667">
            <v>25</v>
          </cell>
          <cell r="AC667">
            <v>0.4</v>
          </cell>
        </row>
        <row r="668">
          <cell r="A668">
            <v>2100054</v>
          </cell>
          <cell r="B668">
            <v>2001</v>
          </cell>
          <cell r="C668">
            <v>101</v>
          </cell>
          <cell r="D668" t="str">
            <v>血誓领主</v>
          </cell>
          <cell r="E668">
            <v>7200</v>
          </cell>
          <cell r="F668">
            <v>7200</v>
          </cell>
          <cell r="G668">
            <v>14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2644905</v>
          </cell>
          <cell r="M668">
            <v>1710</v>
          </cell>
          <cell r="N668">
            <v>203912</v>
          </cell>
          <cell r="O668">
            <v>244694</v>
          </cell>
          <cell r="P668">
            <v>36000</v>
          </cell>
          <cell r="Q668">
            <v>12400</v>
          </cell>
          <cell r="R668">
            <v>12400</v>
          </cell>
          <cell r="S668">
            <v>0</v>
          </cell>
          <cell r="T668">
            <v>0</v>
          </cell>
          <cell r="U668">
            <v>3800</v>
          </cell>
          <cell r="V668">
            <v>0</v>
          </cell>
          <cell r="W668">
            <v>0</v>
          </cell>
          <cell r="X668" t="str">
            <v>monster/10072.png</v>
          </cell>
          <cell r="Y668">
            <v>1</v>
          </cell>
          <cell r="Z668">
            <v>0</v>
          </cell>
          <cell r="AA668">
            <v>50</v>
          </cell>
          <cell r="AB668">
            <v>25</v>
          </cell>
          <cell r="AC668">
            <v>0.4</v>
          </cell>
        </row>
        <row r="669">
          <cell r="A669">
            <v>2100061</v>
          </cell>
          <cell r="B669">
            <v>2001</v>
          </cell>
          <cell r="C669">
            <v>102</v>
          </cell>
          <cell r="D669" t="str">
            <v>舞钢者拜伦</v>
          </cell>
          <cell r="E669">
            <v>7500</v>
          </cell>
          <cell r="F669">
            <v>7500</v>
          </cell>
          <cell r="G669">
            <v>8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6651749</v>
          </cell>
          <cell r="M669">
            <v>1720</v>
          </cell>
          <cell r="N669">
            <v>511569</v>
          </cell>
          <cell r="O669">
            <v>613883</v>
          </cell>
          <cell r="P669">
            <v>37000</v>
          </cell>
          <cell r="Q669">
            <v>12800</v>
          </cell>
          <cell r="R669">
            <v>12800</v>
          </cell>
          <cell r="S669">
            <v>0</v>
          </cell>
          <cell r="T669">
            <v>0</v>
          </cell>
          <cell r="U669">
            <v>3875</v>
          </cell>
          <cell r="V669">
            <v>0</v>
          </cell>
          <cell r="W669">
            <v>0</v>
          </cell>
          <cell r="X669" t="str">
            <v>monster/10084.png</v>
          </cell>
          <cell r="Y669">
            <v>1</v>
          </cell>
          <cell r="Z669">
            <v>0</v>
          </cell>
          <cell r="AA669">
            <v>50</v>
          </cell>
          <cell r="AB669">
            <v>25</v>
          </cell>
          <cell r="AC669">
            <v>0.4</v>
          </cell>
        </row>
        <row r="670">
          <cell r="A670">
            <v>2100071</v>
          </cell>
          <cell r="B670">
            <v>2001</v>
          </cell>
          <cell r="C670">
            <v>102</v>
          </cell>
          <cell r="D670" t="str">
            <v>风暴之王</v>
          </cell>
          <cell r="E670">
            <v>7500</v>
          </cell>
          <cell r="F670">
            <v>7500</v>
          </cell>
          <cell r="G670">
            <v>6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6509735</v>
          </cell>
          <cell r="M670">
            <v>1720</v>
          </cell>
          <cell r="N670">
            <v>559606</v>
          </cell>
          <cell r="O670">
            <v>671527</v>
          </cell>
          <cell r="P670">
            <v>37000</v>
          </cell>
          <cell r="Q670">
            <v>12800</v>
          </cell>
          <cell r="R670">
            <v>12800</v>
          </cell>
          <cell r="S670">
            <v>0</v>
          </cell>
          <cell r="T670">
            <v>0</v>
          </cell>
          <cell r="U670">
            <v>3875</v>
          </cell>
          <cell r="V670">
            <v>0</v>
          </cell>
          <cell r="W670">
            <v>0</v>
          </cell>
          <cell r="X670" t="str">
            <v>monster/10138.png</v>
          </cell>
          <cell r="Y670">
            <v>1</v>
          </cell>
          <cell r="Z670">
            <v>0</v>
          </cell>
          <cell r="AA670">
            <v>50</v>
          </cell>
          <cell r="AB670">
            <v>25</v>
          </cell>
          <cell r="AC670">
            <v>0.4</v>
          </cell>
        </row>
        <row r="671">
          <cell r="A671">
            <v>2100081</v>
          </cell>
          <cell r="B671">
            <v>2001</v>
          </cell>
          <cell r="C671">
            <v>102</v>
          </cell>
          <cell r="D671" t="str">
            <v>雷伊战争使者</v>
          </cell>
          <cell r="E671">
            <v>7500</v>
          </cell>
          <cell r="F671">
            <v>7500</v>
          </cell>
          <cell r="G671">
            <v>7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7526881</v>
          </cell>
          <cell r="M671">
            <v>1720</v>
          </cell>
          <cell r="N671">
            <v>765194</v>
          </cell>
          <cell r="O671">
            <v>918233</v>
          </cell>
          <cell r="P671">
            <v>37000</v>
          </cell>
          <cell r="Q671">
            <v>12800</v>
          </cell>
          <cell r="R671">
            <v>12800</v>
          </cell>
          <cell r="S671">
            <v>0</v>
          </cell>
          <cell r="T671">
            <v>0</v>
          </cell>
          <cell r="U671">
            <v>3875</v>
          </cell>
          <cell r="V671">
            <v>0</v>
          </cell>
          <cell r="W671">
            <v>0</v>
          </cell>
          <cell r="X671" t="str">
            <v>monster/10127.png</v>
          </cell>
          <cell r="Y671">
            <v>1</v>
          </cell>
          <cell r="Z671">
            <v>0</v>
          </cell>
          <cell r="AA671">
            <v>50</v>
          </cell>
          <cell r="AB671">
            <v>25</v>
          </cell>
          <cell r="AC671">
            <v>0.4</v>
          </cell>
        </row>
        <row r="672">
          <cell r="A672">
            <v>2100091</v>
          </cell>
          <cell r="B672">
            <v>2001</v>
          </cell>
          <cell r="C672">
            <v>102</v>
          </cell>
          <cell r="D672" t="str">
            <v>暴君泰伦</v>
          </cell>
          <cell r="E672">
            <v>7500</v>
          </cell>
          <cell r="F672">
            <v>7500</v>
          </cell>
          <cell r="G672" t="str">
            <v>10,9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9399375</v>
          </cell>
          <cell r="M672">
            <v>5160</v>
          </cell>
          <cell r="N672">
            <v>1034962</v>
          </cell>
          <cell r="O672">
            <v>1241954</v>
          </cell>
          <cell r="P672">
            <v>37000</v>
          </cell>
          <cell r="Q672">
            <v>12800</v>
          </cell>
          <cell r="R672">
            <v>12800</v>
          </cell>
          <cell r="S672">
            <v>0</v>
          </cell>
          <cell r="T672">
            <v>5554</v>
          </cell>
          <cell r="U672">
            <v>4236</v>
          </cell>
          <cell r="V672">
            <v>0</v>
          </cell>
          <cell r="W672">
            <v>0</v>
          </cell>
          <cell r="X672" t="str">
            <v>monster/10140.png</v>
          </cell>
          <cell r="Y672">
            <v>1</v>
          </cell>
          <cell r="Z672">
            <v>0</v>
          </cell>
          <cell r="AA672">
            <v>50</v>
          </cell>
          <cell r="AB672">
            <v>25</v>
          </cell>
          <cell r="AC672">
            <v>0.4</v>
          </cell>
        </row>
        <row r="673">
          <cell r="A673">
            <v>3030011</v>
          </cell>
          <cell r="B673">
            <v>2001</v>
          </cell>
          <cell r="C673">
            <v>30</v>
          </cell>
          <cell r="D673" t="str">
            <v>法师幻象</v>
          </cell>
          <cell r="E673">
            <v>660</v>
          </cell>
          <cell r="F673">
            <v>660</v>
          </cell>
          <cell r="G673">
            <v>21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40899</v>
          </cell>
          <cell r="M673">
            <v>3000</v>
          </cell>
          <cell r="N673">
            <v>1123</v>
          </cell>
          <cell r="O673">
            <v>1348</v>
          </cell>
          <cell r="P673">
            <v>20</v>
          </cell>
          <cell r="Q673">
            <v>0</v>
          </cell>
          <cell r="R673">
            <v>0</v>
          </cell>
          <cell r="S673">
            <v>0</v>
          </cell>
          <cell r="T673">
            <v>0</v>
          </cell>
          <cell r="U673">
            <v>346</v>
          </cell>
          <cell r="V673">
            <v>0</v>
          </cell>
          <cell r="W673">
            <v>0</v>
          </cell>
          <cell r="X673" t="str">
            <v>UI/Program/HeroMaster_Man_1.png</v>
          </cell>
          <cell r="Y673">
            <v>1</v>
          </cell>
          <cell r="Z673">
            <v>0</v>
          </cell>
          <cell r="AA673">
            <v>50</v>
          </cell>
          <cell r="AB673">
            <v>25</v>
          </cell>
          <cell r="AC673">
            <v>0.4</v>
          </cell>
        </row>
        <row r="674">
          <cell r="A674">
            <v>3030021</v>
          </cell>
          <cell r="B674">
            <v>2001</v>
          </cell>
          <cell r="C674">
            <v>30</v>
          </cell>
          <cell r="D674" t="str">
            <v>法力风暴</v>
          </cell>
          <cell r="E674">
            <v>660</v>
          </cell>
          <cell r="F674">
            <v>660</v>
          </cell>
          <cell r="G674" t="str">
            <v>25,30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34706</v>
          </cell>
          <cell r="M674">
            <v>3471</v>
          </cell>
          <cell r="N674">
            <v>1675</v>
          </cell>
          <cell r="O674">
            <v>2010</v>
          </cell>
          <cell r="P674">
            <v>20</v>
          </cell>
          <cell r="Q674">
            <v>0</v>
          </cell>
          <cell r="R674">
            <v>0</v>
          </cell>
          <cell r="S674">
            <v>0</v>
          </cell>
          <cell r="T674">
            <v>0</v>
          </cell>
          <cell r="U674">
            <v>346</v>
          </cell>
          <cell r="V674">
            <v>0</v>
          </cell>
          <cell r="W674">
            <v>0</v>
          </cell>
          <cell r="X674" t="str">
            <v>monster/10061.png</v>
          </cell>
          <cell r="Y674">
            <v>1</v>
          </cell>
          <cell r="Z674">
            <v>0</v>
          </cell>
          <cell r="AA674">
            <v>50</v>
          </cell>
          <cell r="AB674">
            <v>25</v>
          </cell>
          <cell r="AC674">
            <v>0.4</v>
          </cell>
        </row>
        <row r="675">
          <cell r="A675">
            <v>3030031</v>
          </cell>
          <cell r="B675">
            <v>2001</v>
          </cell>
          <cell r="C675">
            <v>31</v>
          </cell>
          <cell r="D675" t="str">
            <v>角斗士里奥</v>
          </cell>
          <cell r="E675">
            <v>690</v>
          </cell>
          <cell r="F675">
            <v>690</v>
          </cell>
          <cell r="G675">
            <v>5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68029</v>
          </cell>
          <cell r="M675">
            <v>1010</v>
          </cell>
          <cell r="N675">
            <v>1107</v>
          </cell>
          <cell r="O675">
            <v>1328</v>
          </cell>
          <cell r="P675">
            <v>50</v>
          </cell>
          <cell r="Q675">
            <v>0</v>
          </cell>
          <cell r="R675">
            <v>0</v>
          </cell>
          <cell r="S675">
            <v>0</v>
          </cell>
          <cell r="T675">
            <v>0</v>
          </cell>
          <cell r="U675">
            <v>369</v>
          </cell>
          <cell r="V675">
            <v>0</v>
          </cell>
          <cell r="W675">
            <v>0</v>
          </cell>
          <cell r="X675" t="str">
            <v>monster/10067.png</v>
          </cell>
          <cell r="Y675">
            <v>1</v>
          </cell>
          <cell r="Z675">
            <v>0</v>
          </cell>
          <cell r="AA675">
            <v>50</v>
          </cell>
          <cell r="AB675">
            <v>25</v>
          </cell>
          <cell r="AC675">
            <v>0.4</v>
          </cell>
        </row>
        <row r="676">
          <cell r="A676">
            <v>3030041</v>
          </cell>
          <cell r="B676">
            <v>2001</v>
          </cell>
          <cell r="C676">
            <v>31</v>
          </cell>
          <cell r="D676" t="str">
            <v>荒野游侠</v>
          </cell>
          <cell r="E676">
            <v>690</v>
          </cell>
          <cell r="F676">
            <v>690</v>
          </cell>
          <cell r="G676">
            <v>16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61732</v>
          </cell>
          <cell r="M676">
            <v>2020</v>
          </cell>
          <cell r="N676">
            <v>1100</v>
          </cell>
          <cell r="O676">
            <v>1320</v>
          </cell>
          <cell r="P676">
            <v>50</v>
          </cell>
          <cell r="Q676">
            <v>0</v>
          </cell>
          <cell r="R676">
            <v>0</v>
          </cell>
          <cell r="S676">
            <v>0</v>
          </cell>
          <cell r="T676">
            <v>0</v>
          </cell>
          <cell r="U676">
            <v>917</v>
          </cell>
          <cell r="V676">
            <v>0</v>
          </cell>
          <cell r="W676">
            <v>0</v>
          </cell>
          <cell r="X676" t="str">
            <v>monster/10096.png</v>
          </cell>
          <cell r="Y676">
            <v>1</v>
          </cell>
          <cell r="Z676">
            <v>0</v>
          </cell>
          <cell r="AA676">
            <v>50</v>
          </cell>
          <cell r="AB676">
            <v>25</v>
          </cell>
          <cell r="AC676">
            <v>0.4</v>
          </cell>
        </row>
        <row r="677">
          <cell r="A677">
            <v>3030051</v>
          </cell>
          <cell r="B677">
            <v>2001</v>
          </cell>
          <cell r="C677">
            <v>31</v>
          </cell>
          <cell r="D677" t="str">
            <v>憾地者</v>
          </cell>
          <cell r="E677">
            <v>690</v>
          </cell>
          <cell r="F677">
            <v>690</v>
          </cell>
          <cell r="G677">
            <v>4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87529</v>
          </cell>
          <cell r="M677">
            <v>1010</v>
          </cell>
          <cell r="N677">
            <v>930</v>
          </cell>
          <cell r="O677">
            <v>1116</v>
          </cell>
          <cell r="P677">
            <v>50</v>
          </cell>
          <cell r="Q677">
            <v>0</v>
          </cell>
          <cell r="R677">
            <v>0</v>
          </cell>
          <cell r="S677">
            <v>0</v>
          </cell>
          <cell r="T677">
            <v>0</v>
          </cell>
          <cell r="U677">
            <v>369</v>
          </cell>
          <cell r="V677">
            <v>0</v>
          </cell>
          <cell r="W677">
            <v>0</v>
          </cell>
          <cell r="X677" t="str">
            <v>monster/10123.png</v>
          </cell>
          <cell r="Y677">
            <v>1</v>
          </cell>
          <cell r="Z677">
            <v>0</v>
          </cell>
          <cell r="AA677">
            <v>50</v>
          </cell>
          <cell r="AB677">
            <v>25</v>
          </cell>
          <cell r="AC677">
            <v>0.4</v>
          </cell>
        </row>
        <row r="678">
          <cell r="A678">
            <v>3030061</v>
          </cell>
          <cell r="B678">
            <v>2001</v>
          </cell>
          <cell r="C678">
            <v>32</v>
          </cell>
          <cell r="D678" t="str">
            <v>拉兹</v>
          </cell>
          <cell r="E678">
            <v>720</v>
          </cell>
          <cell r="F678">
            <v>720</v>
          </cell>
          <cell r="G678">
            <v>10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102322</v>
          </cell>
          <cell r="M678">
            <v>2040</v>
          </cell>
          <cell r="N678">
            <v>1302</v>
          </cell>
          <cell r="O678">
            <v>1562</v>
          </cell>
          <cell r="P678">
            <v>80</v>
          </cell>
          <cell r="Q678">
            <v>10</v>
          </cell>
          <cell r="R678">
            <v>10</v>
          </cell>
          <cell r="S678">
            <v>0</v>
          </cell>
          <cell r="T678">
            <v>798</v>
          </cell>
          <cell r="U678">
            <v>393</v>
          </cell>
          <cell r="V678">
            <v>0</v>
          </cell>
          <cell r="W678">
            <v>0</v>
          </cell>
          <cell r="X678" t="str">
            <v>monster/10106.png</v>
          </cell>
          <cell r="Y678">
            <v>1</v>
          </cell>
          <cell r="Z678">
            <v>0</v>
          </cell>
          <cell r="AA678">
            <v>50</v>
          </cell>
          <cell r="AB678">
            <v>25</v>
          </cell>
          <cell r="AC678">
            <v>0.4</v>
          </cell>
        </row>
        <row r="679">
          <cell r="A679">
            <v>3030071</v>
          </cell>
          <cell r="B679">
            <v>2001</v>
          </cell>
          <cell r="C679">
            <v>32</v>
          </cell>
          <cell r="D679" t="str">
            <v>塔克</v>
          </cell>
          <cell r="E679">
            <v>720</v>
          </cell>
          <cell r="F679">
            <v>720</v>
          </cell>
          <cell r="G679">
            <v>3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61393</v>
          </cell>
          <cell r="M679">
            <v>1020</v>
          </cell>
          <cell r="N679">
            <v>380</v>
          </cell>
          <cell r="O679">
            <v>456</v>
          </cell>
          <cell r="P679">
            <v>80</v>
          </cell>
          <cell r="Q679">
            <v>10</v>
          </cell>
          <cell r="R679">
            <v>10</v>
          </cell>
          <cell r="S679">
            <v>0</v>
          </cell>
          <cell r="T679">
            <v>0</v>
          </cell>
          <cell r="U679">
            <v>393</v>
          </cell>
          <cell r="V679">
            <v>0</v>
          </cell>
          <cell r="W679">
            <v>0</v>
          </cell>
          <cell r="X679" t="str">
            <v>monster/10085.png</v>
          </cell>
          <cell r="Y679">
            <v>1</v>
          </cell>
          <cell r="Z679">
            <v>0</v>
          </cell>
          <cell r="AA679">
            <v>50</v>
          </cell>
          <cell r="AB679">
            <v>25</v>
          </cell>
          <cell r="AC679">
            <v>0.4</v>
          </cell>
        </row>
        <row r="680">
          <cell r="A680">
            <v>3030072</v>
          </cell>
          <cell r="B680">
            <v>2001</v>
          </cell>
          <cell r="C680">
            <v>32</v>
          </cell>
          <cell r="D680" t="str">
            <v>迪皮斯</v>
          </cell>
          <cell r="E680">
            <v>720</v>
          </cell>
          <cell r="F680">
            <v>720</v>
          </cell>
          <cell r="G680" t="str">
            <v>17,14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45824</v>
          </cell>
          <cell r="M680">
            <v>1020</v>
          </cell>
          <cell r="N680">
            <v>645</v>
          </cell>
          <cell r="O680">
            <v>774</v>
          </cell>
          <cell r="P680">
            <v>80</v>
          </cell>
          <cell r="Q680">
            <v>10</v>
          </cell>
          <cell r="R680">
            <v>10</v>
          </cell>
          <cell r="S680">
            <v>0</v>
          </cell>
          <cell r="T680">
            <v>0</v>
          </cell>
          <cell r="U680">
            <v>393</v>
          </cell>
          <cell r="V680">
            <v>0</v>
          </cell>
          <cell r="W680">
            <v>0</v>
          </cell>
          <cell r="X680" t="str">
            <v>monster/10012.png</v>
          </cell>
          <cell r="Y680">
            <v>1</v>
          </cell>
          <cell r="Z680">
            <v>0</v>
          </cell>
          <cell r="AA680">
            <v>50</v>
          </cell>
          <cell r="AB680">
            <v>25</v>
          </cell>
          <cell r="AC680">
            <v>0.4</v>
          </cell>
        </row>
        <row r="681">
          <cell r="A681">
            <v>3030081</v>
          </cell>
          <cell r="B681">
            <v>2001</v>
          </cell>
          <cell r="C681">
            <v>33</v>
          </cell>
          <cell r="D681" t="str">
            <v>狂野安东尼</v>
          </cell>
          <cell r="E681">
            <v>750</v>
          </cell>
          <cell r="F681">
            <v>750</v>
          </cell>
          <cell r="G681">
            <v>7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126937</v>
          </cell>
          <cell r="M681">
            <v>1030</v>
          </cell>
          <cell r="N681">
            <v>1067</v>
          </cell>
          <cell r="O681">
            <v>1280</v>
          </cell>
          <cell r="P681">
            <v>110</v>
          </cell>
          <cell r="Q681">
            <v>20</v>
          </cell>
          <cell r="R681">
            <v>20</v>
          </cell>
          <cell r="S681">
            <v>0</v>
          </cell>
          <cell r="T681">
            <v>0</v>
          </cell>
          <cell r="U681">
            <v>417</v>
          </cell>
          <cell r="V681">
            <v>0</v>
          </cell>
          <cell r="W681">
            <v>0</v>
          </cell>
          <cell r="X681" t="str">
            <v>monster/10086.png</v>
          </cell>
          <cell r="Y681">
            <v>1</v>
          </cell>
          <cell r="Z681">
            <v>0</v>
          </cell>
          <cell r="AA681">
            <v>50</v>
          </cell>
          <cell r="AB681">
            <v>25</v>
          </cell>
          <cell r="AC681">
            <v>0.4</v>
          </cell>
        </row>
        <row r="682">
          <cell r="A682">
            <v>3030091</v>
          </cell>
          <cell r="B682">
            <v>2001</v>
          </cell>
          <cell r="C682">
            <v>34</v>
          </cell>
          <cell r="D682" t="str">
            <v>巡林者瑞克</v>
          </cell>
          <cell r="E682">
            <v>780</v>
          </cell>
          <cell r="F682">
            <v>780</v>
          </cell>
          <cell r="G682">
            <v>15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146235</v>
          </cell>
          <cell r="M682">
            <v>1040</v>
          </cell>
          <cell r="N682">
            <v>1056</v>
          </cell>
          <cell r="O682">
            <v>1267</v>
          </cell>
          <cell r="P682">
            <v>140</v>
          </cell>
          <cell r="Q682">
            <v>30</v>
          </cell>
          <cell r="R682">
            <v>30</v>
          </cell>
          <cell r="S682">
            <v>0</v>
          </cell>
          <cell r="T682">
            <v>0</v>
          </cell>
          <cell r="U682">
            <v>442</v>
          </cell>
          <cell r="V682">
            <v>0</v>
          </cell>
          <cell r="W682">
            <v>0</v>
          </cell>
          <cell r="X682" t="str">
            <v>monster/10094.png</v>
          </cell>
          <cell r="Y682">
            <v>1</v>
          </cell>
          <cell r="Z682">
            <v>0</v>
          </cell>
          <cell r="AA682">
            <v>50</v>
          </cell>
          <cell r="AB682">
            <v>25</v>
          </cell>
          <cell r="AC682">
            <v>0.4</v>
          </cell>
        </row>
        <row r="683">
          <cell r="A683">
            <v>3035011</v>
          </cell>
          <cell r="B683">
            <v>2001</v>
          </cell>
          <cell r="C683">
            <v>35</v>
          </cell>
          <cell r="D683" t="str">
            <v>法师幻象</v>
          </cell>
          <cell r="E683">
            <v>810</v>
          </cell>
          <cell r="F683">
            <v>810</v>
          </cell>
          <cell r="G683">
            <v>21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81404</v>
          </cell>
          <cell r="M683">
            <v>3150</v>
          </cell>
          <cell r="N683">
            <v>1650</v>
          </cell>
          <cell r="O683">
            <v>1980</v>
          </cell>
          <cell r="P683">
            <v>170</v>
          </cell>
          <cell r="Q683">
            <v>40</v>
          </cell>
          <cell r="R683">
            <v>40</v>
          </cell>
          <cell r="S683">
            <v>0</v>
          </cell>
          <cell r="T683">
            <v>0</v>
          </cell>
          <cell r="U683">
            <v>468</v>
          </cell>
          <cell r="V683">
            <v>0</v>
          </cell>
          <cell r="W683">
            <v>0</v>
          </cell>
          <cell r="X683" t="str">
            <v>UI/Program/HeroMaster_Man_1.png</v>
          </cell>
          <cell r="Y683">
            <v>1</v>
          </cell>
          <cell r="Z683">
            <v>0</v>
          </cell>
          <cell r="AA683">
            <v>50</v>
          </cell>
          <cell r="AB683">
            <v>25</v>
          </cell>
          <cell r="AC683">
            <v>0.4</v>
          </cell>
        </row>
        <row r="684">
          <cell r="A684">
            <v>3035021</v>
          </cell>
          <cell r="B684">
            <v>2001</v>
          </cell>
          <cell r="C684">
            <v>35</v>
          </cell>
          <cell r="D684" t="str">
            <v>法力风暴</v>
          </cell>
          <cell r="E684">
            <v>810</v>
          </cell>
          <cell r="F684">
            <v>810</v>
          </cell>
          <cell r="G684" t="str">
            <v>25,30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66079</v>
          </cell>
          <cell r="M684">
            <v>6608</v>
          </cell>
          <cell r="N684">
            <v>2499</v>
          </cell>
          <cell r="O684">
            <v>2999</v>
          </cell>
          <cell r="P684">
            <v>170</v>
          </cell>
          <cell r="Q684">
            <v>40</v>
          </cell>
          <cell r="R684">
            <v>40</v>
          </cell>
          <cell r="S684">
            <v>0</v>
          </cell>
          <cell r="T684">
            <v>0</v>
          </cell>
          <cell r="U684">
            <v>468</v>
          </cell>
          <cell r="V684">
            <v>0</v>
          </cell>
          <cell r="W684">
            <v>0</v>
          </cell>
          <cell r="X684" t="str">
            <v>monster/10061.png</v>
          </cell>
          <cell r="Y684">
            <v>1</v>
          </cell>
          <cell r="Z684">
            <v>0</v>
          </cell>
          <cell r="AA684">
            <v>50</v>
          </cell>
          <cell r="AB684">
            <v>25</v>
          </cell>
          <cell r="AC684">
            <v>0.4</v>
          </cell>
        </row>
        <row r="685">
          <cell r="A685">
            <v>3035031</v>
          </cell>
          <cell r="B685">
            <v>2001</v>
          </cell>
          <cell r="C685">
            <v>36</v>
          </cell>
          <cell r="D685" t="str">
            <v>角斗士里奥</v>
          </cell>
          <cell r="E685">
            <v>840</v>
          </cell>
          <cell r="F685">
            <v>840</v>
          </cell>
          <cell r="G685">
            <v>5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122193</v>
          </cell>
          <cell r="M685">
            <v>1060</v>
          </cell>
          <cell r="N685">
            <v>1687</v>
          </cell>
          <cell r="O685">
            <v>2024</v>
          </cell>
          <cell r="P685">
            <v>200</v>
          </cell>
          <cell r="Q685">
            <v>50</v>
          </cell>
          <cell r="R685">
            <v>50</v>
          </cell>
          <cell r="S685">
            <v>0</v>
          </cell>
          <cell r="T685">
            <v>0</v>
          </cell>
          <cell r="U685">
            <v>494</v>
          </cell>
          <cell r="V685">
            <v>0</v>
          </cell>
          <cell r="W685">
            <v>0</v>
          </cell>
          <cell r="X685" t="str">
            <v>monster/10067.png</v>
          </cell>
          <cell r="Y685">
            <v>1</v>
          </cell>
          <cell r="Z685">
            <v>0</v>
          </cell>
          <cell r="AA685">
            <v>50</v>
          </cell>
          <cell r="AB685">
            <v>25</v>
          </cell>
          <cell r="AC685">
            <v>0.4</v>
          </cell>
        </row>
        <row r="686">
          <cell r="A686">
            <v>3035041</v>
          </cell>
          <cell r="B686">
            <v>2001</v>
          </cell>
          <cell r="C686">
            <v>36</v>
          </cell>
          <cell r="D686" t="str">
            <v>荒野游侠</v>
          </cell>
          <cell r="E686">
            <v>840</v>
          </cell>
          <cell r="F686">
            <v>840</v>
          </cell>
          <cell r="G686">
            <v>16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109188</v>
          </cell>
          <cell r="M686">
            <v>2120</v>
          </cell>
          <cell r="N686">
            <v>1703</v>
          </cell>
          <cell r="O686">
            <v>2044</v>
          </cell>
          <cell r="P686">
            <v>200</v>
          </cell>
          <cell r="Q686">
            <v>50</v>
          </cell>
          <cell r="R686">
            <v>50</v>
          </cell>
          <cell r="S686">
            <v>0</v>
          </cell>
          <cell r="T686">
            <v>0</v>
          </cell>
          <cell r="U686">
            <v>1226</v>
          </cell>
          <cell r="V686">
            <v>0</v>
          </cell>
          <cell r="W686">
            <v>0</v>
          </cell>
          <cell r="X686" t="str">
            <v>monster/10096.png</v>
          </cell>
          <cell r="Y686">
            <v>1</v>
          </cell>
          <cell r="Z686">
            <v>0</v>
          </cell>
          <cell r="AA686">
            <v>50</v>
          </cell>
          <cell r="AB686">
            <v>25</v>
          </cell>
          <cell r="AC686">
            <v>0.4</v>
          </cell>
        </row>
        <row r="687">
          <cell r="A687">
            <v>3035051</v>
          </cell>
          <cell r="B687">
            <v>2001</v>
          </cell>
          <cell r="C687">
            <v>36</v>
          </cell>
          <cell r="D687" t="str">
            <v>憾地者</v>
          </cell>
          <cell r="E687">
            <v>840</v>
          </cell>
          <cell r="F687">
            <v>840</v>
          </cell>
          <cell r="G687">
            <v>4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152448</v>
          </cell>
          <cell r="M687">
            <v>1060</v>
          </cell>
          <cell r="N687">
            <v>1460</v>
          </cell>
          <cell r="O687">
            <v>1752</v>
          </cell>
          <cell r="P687">
            <v>200</v>
          </cell>
          <cell r="Q687">
            <v>50</v>
          </cell>
          <cell r="R687">
            <v>50</v>
          </cell>
          <cell r="S687">
            <v>0</v>
          </cell>
          <cell r="T687">
            <v>0</v>
          </cell>
          <cell r="U687">
            <v>494</v>
          </cell>
          <cell r="V687">
            <v>0</v>
          </cell>
          <cell r="W687">
            <v>0</v>
          </cell>
          <cell r="X687" t="str">
            <v>monster/10123.png</v>
          </cell>
          <cell r="Y687">
            <v>1</v>
          </cell>
          <cell r="Z687">
            <v>0</v>
          </cell>
          <cell r="AA687">
            <v>50</v>
          </cell>
          <cell r="AB687">
            <v>25</v>
          </cell>
          <cell r="AC687">
            <v>0.4</v>
          </cell>
        </row>
        <row r="688">
          <cell r="A688">
            <v>3035061</v>
          </cell>
          <cell r="B688">
            <v>2001</v>
          </cell>
          <cell r="C688">
            <v>37</v>
          </cell>
          <cell r="D688" t="str">
            <v>拉兹</v>
          </cell>
          <cell r="E688">
            <v>870</v>
          </cell>
          <cell r="F688">
            <v>870</v>
          </cell>
          <cell r="G688">
            <v>10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175577</v>
          </cell>
          <cell r="M688">
            <v>2140</v>
          </cell>
          <cell r="N688">
            <v>2087</v>
          </cell>
          <cell r="O688">
            <v>2504</v>
          </cell>
          <cell r="P688">
            <v>230</v>
          </cell>
          <cell r="Q688">
            <v>60</v>
          </cell>
          <cell r="R688">
            <v>60</v>
          </cell>
          <cell r="S688">
            <v>0</v>
          </cell>
          <cell r="T688">
            <v>1059</v>
          </cell>
          <cell r="U688">
            <v>522</v>
          </cell>
          <cell r="V688">
            <v>0</v>
          </cell>
          <cell r="W688">
            <v>0</v>
          </cell>
          <cell r="X688" t="str">
            <v>monster/10106.png</v>
          </cell>
          <cell r="Y688">
            <v>1</v>
          </cell>
          <cell r="Z688">
            <v>0</v>
          </cell>
          <cell r="AA688">
            <v>50</v>
          </cell>
          <cell r="AB688">
            <v>25</v>
          </cell>
          <cell r="AC688">
            <v>0.4</v>
          </cell>
        </row>
        <row r="689">
          <cell r="A689">
            <v>3035071</v>
          </cell>
          <cell r="B689">
            <v>2001</v>
          </cell>
          <cell r="C689">
            <v>37</v>
          </cell>
          <cell r="D689" t="str">
            <v>塔克</v>
          </cell>
          <cell r="E689">
            <v>870</v>
          </cell>
          <cell r="F689">
            <v>870</v>
          </cell>
          <cell r="G689">
            <v>3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105346</v>
          </cell>
          <cell r="M689">
            <v>1070</v>
          </cell>
          <cell r="N689">
            <v>609</v>
          </cell>
          <cell r="O689">
            <v>731</v>
          </cell>
          <cell r="P689">
            <v>230</v>
          </cell>
          <cell r="Q689">
            <v>60</v>
          </cell>
          <cell r="R689">
            <v>60</v>
          </cell>
          <cell r="S689">
            <v>0</v>
          </cell>
          <cell r="T689">
            <v>0</v>
          </cell>
          <cell r="U689">
            <v>522</v>
          </cell>
          <cell r="V689">
            <v>0</v>
          </cell>
          <cell r="W689">
            <v>0</v>
          </cell>
          <cell r="X689" t="str">
            <v>monster/10085.png</v>
          </cell>
          <cell r="Y689">
            <v>1</v>
          </cell>
          <cell r="Z689">
            <v>0</v>
          </cell>
          <cell r="AA689">
            <v>50</v>
          </cell>
          <cell r="AB689">
            <v>25</v>
          </cell>
          <cell r="AC689">
            <v>0.4</v>
          </cell>
        </row>
        <row r="690">
          <cell r="A690">
            <v>3035072</v>
          </cell>
          <cell r="B690">
            <v>2001</v>
          </cell>
          <cell r="C690">
            <v>37</v>
          </cell>
          <cell r="D690" t="str">
            <v>迪皮斯</v>
          </cell>
          <cell r="E690">
            <v>870</v>
          </cell>
          <cell r="F690">
            <v>870</v>
          </cell>
          <cell r="G690" t="str">
            <v>17,14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77875</v>
          </cell>
          <cell r="M690">
            <v>1070</v>
          </cell>
          <cell r="N690">
            <v>1056</v>
          </cell>
          <cell r="O690">
            <v>1267</v>
          </cell>
          <cell r="P690">
            <v>230</v>
          </cell>
          <cell r="Q690">
            <v>60</v>
          </cell>
          <cell r="R690">
            <v>60</v>
          </cell>
          <cell r="S690">
            <v>0</v>
          </cell>
          <cell r="T690">
            <v>0</v>
          </cell>
          <cell r="U690">
            <v>522</v>
          </cell>
          <cell r="V690">
            <v>0</v>
          </cell>
          <cell r="W690">
            <v>0</v>
          </cell>
          <cell r="X690" t="str">
            <v>monster/10012.png</v>
          </cell>
          <cell r="Y690">
            <v>1</v>
          </cell>
          <cell r="Z690">
            <v>0</v>
          </cell>
          <cell r="AA690">
            <v>50</v>
          </cell>
          <cell r="AB690">
            <v>25</v>
          </cell>
          <cell r="AC690">
            <v>0.4</v>
          </cell>
        </row>
        <row r="691">
          <cell r="A691">
            <v>3035081</v>
          </cell>
          <cell r="B691">
            <v>2001</v>
          </cell>
          <cell r="C691">
            <v>38</v>
          </cell>
          <cell r="D691" t="str">
            <v>狂野安东尼</v>
          </cell>
          <cell r="E691">
            <v>900</v>
          </cell>
          <cell r="F691">
            <v>900</v>
          </cell>
          <cell r="G691">
            <v>7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214696</v>
          </cell>
          <cell r="M691">
            <v>1080</v>
          </cell>
          <cell r="N691">
            <v>1781</v>
          </cell>
          <cell r="O691">
            <v>2137</v>
          </cell>
          <cell r="P691">
            <v>260</v>
          </cell>
          <cell r="Q691">
            <v>70</v>
          </cell>
          <cell r="R691">
            <v>70</v>
          </cell>
          <cell r="S691">
            <v>0</v>
          </cell>
          <cell r="T691">
            <v>0</v>
          </cell>
          <cell r="U691">
            <v>549</v>
          </cell>
          <cell r="V691">
            <v>0</v>
          </cell>
          <cell r="W691">
            <v>0</v>
          </cell>
          <cell r="X691" t="str">
            <v>monster/10086.png</v>
          </cell>
          <cell r="Y691">
            <v>1</v>
          </cell>
          <cell r="Z691">
            <v>0</v>
          </cell>
          <cell r="AA691">
            <v>50</v>
          </cell>
          <cell r="AB691">
            <v>25</v>
          </cell>
          <cell r="AC691">
            <v>0.4</v>
          </cell>
        </row>
        <row r="692">
          <cell r="A692">
            <v>3035091</v>
          </cell>
          <cell r="B692">
            <v>2001</v>
          </cell>
          <cell r="C692">
            <v>39</v>
          </cell>
          <cell r="D692" t="str">
            <v>巡林者瑞克</v>
          </cell>
          <cell r="E692">
            <v>930</v>
          </cell>
          <cell r="F692">
            <v>930</v>
          </cell>
          <cell r="G692">
            <v>15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245210</v>
          </cell>
          <cell r="M692">
            <v>1090</v>
          </cell>
          <cell r="N692">
            <v>1809</v>
          </cell>
          <cell r="O692">
            <v>2171</v>
          </cell>
          <cell r="P692">
            <v>290</v>
          </cell>
          <cell r="Q692">
            <v>80</v>
          </cell>
          <cell r="R692">
            <v>80</v>
          </cell>
          <cell r="S692">
            <v>0</v>
          </cell>
          <cell r="T692">
            <v>0</v>
          </cell>
          <cell r="U692">
            <v>578</v>
          </cell>
          <cell r="V692">
            <v>0</v>
          </cell>
          <cell r="W692">
            <v>0</v>
          </cell>
          <cell r="X692" t="str">
            <v>monster/10094.png</v>
          </cell>
          <cell r="Y692">
            <v>1</v>
          </cell>
          <cell r="Z692">
            <v>0</v>
          </cell>
          <cell r="AA692">
            <v>50</v>
          </cell>
          <cell r="AB692">
            <v>25</v>
          </cell>
          <cell r="AC692">
            <v>0.4</v>
          </cell>
        </row>
        <row r="693">
          <cell r="A693">
            <v>3040011</v>
          </cell>
          <cell r="B693">
            <v>2001</v>
          </cell>
          <cell r="C693">
            <v>40</v>
          </cell>
          <cell r="D693" t="str">
            <v>法师幻象</v>
          </cell>
          <cell r="E693">
            <v>960</v>
          </cell>
          <cell r="F693">
            <v>960</v>
          </cell>
          <cell r="G693">
            <v>21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141254</v>
          </cell>
          <cell r="M693">
            <v>3300.0000000000005</v>
          </cell>
          <cell r="N693">
            <v>2563</v>
          </cell>
          <cell r="O693">
            <v>3076</v>
          </cell>
          <cell r="P693">
            <v>320</v>
          </cell>
          <cell r="Q693">
            <v>90</v>
          </cell>
          <cell r="R693">
            <v>90</v>
          </cell>
          <cell r="S693">
            <v>0</v>
          </cell>
          <cell r="T693">
            <v>0</v>
          </cell>
          <cell r="U693">
            <v>607</v>
          </cell>
          <cell r="V693">
            <v>0</v>
          </cell>
          <cell r="W693">
            <v>0</v>
          </cell>
          <cell r="X693" t="str">
            <v>UI/Program/HeroMaster_Man_1.png</v>
          </cell>
          <cell r="Y693">
            <v>1</v>
          </cell>
          <cell r="Z693">
            <v>0</v>
          </cell>
          <cell r="AA693">
            <v>50</v>
          </cell>
          <cell r="AB693">
            <v>25</v>
          </cell>
          <cell r="AC693">
            <v>0.4</v>
          </cell>
        </row>
        <row r="694">
          <cell r="A694">
            <v>3040021</v>
          </cell>
          <cell r="B694">
            <v>2001</v>
          </cell>
          <cell r="C694">
            <v>40</v>
          </cell>
          <cell r="D694" t="str">
            <v>法力风暴</v>
          </cell>
          <cell r="E694">
            <v>960</v>
          </cell>
          <cell r="F694">
            <v>960</v>
          </cell>
          <cell r="G694" t="str">
            <v>25,30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111170</v>
          </cell>
          <cell r="M694">
            <v>11117</v>
          </cell>
          <cell r="N694">
            <v>3946</v>
          </cell>
          <cell r="O694">
            <v>4735</v>
          </cell>
          <cell r="P694">
            <v>320</v>
          </cell>
          <cell r="Q694">
            <v>90</v>
          </cell>
          <cell r="R694">
            <v>90</v>
          </cell>
          <cell r="S694">
            <v>0</v>
          </cell>
          <cell r="T694">
            <v>0</v>
          </cell>
          <cell r="U694">
            <v>607</v>
          </cell>
          <cell r="V694">
            <v>0</v>
          </cell>
          <cell r="W694">
            <v>0</v>
          </cell>
          <cell r="X694" t="str">
            <v>monster/10061.png</v>
          </cell>
          <cell r="Y694">
            <v>1</v>
          </cell>
          <cell r="Z694">
            <v>0</v>
          </cell>
          <cell r="AA694">
            <v>50</v>
          </cell>
          <cell r="AB694">
            <v>25</v>
          </cell>
          <cell r="AC694">
            <v>0.4</v>
          </cell>
        </row>
        <row r="695">
          <cell r="A695">
            <v>3040031</v>
          </cell>
          <cell r="B695">
            <v>2001</v>
          </cell>
          <cell r="C695">
            <v>41</v>
          </cell>
          <cell r="D695" t="str">
            <v>角斗士里奥</v>
          </cell>
          <cell r="E695">
            <v>1000</v>
          </cell>
          <cell r="F695">
            <v>1000</v>
          </cell>
          <cell r="G695">
            <v>5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197907</v>
          </cell>
          <cell r="M695">
            <v>1110</v>
          </cell>
          <cell r="N695">
            <v>2725</v>
          </cell>
          <cell r="O695">
            <v>3270</v>
          </cell>
          <cell r="P695">
            <v>350</v>
          </cell>
          <cell r="Q695">
            <v>100</v>
          </cell>
          <cell r="R695">
            <v>100</v>
          </cell>
          <cell r="S695">
            <v>0</v>
          </cell>
          <cell r="T695">
            <v>0</v>
          </cell>
          <cell r="U695">
            <v>638</v>
          </cell>
          <cell r="V695">
            <v>0</v>
          </cell>
          <cell r="W695">
            <v>0</v>
          </cell>
          <cell r="X695" t="str">
            <v>monster/10067.png</v>
          </cell>
          <cell r="Y695">
            <v>1</v>
          </cell>
          <cell r="Z695">
            <v>0</v>
          </cell>
          <cell r="AA695">
            <v>50</v>
          </cell>
          <cell r="AB695">
            <v>25</v>
          </cell>
          <cell r="AC695">
            <v>0.4</v>
          </cell>
        </row>
        <row r="696">
          <cell r="A696">
            <v>3040041</v>
          </cell>
          <cell r="B696">
            <v>2001</v>
          </cell>
          <cell r="C696">
            <v>41</v>
          </cell>
          <cell r="D696" t="str">
            <v>荒野游侠</v>
          </cell>
          <cell r="E696">
            <v>1000</v>
          </cell>
          <cell r="F696">
            <v>1000</v>
          </cell>
          <cell r="G696">
            <v>16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174602</v>
          </cell>
          <cell r="M696">
            <v>2220</v>
          </cell>
          <cell r="N696">
            <v>2791</v>
          </cell>
          <cell r="O696">
            <v>3349</v>
          </cell>
          <cell r="P696">
            <v>350</v>
          </cell>
          <cell r="Q696">
            <v>100</v>
          </cell>
          <cell r="R696">
            <v>100</v>
          </cell>
          <cell r="S696">
            <v>0</v>
          </cell>
          <cell r="T696">
            <v>0</v>
          </cell>
          <cell r="U696">
            <v>1583</v>
          </cell>
          <cell r="V696">
            <v>0</v>
          </cell>
          <cell r="W696">
            <v>0</v>
          </cell>
          <cell r="X696" t="str">
            <v>monster/10096.png</v>
          </cell>
          <cell r="Y696">
            <v>1</v>
          </cell>
          <cell r="Z696">
            <v>0</v>
          </cell>
          <cell r="AA696">
            <v>50</v>
          </cell>
          <cell r="AB696">
            <v>25</v>
          </cell>
          <cell r="AC696">
            <v>0.4</v>
          </cell>
        </row>
        <row r="697">
          <cell r="A697">
            <v>3040051</v>
          </cell>
          <cell r="B697">
            <v>2001</v>
          </cell>
          <cell r="C697">
            <v>41</v>
          </cell>
          <cell r="D697" t="str">
            <v>憾地者</v>
          </cell>
          <cell r="E697">
            <v>1000</v>
          </cell>
          <cell r="F697">
            <v>1000</v>
          </cell>
          <cell r="G697">
            <v>4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240689</v>
          </cell>
          <cell r="M697">
            <v>1110</v>
          </cell>
          <cell r="N697">
            <v>2430</v>
          </cell>
          <cell r="O697">
            <v>2916</v>
          </cell>
          <cell r="P697">
            <v>350</v>
          </cell>
          <cell r="Q697">
            <v>100</v>
          </cell>
          <cell r="R697">
            <v>100</v>
          </cell>
          <cell r="S697">
            <v>0</v>
          </cell>
          <cell r="T697">
            <v>0</v>
          </cell>
          <cell r="U697">
            <v>638</v>
          </cell>
          <cell r="V697">
            <v>0</v>
          </cell>
          <cell r="W697">
            <v>0</v>
          </cell>
          <cell r="X697" t="str">
            <v>monster/10123.png</v>
          </cell>
          <cell r="Y697">
            <v>1</v>
          </cell>
          <cell r="Z697">
            <v>0</v>
          </cell>
          <cell r="AA697">
            <v>50</v>
          </cell>
          <cell r="AB697">
            <v>25</v>
          </cell>
          <cell r="AC697">
            <v>0.4</v>
          </cell>
        </row>
        <row r="698">
          <cell r="A698">
            <v>3040061</v>
          </cell>
          <cell r="B698">
            <v>2001</v>
          </cell>
          <cell r="C698">
            <v>42</v>
          </cell>
          <cell r="D698" t="str">
            <v>拉兹</v>
          </cell>
          <cell r="E698">
            <v>1040</v>
          </cell>
          <cell r="F698">
            <v>1040</v>
          </cell>
          <cell r="G698">
            <v>10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273307</v>
          </cell>
          <cell r="M698">
            <v>2240</v>
          </cell>
          <cell r="N698">
            <v>3542</v>
          </cell>
          <cell r="O698">
            <v>4250</v>
          </cell>
          <cell r="P698">
            <v>380</v>
          </cell>
          <cell r="Q698">
            <v>110</v>
          </cell>
          <cell r="R698">
            <v>110</v>
          </cell>
          <cell r="S698">
            <v>0</v>
          </cell>
          <cell r="T698">
            <v>1358</v>
          </cell>
          <cell r="U698">
            <v>668</v>
          </cell>
          <cell r="V698">
            <v>0</v>
          </cell>
          <cell r="W698">
            <v>0</v>
          </cell>
          <cell r="X698" t="str">
            <v>monster/10106.png</v>
          </cell>
          <cell r="Y698">
            <v>1</v>
          </cell>
          <cell r="Z698">
            <v>0</v>
          </cell>
          <cell r="AA698">
            <v>50</v>
          </cell>
          <cell r="AB698">
            <v>25</v>
          </cell>
          <cell r="AC698">
            <v>0.4</v>
          </cell>
        </row>
        <row r="699">
          <cell r="A699">
            <v>3040071</v>
          </cell>
          <cell r="B699">
            <v>2001</v>
          </cell>
          <cell r="C699">
            <v>42</v>
          </cell>
          <cell r="D699" t="str">
            <v>塔克</v>
          </cell>
          <cell r="E699">
            <v>1040</v>
          </cell>
          <cell r="F699">
            <v>1040</v>
          </cell>
          <cell r="G699">
            <v>3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163984</v>
          </cell>
          <cell r="M699">
            <v>1120</v>
          </cell>
          <cell r="N699">
            <v>1033</v>
          </cell>
          <cell r="O699">
            <v>1240</v>
          </cell>
          <cell r="P699">
            <v>380</v>
          </cell>
          <cell r="Q699">
            <v>110</v>
          </cell>
          <cell r="R699">
            <v>110</v>
          </cell>
          <cell r="S699">
            <v>0</v>
          </cell>
          <cell r="T699">
            <v>0</v>
          </cell>
          <cell r="U699">
            <v>668</v>
          </cell>
          <cell r="V699">
            <v>0</v>
          </cell>
          <cell r="W699">
            <v>0</v>
          </cell>
          <cell r="X699" t="str">
            <v>monster/10085.png</v>
          </cell>
          <cell r="Y699">
            <v>1</v>
          </cell>
          <cell r="Z699">
            <v>0</v>
          </cell>
          <cell r="AA699">
            <v>50</v>
          </cell>
          <cell r="AB699">
            <v>25</v>
          </cell>
          <cell r="AC699">
            <v>0.4</v>
          </cell>
        </row>
        <row r="700">
          <cell r="A700">
            <v>3040072</v>
          </cell>
          <cell r="B700">
            <v>2001</v>
          </cell>
          <cell r="C700">
            <v>42</v>
          </cell>
          <cell r="D700" t="str">
            <v>迪皮斯</v>
          </cell>
          <cell r="E700">
            <v>1040</v>
          </cell>
          <cell r="F700">
            <v>1040</v>
          </cell>
          <cell r="G700" t="str">
            <v>17,14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120180</v>
          </cell>
          <cell r="M700">
            <v>1120</v>
          </cell>
          <cell r="N700">
            <v>1824</v>
          </cell>
          <cell r="O700">
            <v>2189</v>
          </cell>
          <cell r="P700">
            <v>380</v>
          </cell>
          <cell r="Q700">
            <v>110</v>
          </cell>
          <cell r="R700">
            <v>110</v>
          </cell>
          <cell r="S700">
            <v>0</v>
          </cell>
          <cell r="T700">
            <v>0</v>
          </cell>
          <cell r="U700">
            <v>668</v>
          </cell>
          <cell r="V700">
            <v>0</v>
          </cell>
          <cell r="W700">
            <v>0</v>
          </cell>
          <cell r="X700" t="str">
            <v>monster/10012.png</v>
          </cell>
          <cell r="Y700">
            <v>1</v>
          </cell>
          <cell r="Z700">
            <v>0</v>
          </cell>
          <cell r="AA700">
            <v>50</v>
          </cell>
          <cell r="AB700">
            <v>25</v>
          </cell>
          <cell r="AC700">
            <v>0.4</v>
          </cell>
        </row>
        <row r="701">
          <cell r="A701">
            <v>3040081</v>
          </cell>
          <cell r="B701">
            <v>2001</v>
          </cell>
          <cell r="C701">
            <v>43</v>
          </cell>
          <cell r="D701" t="str">
            <v>狂野安东尼</v>
          </cell>
          <cell r="E701">
            <v>1080</v>
          </cell>
          <cell r="F701">
            <v>1080</v>
          </cell>
          <cell r="G701">
            <v>7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329301</v>
          </cell>
          <cell r="M701">
            <v>1130</v>
          </cell>
          <cell r="N701">
            <v>3130</v>
          </cell>
          <cell r="O701">
            <v>3756</v>
          </cell>
          <cell r="P701">
            <v>410</v>
          </cell>
          <cell r="Q701">
            <v>120</v>
          </cell>
          <cell r="R701">
            <v>120</v>
          </cell>
          <cell r="S701">
            <v>0</v>
          </cell>
          <cell r="T701">
            <v>0</v>
          </cell>
          <cell r="U701">
            <v>700</v>
          </cell>
          <cell r="V701">
            <v>0</v>
          </cell>
          <cell r="W701">
            <v>0</v>
          </cell>
          <cell r="X701" t="str">
            <v>monster/10086.png</v>
          </cell>
          <cell r="Y701">
            <v>1</v>
          </cell>
          <cell r="Z701">
            <v>0</v>
          </cell>
          <cell r="AA701">
            <v>50</v>
          </cell>
          <cell r="AB701">
            <v>25</v>
          </cell>
          <cell r="AC701">
            <v>0.4</v>
          </cell>
        </row>
        <row r="702">
          <cell r="A702">
            <v>3040091</v>
          </cell>
          <cell r="B702">
            <v>2001</v>
          </cell>
          <cell r="C702">
            <v>44</v>
          </cell>
          <cell r="D702" t="str">
            <v>巡林者瑞克</v>
          </cell>
          <cell r="E702">
            <v>1120</v>
          </cell>
          <cell r="F702">
            <v>1120</v>
          </cell>
          <cell r="G702">
            <v>15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372622</v>
          </cell>
          <cell r="M702">
            <v>1140.0000000000002</v>
          </cell>
          <cell r="N702">
            <v>3255</v>
          </cell>
          <cell r="O702">
            <v>3906</v>
          </cell>
          <cell r="P702">
            <v>440</v>
          </cell>
          <cell r="Q702">
            <v>130</v>
          </cell>
          <cell r="R702">
            <v>130</v>
          </cell>
          <cell r="S702">
            <v>0</v>
          </cell>
          <cell r="T702">
            <v>0</v>
          </cell>
          <cell r="U702">
            <v>732</v>
          </cell>
          <cell r="V702">
            <v>0</v>
          </cell>
          <cell r="W702">
            <v>0</v>
          </cell>
          <cell r="X702" t="str">
            <v>monster/10094.png</v>
          </cell>
          <cell r="Y702">
            <v>1</v>
          </cell>
          <cell r="Z702">
            <v>0</v>
          </cell>
          <cell r="AA702">
            <v>50</v>
          </cell>
          <cell r="AB702">
            <v>25</v>
          </cell>
          <cell r="AC702">
            <v>0.4</v>
          </cell>
        </row>
        <row r="703">
          <cell r="A703">
            <v>3045011</v>
          </cell>
          <cell r="B703">
            <v>2001</v>
          </cell>
          <cell r="C703">
            <v>45</v>
          </cell>
          <cell r="D703" t="str">
            <v>法师幻象</v>
          </cell>
          <cell r="E703">
            <v>1160</v>
          </cell>
          <cell r="F703">
            <v>1160</v>
          </cell>
          <cell r="G703">
            <v>21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215104</v>
          </cell>
          <cell r="M703">
            <v>3449.9999999999995</v>
          </cell>
          <cell r="N703">
            <v>3089</v>
          </cell>
          <cell r="O703">
            <v>3707</v>
          </cell>
          <cell r="P703">
            <v>470</v>
          </cell>
          <cell r="Q703">
            <v>140</v>
          </cell>
          <cell r="R703">
            <v>140</v>
          </cell>
          <cell r="S703">
            <v>0</v>
          </cell>
          <cell r="T703">
            <v>0</v>
          </cell>
          <cell r="U703">
            <v>766</v>
          </cell>
          <cell r="V703">
            <v>0</v>
          </cell>
          <cell r="W703">
            <v>0</v>
          </cell>
          <cell r="X703" t="str">
            <v>UI/Program/HeroMaster_Man_1.png</v>
          </cell>
          <cell r="Y703">
            <v>1</v>
          </cell>
          <cell r="Z703">
            <v>0</v>
          </cell>
          <cell r="AA703">
            <v>50</v>
          </cell>
          <cell r="AB703">
            <v>25</v>
          </cell>
          <cell r="AC703">
            <v>0.4</v>
          </cell>
        </row>
        <row r="704">
          <cell r="A704">
            <v>3045021</v>
          </cell>
          <cell r="B704">
            <v>2001</v>
          </cell>
          <cell r="C704">
            <v>45</v>
          </cell>
          <cell r="D704" t="str">
            <v>法力风暴</v>
          </cell>
          <cell r="E704">
            <v>1160</v>
          </cell>
          <cell r="F704">
            <v>1160</v>
          </cell>
          <cell r="G704" t="str">
            <v>25,30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165751</v>
          </cell>
          <cell r="M704">
            <v>16575</v>
          </cell>
          <cell r="N704">
            <v>4812</v>
          </cell>
          <cell r="O704">
            <v>5774</v>
          </cell>
          <cell r="P704">
            <v>470</v>
          </cell>
          <cell r="Q704">
            <v>140</v>
          </cell>
          <cell r="R704">
            <v>140</v>
          </cell>
          <cell r="S704">
            <v>0</v>
          </cell>
          <cell r="T704">
            <v>0</v>
          </cell>
          <cell r="U704">
            <v>766</v>
          </cell>
          <cell r="V704">
            <v>0</v>
          </cell>
          <cell r="W704">
            <v>0</v>
          </cell>
          <cell r="X704" t="str">
            <v>monster/10061.png</v>
          </cell>
          <cell r="Y704">
            <v>1</v>
          </cell>
          <cell r="Z704">
            <v>0</v>
          </cell>
          <cell r="AA704">
            <v>50</v>
          </cell>
          <cell r="AB704">
            <v>25</v>
          </cell>
          <cell r="AC704">
            <v>0.4</v>
          </cell>
        </row>
        <row r="705">
          <cell r="A705">
            <v>3045031</v>
          </cell>
          <cell r="B705">
            <v>2001</v>
          </cell>
          <cell r="C705">
            <v>46</v>
          </cell>
          <cell r="D705" t="str">
            <v>角斗士里奥</v>
          </cell>
          <cell r="E705">
            <v>1200</v>
          </cell>
          <cell r="F705">
            <v>1200</v>
          </cell>
          <cell r="G705">
            <v>5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287372</v>
          </cell>
          <cell r="M705">
            <v>1160</v>
          </cell>
          <cell r="N705">
            <v>3373</v>
          </cell>
          <cell r="O705">
            <v>4048</v>
          </cell>
          <cell r="P705">
            <v>500</v>
          </cell>
          <cell r="Q705">
            <v>150</v>
          </cell>
          <cell r="R705">
            <v>150</v>
          </cell>
          <cell r="S705">
            <v>0</v>
          </cell>
          <cell r="T705">
            <v>0</v>
          </cell>
          <cell r="U705">
            <v>799</v>
          </cell>
          <cell r="V705">
            <v>0</v>
          </cell>
          <cell r="W705">
            <v>0</v>
          </cell>
          <cell r="X705" t="str">
            <v>monster/10067.png</v>
          </cell>
          <cell r="Y705">
            <v>1</v>
          </cell>
          <cell r="Z705">
            <v>0</v>
          </cell>
          <cell r="AA705">
            <v>50</v>
          </cell>
          <cell r="AB705">
            <v>25</v>
          </cell>
          <cell r="AC705">
            <v>0.4</v>
          </cell>
        </row>
        <row r="706">
          <cell r="A706">
            <v>3045041</v>
          </cell>
          <cell r="B706">
            <v>2001</v>
          </cell>
          <cell r="C706">
            <v>46</v>
          </cell>
          <cell r="D706" t="str">
            <v>荒野游侠</v>
          </cell>
          <cell r="E706">
            <v>1200</v>
          </cell>
          <cell r="F706">
            <v>1200</v>
          </cell>
          <cell r="G706">
            <v>16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251042</v>
          </cell>
          <cell r="M706">
            <v>2320</v>
          </cell>
          <cell r="N706">
            <v>3489</v>
          </cell>
          <cell r="O706">
            <v>4187</v>
          </cell>
          <cell r="P706">
            <v>500</v>
          </cell>
          <cell r="Q706">
            <v>150</v>
          </cell>
          <cell r="R706">
            <v>150</v>
          </cell>
          <cell r="S706">
            <v>0</v>
          </cell>
          <cell r="T706">
            <v>0</v>
          </cell>
          <cell r="U706">
            <v>1984</v>
          </cell>
          <cell r="V706">
            <v>0</v>
          </cell>
          <cell r="W706">
            <v>0</v>
          </cell>
          <cell r="X706" t="str">
            <v>monster/10096.png</v>
          </cell>
          <cell r="Y706">
            <v>1</v>
          </cell>
          <cell r="Z706">
            <v>0</v>
          </cell>
          <cell r="AA706">
            <v>50</v>
          </cell>
          <cell r="AB706">
            <v>25</v>
          </cell>
          <cell r="AC706">
            <v>0.4</v>
          </cell>
        </row>
        <row r="707">
          <cell r="A707">
            <v>3045051</v>
          </cell>
          <cell r="B707">
            <v>2001</v>
          </cell>
          <cell r="C707">
            <v>46</v>
          </cell>
          <cell r="D707" t="str">
            <v>憾地者</v>
          </cell>
          <cell r="E707">
            <v>1200</v>
          </cell>
          <cell r="F707">
            <v>1200</v>
          </cell>
          <cell r="G707">
            <v>4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342663</v>
          </cell>
          <cell r="M707">
            <v>1160</v>
          </cell>
          <cell r="N707">
            <v>3066</v>
          </cell>
          <cell r="O707">
            <v>3679</v>
          </cell>
          <cell r="P707">
            <v>500</v>
          </cell>
          <cell r="Q707">
            <v>150</v>
          </cell>
          <cell r="R707">
            <v>150</v>
          </cell>
          <cell r="S707">
            <v>0</v>
          </cell>
          <cell r="T707">
            <v>0</v>
          </cell>
          <cell r="U707">
            <v>799</v>
          </cell>
          <cell r="V707">
            <v>0</v>
          </cell>
          <cell r="W707">
            <v>0</v>
          </cell>
          <cell r="X707" t="str">
            <v>monster/10123.png</v>
          </cell>
          <cell r="Y707">
            <v>1</v>
          </cell>
          <cell r="Z707">
            <v>0</v>
          </cell>
          <cell r="AA707">
            <v>50</v>
          </cell>
          <cell r="AB707">
            <v>25</v>
          </cell>
          <cell r="AC707">
            <v>0.4</v>
          </cell>
        </row>
        <row r="708">
          <cell r="A708">
            <v>3045061</v>
          </cell>
          <cell r="B708">
            <v>2001</v>
          </cell>
          <cell r="C708">
            <v>47</v>
          </cell>
          <cell r="D708" t="str">
            <v>拉兹</v>
          </cell>
          <cell r="E708">
            <v>1240</v>
          </cell>
          <cell r="F708">
            <v>1240</v>
          </cell>
          <cell r="G708">
            <v>10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353442</v>
          </cell>
          <cell r="M708">
            <v>2340</v>
          </cell>
          <cell r="N708">
            <v>4527</v>
          </cell>
          <cell r="O708">
            <v>5432</v>
          </cell>
          <cell r="P708">
            <v>1000</v>
          </cell>
          <cell r="Q708">
            <v>300</v>
          </cell>
          <cell r="R708">
            <v>300</v>
          </cell>
          <cell r="S708">
            <v>0</v>
          </cell>
          <cell r="T708">
            <v>1694</v>
          </cell>
          <cell r="U708">
            <v>834</v>
          </cell>
          <cell r="V708">
            <v>0</v>
          </cell>
          <cell r="W708">
            <v>0</v>
          </cell>
          <cell r="X708" t="str">
            <v>monster/10106.png</v>
          </cell>
          <cell r="Y708">
            <v>1</v>
          </cell>
          <cell r="Z708">
            <v>0</v>
          </cell>
          <cell r="AA708">
            <v>50</v>
          </cell>
          <cell r="AB708">
            <v>25</v>
          </cell>
          <cell r="AC708">
            <v>0.4</v>
          </cell>
        </row>
        <row r="709">
          <cell r="A709">
            <v>3045071</v>
          </cell>
          <cell r="B709">
            <v>2001</v>
          </cell>
          <cell r="C709">
            <v>47</v>
          </cell>
          <cell r="D709" t="str">
            <v>塔克</v>
          </cell>
          <cell r="E709">
            <v>1240</v>
          </cell>
          <cell r="F709">
            <v>1240</v>
          </cell>
          <cell r="G709">
            <v>3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212065</v>
          </cell>
          <cell r="M709">
            <v>1170</v>
          </cell>
          <cell r="N709">
            <v>1321</v>
          </cell>
          <cell r="O709">
            <v>1585</v>
          </cell>
          <cell r="P709">
            <v>1000</v>
          </cell>
          <cell r="Q709">
            <v>300</v>
          </cell>
          <cell r="R709">
            <v>300</v>
          </cell>
          <cell r="S709">
            <v>0</v>
          </cell>
          <cell r="T709">
            <v>0</v>
          </cell>
          <cell r="U709">
            <v>834</v>
          </cell>
          <cell r="V709">
            <v>0</v>
          </cell>
          <cell r="W709">
            <v>0</v>
          </cell>
          <cell r="X709" t="str">
            <v>monster/10085.png</v>
          </cell>
          <cell r="Y709">
            <v>1</v>
          </cell>
          <cell r="Z709">
            <v>0</v>
          </cell>
          <cell r="AA709">
            <v>50</v>
          </cell>
          <cell r="AB709">
            <v>25</v>
          </cell>
          <cell r="AC709">
            <v>0.4</v>
          </cell>
        </row>
        <row r="710">
          <cell r="A710">
            <v>3045072</v>
          </cell>
          <cell r="B710">
            <v>2001</v>
          </cell>
          <cell r="C710">
            <v>47</v>
          </cell>
          <cell r="D710" t="str">
            <v>迪皮斯</v>
          </cell>
          <cell r="E710">
            <v>1240</v>
          </cell>
          <cell r="F710">
            <v>1240</v>
          </cell>
          <cell r="G710" t="str">
            <v>17,14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154314</v>
          </cell>
          <cell r="M710">
            <v>1170</v>
          </cell>
          <cell r="N710">
            <v>2355</v>
          </cell>
          <cell r="O710">
            <v>2826</v>
          </cell>
          <cell r="P710">
            <v>1000</v>
          </cell>
          <cell r="Q710">
            <v>300</v>
          </cell>
          <cell r="R710">
            <v>300</v>
          </cell>
          <cell r="S710">
            <v>0</v>
          </cell>
          <cell r="T710">
            <v>0</v>
          </cell>
          <cell r="U710">
            <v>834</v>
          </cell>
          <cell r="V710">
            <v>0</v>
          </cell>
          <cell r="W710">
            <v>0</v>
          </cell>
          <cell r="X710" t="str">
            <v>monster/10012.png</v>
          </cell>
          <cell r="Y710">
            <v>1</v>
          </cell>
          <cell r="Z710">
            <v>0</v>
          </cell>
          <cell r="AA710">
            <v>50</v>
          </cell>
          <cell r="AB710">
            <v>25</v>
          </cell>
          <cell r="AC710">
            <v>0.4</v>
          </cell>
        </row>
        <row r="711">
          <cell r="A711">
            <v>3045081</v>
          </cell>
          <cell r="B711">
            <v>2001</v>
          </cell>
          <cell r="C711">
            <v>48</v>
          </cell>
          <cell r="D711" t="str">
            <v>狂野安东尼</v>
          </cell>
          <cell r="E711">
            <v>1280</v>
          </cell>
          <cell r="F711">
            <v>1280</v>
          </cell>
          <cell r="G711">
            <v>7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390238</v>
          </cell>
          <cell r="M711">
            <v>1180</v>
          </cell>
          <cell r="N711">
            <v>4084</v>
          </cell>
          <cell r="O711">
            <v>4901</v>
          </cell>
          <cell r="P711">
            <v>1500</v>
          </cell>
          <cell r="Q711">
            <v>450</v>
          </cell>
          <cell r="R711">
            <v>450</v>
          </cell>
          <cell r="S711">
            <v>0</v>
          </cell>
          <cell r="T711">
            <v>0</v>
          </cell>
          <cell r="U711">
            <v>869</v>
          </cell>
          <cell r="V711">
            <v>0</v>
          </cell>
          <cell r="W711">
            <v>0</v>
          </cell>
          <cell r="X711" t="str">
            <v>monster/10086.png</v>
          </cell>
          <cell r="Y711">
            <v>1</v>
          </cell>
          <cell r="Z711">
            <v>0</v>
          </cell>
          <cell r="AA711">
            <v>50</v>
          </cell>
          <cell r="AB711">
            <v>25</v>
          </cell>
          <cell r="AC711">
            <v>0.4</v>
          </cell>
        </row>
        <row r="712">
          <cell r="A712">
            <v>3045091</v>
          </cell>
          <cell r="B712">
            <v>2001</v>
          </cell>
          <cell r="C712">
            <v>49</v>
          </cell>
          <cell r="D712" t="str">
            <v>巡林者瑞克</v>
          </cell>
          <cell r="E712">
            <v>1320</v>
          </cell>
          <cell r="F712">
            <v>1320</v>
          </cell>
          <cell r="G712">
            <v>15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409968</v>
          </cell>
          <cell r="M712">
            <v>1190</v>
          </cell>
          <cell r="N712">
            <v>4305</v>
          </cell>
          <cell r="O712">
            <v>5166</v>
          </cell>
          <cell r="P712">
            <v>2000</v>
          </cell>
          <cell r="Q712">
            <v>600</v>
          </cell>
          <cell r="R712">
            <v>600</v>
          </cell>
          <cell r="S712">
            <v>0</v>
          </cell>
          <cell r="T712">
            <v>0</v>
          </cell>
          <cell r="U712">
            <v>906</v>
          </cell>
          <cell r="V712">
            <v>0</v>
          </cell>
          <cell r="W712">
            <v>0</v>
          </cell>
          <cell r="X712" t="str">
            <v>monster/10094.png</v>
          </cell>
          <cell r="Y712">
            <v>1</v>
          </cell>
          <cell r="Z712">
            <v>0</v>
          </cell>
          <cell r="AA712">
            <v>50</v>
          </cell>
          <cell r="AB712">
            <v>25</v>
          </cell>
          <cell r="AC712">
            <v>0.4</v>
          </cell>
        </row>
        <row r="713">
          <cell r="A713">
            <v>3050011</v>
          </cell>
          <cell r="B713">
            <v>2001</v>
          </cell>
          <cell r="C713">
            <v>50</v>
          </cell>
          <cell r="D713" t="str">
            <v>法师幻象</v>
          </cell>
          <cell r="E713">
            <v>1360</v>
          </cell>
          <cell r="F713">
            <v>1360</v>
          </cell>
          <cell r="G713">
            <v>21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261508</v>
          </cell>
          <cell r="M713">
            <v>3600</v>
          </cell>
          <cell r="N713">
            <v>4737</v>
          </cell>
          <cell r="O713">
            <v>5684</v>
          </cell>
          <cell r="P713">
            <v>2500</v>
          </cell>
          <cell r="Q713">
            <v>750</v>
          </cell>
          <cell r="R713">
            <v>750</v>
          </cell>
          <cell r="S713">
            <v>0</v>
          </cell>
          <cell r="T713">
            <v>0</v>
          </cell>
          <cell r="U713">
            <v>942</v>
          </cell>
          <cell r="V713">
            <v>0</v>
          </cell>
          <cell r="W713">
            <v>0</v>
          </cell>
          <cell r="X713" t="str">
            <v>UI/Program/HeroMaster_Man_1.png</v>
          </cell>
          <cell r="Y713">
            <v>1</v>
          </cell>
          <cell r="Z713">
            <v>0</v>
          </cell>
          <cell r="AA713">
            <v>50</v>
          </cell>
          <cell r="AB713">
            <v>25</v>
          </cell>
          <cell r="AC713">
            <v>0.4</v>
          </cell>
        </row>
        <row r="714">
          <cell r="A714">
            <v>3050021</v>
          </cell>
          <cell r="B714">
            <v>2001</v>
          </cell>
          <cell r="C714">
            <v>50</v>
          </cell>
          <cell r="D714" t="str">
            <v>法力风暴</v>
          </cell>
          <cell r="E714">
            <v>1360</v>
          </cell>
          <cell r="F714">
            <v>1360</v>
          </cell>
          <cell r="G714" t="str">
            <v>25,30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197535</v>
          </cell>
          <cell r="M714">
            <v>19754</v>
          </cell>
          <cell r="N714">
            <v>7462</v>
          </cell>
          <cell r="O714">
            <v>8954</v>
          </cell>
          <cell r="P714">
            <v>2500</v>
          </cell>
          <cell r="Q714">
            <v>750</v>
          </cell>
          <cell r="R714">
            <v>750</v>
          </cell>
          <cell r="S714">
            <v>0</v>
          </cell>
          <cell r="T714">
            <v>0</v>
          </cell>
          <cell r="U714">
            <v>942</v>
          </cell>
          <cell r="V714">
            <v>0</v>
          </cell>
          <cell r="W714">
            <v>0</v>
          </cell>
          <cell r="X714" t="str">
            <v>monster/10061.png</v>
          </cell>
          <cell r="Y714">
            <v>1</v>
          </cell>
          <cell r="Z714">
            <v>0</v>
          </cell>
          <cell r="AA714">
            <v>50</v>
          </cell>
          <cell r="AB714">
            <v>25</v>
          </cell>
          <cell r="AC714">
            <v>0.4</v>
          </cell>
        </row>
        <row r="715">
          <cell r="A715">
            <v>3050031</v>
          </cell>
          <cell r="B715">
            <v>2001</v>
          </cell>
          <cell r="C715">
            <v>51</v>
          </cell>
          <cell r="D715" t="str">
            <v>角斗士里奥</v>
          </cell>
          <cell r="E715">
            <v>1400</v>
          </cell>
          <cell r="F715">
            <v>1400</v>
          </cell>
          <cell r="G715">
            <v>5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316731</v>
          </cell>
          <cell r="M715">
            <v>1210</v>
          </cell>
          <cell r="N715">
            <v>5310</v>
          </cell>
          <cell r="O715">
            <v>6372</v>
          </cell>
          <cell r="P715">
            <v>3000</v>
          </cell>
          <cell r="Q715">
            <v>900</v>
          </cell>
          <cell r="R715">
            <v>900</v>
          </cell>
          <cell r="S715">
            <v>0</v>
          </cell>
          <cell r="T715">
            <v>0</v>
          </cell>
          <cell r="U715">
            <v>980</v>
          </cell>
          <cell r="V715">
            <v>0</v>
          </cell>
          <cell r="W715">
            <v>0</v>
          </cell>
          <cell r="X715" t="str">
            <v>monster/10067.png</v>
          </cell>
          <cell r="Y715">
            <v>1</v>
          </cell>
          <cell r="Z715">
            <v>0</v>
          </cell>
          <cell r="AA715">
            <v>50</v>
          </cell>
          <cell r="AB715">
            <v>25</v>
          </cell>
          <cell r="AC715">
            <v>0.4</v>
          </cell>
        </row>
        <row r="716">
          <cell r="A716">
            <v>3050041</v>
          </cell>
          <cell r="B716">
            <v>2001</v>
          </cell>
          <cell r="C716">
            <v>51</v>
          </cell>
          <cell r="D716" t="str">
            <v>荒野游侠</v>
          </cell>
          <cell r="E716">
            <v>1400</v>
          </cell>
          <cell r="F716">
            <v>1400</v>
          </cell>
          <cell r="G716">
            <v>16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273854</v>
          </cell>
          <cell r="M716">
            <v>2420</v>
          </cell>
          <cell r="N716">
            <v>5538</v>
          </cell>
          <cell r="O716">
            <v>6646</v>
          </cell>
          <cell r="P716">
            <v>3000</v>
          </cell>
          <cell r="Q716">
            <v>900</v>
          </cell>
          <cell r="R716">
            <v>900</v>
          </cell>
          <cell r="S716">
            <v>0</v>
          </cell>
          <cell r="T716">
            <v>0</v>
          </cell>
          <cell r="U716">
            <v>2432</v>
          </cell>
          <cell r="V716">
            <v>0</v>
          </cell>
          <cell r="W716">
            <v>0</v>
          </cell>
          <cell r="X716" t="str">
            <v>monster/10096.png</v>
          </cell>
          <cell r="Y716">
            <v>1</v>
          </cell>
          <cell r="Z716">
            <v>0</v>
          </cell>
          <cell r="AA716">
            <v>50</v>
          </cell>
          <cell r="AB716">
            <v>25</v>
          </cell>
          <cell r="AC716">
            <v>0.4</v>
          </cell>
        </row>
        <row r="717">
          <cell r="A717">
            <v>3050051</v>
          </cell>
          <cell r="B717">
            <v>2001</v>
          </cell>
          <cell r="C717">
            <v>51</v>
          </cell>
          <cell r="D717" t="str">
            <v>憾地者</v>
          </cell>
          <cell r="E717">
            <v>1400</v>
          </cell>
          <cell r="F717">
            <v>1400</v>
          </cell>
          <cell r="G717">
            <v>4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369971</v>
          </cell>
          <cell r="M717">
            <v>1210</v>
          </cell>
          <cell r="N717">
            <v>4910</v>
          </cell>
          <cell r="O717">
            <v>5892</v>
          </cell>
          <cell r="P717">
            <v>3000</v>
          </cell>
          <cell r="Q717">
            <v>900</v>
          </cell>
          <cell r="R717">
            <v>900</v>
          </cell>
          <cell r="S717">
            <v>0</v>
          </cell>
          <cell r="T717">
            <v>0</v>
          </cell>
          <cell r="U717">
            <v>980</v>
          </cell>
          <cell r="V717">
            <v>0</v>
          </cell>
          <cell r="W717">
            <v>0</v>
          </cell>
          <cell r="X717" t="str">
            <v>monster/10123.png</v>
          </cell>
          <cell r="Y717">
            <v>1</v>
          </cell>
          <cell r="Z717">
            <v>0</v>
          </cell>
          <cell r="AA717">
            <v>50</v>
          </cell>
          <cell r="AB717">
            <v>25</v>
          </cell>
          <cell r="AC717">
            <v>0.4</v>
          </cell>
        </row>
        <row r="718">
          <cell r="A718">
            <v>3050061</v>
          </cell>
          <cell r="B718">
            <v>2001</v>
          </cell>
          <cell r="C718">
            <v>52</v>
          </cell>
          <cell r="D718" t="str">
            <v>拉兹</v>
          </cell>
          <cell r="E718">
            <v>1440</v>
          </cell>
          <cell r="F718">
            <v>1440</v>
          </cell>
          <cell r="G718">
            <v>10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391056</v>
          </cell>
          <cell r="M718">
            <v>2440</v>
          </cell>
          <cell r="N718">
            <v>7332</v>
          </cell>
          <cell r="O718">
            <v>8798</v>
          </cell>
          <cell r="P718">
            <v>3500</v>
          </cell>
          <cell r="Q718">
            <v>1050</v>
          </cell>
          <cell r="R718">
            <v>1050</v>
          </cell>
          <cell r="S718">
            <v>0</v>
          </cell>
          <cell r="T718">
            <v>2068</v>
          </cell>
          <cell r="U718">
            <v>1018</v>
          </cell>
          <cell r="V718">
            <v>0</v>
          </cell>
          <cell r="W718">
            <v>0</v>
          </cell>
          <cell r="X718" t="str">
            <v>monster/10106.png</v>
          </cell>
          <cell r="Y718">
            <v>1</v>
          </cell>
          <cell r="Z718">
            <v>0</v>
          </cell>
          <cell r="AA718">
            <v>50</v>
          </cell>
          <cell r="AB718">
            <v>25</v>
          </cell>
          <cell r="AC718">
            <v>0.4</v>
          </cell>
        </row>
        <row r="719">
          <cell r="A719">
            <v>3050071</v>
          </cell>
          <cell r="B719">
            <v>2001</v>
          </cell>
          <cell r="C719">
            <v>52</v>
          </cell>
          <cell r="D719" t="str">
            <v>塔克</v>
          </cell>
          <cell r="E719">
            <v>1440</v>
          </cell>
          <cell r="F719">
            <v>1440</v>
          </cell>
          <cell r="G719">
            <v>3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234633</v>
          </cell>
          <cell r="M719">
            <v>1220</v>
          </cell>
          <cell r="N719">
            <v>2138</v>
          </cell>
          <cell r="O719">
            <v>2566</v>
          </cell>
          <cell r="P719">
            <v>3500</v>
          </cell>
          <cell r="Q719">
            <v>1050</v>
          </cell>
          <cell r="R719">
            <v>1050</v>
          </cell>
          <cell r="S719">
            <v>0</v>
          </cell>
          <cell r="T719">
            <v>0</v>
          </cell>
          <cell r="U719">
            <v>1018</v>
          </cell>
          <cell r="V719">
            <v>0</v>
          </cell>
          <cell r="W719">
            <v>0</v>
          </cell>
          <cell r="X719" t="str">
            <v>monster/10085.png</v>
          </cell>
          <cell r="Y719">
            <v>1</v>
          </cell>
          <cell r="Z719">
            <v>0</v>
          </cell>
          <cell r="AA719">
            <v>50</v>
          </cell>
          <cell r="AB719">
            <v>25</v>
          </cell>
          <cell r="AC719">
            <v>0.4</v>
          </cell>
        </row>
        <row r="720">
          <cell r="A720">
            <v>3050072</v>
          </cell>
          <cell r="B720">
            <v>2001</v>
          </cell>
          <cell r="C720">
            <v>52</v>
          </cell>
          <cell r="D720" t="str">
            <v>迪皮斯</v>
          </cell>
          <cell r="E720">
            <v>1440</v>
          </cell>
          <cell r="F720">
            <v>1440</v>
          </cell>
          <cell r="G720" t="str">
            <v>17,14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169395</v>
          </cell>
          <cell r="M720">
            <v>1220</v>
          </cell>
          <cell r="N720">
            <v>3847</v>
          </cell>
          <cell r="O720">
            <v>4616</v>
          </cell>
          <cell r="P720">
            <v>3500</v>
          </cell>
          <cell r="Q720">
            <v>1050</v>
          </cell>
          <cell r="R720">
            <v>1050</v>
          </cell>
          <cell r="S720">
            <v>0</v>
          </cell>
          <cell r="T720">
            <v>0</v>
          </cell>
          <cell r="U720">
            <v>1018</v>
          </cell>
          <cell r="V720">
            <v>0</v>
          </cell>
          <cell r="W720">
            <v>0</v>
          </cell>
          <cell r="X720" t="str">
            <v>monster/10012.png</v>
          </cell>
          <cell r="Y720">
            <v>1</v>
          </cell>
          <cell r="Z720">
            <v>0</v>
          </cell>
          <cell r="AA720">
            <v>50</v>
          </cell>
          <cell r="AB720">
            <v>25</v>
          </cell>
          <cell r="AC720">
            <v>0.4</v>
          </cell>
        </row>
        <row r="721">
          <cell r="A721">
            <v>3050081</v>
          </cell>
          <cell r="B721">
            <v>2001</v>
          </cell>
          <cell r="C721">
            <v>53</v>
          </cell>
          <cell r="D721" t="str">
            <v>狂野安东尼</v>
          </cell>
          <cell r="E721">
            <v>1480</v>
          </cell>
          <cell r="F721">
            <v>1480</v>
          </cell>
          <cell r="G721">
            <v>7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439158</v>
          </cell>
          <cell r="M721">
            <v>1230</v>
          </cell>
          <cell r="N721">
            <v>6729</v>
          </cell>
          <cell r="O721">
            <v>8075</v>
          </cell>
          <cell r="P721">
            <v>4000</v>
          </cell>
          <cell r="Q721">
            <v>1200</v>
          </cell>
          <cell r="R721">
            <v>1200</v>
          </cell>
          <cell r="S721">
            <v>0</v>
          </cell>
          <cell r="T721">
            <v>0</v>
          </cell>
          <cell r="U721">
            <v>1057</v>
          </cell>
          <cell r="V721">
            <v>0</v>
          </cell>
          <cell r="W721">
            <v>0</v>
          </cell>
          <cell r="X721" t="str">
            <v>monster/10086.png</v>
          </cell>
          <cell r="Y721">
            <v>1</v>
          </cell>
          <cell r="Z721">
            <v>0</v>
          </cell>
          <cell r="AA721">
            <v>50</v>
          </cell>
          <cell r="AB721">
            <v>25</v>
          </cell>
          <cell r="AC721">
            <v>0.4</v>
          </cell>
        </row>
        <row r="722">
          <cell r="A722">
            <v>3050091</v>
          </cell>
          <cell r="B722">
            <v>2001</v>
          </cell>
          <cell r="C722">
            <v>54</v>
          </cell>
          <cell r="D722" t="str">
            <v>巡林者瑞克</v>
          </cell>
          <cell r="E722">
            <v>1520</v>
          </cell>
          <cell r="F722">
            <v>1520</v>
          </cell>
          <cell r="G722">
            <v>15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469651</v>
          </cell>
          <cell r="M722">
            <v>1240</v>
          </cell>
          <cell r="N722">
            <v>7175</v>
          </cell>
          <cell r="O722">
            <v>8610</v>
          </cell>
          <cell r="P722">
            <v>4500</v>
          </cell>
          <cell r="Q722">
            <v>1350</v>
          </cell>
          <cell r="R722">
            <v>1350</v>
          </cell>
          <cell r="S722">
            <v>0</v>
          </cell>
          <cell r="T722">
            <v>0</v>
          </cell>
          <cell r="U722">
            <v>1097</v>
          </cell>
          <cell r="V722">
            <v>0</v>
          </cell>
          <cell r="W722">
            <v>0</v>
          </cell>
          <cell r="X722" t="str">
            <v>monster/10094.png</v>
          </cell>
          <cell r="Y722">
            <v>1</v>
          </cell>
          <cell r="Z722">
            <v>0</v>
          </cell>
          <cell r="AA722">
            <v>50</v>
          </cell>
          <cell r="AB722">
            <v>25</v>
          </cell>
          <cell r="AC722">
            <v>0.4</v>
          </cell>
        </row>
        <row r="723">
          <cell r="A723">
            <v>3055011</v>
          </cell>
          <cell r="B723">
            <v>2001</v>
          </cell>
          <cell r="C723">
            <v>55</v>
          </cell>
          <cell r="D723" t="str">
            <v>法师幻象</v>
          </cell>
          <cell r="E723">
            <v>1560</v>
          </cell>
          <cell r="F723">
            <v>1560</v>
          </cell>
          <cell r="G723">
            <v>21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317066</v>
          </cell>
          <cell r="M723">
            <v>3750</v>
          </cell>
          <cell r="N723">
            <v>6959</v>
          </cell>
          <cell r="O723">
            <v>8351</v>
          </cell>
          <cell r="P723">
            <v>5000</v>
          </cell>
          <cell r="Q723">
            <v>1500</v>
          </cell>
          <cell r="R723">
            <v>1500</v>
          </cell>
          <cell r="S723">
            <v>0</v>
          </cell>
          <cell r="T723">
            <v>0</v>
          </cell>
          <cell r="U723">
            <v>1138</v>
          </cell>
          <cell r="V723">
            <v>0</v>
          </cell>
          <cell r="W723">
            <v>0</v>
          </cell>
          <cell r="X723" t="str">
            <v>UI/Program/HeroMaster_Man_1.png</v>
          </cell>
          <cell r="Y723">
            <v>1</v>
          </cell>
          <cell r="Z723">
            <v>0</v>
          </cell>
          <cell r="AA723">
            <v>50</v>
          </cell>
          <cell r="AB723">
            <v>25</v>
          </cell>
          <cell r="AC723">
            <v>0.4</v>
          </cell>
        </row>
        <row r="724">
          <cell r="A724">
            <v>3055021</v>
          </cell>
          <cell r="B724">
            <v>2001</v>
          </cell>
          <cell r="C724">
            <v>55</v>
          </cell>
          <cell r="D724" t="str">
            <v>法力风暴</v>
          </cell>
          <cell r="E724">
            <v>1560</v>
          </cell>
          <cell r="F724">
            <v>1560</v>
          </cell>
          <cell r="G724" t="str">
            <v>25,30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236124</v>
          </cell>
          <cell r="M724">
            <v>23612</v>
          </cell>
          <cell r="N724">
            <v>11073</v>
          </cell>
          <cell r="O724">
            <v>13288</v>
          </cell>
          <cell r="P724">
            <v>5000</v>
          </cell>
          <cell r="Q724">
            <v>1500</v>
          </cell>
          <cell r="R724">
            <v>1500</v>
          </cell>
          <cell r="S724">
            <v>0</v>
          </cell>
          <cell r="T724">
            <v>0</v>
          </cell>
          <cell r="U724">
            <v>1138</v>
          </cell>
          <cell r="V724">
            <v>0</v>
          </cell>
          <cell r="W724">
            <v>0</v>
          </cell>
          <cell r="X724" t="str">
            <v>monster/10061.png</v>
          </cell>
          <cell r="Y724">
            <v>1</v>
          </cell>
          <cell r="Z724">
            <v>0</v>
          </cell>
          <cell r="AA724">
            <v>50</v>
          </cell>
          <cell r="AB724">
            <v>25</v>
          </cell>
          <cell r="AC724">
            <v>0.4</v>
          </cell>
        </row>
        <row r="725">
          <cell r="A725">
            <v>3055031</v>
          </cell>
          <cell r="B725">
            <v>2001</v>
          </cell>
          <cell r="C725">
            <v>56</v>
          </cell>
          <cell r="D725" t="str">
            <v>角斗士里奥</v>
          </cell>
          <cell r="E725">
            <v>1600</v>
          </cell>
          <cell r="F725">
            <v>1600</v>
          </cell>
          <cell r="G725">
            <v>5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379628</v>
          </cell>
          <cell r="M725">
            <v>1260</v>
          </cell>
          <cell r="N725">
            <v>7986</v>
          </cell>
          <cell r="O725">
            <v>9583</v>
          </cell>
          <cell r="P725">
            <v>5500</v>
          </cell>
          <cell r="Q725">
            <v>1650</v>
          </cell>
          <cell r="R725">
            <v>1650</v>
          </cell>
          <cell r="S725">
            <v>0</v>
          </cell>
          <cell r="T725">
            <v>0</v>
          </cell>
          <cell r="U725">
            <v>1179</v>
          </cell>
          <cell r="V725">
            <v>0</v>
          </cell>
          <cell r="W725">
            <v>0</v>
          </cell>
          <cell r="X725" t="str">
            <v>monster/10067.png</v>
          </cell>
          <cell r="Y725">
            <v>1</v>
          </cell>
          <cell r="Z725">
            <v>0</v>
          </cell>
          <cell r="AA725">
            <v>50</v>
          </cell>
          <cell r="AB725">
            <v>25</v>
          </cell>
          <cell r="AC725">
            <v>0.4</v>
          </cell>
        </row>
        <row r="726">
          <cell r="A726">
            <v>3055041</v>
          </cell>
          <cell r="B726">
            <v>2001</v>
          </cell>
          <cell r="C726">
            <v>56</v>
          </cell>
          <cell r="D726" t="str">
            <v>荒野游侠</v>
          </cell>
          <cell r="E726">
            <v>1600</v>
          </cell>
          <cell r="F726">
            <v>1600</v>
          </cell>
          <cell r="G726">
            <v>16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325617</v>
          </cell>
          <cell r="M726">
            <v>2520</v>
          </cell>
          <cell r="N726">
            <v>8389</v>
          </cell>
          <cell r="O726">
            <v>10067</v>
          </cell>
          <cell r="P726">
            <v>5500</v>
          </cell>
          <cell r="Q726">
            <v>1650</v>
          </cell>
          <cell r="R726">
            <v>1650</v>
          </cell>
          <cell r="S726">
            <v>0</v>
          </cell>
          <cell r="T726">
            <v>0</v>
          </cell>
          <cell r="U726">
            <v>2925</v>
          </cell>
          <cell r="V726">
            <v>0</v>
          </cell>
          <cell r="W726">
            <v>0</v>
          </cell>
          <cell r="X726" t="str">
            <v>monster/10096.png</v>
          </cell>
          <cell r="Y726">
            <v>1</v>
          </cell>
          <cell r="Z726">
            <v>0</v>
          </cell>
          <cell r="AA726">
            <v>50</v>
          </cell>
          <cell r="AB726">
            <v>25</v>
          </cell>
          <cell r="AC726">
            <v>0.4</v>
          </cell>
        </row>
        <row r="727">
          <cell r="A727">
            <v>3055051</v>
          </cell>
          <cell r="B727">
            <v>2001</v>
          </cell>
          <cell r="C727">
            <v>56</v>
          </cell>
          <cell r="D727" t="str">
            <v>憾地者</v>
          </cell>
          <cell r="E727">
            <v>1600</v>
          </cell>
          <cell r="F727">
            <v>1600</v>
          </cell>
          <cell r="G727">
            <v>4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436391</v>
          </cell>
          <cell r="M727">
            <v>1260</v>
          </cell>
          <cell r="N727">
            <v>7491</v>
          </cell>
          <cell r="O727">
            <v>8989</v>
          </cell>
          <cell r="P727">
            <v>5500</v>
          </cell>
          <cell r="Q727">
            <v>1650</v>
          </cell>
          <cell r="R727">
            <v>1650</v>
          </cell>
          <cell r="S727">
            <v>0</v>
          </cell>
          <cell r="T727">
            <v>0</v>
          </cell>
          <cell r="U727">
            <v>1179</v>
          </cell>
          <cell r="V727">
            <v>0</v>
          </cell>
          <cell r="W727">
            <v>0</v>
          </cell>
          <cell r="X727" t="str">
            <v>monster/10123.png</v>
          </cell>
          <cell r="Y727">
            <v>1</v>
          </cell>
          <cell r="Z727">
            <v>0</v>
          </cell>
          <cell r="AA727">
            <v>50</v>
          </cell>
          <cell r="AB727">
            <v>25</v>
          </cell>
          <cell r="AC727">
            <v>0.4</v>
          </cell>
        </row>
        <row r="728">
          <cell r="A728">
            <v>3055061</v>
          </cell>
          <cell r="B728">
            <v>2001</v>
          </cell>
          <cell r="C728">
            <v>57</v>
          </cell>
          <cell r="D728" t="str">
            <v>拉兹</v>
          </cell>
          <cell r="E728">
            <v>1640</v>
          </cell>
          <cell r="F728">
            <v>1640</v>
          </cell>
          <cell r="G728">
            <v>10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465146</v>
          </cell>
          <cell r="M728">
            <v>2540</v>
          </cell>
          <cell r="N728">
            <v>11293</v>
          </cell>
          <cell r="O728">
            <v>13552</v>
          </cell>
          <cell r="P728">
            <v>6000</v>
          </cell>
          <cell r="Q728">
            <v>1800</v>
          </cell>
          <cell r="R728">
            <v>1800</v>
          </cell>
          <cell r="S728">
            <v>0</v>
          </cell>
          <cell r="T728">
            <v>2479</v>
          </cell>
          <cell r="U728">
            <v>1221</v>
          </cell>
          <cell r="V728">
            <v>0</v>
          </cell>
          <cell r="W728">
            <v>0</v>
          </cell>
          <cell r="X728" t="str">
            <v>monster/10106.png</v>
          </cell>
          <cell r="Y728">
            <v>1</v>
          </cell>
          <cell r="Z728">
            <v>0</v>
          </cell>
          <cell r="AA728">
            <v>50</v>
          </cell>
          <cell r="AB728">
            <v>25</v>
          </cell>
          <cell r="AC728">
            <v>0.4</v>
          </cell>
        </row>
        <row r="729">
          <cell r="A729">
            <v>3055071</v>
          </cell>
          <cell r="B729">
            <v>2001</v>
          </cell>
          <cell r="C729">
            <v>57</v>
          </cell>
          <cell r="D729" t="str">
            <v>塔克</v>
          </cell>
          <cell r="E729">
            <v>1640</v>
          </cell>
          <cell r="F729">
            <v>1640</v>
          </cell>
          <cell r="G729">
            <v>3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279088</v>
          </cell>
          <cell r="M729">
            <v>1270</v>
          </cell>
          <cell r="N729">
            <v>3294</v>
          </cell>
          <cell r="O729">
            <v>3953</v>
          </cell>
          <cell r="P729">
            <v>6000</v>
          </cell>
          <cell r="Q729">
            <v>1800</v>
          </cell>
          <cell r="R729">
            <v>1800</v>
          </cell>
          <cell r="S729">
            <v>0</v>
          </cell>
          <cell r="T729">
            <v>0</v>
          </cell>
          <cell r="U729">
            <v>1221</v>
          </cell>
          <cell r="V729">
            <v>0</v>
          </cell>
          <cell r="W729">
            <v>0</v>
          </cell>
          <cell r="X729" t="str">
            <v>monster/10085.png</v>
          </cell>
          <cell r="Y729">
            <v>1</v>
          </cell>
          <cell r="Z729">
            <v>0</v>
          </cell>
          <cell r="AA729">
            <v>50</v>
          </cell>
          <cell r="AB729">
            <v>25</v>
          </cell>
          <cell r="AC729">
            <v>0.4</v>
          </cell>
        </row>
        <row r="730">
          <cell r="A730">
            <v>3055072</v>
          </cell>
          <cell r="B730">
            <v>2001</v>
          </cell>
          <cell r="C730">
            <v>57</v>
          </cell>
          <cell r="D730" t="str">
            <v>迪皮斯</v>
          </cell>
          <cell r="E730">
            <v>1640</v>
          </cell>
          <cell r="F730">
            <v>1640</v>
          </cell>
          <cell r="G730" t="str">
            <v>17,14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200188</v>
          </cell>
          <cell r="M730">
            <v>1270</v>
          </cell>
          <cell r="N730">
            <v>5967</v>
          </cell>
          <cell r="O730">
            <v>7160</v>
          </cell>
          <cell r="P730">
            <v>6000</v>
          </cell>
          <cell r="Q730">
            <v>1800</v>
          </cell>
          <cell r="R730">
            <v>1800</v>
          </cell>
          <cell r="S730">
            <v>0</v>
          </cell>
          <cell r="T730">
            <v>0</v>
          </cell>
          <cell r="U730">
            <v>1221</v>
          </cell>
          <cell r="V730">
            <v>0</v>
          </cell>
          <cell r="W730">
            <v>0</v>
          </cell>
          <cell r="X730" t="str">
            <v>monster/10012.png</v>
          </cell>
          <cell r="Y730">
            <v>1</v>
          </cell>
          <cell r="Z730">
            <v>0</v>
          </cell>
          <cell r="AA730">
            <v>50</v>
          </cell>
          <cell r="AB730">
            <v>25</v>
          </cell>
          <cell r="AC730">
            <v>0.4</v>
          </cell>
        </row>
        <row r="731">
          <cell r="A731">
            <v>3055081</v>
          </cell>
          <cell r="B731">
            <v>2001</v>
          </cell>
          <cell r="C731">
            <v>58</v>
          </cell>
          <cell r="D731" t="str">
            <v>狂野安东尼</v>
          </cell>
          <cell r="E731">
            <v>1680</v>
          </cell>
          <cell r="F731">
            <v>1680</v>
          </cell>
          <cell r="G731">
            <v>7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524427</v>
          </cell>
          <cell r="M731">
            <v>1280</v>
          </cell>
          <cell r="N731">
            <v>10510</v>
          </cell>
          <cell r="O731">
            <v>12612</v>
          </cell>
          <cell r="P731">
            <v>6500</v>
          </cell>
          <cell r="Q731">
            <v>1950</v>
          </cell>
          <cell r="R731">
            <v>1950</v>
          </cell>
          <cell r="S731">
            <v>0</v>
          </cell>
          <cell r="T731">
            <v>0</v>
          </cell>
          <cell r="U731">
            <v>1263</v>
          </cell>
          <cell r="V731">
            <v>0</v>
          </cell>
          <cell r="W731">
            <v>0</v>
          </cell>
          <cell r="X731" t="str">
            <v>monster/10086.png</v>
          </cell>
          <cell r="Y731">
            <v>1</v>
          </cell>
          <cell r="Z731">
            <v>0</v>
          </cell>
          <cell r="AA731">
            <v>50</v>
          </cell>
          <cell r="AB731">
            <v>25</v>
          </cell>
          <cell r="AC731">
            <v>0.4</v>
          </cell>
        </row>
        <row r="732">
          <cell r="A732">
            <v>3055091</v>
          </cell>
          <cell r="B732">
            <v>2001</v>
          </cell>
          <cell r="C732">
            <v>59</v>
          </cell>
          <cell r="D732" t="str">
            <v>巡林者瑞克</v>
          </cell>
          <cell r="E732">
            <v>1720</v>
          </cell>
          <cell r="F732">
            <v>1720</v>
          </cell>
          <cell r="G732">
            <v>15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564444</v>
          </cell>
          <cell r="M732">
            <v>1290</v>
          </cell>
          <cell r="N732">
            <v>11312</v>
          </cell>
          <cell r="O732">
            <v>13574</v>
          </cell>
          <cell r="P732">
            <v>7000</v>
          </cell>
          <cell r="Q732">
            <v>2100</v>
          </cell>
          <cell r="R732">
            <v>2100</v>
          </cell>
          <cell r="S732">
            <v>0</v>
          </cell>
          <cell r="T732">
            <v>0</v>
          </cell>
          <cell r="U732">
            <v>1307</v>
          </cell>
          <cell r="V732">
            <v>0</v>
          </cell>
          <cell r="W732">
            <v>0</v>
          </cell>
          <cell r="X732" t="str">
            <v>monster/10094.png</v>
          </cell>
          <cell r="Y732">
            <v>1</v>
          </cell>
          <cell r="Z732">
            <v>0</v>
          </cell>
          <cell r="AA732">
            <v>50</v>
          </cell>
          <cell r="AB732">
            <v>25</v>
          </cell>
          <cell r="AC732">
            <v>0.4</v>
          </cell>
        </row>
        <row r="733">
          <cell r="A733">
            <v>3060011</v>
          </cell>
          <cell r="B733">
            <v>2001</v>
          </cell>
          <cell r="C733">
            <v>60</v>
          </cell>
          <cell r="D733" t="str">
            <v>坚定的格雷格</v>
          </cell>
          <cell r="E733">
            <v>1760</v>
          </cell>
          <cell r="F733">
            <v>1760</v>
          </cell>
          <cell r="G733">
            <v>3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342856</v>
          </cell>
          <cell r="M733">
            <v>780</v>
          </cell>
          <cell r="N733">
            <v>7141</v>
          </cell>
          <cell r="O733">
            <v>8569</v>
          </cell>
          <cell r="P733">
            <v>7500</v>
          </cell>
          <cell r="Q733">
            <v>2250</v>
          </cell>
          <cell r="R733">
            <v>2250</v>
          </cell>
          <cell r="S733">
            <v>0</v>
          </cell>
          <cell r="T733">
            <v>0</v>
          </cell>
          <cell r="U733">
            <v>1351</v>
          </cell>
          <cell r="V733">
            <v>0</v>
          </cell>
          <cell r="W733">
            <v>0</v>
          </cell>
          <cell r="X733" t="str">
            <v>monster/10119.png</v>
          </cell>
          <cell r="Y733">
            <v>1</v>
          </cell>
          <cell r="Z733">
            <v>0</v>
          </cell>
          <cell r="AA733">
            <v>50</v>
          </cell>
          <cell r="AB733">
            <v>25</v>
          </cell>
          <cell r="AC733">
            <v>0.4</v>
          </cell>
        </row>
        <row r="734">
          <cell r="A734">
            <v>3060021</v>
          </cell>
          <cell r="B734">
            <v>2001</v>
          </cell>
          <cell r="C734">
            <v>60</v>
          </cell>
          <cell r="D734" t="str">
            <v>赛琳娜的倒影</v>
          </cell>
          <cell r="E734">
            <v>1760</v>
          </cell>
          <cell r="F734">
            <v>1760</v>
          </cell>
          <cell r="G734" t="str">
            <v>26,24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466653</v>
          </cell>
          <cell r="M734">
            <v>1300</v>
          </cell>
          <cell r="N734">
            <v>13123</v>
          </cell>
          <cell r="O734">
            <v>15748</v>
          </cell>
          <cell r="P734">
            <v>7500</v>
          </cell>
          <cell r="Q734">
            <v>2250</v>
          </cell>
          <cell r="R734">
            <v>2250</v>
          </cell>
          <cell r="S734">
            <v>0</v>
          </cell>
          <cell r="T734">
            <v>0</v>
          </cell>
          <cell r="U734">
            <v>1351</v>
          </cell>
          <cell r="V734">
            <v>0</v>
          </cell>
          <cell r="W734">
            <v>0</v>
          </cell>
          <cell r="X734" t="str">
            <v>UI/Program/MercenaryMaster_1.png</v>
          </cell>
          <cell r="Y734">
            <v>1</v>
          </cell>
          <cell r="Z734">
            <v>0</v>
          </cell>
          <cell r="AA734">
            <v>50</v>
          </cell>
          <cell r="AB734">
            <v>25</v>
          </cell>
          <cell r="AC734">
            <v>0.4</v>
          </cell>
        </row>
        <row r="735">
          <cell r="A735">
            <v>3060031</v>
          </cell>
          <cell r="B735">
            <v>2001</v>
          </cell>
          <cell r="C735">
            <v>61</v>
          </cell>
          <cell r="D735" t="str">
            <v>幻术师艾莉</v>
          </cell>
          <cell r="E735">
            <v>1810</v>
          </cell>
          <cell r="F735">
            <v>1810</v>
          </cell>
          <cell r="G735">
            <v>20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384301</v>
          </cell>
          <cell r="M735">
            <v>2096</v>
          </cell>
          <cell r="N735">
            <v>14396</v>
          </cell>
          <cell r="O735">
            <v>17275</v>
          </cell>
          <cell r="P735">
            <v>8000</v>
          </cell>
          <cell r="Q735">
            <v>2400</v>
          </cell>
          <cell r="R735">
            <v>2400</v>
          </cell>
          <cell r="S735">
            <v>0</v>
          </cell>
          <cell r="T735">
            <v>0</v>
          </cell>
          <cell r="U735">
            <v>709</v>
          </cell>
          <cell r="V735">
            <v>0</v>
          </cell>
          <cell r="W735">
            <v>0</v>
          </cell>
          <cell r="X735" t="str">
            <v>monster/10086.png</v>
          </cell>
          <cell r="Y735">
            <v>1</v>
          </cell>
          <cell r="Z735">
            <v>0</v>
          </cell>
          <cell r="AA735">
            <v>50</v>
          </cell>
          <cell r="AB735">
            <v>25</v>
          </cell>
          <cell r="AC735">
            <v>0.4</v>
          </cell>
        </row>
        <row r="736">
          <cell r="A736">
            <v>3060041</v>
          </cell>
          <cell r="B736">
            <v>2001</v>
          </cell>
          <cell r="C736">
            <v>61</v>
          </cell>
          <cell r="D736" t="str">
            <v>驯兽师瓦纳</v>
          </cell>
          <cell r="E736">
            <v>1810</v>
          </cell>
          <cell r="F736">
            <v>1810</v>
          </cell>
          <cell r="G736">
            <v>2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328494</v>
          </cell>
          <cell r="M736">
            <v>1048</v>
          </cell>
          <cell r="N736">
            <v>7615</v>
          </cell>
          <cell r="O736">
            <v>9138</v>
          </cell>
          <cell r="P736">
            <v>8000</v>
          </cell>
          <cell r="Q736">
            <v>2400</v>
          </cell>
          <cell r="R736">
            <v>2400</v>
          </cell>
          <cell r="S736">
            <v>0</v>
          </cell>
          <cell r="T736">
            <v>0</v>
          </cell>
          <cell r="U736">
            <v>1396</v>
          </cell>
          <cell r="V736">
            <v>0</v>
          </cell>
          <cell r="W736">
            <v>0</v>
          </cell>
          <cell r="X736" t="str">
            <v>monster/10094.png</v>
          </cell>
          <cell r="Y736">
            <v>1</v>
          </cell>
          <cell r="Z736">
            <v>0</v>
          </cell>
          <cell r="AA736">
            <v>50</v>
          </cell>
          <cell r="AB736">
            <v>25</v>
          </cell>
          <cell r="AC736">
            <v>0.4</v>
          </cell>
        </row>
        <row r="737">
          <cell r="A737">
            <v>3060042</v>
          </cell>
          <cell r="B737">
            <v>2001</v>
          </cell>
          <cell r="C737">
            <v>61</v>
          </cell>
          <cell r="D737" t="str">
            <v>多兰</v>
          </cell>
          <cell r="E737">
            <v>1810</v>
          </cell>
          <cell r="F737">
            <v>1810</v>
          </cell>
          <cell r="G737">
            <v>9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153297</v>
          </cell>
          <cell r="M737">
            <v>1310</v>
          </cell>
          <cell r="N737">
            <v>4442</v>
          </cell>
          <cell r="O737">
            <v>5330</v>
          </cell>
          <cell r="P737">
            <v>8000</v>
          </cell>
          <cell r="Q737">
            <v>2400</v>
          </cell>
          <cell r="R737">
            <v>2400</v>
          </cell>
          <cell r="S737">
            <v>0</v>
          </cell>
          <cell r="T737">
            <v>0</v>
          </cell>
          <cell r="U737">
            <v>1396</v>
          </cell>
          <cell r="V737">
            <v>0</v>
          </cell>
          <cell r="W737">
            <v>0</v>
          </cell>
          <cell r="X737" t="str">
            <v>monster/10061.png</v>
          </cell>
          <cell r="Y737">
            <v>1</v>
          </cell>
          <cell r="Z737">
            <v>0</v>
          </cell>
          <cell r="AA737">
            <v>50</v>
          </cell>
          <cell r="AB737">
            <v>25</v>
          </cell>
          <cell r="AC737">
            <v>0.4</v>
          </cell>
        </row>
        <row r="738">
          <cell r="A738">
            <v>3060043</v>
          </cell>
          <cell r="B738">
            <v>2001</v>
          </cell>
          <cell r="C738">
            <v>61</v>
          </cell>
          <cell r="D738" t="str">
            <v>约翰</v>
          </cell>
          <cell r="E738">
            <v>1810</v>
          </cell>
          <cell r="F738">
            <v>1810</v>
          </cell>
          <cell r="G738">
            <v>10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153297</v>
          </cell>
          <cell r="M738">
            <v>1310</v>
          </cell>
          <cell r="N738">
            <v>4442</v>
          </cell>
          <cell r="O738">
            <v>5330</v>
          </cell>
          <cell r="P738">
            <v>8000</v>
          </cell>
          <cell r="Q738">
            <v>2400</v>
          </cell>
          <cell r="R738">
            <v>2400</v>
          </cell>
          <cell r="S738">
            <v>0</v>
          </cell>
          <cell r="T738">
            <v>0</v>
          </cell>
          <cell r="U738">
            <v>1396</v>
          </cell>
          <cell r="V738">
            <v>0</v>
          </cell>
          <cell r="W738">
            <v>0</v>
          </cell>
          <cell r="X738" t="str">
            <v>monster/10067.png</v>
          </cell>
          <cell r="Y738">
            <v>1</v>
          </cell>
          <cell r="Z738">
            <v>0</v>
          </cell>
          <cell r="AA738">
            <v>50</v>
          </cell>
          <cell r="AB738">
            <v>25</v>
          </cell>
          <cell r="AC738">
            <v>0.4</v>
          </cell>
        </row>
        <row r="739">
          <cell r="A739">
            <v>3060051</v>
          </cell>
          <cell r="B739">
            <v>2001</v>
          </cell>
          <cell r="C739">
            <v>61</v>
          </cell>
          <cell r="D739" t="str">
            <v>炎之安苏</v>
          </cell>
          <cell r="E739">
            <v>1810</v>
          </cell>
          <cell r="F739">
            <v>1810</v>
          </cell>
          <cell r="G739">
            <v>21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555732</v>
          </cell>
          <cell r="M739">
            <v>1310</v>
          </cell>
          <cell r="N739">
            <v>13428</v>
          </cell>
          <cell r="O739">
            <v>16114</v>
          </cell>
          <cell r="P739">
            <v>8000</v>
          </cell>
          <cell r="Q739">
            <v>2400</v>
          </cell>
          <cell r="R739">
            <v>2400</v>
          </cell>
          <cell r="S739">
            <v>0</v>
          </cell>
          <cell r="T739">
            <v>0</v>
          </cell>
          <cell r="U739">
            <v>1396</v>
          </cell>
          <cell r="V739">
            <v>0</v>
          </cell>
          <cell r="W739">
            <v>0</v>
          </cell>
          <cell r="X739" t="str">
            <v>monster/10096.png</v>
          </cell>
          <cell r="Y739">
            <v>1</v>
          </cell>
          <cell r="Z739">
            <v>0</v>
          </cell>
          <cell r="AA739">
            <v>50</v>
          </cell>
          <cell r="AB739">
            <v>25</v>
          </cell>
          <cell r="AC739">
            <v>0.4</v>
          </cell>
        </row>
        <row r="740">
          <cell r="A740">
            <v>3060061</v>
          </cell>
          <cell r="B740">
            <v>2001</v>
          </cell>
          <cell r="C740">
            <v>62</v>
          </cell>
          <cell r="D740" t="str">
            <v>迅捷的维恩</v>
          </cell>
          <cell r="E740">
            <v>1860</v>
          </cell>
          <cell r="F740">
            <v>1860</v>
          </cell>
          <cell r="G740">
            <v>14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627449</v>
          </cell>
          <cell r="M740">
            <v>1320</v>
          </cell>
          <cell r="N740">
            <v>14475</v>
          </cell>
          <cell r="O740">
            <v>17370</v>
          </cell>
          <cell r="P740">
            <v>8500</v>
          </cell>
          <cell r="Q740">
            <v>2550</v>
          </cell>
          <cell r="R740">
            <v>2550</v>
          </cell>
          <cell r="S740">
            <v>0</v>
          </cell>
          <cell r="T740">
            <v>0</v>
          </cell>
          <cell r="U740">
            <v>732</v>
          </cell>
          <cell r="V740">
            <v>0</v>
          </cell>
          <cell r="W740">
            <v>0</v>
          </cell>
          <cell r="X740" t="str">
            <v>monster/10073.png</v>
          </cell>
          <cell r="Y740">
            <v>1</v>
          </cell>
          <cell r="Z740">
            <v>0</v>
          </cell>
          <cell r="AA740">
            <v>50</v>
          </cell>
          <cell r="AB740">
            <v>25</v>
          </cell>
          <cell r="AC740">
            <v>0.4</v>
          </cell>
        </row>
        <row r="741">
          <cell r="A741">
            <v>3060071</v>
          </cell>
          <cell r="B741">
            <v>2001</v>
          </cell>
          <cell r="C741">
            <v>62</v>
          </cell>
          <cell r="D741" t="str">
            <v>暮光预言者</v>
          </cell>
          <cell r="E741">
            <v>1860</v>
          </cell>
          <cell r="F741">
            <v>1860</v>
          </cell>
          <cell r="G741">
            <v>13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673159</v>
          </cell>
          <cell r="M741">
            <v>1056</v>
          </cell>
          <cell r="N741">
            <v>10778</v>
          </cell>
          <cell r="O741">
            <v>12934</v>
          </cell>
          <cell r="P741">
            <v>8500</v>
          </cell>
          <cell r="Q741">
            <v>2550</v>
          </cell>
          <cell r="R741">
            <v>2550</v>
          </cell>
          <cell r="S741">
            <v>0</v>
          </cell>
          <cell r="T741">
            <v>0</v>
          </cell>
          <cell r="U741">
            <v>732</v>
          </cell>
          <cell r="V741">
            <v>0</v>
          </cell>
          <cell r="W741">
            <v>0</v>
          </cell>
          <cell r="X741" t="str">
            <v>monster/10080.png</v>
          </cell>
          <cell r="Y741">
            <v>1</v>
          </cell>
          <cell r="Z741">
            <v>0</v>
          </cell>
          <cell r="AA741">
            <v>50</v>
          </cell>
          <cell r="AB741">
            <v>25</v>
          </cell>
          <cell r="AC741">
            <v>0.4</v>
          </cell>
        </row>
        <row r="742">
          <cell r="A742">
            <v>3060081</v>
          </cell>
          <cell r="B742">
            <v>2001</v>
          </cell>
          <cell r="C742">
            <v>63</v>
          </cell>
          <cell r="D742" t="str">
            <v>卡雷</v>
          </cell>
          <cell r="E742">
            <v>1910</v>
          </cell>
          <cell r="F742">
            <v>1910</v>
          </cell>
          <cell r="G742">
            <v>25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710282</v>
          </cell>
          <cell r="M742">
            <v>42</v>
          </cell>
          <cell r="N742">
            <v>20472</v>
          </cell>
          <cell r="O742">
            <v>24566</v>
          </cell>
          <cell r="P742">
            <v>9000</v>
          </cell>
          <cell r="Q742">
            <v>2700</v>
          </cell>
          <cell r="R742">
            <v>2700</v>
          </cell>
          <cell r="S742">
            <v>0</v>
          </cell>
          <cell r="T742">
            <v>0</v>
          </cell>
          <cell r="U742">
            <v>1488</v>
          </cell>
          <cell r="V742">
            <v>0</v>
          </cell>
          <cell r="W742">
            <v>0</v>
          </cell>
          <cell r="X742" t="str">
            <v>monster/10056.png</v>
          </cell>
          <cell r="Y742">
            <v>1</v>
          </cell>
          <cell r="Z742">
            <v>0</v>
          </cell>
          <cell r="AA742">
            <v>50</v>
          </cell>
          <cell r="AB742">
            <v>25</v>
          </cell>
          <cell r="AC742">
            <v>0.4</v>
          </cell>
        </row>
        <row r="743">
          <cell r="A743">
            <v>3060091</v>
          </cell>
          <cell r="B743">
            <v>2001</v>
          </cell>
          <cell r="C743">
            <v>64</v>
          </cell>
          <cell r="D743" t="str">
            <v>日光弗雷尔</v>
          </cell>
          <cell r="E743">
            <v>1960</v>
          </cell>
          <cell r="F743">
            <v>1960</v>
          </cell>
          <cell r="G743">
            <v>28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691506</v>
          </cell>
          <cell r="M743">
            <v>1340</v>
          </cell>
          <cell r="N743">
            <v>16003</v>
          </cell>
          <cell r="O743">
            <v>19204</v>
          </cell>
          <cell r="P743">
            <v>9500</v>
          </cell>
          <cell r="Q743">
            <v>2850</v>
          </cell>
          <cell r="R743">
            <v>2850</v>
          </cell>
          <cell r="S743">
            <v>0</v>
          </cell>
          <cell r="T743">
            <v>0</v>
          </cell>
          <cell r="U743">
            <v>1535</v>
          </cell>
          <cell r="V743">
            <v>0</v>
          </cell>
          <cell r="W743">
            <v>0</v>
          </cell>
          <cell r="X743" t="str">
            <v>monster/10010.png</v>
          </cell>
          <cell r="Y743">
            <v>1</v>
          </cell>
          <cell r="Z743">
            <v>0</v>
          </cell>
          <cell r="AA743">
            <v>50</v>
          </cell>
          <cell r="AB743">
            <v>25</v>
          </cell>
          <cell r="AC743">
            <v>0.4</v>
          </cell>
        </row>
        <row r="744">
          <cell r="A744">
            <v>3065011</v>
          </cell>
          <cell r="B744">
            <v>2001</v>
          </cell>
          <cell r="C744">
            <v>65</v>
          </cell>
          <cell r="D744" t="str">
            <v>坚定的格雷格</v>
          </cell>
          <cell r="E744">
            <v>2010</v>
          </cell>
          <cell r="F744">
            <v>2010</v>
          </cell>
          <cell r="G744">
            <v>3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477314</v>
          </cell>
          <cell r="M744">
            <v>810</v>
          </cell>
          <cell r="N744">
            <v>11509</v>
          </cell>
          <cell r="O744">
            <v>13811</v>
          </cell>
          <cell r="P744">
            <v>10000</v>
          </cell>
          <cell r="Q744">
            <v>3000</v>
          </cell>
          <cell r="R744">
            <v>3000</v>
          </cell>
          <cell r="S744">
            <v>0</v>
          </cell>
          <cell r="T744">
            <v>0</v>
          </cell>
          <cell r="U744">
            <v>1584</v>
          </cell>
          <cell r="V744">
            <v>0</v>
          </cell>
          <cell r="W744">
            <v>0</v>
          </cell>
          <cell r="X744" t="str">
            <v>monster/10119.png</v>
          </cell>
          <cell r="Y744">
            <v>1</v>
          </cell>
          <cell r="Z744">
            <v>0</v>
          </cell>
          <cell r="AA744">
            <v>50</v>
          </cell>
          <cell r="AB744">
            <v>25</v>
          </cell>
          <cell r="AC744">
            <v>0.4</v>
          </cell>
        </row>
        <row r="745">
          <cell r="A745">
            <v>3065021</v>
          </cell>
          <cell r="B745">
            <v>2001</v>
          </cell>
          <cell r="C745">
            <v>65</v>
          </cell>
          <cell r="D745" t="str">
            <v>赛琳娜的倒影</v>
          </cell>
          <cell r="E745">
            <v>2010</v>
          </cell>
          <cell r="F745">
            <v>2010</v>
          </cell>
          <cell r="G745" t="str">
            <v>26,24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646819</v>
          </cell>
          <cell r="M745">
            <v>1350</v>
          </cell>
          <cell r="N745">
            <v>21354</v>
          </cell>
          <cell r="O745">
            <v>25625</v>
          </cell>
          <cell r="P745">
            <v>10000</v>
          </cell>
          <cell r="Q745">
            <v>3000</v>
          </cell>
          <cell r="R745">
            <v>3000</v>
          </cell>
          <cell r="S745">
            <v>0</v>
          </cell>
          <cell r="T745">
            <v>0</v>
          </cell>
          <cell r="U745">
            <v>1584</v>
          </cell>
          <cell r="V745">
            <v>0</v>
          </cell>
          <cell r="W745">
            <v>0</v>
          </cell>
          <cell r="X745" t="str">
            <v>UI/Program/MercenaryMaster_1.png</v>
          </cell>
          <cell r="Y745">
            <v>1</v>
          </cell>
          <cell r="Z745">
            <v>0</v>
          </cell>
          <cell r="AA745">
            <v>50</v>
          </cell>
          <cell r="AB745">
            <v>25</v>
          </cell>
          <cell r="AC745">
            <v>0.4</v>
          </cell>
        </row>
        <row r="746">
          <cell r="A746">
            <v>3065031</v>
          </cell>
          <cell r="B746">
            <v>2001</v>
          </cell>
          <cell r="C746">
            <v>66</v>
          </cell>
          <cell r="D746" t="str">
            <v>幻术师艾莉</v>
          </cell>
          <cell r="E746">
            <v>2060</v>
          </cell>
          <cell r="F746">
            <v>2060</v>
          </cell>
          <cell r="G746">
            <v>20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533462</v>
          </cell>
          <cell r="M746">
            <v>2176</v>
          </cell>
          <cell r="N746">
            <v>23731</v>
          </cell>
          <cell r="O746">
            <v>28477</v>
          </cell>
          <cell r="P746">
            <v>10500</v>
          </cell>
          <cell r="Q746">
            <v>3150</v>
          </cell>
          <cell r="R746">
            <v>3150</v>
          </cell>
          <cell r="S746">
            <v>0</v>
          </cell>
          <cell r="T746">
            <v>0</v>
          </cell>
          <cell r="U746">
            <v>828</v>
          </cell>
          <cell r="V746">
            <v>0</v>
          </cell>
          <cell r="W746">
            <v>0</v>
          </cell>
          <cell r="X746" t="str">
            <v>monster/10111.png</v>
          </cell>
          <cell r="Y746">
            <v>1</v>
          </cell>
          <cell r="Z746">
            <v>0</v>
          </cell>
          <cell r="AA746">
            <v>50</v>
          </cell>
          <cell r="AB746">
            <v>25</v>
          </cell>
          <cell r="AC746">
            <v>0.4</v>
          </cell>
        </row>
        <row r="747">
          <cell r="A747">
            <v>3065041</v>
          </cell>
          <cell r="B747">
            <v>2001</v>
          </cell>
          <cell r="C747">
            <v>66</v>
          </cell>
          <cell r="D747" t="str">
            <v>驯兽师瓦纳</v>
          </cell>
          <cell r="E747">
            <v>2060</v>
          </cell>
          <cell r="F747">
            <v>2060</v>
          </cell>
          <cell r="G747">
            <v>2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454776</v>
          </cell>
          <cell r="M747">
            <v>1088</v>
          </cell>
          <cell r="N747">
            <v>12632</v>
          </cell>
          <cell r="O747">
            <v>15158</v>
          </cell>
          <cell r="P747">
            <v>10500</v>
          </cell>
          <cell r="Q747">
            <v>3150</v>
          </cell>
          <cell r="R747">
            <v>3150</v>
          </cell>
          <cell r="S747">
            <v>0</v>
          </cell>
          <cell r="T747">
            <v>0</v>
          </cell>
          <cell r="U747">
            <v>1632</v>
          </cell>
          <cell r="V747">
            <v>0</v>
          </cell>
          <cell r="W747">
            <v>0</v>
          </cell>
          <cell r="X747" t="str">
            <v>monster/10094.png</v>
          </cell>
          <cell r="Y747">
            <v>1</v>
          </cell>
          <cell r="Z747">
            <v>0</v>
          </cell>
          <cell r="AA747">
            <v>50</v>
          </cell>
          <cell r="AB747">
            <v>25</v>
          </cell>
          <cell r="AC747">
            <v>0.4</v>
          </cell>
        </row>
        <row r="748">
          <cell r="A748">
            <v>3065042</v>
          </cell>
          <cell r="B748">
            <v>2001</v>
          </cell>
          <cell r="C748">
            <v>66</v>
          </cell>
          <cell r="D748" t="str">
            <v>多兰</v>
          </cell>
          <cell r="E748">
            <v>2060</v>
          </cell>
          <cell r="F748">
            <v>2060</v>
          </cell>
          <cell r="G748">
            <v>9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212229</v>
          </cell>
          <cell r="M748">
            <v>1359.9999999999998</v>
          </cell>
          <cell r="N748">
            <v>7368</v>
          </cell>
          <cell r="O748">
            <v>8842</v>
          </cell>
          <cell r="P748">
            <v>10500</v>
          </cell>
          <cell r="Q748">
            <v>3150</v>
          </cell>
          <cell r="R748">
            <v>3150</v>
          </cell>
          <cell r="S748">
            <v>0</v>
          </cell>
          <cell r="T748">
            <v>0</v>
          </cell>
          <cell r="U748">
            <v>1632</v>
          </cell>
          <cell r="V748">
            <v>0</v>
          </cell>
          <cell r="W748">
            <v>0</v>
          </cell>
          <cell r="X748" t="str">
            <v>monster/10061.png</v>
          </cell>
          <cell r="Y748">
            <v>1</v>
          </cell>
          <cell r="Z748">
            <v>0</v>
          </cell>
          <cell r="AA748">
            <v>50</v>
          </cell>
          <cell r="AB748">
            <v>25</v>
          </cell>
          <cell r="AC748">
            <v>0.4</v>
          </cell>
        </row>
        <row r="749">
          <cell r="A749">
            <v>3065043</v>
          </cell>
          <cell r="B749">
            <v>2001</v>
          </cell>
          <cell r="C749">
            <v>66</v>
          </cell>
          <cell r="D749" t="str">
            <v>约翰</v>
          </cell>
          <cell r="E749">
            <v>2060</v>
          </cell>
          <cell r="F749">
            <v>2060</v>
          </cell>
          <cell r="G749">
            <v>10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212229</v>
          </cell>
          <cell r="M749">
            <v>1359.9999999999998</v>
          </cell>
          <cell r="N749">
            <v>7368</v>
          </cell>
          <cell r="O749">
            <v>8842</v>
          </cell>
          <cell r="P749">
            <v>10500</v>
          </cell>
          <cell r="Q749">
            <v>3150</v>
          </cell>
          <cell r="R749">
            <v>3150</v>
          </cell>
          <cell r="S749">
            <v>0</v>
          </cell>
          <cell r="T749">
            <v>0</v>
          </cell>
          <cell r="U749">
            <v>1632</v>
          </cell>
          <cell r="V749">
            <v>0</v>
          </cell>
          <cell r="W749">
            <v>0</v>
          </cell>
          <cell r="X749" t="str">
            <v>monster/10067.png</v>
          </cell>
          <cell r="Y749">
            <v>1</v>
          </cell>
          <cell r="Z749">
            <v>0</v>
          </cell>
          <cell r="AA749">
            <v>50</v>
          </cell>
          <cell r="AB749">
            <v>25</v>
          </cell>
          <cell r="AC749">
            <v>0.4</v>
          </cell>
        </row>
        <row r="750">
          <cell r="A750">
            <v>3065051</v>
          </cell>
          <cell r="B750">
            <v>2001</v>
          </cell>
          <cell r="C750">
            <v>66</v>
          </cell>
          <cell r="D750" t="str">
            <v>炎之安苏</v>
          </cell>
          <cell r="E750">
            <v>2060</v>
          </cell>
          <cell r="F750">
            <v>2060</v>
          </cell>
          <cell r="G750">
            <v>21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767314</v>
          </cell>
          <cell r="M750">
            <v>1359.9999999999998</v>
          </cell>
          <cell r="N750">
            <v>22412</v>
          </cell>
          <cell r="O750">
            <v>26894</v>
          </cell>
          <cell r="P750">
            <v>10500</v>
          </cell>
          <cell r="Q750">
            <v>3150</v>
          </cell>
          <cell r="R750">
            <v>3150</v>
          </cell>
          <cell r="S750">
            <v>0</v>
          </cell>
          <cell r="T750">
            <v>0</v>
          </cell>
          <cell r="U750">
            <v>1632</v>
          </cell>
          <cell r="V750">
            <v>0</v>
          </cell>
          <cell r="W750">
            <v>0</v>
          </cell>
          <cell r="X750" t="str">
            <v>monster/10096.png</v>
          </cell>
          <cell r="Y750">
            <v>1</v>
          </cell>
          <cell r="Z750">
            <v>0</v>
          </cell>
          <cell r="AA750">
            <v>50</v>
          </cell>
          <cell r="AB750">
            <v>25</v>
          </cell>
          <cell r="AC750">
            <v>0.4</v>
          </cell>
        </row>
        <row r="751">
          <cell r="A751">
            <v>3065061</v>
          </cell>
          <cell r="B751">
            <v>2001</v>
          </cell>
          <cell r="C751">
            <v>67</v>
          </cell>
          <cell r="D751" t="str">
            <v>迅捷的维恩</v>
          </cell>
          <cell r="E751">
            <v>2110</v>
          </cell>
          <cell r="F751">
            <v>2110</v>
          </cell>
          <cell r="G751">
            <v>14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869033</v>
          </cell>
          <cell r="M751">
            <v>1370</v>
          </cell>
          <cell r="N751">
            <v>24363</v>
          </cell>
          <cell r="O751">
            <v>29236</v>
          </cell>
          <cell r="P751">
            <v>11000</v>
          </cell>
          <cell r="Q751">
            <v>3300</v>
          </cell>
          <cell r="R751">
            <v>3300</v>
          </cell>
          <cell r="S751">
            <v>0</v>
          </cell>
          <cell r="T751">
            <v>0</v>
          </cell>
          <cell r="U751">
            <v>854</v>
          </cell>
          <cell r="V751">
            <v>0</v>
          </cell>
          <cell r="W751">
            <v>0</v>
          </cell>
          <cell r="X751" t="str">
            <v>monster/10073.png</v>
          </cell>
          <cell r="Y751">
            <v>1</v>
          </cell>
          <cell r="Z751">
            <v>0</v>
          </cell>
          <cell r="AA751">
            <v>50</v>
          </cell>
          <cell r="AB751">
            <v>25</v>
          </cell>
          <cell r="AC751">
            <v>0.4</v>
          </cell>
        </row>
        <row r="752">
          <cell r="A752">
            <v>3065071</v>
          </cell>
          <cell r="B752">
            <v>2001</v>
          </cell>
          <cell r="C752">
            <v>67</v>
          </cell>
          <cell r="D752" t="str">
            <v>暮光预言者</v>
          </cell>
          <cell r="E752">
            <v>2110</v>
          </cell>
          <cell r="F752">
            <v>2110</v>
          </cell>
          <cell r="G752">
            <v>13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930217</v>
          </cell>
          <cell r="M752">
            <v>1096</v>
          </cell>
          <cell r="N752">
            <v>18239</v>
          </cell>
          <cell r="O752">
            <v>21887</v>
          </cell>
          <cell r="P752">
            <v>11000</v>
          </cell>
          <cell r="Q752">
            <v>3300</v>
          </cell>
          <cell r="R752">
            <v>3300</v>
          </cell>
          <cell r="S752">
            <v>0</v>
          </cell>
          <cell r="T752">
            <v>0</v>
          </cell>
          <cell r="U752">
            <v>854</v>
          </cell>
          <cell r="V752">
            <v>0</v>
          </cell>
          <cell r="W752">
            <v>0</v>
          </cell>
          <cell r="X752" t="str">
            <v>monster/10080.png</v>
          </cell>
          <cell r="Y752">
            <v>1</v>
          </cell>
          <cell r="Z752">
            <v>0</v>
          </cell>
          <cell r="AA752">
            <v>50</v>
          </cell>
          <cell r="AB752">
            <v>25</v>
          </cell>
          <cell r="AC752">
            <v>0.4</v>
          </cell>
        </row>
        <row r="753">
          <cell r="A753">
            <v>3065081</v>
          </cell>
          <cell r="B753">
            <v>2001</v>
          </cell>
          <cell r="C753">
            <v>68</v>
          </cell>
          <cell r="D753" t="str">
            <v>卡雷</v>
          </cell>
          <cell r="E753">
            <v>2160</v>
          </cell>
          <cell r="F753">
            <v>2160</v>
          </cell>
          <cell r="G753">
            <v>25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985271</v>
          </cell>
          <cell r="M753">
            <v>42</v>
          </cell>
          <cell r="N753">
            <v>34833</v>
          </cell>
          <cell r="O753">
            <v>41800</v>
          </cell>
          <cell r="P753">
            <v>11500</v>
          </cell>
          <cell r="Q753">
            <v>3450</v>
          </cell>
          <cell r="R753">
            <v>3450</v>
          </cell>
          <cell r="S753">
            <v>0</v>
          </cell>
          <cell r="T753">
            <v>0</v>
          </cell>
          <cell r="U753">
            <v>1731</v>
          </cell>
          <cell r="V753">
            <v>0</v>
          </cell>
          <cell r="W753">
            <v>0</v>
          </cell>
          <cell r="X753" t="str">
            <v>monster/10056.png</v>
          </cell>
          <cell r="Y753">
            <v>1</v>
          </cell>
          <cell r="Z753">
            <v>0</v>
          </cell>
          <cell r="AA753">
            <v>50</v>
          </cell>
          <cell r="AB753">
            <v>25</v>
          </cell>
          <cell r="AC753">
            <v>0.4</v>
          </cell>
        </row>
        <row r="754">
          <cell r="A754">
            <v>3065091</v>
          </cell>
          <cell r="B754">
            <v>2001</v>
          </cell>
          <cell r="C754">
            <v>69</v>
          </cell>
          <cell r="D754" t="str">
            <v>日光弗雷尔</v>
          </cell>
          <cell r="E754">
            <v>2210</v>
          </cell>
          <cell r="F754">
            <v>2210</v>
          </cell>
          <cell r="G754">
            <v>28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961666</v>
          </cell>
          <cell r="M754">
            <v>1390.0000000000002</v>
          </cell>
          <cell r="N754">
            <v>27430</v>
          </cell>
          <cell r="O754">
            <v>32916</v>
          </cell>
          <cell r="P754">
            <v>12000</v>
          </cell>
          <cell r="Q754">
            <v>3600</v>
          </cell>
          <cell r="R754">
            <v>3600</v>
          </cell>
          <cell r="S754">
            <v>0</v>
          </cell>
          <cell r="T754">
            <v>0</v>
          </cell>
          <cell r="U754">
            <v>1782</v>
          </cell>
          <cell r="V754">
            <v>0</v>
          </cell>
          <cell r="W754">
            <v>0</v>
          </cell>
          <cell r="X754" t="str">
            <v>monster/10010.png</v>
          </cell>
          <cell r="Y754">
            <v>1</v>
          </cell>
          <cell r="Z754">
            <v>0</v>
          </cell>
          <cell r="AA754">
            <v>50</v>
          </cell>
          <cell r="AB754">
            <v>25</v>
          </cell>
          <cell r="AC754">
            <v>0.4</v>
          </cell>
        </row>
        <row r="755">
          <cell r="A755">
            <v>3070011</v>
          </cell>
          <cell r="B755">
            <v>2001</v>
          </cell>
          <cell r="C755">
            <v>70</v>
          </cell>
          <cell r="D755" t="str">
            <v>坚定的格雷格</v>
          </cell>
          <cell r="E755">
            <v>2260</v>
          </cell>
          <cell r="F755">
            <v>2260</v>
          </cell>
          <cell r="G755">
            <v>3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640956</v>
          </cell>
          <cell r="M755">
            <v>840</v>
          </cell>
          <cell r="N755">
            <v>16949</v>
          </cell>
          <cell r="O755">
            <v>20339</v>
          </cell>
          <cell r="P755">
            <v>12500</v>
          </cell>
          <cell r="Q755">
            <v>3750</v>
          </cell>
          <cell r="R755">
            <v>3750</v>
          </cell>
          <cell r="S755">
            <v>0</v>
          </cell>
          <cell r="T755">
            <v>0</v>
          </cell>
          <cell r="U755">
            <v>1834</v>
          </cell>
          <cell r="V755">
            <v>0</v>
          </cell>
          <cell r="W755">
            <v>0</v>
          </cell>
          <cell r="X755" t="str">
            <v>monster/10119.png</v>
          </cell>
          <cell r="Y755">
            <v>1</v>
          </cell>
          <cell r="Z755">
            <v>0</v>
          </cell>
          <cell r="AA755">
            <v>50</v>
          </cell>
          <cell r="AB755">
            <v>25</v>
          </cell>
          <cell r="AC755">
            <v>0.4</v>
          </cell>
        </row>
        <row r="756">
          <cell r="A756">
            <v>3070021</v>
          </cell>
          <cell r="B756">
            <v>2001</v>
          </cell>
          <cell r="C756">
            <v>70</v>
          </cell>
          <cell r="D756" t="str">
            <v>赛琳娜的倒影</v>
          </cell>
          <cell r="E756">
            <v>2260</v>
          </cell>
          <cell r="F756">
            <v>2260</v>
          </cell>
          <cell r="G756" t="str">
            <v>26,24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864708</v>
          </cell>
          <cell r="M756">
            <v>1400</v>
          </cell>
          <cell r="N756">
            <v>31738</v>
          </cell>
          <cell r="O756">
            <v>38086</v>
          </cell>
          <cell r="P756">
            <v>12500</v>
          </cell>
          <cell r="Q756">
            <v>3750</v>
          </cell>
          <cell r="R756">
            <v>3750</v>
          </cell>
          <cell r="S756">
            <v>0</v>
          </cell>
          <cell r="T756">
            <v>0</v>
          </cell>
          <cell r="U756">
            <v>1834</v>
          </cell>
          <cell r="V756">
            <v>0</v>
          </cell>
          <cell r="W756">
            <v>0</v>
          </cell>
          <cell r="X756" t="str">
            <v>UI/Program/MercenaryMaster_1.png</v>
          </cell>
          <cell r="Y756">
            <v>1</v>
          </cell>
          <cell r="Z756">
            <v>0</v>
          </cell>
          <cell r="AA756">
            <v>50</v>
          </cell>
          <cell r="AB756">
            <v>25</v>
          </cell>
          <cell r="AC756">
            <v>0.4</v>
          </cell>
        </row>
        <row r="757">
          <cell r="A757">
            <v>3070031</v>
          </cell>
          <cell r="B757">
            <v>2001</v>
          </cell>
          <cell r="C757">
            <v>71</v>
          </cell>
          <cell r="D757" t="str">
            <v>幻术师艾莉</v>
          </cell>
          <cell r="E757">
            <v>2320</v>
          </cell>
          <cell r="F757">
            <v>2320</v>
          </cell>
          <cell r="G757">
            <v>20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713091</v>
          </cell>
          <cell r="M757">
            <v>2256</v>
          </cell>
          <cell r="N757">
            <v>35705</v>
          </cell>
          <cell r="O757">
            <v>42846</v>
          </cell>
          <cell r="P757">
            <v>13000</v>
          </cell>
          <cell r="Q757">
            <v>3900</v>
          </cell>
          <cell r="R757">
            <v>3900</v>
          </cell>
          <cell r="S757">
            <v>0</v>
          </cell>
          <cell r="T757">
            <v>0</v>
          </cell>
          <cell r="U757">
            <v>958</v>
          </cell>
          <cell r="V757">
            <v>0</v>
          </cell>
          <cell r="W757">
            <v>0</v>
          </cell>
          <cell r="X757" t="str">
            <v>monster/10111.png</v>
          </cell>
          <cell r="Y757">
            <v>1</v>
          </cell>
          <cell r="Z757">
            <v>0</v>
          </cell>
          <cell r="AA757">
            <v>50</v>
          </cell>
          <cell r="AB757">
            <v>25</v>
          </cell>
          <cell r="AC757">
            <v>0.4</v>
          </cell>
        </row>
        <row r="758">
          <cell r="A758">
            <v>3070041</v>
          </cell>
          <cell r="B758">
            <v>2001</v>
          </cell>
          <cell r="C758">
            <v>71</v>
          </cell>
          <cell r="D758" t="str">
            <v>驯兽师瓦纳</v>
          </cell>
          <cell r="E758">
            <v>2320</v>
          </cell>
          <cell r="F758">
            <v>2320</v>
          </cell>
          <cell r="G758">
            <v>2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606214</v>
          </cell>
          <cell r="M758">
            <v>1128</v>
          </cell>
          <cell r="N758">
            <v>19112</v>
          </cell>
          <cell r="O758">
            <v>22934</v>
          </cell>
          <cell r="P758">
            <v>13000</v>
          </cell>
          <cell r="Q758">
            <v>3900</v>
          </cell>
          <cell r="R758">
            <v>3900</v>
          </cell>
          <cell r="S758">
            <v>0</v>
          </cell>
          <cell r="T758">
            <v>0</v>
          </cell>
          <cell r="U758">
            <v>1886</v>
          </cell>
          <cell r="V758">
            <v>0</v>
          </cell>
          <cell r="W758">
            <v>0</v>
          </cell>
          <cell r="X758" t="str">
            <v>monster/10094.png</v>
          </cell>
          <cell r="Y758">
            <v>1</v>
          </cell>
          <cell r="Z758">
            <v>0</v>
          </cell>
          <cell r="AA758">
            <v>50</v>
          </cell>
          <cell r="AB758">
            <v>25</v>
          </cell>
          <cell r="AC758">
            <v>0.4</v>
          </cell>
        </row>
        <row r="759">
          <cell r="A759">
            <v>3070042</v>
          </cell>
          <cell r="B759">
            <v>2001</v>
          </cell>
          <cell r="C759">
            <v>71</v>
          </cell>
          <cell r="D759" t="str">
            <v>多兰</v>
          </cell>
          <cell r="E759">
            <v>2320</v>
          </cell>
          <cell r="F759">
            <v>2320</v>
          </cell>
          <cell r="G759">
            <v>9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282900</v>
          </cell>
          <cell r="M759">
            <v>1410</v>
          </cell>
          <cell r="N759">
            <v>11148</v>
          </cell>
          <cell r="O759">
            <v>13378</v>
          </cell>
          <cell r="P759">
            <v>13000</v>
          </cell>
          <cell r="Q759">
            <v>3900</v>
          </cell>
          <cell r="R759">
            <v>3900</v>
          </cell>
          <cell r="S759">
            <v>0</v>
          </cell>
          <cell r="T759">
            <v>0</v>
          </cell>
          <cell r="U759">
            <v>1886</v>
          </cell>
          <cell r="V759">
            <v>0</v>
          </cell>
          <cell r="W759">
            <v>0</v>
          </cell>
          <cell r="X759" t="str">
            <v>monster/10061.png</v>
          </cell>
          <cell r="Y759">
            <v>1</v>
          </cell>
          <cell r="Z759">
            <v>0</v>
          </cell>
          <cell r="AA759">
            <v>50</v>
          </cell>
          <cell r="AB759">
            <v>25</v>
          </cell>
          <cell r="AC759">
            <v>0.4</v>
          </cell>
        </row>
        <row r="760">
          <cell r="A760">
            <v>3070043</v>
          </cell>
          <cell r="B760">
            <v>2001</v>
          </cell>
          <cell r="C760">
            <v>71</v>
          </cell>
          <cell r="D760" t="str">
            <v>约翰</v>
          </cell>
          <cell r="E760">
            <v>2320</v>
          </cell>
          <cell r="F760">
            <v>2320</v>
          </cell>
          <cell r="G760">
            <v>10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282900</v>
          </cell>
          <cell r="M760">
            <v>1410</v>
          </cell>
          <cell r="N760">
            <v>11148</v>
          </cell>
          <cell r="O760">
            <v>13378</v>
          </cell>
          <cell r="P760">
            <v>13000</v>
          </cell>
          <cell r="Q760">
            <v>3900</v>
          </cell>
          <cell r="R760">
            <v>3900</v>
          </cell>
          <cell r="S760">
            <v>0</v>
          </cell>
          <cell r="T760">
            <v>0</v>
          </cell>
          <cell r="U760">
            <v>1886</v>
          </cell>
          <cell r="V760">
            <v>0</v>
          </cell>
          <cell r="W760">
            <v>0</v>
          </cell>
          <cell r="X760" t="str">
            <v>monster/10067.png</v>
          </cell>
          <cell r="Y760">
            <v>1</v>
          </cell>
          <cell r="Z760">
            <v>0</v>
          </cell>
          <cell r="AA760">
            <v>50</v>
          </cell>
          <cell r="AB760">
            <v>25</v>
          </cell>
          <cell r="AC760">
            <v>0.4</v>
          </cell>
        </row>
        <row r="761">
          <cell r="A761">
            <v>3070051</v>
          </cell>
          <cell r="B761">
            <v>2001</v>
          </cell>
          <cell r="C761">
            <v>71</v>
          </cell>
          <cell r="D761" t="str">
            <v>炎之安苏</v>
          </cell>
          <cell r="E761">
            <v>2320</v>
          </cell>
          <cell r="F761">
            <v>2320</v>
          </cell>
          <cell r="G761">
            <v>21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1019974</v>
          </cell>
          <cell r="M761">
            <v>1410</v>
          </cell>
          <cell r="N761">
            <v>34100</v>
          </cell>
          <cell r="O761">
            <v>40920</v>
          </cell>
          <cell r="P761">
            <v>13000</v>
          </cell>
          <cell r="Q761">
            <v>3900</v>
          </cell>
          <cell r="R761">
            <v>3900</v>
          </cell>
          <cell r="S761">
            <v>0</v>
          </cell>
          <cell r="T761">
            <v>0</v>
          </cell>
          <cell r="U761">
            <v>1886</v>
          </cell>
          <cell r="V761">
            <v>0</v>
          </cell>
          <cell r="W761">
            <v>0</v>
          </cell>
          <cell r="X761" t="str">
            <v>monster/10096.png</v>
          </cell>
          <cell r="Y761">
            <v>1</v>
          </cell>
          <cell r="Z761">
            <v>0</v>
          </cell>
          <cell r="AA761">
            <v>50</v>
          </cell>
          <cell r="AB761">
            <v>25</v>
          </cell>
          <cell r="AC761">
            <v>0.4</v>
          </cell>
        </row>
        <row r="762">
          <cell r="A762">
            <v>3070061</v>
          </cell>
          <cell r="B762">
            <v>2001</v>
          </cell>
          <cell r="C762">
            <v>72</v>
          </cell>
          <cell r="D762" t="str">
            <v>迅捷的维恩</v>
          </cell>
          <cell r="E762">
            <v>2380</v>
          </cell>
          <cell r="F762">
            <v>2380</v>
          </cell>
          <cell r="G762">
            <v>14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1158494</v>
          </cell>
          <cell r="M762">
            <v>1420</v>
          </cell>
          <cell r="N762">
            <v>37344</v>
          </cell>
          <cell r="O762">
            <v>44813</v>
          </cell>
          <cell r="P762">
            <v>13500</v>
          </cell>
          <cell r="Q762">
            <v>4050</v>
          </cell>
          <cell r="R762">
            <v>4050</v>
          </cell>
          <cell r="S762">
            <v>0</v>
          </cell>
          <cell r="T762">
            <v>0</v>
          </cell>
          <cell r="U762">
            <v>984</v>
          </cell>
          <cell r="V762">
            <v>0</v>
          </cell>
          <cell r="W762">
            <v>0</v>
          </cell>
          <cell r="X762" t="str">
            <v>monster/10073.png</v>
          </cell>
          <cell r="Y762">
            <v>1</v>
          </cell>
          <cell r="Z762">
            <v>0</v>
          </cell>
          <cell r="AA762">
            <v>50</v>
          </cell>
          <cell r="AB762">
            <v>25</v>
          </cell>
          <cell r="AC762">
            <v>0.4</v>
          </cell>
        </row>
        <row r="763">
          <cell r="A763">
            <v>3070071</v>
          </cell>
          <cell r="B763">
            <v>2001</v>
          </cell>
          <cell r="C763">
            <v>72</v>
          </cell>
          <cell r="D763" t="str">
            <v>暮光预言者</v>
          </cell>
          <cell r="E763">
            <v>2380</v>
          </cell>
          <cell r="F763">
            <v>2380</v>
          </cell>
          <cell r="G763">
            <v>13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1237059</v>
          </cell>
          <cell r="M763">
            <v>1136</v>
          </cell>
          <cell r="N763">
            <v>28090</v>
          </cell>
          <cell r="O763">
            <v>33708</v>
          </cell>
          <cell r="P763">
            <v>13500</v>
          </cell>
          <cell r="Q763">
            <v>4050</v>
          </cell>
          <cell r="R763">
            <v>4050</v>
          </cell>
          <cell r="S763">
            <v>0</v>
          </cell>
          <cell r="T763">
            <v>0</v>
          </cell>
          <cell r="U763">
            <v>984</v>
          </cell>
          <cell r="V763">
            <v>0</v>
          </cell>
          <cell r="W763">
            <v>0</v>
          </cell>
          <cell r="X763" t="str">
            <v>monster/10080.png</v>
          </cell>
          <cell r="Y763">
            <v>1</v>
          </cell>
          <cell r="Z763">
            <v>0</v>
          </cell>
          <cell r="AA763">
            <v>50</v>
          </cell>
          <cell r="AB763">
            <v>25</v>
          </cell>
          <cell r="AC763">
            <v>0.4</v>
          </cell>
        </row>
        <row r="764">
          <cell r="A764">
            <v>3070081</v>
          </cell>
          <cell r="B764">
            <v>2001</v>
          </cell>
          <cell r="C764">
            <v>73</v>
          </cell>
          <cell r="D764" t="str">
            <v>卡雷</v>
          </cell>
          <cell r="E764">
            <v>2440</v>
          </cell>
          <cell r="F764">
            <v>2440</v>
          </cell>
          <cell r="G764">
            <v>25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1316694</v>
          </cell>
          <cell r="M764">
            <v>42</v>
          </cell>
          <cell r="N764">
            <v>53903</v>
          </cell>
          <cell r="O764">
            <v>64684</v>
          </cell>
          <cell r="P764">
            <v>14000</v>
          </cell>
          <cell r="Q764">
            <v>4200</v>
          </cell>
          <cell r="R764">
            <v>4200</v>
          </cell>
          <cell r="S764">
            <v>0</v>
          </cell>
          <cell r="T764">
            <v>0</v>
          </cell>
          <cell r="U764">
            <v>1993</v>
          </cell>
          <cell r="V764">
            <v>0</v>
          </cell>
          <cell r="W764">
            <v>0</v>
          </cell>
          <cell r="X764" t="str">
            <v>monster/10056.png</v>
          </cell>
          <cell r="Y764">
            <v>1</v>
          </cell>
          <cell r="Z764">
            <v>0</v>
          </cell>
          <cell r="AA764">
            <v>50</v>
          </cell>
          <cell r="AB764">
            <v>25</v>
          </cell>
          <cell r="AC764">
            <v>0.4</v>
          </cell>
        </row>
        <row r="765">
          <cell r="A765">
            <v>3070091</v>
          </cell>
          <cell r="B765">
            <v>2001</v>
          </cell>
          <cell r="C765">
            <v>74</v>
          </cell>
          <cell r="D765" t="str">
            <v>日光弗雷尔</v>
          </cell>
          <cell r="E765">
            <v>2500</v>
          </cell>
          <cell r="F765">
            <v>2500</v>
          </cell>
          <cell r="G765">
            <v>28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1291314</v>
          </cell>
          <cell r="M765">
            <v>1440</v>
          </cell>
          <cell r="N765">
            <v>42717</v>
          </cell>
          <cell r="O765">
            <v>51260</v>
          </cell>
          <cell r="P765">
            <v>14500</v>
          </cell>
          <cell r="Q765">
            <v>4350</v>
          </cell>
          <cell r="R765">
            <v>4350</v>
          </cell>
          <cell r="S765">
            <v>0</v>
          </cell>
          <cell r="T765">
            <v>0</v>
          </cell>
          <cell r="U765">
            <v>2047</v>
          </cell>
          <cell r="V765">
            <v>0</v>
          </cell>
          <cell r="W765">
            <v>0</v>
          </cell>
          <cell r="X765" t="str">
            <v>monster/10010.png</v>
          </cell>
          <cell r="Y765">
            <v>1</v>
          </cell>
          <cell r="Z765">
            <v>0</v>
          </cell>
          <cell r="AA765">
            <v>50</v>
          </cell>
          <cell r="AB765">
            <v>25</v>
          </cell>
          <cell r="AC765">
            <v>0.4</v>
          </cell>
        </row>
        <row r="766">
          <cell r="A766">
            <v>3075011</v>
          </cell>
          <cell r="B766">
            <v>2001</v>
          </cell>
          <cell r="C766">
            <v>75</v>
          </cell>
          <cell r="D766" t="str">
            <v>坚定的格雷格</v>
          </cell>
          <cell r="E766">
            <v>2560</v>
          </cell>
          <cell r="F766">
            <v>2560</v>
          </cell>
          <cell r="G766">
            <v>3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859689</v>
          </cell>
          <cell r="M766">
            <v>870</v>
          </cell>
          <cell r="N766">
            <v>25092</v>
          </cell>
          <cell r="O766">
            <v>30110</v>
          </cell>
          <cell r="P766">
            <v>15000</v>
          </cell>
          <cell r="Q766">
            <v>4500</v>
          </cell>
          <cell r="R766">
            <v>4500</v>
          </cell>
          <cell r="S766">
            <v>0</v>
          </cell>
          <cell r="T766">
            <v>0</v>
          </cell>
          <cell r="U766">
            <v>2103</v>
          </cell>
          <cell r="V766">
            <v>0</v>
          </cell>
          <cell r="W766">
            <v>0</v>
          </cell>
          <cell r="X766" t="str">
            <v>monster/10119.png</v>
          </cell>
          <cell r="Y766">
            <v>1</v>
          </cell>
          <cell r="Z766">
            <v>0</v>
          </cell>
          <cell r="AA766">
            <v>50</v>
          </cell>
          <cell r="AB766">
            <v>25</v>
          </cell>
          <cell r="AC766">
            <v>0.4</v>
          </cell>
        </row>
        <row r="767">
          <cell r="A767">
            <v>3075021</v>
          </cell>
          <cell r="B767">
            <v>2001</v>
          </cell>
          <cell r="C767">
            <v>75</v>
          </cell>
          <cell r="D767" t="str">
            <v>赛琳娜的倒影</v>
          </cell>
          <cell r="E767">
            <v>2560</v>
          </cell>
          <cell r="F767">
            <v>2560</v>
          </cell>
          <cell r="G767" t="str">
            <v>26,24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1163008</v>
          </cell>
          <cell r="M767">
            <v>1450</v>
          </cell>
          <cell r="N767">
            <v>47398</v>
          </cell>
          <cell r="O767">
            <v>56878</v>
          </cell>
          <cell r="P767">
            <v>15000</v>
          </cell>
          <cell r="Q767">
            <v>4500</v>
          </cell>
          <cell r="R767">
            <v>4500</v>
          </cell>
          <cell r="S767">
            <v>0</v>
          </cell>
          <cell r="T767">
            <v>0</v>
          </cell>
          <cell r="U767">
            <v>2103</v>
          </cell>
          <cell r="V767">
            <v>0</v>
          </cell>
          <cell r="W767">
            <v>0</v>
          </cell>
          <cell r="X767" t="str">
            <v>UI/Program/MercenaryMaster_1.png</v>
          </cell>
          <cell r="Y767">
            <v>1</v>
          </cell>
          <cell r="Z767">
            <v>0</v>
          </cell>
          <cell r="AA767">
            <v>50</v>
          </cell>
          <cell r="AB767">
            <v>25</v>
          </cell>
          <cell r="AC767">
            <v>0.4</v>
          </cell>
        </row>
        <row r="768">
          <cell r="A768">
            <v>3075031</v>
          </cell>
          <cell r="B768">
            <v>2001</v>
          </cell>
          <cell r="C768">
            <v>76</v>
          </cell>
          <cell r="D768" t="str">
            <v>幻术师艾莉</v>
          </cell>
          <cell r="E768">
            <v>2620</v>
          </cell>
          <cell r="F768">
            <v>2620</v>
          </cell>
          <cell r="G768">
            <v>20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970511</v>
          </cell>
          <cell r="M768">
            <v>2336</v>
          </cell>
          <cell r="N768">
            <v>53944</v>
          </cell>
          <cell r="O768">
            <v>64733</v>
          </cell>
          <cell r="P768">
            <v>15500</v>
          </cell>
          <cell r="Q768">
            <v>4650</v>
          </cell>
          <cell r="R768">
            <v>4650</v>
          </cell>
          <cell r="S768">
            <v>0</v>
          </cell>
          <cell r="T768">
            <v>0</v>
          </cell>
          <cell r="U768">
            <v>1096</v>
          </cell>
          <cell r="V768">
            <v>0</v>
          </cell>
          <cell r="W768">
            <v>0</v>
          </cell>
          <cell r="X768" t="str">
            <v>monster/10111.png</v>
          </cell>
          <cell r="Y768">
            <v>1</v>
          </cell>
          <cell r="Z768">
            <v>0</v>
          </cell>
          <cell r="AA768">
            <v>50</v>
          </cell>
          <cell r="AB768">
            <v>25</v>
          </cell>
          <cell r="AC768">
            <v>0.4</v>
          </cell>
        </row>
        <row r="769">
          <cell r="A769">
            <v>3075041</v>
          </cell>
          <cell r="B769">
            <v>2001</v>
          </cell>
          <cell r="C769">
            <v>76</v>
          </cell>
          <cell r="D769" t="str">
            <v>驯兽师瓦纳</v>
          </cell>
          <cell r="E769">
            <v>2620</v>
          </cell>
          <cell r="F769">
            <v>2620</v>
          </cell>
          <cell r="G769">
            <v>2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826487</v>
          </cell>
          <cell r="M769">
            <v>1168</v>
          </cell>
          <cell r="N769">
            <v>29020</v>
          </cell>
          <cell r="O769">
            <v>34824</v>
          </cell>
          <cell r="P769">
            <v>15500</v>
          </cell>
          <cell r="Q769">
            <v>4650</v>
          </cell>
          <cell r="R769">
            <v>4650</v>
          </cell>
          <cell r="S769">
            <v>0</v>
          </cell>
          <cell r="T769">
            <v>0</v>
          </cell>
          <cell r="U769">
            <v>2159</v>
          </cell>
          <cell r="V769">
            <v>0</v>
          </cell>
          <cell r="W769">
            <v>0</v>
          </cell>
          <cell r="X769" t="str">
            <v>monster/10094.png</v>
          </cell>
          <cell r="Y769">
            <v>1</v>
          </cell>
          <cell r="Z769">
            <v>0</v>
          </cell>
          <cell r="AA769">
            <v>50</v>
          </cell>
          <cell r="AB769">
            <v>25</v>
          </cell>
          <cell r="AC769">
            <v>0.4</v>
          </cell>
        </row>
        <row r="770">
          <cell r="A770">
            <v>3075042</v>
          </cell>
          <cell r="B770">
            <v>2001</v>
          </cell>
          <cell r="C770">
            <v>76</v>
          </cell>
          <cell r="D770" t="str">
            <v>多兰</v>
          </cell>
          <cell r="E770">
            <v>2620</v>
          </cell>
          <cell r="F770">
            <v>2620</v>
          </cell>
          <cell r="G770">
            <v>9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385694</v>
          </cell>
          <cell r="M770">
            <v>1460</v>
          </cell>
          <cell r="N770">
            <v>16928</v>
          </cell>
          <cell r="O770">
            <v>20314</v>
          </cell>
          <cell r="P770">
            <v>15500</v>
          </cell>
          <cell r="Q770">
            <v>4650</v>
          </cell>
          <cell r="R770">
            <v>4650</v>
          </cell>
          <cell r="S770">
            <v>0</v>
          </cell>
          <cell r="T770">
            <v>0</v>
          </cell>
          <cell r="U770">
            <v>2159</v>
          </cell>
          <cell r="V770">
            <v>0</v>
          </cell>
          <cell r="W770">
            <v>0</v>
          </cell>
          <cell r="X770" t="str">
            <v>monster/10061.png</v>
          </cell>
          <cell r="Y770">
            <v>1</v>
          </cell>
          <cell r="Z770">
            <v>0</v>
          </cell>
          <cell r="AA770">
            <v>50</v>
          </cell>
          <cell r="AB770">
            <v>25</v>
          </cell>
          <cell r="AC770">
            <v>0.4</v>
          </cell>
        </row>
        <row r="771">
          <cell r="A771">
            <v>3075043</v>
          </cell>
          <cell r="B771">
            <v>2001</v>
          </cell>
          <cell r="C771">
            <v>76</v>
          </cell>
          <cell r="D771" t="str">
            <v>约翰</v>
          </cell>
          <cell r="E771">
            <v>2620</v>
          </cell>
          <cell r="F771">
            <v>2620</v>
          </cell>
          <cell r="G771">
            <v>10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385694</v>
          </cell>
          <cell r="M771">
            <v>1460</v>
          </cell>
          <cell r="N771">
            <v>16928</v>
          </cell>
          <cell r="O771">
            <v>20314</v>
          </cell>
          <cell r="P771">
            <v>15500</v>
          </cell>
          <cell r="Q771">
            <v>4650</v>
          </cell>
          <cell r="R771">
            <v>4650</v>
          </cell>
          <cell r="S771">
            <v>0</v>
          </cell>
          <cell r="T771">
            <v>0</v>
          </cell>
          <cell r="U771">
            <v>2159</v>
          </cell>
          <cell r="V771">
            <v>0</v>
          </cell>
          <cell r="W771">
            <v>0</v>
          </cell>
          <cell r="X771" t="str">
            <v>monster/10067.png</v>
          </cell>
          <cell r="Y771">
            <v>1</v>
          </cell>
          <cell r="Z771">
            <v>0</v>
          </cell>
          <cell r="AA771">
            <v>50</v>
          </cell>
          <cell r="AB771">
            <v>25</v>
          </cell>
          <cell r="AC771">
            <v>0.4</v>
          </cell>
        </row>
        <row r="772">
          <cell r="A772">
            <v>3075051</v>
          </cell>
          <cell r="B772">
            <v>2001</v>
          </cell>
          <cell r="C772">
            <v>76</v>
          </cell>
          <cell r="D772" t="str">
            <v>炎之安苏</v>
          </cell>
          <cell r="E772">
            <v>2620</v>
          </cell>
          <cell r="F772">
            <v>2620</v>
          </cell>
          <cell r="G772">
            <v>21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1393008</v>
          </cell>
          <cell r="M772">
            <v>1460</v>
          </cell>
          <cell r="N772">
            <v>52039</v>
          </cell>
          <cell r="O772">
            <v>62447</v>
          </cell>
          <cell r="P772">
            <v>15500</v>
          </cell>
          <cell r="Q772">
            <v>4650</v>
          </cell>
          <cell r="R772">
            <v>4650</v>
          </cell>
          <cell r="S772">
            <v>0</v>
          </cell>
          <cell r="T772">
            <v>0</v>
          </cell>
          <cell r="U772">
            <v>2159</v>
          </cell>
          <cell r="V772">
            <v>0</v>
          </cell>
          <cell r="W772">
            <v>0</v>
          </cell>
          <cell r="X772" t="str">
            <v>monster/10096.png</v>
          </cell>
          <cell r="Y772">
            <v>1</v>
          </cell>
          <cell r="Z772">
            <v>0</v>
          </cell>
          <cell r="AA772">
            <v>50</v>
          </cell>
          <cell r="AB772">
            <v>25</v>
          </cell>
          <cell r="AC772">
            <v>0.4</v>
          </cell>
        </row>
        <row r="773">
          <cell r="A773">
            <v>3075061</v>
          </cell>
          <cell r="B773">
            <v>2001</v>
          </cell>
          <cell r="C773">
            <v>77</v>
          </cell>
          <cell r="D773" t="str">
            <v>迅捷的维恩</v>
          </cell>
          <cell r="E773">
            <v>2680</v>
          </cell>
          <cell r="F773">
            <v>2680</v>
          </cell>
          <cell r="G773">
            <v>14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1597957</v>
          </cell>
          <cell r="M773">
            <v>1470</v>
          </cell>
          <cell r="N773">
            <v>57374</v>
          </cell>
          <cell r="O773">
            <v>68849</v>
          </cell>
          <cell r="P773">
            <v>16000</v>
          </cell>
          <cell r="Q773">
            <v>4800</v>
          </cell>
          <cell r="R773">
            <v>4800</v>
          </cell>
          <cell r="S773">
            <v>0</v>
          </cell>
          <cell r="T773">
            <v>0</v>
          </cell>
          <cell r="U773">
            <v>1125</v>
          </cell>
          <cell r="V773">
            <v>0</v>
          </cell>
          <cell r="W773">
            <v>0</v>
          </cell>
          <cell r="X773" t="str">
            <v>monster/10073.png</v>
          </cell>
          <cell r="Y773">
            <v>1</v>
          </cell>
          <cell r="Z773">
            <v>0</v>
          </cell>
          <cell r="AA773">
            <v>50</v>
          </cell>
          <cell r="AB773">
            <v>25</v>
          </cell>
          <cell r="AC773">
            <v>0.4</v>
          </cell>
        </row>
        <row r="774">
          <cell r="A774">
            <v>3075071</v>
          </cell>
          <cell r="B774">
            <v>2001</v>
          </cell>
          <cell r="C774">
            <v>77</v>
          </cell>
          <cell r="D774" t="str">
            <v>暮光预言者</v>
          </cell>
          <cell r="E774">
            <v>2680</v>
          </cell>
          <cell r="F774">
            <v>2680</v>
          </cell>
          <cell r="G774">
            <v>13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1708906</v>
          </cell>
          <cell r="M774">
            <v>1176</v>
          </cell>
          <cell r="N774">
            <v>43336</v>
          </cell>
          <cell r="O774">
            <v>52003</v>
          </cell>
          <cell r="P774">
            <v>16000</v>
          </cell>
          <cell r="Q774">
            <v>4800</v>
          </cell>
          <cell r="R774">
            <v>4800</v>
          </cell>
          <cell r="S774">
            <v>0</v>
          </cell>
          <cell r="T774">
            <v>0</v>
          </cell>
          <cell r="U774">
            <v>1125</v>
          </cell>
          <cell r="V774">
            <v>0</v>
          </cell>
          <cell r="W774">
            <v>0</v>
          </cell>
          <cell r="X774" t="str">
            <v>monster/10080.png</v>
          </cell>
          <cell r="Y774">
            <v>1</v>
          </cell>
          <cell r="Z774">
            <v>0</v>
          </cell>
          <cell r="AA774">
            <v>50</v>
          </cell>
          <cell r="AB774">
            <v>25</v>
          </cell>
          <cell r="AC774">
            <v>0.4</v>
          </cell>
        </row>
        <row r="775">
          <cell r="A775">
            <v>3075081</v>
          </cell>
          <cell r="B775">
            <v>2001</v>
          </cell>
          <cell r="C775">
            <v>78</v>
          </cell>
          <cell r="D775" t="str">
            <v>卡雷</v>
          </cell>
          <cell r="E775">
            <v>2740</v>
          </cell>
          <cell r="F775">
            <v>2740</v>
          </cell>
          <cell r="G775">
            <v>25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1834513</v>
          </cell>
          <cell r="M775">
            <v>42</v>
          </cell>
          <cell r="N775">
            <v>83504</v>
          </cell>
          <cell r="O775">
            <v>100205</v>
          </cell>
          <cell r="P775">
            <v>16500</v>
          </cell>
          <cell r="Q775">
            <v>4950</v>
          </cell>
          <cell r="R775">
            <v>4950</v>
          </cell>
          <cell r="S775">
            <v>0</v>
          </cell>
          <cell r="T775">
            <v>0</v>
          </cell>
          <cell r="U775">
            <v>2273</v>
          </cell>
          <cell r="V775">
            <v>0</v>
          </cell>
          <cell r="W775">
            <v>0</v>
          </cell>
          <cell r="X775" t="str">
            <v>monster/10056.png</v>
          </cell>
          <cell r="Y775">
            <v>1</v>
          </cell>
          <cell r="Z775">
            <v>0</v>
          </cell>
          <cell r="AA775">
            <v>50</v>
          </cell>
          <cell r="AB775">
            <v>25</v>
          </cell>
          <cell r="AC775">
            <v>0.4</v>
          </cell>
        </row>
        <row r="776">
          <cell r="A776">
            <v>3075091</v>
          </cell>
          <cell r="B776">
            <v>2001</v>
          </cell>
          <cell r="C776">
            <v>79</v>
          </cell>
          <cell r="D776" t="str">
            <v>日光弗雷尔</v>
          </cell>
          <cell r="E776">
            <v>2800</v>
          </cell>
          <cell r="F776">
            <v>2800</v>
          </cell>
          <cell r="G776">
            <v>28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1814434</v>
          </cell>
          <cell r="M776">
            <v>1490</v>
          </cell>
          <cell r="N776">
            <v>66542</v>
          </cell>
          <cell r="O776">
            <v>79850</v>
          </cell>
          <cell r="P776">
            <v>17000</v>
          </cell>
          <cell r="Q776">
            <v>5100</v>
          </cell>
          <cell r="R776">
            <v>5100</v>
          </cell>
          <cell r="S776">
            <v>0</v>
          </cell>
          <cell r="T776">
            <v>0</v>
          </cell>
          <cell r="U776">
            <v>2332</v>
          </cell>
          <cell r="V776">
            <v>0</v>
          </cell>
          <cell r="W776">
            <v>0</v>
          </cell>
          <cell r="X776" t="str">
            <v>monster/10010.png</v>
          </cell>
          <cell r="Y776">
            <v>1</v>
          </cell>
          <cell r="Z776">
            <v>0</v>
          </cell>
          <cell r="AA776">
            <v>50</v>
          </cell>
          <cell r="AB776">
            <v>25</v>
          </cell>
          <cell r="AC776">
            <v>0.4</v>
          </cell>
        </row>
        <row r="777">
          <cell r="A777">
            <v>3080011</v>
          </cell>
          <cell r="B777">
            <v>2001</v>
          </cell>
          <cell r="C777">
            <v>80</v>
          </cell>
          <cell r="D777" t="str">
            <v>坚定的格雷格</v>
          </cell>
          <cell r="E777">
            <v>3000</v>
          </cell>
          <cell r="F777">
            <v>3000</v>
          </cell>
          <cell r="G777">
            <v>3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1162987</v>
          </cell>
          <cell r="M777">
            <v>900</v>
          </cell>
          <cell r="N777">
            <v>35575</v>
          </cell>
          <cell r="O777">
            <v>42690</v>
          </cell>
          <cell r="P777">
            <v>17500</v>
          </cell>
          <cell r="Q777">
            <v>5250</v>
          </cell>
          <cell r="R777">
            <v>5250</v>
          </cell>
          <cell r="S777">
            <v>0</v>
          </cell>
          <cell r="T777">
            <v>0</v>
          </cell>
          <cell r="U777">
            <v>2390</v>
          </cell>
          <cell r="V777">
            <v>0</v>
          </cell>
          <cell r="W777">
            <v>0</v>
          </cell>
          <cell r="X777" t="str">
            <v>monster/10119.png</v>
          </cell>
          <cell r="Y777">
            <v>1</v>
          </cell>
          <cell r="Z777">
            <v>0</v>
          </cell>
          <cell r="AA777">
            <v>50</v>
          </cell>
          <cell r="AB777">
            <v>25</v>
          </cell>
          <cell r="AC777">
            <v>0.4</v>
          </cell>
        </row>
        <row r="778">
          <cell r="A778">
            <v>3080021</v>
          </cell>
          <cell r="B778">
            <v>2001</v>
          </cell>
          <cell r="C778">
            <v>80</v>
          </cell>
          <cell r="D778" t="str">
            <v>赛琳娜的倒影</v>
          </cell>
          <cell r="E778">
            <v>3000</v>
          </cell>
          <cell r="F778">
            <v>3000</v>
          </cell>
          <cell r="G778" t="str">
            <v>26,24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1574957</v>
          </cell>
          <cell r="M778">
            <v>1500</v>
          </cell>
          <cell r="N778">
            <v>67750</v>
          </cell>
          <cell r="O778">
            <v>81300</v>
          </cell>
          <cell r="P778">
            <v>17500</v>
          </cell>
          <cell r="Q778">
            <v>5250</v>
          </cell>
          <cell r="R778">
            <v>5250</v>
          </cell>
          <cell r="S778">
            <v>0</v>
          </cell>
          <cell r="T778">
            <v>0</v>
          </cell>
          <cell r="U778">
            <v>2390</v>
          </cell>
          <cell r="V778">
            <v>0</v>
          </cell>
          <cell r="W778">
            <v>0</v>
          </cell>
          <cell r="X778" t="str">
            <v>UI/Program/MercenaryMaster_1.png</v>
          </cell>
          <cell r="Y778">
            <v>1</v>
          </cell>
          <cell r="Z778">
            <v>0</v>
          </cell>
          <cell r="AA778">
            <v>50</v>
          </cell>
          <cell r="AB778">
            <v>25</v>
          </cell>
          <cell r="AC778">
            <v>0.4</v>
          </cell>
        </row>
        <row r="779">
          <cell r="A779">
            <v>3080031</v>
          </cell>
          <cell r="B779">
            <v>2001</v>
          </cell>
          <cell r="C779">
            <v>81</v>
          </cell>
          <cell r="D779" t="str">
            <v>幻术师艾莉</v>
          </cell>
          <cell r="E779">
            <v>3200</v>
          </cell>
          <cell r="F779">
            <v>3200</v>
          </cell>
          <cell r="G779">
            <v>20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1323083</v>
          </cell>
          <cell r="M779">
            <v>2416</v>
          </cell>
          <cell r="N779">
            <v>77951</v>
          </cell>
          <cell r="O779">
            <v>93541</v>
          </cell>
          <cell r="P779">
            <v>18000</v>
          </cell>
          <cell r="Q779">
            <v>5400</v>
          </cell>
          <cell r="R779">
            <v>5400</v>
          </cell>
          <cell r="S779">
            <v>0</v>
          </cell>
          <cell r="T779">
            <v>0</v>
          </cell>
          <cell r="U779">
            <v>1244</v>
          </cell>
          <cell r="V779">
            <v>0</v>
          </cell>
          <cell r="W779">
            <v>0</v>
          </cell>
          <cell r="X779" t="str">
            <v>monster/10111.png</v>
          </cell>
          <cell r="Y779">
            <v>1</v>
          </cell>
          <cell r="Z779">
            <v>0</v>
          </cell>
          <cell r="AA779">
            <v>50</v>
          </cell>
          <cell r="AB779">
            <v>25</v>
          </cell>
          <cell r="AC779">
            <v>0.4</v>
          </cell>
        </row>
        <row r="780">
          <cell r="A780">
            <v>3080041</v>
          </cell>
          <cell r="B780">
            <v>2001</v>
          </cell>
          <cell r="C780">
            <v>81</v>
          </cell>
          <cell r="D780" t="str">
            <v>驯兽师瓦纳</v>
          </cell>
          <cell r="E780">
            <v>3200</v>
          </cell>
          <cell r="F780">
            <v>3200</v>
          </cell>
          <cell r="G780">
            <v>2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1127469</v>
          </cell>
          <cell r="M780">
            <v>1208</v>
          </cell>
          <cell r="N780">
            <v>42126</v>
          </cell>
          <cell r="O780">
            <v>50551</v>
          </cell>
          <cell r="P780">
            <v>18000</v>
          </cell>
          <cell r="Q780">
            <v>5400</v>
          </cell>
          <cell r="R780">
            <v>5400</v>
          </cell>
          <cell r="S780">
            <v>0</v>
          </cell>
          <cell r="T780">
            <v>0</v>
          </cell>
          <cell r="U780">
            <v>2450</v>
          </cell>
          <cell r="V780">
            <v>0</v>
          </cell>
          <cell r="W780">
            <v>0</v>
          </cell>
          <cell r="X780" t="str">
            <v>monster/10094.png</v>
          </cell>
          <cell r="Y780">
            <v>1</v>
          </cell>
          <cell r="Z780">
            <v>0</v>
          </cell>
          <cell r="AA780">
            <v>50</v>
          </cell>
          <cell r="AB780">
            <v>25</v>
          </cell>
          <cell r="AC780">
            <v>0.4</v>
          </cell>
        </row>
        <row r="781">
          <cell r="A781">
            <v>3080042</v>
          </cell>
          <cell r="B781">
            <v>2001</v>
          </cell>
          <cell r="C781">
            <v>81</v>
          </cell>
          <cell r="D781" t="str">
            <v>多兰</v>
          </cell>
          <cell r="E781">
            <v>3200</v>
          </cell>
          <cell r="F781">
            <v>3200</v>
          </cell>
          <cell r="G781">
            <v>9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526152</v>
          </cell>
          <cell r="M781">
            <v>1510</v>
          </cell>
          <cell r="N781">
            <v>24574</v>
          </cell>
          <cell r="O781">
            <v>29489</v>
          </cell>
          <cell r="P781">
            <v>18000</v>
          </cell>
          <cell r="Q781">
            <v>5400</v>
          </cell>
          <cell r="R781">
            <v>5400</v>
          </cell>
          <cell r="S781">
            <v>0</v>
          </cell>
          <cell r="T781">
            <v>0</v>
          </cell>
          <cell r="U781">
            <v>2450</v>
          </cell>
          <cell r="V781">
            <v>0</v>
          </cell>
          <cell r="W781">
            <v>0</v>
          </cell>
          <cell r="X781" t="str">
            <v>monster/10061.png</v>
          </cell>
          <cell r="Y781">
            <v>1</v>
          </cell>
          <cell r="Z781">
            <v>0</v>
          </cell>
          <cell r="AA781">
            <v>50</v>
          </cell>
          <cell r="AB781">
            <v>25</v>
          </cell>
          <cell r="AC781">
            <v>0.4</v>
          </cell>
        </row>
        <row r="782">
          <cell r="A782">
            <v>3080043</v>
          </cell>
          <cell r="B782">
            <v>2001</v>
          </cell>
          <cell r="C782">
            <v>81</v>
          </cell>
          <cell r="D782" t="str">
            <v>约翰</v>
          </cell>
          <cell r="E782">
            <v>3200</v>
          </cell>
          <cell r="F782">
            <v>3200</v>
          </cell>
          <cell r="G782">
            <v>10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526152</v>
          </cell>
          <cell r="M782">
            <v>1510</v>
          </cell>
          <cell r="N782">
            <v>24574</v>
          </cell>
          <cell r="O782">
            <v>29489</v>
          </cell>
          <cell r="P782">
            <v>18000</v>
          </cell>
          <cell r="Q782">
            <v>5400</v>
          </cell>
          <cell r="R782">
            <v>5400</v>
          </cell>
          <cell r="S782">
            <v>0</v>
          </cell>
          <cell r="T782">
            <v>0</v>
          </cell>
          <cell r="U782">
            <v>2450</v>
          </cell>
          <cell r="V782">
            <v>0</v>
          </cell>
          <cell r="W782">
            <v>0</v>
          </cell>
          <cell r="X782" t="str">
            <v>monster/10067.png</v>
          </cell>
          <cell r="Y782">
            <v>1</v>
          </cell>
          <cell r="Z782">
            <v>0</v>
          </cell>
          <cell r="AA782">
            <v>50</v>
          </cell>
          <cell r="AB782">
            <v>25</v>
          </cell>
          <cell r="AC782">
            <v>0.4</v>
          </cell>
        </row>
        <row r="783">
          <cell r="A783">
            <v>3080051</v>
          </cell>
          <cell r="B783">
            <v>2001</v>
          </cell>
          <cell r="C783">
            <v>81</v>
          </cell>
          <cell r="D783" t="str">
            <v>炎之安苏</v>
          </cell>
          <cell r="E783">
            <v>3200</v>
          </cell>
          <cell r="F783">
            <v>3200</v>
          </cell>
          <cell r="G783">
            <v>21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1901534</v>
          </cell>
          <cell r="M783">
            <v>1510</v>
          </cell>
          <cell r="N783">
            <v>75886</v>
          </cell>
          <cell r="O783">
            <v>91063</v>
          </cell>
          <cell r="P783">
            <v>18000</v>
          </cell>
          <cell r="Q783">
            <v>5400</v>
          </cell>
          <cell r="R783">
            <v>5400</v>
          </cell>
          <cell r="S783">
            <v>0</v>
          </cell>
          <cell r="T783">
            <v>0</v>
          </cell>
          <cell r="U783">
            <v>2450</v>
          </cell>
          <cell r="V783">
            <v>0</v>
          </cell>
          <cell r="W783">
            <v>0</v>
          </cell>
          <cell r="X783" t="str">
            <v>monster/10096.png</v>
          </cell>
          <cell r="Y783">
            <v>1</v>
          </cell>
          <cell r="Z783">
            <v>0</v>
          </cell>
          <cell r="AA783">
            <v>50</v>
          </cell>
          <cell r="AB783">
            <v>25</v>
          </cell>
          <cell r="AC783">
            <v>0.4</v>
          </cell>
        </row>
        <row r="784">
          <cell r="A784">
            <v>3080061</v>
          </cell>
          <cell r="B784">
            <v>2001</v>
          </cell>
          <cell r="C784">
            <v>82</v>
          </cell>
          <cell r="D784" t="str">
            <v>迅捷的维恩</v>
          </cell>
          <cell r="E784">
            <v>3400</v>
          </cell>
          <cell r="F784">
            <v>3400</v>
          </cell>
          <cell r="G784">
            <v>14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2193545</v>
          </cell>
          <cell r="M784">
            <v>1520</v>
          </cell>
          <cell r="N784">
            <v>84172</v>
          </cell>
          <cell r="O784">
            <v>101006</v>
          </cell>
          <cell r="P784">
            <v>18500</v>
          </cell>
          <cell r="Q784">
            <v>5550</v>
          </cell>
          <cell r="R784">
            <v>5550</v>
          </cell>
          <cell r="S784">
            <v>0</v>
          </cell>
          <cell r="T784">
            <v>0</v>
          </cell>
          <cell r="U784">
            <v>1274</v>
          </cell>
          <cell r="V784">
            <v>0</v>
          </cell>
          <cell r="W784">
            <v>0</v>
          </cell>
          <cell r="X784" t="str">
            <v>monster/10073.png</v>
          </cell>
          <cell r="Y784">
            <v>1</v>
          </cell>
          <cell r="Z784">
            <v>0</v>
          </cell>
          <cell r="AA784">
            <v>50</v>
          </cell>
          <cell r="AB784">
            <v>25</v>
          </cell>
          <cell r="AC784">
            <v>0.4</v>
          </cell>
        </row>
        <row r="785">
          <cell r="A785">
            <v>3080071</v>
          </cell>
          <cell r="B785">
            <v>2001</v>
          </cell>
          <cell r="C785">
            <v>82</v>
          </cell>
          <cell r="D785" t="str">
            <v>暮光预言者</v>
          </cell>
          <cell r="E785">
            <v>3400</v>
          </cell>
          <cell r="F785">
            <v>3400</v>
          </cell>
          <cell r="G785">
            <v>13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2347162</v>
          </cell>
          <cell r="M785">
            <v>1216</v>
          </cell>
          <cell r="N785">
            <v>63810</v>
          </cell>
          <cell r="O785">
            <v>76572</v>
          </cell>
          <cell r="P785">
            <v>18500</v>
          </cell>
          <cell r="Q785">
            <v>5550</v>
          </cell>
          <cell r="R785">
            <v>5550</v>
          </cell>
          <cell r="S785">
            <v>0</v>
          </cell>
          <cell r="T785">
            <v>0</v>
          </cell>
          <cell r="U785">
            <v>1274</v>
          </cell>
          <cell r="V785">
            <v>0</v>
          </cell>
          <cell r="W785">
            <v>0</v>
          </cell>
          <cell r="X785" t="str">
            <v>monster/10080.png</v>
          </cell>
          <cell r="Y785">
            <v>1</v>
          </cell>
          <cell r="Z785">
            <v>0</v>
          </cell>
          <cell r="AA785">
            <v>50</v>
          </cell>
          <cell r="AB785">
            <v>25</v>
          </cell>
          <cell r="AC785">
            <v>0.4</v>
          </cell>
        </row>
        <row r="786">
          <cell r="A786">
            <v>3080081</v>
          </cell>
          <cell r="B786">
            <v>2001</v>
          </cell>
          <cell r="C786">
            <v>83</v>
          </cell>
          <cell r="D786" t="str">
            <v>卡雷</v>
          </cell>
          <cell r="E786">
            <v>3600</v>
          </cell>
          <cell r="F786">
            <v>3600</v>
          </cell>
          <cell r="G786">
            <v>25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2531701</v>
          </cell>
          <cell r="M786">
            <v>42</v>
          </cell>
          <cell r="N786">
            <v>123401</v>
          </cell>
          <cell r="O786">
            <v>148081</v>
          </cell>
          <cell r="P786">
            <v>19000</v>
          </cell>
          <cell r="Q786">
            <v>5700</v>
          </cell>
          <cell r="R786">
            <v>5700</v>
          </cell>
          <cell r="S786">
            <v>0</v>
          </cell>
          <cell r="T786">
            <v>0</v>
          </cell>
          <cell r="U786">
            <v>2572</v>
          </cell>
          <cell r="V786">
            <v>0</v>
          </cell>
          <cell r="W786">
            <v>0</v>
          </cell>
          <cell r="X786" t="str">
            <v>monster/10056.png</v>
          </cell>
          <cell r="Y786">
            <v>1</v>
          </cell>
          <cell r="Z786">
            <v>0</v>
          </cell>
          <cell r="AA786">
            <v>50</v>
          </cell>
          <cell r="AB786">
            <v>25</v>
          </cell>
          <cell r="AC786">
            <v>0.4</v>
          </cell>
        </row>
        <row r="787">
          <cell r="A787">
            <v>3080091</v>
          </cell>
          <cell r="B787">
            <v>2001</v>
          </cell>
          <cell r="C787">
            <v>84</v>
          </cell>
          <cell r="D787" t="str">
            <v>日光弗雷尔</v>
          </cell>
          <cell r="E787">
            <v>3800</v>
          </cell>
          <cell r="F787">
            <v>3800</v>
          </cell>
          <cell r="G787">
            <v>28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2515133</v>
          </cell>
          <cell r="M787">
            <v>1540</v>
          </cell>
          <cell r="N787">
            <v>98812</v>
          </cell>
          <cell r="O787">
            <v>118574</v>
          </cell>
          <cell r="P787">
            <v>19500</v>
          </cell>
          <cell r="Q787">
            <v>5850</v>
          </cell>
          <cell r="R787">
            <v>5850</v>
          </cell>
          <cell r="S787">
            <v>0</v>
          </cell>
          <cell r="T787">
            <v>0</v>
          </cell>
          <cell r="U787">
            <v>2634</v>
          </cell>
          <cell r="V787">
            <v>0</v>
          </cell>
          <cell r="W787">
            <v>0</v>
          </cell>
          <cell r="X787" t="str">
            <v>monster/10010.png</v>
          </cell>
          <cell r="Y787">
            <v>1</v>
          </cell>
          <cell r="Z787">
            <v>0</v>
          </cell>
          <cell r="AA787">
            <v>50</v>
          </cell>
          <cell r="AB787">
            <v>25</v>
          </cell>
          <cell r="AC787">
            <v>0.4</v>
          </cell>
        </row>
        <row r="788">
          <cell r="A788">
            <v>3085011</v>
          </cell>
          <cell r="B788">
            <v>2001</v>
          </cell>
          <cell r="C788">
            <v>85</v>
          </cell>
          <cell r="D788" t="str">
            <v>影子武士</v>
          </cell>
          <cell r="E788">
            <v>4000</v>
          </cell>
          <cell r="F788">
            <v>4000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1977053</v>
          </cell>
          <cell r="M788">
            <v>1550</v>
          </cell>
          <cell r="N788">
            <v>106005</v>
          </cell>
          <cell r="O788">
            <v>127206</v>
          </cell>
          <cell r="P788">
            <v>20000</v>
          </cell>
          <cell r="Q788">
            <v>6000</v>
          </cell>
          <cell r="R788">
            <v>6000</v>
          </cell>
          <cell r="S788">
            <v>0</v>
          </cell>
          <cell r="T788">
            <v>0</v>
          </cell>
          <cell r="U788">
            <v>5475</v>
          </cell>
          <cell r="V788">
            <v>0</v>
          </cell>
          <cell r="W788">
            <v>0</v>
          </cell>
          <cell r="X788" t="str">
            <v>monster/10114.png</v>
          </cell>
          <cell r="Y788">
            <v>1</v>
          </cell>
          <cell r="Z788">
            <v>0</v>
          </cell>
          <cell r="AA788">
            <v>50</v>
          </cell>
          <cell r="AB788">
            <v>25</v>
          </cell>
          <cell r="AC788">
            <v>0.4</v>
          </cell>
        </row>
        <row r="789">
          <cell r="A789">
            <v>3085021</v>
          </cell>
          <cell r="B789">
            <v>2001</v>
          </cell>
          <cell r="C789">
            <v>85</v>
          </cell>
          <cell r="D789" t="str">
            <v>拨弄的赛亚</v>
          </cell>
          <cell r="E789">
            <v>4000</v>
          </cell>
          <cell r="F789">
            <v>4000</v>
          </cell>
          <cell r="G789" t="str">
            <v>17,18,8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2139349</v>
          </cell>
          <cell r="M789">
            <v>4650</v>
          </cell>
          <cell r="N789">
            <v>142288</v>
          </cell>
          <cell r="O789">
            <v>170746</v>
          </cell>
          <cell r="P789">
            <v>20000</v>
          </cell>
          <cell r="Q789">
            <v>6000</v>
          </cell>
          <cell r="R789">
            <v>6000</v>
          </cell>
          <cell r="S789">
            <v>0</v>
          </cell>
          <cell r="T789">
            <v>0</v>
          </cell>
          <cell r="U789">
            <v>2697</v>
          </cell>
          <cell r="V789">
            <v>0</v>
          </cell>
          <cell r="W789">
            <v>0</v>
          </cell>
          <cell r="X789" t="str">
            <v>monster/10125.png</v>
          </cell>
          <cell r="Y789">
            <v>1</v>
          </cell>
          <cell r="Z789">
            <v>0</v>
          </cell>
          <cell r="AA789">
            <v>50</v>
          </cell>
          <cell r="AB789">
            <v>25</v>
          </cell>
          <cell r="AC789">
            <v>0.4</v>
          </cell>
        </row>
        <row r="790">
          <cell r="A790">
            <v>3085031</v>
          </cell>
          <cell r="B790">
            <v>2001</v>
          </cell>
          <cell r="C790">
            <v>86</v>
          </cell>
          <cell r="D790" t="str">
            <v>法力风暴</v>
          </cell>
          <cell r="E790">
            <v>4200</v>
          </cell>
          <cell r="F790">
            <v>4200</v>
          </cell>
          <cell r="G790" t="str">
            <v>25,30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1594929</v>
          </cell>
          <cell r="M790">
            <v>159493</v>
          </cell>
          <cell r="N790">
            <v>206515</v>
          </cell>
          <cell r="O790">
            <v>247818</v>
          </cell>
          <cell r="P790">
            <v>21000</v>
          </cell>
          <cell r="Q790">
            <v>6400</v>
          </cell>
          <cell r="R790">
            <v>6400</v>
          </cell>
          <cell r="S790">
            <v>0</v>
          </cell>
          <cell r="T790">
            <v>0</v>
          </cell>
          <cell r="U790">
            <v>2760</v>
          </cell>
          <cell r="V790">
            <v>0</v>
          </cell>
          <cell r="W790">
            <v>0</v>
          </cell>
          <cell r="X790" t="str">
            <v>monster/10061.png</v>
          </cell>
          <cell r="Y790">
            <v>1</v>
          </cell>
          <cell r="Z790">
            <v>0</v>
          </cell>
          <cell r="AA790">
            <v>50</v>
          </cell>
          <cell r="AB790">
            <v>25</v>
          </cell>
          <cell r="AC790">
            <v>0.4</v>
          </cell>
        </row>
        <row r="791">
          <cell r="A791">
            <v>3085041</v>
          </cell>
          <cell r="B791">
            <v>2001</v>
          </cell>
          <cell r="C791">
            <v>86</v>
          </cell>
          <cell r="D791" t="str">
            <v>火舞者</v>
          </cell>
          <cell r="E791">
            <v>4200</v>
          </cell>
          <cell r="F791">
            <v>4200</v>
          </cell>
          <cell r="G791">
            <v>29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2371697</v>
          </cell>
          <cell r="M791">
            <v>1560</v>
          </cell>
          <cell r="N791">
            <v>149350</v>
          </cell>
          <cell r="O791">
            <v>179220</v>
          </cell>
          <cell r="P791">
            <v>21000</v>
          </cell>
          <cell r="Q791">
            <v>6400</v>
          </cell>
          <cell r="R791">
            <v>6400</v>
          </cell>
          <cell r="S791">
            <v>0</v>
          </cell>
          <cell r="T791">
            <v>0</v>
          </cell>
          <cell r="U791">
            <v>2760</v>
          </cell>
          <cell r="V791">
            <v>0</v>
          </cell>
          <cell r="W791">
            <v>0</v>
          </cell>
          <cell r="X791" t="str">
            <v>monster/10116.png</v>
          </cell>
          <cell r="Y791">
            <v>1</v>
          </cell>
          <cell r="Z791">
            <v>0</v>
          </cell>
          <cell r="AA791">
            <v>50</v>
          </cell>
          <cell r="AB791">
            <v>25</v>
          </cell>
          <cell r="AC791">
            <v>0.4</v>
          </cell>
        </row>
        <row r="792">
          <cell r="A792">
            <v>3085051</v>
          </cell>
          <cell r="B792">
            <v>2001</v>
          </cell>
          <cell r="C792">
            <v>86</v>
          </cell>
          <cell r="D792" t="str">
            <v>血誓审判者</v>
          </cell>
          <cell r="E792">
            <v>4200</v>
          </cell>
          <cell r="F792">
            <v>4200</v>
          </cell>
          <cell r="G792">
            <v>5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1195780</v>
          </cell>
          <cell r="M792">
            <v>1560</v>
          </cell>
          <cell r="N792">
            <v>45364</v>
          </cell>
          <cell r="O792">
            <v>54437</v>
          </cell>
          <cell r="P792">
            <v>21000</v>
          </cell>
          <cell r="Q792">
            <v>6400</v>
          </cell>
          <cell r="R792">
            <v>6400</v>
          </cell>
          <cell r="S792">
            <v>0</v>
          </cell>
          <cell r="T792">
            <v>0</v>
          </cell>
          <cell r="U792">
            <v>2760</v>
          </cell>
          <cell r="V792">
            <v>0</v>
          </cell>
          <cell r="W792">
            <v>0</v>
          </cell>
          <cell r="X792" t="str">
            <v>monster/10083.png</v>
          </cell>
          <cell r="Y792">
            <v>1</v>
          </cell>
          <cell r="Z792">
            <v>0</v>
          </cell>
          <cell r="AA792">
            <v>50</v>
          </cell>
          <cell r="AB792">
            <v>25</v>
          </cell>
          <cell r="AC792">
            <v>0.4</v>
          </cell>
        </row>
        <row r="793">
          <cell r="A793">
            <v>3085052</v>
          </cell>
          <cell r="B793">
            <v>2001</v>
          </cell>
          <cell r="C793">
            <v>86</v>
          </cell>
          <cell r="D793" t="str">
            <v>血誓预言者</v>
          </cell>
          <cell r="E793">
            <v>4200</v>
          </cell>
          <cell r="F793">
            <v>4200</v>
          </cell>
          <cell r="G793">
            <v>2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1116062</v>
          </cell>
          <cell r="M793">
            <v>1248</v>
          </cell>
          <cell r="N793">
            <v>48604</v>
          </cell>
          <cell r="O793">
            <v>58325</v>
          </cell>
          <cell r="P793">
            <v>21000</v>
          </cell>
          <cell r="Q793">
            <v>6400</v>
          </cell>
          <cell r="R793">
            <v>6400</v>
          </cell>
          <cell r="S793">
            <v>0</v>
          </cell>
          <cell r="T793">
            <v>0</v>
          </cell>
          <cell r="U793">
            <v>2760</v>
          </cell>
          <cell r="V793">
            <v>0</v>
          </cell>
          <cell r="W793">
            <v>0</v>
          </cell>
          <cell r="X793" t="str">
            <v>monster/10082.png</v>
          </cell>
          <cell r="Y793">
            <v>1</v>
          </cell>
          <cell r="Z793">
            <v>0</v>
          </cell>
          <cell r="AA793">
            <v>50</v>
          </cell>
          <cell r="AB793">
            <v>25</v>
          </cell>
          <cell r="AC793">
            <v>0.4</v>
          </cell>
        </row>
        <row r="794">
          <cell r="A794">
            <v>3085053</v>
          </cell>
          <cell r="B794">
            <v>2001</v>
          </cell>
          <cell r="C794">
            <v>86</v>
          </cell>
          <cell r="D794" t="str">
            <v>血誓召唤者</v>
          </cell>
          <cell r="E794">
            <v>4200</v>
          </cell>
          <cell r="F794">
            <v>4200</v>
          </cell>
          <cell r="G794">
            <v>26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1169207</v>
          </cell>
          <cell r="M794">
            <v>1560</v>
          </cell>
          <cell r="N794">
            <v>58325</v>
          </cell>
          <cell r="O794">
            <v>69990</v>
          </cell>
          <cell r="P794">
            <v>21000</v>
          </cell>
          <cell r="Q794">
            <v>6400</v>
          </cell>
          <cell r="R794">
            <v>6400</v>
          </cell>
          <cell r="S794">
            <v>0</v>
          </cell>
          <cell r="T794">
            <v>0</v>
          </cell>
          <cell r="U794">
            <v>2760</v>
          </cell>
          <cell r="V794">
            <v>0</v>
          </cell>
          <cell r="W794">
            <v>0</v>
          </cell>
          <cell r="X794" t="str">
            <v>monster/10081.png</v>
          </cell>
          <cell r="Y794">
            <v>1</v>
          </cell>
          <cell r="Z794">
            <v>0</v>
          </cell>
          <cell r="AA794">
            <v>50</v>
          </cell>
          <cell r="AB794">
            <v>25</v>
          </cell>
          <cell r="AC794">
            <v>0.4</v>
          </cell>
        </row>
        <row r="795">
          <cell r="A795">
            <v>3085054</v>
          </cell>
          <cell r="B795">
            <v>2001</v>
          </cell>
          <cell r="C795">
            <v>86</v>
          </cell>
          <cell r="D795" t="str">
            <v>血誓领主</v>
          </cell>
          <cell r="E795">
            <v>4200</v>
          </cell>
          <cell r="F795">
            <v>4200</v>
          </cell>
          <cell r="G795">
            <v>14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1142635</v>
          </cell>
          <cell r="M795">
            <v>1560</v>
          </cell>
          <cell r="N795">
            <v>58325</v>
          </cell>
          <cell r="O795">
            <v>69990</v>
          </cell>
          <cell r="P795">
            <v>21000</v>
          </cell>
          <cell r="Q795">
            <v>6400</v>
          </cell>
          <cell r="R795">
            <v>6400</v>
          </cell>
          <cell r="S795">
            <v>0</v>
          </cell>
          <cell r="T795">
            <v>0</v>
          </cell>
          <cell r="U795">
            <v>2760</v>
          </cell>
          <cell r="V795">
            <v>0</v>
          </cell>
          <cell r="W795">
            <v>0</v>
          </cell>
          <cell r="X795" t="str">
            <v>monster/10072.png</v>
          </cell>
          <cell r="Y795">
            <v>1</v>
          </cell>
          <cell r="Z795">
            <v>0</v>
          </cell>
          <cell r="AA795">
            <v>50</v>
          </cell>
          <cell r="AB795">
            <v>25</v>
          </cell>
          <cell r="AC795">
            <v>0.4</v>
          </cell>
        </row>
        <row r="796">
          <cell r="A796">
            <v>3085061</v>
          </cell>
          <cell r="B796">
            <v>2001</v>
          </cell>
          <cell r="C796">
            <v>87</v>
          </cell>
          <cell r="D796" t="str">
            <v>舞钢者拜伦</v>
          </cell>
          <cell r="E796">
            <v>4400</v>
          </cell>
          <cell r="F796">
            <v>4400</v>
          </cell>
          <cell r="G796">
            <v>8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2855965</v>
          </cell>
          <cell r="M796">
            <v>1569.9999999999998</v>
          </cell>
          <cell r="N796">
            <v>144466</v>
          </cell>
          <cell r="O796">
            <v>173359</v>
          </cell>
          <cell r="P796">
            <v>22000</v>
          </cell>
          <cell r="Q796">
            <v>6800</v>
          </cell>
          <cell r="R796">
            <v>6800</v>
          </cell>
          <cell r="S796">
            <v>0</v>
          </cell>
          <cell r="T796">
            <v>0</v>
          </cell>
          <cell r="U796">
            <v>2824</v>
          </cell>
          <cell r="V796">
            <v>0</v>
          </cell>
          <cell r="W796">
            <v>0</v>
          </cell>
          <cell r="X796" t="str">
            <v>monster/10084.png</v>
          </cell>
          <cell r="Y796">
            <v>1</v>
          </cell>
          <cell r="Z796">
            <v>0</v>
          </cell>
          <cell r="AA796">
            <v>50</v>
          </cell>
          <cell r="AB796">
            <v>25</v>
          </cell>
          <cell r="AC796">
            <v>0.4</v>
          </cell>
        </row>
        <row r="797">
          <cell r="A797">
            <v>3085071</v>
          </cell>
          <cell r="B797">
            <v>2001</v>
          </cell>
          <cell r="C797">
            <v>87</v>
          </cell>
          <cell r="D797" t="str">
            <v>风暴之王</v>
          </cell>
          <cell r="E797">
            <v>4400</v>
          </cell>
          <cell r="F797">
            <v>4400</v>
          </cell>
          <cell r="G797">
            <v>6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2809682</v>
          </cell>
          <cell r="M797">
            <v>1569.9999999999998</v>
          </cell>
          <cell r="N797">
            <v>156899</v>
          </cell>
          <cell r="O797">
            <v>188279</v>
          </cell>
          <cell r="P797">
            <v>22000</v>
          </cell>
          <cell r="Q797">
            <v>6800</v>
          </cell>
          <cell r="R797">
            <v>6800</v>
          </cell>
          <cell r="S797">
            <v>0</v>
          </cell>
          <cell r="T797">
            <v>0</v>
          </cell>
          <cell r="U797">
            <v>2824</v>
          </cell>
          <cell r="V797">
            <v>0</v>
          </cell>
          <cell r="W797">
            <v>0</v>
          </cell>
          <cell r="X797" t="str">
            <v>monster/10138.png</v>
          </cell>
          <cell r="Y797">
            <v>1</v>
          </cell>
          <cell r="Z797">
            <v>0</v>
          </cell>
          <cell r="AA797">
            <v>50</v>
          </cell>
          <cell r="AB797">
            <v>25</v>
          </cell>
          <cell r="AC797">
            <v>0.4</v>
          </cell>
        </row>
        <row r="798">
          <cell r="A798">
            <v>3085081</v>
          </cell>
          <cell r="B798">
            <v>2001</v>
          </cell>
          <cell r="C798">
            <v>88</v>
          </cell>
          <cell r="D798" t="str">
            <v>雷伊战争使者</v>
          </cell>
          <cell r="E798">
            <v>4600</v>
          </cell>
          <cell r="F798">
            <v>4600</v>
          </cell>
          <cell r="G798">
            <v>7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3235813</v>
          </cell>
          <cell r="M798">
            <v>1580</v>
          </cell>
          <cell r="N798">
            <v>213004</v>
          </cell>
          <cell r="O798">
            <v>255605</v>
          </cell>
          <cell r="P798">
            <v>23000</v>
          </cell>
          <cell r="Q798">
            <v>7200</v>
          </cell>
          <cell r="R798">
            <v>7200</v>
          </cell>
          <cell r="S798">
            <v>0</v>
          </cell>
          <cell r="T798">
            <v>0</v>
          </cell>
          <cell r="U798">
            <v>2889</v>
          </cell>
          <cell r="V798">
            <v>0</v>
          </cell>
          <cell r="W798">
            <v>0</v>
          </cell>
          <cell r="X798" t="str">
            <v>monster/10127.png</v>
          </cell>
          <cell r="Y798">
            <v>1</v>
          </cell>
          <cell r="Z798">
            <v>0</v>
          </cell>
          <cell r="AA798">
            <v>50</v>
          </cell>
          <cell r="AB798">
            <v>25</v>
          </cell>
          <cell r="AC798">
            <v>0.4</v>
          </cell>
        </row>
        <row r="799">
          <cell r="A799">
            <v>3085091</v>
          </cell>
          <cell r="B799">
            <v>2001</v>
          </cell>
          <cell r="C799">
            <v>89</v>
          </cell>
          <cell r="D799" t="str">
            <v>暴君泰伦</v>
          </cell>
          <cell r="E799">
            <v>4800</v>
          </cell>
          <cell r="F799">
            <v>4800</v>
          </cell>
          <cell r="G799" t="str">
            <v>10,9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4038694</v>
          </cell>
          <cell r="M799">
            <v>4770</v>
          </cell>
          <cell r="N799">
            <v>285348</v>
          </cell>
          <cell r="O799">
            <v>342418</v>
          </cell>
          <cell r="P799">
            <v>24000</v>
          </cell>
          <cell r="Q799">
            <v>7600</v>
          </cell>
          <cell r="R799">
            <v>7600</v>
          </cell>
          <cell r="S799">
            <v>0</v>
          </cell>
          <cell r="T799">
            <v>4235</v>
          </cell>
          <cell r="U799">
            <v>3230</v>
          </cell>
          <cell r="V799">
            <v>0</v>
          </cell>
          <cell r="W799">
            <v>0</v>
          </cell>
          <cell r="X799" t="str">
            <v>monster/10140.png</v>
          </cell>
          <cell r="Y799">
            <v>1</v>
          </cell>
          <cell r="Z799">
            <v>0</v>
          </cell>
          <cell r="AA799">
            <v>50</v>
          </cell>
          <cell r="AB799">
            <v>25</v>
          </cell>
          <cell r="AC799">
            <v>0.4</v>
          </cell>
        </row>
        <row r="800">
          <cell r="A800">
            <v>3090011</v>
          </cell>
          <cell r="B800">
            <v>2001</v>
          </cell>
          <cell r="C800">
            <v>90</v>
          </cell>
          <cell r="D800" t="str">
            <v>影子武士</v>
          </cell>
          <cell r="E800">
            <v>5000</v>
          </cell>
          <cell r="F800">
            <v>5000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2387121</v>
          </cell>
          <cell r="M800">
            <v>1600</v>
          </cell>
          <cell r="N800">
            <v>142579</v>
          </cell>
          <cell r="O800">
            <v>171095</v>
          </cell>
          <cell r="P800">
            <v>25000</v>
          </cell>
          <cell r="Q800">
            <v>8000</v>
          </cell>
          <cell r="R800">
            <v>8000</v>
          </cell>
          <cell r="S800">
            <v>0</v>
          </cell>
          <cell r="T800">
            <v>0</v>
          </cell>
          <cell r="U800">
            <v>6133</v>
          </cell>
          <cell r="V800">
            <v>0</v>
          </cell>
          <cell r="W800">
            <v>0</v>
          </cell>
          <cell r="X800" t="str">
            <v>monster/10114.png</v>
          </cell>
          <cell r="Y800">
            <v>1</v>
          </cell>
          <cell r="Z800">
            <v>0</v>
          </cell>
          <cell r="AA800">
            <v>50</v>
          </cell>
          <cell r="AB800">
            <v>25</v>
          </cell>
          <cell r="AC800">
            <v>0.4</v>
          </cell>
        </row>
        <row r="801">
          <cell r="A801">
            <v>3090021</v>
          </cell>
          <cell r="B801">
            <v>2001</v>
          </cell>
          <cell r="C801">
            <v>90</v>
          </cell>
          <cell r="D801" t="str">
            <v>拨弄的赛亚</v>
          </cell>
          <cell r="E801">
            <v>5000</v>
          </cell>
          <cell r="F801">
            <v>5000</v>
          </cell>
          <cell r="G801" t="str">
            <v>17,18,8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2582436</v>
          </cell>
          <cell r="M801">
            <v>4800</v>
          </cell>
          <cell r="N801">
            <v>192646</v>
          </cell>
          <cell r="O801">
            <v>231175</v>
          </cell>
          <cell r="P801">
            <v>25000</v>
          </cell>
          <cell r="Q801">
            <v>8000</v>
          </cell>
          <cell r="R801">
            <v>8000</v>
          </cell>
          <cell r="S801">
            <v>0</v>
          </cell>
          <cell r="T801">
            <v>0</v>
          </cell>
          <cell r="U801">
            <v>3021</v>
          </cell>
          <cell r="V801">
            <v>0</v>
          </cell>
          <cell r="W801">
            <v>0</v>
          </cell>
          <cell r="X801" t="str">
            <v>monster/10125.png</v>
          </cell>
          <cell r="Y801">
            <v>1</v>
          </cell>
          <cell r="Z801">
            <v>0</v>
          </cell>
          <cell r="AA801">
            <v>50</v>
          </cell>
          <cell r="AB801">
            <v>25</v>
          </cell>
          <cell r="AC801">
            <v>0.4</v>
          </cell>
        </row>
        <row r="802">
          <cell r="A802">
            <v>3090031</v>
          </cell>
          <cell r="B802">
            <v>2001</v>
          </cell>
          <cell r="C802">
            <v>91</v>
          </cell>
          <cell r="D802" t="str">
            <v>法力风暴</v>
          </cell>
          <cell r="E802">
            <v>5200</v>
          </cell>
          <cell r="F802">
            <v>5200</v>
          </cell>
          <cell r="G802" t="str">
            <v>25,30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1941263</v>
          </cell>
          <cell r="M802">
            <v>194126</v>
          </cell>
          <cell r="N802">
            <v>282076</v>
          </cell>
          <cell r="O802">
            <v>338491</v>
          </cell>
          <cell r="P802">
            <v>26000</v>
          </cell>
          <cell r="Q802">
            <v>8400</v>
          </cell>
          <cell r="R802">
            <v>8400</v>
          </cell>
          <cell r="S802">
            <v>0</v>
          </cell>
          <cell r="T802">
            <v>0</v>
          </cell>
          <cell r="U802">
            <v>3088</v>
          </cell>
          <cell r="V802">
            <v>0</v>
          </cell>
          <cell r="W802">
            <v>0</v>
          </cell>
          <cell r="X802" t="str">
            <v>monster/10061.png</v>
          </cell>
          <cell r="Y802">
            <v>1</v>
          </cell>
          <cell r="Z802">
            <v>0</v>
          </cell>
          <cell r="AA802">
            <v>50</v>
          </cell>
          <cell r="AB802">
            <v>25</v>
          </cell>
          <cell r="AC802">
            <v>0.4</v>
          </cell>
        </row>
        <row r="803">
          <cell r="A803">
            <v>3090041</v>
          </cell>
          <cell r="B803">
            <v>2001</v>
          </cell>
          <cell r="C803">
            <v>91</v>
          </cell>
          <cell r="D803" t="str">
            <v>火舞者</v>
          </cell>
          <cell r="E803">
            <v>5200</v>
          </cell>
          <cell r="F803">
            <v>5200</v>
          </cell>
          <cell r="G803">
            <v>29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2886254</v>
          </cell>
          <cell r="M803">
            <v>1609.9999999999998</v>
          </cell>
          <cell r="N803">
            <v>204691</v>
          </cell>
          <cell r="O803">
            <v>245629</v>
          </cell>
          <cell r="P803">
            <v>26000</v>
          </cell>
          <cell r="Q803">
            <v>8400</v>
          </cell>
          <cell r="R803">
            <v>8400</v>
          </cell>
          <cell r="S803">
            <v>0</v>
          </cell>
          <cell r="T803">
            <v>0</v>
          </cell>
          <cell r="U803">
            <v>3088</v>
          </cell>
          <cell r="V803">
            <v>0</v>
          </cell>
          <cell r="W803">
            <v>0</v>
          </cell>
          <cell r="X803" t="str">
            <v>monster/10116.png</v>
          </cell>
          <cell r="Y803">
            <v>1</v>
          </cell>
          <cell r="Z803">
            <v>0</v>
          </cell>
          <cell r="AA803">
            <v>50</v>
          </cell>
          <cell r="AB803">
            <v>25</v>
          </cell>
          <cell r="AC803">
            <v>0.4</v>
          </cell>
        </row>
        <row r="804">
          <cell r="A804">
            <v>3090051</v>
          </cell>
          <cell r="B804">
            <v>2001</v>
          </cell>
          <cell r="C804">
            <v>91</v>
          </cell>
          <cell r="D804" t="str">
            <v>血誓审判者</v>
          </cell>
          <cell r="E804">
            <v>5200</v>
          </cell>
          <cell r="F804">
            <v>5200</v>
          </cell>
          <cell r="G804">
            <v>5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1454987</v>
          </cell>
          <cell r="M804">
            <v>1609.9999999999998</v>
          </cell>
          <cell r="N804">
            <v>62385</v>
          </cell>
          <cell r="O804">
            <v>74862</v>
          </cell>
          <cell r="P804">
            <v>26000</v>
          </cell>
          <cell r="Q804">
            <v>8400</v>
          </cell>
          <cell r="R804">
            <v>8400</v>
          </cell>
          <cell r="S804">
            <v>0</v>
          </cell>
          <cell r="T804">
            <v>0</v>
          </cell>
          <cell r="U804">
            <v>3088</v>
          </cell>
          <cell r="V804">
            <v>0</v>
          </cell>
          <cell r="W804">
            <v>0</v>
          </cell>
          <cell r="X804" t="str">
            <v>monster/10083.png</v>
          </cell>
          <cell r="Y804">
            <v>1</v>
          </cell>
          <cell r="Z804">
            <v>0</v>
          </cell>
          <cell r="AA804">
            <v>50</v>
          </cell>
          <cell r="AB804">
            <v>25</v>
          </cell>
          <cell r="AC804">
            <v>0.4</v>
          </cell>
        </row>
        <row r="805">
          <cell r="A805">
            <v>3090052</v>
          </cell>
          <cell r="B805">
            <v>2001</v>
          </cell>
          <cell r="C805">
            <v>91</v>
          </cell>
          <cell r="D805" t="str">
            <v>血誓预言者</v>
          </cell>
          <cell r="E805">
            <v>5200</v>
          </cell>
          <cell r="F805">
            <v>5200</v>
          </cell>
          <cell r="G805">
            <v>2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1357988</v>
          </cell>
          <cell r="M805">
            <v>1288</v>
          </cell>
          <cell r="N805">
            <v>66841</v>
          </cell>
          <cell r="O805">
            <v>80209</v>
          </cell>
          <cell r="P805">
            <v>26000</v>
          </cell>
          <cell r="Q805">
            <v>8400</v>
          </cell>
          <cell r="R805">
            <v>8400</v>
          </cell>
          <cell r="S805">
            <v>0</v>
          </cell>
          <cell r="T805">
            <v>0</v>
          </cell>
          <cell r="U805">
            <v>3088</v>
          </cell>
          <cell r="V805">
            <v>0</v>
          </cell>
          <cell r="W805">
            <v>0</v>
          </cell>
          <cell r="X805" t="str">
            <v>monster/10082.png</v>
          </cell>
          <cell r="Y805">
            <v>1</v>
          </cell>
          <cell r="Z805">
            <v>0</v>
          </cell>
          <cell r="AA805">
            <v>50</v>
          </cell>
          <cell r="AB805">
            <v>25</v>
          </cell>
          <cell r="AC805">
            <v>0.4</v>
          </cell>
        </row>
        <row r="806">
          <cell r="A806">
            <v>3090053</v>
          </cell>
          <cell r="B806">
            <v>2001</v>
          </cell>
          <cell r="C806">
            <v>91</v>
          </cell>
          <cell r="D806" t="str">
            <v>血誓召唤者</v>
          </cell>
          <cell r="E806">
            <v>5200</v>
          </cell>
          <cell r="F806">
            <v>5200</v>
          </cell>
          <cell r="G806">
            <v>26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1422654</v>
          </cell>
          <cell r="M806">
            <v>1609.9999999999998</v>
          </cell>
          <cell r="N806">
            <v>80209</v>
          </cell>
          <cell r="O806">
            <v>96251</v>
          </cell>
          <cell r="P806">
            <v>26000</v>
          </cell>
          <cell r="Q806">
            <v>8400</v>
          </cell>
          <cell r="R806">
            <v>8400</v>
          </cell>
          <cell r="S806">
            <v>0</v>
          </cell>
          <cell r="T806">
            <v>0</v>
          </cell>
          <cell r="U806">
            <v>3088</v>
          </cell>
          <cell r="V806">
            <v>0</v>
          </cell>
          <cell r="W806">
            <v>0</v>
          </cell>
          <cell r="X806" t="str">
            <v>monster/10081.png</v>
          </cell>
          <cell r="Y806">
            <v>1</v>
          </cell>
          <cell r="Z806">
            <v>0</v>
          </cell>
          <cell r="AA806">
            <v>50</v>
          </cell>
          <cell r="AB806">
            <v>25</v>
          </cell>
          <cell r="AC806">
            <v>0.4</v>
          </cell>
        </row>
        <row r="807">
          <cell r="A807">
            <v>3090054</v>
          </cell>
          <cell r="B807">
            <v>2001</v>
          </cell>
          <cell r="C807">
            <v>91</v>
          </cell>
          <cell r="D807" t="str">
            <v>血誓领主</v>
          </cell>
          <cell r="E807">
            <v>5200</v>
          </cell>
          <cell r="F807">
            <v>5200</v>
          </cell>
          <cell r="G807">
            <v>14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1390321</v>
          </cell>
          <cell r="M807">
            <v>1609.9999999999998</v>
          </cell>
          <cell r="N807">
            <v>80209</v>
          </cell>
          <cell r="O807">
            <v>96251</v>
          </cell>
          <cell r="P807">
            <v>26000</v>
          </cell>
          <cell r="Q807">
            <v>8400</v>
          </cell>
          <cell r="R807">
            <v>8400</v>
          </cell>
          <cell r="S807">
            <v>0</v>
          </cell>
          <cell r="T807">
            <v>0</v>
          </cell>
          <cell r="U807">
            <v>3088</v>
          </cell>
          <cell r="V807">
            <v>0</v>
          </cell>
          <cell r="W807">
            <v>0</v>
          </cell>
          <cell r="X807" t="str">
            <v>monster/10072.png</v>
          </cell>
          <cell r="Y807">
            <v>1</v>
          </cell>
          <cell r="Z807">
            <v>0</v>
          </cell>
          <cell r="AA807">
            <v>50</v>
          </cell>
          <cell r="AB807">
            <v>25</v>
          </cell>
          <cell r="AC807">
            <v>0.4</v>
          </cell>
        </row>
        <row r="808">
          <cell r="A808">
            <v>3090061</v>
          </cell>
          <cell r="B808">
            <v>2001</v>
          </cell>
          <cell r="C808">
            <v>92</v>
          </cell>
          <cell r="D808" t="str">
            <v>舞钢者拜伦</v>
          </cell>
          <cell r="E808">
            <v>5400</v>
          </cell>
          <cell r="F808">
            <v>5400</v>
          </cell>
          <cell r="G808">
            <v>8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3501391</v>
          </cell>
          <cell r="M808">
            <v>1620</v>
          </cell>
          <cell r="N808">
            <v>199577</v>
          </cell>
          <cell r="O808">
            <v>239492</v>
          </cell>
          <cell r="P808">
            <v>27000</v>
          </cell>
          <cell r="Q808">
            <v>8800</v>
          </cell>
          <cell r="R808">
            <v>8800</v>
          </cell>
          <cell r="S808">
            <v>0</v>
          </cell>
          <cell r="T808">
            <v>0</v>
          </cell>
          <cell r="U808">
            <v>3156</v>
          </cell>
          <cell r="V808">
            <v>0</v>
          </cell>
          <cell r="W808">
            <v>0</v>
          </cell>
          <cell r="X808" t="str">
            <v>monster/10084.png</v>
          </cell>
          <cell r="Y808">
            <v>1</v>
          </cell>
          <cell r="Z808">
            <v>0</v>
          </cell>
          <cell r="AA808">
            <v>50</v>
          </cell>
          <cell r="AB808">
            <v>25</v>
          </cell>
          <cell r="AC808">
            <v>0.4</v>
          </cell>
        </row>
        <row r="809">
          <cell r="A809">
            <v>3090071</v>
          </cell>
          <cell r="B809">
            <v>2001</v>
          </cell>
          <cell r="C809">
            <v>92</v>
          </cell>
          <cell r="D809" t="str">
            <v>风暴之王</v>
          </cell>
          <cell r="E809">
            <v>5400</v>
          </cell>
          <cell r="F809">
            <v>5400</v>
          </cell>
          <cell r="G809">
            <v>6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3444184</v>
          </cell>
          <cell r="M809">
            <v>1620</v>
          </cell>
          <cell r="N809">
            <v>217318</v>
          </cell>
          <cell r="O809">
            <v>260782</v>
          </cell>
          <cell r="P809">
            <v>27000</v>
          </cell>
          <cell r="Q809">
            <v>8800</v>
          </cell>
          <cell r="R809">
            <v>8800</v>
          </cell>
          <cell r="S809">
            <v>0</v>
          </cell>
          <cell r="T809">
            <v>0</v>
          </cell>
          <cell r="U809">
            <v>3156</v>
          </cell>
          <cell r="V809">
            <v>0</v>
          </cell>
          <cell r="W809">
            <v>0</v>
          </cell>
          <cell r="X809" t="str">
            <v>monster/10138.png</v>
          </cell>
          <cell r="Y809">
            <v>1</v>
          </cell>
          <cell r="Z809">
            <v>0</v>
          </cell>
          <cell r="AA809">
            <v>50</v>
          </cell>
          <cell r="AB809">
            <v>25</v>
          </cell>
          <cell r="AC809">
            <v>0.4</v>
          </cell>
        </row>
        <row r="810">
          <cell r="A810">
            <v>3090081</v>
          </cell>
          <cell r="B810">
            <v>2001</v>
          </cell>
          <cell r="C810">
            <v>93</v>
          </cell>
          <cell r="D810" t="str">
            <v>雷伊战争使者</v>
          </cell>
          <cell r="E810">
            <v>5600</v>
          </cell>
          <cell r="F810">
            <v>5600</v>
          </cell>
          <cell r="G810">
            <v>7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3993830</v>
          </cell>
          <cell r="M810">
            <v>1630</v>
          </cell>
          <cell r="N810">
            <v>295796</v>
          </cell>
          <cell r="O810">
            <v>354955</v>
          </cell>
          <cell r="P810">
            <v>28000</v>
          </cell>
          <cell r="Q810">
            <v>9200</v>
          </cell>
          <cell r="R810">
            <v>9200</v>
          </cell>
          <cell r="S810">
            <v>0</v>
          </cell>
          <cell r="T810">
            <v>0</v>
          </cell>
          <cell r="U810">
            <v>3225</v>
          </cell>
          <cell r="V810">
            <v>0</v>
          </cell>
          <cell r="W810">
            <v>0</v>
          </cell>
          <cell r="X810" t="str">
            <v>monster/10127.png</v>
          </cell>
          <cell r="Y810">
            <v>1</v>
          </cell>
          <cell r="Z810">
            <v>0</v>
          </cell>
          <cell r="AA810">
            <v>50</v>
          </cell>
          <cell r="AB810">
            <v>25</v>
          </cell>
          <cell r="AC810">
            <v>0.4</v>
          </cell>
        </row>
        <row r="811">
          <cell r="A811">
            <v>3090091</v>
          </cell>
          <cell r="B811">
            <v>2001</v>
          </cell>
          <cell r="C811">
            <v>94</v>
          </cell>
          <cell r="D811" t="str">
            <v>暴君泰伦</v>
          </cell>
          <cell r="E811">
            <v>5800</v>
          </cell>
          <cell r="F811">
            <v>5800</v>
          </cell>
          <cell r="G811" t="str">
            <v>10,9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5015357</v>
          </cell>
          <cell r="M811">
            <v>4920</v>
          </cell>
          <cell r="N811">
            <v>397639</v>
          </cell>
          <cell r="O811">
            <v>477167</v>
          </cell>
          <cell r="P811">
            <v>29000</v>
          </cell>
          <cell r="Q811">
            <v>9600</v>
          </cell>
          <cell r="R811">
            <v>9600</v>
          </cell>
          <cell r="S811">
            <v>0</v>
          </cell>
          <cell r="T811">
            <v>4721</v>
          </cell>
          <cell r="U811">
            <v>3601</v>
          </cell>
          <cell r="V811">
            <v>0</v>
          </cell>
          <cell r="W811">
            <v>0</v>
          </cell>
          <cell r="X811" t="str">
            <v>monster/10140.png</v>
          </cell>
          <cell r="Y811">
            <v>1</v>
          </cell>
          <cell r="Z811">
            <v>0</v>
          </cell>
          <cell r="AA811">
            <v>50</v>
          </cell>
          <cell r="AB811">
            <v>25</v>
          </cell>
          <cell r="AC811">
            <v>0.4</v>
          </cell>
        </row>
        <row r="812">
          <cell r="A812">
            <v>3095011</v>
          </cell>
          <cell r="B812">
            <v>2001</v>
          </cell>
          <cell r="C812">
            <v>95</v>
          </cell>
          <cell r="D812" t="str">
            <v>影子武士</v>
          </cell>
          <cell r="E812">
            <v>6000</v>
          </cell>
          <cell r="F812">
            <v>6000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2953469</v>
          </cell>
          <cell r="M812">
            <v>1650</v>
          </cell>
          <cell r="N812">
            <v>191725</v>
          </cell>
          <cell r="O812">
            <v>230070</v>
          </cell>
          <cell r="P812">
            <v>30000</v>
          </cell>
          <cell r="Q812">
            <v>10000</v>
          </cell>
          <cell r="R812">
            <v>10000</v>
          </cell>
          <cell r="S812">
            <v>0</v>
          </cell>
          <cell r="T812">
            <v>0</v>
          </cell>
          <cell r="U812">
            <v>6830</v>
          </cell>
          <cell r="V812">
            <v>0</v>
          </cell>
          <cell r="W812">
            <v>0</v>
          </cell>
          <cell r="X812" t="str">
            <v>monster/10114.png</v>
          </cell>
          <cell r="Y812">
            <v>1</v>
          </cell>
          <cell r="Z812">
            <v>0</v>
          </cell>
          <cell r="AA812">
            <v>50</v>
          </cell>
          <cell r="AB812">
            <v>25</v>
          </cell>
          <cell r="AC812">
            <v>0.4</v>
          </cell>
        </row>
        <row r="813">
          <cell r="A813">
            <v>3095021</v>
          </cell>
          <cell r="B813">
            <v>2001</v>
          </cell>
          <cell r="C813">
            <v>95</v>
          </cell>
          <cell r="D813" t="str">
            <v>拨弄的赛亚</v>
          </cell>
          <cell r="E813">
            <v>6000</v>
          </cell>
          <cell r="F813">
            <v>6000</v>
          </cell>
          <cell r="G813" t="str">
            <v>17,18,8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3190485</v>
          </cell>
          <cell r="M813">
            <v>4950</v>
          </cell>
          <cell r="N813">
            <v>260684</v>
          </cell>
          <cell r="O813">
            <v>312821</v>
          </cell>
          <cell r="P813">
            <v>30000</v>
          </cell>
          <cell r="Q813">
            <v>10000</v>
          </cell>
          <cell r="R813">
            <v>10000</v>
          </cell>
          <cell r="S813">
            <v>0</v>
          </cell>
          <cell r="T813">
            <v>0</v>
          </cell>
          <cell r="U813">
            <v>3364</v>
          </cell>
          <cell r="V813">
            <v>0</v>
          </cell>
          <cell r="W813">
            <v>0</v>
          </cell>
          <cell r="X813" t="str">
            <v>monster/10125.png</v>
          </cell>
          <cell r="Y813">
            <v>1</v>
          </cell>
          <cell r="Z813">
            <v>0</v>
          </cell>
          <cell r="AA813">
            <v>50</v>
          </cell>
          <cell r="AB813">
            <v>25</v>
          </cell>
          <cell r="AC813">
            <v>0.4</v>
          </cell>
        </row>
        <row r="814">
          <cell r="A814">
            <v>3095031</v>
          </cell>
          <cell r="B814">
            <v>2001</v>
          </cell>
          <cell r="C814">
            <v>96</v>
          </cell>
          <cell r="D814" t="str">
            <v>法力风暴</v>
          </cell>
          <cell r="E814">
            <v>6200</v>
          </cell>
          <cell r="F814">
            <v>6200</v>
          </cell>
          <cell r="G814" t="str">
            <v>25,30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2405919</v>
          </cell>
          <cell r="M814">
            <v>240592</v>
          </cell>
          <cell r="N814">
            <v>384915</v>
          </cell>
          <cell r="O814">
            <v>461898</v>
          </cell>
          <cell r="P814">
            <v>31000</v>
          </cell>
          <cell r="Q814">
            <v>10400</v>
          </cell>
          <cell r="R814">
            <v>10400</v>
          </cell>
          <cell r="S814">
            <v>0</v>
          </cell>
          <cell r="T814">
            <v>0</v>
          </cell>
          <cell r="U814">
            <v>3434</v>
          </cell>
          <cell r="V814">
            <v>0</v>
          </cell>
          <cell r="W814">
            <v>0</v>
          </cell>
          <cell r="X814" t="str">
            <v>monster/10061.png</v>
          </cell>
          <cell r="Y814">
            <v>1</v>
          </cell>
          <cell r="Z814">
            <v>0</v>
          </cell>
          <cell r="AA814">
            <v>50</v>
          </cell>
          <cell r="AB814">
            <v>25</v>
          </cell>
          <cell r="AC814">
            <v>0.4</v>
          </cell>
        </row>
        <row r="815">
          <cell r="A815">
            <v>3095041</v>
          </cell>
          <cell r="B815">
            <v>2001</v>
          </cell>
          <cell r="C815">
            <v>96</v>
          </cell>
          <cell r="D815" t="str">
            <v>火舞者</v>
          </cell>
          <cell r="E815">
            <v>6200</v>
          </cell>
          <cell r="F815">
            <v>6200</v>
          </cell>
          <cell r="G815">
            <v>29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3573841</v>
          </cell>
          <cell r="M815">
            <v>1660.0000000000002</v>
          </cell>
          <cell r="N815">
            <v>280197</v>
          </cell>
          <cell r="O815">
            <v>336236</v>
          </cell>
          <cell r="P815">
            <v>31000</v>
          </cell>
          <cell r="Q815">
            <v>10400</v>
          </cell>
          <cell r="R815">
            <v>10400</v>
          </cell>
          <cell r="S815">
            <v>0</v>
          </cell>
          <cell r="T815">
            <v>0</v>
          </cell>
          <cell r="U815">
            <v>3434</v>
          </cell>
          <cell r="V815">
            <v>0</v>
          </cell>
          <cell r="W815">
            <v>0</v>
          </cell>
          <cell r="X815" t="str">
            <v>monster/10116.png</v>
          </cell>
          <cell r="Y815">
            <v>1</v>
          </cell>
          <cell r="Z815">
            <v>0</v>
          </cell>
          <cell r="AA815">
            <v>50</v>
          </cell>
          <cell r="AB815">
            <v>25</v>
          </cell>
          <cell r="AC815">
            <v>0.4</v>
          </cell>
        </row>
        <row r="816">
          <cell r="A816">
            <v>3095051</v>
          </cell>
          <cell r="B816">
            <v>2001</v>
          </cell>
          <cell r="C816">
            <v>96</v>
          </cell>
          <cell r="D816" t="str">
            <v>血誓审判者</v>
          </cell>
          <cell r="E816">
            <v>6200</v>
          </cell>
          <cell r="F816">
            <v>6200</v>
          </cell>
          <cell r="G816">
            <v>5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1799964</v>
          </cell>
          <cell r="M816">
            <v>1660.0000000000002</v>
          </cell>
          <cell r="N816">
            <v>85667</v>
          </cell>
          <cell r="O816">
            <v>102800</v>
          </cell>
          <cell r="P816">
            <v>31000</v>
          </cell>
          <cell r="Q816">
            <v>10400</v>
          </cell>
          <cell r="R816">
            <v>10400</v>
          </cell>
          <cell r="S816">
            <v>0</v>
          </cell>
          <cell r="T816">
            <v>0</v>
          </cell>
          <cell r="U816">
            <v>3434</v>
          </cell>
          <cell r="V816">
            <v>0</v>
          </cell>
          <cell r="W816">
            <v>0</v>
          </cell>
          <cell r="X816" t="str">
            <v>monster/10083.png</v>
          </cell>
          <cell r="Y816">
            <v>1</v>
          </cell>
          <cell r="Z816">
            <v>0</v>
          </cell>
          <cell r="AA816">
            <v>50</v>
          </cell>
          <cell r="AB816">
            <v>25</v>
          </cell>
          <cell r="AC816">
            <v>0.4</v>
          </cell>
        </row>
        <row r="817">
          <cell r="A817">
            <v>3095052</v>
          </cell>
          <cell r="B817">
            <v>2001</v>
          </cell>
          <cell r="C817">
            <v>96</v>
          </cell>
          <cell r="D817" t="str">
            <v>血誓预言者</v>
          </cell>
          <cell r="E817">
            <v>6200</v>
          </cell>
          <cell r="F817">
            <v>6200</v>
          </cell>
          <cell r="G817">
            <v>2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1679966</v>
          </cell>
          <cell r="M817">
            <v>1328</v>
          </cell>
          <cell r="N817">
            <v>91786</v>
          </cell>
          <cell r="O817">
            <v>110143</v>
          </cell>
          <cell r="P817">
            <v>31000</v>
          </cell>
          <cell r="Q817">
            <v>10400</v>
          </cell>
          <cell r="R817">
            <v>10400</v>
          </cell>
          <cell r="S817">
            <v>0</v>
          </cell>
          <cell r="T817">
            <v>0</v>
          </cell>
          <cell r="U817">
            <v>3434</v>
          </cell>
          <cell r="V817">
            <v>0</v>
          </cell>
          <cell r="W817">
            <v>0</v>
          </cell>
          <cell r="X817" t="str">
            <v>monster/10082.png</v>
          </cell>
          <cell r="Y817">
            <v>1</v>
          </cell>
          <cell r="Z817">
            <v>0</v>
          </cell>
          <cell r="AA817">
            <v>50</v>
          </cell>
          <cell r="AB817">
            <v>25</v>
          </cell>
          <cell r="AC817">
            <v>0.4</v>
          </cell>
        </row>
        <row r="818">
          <cell r="A818">
            <v>3095053</v>
          </cell>
          <cell r="B818">
            <v>2001</v>
          </cell>
          <cell r="C818">
            <v>96</v>
          </cell>
          <cell r="D818" t="str">
            <v>血誓召唤者</v>
          </cell>
          <cell r="E818">
            <v>6200</v>
          </cell>
          <cell r="F818">
            <v>6200</v>
          </cell>
          <cell r="G818">
            <v>26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1759964</v>
          </cell>
          <cell r="M818">
            <v>1660.0000000000002</v>
          </cell>
          <cell r="N818">
            <v>110143</v>
          </cell>
          <cell r="O818">
            <v>132172</v>
          </cell>
          <cell r="P818">
            <v>31000</v>
          </cell>
          <cell r="Q818">
            <v>10400</v>
          </cell>
          <cell r="R818">
            <v>10400</v>
          </cell>
          <cell r="S818">
            <v>0</v>
          </cell>
          <cell r="T818">
            <v>0</v>
          </cell>
          <cell r="U818">
            <v>3434</v>
          </cell>
          <cell r="V818">
            <v>0</v>
          </cell>
          <cell r="W818">
            <v>0</v>
          </cell>
          <cell r="X818" t="str">
            <v>monster/10081.png</v>
          </cell>
          <cell r="Y818">
            <v>1</v>
          </cell>
          <cell r="Z818">
            <v>0</v>
          </cell>
          <cell r="AA818">
            <v>50</v>
          </cell>
          <cell r="AB818">
            <v>25</v>
          </cell>
          <cell r="AC818">
            <v>0.4</v>
          </cell>
        </row>
        <row r="819">
          <cell r="A819">
            <v>3095054</v>
          </cell>
          <cell r="B819">
            <v>2001</v>
          </cell>
          <cell r="C819">
            <v>96</v>
          </cell>
          <cell r="D819" t="str">
            <v>血誓领主</v>
          </cell>
          <cell r="E819">
            <v>6200</v>
          </cell>
          <cell r="F819">
            <v>6200</v>
          </cell>
          <cell r="G819">
            <v>14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1719965</v>
          </cell>
          <cell r="M819">
            <v>1660.0000000000002</v>
          </cell>
          <cell r="N819">
            <v>110143</v>
          </cell>
          <cell r="O819">
            <v>132172</v>
          </cell>
          <cell r="P819">
            <v>31000</v>
          </cell>
          <cell r="Q819">
            <v>10400</v>
          </cell>
          <cell r="R819">
            <v>10400</v>
          </cell>
          <cell r="S819">
            <v>0</v>
          </cell>
          <cell r="T819">
            <v>0</v>
          </cell>
          <cell r="U819">
            <v>3434</v>
          </cell>
          <cell r="V819">
            <v>0</v>
          </cell>
          <cell r="W819">
            <v>0</v>
          </cell>
          <cell r="X819" t="str">
            <v>monster/10072.png</v>
          </cell>
          <cell r="Y819">
            <v>1</v>
          </cell>
          <cell r="Z819">
            <v>0</v>
          </cell>
          <cell r="AA819">
            <v>50</v>
          </cell>
          <cell r="AB819">
            <v>25</v>
          </cell>
          <cell r="AC819">
            <v>0.4</v>
          </cell>
        </row>
        <row r="820">
          <cell r="A820">
            <v>3095061</v>
          </cell>
          <cell r="B820">
            <v>2001</v>
          </cell>
          <cell r="C820">
            <v>97</v>
          </cell>
          <cell r="D820" t="str">
            <v>舞钢者拜伦</v>
          </cell>
          <cell r="E820">
            <v>6400</v>
          </cell>
          <cell r="F820">
            <v>6400</v>
          </cell>
          <cell r="G820">
            <v>8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4346138</v>
          </cell>
          <cell r="M820">
            <v>1670</v>
          </cell>
          <cell r="N820">
            <v>275209</v>
          </cell>
          <cell r="O820">
            <v>330251</v>
          </cell>
          <cell r="P820">
            <v>32000</v>
          </cell>
          <cell r="Q820">
            <v>10800</v>
          </cell>
          <cell r="R820">
            <v>10800</v>
          </cell>
          <cell r="S820">
            <v>0</v>
          </cell>
          <cell r="T820">
            <v>0</v>
          </cell>
          <cell r="U820">
            <v>3506</v>
          </cell>
          <cell r="V820">
            <v>0</v>
          </cell>
          <cell r="W820">
            <v>0</v>
          </cell>
          <cell r="X820" t="str">
            <v>monster/10084.png</v>
          </cell>
          <cell r="Y820">
            <v>1</v>
          </cell>
          <cell r="Z820">
            <v>0</v>
          </cell>
          <cell r="AA820">
            <v>50</v>
          </cell>
          <cell r="AB820">
            <v>25</v>
          </cell>
          <cell r="AC820">
            <v>0.4</v>
          </cell>
        </row>
        <row r="821">
          <cell r="A821">
            <v>3095071</v>
          </cell>
          <cell r="B821">
            <v>2001</v>
          </cell>
          <cell r="C821">
            <v>97</v>
          </cell>
          <cell r="D821" t="str">
            <v>风暴之王</v>
          </cell>
          <cell r="E821">
            <v>6400</v>
          </cell>
          <cell r="F821">
            <v>6400</v>
          </cell>
          <cell r="G821">
            <v>6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4271742</v>
          </cell>
          <cell r="M821">
            <v>1670</v>
          </cell>
          <cell r="N821">
            <v>300381</v>
          </cell>
          <cell r="O821">
            <v>360457</v>
          </cell>
          <cell r="P821">
            <v>32000</v>
          </cell>
          <cell r="Q821">
            <v>10800</v>
          </cell>
          <cell r="R821">
            <v>10800</v>
          </cell>
          <cell r="S821">
            <v>0</v>
          </cell>
          <cell r="T821">
            <v>0</v>
          </cell>
          <cell r="U821">
            <v>3506</v>
          </cell>
          <cell r="V821">
            <v>0</v>
          </cell>
          <cell r="W821">
            <v>0</v>
          </cell>
          <cell r="X821" t="str">
            <v>monster/10138.png</v>
          </cell>
          <cell r="Y821">
            <v>1</v>
          </cell>
          <cell r="Z821">
            <v>0</v>
          </cell>
          <cell r="AA821">
            <v>50</v>
          </cell>
          <cell r="AB821">
            <v>25</v>
          </cell>
          <cell r="AC821">
            <v>0.4</v>
          </cell>
        </row>
        <row r="822">
          <cell r="A822">
            <v>3095081</v>
          </cell>
          <cell r="B822">
            <v>2001</v>
          </cell>
          <cell r="C822">
            <v>98</v>
          </cell>
          <cell r="D822" t="str">
            <v>雷伊战争使者</v>
          </cell>
          <cell r="E822">
            <v>6600</v>
          </cell>
          <cell r="F822">
            <v>6600</v>
          </cell>
          <cell r="G822">
            <v>7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4969896</v>
          </cell>
          <cell r="M822">
            <v>1680.0000000000002</v>
          </cell>
          <cell r="N822">
            <v>409819</v>
          </cell>
          <cell r="O822">
            <v>491783</v>
          </cell>
          <cell r="P822">
            <v>33000</v>
          </cell>
          <cell r="Q822">
            <v>11200</v>
          </cell>
          <cell r="R822">
            <v>11200</v>
          </cell>
          <cell r="S822">
            <v>0</v>
          </cell>
          <cell r="T822">
            <v>0</v>
          </cell>
          <cell r="U822">
            <v>3578</v>
          </cell>
          <cell r="V822">
            <v>0</v>
          </cell>
          <cell r="W822">
            <v>0</v>
          </cell>
          <cell r="X822" t="str">
            <v>monster/10127.png</v>
          </cell>
          <cell r="Y822">
            <v>1</v>
          </cell>
          <cell r="Z822">
            <v>0</v>
          </cell>
          <cell r="AA822">
            <v>50</v>
          </cell>
          <cell r="AB822">
            <v>25</v>
          </cell>
          <cell r="AC822">
            <v>0.4</v>
          </cell>
        </row>
        <row r="823">
          <cell r="A823">
            <v>3095091</v>
          </cell>
          <cell r="B823">
            <v>2001</v>
          </cell>
          <cell r="C823">
            <v>99</v>
          </cell>
          <cell r="D823" t="str">
            <v>暴君泰伦</v>
          </cell>
          <cell r="E823">
            <v>6800</v>
          </cell>
          <cell r="F823">
            <v>6800</v>
          </cell>
          <cell r="G823" t="str">
            <v>10,9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6257494</v>
          </cell>
          <cell r="M823">
            <v>5070</v>
          </cell>
          <cell r="N823">
            <v>552655</v>
          </cell>
          <cell r="O823">
            <v>663186</v>
          </cell>
          <cell r="P823">
            <v>34000</v>
          </cell>
          <cell r="Q823">
            <v>11600</v>
          </cell>
          <cell r="R823">
            <v>11600</v>
          </cell>
          <cell r="S823">
            <v>0</v>
          </cell>
          <cell r="T823">
            <v>5233</v>
          </cell>
          <cell r="U823">
            <v>3992</v>
          </cell>
          <cell r="V823">
            <v>0</v>
          </cell>
          <cell r="W823">
            <v>0</v>
          </cell>
          <cell r="X823" t="str">
            <v>monster/10140.png</v>
          </cell>
          <cell r="Y823">
            <v>1</v>
          </cell>
          <cell r="Z823">
            <v>0</v>
          </cell>
          <cell r="AA823">
            <v>50</v>
          </cell>
          <cell r="AB823">
            <v>25</v>
          </cell>
          <cell r="AC823">
            <v>0.4</v>
          </cell>
        </row>
        <row r="824">
          <cell r="A824">
            <v>3100011</v>
          </cell>
          <cell r="B824">
            <v>2001</v>
          </cell>
          <cell r="C824">
            <v>100</v>
          </cell>
          <cell r="D824" t="str">
            <v>影子武士</v>
          </cell>
          <cell r="E824">
            <v>7000</v>
          </cell>
          <cell r="F824">
            <v>7000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3702929</v>
          </cell>
          <cell r="M824">
            <v>1700</v>
          </cell>
          <cell r="N824">
            <v>262240</v>
          </cell>
          <cell r="O824">
            <v>314688</v>
          </cell>
          <cell r="P824">
            <v>35000</v>
          </cell>
          <cell r="Q824">
            <v>12000</v>
          </cell>
          <cell r="R824">
            <v>12000</v>
          </cell>
          <cell r="S824">
            <v>0</v>
          </cell>
          <cell r="T824">
            <v>0</v>
          </cell>
          <cell r="U824">
            <v>7563</v>
          </cell>
          <cell r="V824">
            <v>0</v>
          </cell>
          <cell r="W824">
            <v>0</v>
          </cell>
          <cell r="X824" t="str">
            <v>monster/10114.png</v>
          </cell>
          <cell r="Y824">
            <v>1</v>
          </cell>
          <cell r="Z824">
            <v>0</v>
          </cell>
          <cell r="AA824">
            <v>50</v>
          </cell>
          <cell r="AB824">
            <v>25</v>
          </cell>
          <cell r="AC824">
            <v>0.4</v>
          </cell>
        </row>
        <row r="825">
          <cell r="A825">
            <v>3100021</v>
          </cell>
          <cell r="B825">
            <v>2001</v>
          </cell>
          <cell r="C825">
            <v>100</v>
          </cell>
          <cell r="D825" t="str">
            <v>拨弄的赛亚</v>
          </cell>
          <cell r="E825">
            <v>7000</v>
          </cell>
          <cell r="F825">
            <v>7000</v>
          </cell>
          <cell r="G825" t="str">
            <v>17,18,8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3999909</v>
          </cell>
          <cell r="M825">
            <v>5100</v>
          </cell>
          <cell r="N825">
            <v>358696</v>
          </cell>
          <cell r="O825">
            <v>430435</v>
          </cell>
          <cell r="P825">
            <v>35000</v>
          </cell>
          <cell r="Q825">
            <v>12000</v>
          </cell>
          <cell r="R825">
            <v>12000</v>
          </cell>
          <cell r="S825">
            <v>0</v>
          </cell>
          <cell r="T825">
            <v>0</v>
          </cell>
          <cell r="U825">
            <v>3725</v>
          </cell>
          <cell r="V825">
            <v>0</v>
          </cell>
          <cell r="W825">
            <v>0</v>
          </cell>
          <cell r="X825" t="str">
            <v>monster/10125.png</v>
          </cell>
          <cell r="Y825">
            <v>1</v>
          </cell>
          <cell r="Z825">
            <v>0</v>
          </cell>
          <cell r="AA825">
            <v>50</v>
          </cell>
          <cell r="AB825">
            <v>25</v>
          </cell>
          <cell r="AC825">
            <v>0.4</v>
          </cell>
        </row>
        <row r="826">
          <cell r="A826">
            <v>3100031</v>
          </cell>
          <cell r="B826">
            <v>2001</v>
          </cell>
          <cell r="C826">
            <v>101</v>
          </cell>
          <cell r="D826" t="str">
            <v>法力风暴</v>
          </cell>
          <cell r="E826">
            <v>7200</v>
          </cell>
          <cell r="F826">
            <v>7200</v>
          </cell>
          <cell r="G826" t="str">
            <v>25,30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3005623</v>
          </cell>
          <cell r="M826">
            <v>300562</v>
          </cell>
          <cell r="N826">
            <v>533864</v>
          </cell>
          <cell r="O826">
            <v>640637</v>
          </cell>
          <cell r="P826">
            <v>36000</v>
          </cell>
          <cell r="Q826">
            <v>12400</v>
          </cell>
          <cell r="R826">
            <v>12400</v>
          </cell>
          <cell r="S826">
            <v>0</v>
          </cell>
          <cell r="T826">
            <v>0</v>
          </cell>
          <cell r="U826">
            <v>3800</v>
          </cell>
          <cell r="V826">
            <v>0</v>
          </cell>
          <cell r="W826">
            <v>0</v>
          </cell>
          <cell r="X826" t="str">
            <v>monster/10061.png</v>
          </cell>
          <cell r="Y826">
            <v>1</v>
          </cell>
          <cell r="Z826">
            <v>0</v>
          </cell>
          <cell r="AA826">
            <v>50</v>
          </cell>
          <cell r="AB826">
            <v>25</v>
          </cell>
          <cell r="AC826">
            <v>0.4</v>
          </cell>
        </row>
        <row r="827">
          <cell r="A827">
            <v>3100041</v>
          </cell>
          <cell r="B827">
            <v>2001</v>
          </cell>
          <cell r="C827">
            <v>101</v>
          </cell>
          <cell r="D827" t="str">
            <v>火舞者</v>
          </cell>
          <cell r="E827">
            <v>7200</v>
          </cell>
          <cell r="F827">
            <v>7200</v>
          </cell>
          <cell r="G827">
            <v>29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4464537</v>
          </cell>
          <cell r="M827">
            <v>1710</v>
          </cell>
          <cell r="N827">
            <v>389748</v>
          </cell>
          <cell r="O827">
            <v>467698</v>
          </cell>
          <cell r="P827">
            <v>36000</v>
          </cell>
          <cell r="Q827">
            <v>12400</v>
          </cell>
          <cell r="R827">
            <v>12400</v>
          </cell>
          <cell r="S827">
            <v>0</v>
          </cell>
          <cell r="T827">
            <v>0</v>
          </cell>
          <cell r="U827">
            <v>3800</v>
          </cell>
          <cell r="V827">
            <v>0</v>
          </cell>
          <cell r="W827">
            <v>0</v>
          </cell>
          <cell r="X827" t="str">
            <v>monster/10116.png</v>
          </cell>
          <cell r="Y827">
            <v>1</v>
          </cell>
          <cell r="Z827">
            <v>0</v>
          </cell>
          <cell r="AA827">
            <v>50</v>
          </cell>
          <cell r="AB827">
            <v>25</v>
          </cell>
          <cell r="AC827">
            <v>0.4</v>
          </cell>
        </row>
        <row r="828">
          <cell r="A828">
            <v>3100051</v>
          </cell>
          <cell r="B828">
            <v>2001</v>
          </cell>
          <cell r="C828">
            <v>101</v>
          </cell>
          <cell r="D828" t="str">
            <v>血誓审判者</v>
          </cell>
          <cell r="E828">
            <v>7200</v>
          </cell>
          <cell r="F828">
            <v>7200</v>
          </cell>
          <cell r="G828">
            <v>5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2248498</v>
          </cell>
          <cell r="M828">
            <v>1710</v>
          </cell>
          <cell r="N828">
            <v>119505</v>
          </cell>
          <cell r="O828">
            <v>143406</v>
          </cell>
          <cell r="P828">
            <v>36000</v>
          </cell>
          <cell r="Q828">
            <v>12400</v>
          </cell>
          <cell r="R828">
            <v>12400</v>
          </cell>
          <cell r="S828">
            <v>0</v>
          </cell>
          <cell r="T828">
            <v>0</v>
          </cell>
          <cell r="U828">
            <v>3800</v>
          </cell>
          <cell r="V828">
            <v>0</v>
          </cell>
          <cell r="W828">
            <v>0</v>
          </cell>
          <cell r="X828" t="str">
            <v>monster/10083.png</v>
          </cell>
          <cell r="Y828">
            <v>1</v>
          </cell>
          <cell r="Z828">
            <v>0</v>
          </cell>
          <cell r="AA828">
            <v>50</v>
          </cell>
          <cell r="AB828">
            <v>25</v>
          </cell>
          <cell r="AC828">
            <v>0.4</v>
          </cell>
        </row>
        <row r="829">
          <cell r="A829">
            <v>3100052</v>
          </cell>
          <cell r="B829">
            <v>2001</v>
          </cell>
          <cell r="C829">
            <v>101</v>
          </cell>
          <cell r="D829" t="str">
            <v>血誓预言者</v>
          </cell>
          <cell r="E829">
            <v>7200</v>
          </cell>
          <cell r="F829">
            <v>7200</v>
          </cell>
          <cell r="G829">
            <v>2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2098598</v>
          </cell>
          <cell r="M829">
            <v>1368</v>
          </cell>
          <cell r="N829">
            <v>128041</v>
          </cell>
          <cell r="O829">
            <v>153649</v>
          </cell>
          <cell r="P829">
            <v>36000</v>
          </cell>
          <cell r="Q829">
            <v>12400</v>
          </cell>
          <cell r="R829">
            <v>12400</v>
          </cell>
          <cell r="S829">
            <v>0</v>
          </cell>
          <cell r="T829">
            <v>0</v>
          </cell>
          <cell r="U829">
            <v>3800</v>
          </cell>
          <cell r="V829">
            <v>0</v>
          </cell>
          <cell r="W829">
            <v>0</v>
          </cell>
          <cell r="X829" t="str">
            <v>monster/10082.png</v>
          </cell>
          <cell r="Y829">
            <v>1</v>
          </cell>
          <cell r="Z829">
            <v>0</v>
          </cell>
          <cell r="AA829">
            <v>50</v>
          </cell>
          <cell r="AB829">
            <v>25</v>
          </cell>
          <cell r="AC829">
            <v>0.4</v>
          </cell>
        </row>
        <row r="830">
          <cell r="A830">
            <v>3100053</v>
          </cell>
          <cell r="B830">
            <v>2001</v>
          </cell>
          <cell r="C830">
            <v>101</v>
          </cell>
          <cell r="D830" t="str">
            <v>血誓召唤者</v>
          </cell>
          <cell r="E830">
            <v>7200</v>
          </cell>
          <cell r="F830">
            <v>7200</v>
          </cell>
          <cell r="G830">
            <v>26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2198531</v>
          </cell>
          <cell r="M830">
            <v>1710</v>
          </cell>
          <cell r="N830">
            <v>153650</v>
          </cell>
          <cell r="O830">
            <v>184380</v>
          </cell>
          <cell r="P830">
            <v>36000</v>
          </cell>
          <cell r="Q830">
            <v>12400</v>
          </cell>
          <cell r="R830">
            <v>12400</v>
          </cell>
          <cell r="S830">
            <v>0</v>
          </cell>
          <cell r="T830">
            <v>0</v>
          </cell>
          <cell r="U830">
            <v>3800</v>
          </cell>
          <cell r="V830">
            <v>0</v>
          </cell>
          <cell r="W830">
            <v>0</v>
          </cell>
          <cell r="X830" t="str">
            <v>monster/10081.png</v>
          </cell>
          <cell r="Y830">
            <v>1</v>
          </cell>
          <cell r="Z830">
            <v>0</v>
          </cell>
          <cell r="AA830">
            <v>50</v>
          </cell>
          <cell r="AB830">
            <v>25</v>
          </cell>
          <cell r="AC830">
            <v>0.4</v>
          </cell>
        </row>
        <row r="831">
          <cell r="A831">
            <v>3100054</v>
          </cell>
          <cell r="B831">
            <v>2001</v>
          </cell>
          <cell r="C831">
            <v>101</v>
          </cell>
          <cell r="D831" t="str">
            <v>血誓领主</v>
          </cell>
          <cell r="E831">
            <v>7200</v>
          </cell>
          <cell r="F831">
            <v>7200</v>
          </cell>
          <cell r="G831">
            <v>14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2148565</v>
          </cell>
          <cell r="M831">
            <v>1710</v>
          </cell>
          <cell r="N831">
            <v>153650</v>
          </cell>
          <cell r="O831">
            <v>184380</v>
          </cell>
          <cell r="P831">
            <v>36000</v>
          </cell>
          <cell r="Q831">
            <v>12400</v>
          </cell>
          <cell r="R831">
            <v>12400</v>
          </cell>
          <cell r="S831">
            <v>0</v>
          </cell>
          <cell r="T831">
            <v>0</v>
          </cell>
          <cell r="U831">
            <v>3800</v>
          </cell>
          <cell r="V831">
            <v>0</v>
          </cell>
          <cell r="W831">
            <v>0</v>
          </cell>
          <cell r="X831" t="str">
            <v>monster/10072.png</v>
          </cell>
          <cell r="Y831">
            <v>1</v>
          </cell>
          <cell r="Z831">
            <v>0</v>
          </cell>
          <cell r="AA831">
            <v>50</v>
          </cell>
          <cell r="AB831">
            <v>25</v>
          </cell>
          <cell r="AC831">
            <v>0.4</v>
          </cell>
        </row>
        <row r="832">
          <cell r="A832">
            <v>3100061</v>
          </cell>
          <cell r="B832">
            <v>2001</v>
          </cell>
          <cell r="C832">
            <v>102</v>
          </cell>
          <cell r="D832" t="str">
            <v>舞钢者拜伦</v>
          </cell>
          <cell r="E832">
            <v>7500</v>
          </cell>
          <cell r="F832">
            <v>7500</v>
          </cell>
          <cell r="G832">
            <v>8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5438515</v>
          </cell>
          <cell r="M832">
            <v>1720</v>
          </cell>
          <cell r="N832">
            <v>385400</v>
          </cell>
          <cell r="O832">
            <v>462480</v>
          </cell>
          <cell r="P832">
            <v>37000</v>
          </cell>
          <cell r="Q832">
            <v>12800</v>
          </cell>
          <cell r="R832">
            <v>12800</v>
          </cell>
          <cell r="S832">
            <v>0</v>
          </cell>
          <cell r="T832">
            <v>0</v>
          </cell>
          <cell r="U832">
            <v>3875</v>
          </cell>
          <cell r="V832">
            <v>0</v>
          </cell>
          <cell r="W832">
            <v>0</v>
          </cell>
          <cell r="X832" t="str">
            <v>monster/10084.png</v>
          </cell>
          <cell r="Y832">
            <v>1</v>
          </cell>
          <cell r="Z832">
            <v>0</v>
          </cell>
          <cell r="AA832">
            <v>50</v>
          </cell>
          <cell r="AB832">
            <v>25</v>
          </cell>
          <cell r="AC832">
            <v>0.4</v>
          </cell>
        </row>
        <row r="833">
          <cell r="A833">
            <v>3100071</v>
          </cell>
          <cell r="B833">
            <v>2001</v>
          </cell>
          <cell r="C833">
            <v>102</v>
          </cell>
          <cell r="D833" t="str">
            <v>风暴之王</v>
          </cell>
          <cell r="E833">
            <v>7500</v>
          </cell>
          <cell r="F833">
            <v>7500</v>
          </cell>
          <cell r="G833">
            <v>6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5345287</v>
          </cell>
          <cell r="M833">
            <v>1720</v>
          </cell>
          <cell r="N833">
            <v>421548</v>
          </cell>
          <cell r="O833">
            <v>505858</v>
          </cell>
          <cell r="P833">
            <v>37000</v>
          </cell>
          <cell r="Q833">
            <v>12800</v>
          </cell>
          <cell r="R833">
            <v>12800</v>
          </cell>
          <cell r="S833">
            <v>0</v>
          </cell>
          <cell r="T833">
            <v>0</v>
          </cell>
          <cell r="U833">
            <v>3875</v>
          </cell>
          <cell r="V833">
            <v>0</v>
          </cell>
          <cell r="W833">
            <v>0</v>
          </cell>
          <cell r="X833" t="str">
            <v>monster/10138.png</v>
          </cell>
          <cell r="Y833">
            <v>1</v>
          </cell>
          <cell r="Z833">
            <v>0</v>
          </cell>
          <cell r="AA833">
            <v>50</v>
          </cell>
          <cell r="AB833">
            <v>25</v>
          </cell>
          <cell r="AC833">
            <v>0.4</v>
          </cell>
        </row>
        <row r="834">
          <cell r="A834">
            <v>3100081</v>
          </cell>
          <cell r="B834">
            <v>2001</v>
          </cell>
          <cell r="C834">
            <v>102</v>
          </cell>
          <cell r="D834" t="str">
            <v>雷伊战争使者</v>
          </cell>
          <cell r="E834">
            <v>7500</v>
          </cell>
          <cell r="F834">
            <v>7500</v>
          </cell>
          <cell r="G834">
            <v>7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6207062</v>
          </cell>
          <cell r="M834">
            <v>1720</v>
          </cell>
          <cell r="N834">
            <v>576358</v>
          </cell>
          <cell r="O834">
            <v>691630</v>
          </cell>
          <cell r="P834">
            <v>37000</v>
          </cell>
          <cell r="Q834">
            <v>12800</v>
          </cell>
          <cell r="R834">
            <v>12800</v>
          </cell>
          <cell r="S834">
            <v>0</v>
          </cell>
          <cell r="T834">
            <v>0</v>
          </cell>
          <cell r="U834">
            <v>3875</v>
          </cell>
          <cell r="V834">
            <v>0</v>
          </cell>
          <cell r="W834">
            <v>0</v>
          </cell>
          <cell r="X834" t="str">
            <v>monster/10127.png</v>
          </cell>
          <cell r="Y834">
            <v>1</v>
          </cell>
          <cell r="Z834">
            <v>0</v>
          </cell>
          <cell r="AA834">
            <v>50</v>
          </cell>
          <cell r="AB834">
            <v>25</v>
          </cell>
          <cell r="AC834">
            <v>0.4</v>
          </cell>
        </row>
        <row r="835">
          <cell r="A835">
            <v>3100091</v>
          </cell>
          <cell r="B835">
            <v>2001</v>
          </cell>
          <cell r="C835">
            <v>102</v>
          </cell>
          <cell r="D835" t="str">
            <v>暴君泰伦</v>
          </cell>
          <cell r="E835">
            <v>7500</v>
          </cell>
          <cell r="F835">
            <v>7500</v>
          </cell>
          <cell r="G835" t="str">
            <v>10,9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7795688</v>
          </cell>
          <cell r="M835">
            <v>5160</v>
          </cell>
          <cell r="N835">
            <v>779448</v>
          </cell>
          <cell r="O835">
            <v>935338</v>
          </cell>
          <cell r="P835">
            <v>37000</v>
          </cell>
          <cell r="Q835">
            <v>12800</v>
          </cell>
          <cell r="R835">
            <v>12800</v>
          </cell>
          <cell r="S835">
            <v>0</v>
          </cell>
          <cell r="T835">
            <v>5554</v>
          </cell>
          <cell r="U835">
            <v>4236</v>
          </cell>
          <cell r="V835">
            <v>0</v>
          </cell>
          <cell r="W835">
            <v>0</v>
          </cell>
          <cell r="X835" t="str">
            <v>monster/10140.png</v>
          </cell>
          <cell r="Y835">
            <v>1</v>
          </cell>
          <cell r="Z835">
            <v>0</v>
          </cell>
          <cell r="AA835">
            <v>50</v>
          </cell>
          <cell r="AB835">
            <v>25</v>
          </cell>
          <cell r="AC835">
            <v>0.4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equip.xml"/>
      <sheetName val="equip.txt"/>
      <sheetName val="Sheet1"/>
    </sheetNames>
    <sheetDataSet>
      <sheetData sheetId="0">
        <row r="2316">
          <cell r="A2316">
            <v>50010015</v>
          </cell>
          <cell r="B2316">
            <v>0</v>
          </cell>
          <cell r="C2316" t="str">
            <v>纹饰帽</v>
          </cell>
        </row>
        <row r="2317">
          <cell r="A2317">
            <v>50010025</v>
          </cell>
          <cell r="B2317">
            <v>0</v>
          </cell>
          <cell r="C2317" t="str">
            <v>金戒指</v>
          </cell>
        </row>
        <row r="2318">
          <cell r="A2318">
            <v>50010035</v>
          </cell>
          <cell r="B2318">
            <v>0</v>
          </cell>
          <cell r="C2318" t="str">
            <v>兽皮腰带</v>
          </cell>
        </row>
        <row r="2319">
          <cell r="A2319">
            <v>50010085</v>
          </cell>
          <cell r="B2319">
            <v>0</v>
          </cell>
          <cell r="C2319" t="str">
            <v>皮靴</v>
          </cell>
        </row>
        <row r="2320">
          <cell r="A2320">
            <v>50010095</v>
          </cell>
          <cell r="B2320">
            <v>0</v>
          </cell>
          <cell r="C2320" t="str">
            <v>轻布手套</v>
          </cell>
        </row>
        <row r="2321">
          <cell r="A2321">
            <v>50010105</v>
          </cell>
          <cell r="B2321">
            <v>0</v>
          </cell>
          <cell r="C2321" t="str">
            <v>贝壳项链</v>
          </cell>
        </row>
        <row r="2322">
          <cell r="A2322">
            <v>50011055</v>
          </cell>
          <cell r="B2322">
            <v>0</v>
          </cell>
          <cell r="C2322" t="str">
            <v>短剑</v>
          </cell>
        </row>
        <row r="2323">
          <cell r="A2323">
            <v>50011056</v>
          </cell>
          <cell r="B2323">
            <v>0</v>
          </cell>
          <cell r="C2323" t="str">
            <v>军刀</v>
          </cell>
        </row>
        <row r="2324">
          <cell r="A2324">
            <v>50011065</v>
          </cell>
          <cell r="B2324">
            <v>0</v>
          </cell>
          <cell r="C2324" t="str">
            <v>小圆盾</v>
          </cell>
        </row>
        <row r="2325">
          <cell r="A2325">
            <v>50011066</v>
          </cell>
          <cell r="B2325">
            <v>0</v>
          </cell>
          <cell r="C2325" t="str">
            <v>尖头盾</v>
          </cell>
        </row>
        <row r="2326">
          <cell r="A2326">
            <v>50012055</v>
          </cell>
          <cell r="B2326">
            <v>0</v>
          </cell>
          <cell r="C2326" t="str">
            <v>短弓</v>
          </cell>
        </row>
        <row r="2327">
          <cell r="A2327">
            <v>50012056</v>
          </cell>
          <cell r="B2327">
            <v>0</v>
          </cell>
          <cell r="C2327" t="str">
            <v>棘木弓</v>
          </cell>
        </row>
        <row r="2328">
          <cell r="A2328">
            <v>50012065</v>
          </cell>
          <cell r="B2328">
            <v>0</v>
          </cell>
          <cell r="C2328" t="str">
            <v>小箭筒</v>
          </cell>
        </row>
        <row r="2329">
          <cell r="A2329">
            <v>50012066</v>
          </cell>
          <cell r="B2329">
            <v>0</v>
          </cell>
          <cell r="C2329" t="str">
            <v>箭筒</v>
          </cell>
        </row>
        <row r="2330">
          <cell r="A2330">
            <v>50013055</v>
          </cell>
          <cell r="B2330">
            <v>0</v>
          </cell>
          <cell r="C2330" t="str">
            <v>训练用杖</v>
          </cell>
        </row>
        <row r="2331">
          <cell r="A2331">
            <v>50013056</v>
          </cell>
          <cell r="B2331">
            <v>0</v>
          </cell>
          <cell r="C2331" t="str">
            <v>学徒法杖</v>
          </cell>
        </row>
        <row r="2332">
          <cell r="A2332">
            <v>50013065</v>
          </cell>
          <cell r="B2332">
            <v>0</v>
          </cell>
          <cell r="C2332" t="str">
            <v>学徒手册</v>
          </cell>
        </row>
        <row r="2333">
          <cell r="A2333">
            <v>50013066</v>
          </cell>
          <cell r="B2333">
            <v>0</v>
          </cell>
          <cell r="C2333" t="str">
            <v>法术指南</v>
          </cell>
        </row>
        <row r="2334">
          <cell r="A2334">
            <v>50010045</v>
          </cell>
          <cell r="B2334">
            <v>0</v>
          </cell>
          <cell r="C2334" t="str">
            <v>新兵外套</v>
          </cell>
        </row>
        <row r="2335">
          <cell r="A2335">
            <v>50010046</v>
          </cell>
          <cell r="B2335">
            <v>0</v>
          </cell>
          <cell r="C2335" t="str">
            <v>新兵外套</v>
          </cell>
        </row>
        <row r="2336">
          <cell r="A2336">
            <v>50010075</v>
          </cell>
          <cell r="B2336">
            <v>0</v>
          </cell>
          <cell r="C2336" t="str">
            <v>皮甲短裤</v>
          </cell>
        </row>
        <row r="2337">
          <cell r="A2337">
            <v>50010076</v>
          </cell>
          <cell r="B2337">
            <v>0</v>
          </cell>
          <cell r="C2337" t="str">
            <v>学徒短裤</v>
          </cell>
        </row>
        <row r="2338">
          <cell r="A2338">
            <v>50050015</v>
          </cell>
          <cell r="B2338">
            <v>0</v>
          </cell>
          <cell r="C2338" t="str">
            <v>纹饰帽</v>
          </cell>
        </row>
        <row r="2339">
          <cell r="A2339">
            <v>50050025</v>
          </cell>
          <cell r="B2339">
            <v>0</v>
          </cell>
          <cell r="C2339" t="str">
            <v>金戒指</v>
          </cell>
        </row>
        <row r="2340">
          <cell r="A2340">
            <v>50050035</v>
          </cell>
          <cell r="B2340">
            <v>0</v>
          </cell>
          <cell r="C2340" t="str">
            <v>兽皮腰带</v>
          </cell>
        </row>
        <row r="2341">
          <cell r="A2341">
            <v>50050085</v>
          </cell>
          <cell r="B2341">
            <v>0</v>
          </cell>
          <cell r="C2341" t="str">
            <v>皮靴</v>
          </cell>
        </row>
        <row r="2342">
          <cell r="A2342">
            <v>50050095</v>
          </cell>
          <cell r="B2342">
            <v>0</v>
          </cell>
          <cell r="C2342" t="str">
            <v>轻布手套</v>
          </cell>
        </row>
        <row r="2343">
          <cell r="A2343">
            <v>50050105</v>
          </cell>
          <cell r="B2343">
            <v>0</v>
          </cell>
          <cell r="C2343" t="str">
            <v>贝壳项链</v>
          </cell>
        </row>
        <row r="2344">
          <cell r="A2344">
            <v>50051055</v>
          </cell>
          <cell r="B2344">
            <v>0</v>
          </cell>
          <cell r="C2344" t="str">
            <v>长剑</v>
          </cell>
        </row>
        <row r="2345">
          <cell r="A2345">
            <v>50051056</v>
          </cell>
          <cell r="B2345">
            <v>0</v>
          </cell>
          <cell r="C2345" t="str">
            <v>双刃剑</v>
          </cell>
        </row>
        <row r="2346">
          <cell r="A2346">
            <v>50051065</v>
          </cell>
          <cell r="B2346">
            <v>0</v>
          </cell>
          <cell r="C2346" t="str">
            <v>尖头盾</v>
          </cell>
        </row>
        <row r="2347">
          <cell r="A2347">
            <v>50051066</v>
          </cell>
          <cell r="B2347">
            <v>0</v>
          </cell>
          <cell r="C2347" t="str">
            <v>尖头盾</v>
          </cell>
        </row>
        <row r="2348">
          <cell r="A2348">
            <v>50052055</v>
          </cell>
          <cell r="B2348">
            <v>0</v>
          </cell>
          <cell r="C2348" t="str">
            <v>硬弓</v>
          </cell>
        </row>
        <row r="2349">
          <cell r="A2349">
            <v>50052056</v>
          </cell>
          <cell r="B2349">
            <v>0</v>
          </cell>
          <cell r="C2349" t="str">
            <v>反曲弓</v>
          </cell>
        </row>
        <row r="2350">
          <cell r="A2350">
            <v>50052065</v>
          </cell>
          <cell r="B2350">
            <v>0</v>
          </cell>
          <cell r="C2350" t="str">
            <v>箭筒</v>
          </cell>
        </row>
        <row r="2351">
          <cell r="A2351">
            <v>50052066</v>
          </cell>
          <cell r="B2351">
            <v>0</v>
          </cell>
          <cell r="C2351" t="str">
            <v>箭筒</v>
          </cell>
        </row>
        <row r="2352">
          <cell r="A2352">
            <v>50053055</v>
          </cell>
          <cell r="B2352">
            <v>0</v>
          </cell>
          <cell r="C2352" t="str">
            <v>巫术之杖</v>
          </cell>
        </row>
        <row r="2353">
          <cell r="A2353">
            <v>50053056</v>
          </cell>
          <cell r="B2353">
            <v>0</v>
          </cell>
          <cell r="C2353" t="str">
            <v>秘术法杖</v>
          </cell>
        </row>
        <row r="2354">
          <cell r="A2354">
            <v>50053065</v>
          </cell>
          <cell r="B2354">
            <v>0</v>
          </cell>
          <cell r="C2354" t="str">
            <v>法术指南</v>
          </cell>
        </row>
        <row r="2355">
          <cell r="A2355">
            <v>50053066</v>
          </cell>
          <cell r="B2355">
            <v>0</v>
          </cell>
          <cell r="C2355" t="str">
            <v>法术指南</v>
          </cell>
        </row>
        <row r="2356">
          <cell r="A2356">
            <v>50050045</v>
          </cell>
          <cell r="B2356">
            <v>0</v>
          </cell>
          <cell r="C2356" t="str">
            <v>锁甲外套</v>
          </cell>
        </row>
        <row r="2357">
          <cell r="A2357">
            <v>50050046</v>
          </cell>
          <cell r="B2357">
            <v>0</v>
          </cell>
          <cell r="C2357" t="str">
            <v>战士胸甲</v>
          </cell>
        </row>
        <row r="2358">
          <cell r="A2358">
            <v>50050075</v>
          </cell>
          <cell r="B2358">
            <v>0</v>
          </cell>
          <cell r="C2358" t="str">
            <v>皮甲短裤</v>
          </cell>
        </row>
        <row r="2359">
          <cell r="A2359">
            <v>50050076</v>
          </cell>
          <cell r="B2359">
            <v>0</v>
          </cell>
          <cell r="C2359" t="str">
            <v>学徒短裤</v>
          </cell>
        </row>
        <row r="2360">
          <cell r="A2360">
            <v>50100015</v>
          </cell>
          <cell r="B2360">
            <v>0</v>
          </cell>
          <cell r="C2360" t="str">
            <v>轻便头盔</v>
          </cell>
        </row>
        <row r="2361">
          <cell r="A2361">
            <v>50100025</v>
          </cell>
          <cell r="B2361">
            <v>0</v>
          </cell>
          <cell r="C2361" t="str">
            <v>宝石戒指</v>
          </cell>
        </row>
        <row r="2362">
          <cell r="A2362">
            <v>50100035</v>
          </cell>
          <cell r="B2362">
            <v>0</v>
          </cell>
          <cell r="C2362" t="str">
            <v>坚硬皮带</v>
          </cell>
        </row>
        <row r="2363">
          <cell r="A2363">
            <v>50100085</v>
          </cell>
          <cell r="B2363">
            <v>0</v>
          </cell>
          <cell r="C2363" t="str">
            <v>软垫靴</v>
          </cell>
        </row>
        <row r="2364">
          <cell r="A2364">
            <v>50100095</v>
          </cell>
          <cell r="B2364">
            <v>0</v>
          </cell>
          <cell r="C2364" t="str">
            <v>步兵护手</v>
          </cell>
        </row>
        <row r="2365">
          <cell r="A2365">
            <v>50100105</v>
          </cell>
          <cell r="B2365">
            <v>0</v>
          </cell>
          <cell r="C2365" t="str">
            <v>贝壳项链</v>
          </cell>
        </row>
        <row r="2366">
          <cell r="A2366">
            <v>50101055</v>
          </cell>
          <cell r="B2366">
            <v>0</v>
          </cell>
          <cell r="C2366" t="str">
            <v>护卫之刃</v>
          </cell>
        </row>
        <row r="2367">
          <cell r="A2367">
            <v>50101056</v>
          </cell>
          <cell r="B2367">
            <v>0</v>
          </cell>
          <cell r="C2367" t="str">
            <v>铜铸重剑</v>
          </cell>
        </row>
        <row r="2368">
          <cell r="A2368">
            <v>50101065</v>
          </cell>
          <cell r="B2368">
            <v>0</v>
          </cell>
          <cell r="C2368" t="str">
            <v>金属大盾</v>
          </cell>
        </row>
        <row r="2369">
          <cell r="A2369">
            <v>50101066</v>
          </cell>
          <cell r="B2369">
            <v>0</v>
          </cell>
          <cell r="C2369" t="str">
            <v>尖头盾</v>
          </cell>
        </row>
        <row r="2370">
          <cell r="A2370">
            <v>50102055</v>
          </cell>
          <cell r="B2370">
            <v>0</v>
          </cell>
          <cell r="C2370" t="str">
            <v>猎手强弓</v>
          </cell>
        </row>
        <row r="2371">
          <cell r="A2371">
            <v>50102056</v>
          </cell>
          <cell r="B2371">
            <v>0</v>
          </cell>
          <cell r="C2371" t="str">
            <v>灰木弓</v>
          </cell>
        </row>
        <row r="2372">
          <cell r="A2372">
            <v>50102065</v>
          </cell>
          <cell r="B2372">
            <v>0</v>
          </cell>
          <cell r="C2372" t="str">
            <v>帆布箭筒</v>
          </cell>
        </row>
        <row r="2373">
          <cell r="A2373">
            <v>50102066</v>
          </cell>
          <cell r="B2373">
            <v>0</v>
          </cell>
          <cell r="C2373" t="str">
            <v>箭筒</v>
          </cell>
        </row>
        <row r="2374">
          <cell r="A2374">
            <v>50103055</v>
          </cell>
          <cell r="B2374">
            <v>0</v>
          </cell>
          <cell r="C2374" t="str">
            <v>附魔银棒</v>
          </cell>
        </row>
        <row r="2375">
          <cell r="A2375">
            <v>50103056</v>
          </cell>
          <cell r="B2375">
            <v>0</v>
          </cell>
          <cell r="C2375" t="str">
            <v>魔导法杖</v>
          </cell>
        </row>
        <row r="2376">
          <cell r="A2376">
            <v>50103065</v>
          </cell>
          <cell r="B2376">
            <v>0</v>
          </cell>
          <cell r="C2376" t="str">
            <v>奥术典籍</v>
          </cell>
        </row>
        <row r="2377">
          <cell r="A2377">
            <v>50103066</v>
          </cell>
          <cell r="B2377">
            <v>0</v>
          </cell>
          <cell r="C2377" t="str">
            <v>法术指南</v>
          </cell>
        </row>
        <row r="2378">
          <cell r="A2378">
            <v>50100045</v>
          </cell>
          <cell r="B2378">
            <v>0</v>
          </cell>
          <cell r="C2378" t="str">
            <v>硬皮外套</v>
          </cell>
        </row>
        <row r="2379">
          <cell r="A2379">
            <v>50100046</v>
          </cell>
          <cell r="B2379">
            <v>0</v>
          </cell>
          <cell r="C2379" t="str">
            <v>新兵外套</v>
          </cell>
        </row>
        <row r="2380">
          <cell r="A2380">
            <v>50100075</v>
          </cell>
          <cell r="B2380">
            <v>0</v>
          </cell>
          <cell r="C2380" t="str">
            <v>护卫短裤</v>
          </cell>
        </row>
        <row r="2381">
          <cell r="A2381">
            <v>50100076</v>
          </cell>
          <cell r="B2381">
            <v>0</v>
          </cell>
          <cell r="C2381" t="str">
            <v>学徒短裤</v>
          </cell>
        </row>
        <row r="2382">
          <cell r="A2382">
            <v>50150015</v>
          </cell>
          <cell r="B2382">
            <v>0</v>
          </cell>
          <cell r="C2382" t="str">
            <v>纹饰帽</v>
          </cell>
        </row>
        <row r="2383">
          <cell r="A2383">
            <v>50150025</v>
          </cell>
          <cell r="B2383">
            <v>0</v>
          </cell>
          <cell r="C2383" t="str">
            <v>金戒指</v>
          </cell>
        </row>
        <row r="2384">
          <cell r="A2384">
            <v>50150035</v>
          </cell>
          <cell r="B2384">
            <v>0</v>
          </cell>
          <cell r="C2384" t="str">
            <v>铁锁腰带</v>
          </cell>
        </row>
        <row r="2385">
          <cell r="A2385">
            <v>50150085</v>
          </cell>
          <cell r="B2385">
            <v>0</v>
          </cell>
          <cell r="C2385" t="str">
            <v>链甲战靴</v>
          </cell>
        </row>
        <row r="2386">
          <cell r="A2386">
            <v>50150095</v>
          </cell>
          <cell r="B2386">
            <v>0</v>
          </cell>
          <cell r="C2386" t="str">
            <v>战痕手套</v>
          </cell>
        </row>
        <row r="2387">
          <cell r="A2387">
            <v>50150105</v>
          </cell>
          <cell r="B2387">
            <v>0</v>
          </cell>
          <cell r="C2387" t="str">
            <v>使者项链</v>
          </cell>
        </row>
        <row r="2388">
          <cell r="A2388">
            <v>50151055</v>
          </cell>
          <cell r="B2388">
            <v>0</v>
          </cell>
          <cell r="C2388" t="str">
            <v>宽刃剑</v>
          </cell>
        </row>
        <row r="2389">
          <cell r="A2389">
            <v>50151056</v>
          </cell>
          <cell r="B2389">
            <v>0</v>
          </cell>
          <cell r="C2389" t="str">
            <v>游侠之刃</v>
          </cell>
        </row>
        <row r="2390">
          <cell r="A2390">
            <v>50151065</v>
          </cell>
          <cell r="B2390">
            <v>0</v>
          </cell>
          <cell r="C2390" t="str">
            <v>鸢盾</v>
          </cell>
        </row>
        <row r="2391">
          <cell r="A2391">
            <v>50151066</v>
          </cell>
          <cell r="B2391">
            <v>0</v>
          </cell>
          <cell r="C2391" t="str">
            <v>尖头盾</v>
          </cell>
        </row>
        <row r="2392">
          <cell r="A2392">
            <v>50152055</v>
          </cell>
          <cell r="B2392">
            <v>0</v>
          </cell>
          <cell r="C2392" t="str">
            <v>狩猎之弓</v>
          </cell>
        </row>
        <row r="2393">
          <cell r="A2393">
            <v>50152056</v>
          </cell>
          <cell r="B2393">
            <v>0</v>
          </cell>
          <cell r="C2393" t="str">
            <v>半人马长弓</v>
          </cell>
        </row>
        <row r="2394">
          <cell r="A2394">
            <v>50152065</v>
          </cell>
          <cell r="B2394">
            <v>0</v>
          </cell>
          <cell r="C2394" t="str">
            <v>皮革箭筒</v>
          </cell>
        </row>
        <row r="2395">
          <cell r="A2395">
            <v>50152066</v>
          </cell>
          <cell r="B2395">
            <v>0</v>
          </cell>
          <cell r="C2395" t="str">
            <v>箭筒</v>
          </cell>
        </row>
        <row r="2396">
          <cell r="A2396">
            <v>50153055</v>
          </cell>
          <cell r="B2396">
            <v>0</v>
          </cell>
          <cell r="C2396" t="str">
            <v>风灵法杖</v>
          </cell>
        </row>
        <row r="2397">
          <cell r="A2397">
            <v>50153056</v>
          </cell>
          <cell r="B2397">
            <v>0</v>
          </cell>
          <cell r="C2397" t="str">
            <v>禁锢之杖</v>
          </cell>
        </row>
        <row r="2398">
          <cell r="A2398">
            <v>50153065</v>
          </cell>
          <cell r="B2398">
            <v>0</v>
          </cell>
          <cell r="C2398" t="str">
            <v>秘法之书</v>
          </cell>
        </row>
        <row r="2399">
          <cell r="A2399">
            <v>50153066</v>
          </cell>
          <cell r="B2399">
            <v>0</v>
          </cell>
          <cell r="C2399" t="str">
            <v>法术指南</v>
          </cell>
        </row>
        <row r="2400">
          <cell r="A2400">
            <v>50150045</v>
          </cell>
          <cell r="B2400">
            <v>0</v>
          </cell>
          <cell r="C2400" t="str">
            <v>暗石胸甲</v>
          </cell>
        </row>
        <row r="2401">
          <cell r="A2401">
            <v>50150046</v>
          </cell>
          <cell r="B2401">
            <v>0</v>
          </cell>
          <cell r="C2401" t="str">
            <v>新兵外套</v>
          </cell>
        </row>
        <row r="2402">
          <cell r="A2402">
            <v>50150075</v>
          </cell>
          <cell r="B2402">
            <v>0</v>
          </cell>
          <cell r="C2402" t="str">
            <v>荒野马裤</v>
          </cell>
        </row>
        <row r="2403">
          <cell r="A2403">
            <v>50150076</v>
          </cell>
          <cell r="B2403">
            <v>0</v>
          </cell>
          <cell r="C2403" t="str">
            <v>学徒短裤</v>
          </cell>
        </row>
        <row r="2404">
          <cell r="A2404">
            <v>50200015</v>
          </cell>
          <cell r="B2404">
            <v>0</v>
          </cell>
          <cell r="C2404" t="str">
            <v>卫士头盔</v>
          </cell>
        </row>
        <row r="2405">
          <cell r="A2405">
            <v>50200025</v>
          </cell>
          <cell r="B2405">
            <v>0</v>
          </cell>
          <cell r="C2405" t="str">
            <v>石岩指环</v>
          </cell>
        </row>
        <row r="2406">
          <cell r="A2406">
            <v>50200035</v>
          </cell>
          <cell r="B2406">
            <v>0</v>
          </cell>
          <cell r="C2406" t="str">
            <v>勇者束带</v>
          </cell>
        </row>
        <row r="2407">
          <cell r="A2407">
            <v>50200085</v>
          </cell>
          <cell r="B2407">
            <v>0</v>
          </cell>
          <cell r="C2407" t="str">
            <v>冒险长靴</v>
          </cell>
        </row>
        <row r="2408">
          <cell r="A2408">
            <v>50200095</v>
          </cell>
          <cell r="B2408">
            <v>0</v>
          </cell>
          <cell r="C2408" t="str">
            <v>工程手套</v>
          </cell>
        </row>
        <row r="2409">
          <cell r="A2409">
            <v>50200105</v>
          </cell>
          <cell r="B2409">
            <v>0</v>
          </cell>
          <cell r="C2409" t="str">
            <v>翡翠项链</v>
          </cell>
        </row>
        <row r="2410">
          <cell r="A2410">
            <v>50201055</v>
          </cell>
          <cell r="B2410">
            <v>0</v>
          </cell>
          <cell r="C2410" t="str">
            <v>勇者长剑</v>
          </cell>
        </row>
        <row r="2411">
          <cell r="A2411">
            <v>50201056</v>
          </cell>
          <cell r="B2411">
            <v>0</v>
          </cell>
          <cell r="C2411" t="str">
            <v>军刀</v>
          </cell>
        </row>
        <row r="2412">
          <cell r="A2412">
            <v>50201065</v>
          </cell>
          <cell r="B2412">
            <v>0</v>
          </cell>
          <cell r="C2412" t="str">
            <v>护卫之盾</v>
          </cell>
        </row>
        <row r="2413">
          <cell r="A2413">
            <v>50201066</v>
          </cell>
          <cell r="B2413">
            <v>0</v>
          </cell>
          <cell r="C2413" t="str">
            <v>尖头盾</v>
          </cell>
        </row>
        <row r="2414">
          <cell r="A2414">
            <v>50202055</v>
          </cell>
          <cell r="B2414">
            <v>0</v>
          </cell>
          <cell r="C2414" t="str">
            <v>护卫之弓</v>
          </cell>
        </row>
        <row r="2415">
          <cell r="A2415">
            <v>50202056</v>
          </cell>
          <cell r="B2415">
            <v>0</v>
          </cell>
          <cell r="C2415" t="str">
            <v>棘木弓</v>
          </cell>
        </row>
        <row r="2416">
          <cell r="A2416">
            <v>50202065</v>
          </cell>
          <cell r="B2416">
            <v>0</v>
          </cell>
          <cell r="C2416" t="str">
            <v>狩猎箭筒</v>
          </cell>
        </row>
        <row r="2417">
          <cell r="A2417">
            <v>50202066</v>
          </cell>
          <cell r="B2417">
            <v>0</v>
          </cell>
          <cell r="C2417" t="str">
            <v>箭筒</v>
          </cell>
        </row>
        <row r="2418">
          <cell r="A2418">
            <v>50203055</v>
          </cell>
          <cell r="B2418">
            <v>0</v>
          </cell>
          <cell r="C2418" t="str">
            <v>保护法杖</v>
          </cell>
        </row>
        <row r="2419">
          <cell r="A2419">
            <v>50203056</v>
          </cell>
          <cell r="B2419">
            <v>0</v>
          </cell>
          <cell r="C2419" t="str">
            <v>火石法杖</v>
          </cell>
        </row>
        <row r="2420">
          <cell r="A2420">
            <v>50203065</v>
          </cell>
          <cell r="B2420">
            <v>0</v>
          </cell>
          <cell r="C2420" t="str">
            <v>奥义之书</v>
          </cell>
        </row>
        <row r="2421">
          <cell r="A2421">
            <v>50203066</v>
          </cell>
          <cell r="B2421">
            <v>0</v>
          </cell>
          <cell r="C2421" t="str">
            <v>法术指南</v>
          </cell>
        </row>
        <row r="2422">
          <cell r="A2422">
            <v>50200045</v>
          </cell>
          <cell r="B2422">
            <v>0</v>
          </cell>
          <cell r="C2422" t="str">
            <v>卫兵胸甲</v>
          </cell>
        </row>
        <row r="2423">
          <cell r="A2423">
            <v>50200046</v>
          </cell>
          <cell r="B2423">
            <v>0</v>
          </cell>
          <cell r="C2423" t="str">
            <v>银月护甲</v>
          </cell>
        </row>
        <row r="2424">
          <cell r="A2424">
            <v>50200075</v>
          </cell>
          <cell r="B2424">
            <v>0</v>
          </cell>
          <cell r="C2424" t="str">
            <v>手工长裤</v>
          </cell>
        </row>
        <row r="2425">
          <cell r="A2425">
            <v>50200076</v>
          </cell>
          <cell r="B2425">
            <v>0</v>
          </cell>
          <cell r="C2425" t="str">
            <v>链甲护腿</v>
          </cell>
        </row>
        <row r="2426">
          <cell r="A2426">
            <v>50250015</v>
          </cell>
          <cell r="B2426">
            <v>0</v>
          </cell>
          <cell r="C2426" t="str">
            <v>盔帽</v>
          </cell>
        </row>
        <row r="2427">
          <cell r="A2427">
            <v>50250025</v>
          </cell>
          <cell r="B2427">
            <v>0</v>
          </cell>
          <cell r="C2427" t="str">
            <v>血岩戒指</v>
          </cell>
        </row>
        <row r="2428">
          <cell r="A2428">
            <v>50250035</v>
          </cell>
          <cell r="B2428">
            <v>0</v>
          </cell>
          <cell r="C2428" t="str">
            <v>前锋腰带</v>
          </cell>
        </row>
        <row r="2429">
          <cell r="A2429">
            <v>50250085</v>
          </cell>
          <cell r="B2429">
            <v>0</v>
          </cell>
          <cell r="C2429" t="str">
            <v>探寻者之靴</v>
          </cell>
        </row>
        <row r="2430">
          <cell r="A2430">
            <v>50250095</v>
          </cell>
          <cell r="B2430">
            <v>0</v>
          </cell>
          <cell r="C2430" t="str">
            <v>轻型手套</v>
          </cell>
        </row>
        <row r="2431">
          <cell r="A2431">
            <v>50250105</v>
          </cell>
          <cell r="B2431">
            <v>0</v>
          </cell>
          <cell r="C2431" t="str">
            <v>魔光项链</v>
          </cell>
        </row>
        <row r="2432">
          <cell r="A2432">
            <v>50251055</v>
          </cell>
          <cell r="B2432">
            <v>0</v>
          </cell>
          <cell r="C2432" t="str">
            <v>血刃</v>
          </cell>
        </row>
        <row r="2433">
          <cell r="A2433">
            <v>50251056</v>
          </cell>
          <cell r="B2433">
            <v>0</v>
          </cell>
          <cell r="C2433" t="str">
            <v>游侠利刃</v>
          </cell>
        </row>
        <row r="2434">
          <cell r="A2434">
            <v>50251065</v>
          </cell>
          <cell r="B2434">
            <v>0</v>
          </cell>
          <cell r="C2434" t="str">
            <v>坚固重盾</v>
          </cell>
        </row>
        <row r="2435">
          <cell r="A2435">
            <v>50251066</v>
          </cell>
          <cell r="B2435">
            <v>0</v>
          </cell>
          <cell r="C2435" t="str">
            <v>尖头盾</v>
          </cell>
        </row>
        <row r="2436">
          <cell r="A2436">
            <v>50252055</v>
          </cell>
          <cell r="B2436">
            <v>0</v>
          </cell>
          <cell r="C2436" t="str">
            <v>精准之弓</v>
          </cell>
        </row>
        <row r="2437">
          <cell r="A2437">
            <v>50252056</v>
          </cell>
          <cell r="B2437">
            <v>0</v>
          </cell>
          <cell r="C2437" t="str">
            <v>行者弯弓</v>
          </cell>
        </row>
        <row r="2438">
          <cell r="A2438">
            <v>50252065</v>
          </cell>
          <cell r="B2438">
            <v>0</v>
          </cell>
          <cell r="C2438" t="str">
            <v>刺客箭筒</v>
          </cell>
        </row>
        <row r="2439">
          <cell r="A2439">
            <v>50252066</v>
          </cell>
          <cell r="B2439">
            <v>0</v>
          </cell>
          <cell r="C2439" t="str">
            <v>箭筒</v>
          </cell>
        </row>
        <row r="2440">
          <cell r="A2440">
            <v>50253055</v>
          </cell>
          <cell r="B2440">
            <v>0</v>
          </cell>
          <cell r="C2440" t="str">
            <v>预言法杖</v>
          </cell>
        </row>
        <row r="2441">
          <cell r="A2441">
            <v>50253056</v>
          </cell>
          <cell r="B2441">
            <v>0</v>
          </cell>
          <cell r="C2441" t="str">
            <v>荒骨法杖</v>
          </cell>
        </row>
        <row r="2442">
          <cell r="A2442">
            <v>50253065</v>
          </cell>
          <cell r="B2442">
            <v>0</v>
          </cell>
          <cell r="C2442" t="str">
            <v>魔法秘典</v>
          </cell>
        </row>
        <row r="2443">
          <cell r="A2443">
            <v>50253066</v>
          </cell>
          <cell r="B2443">
            <v>0</v>
          </cell>
          <cell r="C2443" t="str">
            <v>法术指南</v>
          </cell>
        </row>
        <row r="2444">
          <cell r="A2444">
            <v>50250045</v>
          </cell>
          <cell r="B2444">
            <v>0</v>
          </cell>
          <cell r="C2444" t="str">
            <v>烙铁胸甲</v>
          </cell>
        </row>
        <row r="2445">
          <cell r="A2445">
            <v>50250046</v>
          </cell>
          <cell r="B2445">
            <v>0</v>
          </cell>
          <cell r="C2445" t="str">
            <v>新兵外套</v>
          </cell>
        </row>
        <row r="2446">
          <cell r="A2446">
            <v>50250075</v>
          </cell>
          <cell r="B2446">
            <v>0</v>
          </cell>
          <cell r="C2446" t="str">
            <v>勇气腿甲</v>
          </cell>
        </row>
        <row r="2447">
          <cell r="A2447">
            <v>50250076</v>
          </cell>
          <cell r="B2447">
            <v>0</v>
          </cell>
          <cell r="C2447" t="str">
            <v>学徒短裤</v>
          </cell>
        </row>
        <row r="2448">
          <cell r="A2448">
            <v>50300015</v>
          </cell>
          <cell r="B2448">
            <v>0</v>
          </cell>
          <cell r="C2448" t="str">
            <v>双链罩帽</v>
          </cell>
        </row>
        <row r="2449">
          <cell r="A2449">
            <v>50300025</v>
          </cell>
          <cell r="B2449">
            <v>0</v>
          </cell>
          <cell r="C2449" t="str">
            <v>繁星之戒</v>
          </cell>
        </row>
        <row r="2450">
          <cell r="A2450">
            <v>50300035</v>
          </cell>
          <cell r="B2450">
            <v>0</v>
          </cell>
          <cell r="C2450" t="str">
            <v>秘银腰带</v>
          </cell>
        </row>
        <row r="2451">
          <cell r="A2451">
            <v>50300085</v>
          </cell>
          <cell r="B2451">
            <v>0</v>
          </cell>
          <cell r="C2451" t="str">
            <v>镶饰胫甲</v>
          </cell>
        </row>
        <row r="2452">
          <cell r="A2452">
            <v>50300095</v>
          </cell>
          <cell r="B2452">
            <v>0</v>
          </cell>
          <cell r="C2452" t="str">
            <v>链甲手套</v>
          </cell>
        </row>
        <row r="2453">
          <cell r="A2453">
            <v>50300105</v>
          </cell>
          <cell r="B2453">
            <v>0</v>
          </cell>
          <cell r="C2453" t="str">
            <v>虎眼石项链</v>
          </cell>
        </row>
        <row r="2454">
          <cell r="A2454">
            <v>50301055</v>
          </cell>
          <cell r="B2454">
            <v>0</v>
          </cell>
          <cell r="C2454" t="str">
            <v>炽热长剑</v>
          </cell>
        </row>
        <row r="2455">
          <cell r="A2455">
            <v>50301056</v>
          </cell>
          <cell r="B2455">
            <v>0</v>
          </cell>
          <cell r="C2455" t="str">
            <v>贵族阔剑</v>
          </cell>
        </row>
        <row r="2456">
          <cell r="A2456">
            <v>50301065</v>
          </cell>
          <cell r="B2456">
            <v>0</v>
          </cell>
          <cell r="C2456" t="str">
            <v>耐久盾牌</v>
          </cell>
        </row>
        <row r="2457">
          <cell r="A2457">
            <v>50301066</v>
          </cell>
          <cell r="B2457">
            <v>0</v>
          </cell>
          <cell r="C2457" t="str">
            <v>盐石盾牌</v>
          </cell>
        </row>
        <row r="2458">
          <cell r="A2458">
            <v>50302055</v>
          </cell>
          <cell r="B2458">
            <v>0</v>
          </cell>
          <cell r="C2458" t="str">
            <v>红木长弓</v>
          </cell>
        </row>
        <row r="2459">
          <cell r="A2459">
            <v>50302056</v>
          </cell>
          <cell r="B2459">
            <v>0</v>
          </cell>
          <cell r="C2459" t="str">
            <v>灼热弓</v>
          </cell>
        </row>
        <row r="2460">
          <cell r="A2460">
            <v>50302065</v>
          </cell>
          <cell r="B2460">
            <v>0</v>
          </cell>
          <cell r="C2460" t="str">
            <v>倒刺箭筒</v>
          </cell>
        </row>
        <row r="2461">
          <cell r="A2461">
            <v>50302066</v>
          </cell>
          <cell r="B2461">
            <v>0</v>
          </cell>
          <cell r="C2461" t="str">
            <v>崇圣箭筒</v>
          </cell>
        </row>
        <row r="2462">
          <cell r="A2462">
            <v>50303055</v>
          </cell>
          <cell r="B2462">
            <v>0</v>
          </cell>
          <cell r="C2462" t="str">
            <v>荒骨法杖</v>
          </cell>
        </row>
        <row r="2463">
          <cell r="A2463">
            <v>50303056</v>
          </cell>
          <cell r="B2463">
            <v>0</v>
          </cell>
          <cell r="C2463" t="str">
            <v>新月法杖</v>
          </cell>
        </row>
        <row r="2464">
          <cell r="A2464">
            <v>50303065</v>
          </cell>
          <cell r="B2464">
            <v>0</v>
          </cell>
          <cell r="C2464" t="str">
            <v>神圣典籍</v>
          </cell>
        </row>
        <row r="2465">
          <cell r="A2465">
            <v>50303066</v>
          </cell>
          <cell r="B2465">
            <v>0</v>
          </cell>
          <cell r="C2465" t="str">
            <v>召唤之书</v>
          </cell>
        </row>
        <row r="2466">
          <cell r="A2466">
            <v>50300045</v>
          </cell>
          <cell r="B2466">
            <v>0</v>
          </cell>
          <cell r="C2466" t="str">
            <v>水滴胸铠</v>
          </cell>
        </row>
        <row r="2467">
          <cell r="A2467">
            <v>50300046</v>
          </cell>
          <cell r="B2467">
            <v>0</v>
          </cell>
          <cell r="C2467" t="str">
            <v>防卫者外套</v>
          </cell>
        </row>
        <row r="2468">
          <cell r="A2468">
            <v>50300075</v>
          </cell>
          <cell r="B2468">
            <v>0</v>
          </cell>
          <cell r="C2468" t="str">
            <v>游侠护腿</v>
          </cell>
        </row>
        <row r="2469">
          <cell r="A2469">
            <v>50300076</v>
          </cell>
          <cell r="B2469">
            <v>0</v>
          </cell>
          <cell r="C2469" t="str">
            <v>逐风护腿</v>
          </cell>
        </row>
        <row r="2470">
          <cell r="A2470">
            <v>50350015</v>
          </cell>
          <cell r="B2470">
            <v>0</v>
          </cell>
          <cell r="C2470" t="str">
            <v>镶带头盔</v>
          </cell>
        </row>
        <row r="2471">
          <cell r="A2471">
            <v>50350025</v>
          </cell>
          <cell r="B2471">
            <v>0</v>
          </cell>
          <cell r="C2471" t="str">
            <v>烈焰指环</v>
          </cell>
        </row>
        <row r="2472">
          <cell r="A2472">
            <v>50350035</v>
          </cell>
          <cell r="B2472">
            <v>0</v>
          </cell>
          <cell r="C2472" t="str">
            <v>斗士腰带</v>
          </cell>
        </row>
        <row r="2473">
          <cell r="A2473">
            <v>50350085</v>
          </cell>
          <cell r="B2473">
            <v>0</v>
          </cell>
          <cell r="C2473" t="str">
            <v>混乱之靴</v>
          </cell>
        </row>
        <row r="2474">
          <cell r="A2474">
            <v>50350095</v>
          </cell>
          <cell r="B2474">
            <v>0</v>
          </cell>
          <cell r="C2474" t="str">
            <v>激励手甲</v>
          </cell>
        </row>
        <row r="2475">
          <cell r="A2475">
            <v>50350105</v>
          </cell>
          <cell r="B2475">
            <v>0</v>
          </cell>
          <cell r="C2475" t="str">
            <v>苍蓝挂坠</v>
          </cell>
        </row>
        <row r="2476">
          <cell r="A2476">
            <v>50351055</v>
          </cell>
          <cell r="B2476">
            <v>0</v>
          </cell>
          <cell r="C2476" t="str">
            <v>水晶剑</v>
          </cell>
        </row>
        <row r="2477">
          <cell r="A2477">
            <v>50351056</v>
          </cell>
          <cell r="B2477">
            <v>0</v>
          </cell>
          <cell r="C2477" t="str">
            <v>军刀</v>
          </cell>
        </row>
        <row r="2478">
          <cell r="A2478">
            <v>50351065</v>
          </cell>
          <cell r="B2478">
            <v>0</v>
          </cell>
          <cell r="C2478" t="str">
            <v>符记盾牌</v>
          </cell>
        </row>
        <row r="2479">
          <cell r="A2479">
            <v>50351066</v>
          </cell>
          <cell r="B2479">
            <v>0</v>
          </cell>
          <cell r="C2479" t="str">
            <v>秩序盾牌</v>
          </cell>
        </row>
        <row r="2480">
          <cell r="A2480">
            <v>50352055</v>
          </cell>
          <cell r="B2480">
            <v>0</v>
          </cell>
          <cell r="C2480" t="str">
            <v>风语者弯弓</v>
          </cell>
        </row>
        <row r="2481">
          <cell r="A2481">
            <v>50352056</v>
          </cell>
          <cell r="B2481">
            <v>0</v>
          </cell>
          <cell r="C2481" t="str">
            <v>棘木弓</v>
          </cell>
        </row>
        <row r="2482">
          <cell r="A2482">
            <v>50352065</v>
          </cell>
          <cell r="B2482">
            <v>0</v>
          </cell>
          <cell r="C2482" t="str">
            <v>游侠箭筒</v>
          </cell>
        </row>
        <row r="2483">
          <cell r="A2483">
            <v>50352066</v>
          </cell>
          <cell r="B2483">
            <v>0</v>
          </cell>
          <cell r="C2483" t="str">
            <v>风行者箭筒</v>
          </cell>
        </row>
        <row r="2484">
          <cell r="A2484">
            <v>50353055</v>
          </cell>
          <cell r="B2484">
            <v>0</v>
          </cell>
          <cell r="C2484" t="str">
            <v>聚能之杖</v>
          </cell>
        </row>
        <row r="2485">
          <cell r="A2485">
            <v>50353056</v>
          </cell>
          <cell r="B2485">
            <v>0</v>
          </cell>
          <cell r="C2485" t="str">
            <v>学徒法杖</v>
          </cell>
        </row>
        <row r="2486">
          <cell r="A2486">
            <v>50353065</v>
          </cell>
          <cell r="B2486">
            <v>0</v>
          </cell>
          <cell r="C2486" t="str">
            <v>召唤魔典</v>
          </cell>
        </row>
        <row r="2487">
          <cell r="A2487">
            <v>50353066</v>
          </cell>
          <cell r="B2487">
            <v>0</v>
          </cell>
          <cell r="C2487" t="str">
            <v>大法师之书</v>
          </cell>
        </row>
        <row r="2488">
          <cell r="A2488">
            <v>50350045</v>
          </cell>
          <cell r="B2488">
            <v>0</v>
          </cell>
          <cell r="C2488" t="str">
            <v>蛮兽胸甲</v>
          </cell>
        </row>
        <row r="2489">
          <cell r="A2489">
            <v>50350046</v>
          </cell>
          <cell r="B2489">
            <v>0</v>
          </cell>
          <cell r="C2489" t="str">
            <v>魔鳞外衣</v>
          </cell>
        </row>
        <row r="2490">
          <cell r="A2490">
            <v>50350075</v>
          </cell>
          <cell r="B2490">
            <v>0</v>
          </cell>
          <cell r="C2490" t="str">
            <v>残忍腿甲</v>
          </cell>
        </row>
        <row r="2491">
          <cell r="A2491">
            <v>50350076</v>
          </cell>
          <cell r="B2491">
            <v>0</v>
          </cell>
          <cell r="C2491" t="str">
            <v>学徒短裤</v>
          </cell>
        </row>
        <row r="2492">
          <cell r="A2492">
            <v>50400015</v>
          </cell>
          <cell r="B2492">
            <v>0</v>
          </cell>
          <cell r="C2492" t="str">
            <v>烈焰头罩</v>
          </cell>
        </row>
        <row r="2493">
          <cell r="A2493">
            <v>50400025</v>
          </cell>
          <cell r="B2493">
            <v>0</v>
          </cell>
          <cell r="C2493" t="str">
            <v>龙纹戒指</v>
          </cell>
        </row>
        <row r="2494">
          <cell r="A2494">
            <v>50400035</v>
          </cell>
          <cell r="B2494">
            <v>0</v>
          </cell>
          <cell r="C2494" t="str">
            <v>力量腰带</v>
          </cell>
        </row>
        <row r="2495">
          <cell r="A2495">
            <v>50400085</v>
          </cell>
          <cell r="B2495">
            <v>0</v>
          </cell>
          <cell r="C2495" t="str">
            <v>征战之靴</v>
          </cell>
        </row>
        <row r="2496">
          <cell r="A2496">
            <v>50400095</v>
          </cell>
          <cell r="B2496">
            <v>0</v>
          </cell>
          <cell r="C2496" t="str">
            <v>重拳手套</v>
          </cell>
        </row>
        <row r="2497">
          <cell r="A2497">
            <v>50400105</v>
          </cell>
          <cell r="B2497">
            <v>0</v>
          </cell>
          <cell r="C2497" t="str">
            <v>迅捷项链</v>
          </cell>
        </row>
        <row r="2498">
          <cell r="A2498">
            <v>50401055</v>
          </cell>
          <cell r="B2498">
            <v>0</v>
          </cell>
          <cell r="C2498" t="str">
            <v>魔铁巨剑</v>
          </cell>
        </row>
        <row r="2499">
          <cell r="A2499">
            <v>50401056</v>
          </cell>
          <cell r="B2499">
            <v>0</v>
          </cell>
          <cell r="C2499" t="str">
            <v>破咒之刃</v>
          </cell>
        </row>
        <row r="2500">
          <cell r="A2500">
            <v>50401065</v>
          </cell>
          <cell r="B2500">
            <v>0</v>
          </cell>
          <cell r="C2500" t="str">
            <v>洛阿巨盾</v>
          </cell>
        </row>
        <row r="2501">
          <cell r="A2501">
            <v>50401066</v>
          </cell>
          <cell r="B2501">
            <v>0</v>
          </cell>
          <cell r="C2501" t="str">
            <v>尖头盾</v>
          </cell>
        </row>
        <row r="2502">
          <cell r="A2502">
            <v>50402055</v>
          </cell>
          <cell r="B2502">
            <v>0</v>
          </cell>
          <cell r="C2502" t="str">
            <v>强击之弓</v>
          </cell>
        </row>
        <row r="2503">
          <cell r="A2503">
            <v>50402056</v>
          </cell>
          <cell r="B2503">
            <v>0</v>
          </cell>
          <cell r="C2503" t="str">
            <v>羽月长弓</v>
          </cell>
        </row>
        <row r="2504">
          <cell r="A2504">
            <v>50402065</v>
          </cell>
          <cell r="B2504">
            <v>0</v>
          </cell>
          <cell r="C2504" t="str">
            <v>风怒箭筒</v>
          </cell>
        </row>
        <row r="2505">
          <cell r="A2505">
            <v>50402066</v>
          </cell>
          <cell r="B2505">
            <v>0</v>
          </cell>
          <cell r="C2505" t="str">
            <v>箭筒</v>
          </cell>
        </row>
        <row r="2506">
          <cell r="A2506">
            <v>50403055</v>
          </cell>
          <cell r="B2506">
            <v>0</v>
          </cell>
          <cell r="C2506" t="str">
            <v>符文魔杖</v>
          </cell>
        </row>
        <row r="2507">
          <cell r="A2507">
            <v>50403056</v>
          </cell>
          <cell r="B2507">
            <v>0</v>
          </cell>
          <cell r="C2507" t="str">
            <v>真理之杖</v>
          </cell>
        </row>
        <row r="2508">
          <cell r="A2508">
            <v>50403065</v>
          </cell>
          <cell r="B2508">
            <v>0</v>
          </cell>
          <cell r="C2508" t="str">
            <v>附魔秘典</v>
          </cell>
        </row>
        <row r="2509">
          <cell r="A2509">
            <v>50403066</v>
          </cell>
          <cell r="B2509">
            <v>0</v>
          </cell>
          <cell r="C2509" t="str">
            <v>法术指南</v>
          </cell>
        </row>
        <row r="2510">
          <cell r="A2510">
            <v>50400045</v>
          </cell>
          <cell r="B2510">
            <v>0</v>
          </cell>
          <cell r="C2510" t="str">
            <v>瑟银护甲</v>
          </cell>
        </row>
        <row r="2511">
          <cell r="A2511">
            <v>50400046</v>
          </cell>
          <cell r="B2511">
            <v>0</v>
          </cell>
          <cell r="C2511" t="str">
            <v>新兵外套</v>
          </cell>
        </row>
        <row r="2512">
          <cell r="A2512">
            <v>50400075</v>
          </cell>
          <cell r="B2512">
            <v>0</v>
          </cell>
          <cell r="C2512" t="str">
            <v>巨熊护腿</v>
          </cell>
        </row>
        <row r="2513">
          <cell r="A2513">
            <v>50400076</v>
          </cell>
          <cell r="B2513">
            <v>0</v>
          </cell>
          <cell r="C2513" t="str">
            <v>学徒短裤</v>
          </cell>
        </row>
        <row r="2514">
          <cell r="A2514">
            <v>50450015</v>
          </cell>
          <cell r="B2514">
            <v>0</v>
          </cell>
          <cell r="C2514" t="str">
            <v>战争头盔</v>
          </cell>
        </row>
        <row r="2515">
          <cell r="A2515">
            <v>50450025</v>
          </cell>
          <cell r="B2515">
            <v>0</v>
          </cell>
          <cell r="C2515" t="str">
            <v>洞察指环</v>
          </cell>
        </row>
        <row r="2516">
          <cell r="A2516">
            <v>50450035</v>
          </cell>
          <cell r="B2516">
            <v>0</v>
          </cell>
          <cell r="C2516" t="str">
            <v>督军腰带</v>
          </cell>
        </row>
        <row r="2517">
          <cell r="A2517">
            <v>50450085</v>
          </cell>
          <cell r="B2517">
            <v>0</v>
          </cell>
          <cell r="C2517" t="str">
            <v>浩劫长靴</v>
          </cell>
        </row>
        <row r="2518">
          <cell r="A2518">
            <v>50450095</v>
          </cell>
          <cell r="B2518">
            <v>0</v>
          </cell>
          <cell r="C2518" t="str">
            <v>愤怒护手</v>
          </cell>
        </row>
        <row r="2519">
          <cell r="A2519">
            <v>50450105</v>
          </cell>
          <cell r="B2519">
            <v>0</v>
          </cell>
          <cell r="C2519" t="str">
            <v>新月项链</v>
          </cell>
        </row>
        <row r="2520">
          <cell r="A2520">
            <v>50451055</v>
          </cell>
          <cell r="B2520">
            <v>0</v>
          </cell>
          <cell r="C2520" t="str">
            <v>龙纹之刃</v>
          </cell>
        </row>
        <row r="2521">
          <cell r="A2521">
            <v>50451056</v>
          </cell>
          <cell r="B2521">
            <v>0</v>
          </cell>
          <cell r="C2521" t="str">
            <v>军刀</v>
          </cell>
        </row>
        <row r="2522">
          <cell r="A2522">
            <v>50451065</v>
          </cell>
          <cell r="B2522">
            <v>0</v>
          </cell>
          <cell r="C2522" t="str">
            <v>正义壁垒</v>
          </cell>
        </row>
        <row r="2523">
          <cell r="A2523">
            <v>50451066</v>
          </cell>
          <cell r="B2523">
            <v>0</v>
          </cell>
          <cell r="C2523" t="str">
            <v>尖头盾</v>
          </cell>
        </row>
        <row r="2524">
          <cell r="A2524">
            <v>50452055</v>
          </cell>
          <cell r="B2524">
            <v>0</v>
          </cell>
          <cell r="C2524" t="str">
            <v>霜语长弓</v>
          </cell>
        </row>
        <row r="2525">
          <cell r="A2525">
            <v>50452056</v>
          </cell>
          <cell r="B2525">
            <v>0</v>
          </cell>
          <cell r="C2525" t="str">
            <v>棘木弓</v>
          </cell>
        </row>
        <row r="2526">
          <cell r="A2526">
            <v>50452065</v>
          </cell>
          <cell r="B2526">
            <v>0</v>
          </cell>
          <cell r="C2526" t="str">
            <v>月沐箭筒</v>
          </cell>
        </row>
        <row r="2527">
          <cell r="A2527">
            <v>50452066</v>
          </cell>
          <cell r="B2527">
            <v>0</v>
          </cell>
          <cell r="C2527" t="str">
            <v>箭筒</v>
          </cell>
        </row>
        <row r="2528">
          <cell r="A2528">
            <v>50453055</v>
          </cell>
          <cell r="B2528">
            <v>0</v>
          </cell>
          <cell r="C2528" t="str">
            <v>皇权之杖</v>
          </cell>
        </row>
        <row r="2529">
          <cell r="A2529">
            <v>50453056</v>
          </cell>
          <cell r="B2529">
            <v>0</v>
          </cell>
          <cell r="C2529" t="str">
            <v>圣晶权杖</v>
          </cell>
        </row>
        <row r="2530">
          <cell r="A2530">
            <v>50453065</v>
          </cell>
          <cell r="B2530">
            <v>0</v>
          </cell>
          <cell r="C2530" t="str">
            <v>占卜魔典</v>
          </cell>
        </row>
        <row r="2531">
          <cell r="A2531">
            <v>50453066</v>
          </cell>
          <cell r="B2531">
            <v>0</v>
          </cell>
          <cell r="C2531" t="str">
            <v>法术指南</v>
          </cell>
        </row>
        <row r="2532">
          <cell r="A2532">
            <v>50450045</v>
          </cell>
          <cell r="B2532">
            <v>0</v>
          </cell>
          <cell r="C2532" t="str">
            <v>执政官胸甲</v>
          </cell>
        </row>
        <row r="2533">
          <cell r="A2533">
            <v>50450046</v>
          </cell>
          <cell r="B2533">
            <v>0</v>
          </cell>
          <cell r="C2533" t="str">
            <v>军团胸甲</v>
          </cell>
        </row>
        <row r="2534">
          <cell r="A2534">
            <v>50450075</v>
          </cell>
          <cell r="B2534">
            <v>0</v>
          </cell>
          <cell r="C2534" t="str">
            <v>冰铸腿铠</v>
          </cell>
        </row>
        <row r="2535">
          <cell r="A2535">
            <v>50450076</v>
          </cell>
          <cell r="B2535">
            <v>0</v>
          </cell>
          <cell r="C2535" t="str">
            <v>织灵护腿</v>
          </cell>
        </row>
        <row r="2536">
          <cell r="A2536">
            <v>50500015</v>
          </cell>
          <cell r="B2536">
            <v>0</v>
          </cell>
          <cell r="C2536" t="str">
            <v>战痕头盔</v>
          </cell>
        </row>
        <row r="2537">
          <cell r="A2537">
            <v>50500025</v>
          </cell>
          <cell r="B2537">
            <v>0</v>
          </cell>
          <cell r="C2537" t="str">
            <v>灵风之戒</v>
          </cell>
        </row>
        <row r="2538">
          <cell r="A2538">
            <v>50500035</v>
          </cell>
          <cell r="B2538">
            <v>0</v>
          </cell>
          <cell r="C2538" t="str">
            <v>生命腰带</v>
          </cell>
        </row>
        <row r="2539">
          <cell r="A2539">
            <v>50500085</v>
          </cell>
          <cell r="B2539">
            <v>0</v>
          </cell>
          <cell r="C2539" t="str">
            <v>龙鳞护胫</v>
          </cell>
        </row>
        <row r="2540">
          <cell r="A2540">
            <v>50500095</v>
          </cell>
          <cell r="B2540">
            <v>0</v>
          </cell>
          <cell r="C2540" t="str">
            <v>血拳手套</v>
          </cell>
        </row>
        <row r="2541">
          <cell r="A2541">
            <v>50500105</v>
          </cell>
          <cell r="B2541">
            <v>0</v>
          </cell>
          <cell r="C2541" t="str">
            <v>誓言护坠</v>
          </cell>
        </row>
        <row r="2542">
          <cell r="A2542">
            <v>50501055</v>
          </cell>
          <cell r="B2542">
            <v>0</v>
          </cell>
          <cell r="C2542" t="str">
            <v>黎明之刃</v>
          </cell>
        </row>
        <row r="2543">
          <cell r="A2543">
            <v>50501056</v>
          </cell>
          <cell r="B2543">
            <v>0</v>
          </cell>
          <cell r="C2543" t="str">
            <v>放逐者之刃</v>
          </cell>
        </row>
        <row r="2544">
          <cell r="A2544">
            <v>50501065</v>
          </cell>
          <cell r="B2544">
            <v>0</v>
          </cell>
          <cell r="C2544" t="str">
            <v>魂祭之盾</v>
          </cell>
        </row>
        <row r="2545">
          <cell r="A2545">
            <v>50501066</v>
          </cell>
          <cell r="B2545">
            <v>0</v>
          </cell>
          <cell r="C2545" t="str">
            <v>氪金大盾</v>
          </cell>
        </row>
        <row r="2546">
          <cell r="A2546">
            <v>50502055</v>
          </cell>
          <cell r="B2546">
            <v>0</v>
          </cell>
          <cell r="C2546" t="str">
            <v>觅心者长弓</v>
          </cell>
        </row>
        <row r="2547">
          <cell r="A2547">
            <v>50502056</v>
          </cell>
          <cell r="B2547">
            <v>0</v>
          </cell>
          <cell r="C2547" t="str">
            <v>阳炎之弓</v>
          </cell>
        </row>
        <row r="2548">
          <cell r="A2548">
            <v>50502065</v>
          </cell>
          <cell r="B2548">
            <v>0</v>
          </cell>
          <cell r="C2548" t="str">
            <v>黑骨箭袋</v>
          </cell>
        </row>
        <row r="2549">
          <cell r="A2549">
            <v>50502066</v>
          </cell>
          <cell r="B2549">
            <v>0</v>
          </cell>
          <cell r="C2549" t="str">
            <v>符文箭筒</v>
          </cell>
        </row>
        <row r="2550">
          <cell r="A2550">
            <v>50503055</v>
          </cell>
          <cell r="B2550">
            <v>0</v>
          </cell>
          <cell r="C2550" t="str">
            <v>虚灵法杖</v>
          </cell>
        </row>
        <row r="2551">
          <cell r="A2551">
            <v>50503056</v>
          </cell>
          <cell r="B2551">
            <v>0</v>
          </cell>
          <cell r="C2551" t="str">
            <v>恒光巨杖</v>
          </cell>
        </row>
        <row r="2552">
          <cell r="A2552">
            <v>50503065</v>
          </cell>
          <cell r="B2552">
            <v>0</v>
          </cell>
          <cell r="C2552" t="str">
            <v>幻术之书</v>
          </cell>
        </row>
        <row r="2553">
          <cell r="A2553">
            <v>50503066</v>
          </cell>
          <cell r="B2553">
            <v>0</v>
          </cell>
          <cell r="C2553" t="str">
            <v>护咒之书</v>
          </cell>
        </row>
        <row r="2554">
          <cell r="A2554">
            <v>50500045</v>
          </cell>
          <cell r="B2554">
            <v>0</v>
          </cell>
          <cell r="C2554" t="str">
            <v>皇家护胸</v>
          </cell>
        </row>
        <row r="2555">
          <cell r="A2555">
            <v>50500046</v>
          </cell>
          <cell r="B2555">
            <v>0</v>
          </cell>
          <cell r="C2555" t="str">
            <v>新兵外套</v>
          </cell>
        </row>
        <row r="2556">
          <cell r="A2556">
            <v>50500075</v>
          </cell>
          <cell r="B2556">
            <v>0</v>
          </cell>
          <cell r="C2556" t="str">
            <v>凯旋腿甲</v>
          </cell>
        </row>
        <row r="2557">
          <cell r="A2557">
            <v>50500076</v>
          </cell>
          <cell r="B2557">
            <v>0</v>
          </cell>
          <cell r="C2557" t="str">
            <v>学徒短裤</v>
          </cell>
        </row>
        <row r="2558">
          <cell r="A2558">
            <v>50550015</v>
          </cell>
          <cell r="B2558">
            <v>0</v>
          </cell>
          <cell r="C2558" t="str">
            <v>银月头盔</v>
          </cell>
        </row>
        <row r="2559">
          <cell r="A2559">
            <v>50550025</v>
          </cell>
          <cell r="B2559">
            <v>0</v>
          </cell>
          <cell r="C2559" t="str">
            <v>镇魂之戒</v>
          </cell>
        </row>
        <row r="2560">
          <cell r="A2560">
            <v>50550035</v>
          </cell>
          <cell r="B2560">
            <v>0</v>
          </cell>
          <cell r="C2560" t="str">
            <v>魔鳞腰带</v>
          </cell>
        </row>
        <row r="2561">
          <cell r="A2561">
            <v>50550085</v>
          </cell>
          <cell r="B2561">
            <v>0</v>
          </cell>
          <cell r="C2561" t="str">
            <v>天行者之靴</v>
          </cell>
        </row>
        <row r="2562">
          <cell r="A2562">
            <v>50550095</v>
          </cell>
          <cell r="B2562">
            <v>0</v>
          </cell>
          <cell r="C2562" t="str">
            <v>战火护手</v>
          </cell>
        </row>
        <row r="2563">
          <cell r="A2563">
            <v>50550105</v>
          </cell>
          <cell r="B2563">
            <v>0</v>
          </cell>
          <cell r="C2563" t="str">
            <v>遗忘石坠</v>
          </cell>
        </row>
        <row r="2564">
          <cell r="A2564">
            <v>50551055</v>
          </cell>
          <cell r="B2564">
            <v>0</v>
          </cell>
          <cell r="C2564" t="str">
            <v>噬魂符剑</v>
          </cell>
        </row>
        <row r="2565">
          <cell r="A2565">
            <v>50551056</v>
          </cell>
          <cell r="B2565">
            <v>0</v>
          </cell>
          <cell r="C2565" t="str">
            <v>军刀</v>
          </cell>
        </row>
        <row r="2566">
          <cell r="A2566">
            <v>50551065</v>
          </cell>
          <cell r="B2566">
            <v>0</v>
          </cell>
          <cell r="C2566" t="str">
            <v>反射壁垒</v>
          </cell>
        </row>
        <row r="2567">
          <cell r="A2567">
            <v>50551066</v>
          </cell>
          <cell r="B2567">
            <v>0</v>
          </cell>
          <cell r="C2567" t="str">
            <v>巨龙之盾</v>
          </cell>
        </row>
        <row r="2568">
          <cell r="A2568">
            <v>50552055</v>
          </cell>
          <cell r="B2568">
            <v>0</v>
          </cell>
          <cell r="C2568" t="str">
            <v>魂击长弓</v>
          </cell>
        </row>
        <row r="2569">
          <cell r="A2569">
            <v>50552056</v>
          </cell>
          <cell r="B2569">
            <v>0</v>
          </cell>
          <cell r="C2569" t="str">
            <v>棘木弓</v>
          </cell>
        </row>
        <row r="2570">
          <cell r="A2570">
            <v>50552065</v>
          </cell>
          <cell r="B2570">
            <v>0</v>
          </cell>
          <cell r="C2570" t="str">
            <v>银矢箭筒</v>
          </cell>
        </row>
        <row r="2571">
          <cell r="A2571">
            <v>50552066</v>
          </cell>
          <cell r="B2571">
            <v>0</v>
          </cell>
          <cell r="C2571" t="str">
            <v>日怒箭筒</v>
          </cell>
        </row>
        <row r="2572">
          <cell r="A2572">
            <v>50553055</v>
          </cell>
          <cell r="B2572">
            <v>0</v>
          </cell>
          <cell r="C2572" t="str">
            <v>寒霜之怒</v>
          </cell>
        </row>
        <row r="2573">
          <cell r="A2573">
            <v>50553056</v>
          </cell>
          <cell r="B2573">
            <v>0</v>
          </cell>
          <cell r="C2573" t="str">
            <v>学徒法杖</v>
          </cell>
        </row>
        <row r="2574">
          <cell r="A2574">
            <v>50553065</v>
          </cell>
          <cell r="B2574">
            <v>0</v>
          </cell>
          <cell r="C2574" t="str">
            <v>遗忘魔典</v>
          </cell>
        </row>
        <row r="2575">
          <cell r="A2575">
            <v>50553066</v>
          </cell>
          <cell r="B2575">
            <v>0</v>
          </cell>
          <cell r="C2575" t="str">
            <v>龙语入门</v>
          </cell>
        </row>
        <row r="2576">
          <cell r="A2576">
            <v>50550045</v>
          </cell>
          <cell r="B2576">
            <v>0</v>
          </cell>
          <cell r="C2576" t="str">
            <v>血卫胸甲</v>
          </cell>
        </row>
        <row r="2577">
          <cell r="A2577">
            <v>50550046</v>
          </cell>
          <cell r="B2577">
            <v>0</v>
          </cell>
          <cell r="C2577" t="str">
            <v>新兵外套</v>
          </cell>
        </row>
        <row r="2578">
          <cell r="A2578">
            <v>50550075</v>
          </cell>
          <cell r="B2578">
            <v>0</v>
          </cell>
          <cell r="C2578" t="str">
            <v>征服者护腿</v>
          </cell>
        </row>
        <row r="2579">
          <cell r="A2579">
            <v>50550076</v>
          </cell>
          <cell r="B2579">
            <v>0</v>
          </cell>
          <cell r="C2579" t="str">
            <v>学徒短裤</v>
          </cell>
        </row>
        <row r="2580">
          <cell r="A2580">
            <v>50600015</v>
          </cell>
          <cell r="B2580">
            <v>0</v>
          </cell>
          <cell r="C2580" t="str">
            <v>英勇战盔</v>
          </cell>
        </row>
        <row r="2581">
          <cell r="A2581">
            <v>50600025</v>
          </cell>
          <cell r="B2581">
            <v>0</v>
          </cell>
          <cell r="C2581" t="str">
            <v>星宇指环</v>
          </cell>
        </row>
        <row r="2582">
          <cell r="A2582">
            <v>50600035</v>
          </cell>
          <cell r="B2582">
            <v>0</v>
          </cell>
          <cell r="C2582" t="str">
            <v>远征腰带</v>
          </cell>
        </row>
        <row r="2583">
          <cell r="A2583">
            <v>50600085</v>
          </cell>
          <cell r="B2583">
            <v>0</v>
          </cell>
          <cell r="C2583" t="str">
            <v>风暴长靴</v>
          </cell>
        </row>
        <row r="2584">
          <cell r="A2584">
            <v>50600095</v>
          </cell>
          <cell r="B2584">
            <v>0</v>
          </cell>
          <cell r="C2584" t="str">
            <v>远征军护手</v>
          </cell>
        </row>
        <row r="2585">
          <cell r="A2585">
            <v>50600105</v>
          </cell>
          <cell r="B2585">
            <v>0</v>
          </cell>
          <cell r="C2585" t="str">
            <v>悔恨之链</v>
          </cell>
        </row>
        <row r="2586">
          <cell r="A2586">
            <v>50601055</v>
          </cell>
          <cell r="B2586">
            <v>0</v>
          </cell>
          <cell r="C2586" t="str">
            <v>毁灭之刃</v>
          </cell>
        </row>
        <row r="2587">
          <cell r="A2587">
            <v>50601056</v>
          </cell>
          <cell r="B2587">
            <v>0</v>
          </cell>
          <cell r="C2587" t="str">
            <v>逐光巨剑</v>
          </cell>
        </row>
        <row r="2588">
          <cell r="A2588">
            <v>50601065</v>
          </cell>
          <cell r="B2588">
            <v>0</v>
          </cell>
          <cell r="C2588" t="str">
            <v>灵魂壁垒</v>
          </cell>
        </row>
        <row r="2589">
          <cell r="A2589">
            <v>50601066</v>
          </cell>
          <cell r="B2589">
            <v>0</v>
          </cell>
          <cell r="C2589" t="str">
            <v>尖头盾</v>
          </cell>
        </row>
        <row r="2590">
          <cell r="A2590">
            <v>50602055</v>
          </cell>
          <cell r="B2590">
            <v>0</v>
          </cell>
          <cell r="C2590" t="str">
            <v>暗之追猎者</v>
          </cell>
        </row>
        <row r="2591">
          <cell r="A2591">
            <v>50602056</v>
          </cell>
          <cell r="B2591">
            <v>0</v>
          </cell>
          <cell r="C2591" t="str">
            <v>棘木弓</v>
          </cell>
        </row>
        <row r="2592">
          <cell r="A2592">
            <v>50602065</v>
          </cell>
          <cell r="B2592">
            <v>0</v>
          </cell>
          <cell r="C2592" t="str">
            <v>猎星箭袋</v>
          </cell>
        </row>
        <row r="2593">
          <cell r="A2593">
            <v>50602066</v>
          </cell>
          <cell r="B2593">
            <v>0</v>
          </cell>
          <cell r="C2593" t="str">
            <v>箭筒</v>
          </cell>
        </row>
        <row r="2594">
          <cell r="A2594">
            <v>50603055</v>
          </cell>
          <cell r="B2594">
            <v>0</v>
          </cell>
          <cell r="C2594" t="str">
            <v>无尽回响之杖</v>
          </cell>
        </row>
        <row r="2595">
          <cell r="A2595">
            <v>50603056</v>
          </cell>
          <cell r="B2595">
            <v>0</v>
          </cell>
          <cell r="C2595" t="str">
            <v>日辉法杖</v>
          </cell>
        </row>
        <row r="2596">
          <cell r="A2596">
            <v>50603065</v>
          </cell>
          <cell r="B2596">
            <v>0</v>
          </cell>
          <cell r="C2596" t="str">
            <v>星图指南</v>
          </cell>
        </row>
        <row r="2597">
          <cell r="A2597">
            <v>50603066</v>
          </cell>
          <cell r="B2597">
            <v>0</v>
          </cell>
          <cell r="C2597" t="str">
            <v>法术指南</v>
          </cell>
        </row>
        <row r="2598">
          <cell r="A2598">
            <v>50600045</v>
          </cell>
          <cell r="B2598">
            <v>0</v>
          </cell>
          <cell r="C2598" t="str">
            <v>明光战甲</v>
          </cell>
        </row>
        <row r="2599">
          <cell r="A2599">
            <v>50600046</v>
          </cell>
          <cell r="B2599">
            <v>0</v>
          </cell>
          <cell r="C2599" t="str">
            <v>龙骑战甲</v>
          </cell>
        </row>
        <row r="2600">
          <cell r="A2600">
            <v>50600075</v>
          </cell>
          <cell r="B2600">
            <v>0</v>
          </cell>
          <cell r="C2600" t="str">
            <v>深渊护腿</v>
          </cell>
        </row>
        <row r="2601">
          <cell r="A2601">
            <v>50600076</v>
          </cell>
          <cell r="B2601">
            <v>0</v>
          </cell>
          <cell r="C2601" t="str">
            <v>光耀腿甲</v>
          </cell>
        </row>
        <row r="2602">
          <cell r="A2602">
            <v>50650015</v>
          </cell>
          <cell r="B2602">
            <v>0</v>
          </cell>
          <cell r="C2602" t="str">
            <v>虚空之冠</v>
          </cell>
        </row>
        <row r="2603">
          <cell r="A2603">
            <v>50650025</v>
          </cell>
          <cell r="B2603">
            <v>0</v>
          </cell>
          <cell r="C2603" t="str">
            <v>圣火指环</v>
          </cell>
        </row>
        <row r="2604">
          <cell r="A2604">
            <v>50650035</v>
          </cell>
          <cell r="B2604">
            <v>0</v>
          </cell>
          <cell r="C2604" t="str">
            <v>统御腰带</v>
          </cell>
        </row>
        <row r="2605">
          <cell r="A2605">
            <v>50650085</v>
          </cell>
          <cell r="B2605">
            <v>0</v>
          </cell>
          <cell r="C2605" t="str">
            <v>狱火战靴</v>
          </cell>
        </row>
        <row r="2606">
          <cell r="A2606">
            <v>50650095</v>
          </cell>
          <cell r="B2606">
            <v>0</v>
          </cell>
          <cell r="C2606" t="str">
            <v>荣耀先驱护手</v>
          </cell>
        </row>
        <row r="2607">
          <cell r="A2607">
            <v>50650105</v>
          </cell>
          <cell r="B2607">
            <v>0</v>
          </cell>
          <cell r="C2607" t="str">
            <v>救赎坠饰</v>
          </cell>
        </row>
        <row r="2608">
          <cell r="A2608">
            <v>50651055</v>
          </cell>
          <cell r="B2608">
            <v>0</v>
          </cell>
          <cell r="C2608" t="str">
            <v>魂歌之刃</v>
          </cell>
        </row>
        <row r="2609">
          <cell r="A2609">
            <v>50651056</v>
          </cell>
          <cell r="B2609">
            <v>0</v>
          </cell>
          <cell r="C2609" t="str">
            <v>命运</v>
          </cell>
        </row>
        <row r="2610">
          <cell r="A2610">
            <v>50651065</v>
          </cell>
          <cell r="B2610">
            <v>0</v>
          </cell>
          <cell r="C2610" t="str">
            <v>日怒之盾</v>
          </cell>
        </row>
        <row r="2611">
          <cell r="A2611">
            <v>50651066</v>
          </cell>
          <cell r="B2611">
            <v>0</v>
          </cell>
          <cell r="C2611" t="str">
            <v>尖头盾</v>
          </cell>
        </row>
        <row r="2612">
          <cell r="A2612">
            <v>50652055</v>
          </cell>
          <cell r="B2612">
            <v>0</v>
          </cell>
          <cell r="C2612" t="str">
            <v>憎恨之击</v>
          </cell>
        </row>
        <row r="2613">
          <cell r="A2613">
            <v>50652056</v>
          </cell>
          <cell r="B2613">
            <v>0</v>
          </cell>
          <cell r="C2613" t="str">
            <v>日怒凰弓</v>
          </cell>
        </row>
        <row r="2614">
          <cell r="A2614">
            <v>50652065</v>
          </cell>
          <cell r="B2614">
            <v>0</v>
          </cell>
          <cell r="C2614" t="str">
            <v>追噬之矢</v>
          </cell>
        </row>
        <row r="2615">
          <cell r="A2615">
            <v>50652066</v>
          </cell>
          <cell r="B2615">
            <v>0</v>
          </cell>
          <cell r="C2615" t="str">
            <v>箭筒</v>
          </cell>
        </row>
        <row r="2616">
          <cell r="A2616">
            <v>50653055</v>
          </cell>
          <cell r="B2616">
            <v>0</v>
          </cell>
          <cell r="C2616" t="str">
            <v>时轮金杖</v>
          </cell>
        </row>
        <row r="2617">
          <cell r="A2617">
            <v>50653056</v>
          </cell>
          <cell r="B2617">
            <v>0</v>
          </cell>
          <cell r="C2617" t="str">
            <v>学徒法杖</v>
          </cell>
        </row>
        <row r="2618">
          <cell r="A2618">
            <v>50653065</v>
          </cell>
          <cell r="B2618">
            <v>0</v>
          </cell>
          <cell r="C2618" t="str">
            <v>龙语秘典</v>
          </cell>
        </row>
        <row r="2619">
          <cell r="A2619">
            <v>50653066</v>
          </cell>
          <cell r="B2619">
            <v>0</v>
          </cell>
          <cell r="C2619" t="str">
            <v>法术指南</v>
          </cell>
        </row>
        <row r="2620">
          <cell r="A2620">
            <v>50650045</v>
          </cell>
          <cell r="B2620">
            <v>0</v>
          </cell>
          <cell r="C2620" t="str">
            <v>末世胸铠</v>
          </cell>
        </row>
        <row r="2621">
          <cell r="A2621">
            <v>50650046</v>
          </cell>
          <cell r="B2621">
            <v>0</v>
          </cell>
          <cell r="C2621" t="str">
            <v>新兵外套</v>
          </cell>
        </row>
        <row r="2622">
          <cell r="A2622">
            <v>50650075</v>
          </cell>
          <cell r="B2622">
            <v>0</v>
          </cell>
          <cell r="C2622" t="str">
            <v>止战腿甲</v>
          </cell>
        </row>
        <row r="2623">
          <cell r="A2623">
            <v>50650076</v>
          </cell>
          <cell r="B2623">
            <v>0</v>
          </cell>
          <cell r="C2623" t="str">
            <v>学徒短裤</v>
          </cell>
        </row>
        <row r="2624">
          <cell r="A2624">
            <v>50700015</v>
          </cell>
          <cell r="B2624">
            <v>0</v>
          </cell>
          <cell r="C2624" t="str">
            <v>破碎之冠</v>
          </cell>
        </row>
        <row r="2625">
          <cell r="A2625">
            <v>50700025</v>
          </cell>
          <cell r="B2625">
            <v>0</v>
          </cell>
          <cell r="C2625" t="str">
            <v>灵谕之戒</v>
          </cell>
        </row>
        <row r="2626">
          <cell r="A2626">
            <v>50700035</v>
          </cell>
          <cell r="B2626">
            <v>0</v>
          </cell>
          <cell r="C2626" t="str">
            <v>怒涛腰带</v>
          </cell>
        </row>
        <row r="2627">
          <cell r="A2627">
            <v>50700085</v>
          </cell>
          <cell r="B2627">
            <v>0</v>
          </cell>
          <cell r="C2627" t="str">
            <v>无影轻靴</v>
          </cell>
        </row>
        <row r="2628">
          <cell r="A2628">
            <v>50700095</v>
          </cell>
          <cell r="B2628">
            <v>0</v>
          </cell>
          <cell r="C2628" t="str">
            <v>裂隙之手</v>
          </cell>
        </row>
        <row r="2629">
          <cell r="A2629">
            <v>50700105</v>
          </cell>
          <cell r="B2629">
            <v>0</v>
          </cell>
          <cell r="C2629" t="str">
            <v>岁月永恒护符</v>
          </cell>
        </row>
        <row r="2630">
          <cell r="A2630">
            <v>50701055</v>
          </cell>
          <cell r="B2630">
            <v>0</v>
          </cell>
          <cell r="C2630" t="str">
            <v>命运</v>
          </cell>
        </row>
        <row r="2631">
          <cell r="A2631">
            <v>50701056</v>
          </cell>
          <cell r="B2631">
            <v>0</v>
          </cell>
          <cell r="C2631" t="str">
            <v>灰烬使者</v>
          </cell>
        </row>
        <row r="2632">
          <cell r="A2632">
            <v>50701065</v>
          </cell>
          <cell r="B2632">
            <v>0</v>
          </cell>
          <cell r="C2632" t="str">
            <v>永恒之盾</v>
          </cell>
        </row>
        <row r="2633">
          <cell r="A2633">
            <v>50701066</v>
          </cell>
          <cell r="B2633">
            <v>0</v>
          </cell>
          <cell r="C2633" t="str">
            <v>相位壁垒</v>
          </cell>
        </row>
        <row r="2634">
          <cell r="A2634">
            <v>50702055</v>
          </cell>
          <cell r="B2634">
            <v>0</v>
          </cell>
          <cell r="C2634" t="str">
            <v>日怒凰弓</v>
          </cell>
        </row>
        <row r="2635">
          <cell r="A2635">
            <v>50702056</v>
          </cell>
          <cell r="B2635">
            <v>0</v>
          </cell>
          <cell r="C2635" t="str">
            <v>群星之怒</v>
          </cell>
        </row>
        <row r="2636">
          <cell r="A2636">
            <v>50702065</v>
          </cell>
          <cell r="B2636">
            <v>0</v>
          </cell>
          <cell r="C2636" t="str">
            <v>逐日之矢</v>
          </cell>
        </row>
        <row r="2637">
          <cell r="A2637">
            <v>50702066</v>
          </cell>
          <cell r="B2637">
            <v>0</v>
          </cell>
          <cell r="C2637" t="str">
            <v>箭筒</v>
          </cell>
        </row>
        <row r="2638">
          <cell r="A2638">
            <v>50703055</v>
          </cell>
          <cell r="B2638">
            <v>0</v>
          </cell>
          <cell r="C2638" t="str">
            <v>瓦解法杖</v>
          </cell>
        </row>
        <row r="2639">
          <cell r="A2639">
            <v>50703056</v>
          </cell>
          <cell r="B2639">
            <v>0</v>
          </cell>
          <cell r="C2639" t="str">
            <v>守护者之杖</v>
          </cell>
        </row>
        <row r="2640">
          <cell r="A2640">
            <v>50703065</v>
          </cell>
          <cell r="B2640">
            <v>0</v>
          </cell>
          <cell r="C2640" t="str">
            <v>虚空魔典</v>
          </cell>
        </row>
        <row r="2641">
          <cell r="A2641">
            <v>50703066</v>
          </cell>
          <cell r="B2641">
            <v>0</v>
          </cell>
          <cell r="C2641" t="str">
            <v>星界之书</v>
          </cell>
        </row>
        <row r="2642">
          <cell r="A2642">
            <v>50700045</v>
          </cell>
          <cell r="B2642">
            <v>0</v>
          </cell>
          <cell r="C2642" t="str">
            <v>光铸胸甲</v>
          </cell>
        </row>
        <row r="2643">
          <cell r="A2643">
            <v>50700046</v>
          </cell>
          <cell r="B2643">
            <v>0</v>
          </cell>
          <cell r="C2643" t="str">
            <v>碎界之铠</v>
          </cell>
        </row>
        <row r="2644">
          <cell r="A2644">
            <v>50700075</v>
          </cell>
          <cell r="B2644">
            <v>0</v>
          </cell>
          <cell r="C2644" t="str">
            <v>虚灵护腿</v>
          </cell>
        </row>
        <row r="2645">
          <cell r="A2645">
            <v>50700076</v>
          </cell>
          <cell r="B2645">
            <v>0</v>
          </cell>
          <cell r="C2645" t="str">
            <v>不朽护腿</v>
          </cell>
        </row>
        <row r="2646">
          <cell r="A2646">
            <v>50750015</v>
          </cell>
          <cell r="B2646">
            <v>0</v>
          </cell>
          <cell r="C2646" t="str">
            <v>凛冬头盔</v>
          </cell>
        </row>
        <row r="2647">
          <cell r="A2647">
            <v>50750025</v>
          </cell>
          <cell r="B2647">
            <v>0</v>
          </cell>
          <cell r="C2647" t="str">
            <v>地脉之环</v>
          </cell>
        </row>
        <row r="2648">
          <cell r="A2648">
            <v>50750035</v>
          </cell>
          <cell r="B2648">
            <v>0</v>
          </cell>
          <cell r="C2648" t="str">
            <v>缚誓护腰</v>
          </cell>
        </row>
        <row r="2649">
          <cell r="A2649">
            <v>50750085</v>
          </cell>
          <cell r="B2649">
            <v>0</v>
          </cell>
          <cell r="C2649" t="str">
            <v>踏冰长靴</v>
          </cell>
        </row>
        <row r="2650">
          <cell r="A2650">
            <v>50750095</v>
          </cell>
          <cell r="B2650">
            <v>0</v>
          </cell>
          <cell r="C2650" t="str">
            <v>薄霜护手</v>
          </cell>
        </row>
        <row r="2651">
          <cell r="A2651">
            <v>50750105</v>
          </cell>
          <cell r="B2651">
            <v>0</v>
          </cell>
          <cell r="C2651" t="str">
            <v>极光挂坠</v>
          </cell>
        </row>
        <row r="2652">
          <cell r="A2652">
            <v>50751055</v>
          </cell>
          <cell r="B2652">
            <v>0</v>
          </cell>
          <cell r="C2652" t="str">
            <v>凌风之刃</v>
          </cell>
        </row>
        <row r="2653">
          <cell r="A2653">
            <v>50751056</v>
          </cell>
          <cell r="B2653">
            <v>0</v>
          </cell>
          <cell r="C2653" t="str">
            <v>鸣醒之剑</v>
          </cell>
        </row>
        <row r="2654">
          <cell r="A2654">
            <v>50751065</v>
          </cell>
          <cell r="B2654">
            <v>0</v>
          </cell>
          <cell r="C2654" t="str">
            <v>凯旋护盾</v>
          </cell>
        </row>
        <row r="2655">
          <cell r="A2655">
            <v>50751066</v>
          </cell>
          <cell r="B2655">
            <v>0</v>
          </cell>
          <cell r="C2655" t="str">
            <v>集结护盾</v>
          </cell>
        </row>
        <row r="2656">
          <cell r="A2656">
            <v>50752055</v>
          </cell>
          <cell r="B2656">
            <v>0</v>
          </cell>
          <cell r="C2656" t="str">
            <v>嚎风之息</v>
          </cell>
        </row>
        <row r="2657">
          <cell r="A2657">
            <v>50752056</v>
          </cell>
          <cell r="B2657">
            <v>0</v>
          </cell>
          <cell r="C2657" t="str">
            <v>瞭天长弓</v>
          </cell>
        </row>
        <row r="2658">
          <cell r="A2658">
            <v>50752065</v>
          </cell>
          <cell r="B2658">
            <v>0</v>
          </cell>
          <cell r="C2658" t="str">
            <v>疾鹰箭袋</v>
          </cell>
        </row>
        <row r="2659">
          <cell r="A2659">
            <v>50752066</v>
          </cell>
          <cell r="B2659">
            <v>0</v>
          </cell>
          <cell r="C2659" t="str">
            <v>灵犀箭筒</v>
          </cell>
        </row>
        <row r="2660">
          <cell r="A2660">
            <v>50753055</v>
          </cell>
          <cell r="B2660">
            <v>0</v>
          </cell>
          <cell r="C2660" t="str">
            <v>唤海长杖</v>
          </cell>
        </row>
        <row r="2661">
          <cell r="A2661">
            <v>50753056</v>
          </cell>
          <cell r="B2661">
            <v>0</v>
          </cell>
          <cell r="C2661" t="str">
            <v>奥核之杖</v>
          </cell>
        </row>
        <row r="2662">
          <cell r="A2662">
            <v>50753065</v>
          </cell>
          <cell r="B2662">
            <v>0</v>
          </cell>
          <cell r="C2662" t="str">
            <v>尘封遗典</v>
          </cell>
        </row>
        <row r="2663">
          <cell r="A2663">
            <v>50753066</v>
          </cell>
          <cell r="B2663">
            <v>0</v>
          </cell>
          <cell r="C2663" t="str">
            <v>魔枢秘典</v>
          </cell>
        </row>
        <row r="2664">
          <cell r="A2664">
            <v>50750045</v>
          </cell>
          <cell r="B2664">
            <v>0</v>
          </cell>
          <cell r="C2664" t="str">
            <v>守望胸甲</v>
          </cell>
        </row>
        <row r="2665">
          <cell r="A2665">
            <v>50750046</v>
          </cell>
          <cell r="B2665">
            <v>0</v>
          </cell>
          <cell r="C2665" t="str">
            <v>冥铸之铠</v>
          </cell>
        </row>
        <row r="2666">
          <cell r="A2666">
            <v>50750075</v>
          </cell>
          <cell r="B2666">
            <v>0</v>
          </cell>
          <cell r="C2666" t="str">
            <v>怜悯护腿</v>
          </cell>
        </row>
        <row r="2667">
          <cell r="A2667">
            <v>50750076</v>
          </cell>
          <cell r="B2667">
            <v>0</v>
          </cell>
          <cell r="C2667" t="str">
            <v>魔痕护腿</v>
          </cell>
        </row>
        <row r="2668">
          <cell r="A2668">
            <v>50800015</v>
          </cell>
          <cell r="B2668">
            <v>0</v>
          </cell>
          <cell r="C2668" t="str">
            <v>浴火战盔</v>
          </cell>
        </row>
        <row r="2669">
          <cell r="A2669">
            <v>50800025</v>
          </cell>
          <cell r="B2669">
            <v>0</v>
          </cell>
          <cell r="C2669" t="str">
            <v>联合徽记</v>
          </cell>
        </row>
        <row r="2670">
          <cell r="A2670">
            <v>50800035</v>
          </cell>
          <cell r="B2670">
            <v>0</v>
          </cell>
          <cell r="C2670" t="str">
            <v>怒岩腰带</v>
          </cell>
        </row>
        <row r="2671">
          <cell r="A2671">
            <v>50800085</v>
          </cell>
          <cell r="B2671">
            <v>0</v>
          </cell>
          <cell r="C2671" t="str">
            <v>缚法之靴</v>
          </cell>
        </row>
        <row r="2672">
          <cell r="A2672">
            <v>50800095</v>
          </cell>
          <cell r="B2672">
            <v>0</v>
          </cell>
          <cell r="C2672" t="str">
            <v>梦境护手</v>
          </cell>
        </row>
        <row r="2673">
          <cell r="A2673">
            <v>50800105</v>
          </cell>
          <cell r="B2673">
            <v>0</v>
          </cell>
          <cell r="C2673" t="str">
            <v>亏蚀项链</v>
          </cell>
        </row>
        <row r="2674">
          <cell r="A2674">
            <v>50801055</v>
          </cell>
          <cell r="B2674">
            <v>0</v>
          </cell>
          <cell r="C2674" t="str">
            <v>死寂之剑</v>
          </cell>
        </row>
        <row r="2675">
          <cell r="A2675">
            <v>50801056</v>
          </cell>
          <cell r="B2675">
            <v>0</v>
          </cell>
          <cell r="C2675" t="str">
            <v>千魂之刃</v>
          </cell>
        </row>
        <row r="2676">
          <cell r="A2676">
            <v>50801065</v>
          </cell>
          <cell r="B2676">
            <v>0</v>
          </cell>
          <cell r="C2676" t="str">
            <v>折戟之盾</v>
          </cell>
        </row>
        <row r="2677">
          <cell r="A2677">
            <v>50801066</v>
          </cell>
          <cell r="B2677">
            <v>0</v>
          </cell>
          <cell r="C2677" t="str">
            <v>古石壁垒</v>
          </cell>
        </row>
        <row r="2678">
          <cell r="A2678">
            <v>50802055</v>
          </cell>
          <cell r="B2678">
            <v>0</v>
          </cell>
          <cell r="C2678" t="str">
            <v>龙骨弯弓</v>
          </cell>
        </row>
        <row r="2679">
          <cell r="A2679">
            <v>50802056</v>
          </cell>
          <cell r="B2679">
            <v>0</v>
          </cell>
          <cell r="C2679" t="str">
            <v>川流长弓</v>
          </cell>
        </row>
        <row r="2680">
          <cell r="A2680">
            <v>50802065</v>
          </cell>
          <cell r="B2680">
            <v>0</v>
          </cell>
          <cell r="C2680" t="str">
            <v>荒原箭袋</v>
          </cell>
        </row>
        <row r="2681">
          <cell r="A2681">
            <v>50802066</v>
          </cell>
          <cell r="B2681">
            <v>0</v>
          </cell>
          <cell r="C2681" t="str">
            <v>追逝箭袋</v>
          </cell>
        </row>
        <row r="2682">
          <cell r="A2682">
            <v>50803055</v>
          </cell>
          <cell r="B2682">
            <v>0</v>
          </cell>
          <cell r="C2682" t="str">
            <v>显像符杖</v>
          </cell>
        </row>
        <row r="2683">
          <cell r="A2683">
            <v>50803056</v>
          </cell>
          <cell r="B2683">
            <v>0</v>
          </cell>
          <cell r="C2683" t="str">
            <v>幻灭之杖</v>
          </cell>
        </row>
        <row r="2684">
          <cell r="A2684">
            <v>50803065</v>
          </cell>
          <cell r="B2684">
            <v>0</v>
          </cell>
          <cell r="C2684" t="str">
            <v>王国古书</v>
          </cell>
        </row>
        <row r="2685">
          <cell r="A2685">
            <v>50803066</v>
          </cell>
          <cell r="B2685">
            <v>0</v>
          </cell>
          <cell r="C2685" t="str">
            <v>上古纪事</v>
          </cell>
        </row>
        <row r="2686">
          <cell r="A2686">
            <v>50800045</v>
          </cell>
          <cell r="B2686">
            <v>0</v>
          </cell>
          <cell r="C2686" t="str">
            <v>复仇战甲</v>
          </cell>
        </row>
        <row r="2687">
          <cell r="A2687">
            <v>50800046</v>
          </cell>
          <cell r="B2687">
            <v>0</v>
          </cell>
          <cell r="C2687" t="str">
            <v>预兆胸甲</v>
          </cell>
        </row>
        <row r="2688">
          <cell r="A2688">
            <v>50800075</v>
          </cell>
          <cell r="B2688">
            <v>0</v>
          </cell>
          <cell r="C2688" t="str">
            <v>迷失护腿</v>
          </cell>
        </row>
        <row r="2689">
          <cell r="A2689">
            <v>50800076</v>
          </cell>
          <cell r="B2689">
            <v>0</v>
          </cell>
          <cell r="C2689" t="str">
            <v>幽影腿甲</v>
          </cell>
        </row>
        <row r="2690">
          <cell r="A2690">
            <v>50850015</v>
          </cell>
          <cell r="B2690">
            <v>0</v>
          </cell>
          <cell r="C2690" t="str">
            <v>低语之冠</v>
          </cell>
        </row>
        <row r="2691">
          <cell r="A2691">
            <v>50850025</v>
          </cell>
          <cell r="B2691">
            <v>0</v>
          </cell>
          <cell r="C2691" t="str">
            <v>神迹指环</v>
          </cell>
        </row>
        <row r="2692">
          <cell r="A2692">
            <v>50850035</v>
          </cell>
          <cell r="B2692">
            <v>0</v>
          </cell>
          <cell r="C2692" t="str">
            <v>威严腰带</v>
          </cell>
        </row>
        <row r="2693">
          <cell r="A2693">
            <v>50850085</v>
          </cell>
          <cell r="B2693">
            <v>0</v>
          </cell>
          <cell r="C2693" t="str">
            <v>统治长靴</v>
          </cell>
        </row>
        <row r="2694">
          <cell r="A2694">
            <v>50850095</v>
          </cell>
          <cell r="B2694">
            <v>0</v>
          </cell>
          <cell r="C2694" t="str">
            <v>誓烈手甲</v>
          </cell>
        </row>
        <row r="2695">
          <cell r="A2695">
            <v>50850105</v>
          </cell>
          <cell r="B2695">
            <v>0</v>
          </cell>
          <cell r="C2695" t="str">
            <v>漂泊者之链</v>
          </cell>
        </row>
        <row r="2696">
          <cell r="A2696">
            <v>50851055</v>
          </cell>
          <cell r="B2696">
            <v>0</v>
          </cell>
          <cell r="C2696" t="str">
            <v>谦逊之剑</v>
          </cell>
        </row>
        <row r="2697">
          <cell r="A2697">
            <v>50851056</v>
          </cell>
          <cell r="B2697">
            <v>0</v>
          </cell>
          <cell r="C2697" t="str">
            <v>破壁之刃</v>
          </cell>
        </row>
        <row r="2698">
          <cell r="A2698">
            <v>50851065</v>
          </cell>
          <cell r="B2698">
            <v>0</v>
          </cell>
          <cell r="C2698" t="str">
            <v>邪铁盾牌</v>
          </cell>
        </row>
        <row r="2699">
          <cell r="A2699">
            <v>50851066</v>
          </cell>
          <cell r="B2699">
            <v>0</v>
          </cell>
          <cell r="C2699" t="str">
            <v>埋骨之盾</v>
          </cell>
        </row>
        <row r="2700">
          <cell r="A2700">
            <v>50852055</v>
          </cell>
          <cell r="B2700">
            <v>0</v>
          </cell>
          <cell r="C2700" t="str">
            <v>悔恨长弓</v>
          </cell>
        </row>
        <row r="2701">
          <cell r="A2701">
            <v>50852056</v>
          </cell>
          <cell r="B2701">
            <v>0</v>
          </cell>
          <cell r="C2701" t="str">
            <v>祈圣之弓</v>
          </cell>
        </row>
        <row r="2702">
          <cell r="A2702">
            <v>50852065</v>
          </cell>
          <cell r="B2702">
            <v>0</v>
          </cell>
          <cell r="C2702" t="str">
            <v>悲鸣箭筒</v>
          </cell>
        </row>
        <row r="2703">
          <cell r="A2703">
            <v>50852066</v>
          </cell>
          <cell r="B2703">
            <v>0</v>
          </cell>
          <cell r="C2703" t="str">
            <v>咒逐箭筒</v>
          </cell>
        </row>
        <row r="2704">
          <cell r="A2704">
            <v>50853055</v>
          </cell>
          <cell r="B2704">
            <v>0</v>
          </cell>
          <cell r="C2704" t="str">
            <v>归还法杖</v>
          </cell>
        </row>
        <row r="2705">
          <cell r="A2705">
            <v>50853056</v>
          </cell>
          <cell r="B2705">
            <v>0</v>
          </cell>
          <cell r="C2705" t="str">
            <v>荒寂之杖</v>
          </cell>
        </row>
        <row r="2706">
          <cell r="A2706">
            <v>50853065</v>
          </cell>
          <cell r="B2706">
            <v>0</v>
          </cell>
          <cell r="C2706" t="str">
            <v>幻咒秘语</v>
          </cell>
        </row>
        <row r="2707">
          <cell r="A2707">
            <v>50853066</v>
          </cell>
          <cell r="B2707">
            <v>0</v>
          </cell>
          <cell r="C2707" t="str">
            <v>岁月之书</v>
          </cell>
        </row>
        <row r="2708">
          <cell r="A2708">
            <v>50850045</v>
          </cell>
          <cell r="B2708">
            <v>0</v>
          </cell>
          <cell r="C2708" t="str">
            <v>梦魇胸甲</v>
          </cell>
        </row>
        <row r="2709">
          <cell r="A2709">
            <v>50850046</v>
          </cell>
          <cell r="B2709">
            <v>0</v>
          </cell>
          <cell r="C2709" t="str">
            <v>鬼域战铠</v>
          </cell>
        </row>
        <row r="2710">
          <cell r="A2710">
            <v>50850075</v>
          </cell>
          <cell r="B2710">
            <v>0</v>
          </cell>
          <cell r="C2710" t="str">
            <v>逝亡护腿</v>
          </cell>
        </row>
        <row r="2711">
          <cell r="A2711">
            <v>50850076</v>
          </cell>
          <cell r="B2711">
            <v>0</v>
          </cell>
          <cell r="C2711" t="str">
            <v>泯灭护腿</v>
          </cell>
        </row>
        <row r="2712">
          <cell r="A2712">
            <v>50900015</v>
          </cell>
          <cell r="B2712">
            <v>0</v>
          </cell>
          <cell r="C2712" t="str">
            <v>风暴之冠</v>
          </cell>
        </row>
        <row r="2713">
          <cell r="A2713">
            <v>50900025</v>
          </cell>
          <cell r="B2713">
            <v>0</v>
          </cell>
          <cell r="C2713" t="str">
            <v>无尽智慧指环</v>
          </cell>
        </row>
        <row r="2714">
          <cell r="A2714">
            <v>50900035</v>
          </cell>
          <cell r="B2714">
            <v>0</v>
          </cell>
          <cell r="C2714" t="str">
            <v>丰饶腰带</v>
          </cell>
        </row>
        <row r="2715">
          <cell r="A2715">
            <v>50900085</v>
          </cell>
          <cell r="B2715">
            <v>0</v>
          </cell>
          <cell r="C2715" t="str">
            <v>秩序战靴</v>
          </cell>
        </row>
        <row r="2716">
          <cell r="A2716">
            <v>50900095</v>
          </cell>
          <cell r="B2716">
            <v>0</v>
          </cell>
          <cell r="C2716" t="str">
            <v>超载护手</v>
          </cell>
        </row>
        <row r="2717">
          <cell r="A2717">
            <v>50900105</v>
          </cell>
          <cell r="B2717">
            <v>0</v>
          </cell>
          <cell r="C2717" t="str">
            <v>寒霜之心</v>
          </cell>
        </row>
        <row r="2718">
          <cell r="A2718">
            <v>50901055</v>
          </cell>
          <cell r="B2718">
            <v>0</v>
          </cell>
          <cell r="C2718" t="str">
            <v>湮灭之剑</v>
          </cell>
        </row>
        <row r="2719">
          <cell r="A2719">
            <v>50901056</v>
          </cell>
          <cell r="B2719">
            <v>0</v>
          </cell>
          <cell r="C2719" t="str">
            <v>封印之剑</v>
          </cell>
        </row>
        <row r="2720">
          <cell r="A2720">
            <v>50901065</v>
          </cell>
          <cell r="B2720">
            <v>0</v>
          </cell>
          <cell r="C2720" t="str">
            <v>灾祸之盾</v>
          </cell>
        </row>
        <row r="2721">
          <cell r="A2721">
            <v>50901066</v>
          </cell>
          <cell r="B2721">
            <v>0</v>
          </cell>
          <cell r="C2721" t="str">
            <v>堕神之盾</v>
          </cell>
        </row>
        <row r="2722">
          <cell r="A2722">
            <v>50902055</v>
          </cell>
          <cell r="B2722">
            <v>0</v>
          </cell>
          <cell r="C2722" t="str">
            <v>破晓之弓</v>
          </cell>
        </row>
        <row r="2723">
          <cell r="A2723">
            <v>50902056</v>
          </cell>
          <cell r="B2723">
            <v>0</v>
          </cell>
          <cell r="C2723" t="str">
            <v>彗星之击</v>
          </cell>
        </row>
        <row r="2724">
          <cell r="A2724">
            <v>50902065</v>
          </cell>
          <cell r="B2724">
            <v>0</v>
          </cell>
          <cell r="C2724" t="str">
            <v>灵痕箭袋</v>
          </cell>
        </row>
        <row r="2725">
          <cell r="A2725">
            <v>50902066</v>
          </cell>
          <cell r="B2725">
            <v>0</v>
          </cell>
          <cell r="C2725" t="str">
            <v>星坠箭筒</v>
          </cell>
        </row>
        <row r="2726">
          <cell r="A2726">
            <v>50903055</v>
          </cell>
          <cell r="B2726">
            <v>0</v>
          </cell>
          <cell r="C2726" t="str">
            <v>观察者之杖</v>
          </cell>
        </row>
        <row r="2727">
          <cell r="A2727">
            <v>50903056</v>
          </cell>
          <cell r="B2727">
            <v>0</v>
          </cell>
          <cell r="C2727" t="str">
            <v>星辰权杖</v>
          </cell>
        </row>
        <row r="2728">
          <cell r="A2728">
            <v>50903065</v>
          </cell>
          <cell r="B2728">
            <v>0</v>
          </cell>
          <cell r="C2728" t="str">
            <v>云河指南</v>
          </cell>
        </row>
        <row r="2729">
          <cell r="A2729">
            <v>50903066</v>
          </cell>
          <cell r="B2729">
            <v>0</v>
          </cell>
          <cell r="C2729" t="str">
            <v>星界之书</v>
          </cell>
        </row>
        <row r="2730">
          <cell r="A2730">
            <v>50900045</v>
          </cell>
          <cell r="B2730">
            <v>0</v>
          </cell>
          <cell r="C2730" t="str">
            <v>坚毅胸甲</v>
          </cell>
        </row>
        <row r="2731">
          <cell r="A2731">
            <v>50900046</v>
          </cell>
          <cell r="B2731">
            <v>0</v>
          </cell>
          <cell r="C2731" t="str">
            <v>群山之拥</v>
          </cell>
        </row>
        <row r="2732">
          <cell r="A2732">
            <v>50900075</v>
          </cell>
          <cell r="B2732">
            <v>0</v>
          </cell>
          <cell r="C2732" t="str">
            <v>复苏护腿</v>
          </cell>
        </row>
        <row r="2733">
          <cell r="A2733">
            <v>50900076</v>
          </cell>
          <cell r="B2733">
            <v>0</v>
          </cell>
          <cell r="C2733" t="str">
            <v>虔信腿甲</v>
          </cell>
        </row>
        <row r="2734">
          <cell r="A2734">
            <v>50950015</v>
          </cell>
          <cell r="B2734">
            <v>0</v>
          </cell>
          <cell r="C2734" t="str">
            <v>魂铸头盔</v>
          </cell>
        </row>
        <row r="2735">
          <cell r="A2735">
            <v>50950025</v>
          </cell>
          <cell r="B2735">
            <v>0</v>
          </cell>
          <cell r="C2735" t="str">
            <v>云霄之环</v>
          </cell>
        </row>
        <row r="2736">
          <cell r="A2736">
            <v>50950035</v>
          </cell>
          <cell r="B2736">
            <v>0</v>
          </cell>
          <cell r="C2736" t="str">
            <v>破天者腰带</v>
          </cell>
        </row>
        <row r="2737">
          <cell r="A2737">
            <v>50950085</v>
          </cell>
          <cell r="B2737">
            <v>0</v>
          </cell>
          <cell r="C2737" t="str">
            <v>圣洁怒火之靴</v>
          </cell>
        </row>
        <row r="2738">
          <cell r="A2738">
            <v>50950095</v>
          </cell>
          <cell r="B2738">
            <v>0</v>
          </cell>
          <cell r="C2738" t="str">
            <v>破灭之手</v>
          </cell>
        </row>
        <row r="2739">
          <cell r="A2739">
            <v>50950105</v>
          </cell>
          <cell r="B2739">
            <v>0</v>
          </cell>
          <cell r="C2739" t="str">
            <v>圣灵之佑</v>
          </cell>
        </row>
        <row r="2740">
          <cell r="A2740">
            <v>50951055</v>
          </cell>
          <cell r="B2740">
            <v>0</v>
          </cell>
          <cell r="C2740" t="str">
            <v>云颠之剑</v>
          </cell>
        </row>
        <row r="2741">
          <cell r="A2741">
            <v>50951056</v>
          </cell>
          <cell r="B2741">
            <v>0</v>
          </cell>
          <cell r="C2741" t="str">
            <v>血色黎明</v>
          </cell>
        </row>
        <row r="2742">
          <cell r="A2742">
            <v>50951065</v>
          </cell>
          <cell r="B2742">
            <v>0</v>
          </cell>
          <cell r="C2742" t="str">
            <v>荣耀壁垒</v>
          </cell>
        </row>
        <row r="2743">
          <cell r="A2743">
            <v>50951066</v>
          </cell>
          <cell r="B2743">
            <v>0</v>
          </cell>
          <cell r="C2743" t="str">
            <v>曙光之盾</v>
          </cell>
        </row>
        <row r="2744">
          <cell r="A2744">
            <v>50952055</v>
          </cell>
          <cell r="B2744">
            <v>0</v>
          </cell>
          <cell r="C2744" t="str">
            <v>灵魂之弦</v>
          </cell>
        </row>
        <row r="2745">
          <cell r="A2745">
            <v>50952056</v>
          </cell>
          <cell r="B2745">
            <v>0</v>
          </cell>
          <cell r="C2745" t="str">
            <v>风暴凝视</v>
          </cell>
        </row>
        <row r="2746">
          <cell r="A2746">
            <v>50952065</v>
          </cell>
          <cell r="B2746">
            <v>0</v>
          </cell>
          <cell r="C2746" t="str">
            <v>魂织箭袋</v>
          </cell>
        </row>
        <row r="2747">
          <cell r="A2747">
            <v>50952066</v>
          </cell>
          <cell r="B2747">
            <v>0</v>
          </cell>
          <cell r="C2747" t="str">
            <v>闪电之矢</v>
          </cell>
        </row>
        <row r="2748">
          <cell r="A2748">
            <v>50953055</v>
          </cell>
          <cell r="B2748">
            <v>0</v>
          </cell>
          <cell r="C2748" t="str">
            <v>歼灭之杖</v>
          </cell>
        </row>
        <row r="2749">
          <cell r="A2749">
            <v>50953056</v>
          </cell>
          <cell r="B2749">
            <v>0</v>
          </cell>
          <cell r="C2749" t="str">
            <v>末日降临</v>
          </cell>
        </row>
        <row r="2750">
          <cell r="A2750">
            <v>50953065</v>
          </cell>
          <cell r="B2750">
            <v>0</v>
          </cell>
          <cell r="C2750" t="str">
            <v>聚能魔典</v>
          </cell>
        </row>
        <row r="2751">
          <cell r="A2751">
            <v>50953066</v>
          </cell>
          <cell r="B2751">
            <v>0</v>
          </cell>
          <cell r="C2751" t="str">
            <v>启示圣典</v>
          </cell>
        </row>
        <row r="2752">
          <cell r="A2752">
            <v>50950045</v>
          </cell>
          <cell r="B2752">
            <v>0</v>
          </cell>
          <cell r="C2752" t="str">
            <v>湮没胸甲</v>
          </cell>
        </row>
        <row r="2753">
          <cell r="A2753">
            <v>50950046</v>
          </cell>
          <cell r="B2753">
            <v>0</v>
          </cell>
          <cell r="C2753" t="str">
            <v>诸王战铠</v>
          </cell>
        </row>
        <row r="2754">
          <cell r="A2754">
            <v>50950075</v>
          </cell>
          <cell r="B2754">
            <v>0</v>
          </cell>
          <cell r="C2754" t="str">
            <v>魂卫护腿</v>
          </cell>
        </row>
        <row r="2755">
          <cell r="A2755">
            <v>50950076</v>
          </cell>
          <cell r="B2755">
            <v>0</v>
          </cell>
          <cell r="C2755" t="str">
            <v>不朽护腿</v>
          </cell>
        </row>
        <row r="2756">
          <cell r="A2756">
            <v>51000015</v>
          </cell>
          <cell r="B2756">
            <v>0</v>
          </cell>
          <cell r="C2756" t="str">
            <v>天灾统领</v>
          </cell>
        </row>
        <row r="2757">
          <cell r="A2757">
            <v>51000025</v>
          </cell>
          <cell r="B2757">
            <v>0</v>
          </cell>
          <cell r="C2757" t="str">
            <v>镇魂挽歌</v>
          </cell>
        </row>
        <row r="2758">
          <cell r="A2758">
            <v>51000035</v>
          </cell>
          <cell r="B2758">
            <v>0</v>
          </cell>
          <cell r="C2758" t="str">
            <v>雷霆护腰</v>
          </cell>
        </row>
        <row r="2759">
          <cell r="A2759">
            <v>51000085</v>
          </cell>
          <cell r="B2759">
            <v>0</v>
          </cell>
          <cell r="C2759" t="str">
            <v>星旅之靴</v>
          </cell>
        </row>
        <row r="2760">
          <cell r="A2760">
            <v>51000095</v>
          </cell>
          <cell r="B2760">
            <v>0</v>
          </cell>
          <cell r="C2760" t="str">
            <v>泰坦之拳</v>
          </cell>
        </row>
        <row r="2761">
          <cell r="A2761">
            <v>51000105</v>
          </cell>
          <cell r="B2761">
            <v>0</v>
          </cell>
          <cell r="C2761" t="str">
            <v>永志不渝</v>
          </cell>
        </row>
        <row r="2762">
          <cell r="A2762">
            <v>51001055</v>
          </cell>
          <cell r="B2762">
            <v>0</v>
          </cell>
          <cell r="C2762" t="str">
            <v>毁天灭地</v>
          </cell>
        </row>
        <row r="2763">
          <cell r="A2763">
            <v>51001056</v>
          </cell>
          <cell r="B2763">
            <v>0</v>
          </cell>
          <cell r="C2763" t="str">
            <v>灰烬使者</v>
          </cell>
        </row>
        <row r="2764">
          <cell r="A2764">
            <v>51001065</v>
          </cell>
          <cell r="B2764">
            <v>0</v>
          </cell>
          <cell r="C2764" t="str">
            <v>叹息之墙</v>
          </cell>
        </row>
        <row r="2765">
          <cell r="A2765">
            <v>51001066</v>
          </cell>
          <cell r="B2765">
            <v>0</v>
          </cell>
          <cell r="C2765" t="str">
            <v>叹息之墙</v>
          </cell>
        </row>
        <row r="2766">
          <cell r="A2766">
            <v>51002055</v>
          </cell>
          <cell r="B2766">
            <v>0</v>
          </cell>
          <cell r="C2766" t="str">
            <v>苍穹怒火</v>
          </cell>
        </row>
        <row r="2767">
          <cell r="A2767">
            <v>51002056</v>
          </cell>
          <cell r="B2767">
            <v>0</v>
          </cell>
          <cell r="C2767" t="str">
            <v>群星之怒</v>
          </cell>
        </row>
        <row r="2768">
          <cell r="A2768">
            <v>51002065</v>
          </cell>
          <cell r="B2768">
            <v>0</v>
          </cell>
          <cell r="C2768" t="str">
            <v>天际之矢</v>
          </cell>
        </row>
        <row r="2769">
          <cell r="A2769">
            <v>51002066</v>
          </cell>
          <cell r="B2769">
            <v>0</v>
          </cell>
          <cell r="C2769" t="str">
            <v>天际之矢</v>
          </cell>
        </row>
        <row r="2770">
          <cell r="A2770">
            <v>51003055</v>
          </cell>
          <cell r="B2770">
            <v>0</v>
          </cell>
          <cell r="C2770" t="str">
            <v>混沌终幕</v>
          </cell>
        </row>
        <row r="2771">
          <cell r="A2771">
            <v>51003056</v>
          </cell>
          <cell r="B2771">
            <v>0</v>
          </cell>
          <cell r="C2771" t="str">
            <v>埃提耶什，守护者的传说之杖</v>
          </cell>
        </row>
        <row r="2772">
          <cell r="A2772">
            <v>51003065</v>
          </cell>
          <cell r="B2772">
            <v>0</v>
          </cell>
          <cell r="C2772" t="str">
            <v>决战之书</v>
          </cell>
        </row>
        <row r="2773">
          <cell r="A2773">
            <v>51003066</v>
          </cell>
          <cell r="B2773">
            <v>0</v>
          </cell>
          <cell r="C2773" t="str">
            <v>诸界流声</v>
          </cell>
        </row>
        <row r="2774">
          <cell r="A2774">
            <v>51000045</v>
          </cell>
          <cell r="B2774">
            <v>0</v>
          </cell>
          <cell r="C2774" t="str">
            <v>光明圣铠</v>
          </cell>
        </row>
        <row r="2775">
          <cell r="A2775">
            <v>51000046</v>
          </cell>
          <cell r="B2775">
            <v>0</v>
          </cell>
          <cell r="C2775" t="str">
            <v>碎界之铠</v>
          </cell>
        </row>
        <row r="2776">
          <cell r="A2776">
            <v>51000075</v>
          </cell>
          <cell r="B2776">
            <v>0</v>
          </cell>
          <cell r="C2776" t="str">
            <v>渡魂护腿</v>
          </cell>
        </row>
        <row r="2777">
          <cell r="A2777">
            <v>51000076</v>
          </cell>
          <cell r="B2777">
            <v>0</v>
          </cell>
          <cell r="C2777" t="str">
            <v>涅磐腿甲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462"/>
  <sheetViews>
    <sheetView tabSelected="1" workbookViewId="0">
      <selection activeCell="I232" sqref="I232"/>
    </sheetView>
  </sheetViews>
  <sheetFormatPr defaultRowHeight="13.5"/>
  <cols>
    <col min="1" max="1" width="11" customWidth="1"/>
    <col min="2" max="3" width="11.375" customWidth="1"/>
    <col min="5" max="5" width="22.25" customWidth="1"/>
    <col min="6" max="6" width="17.75" customWidth="1"/>
    <col min="7" max="7" width="50.625" customWidth="1"/>
    <col min="8" max="10" width="26.875" customWidth="1"/>
    <col min="11" max="11" width="14.25" customWidth="1"/>
    <col min="12" max="12" width="22.875" customWidth="1"/>
    <col min="13" max="13" width="34" customWidth="1"/>
    <col min="15" max="15" width="19.25" bestFit="1" customWidth="1"/>
  </cols>
  <sheetData>
    <row r="1" spans="1:21">
      <c r="A1" t="s">
        <v>12</v>
      </c>
    </row>
    <row r="2" spans="1:21" s="1" customFormat="1">
      <c r="B2" s="1" t="s">
        <v>18</v>
      </c>
      <c r="L2" s="1" t="s">
        <v>85</v>
      </c>
      <c r="M2" s="1" t="s">
        <v>85</v>
      </c>
    </row>
    <row r="3" spans="1:21">
      <c r="A3" t="s">
        <v>0</v>
      </c>
      <c r="B3" t="s">
        <v>1</v>
      </c>
      <c r="C3" t="s">
        <v>235</v>
      </c>
      <c r="D3" t="s">
        <v>2</v>
      </c>
      <c r="E3" t="s">
        <v>3</v>
      </c>
      <c r="F3" t="s">
        <v>4</v>
      </c>
      <c r="G3" t="s">
        <v>17</v>
      </c>
      <c r="H3" t="s">
        <v>5</v>
      </c>
      <c r="I3" t="s">
        <v>227</v>
      </c>
      <c r="J3" t="s">
        <v>228</v>
      </c>
      <c r="K3" t="s">
        <v>19</v>
      </c>
      <c r="L3" t="s">
        <v>10</v>
      </c>
      <c r="M3" t="s">
        <v>11</v>
      </c>
      <c r="N3" t="s">
        <v>13</v>
      </c>
      <c r="O3" s="2" t="s">
        <v>212</v>
      </c>
      <c r="S3" t="s">
        <v>741</v>
      </c>
    </row>
    <row r="4" spans="1:21">
      <c r="A4" t="s">
        <v>6</v>
      </c>
      <c r="B4" t="s">
        <v>7</v>
      </c>
      <c r="C4" t="s">
        <v>236</v>
      </c>
      <c r="D4" t="s">
        <v>8</v>
      </c>
      <c r="E4" t="s">
        <v>9</v>
      </c>
      <c r="F4" t="s">
        <v>14</v>
      </c>
      <c r="G4" t="s">
        <v>15</v>
      </c>
      <c r="H4" t="s">
        <v>16</v>
      </c>
      <c r="I4" t="s">
        <v>229</v>
      </c>
      <c r="J4" t="s">
        <v>230</v>
      </c>
      <c r="K4" t="s">
        <v>20</v>
      </c>
      <c r="N4" t="s">
        <v>86</v>
      </c>
      <c r="O4" s="5" t="s">
        <v>219</v>
      </c>
      <c r="P4" t="s">
        <v>516</v>
      </c>
      <c r="Q4" t="s">
        <v>500</v>
      </c>
      <c r="R4" t="s">
        <v>718</v>
      </c>
      <c r="S4" t="s">
        <v>740</v>
      </c>
      <c r="T4" t="s">
        <v>742</v>
      </c>
      <c r="U4" t="s">
        <v>743</v>
      </c>
    </row>
    <row r="6" spans="1:21">
      <c r="A6">
        <v>1</v>
      </c>
      <c r="B6" t="s">
        <v>754</v>
      </c>
      <c r="C6">
        <f>A7</f>
        <v>2</v>
      </c>
      <c r="D6">
        <v>1001</v>
      </c>
      <c r="E6" t="s">
        <v>609</v>
      </c>
      <c r="F6" t="s">
        <v>213</v>
      </c>
      <c r="G6" t="s">
        <v>1081</v>
      </c>
      <c r="H6" t="s">
        <v>1133</v>
      </c>
      <c r="I6" t="s">
        <v>231</v>
      </c>
      <c r="J6" t="s">
        <v>233</v>
      </c>
      <c r="K6">
        <v>100</v>
      </c>
      <c r="L6" t="s">
        <v>48</v>
      </c>
      <c r="M6" s="6" t="s">
        <v>220</v>
      </c>
      <c r="N6">
        <v>920</v>
      </c>
      <c r="O6">
        <v>120</v>
      </c>
      <c r="P6">
        <v>10</v>
      </c>
      <c r="Q6">
        <v>10</v>
      </c>
      <c r="R6">
        <v>1</v>
      </c>
      <c r="S6">
        <v>0</v>
      </c>
      <c r="T6">
        <v>0</v>
      </c>
      <c r="U6">
        <v>0</v>
      </c>
    </row>
    <row r="7" spans="1:21">
      <c r="A7">
        <v>2</v>
      </c>
      <c r="B7" t="s">
        <v>755</v>
      </c>
      <c r="C7">
        <f t="shared" ref="C7:C40" si="0">A8</f>
        <v>3</v>
      </c>
      <c r="D7">
        <v>1002</v>
      </c>
      <c r="E7" t="s">
        <v>237</v>
      </c>
      <c r="F7" t="s">
        <v>213</v>
      </c>
      <c r="G7" t="s">
        <v>1082</v>
      </c>
      <c r="H7" t="s">
        <v>1134</v>
      </c>
      <c r="I7" t="s">
        <v>232</v>
      </c>
      <c r="J7" t="s">
        <v>610</v>
      </c>
      <c r="K7">
        <v>100</v>
      </c>
      <c r="L7" t="s">
        <v>49</v>
      </c>
      <c r="M7" s="6" t="s">
        <v>221</v>
      </c>
      <c r="N7">
        <v>920</v>
      </c>
      <c r="O7">
        <v>120</v>
      </c>
      <c r="P7">
        <v>12</v>
      </c>
      <c r="Q7">
        <v>12</v>
      </c>
      <c r="R7">
        <v>4</v>
      </c>
      <c r="S7">
        <v>0</v>
      </c>
      <c r="T7">
        <v>0</v>
      </c>
      <c r="U7">
        <v>0</v>
      </c>
    </row>
    <row r="8" spans="1:21">
      <c r="A8">
        <v>3</v>
      </c>
      <c r="B8" t="s">
        <v>756</v>
      </c>
      <c r="C8">
        <f t="shared" si="0"/>
        <v>4</v>
      </c>
      <c r="D8">
        <v>1003</v>
      </c>
      <c r="E8" t="s">
        <v>238</v>
      </c>
      <c r="F8" t="s">
        <v>213</v>
      </c>
      <c r="G8" t="s">
        <v>1083</v>
      </c>
      <c r="H8" t="s">
        <v>1135</v>
      </c>
      <c r="I8">
        <v>0</v>
      </c>
      <c r="J8" t="s">
        <v>611</v>
      </c>
      <c r="K8">
        <v>100</v>
      </c>
      <c r="L8" t="s">
        <v>50</v>
      </c>
      <c r="M8" s="6" t="s">
        <v>222</v>
      </c>
      <c r="N8">
        <v>920</v>
      </c>
      <c r="O8">
        <v>120</v>
      </c>
      <c r="P8">
        <v>14</v>
      </c>
      <c r="Q8">
        <v>14</v>
      </c>
      <c r="R8">
        <v>6</v>
      </c>
      <c r="S8">
        <v>0</v>
      </c>
      <c r="T8">
        <v>0</v>
      </c>
      <c r="U8">
        <v>0</v>
      </c>
    </row>
    <row r="9" spans="1:21">
      <c r="A9">
        <v>4</v>
      </c>
      <c r="B9" t="s">
        <v>757</v>
      </c>
      <c r="C9">
        <f t="shared" si="0"/>
        <v>5</v>
      </c>
      <c r="D9">
        <v>1004</v>
      </c>
      <c r="E9" t="s">
        <v>270</v>
      </c>
      <c r="F9" t="s">
        <v>213</v>
      </c>
      <c r="G9" t="s">
        <v>1084</v>
      </c>
      <c r="H9" t="s">
        <v>1136</v>
      </c>
      <c r="I9">
        <v>0</v>
      </c>
      <c r="J9">
        <v>0</v>
      </c>
      <c r="K9">
        <v>100</v>
      </c>
      <c r="L9" t="s">
        <v>51</v>
      </c>
      <c r="M9" s="6" t="s">
        <v>223</v>
      </c>
      <c r="N9">
        <v>920</v>
      </c>
      <c r="O9">
        <v>120</v>
      </c>
      <c r="P9">
        <v>18</v>
      </c>
      <c r="Q9">
        <v>18</v>
      </c>
      <c r="R9">
        <v>8</v>
      </c>
      <c r="S9">
        <v>0</v>
      </c>
      <c r="T9">
        <v>0</v>
      </c>
      <c r="U9">
        <v>0</v>
      </c>
    </row>
    <row r="10" spans="1:21">
      <c r="A10">
        <v>5</v>
      </c>
      <c r="B10" t="s">
        <v>758</v>
      </c>
      <c r="C10">
        <f t="shared" si="0"/>
        <v>6</v>
      </c>
      <c r="D10">
        <v>1005</v>
      </c>
      <c r="E10" s="9" t="s">
        <v>239</v>
      </c>
      <c r="F10" t="s">
        <v>513</v>
      </c>
      <c r="G10" t="s">
        <v>1085</v>
      </c>
      <c r="H10" t="s">
        <v>1137</v>
      </c>
      <c r="I10">
        <v>0</v>
      </c>
      <c r="J10">
        <v>0</v>
      </c>
      <c r="K10">
        <v>100</v>
      </c>
      <c r="L10" t="s">
        <v>52</v>
      </c>
      <c r="M10" s="6" t="s">
        <v>224</v>
      </c>
      <c r="N10">
        <v>1127</v>
      </c>
      <c r="O10">
        <v>102</v>
      </c>
      <c r="P10">
        <v>22</v>
      </c>
      <c r="Q10">
        <v>22</v>
      </c>
      <c r="R10">
        <v>10</v>
      </c>
      <c r="S10">
        <v>0</v>
      </c>
      <c r="T10">
        <v>0</v>
      </c>
      <c r="U10">
        <v>0</v>
      </c>
    </row>
    <row r="11" spans="1:21">
      <c r="A11">
        <v>6</v>
      </c>
      <c r="B11" t="s">
        <v>759</v>
      </c>
      <c r="C11">
        <f t="shared" si="0"/>
        <v>7</v>
      </c>
      <c r="D11">
        <v>1006</v>
      </c>
      <c r="E11" s="9" t="s">
        <v>240</v>
      </c>
      <c r="F11" t="s">
        <v>513</v>
      </c>
      <c r="G11" t="s">
        <v>1086</v>
      </c>
      <c r="H11" t="s">
        <v>1138</v>
      </c>
      <c r="I11">
        <v>0</v>
      </c>
      <c r="J11">
        <v>0</v>
      </c>
      <c r="K11">
        <v>100</v>
      </c>
      <c r="L11" t="s">
        <v>53</v>
      </c>
      <c r="M11" s="6" t="s">
        <v>225</v>
      </c>
      <c r="N11">
        <v>1127</v>
      </c>
      <c r="O11">
        <v>102</v>
      </c>
      <c r="P11">
        <v>26</v>
      </c>
      <c r="Q11">
        <v>26</v>
      </c>
      <c r="R11">
        <v>12</v>
      </c>
      <c r="S11">
        <v>0</v>
      </c>
      <c r="T11">
        <v>0</v>
      </c>
      <c r="U11">
        <v>0</v>
      </c>
    </row>
    <row r="12" spans="1:21">
      <c r="A12">
        <v>7</v>
      </c>
      <c r="B12" t="s">
        <v>760</v>
      </c>
      <c r="C12">
        <f t="shared" si="0"/>
        <v>8</v>
      </c>
      <c r="D12">
        <v>1007</v>
      </c>
      <c r="E12" s="9" t="s">
        <v>241</v>
      </c>
      <c r="F12" t="s">
        <v>513</v>
      </c>
      <c r="G12" t="s">
        <v>1087</v>
      </c>
      <c r="H12" t="s">
        <v>1139</v>
      </c>
      <c r="I12">
        <v>0</v>
      </c>
      <c r="J12">
        <v>0</v>
      </c>
      <c r="K12">
        <v>100</v>
      </c>
      <c r="L12" t="s">
        <v>54</v>
      </c>
      <c r="M12" s="6" t="s">
        <v>226</v>
      </c>
      <c r="N12">
        <v>1127</v>
      </c>
      <c r="O12">
        <v>102</v>
      </c>
      <c r="P12">
        <v>46</v>
      </c>
      <c r="Q12">
        <v>46</v>
      </c>
      <c r="R12">
        <v>14</v>
      </c>
      <c r="S12">
        <v>0</v>
      </c>
      <c r="T12">
        <v>0</v>
      </c>
      <c r="U12">
        <v>0</v>
      </c>
    </row>
    <row r="13" spans="1:21">
      <c r="A13">
        <v>8</v>
      </c>
      <c r="B13" t="s">
        <v>761</v>
      </c>
      <c r="C13">
        <f t="shared" si="0"/>
        <v>9</v>
      </c>
      <c r="D13">
        <v>1008</v>
      </c>
      <c r="E13" s="9" t="s">
        <v>242</v>
      </c>
      <c r="F13" t="s">
        <v>214</v>
      </c>
      <c r="G13" t="s">
        <v>1088</v>
      </c>
      <c r="H13" t="s">
        <v>1140</v>
      </c>
      <c r="I13">
        <v>0</v>
      </c>
      <c r="J13">
        <v>0</v>
      </c>
      <c r="K13">
        <v>100</v>
      </c>
      <c r="L13" t="s">
        <v>55</v>
      </c>
      <c r="M13" s="6" t="s">
        <v>22</v>
      </c>
      <c r="N13">
        <v>1160</v>
      </c>
      <c r="O13">
        <v>100</v>
      </c>
      <c r="P13">
        <v>59</v>
      </c>
      <c r="Q13">
        <v>59</v>
      </c>
      <c r="R13">
        <v>16</v>
      </c>
      <c r="S13">
        <v>0</v>
      </c>
      <c r="T13">
        <v>0</v>
      </c>
      <c r="U13">
        <v>0</v>
      </c>
    </row>
    <row r="14" spans="1:21">
      <c r="A14">
        <v>9</v>
      </c>
      <c r="B14" t="s">
        <v>762</v>
      </c>
      <c r="C14">
        <f t="shared" si="0"/>
        <v>10</v>
      </c>
      <c r="D14">
        <v>1009</v>
      </c>
      <c r="E14" s="9" t="s">
        <v>243</v>
      </c>
      <c r="F14" t="s">
        <v>215</v>
      </c>
      <c r="G14" t="s">
        <v>1089</v>
      </c>
      <c r="H14" t="s">
        <v>1141</v>
      </c>
      <c r="I14">
        <v>0</v>
      </c>
      <c r="J14">
        <v>0</v>
      </c>
      <c r="K14">
        <v>100</v>
      </c>
      <c r="L14" t="s">
        <v>56</v>
      </c>
      <c r="M14" s="6" t="s">
        <v>23</v>
      </c>
      <c r="N14">
        <v>1192</v>
      </c>
      <c r="O14">
        <v>97</v>
      </c>
      <c r="P14">
        <v>72</v>
      </c>
      <c r="Q14">
        <v>72</v>
      </c>
      <c r="R14">
        <v>18</v>
      </c>
      <c r="S14">
        <v>0</v>
      </c>
      <c r="T14">
        <v>0</v>
      </c>
      <c r="U14">
        <v>0</v>
      </c>
    </row>
    <row r="15" spans="1:21" s="3" customFormat="1">
      <c r="A15" s="3">
        <v>10</v>
      </c>
      <c r="B15" s="3" t="s">
        <v>763</v>
      </c>
      <c r="C15">
        <f t="shared" si="0"/>
        <v>11</v>
      </c>
      <c r="D15">
        <v>1010</v>
      </c>
      <c r="E15" s="9" t="s">
        <v>244</v>
      </c>
      <c r="F15" s="3" t="s">
        <v>216</v>
      </c>
      <c r="G15" t="s">
        <v>1090</v>
      </c>
      <c r="H15" s="3" t="s">
        <v>1142</v>
      </c>
      <c r="I15">
        <v>0</v>
      </c>
      <c r="J15">
        <v>0</v>
      </c>
      <c r="K15">
        <v>100</v>
      </c>
      <c r="L15" s="3" t="s">
        <v>57</v>
      </c>
      <c r="M15" s="7" t="s">
        <v>24</v>
      </c>
      <c r="N15">
        <v>1224</v>
      </c>
      <c r="O15" s="3">
        <v>95</v>
      </c>
      <c r="P15">
        <v>87</v>
      </c>
      <c r="Q15">
        <v>87</v>
      </c>
      <c r="R15">
        <v>20</v>
      </c>
      <c r="S15">
        <v>0</v>
      </c>
      <c r="T15">
        <v>0</v>
      </c>
      <c r="U15">
        <v>0</v>
      </c>
    </row>
    <row r="16" spans="1:21">
      <c r="A16">
        <v>11</v>
      </c>
      <c r="B16" t="s">
        <v>764</v>
      </c>
      <c r="C16">
        <f t="shared" si="0"/>
        <v>12</v>
      </c>
      <c r="D16">
        <v>1011</v>
      </c>
      <c r="E16" s="9" t="s">
        <v>245</v>
      </c>
      <c r="F16" t="s">
        <v>216</v>
      </c>
      <c r="G16" t="s">
        <v>1091</v>
      </c>
      <c r="H16" t="s">
        <v>1143</v>
      </c>
      <c r="I16">
        <v>0</v>
      </c>
      <c r="J16">
        <v>0</v>
      </c>
      <c r="K16">
        <v>100</v>
      </c>
      <c r="L16" t="s">
        <v>58</v>
      </c>
      <c r="M16" s="6" t="s">
        <v>25</v>
      </c>
      <c r="N16">
        <v>1217</v>
      </c>
      <c r="O16">
        <v>95</v>
      </c>
      <c r="P16">
        <v>98</v>
      </c>
      <c r="Q16">
        <v>98</v>
      </c>
      <c r="R16">
        <v>22</v>
      </c>
      <c r="S16">
        <v>0</v>
      </c>
      <c r="T16">
        <v>0</v>
      </c>
      <c r="U16">
        <v>0</v>
      </c>
    </row>
    <row r="17" spans="1:21">
      <c r="A17">
        <v>12</v>
      </c>
      <c r="B17" t="s">
        <v>765</v>
      </c>
      <c r="C17">
        <f t="shared" si="0"/>
        <v>13</v>
      </c>
      <c r="D17">
        <v>1012</v>
      </c>
      <c r="E17" s="9" t="s">
        <v>246</v>
      </c>
      <c r="F17" t="s">
        <v>217</v>
      </c>
      <c r="G17" t="s">
        <v>1092</v>
      </c>
      <c r="H17" t="s">
        <v>1144</v>
      </c>
      <c r="I17">
        <v>0</v>
      </c>
      <c r="J17">
        <v>0</v>
      </c>
      <c r="K17">
        <v>100</v>
      </c>
      <c r="L17" t="s">
        <v>59</v>
      </c>
      <c r="M17" s="6" t="s">
        <v>26</v>
      </c>
      <c r="N17">
        <v>1248</v>
      </c>
      <c r="O17">
        <v>93</v>
      </c>
      <c r="P17">
        <v>120</v>
      </c>
      <c r="Q17">
        <v>120</v>
      </c>
      <c r="R17">
        <v>24</v>
      </c>
      <c r="S17">
        <v>0</v>
      </c>
      <c r="T17">
        <v>0</v>
      </c>
      <c r="U17">
        <v>0</v>
      </c>
    </row>
    <row r="18" spans="1:21">
      <c r="A18">
        <v>13</v>
      </c>
      <c r="B18" t="s">
        <v>766</v>
      </c>
      <c r="C18">
        <f t="shared" si="0"/>
        <v>14</v>
      </c>
      <c r="D18">
        <v>1013</v>
      </c>
      <c r="E18" s="9" t="s">
        <v>247</v>
      </c>
      <c r="F18" t="s">
        <v>501</v>
      </c>
      <c r="G18" t="s">
        <v>1093</v>
      </c>
      <c r="H18" t="s">
        <v>1145</v>
      </c>
      <c r="I18">
        <v>0</v>
      </c>
      <c r="J18">
        <v>0</v>
      </c>
      <c r="K18">
        <v>100</v>
      </c>
      <c r="L18" t="s">
        <v>60</v>
      </c>
      <c r="M18" s="6" t="s">
        <v>27</v>
      </c>
      <c r="N18">
        <v>1620</v>
      </c>
      <c r="O18">
        <v>76</v>
      </c>
      <c r="P18">
        <v>184</v>
      </c>
      <c r="Q18">
        <v>184</v>
      </c>
      <c r="R18">
        <v>26</v>
      </c>
      <c r="S18">
        <v>0</v>
      </c>
      <c r="T18">
        <v>0</v>
      </c>
      <c r="U18">
        <v>0</v>
      </c>
    </row>
    <row r="19" spans="1:21">
      <c r="A19">
        <v>14</v>
      </c>
      <c r="B19" t="s">
        <v>767</v>
      </c>
      <c r="C19">
        <f t="shared" si="0"/>
        <v>15</v>
      </c>
      <c r="D19">
        <v>1014</v>
      </c>
      <c r="E19" s="9" t="s">
        <v>248</v>
      </c>
      <c r="F19" t="s">
        <v>501</v>
      </c>
      <c r="G19" t="s">
        <v>1094</v>
      </c>
      <c r="H19" t="s">
        <v>1146</v>
      </c>
      <c r="I19">
        <v>0</v>
      </c>
      <c r="J19">
        <v>0</v>
      </c>
      <c r="K19">
        <v>100</v>
      </c>
      <c r="L19" t="s">
        <v>61</v>
      </c>
      <c r="M19" s="6" t="s">
        <v>28</v>
      </c>
      <c r="N19">
        <v>1610</v>
      </c>
      <c r="O19">
        <v>76</v>
      </c>
      <c r="P19">
        <v>208</v>
      </c>
      <c r="Q19">
        <v>208</v>
      </c>
      <c r="R19">
        <v>28</v>
      </c>
      <c r="S19">
        <v>0</v>
      </c>
      <c r="T19">
        <v>0</v>
      </c>
      <c r="U19">
        <v>0</v>
      </c>
    </row>
    <row r="20" spans="1:21">
      <c r="A20">
        <v>15</v>
      </c>
      <c r="B20" t="s">
        <v>768</v>
      </c>
      <c r="C20">
        <f t="shared" si="0"/>
        <v>16</v>
      </c>
      <c r="D20">
        <v>1015</v>
      </c>
      <c r="E20" s="9" t="s">
        <v>249</v>
      </c>
      <c r="F20" t="s">
        <v>501</v>
      </c>
      <c r="G20" t="s">
        <v>1095</v>
      </c>
      <c r="H20" t="s">
        <v>1147</v>
      </c>
      <c r="I20">
        <v>0</v>
      </c>
      <c r="J20">
        <v>0</v>
      </c>
      <c r="K20">
        <v>100</v>
      </c>
      <c r="L20" t="s">
        <v>62</v>
      </c>
      <c r="M20" s="6" t="s">
        <v>29</v>
      </c>
      <c r="N20">
        <v>1600</v>
      </c>
      <c r="O20">
        <v>76</v>
      </c>
      <c r="P20">
        <v>232</v>
      </c>
      <c r="Q20">
        <v>232</v>
      </c>
      <c r="R20">
        <v>30</v>
      </c>
      <c r="S20">
        <v>0</v>
      </c>
      <c r="T20">
        <v>0</v>
      </c>
      <c r="U20">
        <v>0</v>
      </c>
    </row>
    <row r="21" spans="1:21">
      <c r="A21">
        <v>16</v>
      </c>
      <c r="B21" t="s">
        <v>769</v>
      </c>
      <c r="C21">
        <f t="shared" si="0"/>
        <v>17</v>
      </c>
      <c r="D21">
        <v>1016</v>
      </c>
      <c r="E21" s="9" t="s">
        <v>250</v>
      </c>
      <c r="F21" t="s">
        <v>502</v>
      </c>
      <c r="G21" t="s">
        <v>1096</v>
      </c>
      <c r="H21" t="s">
        <v>1148</v>
      </c>
      <c r="I21">
        <v>0</v>
      </c>
      <c r="J21">
        <v>0</v>
      </c>
      <c r="K21">
        <v>100</v>
      </c>
      <c r="L21" t="s">
        <v>63</v>
      </c>
      <c r="M21" s="6" t="s">
        <v>30</v>
      </c>
      <c r="N21">
        <v>1739</v>
      </c>
      <c r="O21">
        <v>73</v>
      </c>
      <c r="P21">
        <v>281</v>
      </c>
      <c r="Q21">
        <v>281</v>
      </c>
      <c r="R21">
        <v>32</v>
      </c>
      <c r="S21">
        <v>0</v>
      </c>
      <c r="T21">
        <v>0</v>
      </c>
      <c r="U21">
        <v>0</v>
      </c>
    </row>
    <row r="22" spans="1:21">
      <c r="A22">
        <v>17</v>
      </c>
      <c r="B22" t="s">
        <v>770</v>
      </c>
      <c r="C22">
        <f t="shared" si="0"/>
        <v>18</v>
      </c>
      <c r="D22">
        <v>1017</v>
      </c>
      <c r="E22" s="9" t="s">
        <v>251</v>
      </c>
      <c r="F22" t="s">
        <v>503</v>
      </c>
      <c r="G22" t="s">
        <v>1097</v>
      </c>
      <c r="H22" t="s">
        <v>1149</v>
      </c>
      <c r="I22">
        <v>0</v>
      </c>
      <c r="J22">
        <v>0</v>
      </c>
      <c r="K22">
        <v>100</v>
      </c>
      <c r="L22" t="s">
        <v>64</v>
      </c>
      <c r="M22" s="6" t="s">
        <v>31</v>
      </c>
      <c r="N22">
        <v>1765</v>
      </c>
      <c r="O22">
        <v>72</v>
      </c>
      <c r="P22">
        <v>315</v>
      </c>
      <c r="Q22">
        <v>315</v>
      </c>
      <c r="R22">
        <v>34</v>
      </c>
      <c r="S22">
        <v>0</v>
      </c>
      <c r="T22">
        <v>0</v>
      </c>
      <c r="U22">
        <v>0</v>
      </c>
    </row>
    <row r="23" spans="1:21">
      <c r="A23">
        <v>18</v>
      </c>
      <c r="B23" t="s">
        <v>771</v>
      </c>
      <c r="C23">
        <f t="shared" si="0"/>
        <v>19</v>
      </c>
      <c r="D23">
        <v>1018</v>
      </c>
      <c r="E23" s="9" t="s">
        <v>252</v>
      </c>
      <c r="F23" t="s">
        <v>504</v>
      </c>
      <c r="G23" t="s">
        <v>1098</v>
      </c>
      <c r="H23" t="s">
        <v>1150</v>
      </c>
      <c r="I23">
        <v>0</v>
      </c>
      <c r="J23">
        <v>0</v>
      </c>
      <c r="K23">
        <v>100</v>
      </c>
      <c r="L23" t="s">
        <v>65</v>
      </c>
      <c r="M23" s="6" t="s">
        <v>32</v>
      </c>
      <c r="N23">
        <v>1791</v>
      </c>
      <c r="O23">
        <v>72</v>
      </c>
      <c r="P23">
        <v>349</v>
      </c>
      <c r="Q23">
        <v>349</v>
      </c>
      <c r="R23">
        <v>36</v>
      </c>
      <c r="S23">
        <v>0</v>
      </c>
      <c r="T23">
        <v>0</v>
      </c>
      <c r="U23">
        <v>0</v>
      </c>
    </row>
    <row r="24" spans="1:21" s="4" customFormat="1">
      <c r="A24" s="4">
        <v>19</v>
      </c>
      <c r="B24" t="s">
        <v>772</v>
      </c>
      <c r="C24">
        <f t="shared" si="0"/>
        <v>20</v>
      </c>
      <c r="D24">
        <v>1019</v>
      </c>
      <c r="E24" s="9" t="s">
        <v>253</v>
      </c>
      <c r="F24" s="4" t="s">
        <v>505</v>
      </c>
      <c r="G24" t="s">
        <v>1099</v>
      </c>
      <c r="H24" s="4" t="s">
        <v>1151</v>
      </c>
      <c r="I24">
        <v>0</v>
      </c>
      <c r="J24">
        <v>0</v>
      </c>
      <c r="K24">
        <v>100</v>
      </c>
      <c r="L24" s="4" t="s">
        <v>66</v>
      </c>
      <c r="M24" s="8" t="s">
        <v>33</v>
      </c>
      <c r="N24">
        <v>1816</v>
      </c>
      <c r="O24" s="4">
        <v>71</v>
      </c>
      <c r="P24">
        <v>385</v>
      </c>
      <c r="Q24">
        <v>385</v>
      </c>
      <c r="R24">
        <v>38</v>
      </c>
      <c r="S24">
        <v>0</v>
      </c>
      <c r="T24">
        <v>0</v>
      </c>
      <c r="U24">
        <v>0</v>
      </c>
    </row>
    <row r="25" spans="1:21">
      <c r="A25">
        <v>20</v>
      </c>
      <c r="B25" s="4" t="s">
        <v>773</v>
      </c>
      <c r="C25">
        <f t="shared" si="0"/>
        <v>21</v>
      </c>
      <c r="D25">
        <v>1020</v>
      </c>
      <c r="E25" s="9" t="s">
        <v>254</v>
      </c>
      <c r="F25" t="s">
        <v>506</v>
      </c>
      <c r="G25" t="s">
        <v>1100</v>
      </c>
      <c r="H25" t="s">
        <v>1152</v>
      </c>
      <c r="I25">
        <v>0</v>
      </c>
      <c r="J25">
        <v>0</v>
      </c>
      <c r="K25">
        <v>100</v>
      </c>
      <c r="L25" t="s">
        <v>67</v>
      </c>
      <c r="M25" s="6" t="s">
        <v>34</v>
      </c>
      <c r="N25">
        <v>1840</v>
      </c>
      <c r="O25">
        <v>70</v>
      </c>
      <c r="P25">
        <v>422</v>
      </c>
      <c r="Q25">
        <v>422</v>
      </c>
      <c r="R25">
        <v>40</v>
      </c>
      <c r="S25">
        <v>0</v>
      </c>
      <c r="T25">
        <v>0</v>
      </c>
      <c r="U25">
        <v>0</v>
      </c>
    </row>
    <row r="26" spans="1:21">
      <c r="A26">
        <v>21</v>
      </c>
      <c r="B26" t="s">
        <v>774</v>
      </c>
      <c r="C26">
        <f t="shared" si="0"/>
        <v>22</v>
      </c>
      <c r="D26">
        <v>1021</v>
      </c>
      <c r="E26" s="9" t="s">
        <v>255</v>
      </c>
      <c r="F26" t="s">
        <v>507</v>
      </c>
      <c r="G26" t="s">
        <v>1101</v>
      </c>
      <c r="H26" t="s">
        <v>1153</v>
      </c>
      <c r="I26">
        <v>0</v>
      </c>
      <c r="J26">
        <v>0</v>
      </c>
      <c r="K26">
        <v>100</v>
      </c>
      <c r="L26" t="s">
        <v>68</v>
      </c>
      <c r="M26" s="6" t="s">
        <v>35</v>
      </c>
      <c r="N26">
        <v>1864</v>
      </c>
      <c r="O26">
        <v>69</v>
      </c>
      <c r="P26">
        <v>460</v>
      </c>
      <c r="Q26">
        <v>460</v>
      </c>
      <c r="R26">
        <v>42</v>
      </c>
      <c r="S26">
        <v>0</v>
      </c>
      <c r="T26">
        <v>0</v>
      </c>
      <c r="U26">
        <v>0</v>
      </c>
    </row>
    <row r="27" spans="1:21">
      <c r="A27">
        <v>22</v>
      </c>
      <c r="B27" t="s">
        <v>775</v>
      </c>
      <c r="C27">
        <f t="shared" si="0"/>
        <v>23</v>
      </c>
      <c r="D27">
        <v>1022</v>
      </c>
      <c r="E27" s="9" t="s">
        <v>256</v>
      </c>
      <c r="F27" t="s">
        <v>508</v>
      </c>
      <c r="G27" t="s">
        <v>1102</v>
      </c>
      <c r="H27" t="s">
        <v>1154</v>
      </c>
      <c r="I27">
        <v>0</v>
      </c>
      <c r="J27">
        <v>0</v>
      </c>
      <c r="K27">
        <v>100</v>
      </c>
      <c r="L27" t="s">
        <v>69</v>
      </c>
      <c r="M27" s="6" t="s">
        <v>36</v>
      </c>
      <c r="N27">
        <v>1888</v>
      </c>
      <c r="O27">
        <v>69</v>
      </c>
      <c r="P27">
        <v>510</v>
      </c>
      <c r="Q27">
        <v>510</v>
      </c>
      <c r="R27">
        <v>44</v>
      </c>
      <c r="S27">
        <v>0</v>
      </c>
      <c r="T27">
        <v>0</v>
      </c>
      <c r="U27">
        <v>0</v>
      </c>
    </row>
    <row r="28" spans="1:21">
      <c r="A28">
        <v>23</v>
      </c>
      <c r="B28" t="s">
        <v>776</v>
      </c>
      <c r="C28">
        <f t="shared" si="0"/>
        <v>24</v>
      </c>
      <c r="D28">
        <v>1023</v>
      </c>
      <c r="E28" s="9" t="s">
        <v>257</v>
      </c>
      <c r="F28" t="s">
        <v>509</v>
      </c>
      <c r="G28" t="s">
        <v>1103</v>
      </c>
      <c r="H28" t="s">
        <v>1155</v>
      </c>
      <c r="I28">
        <v>0</v>
      </c>
      <c r="J28">
        <v>0</v>
      </c>
      <c r="K28">
        <v>100</v>
      </c>
      <c r="L28" t="s">
        <v>70</v>
      </c>
      <c r="M28" s="6" t="s">
        <v>37</v>
      </c>
      <c r="N28">
        <v>1946</v>
      </c>
      <c r="O28">
        <v>67</v>
      </c>
      <c r="P28">
        <v>572</v>
      </c>
      <c r="Q28">
        <v>572</v>
      </c>
      <c r="R28">
        <v>46</v>
      </c>
      <c r="S28">
        <v>0</v>
      </c>
      <c r="T28">
        <v>0</v>
      </c>
      <c r="U28">
        <v>0</v>
      </c>
    </row>
    <row r="29" spans="1:21">
      <c r="A29">
        <v>24</v>
      </c>
      <c r="B29" t="s">
        <v>777</v>
      </c>
      <c r="C29">
        <f t="shared" si="0"/>
        <v>25</v>
      </c>
      <c r="D29">
        <v>1024</v>
      </c>
      <c r="E29" s="9" t="s">
        <v>258</v>
      </c>
      <c r="F29" t="s">
        <v>510</v>
      </c>
      <c r="G29" t="s">
        <v>1104</v>
      </c>
      <c r="H29" t="s">
        <v>1156</v>
      </c>
      <c r="I29">
        <v>0</v>
      </c>
      <c r="J29">
        <v>0</v>
      </c>
      <c r="K29">
        <v>100</v>
      </c>
      <c r="L29" t="s">
        <v>71</v>
      </c>
      <c r="M29" s="6" t="s">
        <v>38</v>
      </c>
      <c r="N29">
        <v>2004</v>
      </c>
      <c r="O29">
        <v>67</v>
      </c>
      <c r="P29">
        <v>637</v>
      </c>
      <c r="Q29">
        <v>637</v>
      </c>
      <c r="R29">
        <v>48</v>
      </c>
      <c r="S29">
        <v>0</v>
      </c>
      <c r="T29">
        <v>0</v>
      </c>
      <c r="U29">
        <v>0</v>
      </c>
    </row>
    <row r="30" spans="1:21">
      <c r="A30">
        <v>25</v>
      </c>
      <c r="B30" t="s">
        <v>778</v>
      </c>
      <c r="C30">
        <f t="shared" si="0"/>
        <v>26</v>
      </c>
      <c r="D30">
        <v>1025</v>
      </c>
      <c r="E30" s="9" t="s">
        <v>259</v>
      </c>
      <c r="F30" t="s">
        <v>511</v>
      </c>
      <c r="G30" t="s">
        <v>1105</v>
      </c>
      <c r="H30" t="s">
        <v>1157</v>
      </c>
      <c r="I30">
        <v>0</v>
      </c>
      <c r="J30">
        <v>0</v>
      </c>
      <c r="K30">
        <v>100</v>
      </c>
      <c r="L30" t="s">
        <v>72</v>
      </c>
      <c r="M30" s="6" t="s">
        <v>39</v>
      </c>
      <c r="N30">
        <v>2004</v>
      </c>
      <c r="O30">
        <v>67</v>
      </c>
      <c r="P30">
        <v>693</v>
      </c>
      <c r="Q30">
        <v>693</v>
      </c>
      <c r="R30">
        <v>50</v>
      </c>
      <c r="S30">
        <v>0</v>
      </c>
      <c r="T30">
        <v>0</v>
      </c>
      <c r="U30">
        <v>0</v>
      </c>
    </row>
    <row r="31" spans="1:21">
      <c r="A31">
        <v>26</v>
      </c>
      <c r="B31" t="s">
        <v>779</v>
      </c>
      <c r="C31">
        <f t="shared" si="0"/>
        <v>27</v>
      </c>
      <c r="D31">
        <v>1026</v>
      </c>
      <c r="E31" s="9" t="s">
        <v>260</v>
      </c>
      <c r="F31" t="s">
        <v>512</v>
      </c>
      <c r="G31" t="s">
        <v>1106</v>
      </c>
      <c r="H31" t="s">
        <v>1158</v>
      </c>
      <c r="I31">
        <v>0</v>
      </c>
      <c r="J31">
        <v>0</v>
      </c>
      <c r="K31">
        <v>100</v>
      </c>
      <c r="L31" t="s">
        <v>73</v>
      </c>
      <c r="M31" s="6" t="s">
        <v>40</v>
      </c>
      <c r="N31">
        <v>2004</v>
      </c>
      <c r="O31">
        <v>67</v>
      </c>
      <c r="P31">
        <v>750</v>
      </c>
      <c r="Q31">
        <v>750</v>
      </c>
      <c r="R31">
        <v>52</v>
      </c>
      <c r="S31">
        <v>0</v>
      </c>
      <c r="T31">
        <v>0</v>
      </c>
      <c r="U31">
        <v>0</v>
      </c>
    </row>
    <row r="32" spans="1:21">
      <c r="A32">
        <v>27</v>
      </c>
      <c r="B32" t="s">
        <v>780</v>
      </c>
      <c r="C32">
        <f t="shared" si="0"/>
        <v>28</v>
      </c>
      <c r="D32">
        <v>1027</v>
      </c>
      <c r="E32" s="9" t="s">
        <v>261</v>
      </c>
      <c r="F32" t="s">
        <v>218</v>
      </c>
      <c r="G32" t="s">
        <v>1107</v>
      </c>
      <c r="H32" t="s">
        <v>1159</v>
      </c>
      <c r="I32">
        <v>0</v>
      </c>
      <c r="J32">
        <v>0</v>
      </c>
      <c r="K32">
        <v>100</v>
      </c>
      <c r="L32" t="s">
        <v>74</v>
      </c>
      <c r="M32" s="6" t="s">
        <v>41</v>
      </c>
      <c r="N32">
        <v>2054</v>
      </c>
      <c r="O32">
        <v>67</v>
      </c>
      <c r="P32">
        <v>852</v>
      </c>
      <c r="Q32">
        <v>852</v>
      </c>
      <c r="R32">
        <v>54</v>
      </c>
      <c r="S32">
        <v>0</v>
      </c>
      <c r="T32">
        <v>0</v>
      </c>
      <c r="U32">
        <v>0</v>
      </c>
    </row>
    <row r="33" spans="1:21">
      <c r="A33">
        <v>28</v>
      </c>
      <c r="B33" t="s">
        <v>781</v>
      </c>
      <c r="C33">
        <f t="shared" si="0"/>
        <v>29</v>
      </c>
      <c r="D33">
        <v>1028</v>
      </c>
      <c r="E33" s="9" t="s">
        <v>262</v>
      </c>
      <c r="F33" t="s">
        <v>218</v>
      </c>
      <c r="G33" t="s">
        <v>1108</v>
      </c>
      <c r="H33" t="s">
        <v>1160</v>
      </c>
      <c r="I33">
        <v>0</v>
      </c>
      <c r="J33">
        <v>0</v>
      </c>
      <c r="K33">
        <v>100</v>
      </c>
      <c r="L33" t="s">
        <v>75</v>
      </c>
      <c r="M33" s="6" t="s">
        <v>42</v>
      </c>
      <c r="N33">
        <v>2054</v>
      </c>
      <c r="O33">
        <v>67</v>
      </c>
      <c r="P33">
        <v>900</v>
      </c>
      <c r="Q33">
        <v>900</v>
      </c>
      <c r="R33">
        <v>56</v>
      </c>
      <c r="S33">
        <v>0</v>
      </c>
      <c r="T33">
        <v>0</v>
      </c>
      <c r="U33">
        <v>0</v>
      </c>
    </row>
    <row r="34" spans="1:21">
      <c r="A34">
        <v>29</v>
      </c>
      <c r="B34" t="s">
        <v>782</v>
      </c>
      <c r="C34">
        <f t="shared" si="0"/>
        <v>30</v>
      </c>
      <c r="D34">
        <v>1029</v>
      </c>
      <c r="E34" s="9" t="s">
        <v>263</v>
      </c>
      <c r="F34" t="s">
        <v>218</v>
      </c>
      <c r="G34" t="s">
        <v>1109</v>
      </c>
      <c r="H34" t="s">
        <v>1161</v>
      </c>
      <c r="I34">
        <v>0</v>
      </c>
      <c r="J34">
        <v>0</v>
      </c>
      <c r="K34">
        <v>100</v>
      </c>
      <c r="L34" t="s">
        <v>76</v>
      </c>
      <c r="M34" s="6" t="s">
        <v>84</v>
      </c>
      <c r="N34">
        <v>2054</v>
      </c>
      <c r="O34">
        <v>67</v>
      </c>
      <c r="P34">
        <v>948</v>
      </c>
      <c r="Q34">
        <v>948</v>
      </c>
      <c r="R34">
        <v>58</v>
      </c>
      <c r="S34">
        <v>0</v>
      </c>
      <c r="T34">
        <v>0</v>
      </c>
      <c r="U34">
        <v>0</v>
      </c>
    </row>
    <row r="35" spans="1:21">
      <c r="A35">
        <v>30</v>
      </c>
      <c r="B35" t="s">
        <v>783</v>
      </c>
      <c r="C35">
        <f t="shared" si="0"/>
        <v>31</v>
      </c>
      <c r="D35">
        <v>1030</v>
      </c>
      <c r="E35" s="9" t="s">
        <v>264</v>
      </c>
      <c r="F35" t="s">
        <v>218</v>
      </c>
      <c r="G35" t="s">
        <v>1110</v>
      </c>
      <c r="H35" t="s">
        <v>1162</v>
      </c>
      <c r="I35">
        <v>0</v>
      </c>
      <c r="J35">
        <v>0</v>
      </c>
      <c r="K35">
        <v>100</v>
      </c>
      <c r="L35" t="s">
        <v>77</v>
      </c>
      <c r="M35" s="6" t="s">
        <v>83</v>
      </c>
      <c r="N35">
        <v>2054</v>
      </c>
      <c r="O35">
        <v>67</v>
      </c>
      <c r="P35">
        <v>996</v>
      </c>
      <c r="Q35">
        <v>996</v>
      </c>
      <c r="R35">
        <v>60</v>
      </c>
      <c r="S35">
        <v>0</v>
      </c>
      <c r="T35">
        <v>0</v>
      </c>
      <c r="U35">
        <v>0</v>
      </c>
    </row>
    <row r="36" spans="1:21">
      <c r="A36">
        <v>31</v>
      </c>
      <c r="B36" t="s">
        <v>784</v>
      </c>
      <c r="C36">
        <f t="shared" si="0"/>
        <v>32</v>
      </c>
      <c r="D36">
        <v>1031</v>
      </c>
      <c r="E36" s="9" t="s">
        <v>265</v>
      </c>
      <c r="F36" t="s">
        <v>218</v>
      </c>
      <c r="G36" t="s">
        <v>1111</v>
      </c>
      <c r="H36" t="s">
        <v>1163</v>
      </c>
      <c r="I36">
        <v>0</v>
      </c>
      <c r="J36">
        <v>0</v>
      </c>
      <c r="K36">
        <v>100</v>
      </c>
      <c r="L36" t="s">
        <v>78</v>
      </c>
      <c r="M36" s="6" t="s">
        <v>43</v>
      </c>
      <c r="N36">
        <v>2054</v>
      </c>
      <c r="O36">
        <v>67</v>
      </c>
      <c r="P36">
        <v>1044</v>
      </c>
      <c r="Q36">
        <v>1044</v>
      </c>
      <c r="R36">
        <v>62</v>
      </c>
      <c r="S36">
        <v>0</v>
      </c>
      <c r="T36">
        <v>0</v>
      </c>
      <c r="U36">
        <v>0</v>
      </c>
    </row>
    <row r="37" spans="1:21">
      <c r="A37">
        <v>32</v>
      </c>
      <c r="B37" t="s">
        <v>785</v>
      </c>
      <c r="C37">
        <f t="shared" si="0"/>
        <v>33</v>
      </c>
      <c r="D37">
        <v>1032</v>
      </c>
      <c r="E37" s="9" t="s">
        <v>266</v>
      </c>
      <c r="F37" t="s">
        <v>218</v>
      </c>
      <c r="G37" t="s">
        <v>1112</v>
      </c>
      <c r="H37" t="s">
        <v>1164</v>
      </c>
      <c r="I37">
        <v>0</v>
      </c>
      <c r="J37">
        <v>0</v>
      </c>
      <c r="K37">
        <v>100</v>
      </c>
      <c r="L37" t="s">
        <v>79</v>
      </c>
      <c r="M37" s="6" t="s">
        <v>44</v>
      </c>
      <c r="N37">
        <v>2054</v>
      </c>
      <c r="O37">
        <v>67</v>
      </c>
      <c r="P37">
        <v>1104</v>
      </c>
      <c r="Q37">
        <v>1104</v>
      </c>
      <c r="R37">
        <v>64</v>
      </c>
      <c r="S37">
        <v>0</v>
      </c>
      <c r="T37">
        <v>0</v>
      </c>
      <c r="U37">
        <v>0</v>
      </c>
    </row>
    <row r="38" spans="1:21">
      <c r="A38">
        <v>33</v>
      </c>
      <c r="B38" t="s">
        <v>786</v>
      </c>
      <c r="C38">
        <f t="shared" si="0"/>
        <v>34</v>
      </c>
      <c r="D38">
        <v>1033</v>
      </c>
      <c r="E38" s="9" t="s">
        <v>267</v>
      </c>
      <c r="F38" t="s">
        <v>218</v>
      </c>
      <c r="G38" t="s">
        <v>1113</v>
      </c>
      <c r="H38" t="s">
        <v>1165</v>
      </c>
      <c r="I38">
        <v>0</v>
      </c>
      <c r="J38">
        <v>0</v>
      </c>
      <c r="K38">
        <v>100</v>
      </c>
      <c r="L38" t="s">
        <v>80</v>
      </c>
      <c r="M38" s="6" t="s">
        <v>45</v>
      </c>
      <c r="N38">
        <v>2054</v>
      </c>
      <c r="O38">
        <v>67</v>
      </c>
      <c r="P38">
        <v>1164</v>
      </c>
      <c r="Q38">
        <v>1164</v>
      </c>
      <c r="R38">
        <v>66</v>
      </c>
      <c r="S38">
        <v>0</v>
      </c>
      <c r="T38">
        <v>0</v>
      </c>
      <c r="U38">
        <v>0</v>
      </c>
    </row>
    <row r="39" spans="1:21">
      <c r="A39">
        <v>34</v>
      </c>
      <c r="B39" t="s">
        <v>787</v>
      </c>
      <c r="C39">
        <f t="shared" si="0"/>
        <v>35</v>
      </c>
      <c r="D39">
        <v>1034</v>
      </c>
      <c r="E39" s="9" t="s">
        <v>268</v>
      </c>
      <c r="F39" t="s">
        <v>218</v>
      </c>
      <c r="G39" t="s">
        <v>1114</v>
      </c>
      <c r="H39" t="s">
        <v>1166</v>
      </c>
      <c r="I39">
        <v>0</v>
      </c>
      <c r="J39">
        <v>0</v>
      </c>
      <c r="K39">
        <v>100</v>
      </c>
      <c r="L39" t="s">
        <v>81</v>
      </c>
      <c r="M39" s="6" t="s">
        <v>46</v>
      </c>
      <c r="N39">
        <v>2054</v>
      </c>
      <c r="O39">
        <v>67</v>
      </c>
      <c r="P39">
        <v>1224</v>
      </c>
      <c r="Q39">
        <v>1224</v>
      </c>
      <c r="R39">
        <v>68</v>
      </c>
      <c r="S39">
        <v>0</v>
      </c>
      <c r="T39">
        <v>0</v>
      </c>
      <c r="U39">
        <v>0</v>
      </c>
    </row>
    <row r="40" spans="1:21">
      <c r="A40">
        <v>35</v>
      </c>
      <c r="B40" t="s">
        <v>788</v>
      </c>
      <c r="C40">
        <f t="shared" si="0"/>
        <v>36</v>
      </c>
      <c r="D40">
        <v>1035</v>
      </c>
      <c r="E40" s="9" t="s">
        <v>269</v>
      </c>
      <c r="F40" t="s">
        <v>218</v>
      </c>
      <c r="G40" t="s">
        <v>1115</v>
      </c>
      <c r="H40" t="s">
        <v>1167</v>
      </c>
      <c r="I40">
        <v>0</v>
      </c>
      <c r="J40">
        <v>0</v>
      </c>
      <c r="K40">
        <v>100</v>
      </c>
      <c r="L40" t="s">
        <v>82</v>
      </c>
      <c r="M40" s="6" t="s">
        <v>47</v>
      </c>
      <c r="N40">
        <v>2054</v>
      </c>
      <c r="O40">
        <v>67</v>
      </c>
      <c r="P40">
        <v>1284</v>
      </c>
      <c r="Q40">
        <v>1284</v>
      </c>
      <c r="R40">
        <v>70</v>
      </c>
      <c r="S40">
        <v>0</v>
      </c>
      <c r="T40">
        <v>0</v>
      </c>
      <c r="U40">
        <v>0</v>
      </c>
    </row>
    <row r="41" spans="1:21">
      <c r="A41">
        <v>36</v>
      </c>
      <c r="B41" t="s">
        <v>789</v>
      </c>
      <c r="C41">
        <f>A42</f>
        <v>37</v>
      </c>
      <c r="D41">
        <v>1036</v>
      </c>
      <c r="E41" s="11" t="s">
        <v>663</v>
      </c>
      <c r="F41" t="s">
        <v>218</v>
      </c>
      <c r="G41" t="s">
        <v>1116</v>
      </c>
      <c r="H41" t="s">
        <v>1168</v>
      </c>
      <c r="I41">
        <v>0</v>
      </c>
      <c r="J41">
        <v>0</v>
      </c>
      <c r="K41">
        <v>100</v>
      </c>
      <c r="L41" t="s">
        <v>680</v>
      </c>
      <c r="M41" s="6" t="s">
        <v>646</v>
      </c>
      <c r="N41">
        <v>2054</v>
      </c>
      <c r="O41">
        <v>67</v>
      </c>
      <c r="P41">
        <v>1344</v>
      </c>
      <c r="Q41">
        <v>1344</v>
      </c>
      <c r="R41">
        <v>72</v>
      </c>
      <c r="S41">
        <v>0</v>
      </c>
      <c r="T41">
        <v>0</v>
      </c>
      <c r="U41">
        <v>0</v>
      </c>
    </row>
    <row r="42" spans="1:21">
      <c r="A42">
        <v>37</v>
      </c>
      <c r="B42" t="s">
        <v>790</v>
      </c>
      <c r="C42">
        <f>A43</f>
        <v>38</v>
      </c>
      <c r="D42">
        <v>1037</v>
      </c>
      <c r="E42" s="11" t="s">
        <v>664</v>
      </c>
      <c r="F42" t="s">
        <v>218</v>
      </c>
      <c r="G42" t="s">
        <v>1117</v>
      </c>
      <c r="H42" t="s">
        <v>1169</v>
      </c>
      <c r="I42">
        <v>0</v>
      </c>
      <c r="J42">
        <v>0</v>
      </c>
      <c r="K42">
        <v>100</v>
      </c>
      <c r="L42" t="s">
        <v>681</v>
      </c>
      <c r="M42" s="6" t="s">
        <v>647</v>
      </c>
      <c r="N42">
        <v>2150</v>
      </c>
      <c r="O42">
        <v>67</v>
      </c>
      <c r="P42">
        <v>1404</v>
      </c>
      <c r="Q42">
        <v>1404</v>
      </c>
      <c r="R42">
        <v>74</v>
      </c>
      <c r="S42">
        <v>0</v>
      </c>
      <c r="T42">
        <v>0</v>
      </c>
      <c r="U42">
        <v>0</v>
      </c>
    </row>
    <row r="43" spans="1:21">
      <c r="A43">
        <v>38</v>
      </c>
      <c r="B43" t="s">
        <v>791</v>
      </c>
      <c r="C43">
        <f t="shared" ref="C43:C49" si="1">A44</f>
        <v>39</v>
      </c>
      <c r="D43">
        <v>1038</v>
      </c>
      <c r="E43" s="9" t="s">
        <v>665</v>
      </c>
      <c r="F43" t="s">
        <v>218</v>
      </c>
      <c r="G43" t="s">
        <v>1118</v>
      </c>
      <c r="H43" t="s">
        <v>1170</v>
      </c>
      <c r="I43">
        <v>0</v>
      </c>
      <c r="J43">
        <v>0</v>
      </c>
      <c r="K43">
        <v>100</v>
      </c>
      <c r="L43" t="s">
        <v>682</v>
      </c>
      <c r="M43" s="6" t="s">
        <v>648</v>
      </c>
      <c r="N43">
        <v>2170</v>
      </c>
      <c r="O43">
        <v>67</v>
      </c>
      <c r="P43">
        <v>1464</v>
      </c>
      <c r="Q43">
        <v>1464</v>
      </c>
      <c r="R43">
        <v>76</v>
      </c>
      <c r="S43">
        <v>0</v>
      </c>
      <c r="T43">
        <v>0</v>
      </c>
      <c r="U43">
        <v>0</v>
      </c>
    </row>
    <row r="44" spans="1:21">
      <c r="A44">
        <v>39</v>
      </c>
      <c r="B44" t="s">
        <v>792</v>
      </c>
      <c r="C44">
        <f t="shared" si="1"/>
        <v>40</v>
      </c>
      <c r="D44">
        <v>1039</v>
      </c>
      <c r="E44" s="9" t="s">
        <v>666</v>
      </c>
      <c r="F44" t="s">
        <v>218</v>
      </c>
      <c r="G44" t="s">
        <v>1119</v>
      </c>
      <c r="H44" t="s">
        <v>1171</v>
      </c>
      <c r="I44">
        <v>0</v>
      </c>
      <c r="J44">
        <v>0</v>
      </c>
      <c r="K44">
        <v>100</v>
      </c>
      <c r="L44" t="s">
        <v>683</v>
      </c>
      <c r="M44" s="6" t="s">
        <v>649</v>
      </c>
      <c r="N44">
        <v>2190</v>
      </c>
      <c r="O44">
        <v>67</v>
      </c>
      <c r="P44">
        <v>1524</v>
      </c>
      <c r="Q44">
        <v>1524</v>
      </c>
      <c r="R44">
        <v>78</v>
      </c>
      <c r="S44">
        <v>0</v>
      </c>
      <c r="T44">
        <v>0</v>
      </c>
      <c r="U44">
        <v>0</v>
      </c>
    </row>
    <row r="45" spans="1:21">
      <c r="A45">
        <v>40</v>
      </c>
      <c r="B45" t="s">
        <v>793</v>
      </c>
      <c r="C45">
        <f t="shared" si="1"/>
        <v>41</v>
      </c>
      <c r="D45">
        <v>1040</v>
      </c>
      <c r="E45" s="9" t="s">
        <v>667</v>
      </c>
      <c r="F45" t="s">
        <v>218</v>
      </c>
      <c r="G45" t="s">
        <v>1120</v>
      </c>
      <c r="H45" t="s">
        <v>1172</v>
      </c>
      <c r="I45">
        <v>0</v>
      </c>
      <c r="J45">
        <v>0</v>
      </c>
      <c r="K45">
        <v>100</v>
      </c>
      <c r="L45" t="s">
        <v>684</v>
      </c>
      <c r="M45" t="s">
        <v>650</v>
      </c>
      <c r="N45">
        <v>2210</v>
      </c>
      <c r="O45">
        <v>67</v>
      </c>
      <c r="P45">
        <v>1584</v>
      </c>
      <c r="Q45">
        <v>1584</v>
      </c>
      <c r="R45">
        <v>80</v>
      </c>
      <c r="S45">
        <v>0</v>
      </c>
      <c r="T45">
        <v>0</v>
      </c>
      <c r="U45">
        <v>0</v>
      </c>
    </row>
    <row r="46" spans="1:21">
      <c r="A46">
        <v>41</v>
      </c>
      <c r="B46" t="s">
        <v>794</v>
      </c>
      <c r="C46">
        <f t="shared" si="1"/>
        <v>42</v>
      </c>
      <c r="D46">
        <v>1041</v>
      </c>
      <c r="E46" s="9" t="s">
        <v>668</v>
      </c>
      <c r="F46" t="s">
        <v>218</v>
      </c>
      <c r="G46" t="s">
        <v>1121</v>
      </c>
      <c r="H46" t="s">
        <v>1173</v>
      </c>
      <c r="I46">
        <v>0</v>
      </c>
      <c r="J46">
        <v>0</v>
      </c>
      <c r="K46">
        <v>100</v>
      </c>
      <c r="L46" t="s">
        <v>685</v>
      </c>
      <c r="M46" s="6" t="s">
        <v>651</v>
      </c>
      <c r="N46">
        <v>2230</v>
      </c>
      <c r="O46">
        <v>67</v>
      </c>
      <c r="P46">
        <v>1644</v>
      </c>
      <c r="Q46">
        <v>1644</v>
      </c>
      <c r="R46">
        <v>82</v>
      </c>
      <c r="S46">
        <v>0</v>
      </c>
      <c r="T46">
        <v>0</v>
      </c>
      <c r="U46">
        <v>0</v>
      </c>
    </row>
    <row r="47" spans="1:21">
      <c r="A47">
        <v>42</v>
      </c>
      <c r="B47" t="s">
        <v>795</v>
      </c>
      <c r="C47">
        <f t="shared" si="1"/>
        <v>43</v>
      </c>
      <c r="D47">
        <v>1042</v>
      </c>
      <c r="E47" s="9" t="s">
        <v>669</v>
      </c>
      <c r="F47" t="s">
        <v>218</v>
      </c>
      <c r="G47" t="s">
        <v>1122</v>
      </c>
      <c r="H47" t="s">
        <v>1174</v>
      </c>
      <c r="I47">
        <v>0</v>
      </c>
      <c r="J47">
        <v>0</v>
      </c>
      <c r="K47">
        <v>100</v>
      </c>
      <c r="L47" t="s">
        <v>686</v>
      </c>
      <c r="M47" s="6" t="s">
        <v>652</v>
      </c>
      <c r="N47">
        <v>2250</v>
      </c>
      <c r="O47">
        <v>67</v>
      </c>
      <c r="P47">
        <v>1704</v>
      </c>
      <c r="Q47">
        <v>1704</v>
      </c>
      <c r="R47">
        <v>84</v>
      </c>
      <c r="S47">
        <v>0</v>
      </c>
      <c r="T47">
        <v>0</v>
      </c>
      <c r="U47">
        <v>0</v>
      </c>
    </row>
    <row r="48" spans="1:21">
      <c r="A48">
        <v>43</v>
      </c>
      <c r="B48" t="s">
        <v>796</v>
      </c>
      <c r="C48">
        <f t="shared" si="1"/>
        <v>44</v>
      </c>
      <c r="D48">
        <v>1043</v>
      </c>
      <c r="E48" s="9" t="s">
        <v>670</v>
      </c>
      <c r="F48" t="s">
        <v>218</v>
      </c>
      <c r="G48" t="s">
        <v>1123</v>
      </c>
      <c r="H48" t="s">
        <v>1175</v>
      </c>
      <c r="I48">
        <v>0</v>
      </c>
      <c r="J48">
        <v>0</v>
      </c>
      <c r="K48">
        <v>100</v>
      </c>
      <c r="L48" t="s">
        <v>687</v>
      </c>
      <c r="M48" s="6" t="s">
        <v>653</v>
      </c>
      <c r="N48">
        <v>2270</v>
      </c>
      <c r="O48">
        <v>67</v>
      </c>
      <c r="P48">
        <v>1764</v>
      </c>
      <c r="Q48">
        <v>1764</v>
      </c>
      <c r="R48">
        <v>86</v>
      </c>
      <c r="S48">
        <v>0</v>
      </c>
      <c r="T48">
        <v>0</v>
      </c>
      <c r="U48">
        <v>0</v>
      </c>
    </row>
    <row r="49" spans="1:21">
      <c r="A49">
        <v>44</v>
      </c>
      <c r="B49" t="s">
        <v>797</v>
      </c>
      <c r="C49">
        <f t="shared" si="1"/>
        <v>45</v>
      </c>
      <c r="D49">
        <v>1044</v>
      </c>
      <c r="E49" s="9" t="s">
        <v>671</v>
      </c>
      <c r="F49" t="s">
        <v>218</v>
      </c>
      <c r="G49" t="s">
        <v>1124</v>
      </c>
      <c r="H49" t="s">
        <v>1176</v>
      </c>
      <c r="I49">
        <v>0</v>
      </c>
      <c r="J49">
        <v>0</v>
      </c>
      <c r="K49">
        <v>100</v>
      </c>
      <c r="L49" t="s">
        <v>688</v>
      </c>
      <c r="M49" s="6" t="s">
        <v>654</v>
      </c>
      <c r="N49">
        <v>2290</v>
      </c>
      <c r="O49">
        <v>67</v>
      </c>
      <c r="P49">
        <v>1824</v>
      </c>
      <c r="Q49">
        <v>1824</v>
      </c>
      <c r="R49">
        <v>88</v>
      </c>
      <c r="S49">
        <v>0</v>
      </c>
      <c r="T49">
        <v>0</v>
      </c>
      <c r="U49">
        <v>0</v>
      </c>
    </row>
    <row r="50" spans="1:21">
      <c r="A50">
        <v>45</v>
      </c>
      <c r="B50" t="s">
        <v>798</v>
      </c>
      <c r="C50">
        <v>0</v>
      </c>
      <c r="D50">
        <v>1045</v>
      </c>
      <c r="E50" s="9" t="s">
        <v>672</v>
      </c>
      <c r="F50" t="s">
        <v>218</v>
      </c>
      <c r="G50" t="s">
        <v>1125</v>
      </c>
      <c r="H50" t="s">
        <v>1177</v>
      </c>
      <c r="I50">
        <v>0</v>
      </c>
      <c r="J50">
        <v>0</v>
      </c>
      <c r="K50">
        <v>100</v>
      </c>
      <c r="L50" t="s">
        <v>689</v>
      </c>
      <c r="M50" s="6" t="s">
        <v>655</v>
      </c>
      <c r="N50">
        <v>2310</v>
      </c>
      <c r="O50">
        <v>67</v>
      </c>
      <c r="P50">
        <v>1884</v>
      </c>
      <c r="Q50">
        <v>1884</v>
      </c>
      <c r="R50">
        <v>90</v>
      </c>
      <c r="S50">
        <v>0</v>
      </c>
      <c r="T50">
        <v>0</v>
      </c>
      <c r="U50">
        <v>0</v>
      </c>
    </row>
    <row r="51" spans="1:21">
      <c r="A51">
        <v>46</v>
      </c>
      <c r="B51" t="s">
        <v>799</v>
      </c>
      <c r="C51">
        <v>0</v>
      </c>
      <c r="D51">
        <v>1046</v>
      </c>
      <c r="E51" s="9" t="s">
        <v>673</v>
      </c>
      <c r="F51" t="s">
        <v>218</v>
      </c>
      <c r="G51" t="s">
        <v>1126</v>
      </c>
      <c r="H51" t="s">
        <v>1178</v>
      </c>
      <c r="I51">
        <v>0</v>
      </c>
      <c r="J51">
        <v>0</v>
      </c>
      <c r="K51">
        <v>100</v>
      </c>
      <c r="L51" t="s">
        <v>690</v>
      </c>
      <c r="M51" s="6" t="s">
        <v>656</v>
      </c>
      <c r="N51">
        <v>2330</v>
      </c>
      <c r="O51">
        <v>67</v>
      </c>
      <c r="P51">
        <v>1944</v>
      </c>
      <c r="Q51">
        <v>1944</v>
      </c>
      <c r="R51">
        <v>92</v>
      </c>
      <c r="S51">
        <v>0</v>
      </c>
      <c r="T51">
        <v>0</v>
      </c>
      <c r="U51">
        <v>0</v>
      </c>
    </row>
    <row r="52" spans="1:21">
      <c r="A52">
        <v>47</v>
      </c>
      <c r="B52" t="s">
        <v>800</v>
      </c>
      <c r="C52">
        <v>0</v>
      </c>
      <c r="D52">
        <v>1047</v>
      </c>
      <c r="E52" s="9" t="s">
        <v>674</v>
      </c>
      <c r="F52" t="s">
        <v>218</v>
      </c>
      <c r="G52" t="s">
        <v>1127</v>
      </c>
      <c r="H52" t="s">
        <v>1179</v>
      </c>
      <c r="I52">
        <v>0</v>
      </c>
      <c r="J52">
        <v>0</v>
      </c>
      <c r="K52">
        <v>100</v>
      </c>
      <c r="L52" t="s">
        <v>691</v>
      </c>
      <c r="M52" s="6" t="s">
        <v>657</v>
      </c>
      <c r="N52">
        <v>2350</v>
      </c>
      <c r="O52">
        <v>67</v>
      </c>
      <c r="P52">
        <v>2004</v>
      </c>
      <c r="Q52">
        <v>2004</v>
      </c>
      <c r="R52">
        <v>94</v>
      </c>
      <c r="S52">
        <v>0</v>
      </c>
      <c r="T52">
        <v>0</v>
      </c>
      <c r="U52">
        <v>0</v>
      </c>
    </row>
    <row r="53" spans="1:21">
      <c r="A53">
        <v>48</v>
      </c>
      <c r="B53" t="s">
        <v>801</v>
      </c>
      <c r="C53">
        <v>0</v>
      </c>
      <c r="D53">
        <v>1048</v>
      </c>
      <c r="E53" s="9" t="s">
        <v>675</v>
      </c>
      <c r="F53" t="s">
        <v>218</v>
      </c>
      <c r="G53" t="s">
        <v>1128</v>
      </c>
      <c r="H53" t="s">
        <v>1180</v>
      </c>
      <c r="I53">
        <v>0</v>
      </c>
      <c r="J53">
        <v>0</v>
      </c>
      <c r="K53">
        <v>100</v>
      </c>
      <c r="L53" t="s">
        <v>692</v>
      </c>
      <c r="M53" s="6" t="s">
        <v>658</v>
      </c>
      <c r="N53">
        <v>2370</v>
      </c>
      <c r="O53">
        <v>67</v>
      </c>
      <c r="P53">
        <v>2064</v>
      </c>
      <c r="Q53">
        <v>2064</v>
      </c>
      <c r="R53">
        <v>96</v>
      </c>
      <c r="S53">
        <v>0</v>
      </c>
      <c r="T53">
        <v>0</v>
      </c>
      <c r="U53">
        <v>0</v>
      </c>
    </row>
    <row r="54" spans="1:21">
      <c r="A54">
        <v>49</v>
      </c>
      <c r="B54" t="s">
        <v>802</v>
      </c>
      <c r="C54">
        <v>0</v>
      </c>
      <c r="D54">
        <v>1049</v>
      </c>
      <c r="E54" s="9" t="s">
        <v>676</v>
      </c>
      <c r="F54" t="s">
        <v>218</v>
      </c>
      <c r="G54" t="s">
        <v>1129</v>
      </c>
      <c r="H54" t="s">
        <v>1181</v>
      </c>
      <c r="I54">
        <v>0</v>
      </c>
      <c r="J54">
        <v>0</v>
      </c>
      <c r="K54">
        <v>100</v>
      </c>
      <c r="L54" t="s">
        <v>693</v>
      </c>
      <c r="M54" s="6" t="s">
        <v>659</v>
      </c>
      <c r="N54">
        <v>2390</v>
      </c>
      <c r="O54">
        <v>67</v>
      </c>
      <c r="P54">
        <v>2124</v>
      </c>
      <c r="Q54">
        <v>2124</v>
      </c>
      <c r="R54">
        <v>98</v>
      </c>
      <c r="S54">
        <v>0</v>
      </c>
      <c r="T54">
        <v>0</v>
      </c>
      <c r="U54">
        <v>0</v>
      </c>
    </row>
    <row r="55" spans="1:21">
      <c r="A55">
        <v>50</v>
      </c>
      <c r="B55" t="s">
        <v>803</v>
      </c>
      <c r="C55">
        <v>0</v>
      </c>
      <c r="D55">
        <v>1050</v>
      </c>
      <c r="E55" s="9" t="s">
        <v>677</v>
      </c>
      <c r="F55" t="s">
        <v>218</v>
      </c>
      <c r="G55" t="s">
        <v>1130</v>
      </c>
      <c r="H55" t="s">
        <v>1182</v>
      </c>
      <c r="I55">
        <v>0</v>
      </c>
      <c r="J55">
        <v>0</v>
      </c>
      <c r="K55">
        <v>100</v>
      </c>
      <c r="L55" t="s">
        <v>694</v>
      </c>
      <c r="M55" s="6" t="s">
        <v>660</v>
      </c>
      <c r="N55">
        <v>2410</v>
      </c>
      <c r="O55">
        <v>67</v>
      </c>
      <c r="P55">
        <v>2184</v>
      </c>
      <c r="Q55">
        <v>2184</v>
      </c>
      <c r="R55">
        <v>100</v>
      </c>
      <c r="S55">
        <v>0</v>
      </c>
      <c r="T55">
        <v>0</v>
      </c>
      <c r="U55">
        <v>0</v>
      </c>
    </row>
    <row r="56" spans="1:21">
      <c r="A56">
        <v>51</v>
      </c>
      <c r="B56" t="s">
        <v>804</v>
      </c>
      <c r="C56">
        <v>0</v>
      </c>
      <c r="D56">
        <v>1051</v>
      </c>
      <c r="E56" s="9" t="s">
        <v>678</v>
      </c>
      <c r="F56" t="s">
        <v>218</v>
      </c>
      <c r="G56" t="s">
        <v>1131</v>
      </c>
      <c r="H56" t="s">
        <v>1183</v>
      </c>
      <c r="I56">
        <v>0</v>
      </c>
      <c r="J56">
        <v>0</v>
      </c>
      <c r="K56">
        <v>100</v>
      </c>
      <c r="L56" t="s">
        <v>695</v>
      </c>
      <c r="M56" s="6" t="s">
        <v>661</v>
      </c>
      <c r="N56">
        <v>2430</v>
      </c>
      <c r="O56">
        <v>67</v>
      </c>
      <c r="P56">
        <v>2244</v>
      </c>
      <c r="Q56">
        <v>2244</v>
      </c>
      <c r="R56">
        <v>100</v>
      </c>
      <c r="S56">
        <v>0</v>
      </c>
      <c r="T56">
        <v>0</v>
      </c>
      <c r="U56">
        <v>0</v>
      </c>
    </row>
    <row r="57" spans="1:21">
      <c r="A57">
        <v>52</v>
      </c>
      <c r="B57" t="s">
        <v>805</v>
      </c>
      <c r="C57">
        <v>0</v>
      </c>
      <c r="D57">
        <v>1052</v>
      </c>
      <c r="E57" s="9" t="s">
        <v>679</v>
      </c>
      <c r="F57" t="s">
        <v>218</v>
      </c>
      <c r="G57" t="s">
        <v>1132</v>
      </c>
      <c r="H57" t="s">
        <v>1184</v>
      </c>
      <c r="I57">
        <v>0</v>
      </c>
      <c r="J57">
        <v>0</v>
      </c>
      <c r="K57">
        <v>100</v>
      </c>
      <c r="L57" t="s">
        <v>696</v>
      </c>
      <c r="M57" s="6" t="s">
        <v>662</v>
      </c>
      <c r="N57">
        <v>2450</v>
      </c>
      <c r="O57">
        <v>67</v>
      </c>
      <c r="P57">
        <v>2304</v>
      </c>
      <c r="Q57">
        <v>2304</v>
      </c>
      <c r="R57">
        <v>100</v>
      </c>
      <c r="S57">
        <v>0</v>
      </c>
      <c r="T57">
        <v>0</v>
      </c>
      <c r="U57">
        <v>0</v>
      </c>
    </row>
    <row r="58" spans="1:21">
      <c r="A58">
        <f>精英副本!A60</f>
        <v>103001</v>
      </c>
      <c r="B58" t="str">
        <f>精英副本!Y60</f>
        <v>力量试炼（30）</v>
      </c>
      <c r="C58">
        <f>精英副本!C60</f>
        <v>0</v>
      </c>
      <c r="D58">
        <f>精英副本!D60</f>
        <v>0</v>
      </c>
      <c r="E58" t="str">
        <f>[1]map.xml!E58</f>
        <v>1030011_1</v>
      </c>
      <c r="F58" t="str">
        <f>[1]map.xml!F58</f>
        <v>1_10000,2_0,3_0</v>
      </c>
      <c r="G58" t="str">
        <f>[1]map.xml!G58</f>
        <v>40000_50350105_1_1000,40000_50303065_1_2000,4000430_0_1_5000,4000430_0_1_5000,4000430_0_1_5000,30000_90002_3_10000,30000_90003_1_1100</v>
      </c>
      <c r="H58">
        <f>[1]map.xml!H58</f>
        <v>0</v>
      </c>
      <c r="I58" t="str">
        <f>[1]map.xml!I58</f>
        <v>30000_90004_1_10000,4000430_0_1_5000,4000430_0_1_5000,4000430_0_1_5000</v>
      </c>
      <c r="J58">
        <f>[1]map.xml!J58</f>
        <v>0</v>
      </c>
      <c r="K58">
        <f>精英副本!K60</f>
        <v>100</v>
      </c>
      <c r="L58" t="str">
        <f>精英副本!L60</f>
        <v>map/map_001.png</v>
      </c>
      <c r="M58" t="str">
        <f>精英副本!M60</f>
        <v>1-3</v>
      </c>
      <c r="N58">
        <f>精英副本!N60</f>
        <v>920</v>
      </c>
      <c r="O58">
        <f>精英副本!O60</f>
        <v>120</v>
      </c>
      <c r="P58">
        <f>精英副本!P60</f>
        <v>10</v>
      </c>
      <c r="Q58">
        <f>精英副本!Q60</f>
        <v>10</v>
      </c>
      <c r="R58">
        <f>精英副本!R60</f>
        <v>0</v>
      </c>
      <c r="S58">
        <f>精英副本!S60</f>
        <v>1</v>
      </c>
      <c r="T58">
        <f>精英副本!T60</f>
        <v>30</v>
      </c>
      <c r="U58">
        <v>0</v>
      </c>
    </row>
    <row r="59" spans="1:21">
      <c r="A59">
        <f>精英副本!A61</f>
        <v>103002</v>
      </c>
      <c r="B59" t="str">
        <f>精英副本!Y61</f>
        <v>力量试炼（30）</v>
      </c>
      <c r="C59">
        <f>精英副本!C61</f>
        <v>0</v>
      </c>
      <c r="D59">
        <f>精英副本!D61</f>
        <v>0</v>
      </c>
      <c r="E59" t="str">
        <f>[1]map.xml!$E59</f>
        <v>1030021_1</v>
      </c>
      <c r="F59" t="str">
        <f>[1]map.xml!F59</f>
        <v>1_10000,2_0,3_0</v>
      </c>
      <c r="G59" t="str">
        <f>[1]map.xml!G59</f>
        <v>40000_50350075_1_993,40000_50301055_1_1990,4000430_0_1_5050,4000430_0_1_5050,4000430_0_1_5050,30000_90002_3_10000,30000_90003_1_1100</v>
      </c>
      <c r="H59">
        <f>[1]map.xml!H59</f>
        <v>0</v>
      </c>
      <c r="I59" t="str">
        <f>[1]map.xml!I59</f>
        <v>30000_90004_1_10000,4000430_0_1_5050,4000430_0_1_5050,4000430_0_1_5050</v>
      </c>
      <c r="J59">
        <f>[1]map.xml!J59</f>
        <v>0</v>
      </c>
      <c r="K59">
        <f>精英副本!K61</f>
        <v>100</v>
      </c>
      <c r="L59" t="str">
        <f>精英副本!L61</f>
        <v>map/map_001.png</v>
      </c>
      <c r="M59" t="str">
        <f>精英副本!M61</f>
        <v>1-3</v>
      </c>
      <c r="N59">
        <f>精英副本!N61</f>
        <v>920</v>
      </c>
      <c r="O59">
        <f>精英副本!O61</f>
        <v>120</v>
      </c>
      <c r="P59">
        <f>精英副本!P61</f>
        <v>10</v>
      </c>
      <c r="Q59">
        <f>精英副本!Q61</f>
        <v>10</v>
      </c>
      <c r="R59">
        <f>精英副本!R61</f>
        <v>0</v>
      </c>
      <c r="S59">
        <f>精英副本!S61</f>
        <v>1</v>
      </c>
      <c r="T59">
        <f>精英副本!T61</f>
        <v>30</v>
      </c>
      <c r="U59">
        <f>精英副本客户端!F3</f>
        <v>103001</v>
      </c>
    </row>
    <row r="60" spans="1:21">
      <c r="A60">
        <f>精英副本!A62</f>
        <v>103003</v>
      </c>
      <c r="B60" t="str">
        <f>精英副本!Y62</f>
        <v>力量试炼（30）</v>
      </c>
      <c r="C60">
        <f>精英副本!C62</f>
        <v>0</v>
      </c>
      <c r="D60">
        <f>精英副本!D62</f>
        <v>0</v>
      </c>
      <c r="E60" t="str">
        <f>[1]map.xml!$E60</f>
        <v>1030031_1</v>
      </c>
      <c r="F60" t="str">
        <f>[1]map.xml!F60</f>
        <v>1_10000,2_0,3_0</v>
      </c>
      <c r="G60" t="str">
        <f>[1]map.xml!G60</f>
        <v>40000_50350045_1_986,40000_50301065_1_1980,4000430_0_1_5100,4000430_0_1_5100,4000430_0_1_5100,30000_90002_3_10000,30000_90003_1_2200</v>
      </c>
      <c r="H60">
        <f>[1]map.xml!H60</f>
        <v>0</v>
      </c>
      <c r="I60" t="str">
        <f>[1]map.xml!I60</f>
        <v>30000_90004_1_10000,4000430_0_1_5100,4000430_0_1_5100,4000430_0_1_5100</v>
      </c>
      <c r="J60">
        <f>[1]map.xml!J60</f>
        <v>0</v>
      </c>
      <c r="K60">
        <f>精英副本!K62</f>
        <v>100</v>
      </c>
      <c r="L60" t="str">
        <f>精英副本!L62</f>
        <v>map/map_001.png</v>
      </c>
      <c r="M60" t="str">
        <f>精英副本!M62</f>
        <v>1-3</v>
      </c>
      <c r="N60">
        <f>精英副本!N62</f>
        <v>920</v>
      </c>
      <c r="O60">
        <f>精英副本!O62</f>
        <v>120</v>
      </c>
      <c r="P60">
        <f>精英副本!P62</f>
        <v>10</v>
      </c>
      <c r="Q60">
        <f>精英副本!Q62</f>
        <v>10</v>
      </c>
      <c r="R60">
        <f>精英副本!R62</f>
        <v>0</v>
      </c>
      <c r="S60">
        <f>精英副本!S62</f>
        <v>1</v>
      </c>
      <c r="T60">
        <f>精英副本!T62</f>
        <v>30</v>
      </c>
      <c r="U60">
        <f>精英副本客户端!F4</f>
        <v>103002</v>
      </c>
    </row>
    <row r="61" spans="1:21">
      <c r="A61">
        <f>精英副本!A63</f>
        <v>103004</v>
      </c>
      <c r="B61" t="str">
        <f>精英副本!Y63</f>
        <v>力量试炼（30）</v>
      </c>
      <c r="C61">
        <f>精英副本!C63</f>
        <v>0</v>
      </c>
      <c r="D61">
        <f>精英副本!D63</f>
        <v>0</v>
      </c>
      <c r="E61" t="str">
        <f>[1]map.xml!$E61</f>
        <v>1030041_1</v>
      </c>
      <c r="F61" t="str">
        <f>[1]map.xml!F61</f>
        <v>1_10000,2_0,3_0</v>
      </c>
      <c r="G61" t="str">
        <f>[1]map.xml!G61</f>
        <v>40000_50350025_1_979,40000_50302055_1_1970,4000430_0_1_5150,4000430_0_1_5150,4000430_0_1_5150,30000_90002_3_10000,30000_90003_1_2200</v>
      </c>
      <c r="H61">
        <f>[1]map.xml!H61</f>
        <v>0</v>
      </c>
      <c r="I61" t="str">
        <f>[1]map.xml!I61</f>
        <v>30000_90004_1_10000,4000430_0_1_5150,4000430_0_1_5150,4000430_0_1_5150</v>
      </c>
      <c r="J61">
        <f>[1]map.xml!J61</f>
        <v>0</v>
      </c>
      <c r="K61">
        <f>精英副本!K63</f>
        <v>100</v>
      </c>
      <c r="L61" t="str">
        <f>精英副本!L63</f>
        <v>map/map_001.png</v>
      </c>
      <c r="M61" t="str">
        <f>精英副本!M63</f>
        <v>1-3</v>
      </c>
      <c r="N61">
        <f>精英副本!N63</f>
        <v>920</v>
      </c>
      <c r="O61">
        <f>精英副本!O63</f>
        <v>120</v>
      </c>
      <c r="P61">
        <f>精英副本!P63</f>
        <v>10</v>
      </c>
      <c r="Q61">
        <f>精英副本!Q63</f>
        <v>10</v>
      </c>
      <c r="R61">
        <f>精英副本!R63</f>
        <v>0</v>
      </c>
      <c r="S61">
        <f>精英副本!S63</f>
        <v>1</v>
      </c>
      <c r="T61">
        <f>精英副本!T63</f>
        <v>30</v>
      </c>
      <c r="U61">
        <f>精英副本客户端!F5</f>
        <v>103003</v>
      </c>
    </row>
    <row r="62" spans="1:21">
      <c r="A62">
        <f>精英副本!A64</f>
        <v>103005</v>
      </c>
      <c r="B62" t="str">
        <f>精英副本!Y64</f>
        <v>力量试炼（30）</v>
      </c>
      <c r="C62">
        <f>精英副本!C64</f>
        <v>0</v>
      </c>
      <c r="D62">
        <f>精英副本!D64</f>
        <v>0</v>
      </c>
      <c r="E62" t="str">
        <f>[1]map.xml!$E62</f>
        <v>1030051_1</v>
      </c>
      <c r="F62" t="str">
        <f>[1]map.xml!F62</f>
        <v>1_10000,2_0,3_0</v>
      </c>
      <c r="G62" t="str">
        <f>[1]map.xml!G62</f>
        <v>40000_50350095_1_972,40000_50303055_1_1960,4000430_0_1_5200,4000430_0_1_5200,4000430_0_1_5200,30000_90002_3_10000,30000_90003_1_2200</v>
      </c>
      <c r="H62">
        <f>[1]map.xml!H62</f>
        <v>0</v>
      </c>
      <c r="I62" t="str">
        <f>[1]map.xml!I62</f>
        <v>30000_90004_1_10000,4000430_0_1_5200,4000430_0_1_5200,4000430_0_1_5200</v>
      </c>
      <c r="J62">
        <f>[1]map.xml!J62</f>
        <v>0</v>
      </c>
      <c r="K62">
        <f>精英副本!K64</f>
        <v>100</v>
      </c>
      <c r="L62" t="str">
        <f>精英副本!L64</f>
        <v>map/map_001.png</v>
      </c>
      <c r="M62" t="str">
        <f>精英副本!M64</f>
        <v>1-3</v>
      </c>
      <c r="N62">
        <f>精英副本!N64</f>
        <v>920</v>
      </c>
      <c r="O62">
        <f>精英副本!O64</f>
        <v>120</v>
      </c>
      <c r="P62">
        <f>精英副本!P64</f>
        <v>10</v>
      </c>
      <c r="Q62">
        <f>精英副本!Q64</f>
        <v>10</v>
      </c>
      <c r="R62">
        <f>精英副本!R64</f>
        <v>0</v>
      </c>
      <c r="S62">
        <f>精英副本!S64</f>
        <v>1</v>
      </c>
      <c r="T62">
        <f>精英副本!T64</f>
        <v>30</v>
      </c>
      <c r="U62">
        <f>精英副本客户端!F6</f>
        <v>103004</v>
      </c>
    </row>
    <row r="63" spans="1:21">
      <c r="A63">
        <f>精英副本!A65</f>
        <v>103006</v>
      </c>
      <c r="B63" t="str">
        <f>精英副本!Y65</f>
        <v>力量试炼（30）</v>
      </c>
      <c r="C63">
        <f>精英副本!C65</f>
        <v>0</v>
      </c>
      <c r="D63">
        <f>精英副本!D65</f>
        <v>0</v>
      </c>
      <c r="E63" t="str">
        <f>[1]map.xml!$E63</f>
        <v>1030061_1</v>
      </c>
      <c r="F63" t="str">
        <f>[1]map.xml!F63</f>
        <v>1_10000,2_0,3_0</v>
      </c>
      <c r="G63" t="str">
        <f>[1]map.xml!G63</f>
        <v>40000_50350085_1_965,40000_50300015_1_1950,4000430_0_1_5250,4000430_0_1_5250,4000430_0_1_5250,30000_90002_3_10000,30000_90003_1_3300</v>
      </c>
      <c r="H63">
        <f>[1]map.xml!H63</f>
        <v>0</v>
      </c>
      <c r="I63" t="str">
        <f>[1]map.xml!I63</f>
        <v>30000_90004_1_10000,4000430_0_1_5250,4000430_0_1_5250,4000430_0_1_5250</v>
      </c>
      <c r="J63">
        <f>[1]map.xml!J63</f>
        <v>0</v>
      </c>
      <c r="K63">
        <f>精英副本!K65</f>
        <v>100</v>
      </c>
      <c r="L63" t="str">
        <f>精英副本!L65</f>
        <v>map/map_001.png</v>
      </c>
      <c r="M63" t="str">
        <f>精英副本!M65</f>
        <v>1-3</v>
      </c>
      <c r="N63">
        <f>精英副本!N65</f>
        <v>920</v>
      </c>
      <c r="O63">
        <f>精英副本!O65</f>
        <v>120</v>
      </c>
      <c r="P63">
        <f>精英副本!P65</f>
        <v>10</v>
      </c>
      <c r="Q63">
        <f>精英副本!Q65</f>
        <v>10</v>
      </c>
      <c r="R63">
        <f>精英副本!R65</f>
        <v>0</v>
      </c>
      <c r="S63">
        <f>精英副本!S65</f>
        <v>1</v>
      </c>
      <c r="T63">
        <f>精英副本!T65</f>
        <v>30</v>
      </c>
      <c r="U63">
        <f>精英副本客户端!F7</f>
        <v>103005</v>
      </c>
    </row>
    <row r="64" spans="1:21">
      <c r="A64">
        <f>精英副本!A66</f>
        <v>103007</v>
      </c>
      <c r="B64" t="str">
        <f>精英副本!Y66</f>
        <v>力量试炼（30）</v>
      </c>
      <c r="C64">
        <f>精英副本!C66</f>
        <v>0</v>
      </c>
      <c r="D64">
        <f>精英副本!D66</f>
        <v>0</v>
      </c>
      <c r="E64" t="str">
        <f>[1]map.xml!$E64</f>
        <v>1030071_1,1030072_1</v>
      </c>
      <c r="F64" t="str">
        <f>[1]map.xml!F64</f>
        <v>1_0,2_10000,3_0</v>
      </c>
      <c r="G64" t="str">
        <f>[1]map.xml!G64</f>
        <v>40000_50350015_1_958,40000_50351066_1_1940,4000430_0_1_5300,4000430_0_1_5300,4000430_0_1_5300,30000_90002_3_10000,30000_90003_1_3300</v>
      </c>
      <c r="H64">
        <f>[1]map.xml!H64</f>
        <v>0</v>
      </c>
      <c r="I64" t="str">
        <f>[1]map.xml!I64</f>
        <v>30000_90004_1_10000,4000430_0_1_5300,4000430_0_1_5300,4000430_0_1_5300</v>
      </c>
      <c r="J64">
        <f>[1]map.xml!J64</f>
        <v>0</v>
      </c>
      <c r="K64">
        <f>精英副本!K66</f>
        <v>100</v>
      </c>
      <c r="L64" t="str">
        <f>精英副本!L66</f>
        <v>map/map_001.png</v>
      </c>
      <c r="M64" t="str">
        <f>精英副本!M66</f>
        <v>1-3</v>
      </c>
      <c r="N64">
        <f>精英副本!N66</f>
        <v>920</v>
      </c>
      <c r="O64">
        <f>精英副本!O66</f>
        <v>120</v>
      </c>
      <c r="P64">
        <f>精英副本!P66</f>
        <v>10</v>
      </c>
      <c r="Q64">
        <f>精英副本!Q66</f>
        <v>10</v>
      </c>
      <c r="R64">
        <f>精英副本!R66</f>
        <v>0</v>
      </c>
      <c r="S64">
        <f>精英副本!S66</f>
        <v>1</v>
      </c>
      <c r="T64">
        <f>精英副本!T66</f>
        <v>30</v>
      </c>
      <c r="U64">
        <f>精英副本客户端!F8</f>
        <v>103006</v>
      </c>
    </row>
    <row r="65" spans="1:21">
      <c r="A65">
        <f>精英副本!A67</f>
        <v>103008</v>
      </c>
      <c r="B65" t="str">
        <f>精英副本!Y67</f>
        <v>力量试炼（30）</v>
      </c>
      <c r="C65">
        <f>精英副本!C67</f>
        <v>0</v>
      </c>
      <c r="D65">
        <f>精英副本!D67</f>
        <v>0</v>
      </c>
      <c r="E65" t="str">
        <f>[1]map.xml!$E65</f>
        <v>1030081_1</v>
      </c>
      <c r="F65" t="str">
        <f>[1]map.xml!F65</f>
        <v>1_10000,2_0,3_0</v>
      </c>
      <c r="G65" t="str">
        <f>[1]map.xml!G65</f>
        <v>40000_50350035_1_951,40000_50302065_1_1930,4000430_0_1_5350,4000430_0_1_5350,4000430_0_1_5350,30000_90002_3_10000,30000_90003_1_3300</v>
      </c>
      <c r="H65">
        <f>[1]map.xml!H65</f>
        <v>0</v>
      </c>
      <c r="I65" t="str">
        <f>[1]map.xml!I65</f>
        <v>30000_90004_1_10000,4000430_0_1_5350,4000430_0_1_5350,4000430_0_1_5350</v>
      </c>
      <c r="J65">
        <f>[1]map.xml!J65</f>
        <v>0</v>
      </c>
      <c r="K65">
        <f>精英副本!K67</f>
        <v>100</v>
      </c>
      <c r="L65" t="str">
        <f>精英副本!L67</f>
        <v>map/map_001.png</v>
      </c>
      <c r="M65" t="str">
        <f>精英副本!M67</f>
        <v>1-3</v>
      </c>
      <c r="N65">
        <f>精英副本!N67</f>
        <v>920</v>
      </c>
      <c r="O65">
        <f>精英副本!O67</f>
        <v>120</v>
      </c>
      <c r="P65">
        <f>精英副本!P67</f>
        <v>10</v>
      </c>
      <c r="Q65">
        <f>精英副本!Q67</f>
        <v>10</v>
      </c>
      <c r="R65">
        <f>精英副本!R67</f>
        <v>0</v>
      </c>
      <c r="S65">
        <f>精英副本!S67</f>
        <v>1</v>
      </c>
      <c r="T65">
        <f>精英副本!T67</f>
        <v>30</v>
      </c>
      <c r="U65">
        <f>精英副本客户端!F9</f>
        <v>103007</v>
      </c>
    </row>
    <row r="66" spans="1:21">
      <c r="A66">
        <f>精英副本!A68</f>
        <v>103009</v>
      </c>
      <c r="B66" t="str">
        <f>精英副本!Y68</f>
        <v>力量试炼（30）</v>
      </c>
      <c r="C66">
        <f>精英副本!C68</f>
        <v>0</v>
      </c>
      <c r="D66">
        <f>精英副本!D68</f>
        <v>0</v>
      </c>
      <c r="E66" t="str">
        <f>[1]map.xml!$E66</f>
        <v>1030091_1</v>
      </c>
      <c r="F66" t="str">
        <f>[1]map.xml!F66</f>
        <v>1_10000,2_0,3_0</v>
      </c>
      <c r="G66" t="str">
        <f>[1]map.xml!G66</f>
        <v>40000_50351055_1_944,40000_50300035_1_1920,4000430_0_1_5400,4000430_0_1_5400,4000430_0_1_5400,30000_90002_3_10000,30000_90003_1_4400</v>
      </c>
      <c r="H66">
        <f>[1]map.xml!H66</f>
        <v>0</v>
      </c>
      <c r="I66" t="str">
        <f>[1]map.xml!I66</f>
        <v>30000_90004_1_10000,4000430_0_1_5400,4000430_0_1_5400,4000430_0_1_5400</v>
      </c>
      <c r="J66">
        <f>[1]map.xml!J66</f>
        <v>0</v>
      </c>
      <c r="K66">
        <f>精英副本!K68</f>
        <v>100</v>
      </c>
      <c r="L66" t="str">
        <f>精英副本!L68</f>
        <v>map/map_001.png</v>
      </c>
      <c r="M66" t="str">
        <f>精英副本!M68</f>
        <v>1-3</v>
      </c>
      <c r="N66">
        <f>精英副本!N68</f>
        <v>920</v>
      </c>
      <c r="O66">
        <f>精英副本!O68</f>
        <v>120</v>
      </c>
      <c r="P66">
        <f>精英副本!P68</f>
        <v>10</v>
      </c>
      <c r="Q66">
        <f>精英副本!Q68</f>
        <v>10</v>
      </c>
      <c r="R66">
        <f>精英副本!R68</f>
        <v>0</v>
      </c>
      <c r="S66">
        <f>精英副本!S68</f>
        <v>1</v>
      </c>
      <c r="T66">
        <f>精英副本!T68</f>
        <v>30</v>
      </c>
      <c r="U66">
        <f>精英副本客户端!F10</f>
        <v>103008</v>
      </c>
    </row>
    <row r="67" spans="1:21">
      <c r="A67">
        <f>精英副本!A69</f>
        <v>103501</v>
      </c>
      <c r="B67" t="str">
        <f>精英副本!Y69</f>
        <v>力量试炼（35）</v>
      </c>
      <c r="C67">
        <f>精英副本!C69</f>
        <v>0</v>
      </c>
      <c r="D67">
        <f>精英副本!D69</f>
        <v>0</v>
      </c>
      <c r="E67" t="str">
        <f>[1]map.xml!$E67</f>
        <v>1035011_1</v>
      </c>
      <c r="F67" t="str">
        <f>[1]map.xml!F67</f>
        <v>1_10000,2_0,3_0</v>
      </c>
      <c r="G67" t="str">
        <f>[1]map.xml!G67</f>
        <v>40000_50400015_1_937,40000_50353065_1_1910,4000435_0_1_5450,4000435_0_1_5450,4000435_0_1_5450,30000_90002_3_10000,30000_90003_1_2200</v>
      </c>
      <c r="H67">
        <f>[1]map.xml!H67</f>
        <v>0</v>
      </c>
      <c r="I67" t="str">
        <f>[1]map.xml!I67</f>
        <v>30000_90004_1_10000,4000435_0_1_5450,4000435_0_1_5450,4000435_0_1_5450</v>
      </c>
      <c r="J67">
        <f>[1]map.xml!J67</f>
        <v>0</v>
      </c>
      <c r="K67">
        <f>精英副本!K69</f>
        <v>100</v>
      </c>
      <c r="L67" t="str">
        <f>精英副本!L69</f>
        <v>map/map_001.png</v>
      </c>
      <c r="M67" t="str">
        <f>精英副本!M69</f>
        <v>1-3</v>
      </c>
      <c r="N67">
        <f>精英副本!N69</f>
        <v>920</v>
      </c>
      <c r="O67">
        <f>精英副本!O69</f>
        <v>120</v>
      </c>
      <c r="P67">
        <f>精英副本!P69</f>
        <v>10</v>
      </c>
      <c r="Q67">
        <f>精英副本!Q69</f>
        <v>10</v>
      </c>
      <c r="R67">
        <f>精英副本!R69</f>
        <v>0</v>
      </c>
      <c r="S67">
        <f>精英副本!S69</f>
        <v>1</v>
      </c>
      <c r="T67">
        <f>精英副本!T69</f>
        <v>31</v>
      </c>
      <c r="U67">
        <f>精英副本客户端!F11</f>
        <v>0</v>
      </c>
    </row>
    <row r="68" spans="1:21">
      <c r="A68">
        <f>精英副本!A70</f>
        <v>103502</v>
      </c>
      <c r="B68" t="str">
        <f>精英副本!Y70</f>
        <v>力量试炼（35）</v>
      </c>
      <c r="C68">
        <f>精英副本!C70</f>
        <v>0</v>
      </c>
      <c r="D68">
        <f>精英副本!D70</f>
        <v>0</v>
      </c>
      <c r="E68" t="str">
        <f>[1]map.xml!$E68</f>
        <v>1035021_1</v>
      </c>
      <c r="F68" t="str">
        <f>[1]map.xml!F68</f>
        <v>1_10000,2_0,3_0</v>
      </c>
      <c r="G68" t="str">
        <f>[1]map.xml!G68</f>
        <v>40000_50400095_1_930,40000_50352055_1_1900,4000435_0_1_5500,4000435_0_1_5500,4000435_0_1_5500,30000_90002_3_10000,30000_90003_1_2200</v>
      </c>
      <c r="H68">
        <f>[1]map.xml!H68</f>
        <v>0</v>
      </c>
      <c r="I68" t="str">
        <f>[1]map.xml!I68</f>
        <v>30000_90004_1_10000,4000435_0_1_5500,4000435_0_1_5500,4000435_0_1_5500</v>
      </c>
      <c r="J68">
        <f>[1]map.xml!J68</f>
        <v>0</v>
      </c>
      <c r="K68">
        <f>精英副本!K70</f>
        <v>100</v>
      </c>
      <c r="L68" t="str">
        <f>精英副本!L70</f>
        <v>map/map_001.png</v>
      </c>
      <c r="M68" t="str">
        <f>精英副本!M70</f>
        <v>1-3</v>
      </c>
      <c r="N68">
        <f>精英副本!N70</f>
        <v>920</v>
      </c>
      <c r="O68">
        <f>精英副本!O70</f>
        <v>120</v>
      </c>
      <c r="P68">
        <f>精英副本!P70</f>
        <v>10</v>
      </c>
      <c r="Q68">
        <f>精英副本!Q70</f>
        <v>10</v>
      </c>
      <c r="R68">
        <f>精英副本!R70</f>
        <v>0</v>
      </c>
      <c r="S68">
        <f>精英副本!S70</f>
        <v>1</v>
      </c>
      <c r="T68">
        <f>精英副本!T70</f>
        <v>31</v>
      </c>
      <c r="U68">
        <f>精英副本客户端!F12</f>
        <v>103501</v>
      </c>
    </row>
    <row r="69" spans="1:21">
      <c r="A69">
        <f>精英副本!A71</f>
        <v>103503</v>
      </c>
      <c r="B69" t="str">
        <f>精英副本!Y71</f>
        <v>力量试炼（35）</v>
      </c>
      <c r="C69">
        <f>精英副本!C71</f>
        <v>0</v>
      </c>
      <c r="D69">
        <f>精英副本!D71</f>
        <v>0</v>
      </c>
      <c r="E69" t="str">
        <f>[1]map.xml!$E69</f>
        <v>1035031_1</v>
      </c>
      <c r="F69" t="str">
        <f>[1]map.xml!F69</f>
        <v>1_10000,2_0,3_0</v>
      </c>
      <c r="G69" t="str">
        <f>[1]map.xml!G69</f>
        <v>40000_50400045_1_923,40000_50351055_1_1890,4000435_0_1_5550,4000435_0_1_5550,4000435_0_1_5550,30000_90002_3_10000,30000_90003_1_3300</v>
      </c>
      <c r="H69">
        <f>[1]map.xml!H69</f>
        <v>0</v>
      </c>
      <c r="I69" t="str">
        <f>[1]map.xml!I69</f>
        <v>30000_90004_1_10000,4000435_0_1_5550,4000435_0_1_5550,4000435_0_1_5550</v>
      </c>
      <c r="J69">
        <f>[1]map.xml!J69</f>
        <v>0</v>
      </c>
      <c r="K69">
        <f>精英副本!K71</f>
        <v>100</v>
      </c>
      <c r="L69" t="str">
        <f>精英副本!L71</f>
        <v>map/map_001.png</v>
      </c>
      <c r="M69" t="str">
        <f>精英副本!M71</f>
        <v>1-3</v>
      </c>
      <c r="N69">
        <f>精英副本!N71</f>
        <v>920</v>
      </c>
      <c r="O69">
        <f>精英副本!O71</f>
        <v>120</v>
      </c>
      <c r="P69">
        <f>精英副本!P71</f>
        <v>10</v>
      </c>
      <c r="Q69">
        <f>精英副本!Q71</f>
        <v>10</v>
      </c>
      <c r="R69">
        <f>精英副本!R71</f>
        <v>0</v>
      </c>
      <c r="S69">
        <f>精英副本!S71</f>
        <v>1</v>
      </c>
      <c r="T69">
        <f>精英副本!T71</f>
        <v>31</v>
      </c>
      <c r="U69">
        <f>精英副本客户端!F13</f>
        <v>103502</v>
      </c>
    </row>
    <row r="70" spans="1:21">
      <c r="A70">
        <f>精英副本!A72</f>
        <v>103504</v>
      </c>
      <c r="B70" t="str">
        <f>精英副本!Y72</f>
        <v>力量试炼（35）</v>
      </c>
      <c r="C70">
        <f>精英副本!C72</f>
        <v>0</v>
      </c>
      <c r="D70">
        <f>精英副本!D72</f>
        <v>0</v>
      </c>
      <c r="E70" t="str">
        <f>[1]map.xml!$E70</f>
        <v>1035041_1</v>
      </c>
      <c r="F70" t="str">
        <f>[1]map.xml!F70</f>
        <v>1_10000,2_0,3_0</v>
      </c>
      <c r="G70" t="str">
        <f>[1]map.xml!G70</f>
        <v>40000_50400085_1_916,40000_50401065_1_1880,4000435_0_1_5600,4000435_0_1_5600,4000435_0_1_5600,30000_90002_3_10000,30000_90003_1_3300</v>
      </c>
      <c r="H70">
        <f>[1]map.xml!H70</f>
        <v>0</v>
      </c>
      <c r="I70" t="str">
        <f>[1]map.xml!I70</f>
        <v>30000_90004_1_10000,4000435_0_1_5600,4000435_0_1_5600,4000435_0_1_5600</v>
      </c>
      <c r="J70">
        <f>[1]map.xml!J70</f>
        <v>0</v>
      </c>
      <c r="K70">
        <f>精英副本!K72</f>
        <v>100</v>
      </c>
      <c r="L70" t="str">
        <f>精英副本!L72</f>
        <v>map/map_001.png</v>
      </c>
      <c r="M70" t="str">
        <f>精英副本!M72</f>
        <v>1-3</v>
      </c>
      <c r="N70">
        <f>精英副本!N72</f>
        <v>920</v>
      </c>
      <c r="O70">
        <f>精英副本!O72</f>
        <v>120</v>
      </c>
      <c r="P70">
        <f>精英副本!P72</f>
        <v>10</v>
      </c>
      <c r="Q70">
        <f>精英副本!Q72</f>
        <v>10</v>
      </c>
      <c r="R70">
        <f>精英副本!R72</f>
        <v>0</v>
      </c>
      <c r="S70">
        <f>精英副本!S72</f>
        <v>1</v>
      </c>
      <c r="T70">
        <f>精英副本!T72</f>
        <v>31</v>
      </c>
      <c r="U70">
        <f>精英副本客户端!F14</f>
        <v>103503</v>
      </c>
    </row>
    <row r="71" spans="1:21">
      <c r="A71">
        <f>精英副本!A73</f>
        <v>103505</v>
      </c>
      <c r="B71" t="str">
        <f>精英副本!Y73</f>
        <v>力量试炼（35）</v>
      </c>
      <c r="C71">
        <f>精英副本!C73</f>
        <v>0</v>
      </c>
      <c r="D71">
        <f>精英副本!D73</f>
        <v>0</v>
      </c>
      <c r="E71" t="str">
        <f>[1]map.xml!$E71</f>
        <v>1035051_1</v>
      </c>
      <c r="F71" t="str">
        <f>[1]map.xml!F71</f>
        <v>1_10000,2_0,3_0</v>
      </c>
      <c r="G71" t="str">
        <f>[1]map.xml!G71</f>
        <v>40000_50400075_1_909,40000_50351065_1_1870,4000435_0_1_5650,4000435_0_1_5650,4000435_0_1_5650,30000_90002_3_10000,30000_90003_1_3300</v>
      </c>
      <c r="H71">
        <f>[1]map.xml!H71</f>
        <v>0</v>
      </c>
      <c r="I71" t="str">
        <f>[1]map.xml!I71</f>
        <v>30000_90004_1_10000,4000435_0_1_5650,4000435_0_1_5650,4000435_0_1_5650</v>
      </c>
      <c r="J71">
        <f>[1]map.xml!J71</f>
        <v>0</v>
      </c>
      <c r="K71">
        <f>精英副本!K73</f>
        <v>100</v>
      </c>
      <c r="L71" t="str">
        <f>精英副本!L73</f>
        <v>map/map_001.png</v>
      </c>
      <c r="M71" t="str">
        <f>精英副本!M73</f>
        <v>1-3</v>
      </c>
      <c r="N71">
        <f>精英副本!N73</f>
        <v>920</v>
      </c>
      <c r="O71">
        <f>精英副本!O73</f>
        <v>120</v>
      </c>
      <c r="P71">
        <f>精英副本!P73</f>
        <v>10</v>
      </c>
      <c r="Q71">
        <f>精英副本!Q73</f>
        <v>10</v>
      </c>
      <c r="R71">
        <f>精英副本!R73</f>
        <v>0</v>
      </c>
      <c r="S71">
        <f>精英副本!S73</f>
        <v>1</v>
      </c>
      <c r="T71">
        <f>精英副本!T73</f>
        <v>31</v>
      </c>
      <c r="U71">
        <f>精英副本客户端!F15</f>
        <v>103504</v>
      </c>
    </row>
    <row r="72" spans="1:21">
      <c r="A72">
        <f>精英副本!A74</f>
        <v>103506</v>
      </c>
      <c r="B72" t="str">
        <f>精英副本!Y74</f>
        <v>力量试炼（35）</v>
      </c>
      <c r="C72">
        <f>精英副本!C74</f>
        <v>0</v>
      </c>
      <c r="D72">
        <f>精英副本!D74</f>
        <v>0</v>
      </c>
      <c r="E72" t="str">
        <f>[1]map.xml!$E72</f>
        <v>1035061_1</v>
      </c>
      <c r="F72" t="str">
        <f>[1]map.xml!F72</f>
        <v>1_10000,2_0,3_0</v>
      </c>
      <c r="G72" t="str">
        <f>[1]map.xml!G72</f>
        <v>40000_50400025_1_902,40000_50350015_1_1860,4000435_0_1_5700,4000435_0_1_5700,4000435_0_1_5700,30000_90002_3_10000,30000_90003_1_4400</v>
      </c>
      <c r="H72">
        <f>[1]map.xml!H72</f>
        <v>0</v>
      </c>
      <c r="I72" t="str">
        <f>[1]map.xml!I72</f>
        <v>30000_90004_1_10000,4000435_0_1_5700,4000435_0_1_5700,4000435_0_1_5700</v>
      </c>
      <c r="J72">
        <f>[1]map.xml!J72</f>
        <v>0</v>
      </c>
      <c r="K72">
        <f>精英副本!K74</f>
        <v>100</v>
      </c>
      <c r="L72" t="str">
        <f>精英副本!L74</f>
        <v>map/map_001.png</v>
      </c>
      <c r="M72" t="str">
        <f>精英副本!M74</f>
        <v>1-3</v>
      </c>
      <c r="N72">
        <f>精英副本!N74</f>
        <v>920</v>
      </c>
      <c r="O72">
        <f>精英副本!O74</f>
        <v>120</v>
      </c>
      <c r="P72">
        <f>精英副本!P74</f>
        <v>10</v>
      </c>
      <c r="Q72">
        <f>精英副本!Q74</f>
        <v>10</v>
      </c>
      <c r="R72">
        <f>精英副本!R74</f>
        <v>0</v>
      </c>
      <c r="S72">
        <f>精英副本!S74</f>
        <v>1</v>
      </c>
      <c r="T72">
        <f>精英副本!T74</f>
        <v>31</v>
      </c>
      <c r="U72">
        <f>精英副本客户端!F16</f>
        <v>103505</v>
      </c>
    </row>
    <row r="73" spans="1:21">
      <c r="A73">
        <f>精英副本!A75</f>
        <v>103507</v>
      </c>
      <c r="B73" t="str">
        <f>精英副本!Y75</f>
        <v>力量试炼（35）</v>
      </c>
      <c r="C73">
        <f>精英副本!C75</f>
        <v>0</v>
      </c>
      <c r="D73">
        <f>精英副本!D75</f>
        <v>0</v>
      </c>
      <c r="E73" t="str">
        <f>[1]map.xml!$E73</f>
        <v>1035071_1,1035072_1</v>
      </c>
      <c r="F73" t="str">
        <f>[1]map.xml!F73</f>
        <v>1_0,2_10000,3_0</v>
      </c>
      <c r="G73" t="str">
        <f>[1]map.xml!G73</f>
        <v>40000_50400105_1_895,40000_50353055_1_1850,4000435_0_1_5750,4000435_0_1_5750,4000435_0_1_5750,30000_90002_3_10000,30000_90003_1_4400</v>
      </c>
      <c r="H73">
        <f>[1]map.xml!H73</f>
        <v>0</v>
      </c>
      <c r="I73" t="str">
        <f>[1]map.xml!I73</f>
        <v>30000_90004_1_10000,4000435_0_1_5750,4000435_0_1_5750,4000435_0_1_5750</v>
      </c>
      <c r="J73">
        <f>[1]map.xml!J73</f>
        <v>0</v>
      </c>
      <c r="K73">
        <f>精英副本!K75</f>
        <v>100</v>
      </c>
      <c r="L73" t="str">
        <f>精英副本!L75</f>
        <v>map/map_001.png</v>
      </c>
      <c r="M73" t="str">
        <f>精英副本!M75</f>
        <v>1-3</v>
      </c>
      <c r="N73">
        <f>精英副本!N75</f>
        <v>920</v>
      </c>
      <c r="O73">
        <f>精英副本!O75</f>
        <v>120</v>
      </c>
      <c r="P73">
        <f>精英副本!P75</f>
        <v>10</v>
      </c>
      <c r="Q73">
        <f>精英副本!Q75</f>
        <v>10</v>
      </c>
      <c r="R73">
        <f>精英副本!R75</f>
        <v>0</v>
      </c>
      <c r="S73">
        <f>精英副本!S75</f>
        <v>1</v>
      </c>
      <c r="T73">
        <f>精英副本!T75</f>
        <v>31</v>
      </c>
      <c r="U73">
        <f>精英副本客户端!F17</f>
        <v>103506</v>
      </c>
    </row>
    <row r="74" spans="1:21">
      <c r="A74">
        <f>精英副本!A76</f>
        <v>103508</v>
      </c>
      <c r="B74" t="str">
        <f>精英副本!Y76</f>
        <v>力量试炼（35）</v>
      </c>
      <c r="C74">
        <f>精英副本!C76</f>
        <v>0</v>
      </c>
      <c r="D74">
        <f>精英副本!D76</f>
        <v>0</v>
      </c>
      <c r="E74" t="str">
        <f>[1]map.xml!$E74</f>
        <v>1035081_1</v>
      </c>
      <c r="F74" t="str">
        <f>[1]map.xml!F74</f>
        <v>1_10000,2_0,3_0</v>
      </c>
      <c r="G74" t="str">
        <f>[1]map.xml!G74</f>
        <v>40000_50400035_1_888,40000_50350035_1_1840,4000435_0_1_5800,4000435_0_1_5800,4000435_0_1_5800,30000_90002_3_10000,30000_90003_1_4400</v>
      </c>
      <c r="H74">
        <f>[1]map.xml!H74</f>
        <v>0</v>
      </c>
      <c r="I74" t="str">
        <f>[1]map.xml!I74</f>
        <v>30000_90004_1_10000,4000435_0_1_5800,4000435_0_1_5800,4000435_0_1_5800</v>
      </c>
      <c r="J74">
        <f>[1]map.xml!J74</f>
        <v>0</v>
      </c>
      <c r="K74">
        <f>精英副本!K76</f>
        <v>100</v>
      </c>
      <c r="L74" t="str">
        <f>精英副本!L76</f>
        <v>map/map_001.png</v>
      </c>
      <c r="M74" t="str">
        <f>精英副本!M76</f>
        <v>1-3</v>
      </c>
      <c r="N74">
        <f>精英副本!N76</f>
        <v>920</v>
      </c>
      <c r="O74">
        <f>精英副本!O76</f>
        <v>120</v>
      </c>
      <c r="P74">
        <f>精英副本!P76</f>
        <v>10</v>
      </c>
      <c r="Q74">
        <f>精英副本!Q76</f>
        <v>10</v>
      </c>
      <c r="R74">
        <f>精英副本!R76</f>
        <v>0</v>
      </c>
      <c r="S74">
        <f>精英副本!S76</f>
        <v>1</v>
      </c>
      <c r="T74">
        <f>精英副本!T76</f>
        <v>31</v>
      </c>
      <c r="U74">
        <f>精英副本客户端!F18</f>
        <v>103507</v>
      </c>
    </row>
    <row r="75" spans="1:21">
      <c r="A75">
        <f>精英副本!A77</f>
        <v>103509</v>
      </c>
      <c r="B75" t="str">
        <f>精英副本!Y77</f>
        <v>力量试炼（35）</v>
      </c>
      <c r="C75">
        <f>精英副本!C77</f>
        <v>0</v>
      </c>
      <c r="D75">
        <f>精英副本!D77</f>
        <v>0</v>
      </c>
      <c r="E75" t="str">
        <f>[1]map.xml!$E75</f>
        <v>1035091_1</v>
      </c>
      <c r="F75" t="str">
        <f>[1]map.xml!F75</f>
        <v>1_10000,2_0,3_0</v>
      </c>
      <c r="G75" t="str">
        <f>[1]map.xml!G75</f>
        <v>40000_50401056_1_881,40000_50352065_1_1830,4000435_0_1_5850,4000435_0_1_5850,4000435_0_1_5850,30000_90002_3_10000,30000_90003_1_5500</v>
      </c>
      <c r="H75">
        <f>[1]map.xml!H75</f>
        <v>0</v>
      </c>
      <c r="I75" t="str">
        <f>[1]map.xml!I75</f>
        <v>30000_90004_1_10000,4000435_0_1_5850,4000435_0_1_5850,4000435_0_1_5850</v>
      </c>
      <c r="J75">
        <f>[1]map.xml!J75</f>
        <v>0</v>
      </c>
      <c r="K75">
        <f>精英副本!K77</f>
        <v>100</v>
      </c>
      <c r="L75" t="str">
        <f>精英副本!L77</f>
        <v>map/map_001.png</v>
      </c>
      <c r="M75" t="str">
        <f>精英副本!M77</f>
        <v>1-3</v>
      </c>
      <c r="N75">
        <f>精英副本!N77</f>
        <v>920</v>
      </c>
      <c r="O75">
        <f>精英副本!O77</f>
        <v>120</v>
      </c>
      <c r="P75">
        <f>精英副本!P77</f>
        <v>10</v>
      </c>
      <c r="Q75">
        <f>精英副本!Q77</f>
        <v>10</v>
      </c>
      <c r="R75">
        <f>精英副本!R77</f>
        <v>0</v>
      </c>
      <c r="S75">
        <f>精英副本!S77</f>
        <v>1</v>
      </c>
      <c r="T75">
        <f>精英副本!T77</f>
        <v>31</v>
      </c>
      <c r="U75">
        <f>精英副本客户端!F19</f>
        <v>103508</v>
      </c>
    </row>
    <row r="76" spans="1:21">
      <c r="A76">
        <f>精英副本!A78</f>
        <v>104001</v>
      </c>
      <c r="B76" t="str">
        <f>精英副本!Y78</f>
        <v>力量试炼（40）</v>
      </c>
      <c r="C76">
        <f>精英副本!C78</f>
        <v>0</v>
      </c>
      <c r="D76">
        <f>精英副本!D78</f>
        <v>0</v>
      </c>
      <c r="E76" t="str">
        <f>[1]map.xml!$E76</f>
        <v>1040011_1</v>
      </c>
      <c r="F76" t="str">
        <f>[1]map.xml!F76</f>
        <v>1_10000,2_0,3_0</v>
      </c>
      <c r="G76" t="str">
        <f>[1]map.xml!G76</f>
        <v>40000_50450025_1_874,40000_50403065_1_1820,4000440_0_1_5900,4000440_0_1_5900,4000440_0_1_5900,30000_90002_3_10000,30000_90003_1_3300</v>
      </c>
      <c r="H76">
        <f>[1]map.xml!H76</f>
        <v>0</v>
      </c>
      <c r="I76" t="str">
        <f>[1]map.xml!I76</f>
        <v>30000_90004_1_10000,4000440_0_1_5900,4000440_0_1_5900,4000440_0_1_5900</v>
      </c>
      <c r="J76">
        <f>[1]map.xml!J76</f>
        <v>0</v>
      </c>
      <c r="K76">
        <f>精英副本!K78</f>
        <v>100</v>
      </c>
      <c r="L76" t="str">
        <f>精英副本!L78</f>
        <v>map/map_001.png</v>
      </c>
      <c r="M76" t="str">
        <f>精英副本!M78</f>
        <v>1-3</v>
      </c>
      <c r="N76">
        <f>精英副本!N78</f>
        <v>920</v>
      </c>
      <c r="O76">
        <f>精英副本!O78</f>
        <v>120</v>
      </c>
      <c r="P76">
        <f>精英副本!P78</f>
        <v>10</v>
      </c>
      <c r="Q76">
        <f>精英副本!Q78</f>
        <v>10</v>
      </c>
      <c r="R76">
        <f>精英副本!R78</f>
        <v>0</v>
      </c>
      <c r="S76">
        <f>精英副本!S78</f>
        <v>1</v>
      </c>
      <c r="T76">
        <f>精英副本!T78</f>
        <v>36</v>
      </c>
      <c r="U76">
        <f>精英副本客户端!F20</f>
        <v>0</v>
      </c>
    </row>
    <row r="77" spans="1:21">
      <c r="A77">
        <f>精英副本!A79</f>
        <v>104002</v>
      </c>
      <c r="B77" t="str">
        <f>精英副本!Y79</f>
        <v>力量试炼（40）</v>
      </c>
      <c r="C77">
        <f>精英副本!C79</f>
        <v>0</v>
      </c>
      <c r="D77">
        <f>精英副本!D79</f>
        <v>0</v>
      </c>
      <c r="E77" t="str">
        <f>[1]map.xml!$E77</f>
        <v>1040021_1</v>
      </c>
      <c r="F77" t="str">
        <f>[1]map.xml!F77</f>
        <v>1_10000,2_0,3_0</v>
      </c>
      <c r="G77" t="str">
        <f>[1]map.xml!G77</f>
        <v>40000_50450105_1_867,40000_50400015_1_1810,4000440_0_1_5950,4000440_0_1_5950,4000440_0_1_5950,30000_90002_3_10000,30000_90003_1_3300</v>
      </c>
      <c r="H77">
        <f>[1]map.xml!H77</f>
        <v>0</v>
      </c>
      <c r="I77" t="str">
        <f>[1]map.xml!I77</f>
        <v>30000_90004_1_10000,4000440_0_1_5950,4000440_0_1_5950,4000440_0_1_5950</v>
      </c>
      <c r="J77">
        <f>[1]map.xml!J77</f>
        <v>0</v>
      </c>
      <c r="K77">
        <f>精英副本!K79</f>
        <v>100</v>
      </c>
      <c r="L77" t="str">
        <f>精英副本!L79</f>
        <v>map/map_001.png</v>
      </c>
      <c r="M77" t="str">
        <f>精英副本!M79</f>
        <v>1-3</v>
      </c>
      <c r="N77">
        <f>精英副本!N79</f>
        <v>920</v>
      </c>
      <c r="O77">
        <f>精英副本!O79</f>
        <v>120</v>
      </c>
      <c r="P77">
        <f>精英副本!P79</f>
        <v>10</v>
      </c>
      <c r="Q77">
        <f>精英副本!Q79</f>
        <v>10</v>
      </c>
      <c r="R77">
        <f>精英副本!R79</f>
        <v>0</v>
      </c>
      <c r="S77">
        <f>精英副本!S79</f>
        <v>1</v>
      </c>
      <c r="T77">
        <f>精英副本!T79</f>
        <v>36</v>
      </c>
      <c r="U77">
        <f>精英副本客户端!F21</f>
        <v>104001</v>
      </c>
    </row>
    <row r="78" spans="1:21">
      <c r="A78">
        <f>精英副本!A80</f>
        <v>104003</v>
      </c>
      <c r="B78" t="str">
        <f>精英副本!Y80</f>
        <v>力量试炼（40）</v>
      </c>
      <c r="C78">
        <f>精英副本!C80</f>
        <v>0</v>
      </c>
      <c r="D78">
        <f>精英副本!D80</f>
        <v>0</v>
      </c>
      <c r="E78" t="str">
        <f>[1]map.xml!$E78</f>
        <v>1040031_1</v>
      </c>
      <c r="F78" t="str">
        <f>[1]map.xml!F78</f>
        <v>1_10000,2_0,3_0</v>
      </c>
      <c r="G78" t="str">
        <f>[1]map.xml!G78</f>
        <v>40000_50450045_1_860,40000_50401055_1_1800,4000440_0_1_6000,4000440_0_1_6000,4000440_0_1_6000,30000_90002_3_10000,30000_90003_1_4400</v>
      </c>
      <c r="H78">
        <f>[1]map.xml!H78</f>
        <v>0</v>
      </c>
      <c r="I78" t="str">
        <f>[1]map.xml!I78</f>
        <v>30000_90004_1_10000,4000440_0_1_6000,4000440_0_1_6000,4000440_0_1_6000</v>
      </c>
      <c r="J78">
        <f>[1]map.xml!J78</f>
        <v>0</v>
      </c>
      <c r="K78">
        <f>精英副本!K80</f>
        <v>100</v>
      </c>
      <c r="L78" t="str">
        <f>精英副本!L80</f>
        <v>map/map_001.png</v>
      </c>
      <c r="M78" t="str">
        <f>精英副本!M80</f>
        <v>1-3</v>
      </c>
      <c r="N78">
        <f>精英副本!N80</f>
        <v>920</v>
      </c>
      <c r="O78">
        <f>精英副本!O80</f>
        <v>120</v>
      </c>
      <c r="P78">
        <f>精英副本!P80</f>
        <v>10</v>
      </c>
      <c r="Q78">
        <f>精英副本!Q80</f>
        <v>10</v>
      </c>
      <c r="R78">
        <f>精英副本!R80</f>
        <v>0</v>
      </c>
      <c r="S78">
        <f>精英副本!S80</f>
        <v>1</v>
      </c>
      <c r="T78">
        <f>精英副本!T80</f>
        <v>36</v>
      </c>
      <c r="U78">
        <f>精英副本客户端!F22</f>
        <v>104002</v>
      </c>
    </row>
    <row r="79" spans="1:21">
      <c r="A79">
        <f>精英副本!A81</f>
        <v>104004</v>
      </c>
      <c r="B79" t="str">
        <f>精英副本!Y81</f>
        <v>力量试炼（40）</v>
      </c>
      <c r="C79">
        <f>精英副本!C81</f>
        <v>0</v>
      </c>
      <c r="D79">
        <f>精英副本!D81</f>
        <v>0</v>
      </c>
      <c r="E79" t="str">
        <f>[1]map.xml!$E79</f>
        <v>1040041_1</v>
      </c>
      <c r="F79" t="str">
        <f>[1]map.xml!F79</f>
        <v>1_10000,2_0,3_0</v>
      </c>
      <c r="G79" t="str">
        <f>[1]map.xml!G79</f>
        <v>40000_50450075_1_853,40000_50401065_1_1790,4000440_0_1_6025,4000440_0_1_6025,4000440_0_1_6025,30000_90002_3_10000,30000_90003_1_4400</v>
      </c>
      <c r="H79">
        <f>[1]map.xml!H79</f>
        <v>0</v>
      </c>
      <c r="I79" t="str">
        <f>[1]map.xml!I79</f>
        <v>30000_90004_1_10000,4000440_0_1_6025,4000440_0_1_6025,4000440_0_1_6025</v>
      </c>
      <c r="J79">
        <f>[1]map.xml!J79</f>
        <v>0</v>
      </c>
      <c r="K79">
        <f>精英副本!K81</f>
        <v>100</v>
      </c>
      <c r="L79" t="str">
        <f>精英副本!L81</f>
        <v>map/map_001.png</v>
      </c>
      <c r="M79" t="str">
        <f>精英副本!M81</f>
        <v>1-3</v>
      </c>
      <c r="N79">
        <f>精英副本!N81</f>
        <v>920</v>
      </c>
      <c r="O79">
        <f>精英副本!O81</f>
        <v>120</v>
      </c>
      <c r="P79">
        <f>精英副本!P81</f>
        <v>10</v>
      </c>
      <c r="Q79">
        <f>精英副本!Q81</f>
        <v>10</v>
      </c>
      <c r="R79">
        <f>精英副本!R81</f>
        <v>0</v>
      </c>
      <c r="S79">
        <f>精英副本!S81</f>
        <v>1</v>
      </c>
      <c r="T79">
        <f>精英副本!T81</f>
        <v>36</v>
      </c>
      <c r="U79">
        <f>精英副本客户端!F23</f>
        <v>104003</v>
      </c>
    </row>
    <row r="80" spans="1:21">
      <c r="A80">
        <f>精英副本!A82</f>
        <v>104005</v>
      </c>
      <c r="B80" t="str">
        <f>精英副本!Y82</f>
        <v>力量试炼（40）</v>
      </c>
      <c r="C80">
        <f>精英副本!C82</f>
        <v>0</v>
      </c>
      <c r="D80">
        <f>精英副本!D82</f>
        <v>0</v>
      </c>
      <c r="E80" t="str">
        <f>[1]map.xml!$E80</f>
        <v>1040051_1</v>
      </c>
      <c r="F80" t="str">
        <f>[1]map.xml!F80</f>
        <v>1_10000,2_0,3_0</v>
      </c>
      <c r="G80" t="str">
        <f>[1]map.xml!G80</f>
        <v>40000_50450035_1_846,40000_50402065_1_1780,4000440_0_1_6050,4000440_0_1_6050,4000440_0_1_6050,30000_90002_3_10000,30000_90003_1_4400</v>
      </c>
      <c r="H80">
        <f>[1]map.xml!H80</f>
        <v>0</v>
      </c>
      <c r="I80" t="str">
        <f>[1]map.xml!I80</f>
        <v>30000_90004_1_10000,4000440_0_1_6050,4000440_0_1_6050,4000440_0_1_6050</v>
      </c>
      <c r="J80">
        <f>[1]map.xml!J80</f>
        <v>0</v>
      </c>
      <c r="K80">
        <f>精英副本!K82</f>
        <v>100</v>
      </c>
      <c r="L80" t="str">
        <f>精英副本!L82</f>
        <v>map/map_001.png</v>
      </c>
      <c r="M80" t="str">
        <f>精英副本!M82</f>
        <v>1-3</v>
      </c>
      <c r="N80">
        <f>精英副本!N82</f>
        <v>920</v>
      </c>
      <c r="O80">
        <f>精英副本!O82</f>
        <v>120</v>
      </c>
      <c r="P80">
        <f>精英副本!P82</f>
        <v>10</v>
      </c>
      <c r="Q80">
        <f>精英副本!Q82</f>
        <v>10</v>
      </c>
      <c r="R80">
        <f>精英副本!R82</f>
        <v>0</v>
      </c>
      <c r="S80">
        <f>精英副本!S82</f>
        <v>1</v>
      </c>
      <c r="T80">
        <f>精英副本!T82</f>
        <v>36</v>
      </c>
      <c r="U80">
        <f>精英副本客户端!F24</f>
        <v>104004</v>
      </c>
    </row>
    <row r="81" spans="1:21">
      <c r="A81">
        <f>精英副本!A83</f>
        <v>104006</v>
      </c>
      <c r="B81" t="str">
        <f>精英副本!Y83</f>
        <v>力量试炼（40）</v>
      </c>
      <c r="C81">
        <f>精英副本!C83</f>
        <v>0</v>
      </c>
      <c r="D81">
        <f>精英副本!D83</f>
        <v>0</v>
      </c>
      <c r="E81" t="str">
        <f>[1]map.xml!$E81</f>
        <v>1040061_1</v>
      </c>
      <c r="F81" t="str">
        <f>[1]map.xml!F81</f>
        <v>1_10000,2_0,3_0</v>
      </c>
      <c r="G81" t="str">
        <f>[1]map.xml!G81</f>
        <v>40000_50450095_1_839,40000_50402055_1_1770,4000440_0_1_6075,4000440_0_1_6075,4000440_0_1_6075,30000_90002_3_10000,30000_90003_1_5500</v>
      </c>
      <c r="H81">
        <f>[1]map.xml!H81</f>
        <v>0</v>
      </c>
      <c r="I81" t="str">
        <f>[1]map.xml!I81</f>
        <v>30000_90004_1_10000,4000440_0_1_6075,4000440_0_1_6075,4000440_0_1_6075</v>
      </c>
      <c r="J81">
        <f>[1]map.xml!J81</f>
        <v>0</v>
      </c>
      <c r="K81">
        <f>精英副本!K83</f>
        <v>100</v>
      </c>
      <c r="L81" t="str">
        <f>精英副本!L83</f>
        <v>map/map_001.png</v>
      </c>
      <c r="M81" t="str">
        <f>精英副本!M83</f>
        <v>1-3</v>
      </c>
      <c r="N81">
        <f>精英副本!N83</f>
        <v>920</v>
      </c>
      <c r="O81">
        <f>精英副本!O83</f>
        <v>120</v>
      </c>
      <c r="P81">
        <f>精英副本!P83</f>
        <v>10</v>
      </c>
      <c r="Q81">
        <f>精英副本!Q83</f>
        <v>10</v>
      </c>
      <c r="R81">
        <f>精英副本!R83</f>
        <v>0</v>
      </c>
      <c r="S81">
        <f>精英副本!S83</f>
        <v>1</v>
      </c>
      <c r="T81">
        <f>精英副本!T83</f>
        <v>36</v>
      </c>
      <c r="U81">
        <f>精英副本客户端!F25</f>
        <v>104005</v>
      </c>
    </row>
    <row r="82" spans="1:21">
      <c r="A82">
        <f>精英副本!A84</f>
        <v>104007</v>
      </c>
      <c r="B82" t="str">
        <f>精英副本!Y84</f>
        <v>力量试炼（40）</v>
      </c>
      <c r="C82">
        <f>精英副本!C84</f>
        <v>0</v>
      </c>
      <c r="D82">
        <f>精英副本!D84</f>
        <v>0</v>
      </c>
      <c r="E82" t="str">
        <f>[1]map.xml!$E82</f>
        <v>1040071_1,1040072_1</v>
      </c>
      <c r="F82" t="str">
        <f>[1]map.xml!F82</f>
        <v>1_0,2_10000,3_0</v>
      </c>
      <c r="G82" t="str">
        <f>[1]map.xml!G82</f>
        <v>40000_50450015_1_832,40000_50451065_1_1760,4000440_0_1_6100,4000440_0_1_6100,4000440_0_1_6100,30000_90002_3_10000,30000_90003_1_5500</v>
      </c>
      <c r="H82">
        <f>[1]map.xml!H82</f>
        <v>0</v>
      </c>
      <c r="I82" t="str">
        <f>[1]map.xml!I82</f>
        <v>30000_90004_1_10000,4000440_0_1_6100,4000440_0_1_6100,4000440_0_1_6100</v>
      </c>
      <c r="J82">
        <f>[1]map.xml!J82</f>
        <v>0</v>
      </c>
      <c r="K82">
        <f>精英副本!K84</f>
        <v>100</v>
      </c>
      <c r="L82" t="str">
        <f>精英副本!L84</f>
        <v>map/map_001.png</v>
      </c>
      <c r="M82" t="str">
        <f>精英副本!M84</f>
        <v>1-3</v>
      </c>
      <c r="N82">
        <f>精英副本!N84</f>
        <v>920</v>
      </c>
      <c r="O82">
        <f>精英副本!O84</f>
        <v>120</v>
      </c>
      <c r="P82">
        <f>精英副本!P84</f>
        <v>10</v>
      </c>
      <c r="Q82">
        <f>精英副本!Q84</f>
        <v>10</v>
      </c>
      <c r="R82">
        <f>精英副本!R84</f>
        <v>0</v>
      </c>
      <c r="S82">
        <f>精英副本!S84</f>
        <v>1</v>
      </c>
      <c r="T82">
        <f>精英副本!T84</f>
        <v>36</v>
      </c>
      <c r="U82">
        <f>精英副本客户端!F26</f>
        <v>104006</v>
      </c>
    </row>
    <row r="83" spans="1:21">
      <c r="A83">
        <f>精英副本!A85</f>
        <v>104008</v>
      </c>
      <c r="B83" t="str">
        <f>精英副本!Y85</f>
        <v>力量试炼（40）</v>
      </c>
      <c r="C83">
        <f>精英副本!C85</f>
        <v>0</v>
      </c>
      <c r="D83">
        <f>精英副本!D85</f>
        <v>0</v>
      </c>
      <c r="E83" t="str">
        <f>[1]map.xml!$E83</f>
        <v>1040081_1</v>
      </c>
      <c r="F83" t="str">
        <f>[1]map.xml!F83</f>
        <v>1_10000,2_0,3_0</v>
      </c>
      <c r="G83" t="str">
        <f>[1]map.xml!G83</f>
        <v>40000_50450085_1_825,40000_50400035_1_1750,4000440_0_1_6125,4000440_0_1_6125,4000440_0_1_6125,30000_90002_3_10000,30000_90003_1_5500</v>
      </c>
      <c r="H83">
        <f>[1]map.xml!H83</f>
        <v>0</v>
      </c>
      <c r="I83" t="str">
        <f>[1]map.xml!I83</f>
        <v>30000_90004_1_10000,4000440_0_1_6125,4000440_0_1_6125,4000440_0_1_6125</v>
      </c>
      <c r="J83">
        <f>[1]map.xml!J83</f>
        <v>0</v>
      </c>
      <c r="K83">
        <f>精英副本!K85</f>
        <v>100</v>
      </c>
      <c r="L83" t="str">
        <f>精英副本!L85</f>
        <v>map/map_001.png</v>
      </c>
      <c r="M83" t="str">
        <f>精英副本!M85</f>
        <v>1-3</v>
      </c>
      <c r="N83">
        <f>精英副本!N85</f>
        <v>920</v>
      </c>
      <c r="O83">
        <f>精英副本!O85</f>
        <v>120</v>
      </c>
      <c r="P83">
        <f>精英副本!P85</f>
        <v>10</v>
      </c>
      <c r="Q83">
        <f>精英副本!Q85</f>
        <v>10</v>
      </c>
      <c r="R83">
        <f>精英副本!R85</f>
        <v>0</v>
      </c>
      <c r="S83">
        <f>精英副本!S85</f>
        <v>1</v>
      </c>
      <c r="T83">
        <f>精英副本!T85</f>
        <v>36</v>
      </c>
      <c r="U83">
        <f>精英副本客户端!F27</f>
        <v>104007</v>
      </c>
    </row>
    <row r="84" spans="1:21">
      <c r="A84">
        <f>精英副本!A86</f>
        <v>104009</v>
      </c>
      <c r="B84" t="str">
        <f>精英副本!Y86</f>
        <v>力量试炼（40）</v>
      </c>
      <c r="C84">
        <f>精英副本!C86</f>
        <v>0</v>
      </c>
      <c r="D84">
        <f>精英副本!D86</f>
        <v>0</v>
      </c>
      <c r="E84" t="str">
        <f>[1]map.xml!$E84</f>
        <v>1040091_1</v>
      </c>
      <c r="F84" t="str">
        <f>[1]map.xml!F84</f>
        <v>1_10000,2_0,3_0</v>
      </c>
      <c r="G84" t="str">
        <f>[1]map.xml!G84</f>
        <v>40000_50451055_1_818,40000_50403055_1_1740,4000440_0_1_6150,4000440_0_1_6150,4000440_0_1_6150,30000_90002_3_10000,30000_90003_1_6600</v>
      </c>
      <c r="H84">
        <f>[1]map.xml!H84</f>
        <v>0</v>
      </c>
      <c r="I84" t="str">
        <f>[1]map.xml!I84</f>
        <v>30000_90004_1_10000,4000440_0_1_6150,4000440_0_1_6150,4000440_0_1_6150</v>
      </c>
      <c r="J84">
        <f>[1]map.xml!J84</f>
        <v>0</v>
      </c>
      <c r="K84">
        <f>精英副本!K86</f>
        <v>100</v>
      </c>
      <c r="L84" t="str">
        <f>精英副本!L86</f>
        <v>map/map_001.png</v>
      </c>
      <c r="M84" t="str">
        <f>精英副本!M86</f>
        <v>1-3</v>
      </c>
      <c r="N84">
        <f>精英副本!N86</f>
        <v>920</v>
      </c>
      <c r="O84">
        <f>精英副本!O86</f>
        <v>120</v>
      </c>
      <c r="P84">
        <f>精英副本!P86</f>
        <v>10</v>
      </c>
      <c r="Q84">
        <f>精英副本!Q86</f>
        <v>10</v>
      </c>
      <c r="R84">
        <f>精英副本!R86</f>
        <v>0</v>
      </c>
      <c r="S84">
        <f>精英副本!S86</f>
        <v>1</v>
      </c>
      <c r="T84">
        <f>精英副本!T86</f>
        <v>36</v>
      </c>
      <c r="U84">
        <f>精英副本客户端!F28</f>
        <v>104008</v>
      </c>
    </row>
    <row r="85" spans="1:21">
      <c r="A85">
        <f>精英副本!A87</f>
        <v>104501</v>
      </c>
      <c r="B85" t="str">
        <f>精英副本!Y87</f>
        <v>力量试炼（45）</v>
      </c>
      <c r="C85">
        <f>精英副本!C87</f>
        <v>0</v>
      </c>
      <c r="D85">
        <f>精英副本!D87</f>
        <v>0</v>
      </c>
      <c r="E85" t="str">
        <f>[1]map.xml!$E85</f>
        <v>1045011_1</v>
      </c>
      <c r="F85" t="str">
        <f>[1]map.xml!F85</f>
        <v>1_10000,2_0,3_0</v>
      </c>
      <c r="G85" t="str">
        <f>[1]map.xml!G85</f>
        <v>40000_50500045_1_811,40000_50452065_1_1730,4000445_0_1_6175,4000445_0_1_6175,4000445_0_1_6175,30000_90002_3_10000,30000_90003_1_4400</v>
      </c>
      <c r="H85">
        <f>[1]map.xml!H85</f>
        <v>0</v>
      </c>
      <c r="I85" t="str">
        <f>[1]map.xml!I85</f>
        <v>30000_90004_1_10000,4000445_0_1_6175,4000445_0_1_6175,4000445_0_1_6175</v>
      </c>
      <c r="J85">
        <f>[1]map.xml!J85</f>
        <v>0</v>
      </c>
      <c r="K85">
        <f>精英副本!K87</f>
        <v>100</v>
      </c>
      <c r="L85" t="str">
        <f>精英副本!L87</f>
        <v>map/map_001.png</v>
      </c>
      <c r="M85" t="str">
        <f>精英副本!M87</f>
        <v>1-3</v>
      </c>
      <c r="N85">
        <f>精英副本!N87</f>
        <v>920</v>
      </c>
      <c r="O85">
        <f>精英副本!O87</f>
        <v>120</v>
      </c>
      <c r="P85">
        <f>精英副本!P87</f>
        <v>10</v>
      </c>
      <c r="Q85">
        <f>精英副本!Q87</f>
        <v>10</v>
      </c>
      <c r="R85">
        <f>精英副本!R87</f>
        <v>0</v>
      </c>
      <c r="S85">
        <f>精英副本!S87</f>
        <v>1</v>
      </c>
      <c r="T85">
        <f>精英副本!T87</f>
        <v>41</v>
      </c>
      <c r="U85">
        <f>精英副本客户端!F29</f>
        <v>0</v>
      </c>
    </row>
    <row r="86" spans="1:21">
      <c r="A86">
        <f>精英副本!A88</f>
        <v>104502</v>
      </c>
      <c r="B86" t="str">
        <f>精英副本!Y88</f>
        <v>力量试炼（45）</v>
      </c>
      <c r="C86">
        <f>精英副本!C88</f>
        <v>0</v>
      </c>
      <c r="D86">
        <f>精英副本!D88</f>
        <v>0</v>
      </c>
      <c r="E86" t="str">
        <f>[1]map.xml!$E86</f>
        <v>1045021_1</v>
      </c>
      <c r="F86" t="str">
        <f>[1]map.xml!F86</f>
        <v>1_10000,2_0,3_0</v>
      </c>
      <c r="G86" t="str">
        <f>[1]map.xml!G86</f>
        <v>40000_50500075_1_804,40000_50451065_1_1720,4000445_0_1_6200,4000445_0_1_6200,4000445_0_1_6200,30000_90002_3_10000,30000_90003_1_4400</v>
      </c>
      <c r="H86">
        <f>[1]map.xml!H86</f>
        <v>0</v>
      </c>
      <c r="I86" t="str">
        <f>[1]map.xml!I86</f>
        <v>30000_90004_1_10000,4000445_0_1_6200,4000445_0_1_6200,4000445_0_1_6200</v>
      </c>
      <c r="J86">
        <f>[1]map.xml!J86</f>
        <v>0</v>
      </c>
      <c r="K86">
        <f>精英副本!K88</f>
        <v>100</v>
      </c>
      <c r="L86" t="str">
        <f>精英副本!L88</f>
        <v>map/map_001.png</v>
      </c>
      <c r="M86" t="str">
        <f>精英副本!M88</f>
        <v>1-3</v>
      </c>
      <c r="N86">
        <f>精英副本!N88</f>
        <v>920</v>
      </c>
      <c r="O86">
        <f>精英副本!O88</f>
        <v>120</v>
      </c>
      <c r="P86">
        <f>精英副本!P88</f>
        <v>10</v>
      </c>
      <c r="Q86">
        <f>精英副本!Q88</f>
        <v>10</v>
      </c>
      <c r="R86">
        <f>精英副本!R88</f>
        <v>0</v>
      </c>
      <c r="S86">
        <f>精英副本!S88</f>
        <v>1</v>
      </c>
      <c r="T86">
        <f>精英副本!T88</f>
        <v>41</v>
      </c>
      <c r="U86">
        <f>精英副本客户端!F30</f>
        <v>104501</v>
      </c>
    </row>
    <row r="87" spans="1:21">
      <c r="A87">
        <f>精英副本!A89</f>
        <v>104503</v>
      </c>
      <c r="B87" t="str">
        <f>精英副本!Y89</f>
        <v>力量试炼（45）</v>
      </c>
      <c r="C87">
        <f>精英副本!C89</f>
        <v>0</v>
      </c>
      <c r="D87">
        <f>精英副本!D89</f>
        <v>0</v>
      </c>
      <c r="E87" t="str">
        <f>[1]map.xml!$E87</f>
        <v>1045031_1</v>
      </c>
      <c r="F87" t="str">
        <f>[1]map.xml!F87</f>
        <v>1_10000,2_0,3_0</v>
      </c>
      <c r="G87" t="str">
        <f>[1]map.xml!G87</f>
        <v>40000_50500025_1_797,40000_50452055_1_1710,4000445_0_1_6225,4000445_0_1_6225,4000445_0_1_6225,30000_90002_3_10000,30000_90003_1_5500</v>
      </c>
      <c r="H87">
        <f>[1]map.xml!H87</f>
        <v>0</v>
      </c>
      <c r="I87" t="str">
        <f>[1]map.xml!I87</f>
        <v>30000_90004_1_10000,4000445_0_1_6225,4000445_0_1_6225,4000445_0_1_6225</v>
      </c>
      <c r="J87">
        <f>[1]map.xml!J87</f>
        <v>0</v>
      </c>
      <c r="K87">
        <f>精英副本!K89</f>
        <v>100</v>
      </c>
      <c r="L87" t="str">
        <f>精英副本!L89</f>
        <v>map/map_001.png</v>
      </c>
      <c r="M87" t="str">
        <f>精英副本!M89</f>
        <v>1-3</v>
      </c>
      <c r="N87">
        <f>精英副本!N89</f>
        <v>920</v>
      </c>
      <c r="O87">
        <f>精英副本!O89</f>
        <v>120</v>
      </c>
      <c r="P87">
        <f>精英副本!P89</f>
        <v>10</v>
      </c>
      <c r="Q87">
        <f>精英副本!Q89</f>
        <v>10</v>
      </c>
      <c r="R87">
        <f>精英副本!R89</f>
        <v>0</v>
      </c>
      <c r="S87">
        <f>精英副本!S89</f>
        <v>1</v>
      </c>
      <c r="T87">
        <f>精英副本!T89</f>
        <v>41</v>
      </c>
      <c r="U87">
        <f>精英副本客户端!F31</f>
        <v>104502</v>
      </c>
    </row>
    <row r="88" spans="1:21">
      <c r="A88">
        <f>精英副本!A90</f>
        <v>104504</v>
      </c>
      <c r="B88" t="str">
        <f>精英副本!Y90</f>
        <v>力量试炼（45）</v>
      </c>
      <c r="C88">
        <f>精英副本!C90</f>
        <v>0</v>
      </c>
      <c r="D88">
        <f>精英副本!D90</f>
        <v>0</v>
      </c>
      <c r="E88" t="str">
        <f>[1]map.xml!$E88</f>
        <v>1045041_1</v>
      </c>
      <c r="F88" t="str">
        <f>[1]map.xml!F88</f>
        <v>1_10000,2_0,3_0</v>
      </c>
      <c r="G88" t="str">
        <f>[1]map.xml!G88</f>
        <v>40000_50500105_1_790,40000_50453055_1_1700,4000445_0_1_6250,4000445_0_1_6250,4000445_0_1_6250,30000_90002_3_10000,30000_90003_1_5500</v>
      </c>
      <c r="H88">
        <f>[1]map.xml!H88</f>
        <v>0</v>
      </c>
      <c r="I88" t="str">
        <f>[1]map.xml!I88</f>
        <v>30000_90004_1_10000,4000445_0_1_6250,4000445_0_1_6250,4000445_0_1_6250</v>
      </c>
      <c r="J88">
        <f>[1]map.xml!J88</f>
        <v>0</v>
      </c>
      <c r="K88">
        <f>精英副本!K90</f>
        <v>100</v>
      </c>
      <c r="L88" t="str">
        <f>精英副本!L90</f>
        <v>map/map_001.png</v>
      </c>
      <c r="M88" t="str">
        <f>精英副本!M90</f>
        <v>1-3</v>
      </c>
      <c r="N88">
        <f>精英副本!N90</f>
        <v>920</v>
      </c>
      <c r="O88">
        <f>精英副本!O90</f>
        <v>120</v>
      </c>
      <c r="P88">
        <f>精英副本!P90</f>
        <v>10</v>
      </c>
      <c r="Q88">
        <f>精英副本!Q90</f>
        <v>10</v>
      </c>
      <c r="R88">
        <f>精英副本!R90</f>
        <v>0</v>
      </c>
      <c r="S88">
        <f>精英副本!S90</f>
        <v>1</v>
      </c>
      <c r="T88">
        <f>精英副本!T90</f>
        <v>41</v>
      </c>
      <c r="U88">
        <f>精英副本客户端!F32</f>
        <v>104503</v>
      </c>
    </row>
    <row r="89" spans="1:21">
      <c r="A89">
        <f>精英副本!A91</f>
        <v>104505</v>
      </c>
      <c r="B89" t="str">
        <f>精英副本!Y91</f>
        <v>力量试炼（45）</v>
      </c>
      <c r="C89">
        <f>精英副本!C91</f>
        <v>0</v>
      </c>
      <c r="D89">
        <f>精英副本!D91</f>
        <v>0</v>
      </c>
      <c r="E89" t="str">
        <f>[1]map.xml!$E89</f>
        <v>1045051_1</v>
      </c>
      <c r="F89" t="str">
        <f>[1]map.xml!F89</f>
        <v>1_10000,2_0,3_0</v>
      </c>
      <c r="G89" t="str">
        <f>[1]map.xml!G89</f>
        <v>40000_50500095_1_783,40000_50451055_1_1690,4000445_0_1_6275,4000445_0_1_6275,4000445_0_1_6275,30000_90002_3_10000,30000_90003_1_5500</v>
      </c>
      <c r="H89">
        <f>[1]map.xml!H89</f>
        <v>0</v>
      </c>
      <c r="I89" t="str">
        <f>[1]map.xml!I89</f>
        <v>30000_90004_1_10000,4000445_0_1_6275,4000445_0_1_6275,4000445_0_1_6275</v>
      </c>
      <c r="J89">
        <f>[1]map.xml!J89</f>
        <v>0</v>
      </c>
      <c r="K89">
        <f>精英副本!K91</f>
        <v>100</v>
      </c>
      <c r="L89" t="str">
        <f>精英副本!L91</f>
        <v>map/map_001.png</v>
      </c>
      <c r="M89" t="str">
        <f>精英副本!M91</f>
        <v>1-3</v>
      </c>
      <c r="N89">
        <f>精英副本!N91</f>
        <v>920</v>
      </c>
      <c r="O89">
        <f>精英副本!O91</f>
        <v>120</v>
      </c>
      <c r="P89">
        <f>精英副本!P91</f>
        <v>10</v>
      </c>
      <c r="Q89">
        <f>精英副本!Q91</f>
        <v>10</v>
      </c>
      <c r="R89">
        <f>精英副本!R91</f>
        <v>0</v>
      </c>
      <c r="S89">
        <f>精英副本!S91</f>
        <v>1</v>
      </c>
      <c r="T89">
        <f>精英副本!T91</f>
        <v>41</v>
      </c>
      <c r="U89">
        <f>精英副本客户端!F33</f>
        <v>104504</v>
      </c>
    </row>
    <row r="90" spans="1:21">
      <c r="A90">
        <f>精英副本!A92</f>
        <v>104506</v>
      </c>
      <c r="B90" t="str">
        <f>精英副本!Y92</f>
        <v>力量试炼（45）</v>
      </c>
      <c r="C90">
        <f>精英副本!C92</f>
        <v>0</v>
      </c>
      <c r="D90">
        <f>精英副本!D92</f>
        <v>0</v>
      </c>
      <c r="E90" t="str">
        <f>[1]map.xml!$E90</f>
        <v>1045061_1</v>
      </c>
      <c r="F90" t="str">
        <f>[1]map.xml!F90</f>
        <v>1_10000,2_0,3_0</v>
      </c>
      <c r="G90" t="str">
        <f>[1]map.xml!G90</f>
        <v>40000_50500085_1_776,40000_50453065_1_1680,4000445_0_1_6300,4000445_0_1_6300,4000445_0_1_6300,30000_90002_3_10000,30000_90003_1_6600</v>
      </c>
      <c r="H90">
        <f>[1]map.xml!H90</f>
        <v>0</v>
      </c>
      <c r="I90" t="str">
        <f>[1]map.xml!I90</f>
        <v>30000_90004_1_10000,4000445_0_1_6300,4000445_0_1_6300,4000445_0_1_6300</v>
      </c>
      <c r="J90">
        <f>[1]map.xml!J90</f>
        <v>0</v>
      </c>
      <c r="K90">
        <f>精英副本!K92</f>
        <v>100</v>
      </c>
      <c r="L90" t="str">
        <f>精英副本!L92</f>
        <v>map/map_001.png</v>
      </c>
      <c r="M90" t="str">
        <f>精英副本!M92</f>
        <v>1-3</v>
      </c>
      <c r="N90">
        <f>精英副本!N92</f>
        <v>920</v>
      </c>
      <c r="O90">
        <f>精英副本!O92</f>
        <v>120</v>
      </c>
      <c r="P90">
        <f>精英副本!P92</f>
        <v>10</v>
      </c>
      <c r="Q90">
        <f>精英副本!Q92</f>
        <v>10</v>
      </c>
      <c r="R90">
        <f>精英副本!R92</f>
        <v>0</v>
      </c>
      <c r="S90">
        <f>精英副本!S92</f>
        <v>1</v>
      </c>
      <c r="T90">
        <f>精英副本!T92</f>
        <v>41</v>
      </c>
      <c r="U90">
        <f>精英副本客户端!F34</f>
        <v>104505</v>
      </c>
    </row>
    <row r="91" spans="1:21">
      <c r="A91">
        <f>精英副本!A93</f>
        <v>104507</v>
      </c>
      <c r="B91" t="str">
        <f>精英副本!Y93</f>
        <v>力量试炼（45）</v>
      </c>
      <c r="C91">
        <f>精英副本!C93</f>
        <v>0</v>
      </c>
      <c r="D91">
        <f>精英副本!D93</f>
        <v>0</v>
      </c>
      <c r="E91" t="str">
        <f>[1]map.xml!$E91</f>
        <v>1045071_1,1045072_1</v>
      </c>
      <c r="F91" t="str">
        <f>[1]map.xml!F91</f>
        <v>1_0,2_10000,3_0</v>
      </c>
      <c r="G91" t="str">
        <f>[1]map.xml!G91</f>
        <v>40000_50500035_1_769,40000_50501066_1_1670,4000445_0_1_6325,4000445_0_1_6325,4000445_0_1_6325,30000_90002_3_10000,30000_90003_1_6600</v>
      </c>
      <c r="H91">
        <f>[1]map.xml!H91</f>
        <v>0</v>
      </c>
      <c r="I91" t="str">
        <f>[1]map.xml!I91</f>
        <v>30000_90004_1_10000,4000445_0_1_6325,4000445_0_1_6325,4000445_0_1_6325</v>
      </c>
      <c r="J91">
        <f>[1]map.xml!J91</f>
        <v>0</v>
      </c>
      <c r="K91">
        <f>精英副本!K93</f>
        <v>100</v>
      </c>
      <c r="L91" t="str">
        <f>精英副本!L93</f>
        <v>map/map_001.png</v>
      </c>
      <c r="M91" t="str">
        <f>精英副本!M93</f>
        <v>1-3</v>
      </c>
      <c r="N91">
        <f>精英副本!N93</f>
        <v>920</v>
      </c>
      <c r="O91">
        <f>精英副本!O93</f>
        <v>120</v>
      </c>
      <c r="P91">
        <f>精英副本!P93</f>
        <v>10</v>
      </c>
      <c r="Q91">
        <f>精英副本!Q93</f>
        <v>10</v>
      </c>
      <c r="R91">
        <f>精英副本!R93</f>
        <v>0</v>
      </c>
      <c r="S91">
        <f>精英副本!S93</f>
        <v>1</v>
      </c>
      <c r="T91">
        <f>精英副本!T93</f>
        <v>41</v>
      </c>
      <c r="U91">
        <f>精英副本客户端!F35</f>
        <v>104506</v>
      </c>
    </row>
    <row r="92" spans="1:21">
      <c r="A92">
        <f>精英副本!A94</f>
        <v>104508</v>
      </c>
      <c r="B92" t="str">
        <f>精英副本!Y94</f>
        <v>力量试炼（45）</v>
      </c>
      <c r="C92">
        <f>精英副本!C94</f>
        <v>0</v>
      </c>
      <c r="D92">
        <f>精英副本!D94</f>
        <v>0</v>
      </c>
      <c r="E92" t="str">
        <f>[1]map.xml!$E92</f>
        <v>1045081_1</v>
      </c>
      <c r="F92" t="str">
        <f>[1]map.xml!F92</f>
        <v>1_10000,2_0,3_0</v>
      </c>
      <c r="G92" t="str">
        <f>[1]map.xml!G92</f>
        <v>40000_50500015_1_762,40000_50450035_1_1660,4000445_0_1_6350,4000445_0_1_6350,4000445_0_1_6350,30000_90002_3_10000,30000_90003_1_6600</v>
      </c>
      <c r="H92">
        <f>[1]map.xml!H92</f>
        <v>0</v>
      </c>
      <c r="I92" t="str">
        <f>[1]map.xml!I92</f>
        <v>30000_90004_1_10000,4000445_0_1_6350,4000445_0_1_6350,4000445_0_1_6350</v>
      </c>
      <c r="J92">
        <f>[1]map.xml!J92</f>
        <v>0</v>
      </c>
      <c r="K92">
        <f>精英副本!K94</f>
        <v>100</v>
      </c>
      <c r="L92" t="str">
        <f>精英副本!L94</f>
        <v>map/map_001.png</v>
      </c>
      <c r="M92" t="str">
        <f>精英副本!M94</f>
        <v>1-3</v>
      </c>
      <c r="N92">
        <f>精英副本!N94</f>
        <v>920</v>
      </c>
      <c r="O92">
        <f>精英副本!O94</f>
        <v>120</v>
      </c>
      <c r="P92">
        <f>精英副本!P94</f>
        <v>10</v>
      </c>
      <c r="Q92">
        <f>精英副本!Q94</f>
        <v>10</v>
      </c>
      <c r="R92">
        <f>精英副本!R94</f>
        <v>0</v>
      </c>
      <c r="S92">
        <f>精英副本!S94</f>
        <v>1</v>
      </c>
      <c r="T92">
        <f>精英副本!T94</f>
        <v>41</v>
      </c>
      <c r="U92">
        <f>精英副本客户端!F36</f>
        <v>104507</v>
      </c>
    </row>
    <row r="93" spans="1:21">
      <c r="A93">
        <f>精英副本!A95</f>
        <v>104509</v>
      </c>
      <c r="B93" t="str">
        <f>精英副本!Y95</f>
        <v>力量试炼（45）</v>
      </c>
      <c r="C93">
        <f>精英副本!C95</f>
        <v>0</v>
      </c>
      <c r="D93">
        <f>精英副本!D95</f>
        <v>0</v>
      </c>
      <c r="E93" t="str">
        <f>[1]map.xml!$E93</f>
        <v>1045091_1</v>
      </c>
      <c r="F93" t="str">
        <f>[1]map.xml!F93</f>
        <v>1_10000,2_0,3_0</v>
      </c>
      <c r="G93" t="str">
        <f>[1]map.xml!G93</f>
        <v>40000_50501056_1_755,40000_50450015_1_1650,4000445_0_1_6375,4000445_0_1_6375,4000445_0_1_6375,30000_90002_3_10000,30000_90003_1_7700</v>
      </c>
      <c r="H93">
        <f>[1]map.xml!H93</f>
        <v>0</v>
      </c>
      <c r="I93" t="str">
        <f>[1]map.xml!I93</f>
        <v>30000_90004_1_10000,4000445_0_1_6375,4000445_0_1_6375,4000445_0_1_6375</v>
      </c>
      <c r="J93">
        <f>[1]map.xml!J93</f>
        <v>0</v>
      </c>
      <c r="K93">
        <f>精英副本!K95</f>
        <v>100</v>
      </c>
      <c r="L93" t="str">
        <f>精英副本!L95</f>
        <v>map/map_001.png</v>
      </c>
      <c r="M93" t="str">
        <f>精英副本!M95</f>
        <v>1-3</v>
      </c>
      <c r="N93">
        <f>精英副本!N95</f>
        <v>920</v>
      </c>
      <c r="O93">
        <f>精英副本!O95</f>
        <v>120</v>
      </c>
      <c r="P93">
        <f>精英副本!P95</f>
        <v>10</v>
      </c>
      <c r="Q93">
        <f>精英副本!Q95</f>
        <v>10</v>
      </c>
      <c r="R93">
        <f>精英副本!R95</f>
        <v>0</v>
      </c>
      <c r="S93">
        <f>精英副本!S95</f>
        <v>1</v>
      </c>
      <c r="T93">
        <f>精英副本!T95</f>
        <v>41</v>
      </c>
      <c r="U93">
        <f>精英副本客户端!F37</f>
        <v>104508</v>
      </c>
    </row>
    <row r="94" spans="1:21">
      <c r="A94">
        <f>精英副本!A96</f>
        <v>105001</v>
      </c>
      <c r="B94" t="str">
        <f>精英副本!Y96</f>
        <v>力量试炼（50）</v>
      </c>
      <c r="C94">
        <f>精英副本!C96</f>
        <v>0</v>
      </c>
      <c r="D94">
        <f>精英副本!D96</f>
        <v>0</v>
      </c>
      <c r="E94" t="str">
        <f>[1]map.xml!$E94</f>
        <v>1050011_1</v>
      </c>
      <c r="F94" t="str">
        <f>[1]map.xml!F94</f>
        <v>1_10000,2_0,3_0</v>
      </c>
      <c r="G94" t="str">
        <f>[1]map.xml!G94</f>
        <v>40000_50550045_1_748,40000_50502065_1_1640,4000450_0_1_6400,4000450_0_1_6400,4000450_0_1_6400,30000_90002_3_10000,30000_90003_1_5500</v>
      </c>
      <c r="H94">
        <f>[1]map.xml!H94</f>
        <v>0</v>
      </c>
      <c r="I94" t="str">
        <f>[1]map.xml!I94</f>
        <v>30000_90004_1_10000,4000450_0_1_6400,4000450_0_1_6400,4000450_0_1_6400</v>
      </c>
      <c r="J94">
        <f>[1]map.xml!J94</f>
        <v>0</v>
      </c>
      <c r="K94">
        <f>精英副本!K96</f>
        <v>100</v>
      </c>
      <c r="L94" t="str">
        <f>精英副本!L96</f>
        <v>map/map_001.png</v>
      </c>
      <c r="M94" t="str">
        <f>精英副本!M96</f>
        <v>1-3</v>
      </c>
      <c r="N94">
        <f>精英副本!N96</f>
        <v>920</v>
      </c>
      <c r="O94">
        <f>精英副本!O96</f>
        <v>120</v>
      </c>
      <c r="P94">
        <f>精英副本!P96</f>
        <v>10</v>
      </c>
      <c r="Q94">
        <f>精英副本!Q96</f>
        <v>10</v>
      </c>
      <c r="R94">
        <f>精英副本!R96</f>
        <v>0</v>
      </c>
      <c r="S94">
        <f>精英副本!S96</f>
        <v>1</v>
      </c>
      <c r="T94">
        <f>精英副本!T96</f>
        <v>46</v>
      </c>
      <c r="U94">
        <f>精英副本客户端!F38</f>
        <v>0</v>
      </c>
    </row>
    <row r="95" spans="1:21">
      <c r="A95">
        <f>精英副本!A97</f>
        <v>105002</v>
      </c>
      <c r="B95" t="str">
        <f>精英副本!Y97</f>
        <v>力量试炼（50）</v>
      </c>
      <c r="C95">
        <f>精英副本!C97</f>
        <v>0</v>
      </c>
      <c r="D95">
        <f>精英副本!D97</f>
        <v>0</v>
      </c>
      <c r="E95" t="str">
        <f>[1]map.xml!$E95</f>
        <v>1050021_1</v>
      </c>
      <c r="F95" t="str">
        <f>[1]map.xml!F95</f>
        <v>1_10000,2_0,3_0</v>
      </c>
      <c r="G95" t="str">
        <f>[1]map.xml!G95</f>
        <v>40000_50550015_1_741,40000_50501055_1_1630,4000450_0_1_6425,4000450_0_1_6425,4000450_0_1_6425,30000_90002_3_10000,30000_90003_1_5500</v>
      </c>
      <c r="H95">
        <f>[1]map.xml!H95</f>
        <v>0</v>
      </c>
      <c r="I95" t="str">
        <f>[1]map.xml!I95</f>
        <v>30000_90004_1_10000,4000450_0_1_6425,4000450_0_1_6425,4000450_0_1_6425</v>
      </c>
      <c r="J95">
        <f>[1]map.xml!J95</f>
        <v>0</v>
      </c>
      <c r="K95">
        <f>精英副本!K97</f>
        <v>100</v>
      </c>
      <c r="L95" t="str">
        <f>精英副本!L97</f>
        <v>map/map_001.png</v>
      </c>
      <c r="M95" t="str">
        <f>精英副本!M97</f>
        <v>1-3</v>
      </c>
      <c r="N95">
        <f>精英副本!N97</f>
        <v>920</v>
      </c>
      <c r="O95">
        <f>精英副本!O97</f>
        <v>120</v>
      </c>
      <c r="P95">
        <f>精英副本!P97</f>
        <v>10</v>
      </c>
      <c r="Q95">
        <f>精英副本!Q97</f>
        <v>10</v>
      </c>
      <c r="R95">
        <f>精英副本!R97</f>
        <v>0</v>
      </c>
      <c r="S95">
        <f>精英副本!S97</f>
        <v>1</v>
      </c>
      <c r="T95">
        <f>精英副本!T97</f>
        <v>46</v>
      </c>
      <c r="U95">
        <f>精英副本客户端!F39</f>
        <v>105001</v>
      </c>
    </row>
    <row r="96" spans="1:21">
      <c r="A96">
        <f>精英副本!A98</f>
        <v>105003</v>
      </c>
      <c r="B96" t="str">
        <f>精英副本!Y98</f>
        <v>力量试炼（50）</v>
      </c>
      <c r="C96">
        <f>精英副本!C98</f>
        <v>0</v>
      </c>
      <c r="D96">
        <f>精英副本!D98</f>
        <v>0</v>
      </c>
      <c r="E96" t="str">
        <f>[1]map.xml!$E96</f>
        <v>1050031_1</v>
      </c>
      <c r="F96" t="str">
        <f>[1]map.xml!F96</f>
        <v>1_10000,2_0,3_0</v>
      </c>
      <c r="G96" t="str">
        <f>[1]map.xml!G96</f>
        <v>40000_50550105_1_734,40000_50503055_1_1620,4000450_0_1_6450,4000450_0_1_6450,4000450_0_1_6450,30000_90002_3_10000,30000_90003_1_6600</v>
      </c>
      <c r="H96">
        <f>[1]map.xml!H96</f>
        <v>0</v>
      </c>
      <c r="I96" t="str">
        <f>[1]map.xml!I96</f>
        <v>30000_90004_1_10000,4000450_0_1_6450,4000450_0_1_6450,4000450_0_1_6450</v>
      </c>
      <c r="J96">
        <f>[1]map.xml!J96</f>
        <v>0</v>
      </c>
      <c r="K96">
        <f>精英副本!K98</f>
        <v>100</v>
      </c>
      <c r="L96" t="str">
        <f>精英副本!L98</f>
        <v>map/map_001.png</v>
      </c>
      <c r="M96" t="str">
        <f>精英副本!M98</f>
        <v>1-3</v>
      </c>
      <c r="N96">
        <f>精英副本!N98</f>
        <v>920</v>
      </c>
      <c r="O96">
        <f>精英副本!O98</f>
        <v>120</v>
      </c>
      <c r="P96">
        <f>精英副本!P98</f>
        <v>10</v>
      </c>
      <c r="Q96">
        <f>精英副本!Q98</f>
        <v>10</v>
      </c>
      <c r="R96">
        <f>精英副本!R98</f>
        <v>0</v>
      </c>
      <c r="S96">
        <f>精英副本!S98</f>
        <v>1</v>
      </c>
      <c r="T96">
        <f>精英副本!T98</f>
        <v>46</v>
      </c>
      <c r="U96">
        <f>精英副本客户端!F40</f>
        <v>105002</v>
      </c>
    </row>
    <row r="97" spans="1:21">
      <c r="A97">
        <f>精英副本!A99</f>
        <v>105004</v>
      </c>
      <c r="B97" t="str">
        <f>精英副本!Y99</f>
        <v>力量试炼（50）</v>
      </c>
      <c r="C97">
        <f>精英副本!C99</f>
        <v>0</v>
      </c>
      <c r="D97">
        <f>精英副本!D99</f>
        <v>0</v>
      </c>
      <c r="E97" t="str">
        <f>[1]map.xml!$E97</f>
        <v>1050041_1</v>
      </c>
      <c r="F97" t="str">
        <f>[1]map.xml!F97</f>
        <v>1_10000,2_0,3_0</v>
      </c>
      <c r="G97" t="str">
        <f>[1]map.xml!G97</f>
        <v>40000_50550075_1_727,40000_50503065_1_1610,4000450_0_1_6475,4000450_0_1_6475,4000450_0_1_6475,30000_90002_3_10000,30000_90003_1_6600</v>
      </c>
      <c r="H97">
        <f>[1]map.xml!H97</f>
        <v>0</v>
      </c>
      <c r="I97" t="str">
        <f>[1]map.xml!I97</f>
        <v>30000_90004_1_10000,4000450_0_1_6475,4000450_0_1_6475,4000450_0_1_6475</v>
      </c>
      <c r="J97">
        <f>[1]map.xml!J97</f>
        <v>0</v>
      </c>
      <c r="K97">
        <f>精英副本!K99</f>
        <v>100</v>
      </c>
      <c r="L97" t="str">
        <f>精英副本!L99</f>
        <v>map/map_001.png</v>
      </c>
      <c r="M97" t="str">
        <f>精英副本!M99</f>
        <v>1-3</v>
      </c>
      <c r="N97">
        <f>精英副本!N99</f>
        <v>920</v>
      </c>
      <c r="O97">
        <f>精英副本!O99</f>
        <v>120</v>
      </c>
      <c r="P97">
        <f>精英副本!P99</f>
        <v>10</v>
      </c>
      <c r="Q97">
        <f>精英副本!Q99</f>
        <v>10</v>
      </c>
      <c r="R97">
        <f>精英副本!R99</f>
        <v>0</v>
      </c>
      <c r="S97">
        <f>精英副本!S99</f>
        <v>1</v>
      </c>
      <c r="T97">
        <f>精英副本!T99</f>
        <v>46</v>
      </c>
      <c r="U97">
        <f>精英副本客户端!F41</f>
        <v>105003</v>
      </c>
    </row>
    <row r="98" spans="1:21">
      <c r="A98">
        <f>精英副本!A100</f>
        <v>105005</v>
      </c>
      <c r="B98" t="str">
        <f>精英副本!Y100</f>
        <v>力量试炼（50）</v>
      </c>
      <c r="C98">
        <f>精英副本!C100</f>
        <v>0</v>
      </c>
      <c r="D98">
        <f>精英副本!D100</f>
        <v>0</v>
      </c>
      <c r="E98" t="str">
        <f>[1]map.xml!$E98</f>
        <v>1050051_1</v>
      </c>
      <c r="F98" t="str">
        <f>[1]map.xml!F98</f>
        <v>1_10000,2_0,3_0</v>
      </c>
      <c r="G98" t="str">
        <f>[1]map.xml!G98</f>
        <v>40000_50550085_1_720,40000_50551066_1_1600,4000450_0_1_6500,4000450_0_1_6500,4000450_0_1_6500,30000_90002_3_10000,30000_90003_1_6600</v>
      </c>
      <c r="H98">
        <f>[1]map.xml!H98</f>
        <v>0</v>
      </c>
      <c r="I98" t="str">
        <f>[1]map.xml!I98</f>
        <v>30000_90004_1_10000,4000450_0_1_6500,4000450_0_1_6500,4000450_0_1_6500</v>
      </c>
      <c r="J98">
        <f>[1]map.xml!J98</f>
        <v>0</v>
      </c>
      <c r="K98">
        <f>精英副本!K100</f>
        <v>100</v>
      </c>
      <c r="L98" t="str">
        <f>精英副本!L100</f>
        <v>map/map_001.png</v>
      </c>
      <c r="M98" t="str">
        <f>精英副本!M100</f>
        <v>1-3</v>
      </c>
      <c r="N98">
        <f>精英副本!N100</f>
        <v>920</v>
      </c>
      <c r="O98">
        <f>精英副本!O100</f>
        <v>120</v>
      </c>
      <c r="P98">
        <f>精英副本!P100</f>
        <v>10</v>
      </c>
      <c r="Q98">
        <f>精英副本!Q100</f>
        <v>10</v>
      </c>
      <c r="R98">
        <f>精英副本!R100</f>
        <v>0</v>
      </c>
      <c r="S98">
        <f>精英副本!S100</f>
        <v>1</v>
      </c>
      <c r="T98">
        <f>精英副本!T100</f>
        <v>46</v>
      </c>
      <c r="U98">
        <f>精英副本客户端!F42</f>
        <v>105004</v>
      </c>
    </row>
    <row r="99" spans="1:21">
      <c r="A99">
        <f>精英副本!A101</f>
        <v>105006</v>
      </c>
      <c r="B99" t="str">
        <f>精英副本!Y101</f>
        <v>力量试炼（50）</v>
      </c>
      <c r="C99">
        <f>精英副本!C101</f>
        <v>0</v>
      </c>
      <c r="D99">
        <f>精英副本!D101</f>
        <v>0</v>
      </c>
      <c r="E99" t="str">
        <f>[1]map.xml!$E99</f>
        <v>1050061_1</v>
      </c>
      <c r="F99" t="str">
        <f>[1]map.xml!F99</f>
        <v>1_10000,2_0,3_0</v>
      </c>
      <c r="G99" t="str">
        <f>[1]map.xml!G99</f>
        <v>40000_50550035_1_713,40000_50500035_1_1590,4000450_0_1_6525,4000450_0_1_6525,4000450_0_1_6525,30000_90002_3_10000,30000_90003_1_7700</v>
      </c>
      <c r="H99">
        <f>[1]map.xml!H99</f>
        <v>0</v>
      </c>
      <c r="I99" t="str">
        <f>[1]map.xml!I99</f>
        <v>30000_90004_1_10000,4000450_0_1_6525,4000450_0_1_6525,4000450_0_1_6525</v>
      </c>
      <c r="J99">
        <f>[1]map.xml!J99</f>
        <v>0</v>
      </c>
      <c r="K99">
        <f>精英副本!K101</f>
        <v>100</v>
      </c>
      <c r="L99" t="str">
        <f>精英副本!L101</f>
        <v>map/map_001.png</v>
      </c>
      <c r="M99" t="str">
        <f>精英副本!M101</f>
        <v>1-3</v>
      </c>
      <c r="N99">
        <f>精英副本!N101</f>
        <v>920</v>
      </c>
      <c r="O99">
        <f>精英副本!O101</f>
        <v>120</v>
      </c>
      <c r="P99">
        <f>精英副本!P101</f>
        <v>10</v>
      </c>
      <c r="Q99">
        <f>精英副本!Q101</f>
        <v>10</v>
      </c>
      <c r="R99">
        <f>精英副本!R101</f>
        <v>0</v>
      </c>
      <c r="S99">
        <f>精英副本!S101</f>
        <v>1</v>
      </c>
      <c r="T99">
        <f>精英副本!T101</f>
        <v>46</v>
      </c>
      <c r="U99">
        <f>精英副本客户端!F43</f>
        <v>105005</v>
      </c>
    </row>
    <row r="100" spans="1:21">
      <c r="A100">
        <f>精英副本!A102</f>
        <v>105007</v>
      </c>
      <c r="B100" t="str">
        <f>精英副本!Y102</f>
        <v>力量试炼（50）</v>
      </c>
      <c r="C100">
        <f>精英副本!C102</f>
        <v>0</v>
      </c>
      <c r="D100">
        <f>精英副本!D102</f>
        <v>0</v>
      </c>
      <c r="E100" t="str">
        <f>[1]map.xml!$E100</f>
        <v>1050071_1,1050072_1</v>
      </c>
      <c r="F100" t="str">
        <f>[1]map.xml!F100</f>
        <v>1_0,2_10000,3_0</v>
      </c>
      <c r="G100" t="str">
        <f>[1]map.xml!G100</f>
        <v>40000_50550025_1_706,40000_50501065_1_1580,4000450_0_1_6550,4000450_0_1_6550,4000450_0_1_6550,30000_90002_3_10000,30000_90003_1_7700</v>
      </c>
      <c r="H100">
        <f>[1]map.xml!H100</f>
        <v>0</v>
      </c>
      <c r="I100" t="str">
        <f>[1]map.xml!I100</f>
        <v>30000_90004_1_10000,4000450_0_1_6550,4000450_0_1_6550,4000450_0_1_6550</v>
      </c>
      <c r="J100">
        <f>[1]map.xml!J100</f>
        <v>0</v>
      </c>
      <c r="K100">
        <f>精英副本!K102</f>
        <v>100</v>
      </c>
      <c r="L100" t="str">
        <f>精英副本!L102</f>
        <v>map/map_001.png</v>
      </c>
      <c r="M100" t="str">
        <f>精英副本!M102</f>
        <v>1-3</v>
      </c>
      <c r="N100">
        <f>精英副本!N102</f>
        <v>920</v>
      </c>
      <c r="O100">
        <f>精英副本!O102</f>
        <v>120</v>
      </c>
      <c r="P100">
        <f>精英副本!P102</f>
        <v>10</v>
      </c>
      <c r="Q100">
        <f>精英副本!Q102</f>
        <v>10</v>
      </c>
      <c r="R100">
        <f>精英副本!R102</f>
        <v>0</v>
      </c>
      <c r="S100">
        <f>精英副本!S102</f>
        <v>1</v>
      </c>
      <c r="T100">
        <f>精英副本!T102</f>
        <v>46</v>
      </c>
      <c r="U100">
        <f>精英副本客户端!F44</f>
        <v>105006</v>
      </c>
    </row>
    <row r="101" spans="1:21">
      <c r="A101">
        <f>精英副本!A103</f>
        <v>105008</v>
      </c>
      <c r="B101" t="str">
        <f>精英副本!Y103</f>
        <v>力量试炼（50）</v>
      </c>
      <c r="C101">
        <f>精英副本!C103</f>
        <v>0</v>
      </c>
      <c r="D101">
        <f>精英副本!D103</f>
        <v>0</v>
      </c>
      <c r="E101" t="str">
        <f>[1]map.xml!$E101</f>
        <v>1050081_1</v>
      </c>
      <c r="F101" t="str">
        <f>[1]map.xml!F101</f>
        <v>1_10000,2_0,3_0</v>
      </c>
      <c r="G101" t="str">
        <f>[1]map.xml!G101</f>
        <v>40000_50550095_1_699,40000_50500015_1_1570,4000450_0_1_6575,4000450_0_1_6575,4000450_0_1_6575,30000_90002_3_10000,30000_90003_1_7700</v>
      </c>
      <c r="H101">
        <f>[1]map.xml!H101</f>
        <v>0</v>
      </c>
      <c r="I101" t="str">
        <f>[1]map.xml!I101</f>
        <v>30000_90004_1_10000,4000450_0_1_6575,4000450_0_1_6575,4000450_0_1_6575</v>
      </c>
      <c r="J101">
        <f>[1]map.xml!J101</f>
        <v>0</v>
      </c>
      <c r="K101">
        <f>精英副本!K103</f>
        <v>100</v>
      </c>
      <c r="L101" t="str">
        <f>精英副本!L103</f>
        <v>map/map_001.png</v>
      </c>
      <c r="M101" t="str">
        <f>精英副本!M103</f>
        <v>1-3</v>
      </c>
      <c r="N101">
        <f>精英副本!N103</f>
        <v>920</v>
      </c>
      <c r="O101">
        <f>精英副本!O103</f>
        <v>120</v>
      </c>
      <c r="P101">
        <f>精英副本!P103</f>
        <v>10</v>
      </c>
      <c r="Q101">
        <f>精英副本!Q103</f>
        <v>10</v>
      </c>
      <c r="R101">
        <f>精英副本!R103</f>
        <v>0</v>
      </c>
      <c r="S101">
        <f>精英副本!S103</f>
        <v>1</v>
      </c>
      <c r="T101">
        <f>精英副本!T103</f>
        <v>46</v>
      </c>
      <c r="U101">
        <f>精英副本客户端!F45</f>
        <v>105007</v>
      </c>
    </row>
    <row r="102" spans="1:21">
      <c r="A102">
        <f>精英副本!A104</f>
        <v>105009</v>
      </c>
      <c r="B102" t="str">
        <f>精英副本!Y104</f>
        <v>力量试炼（50）</v>
      </c>
      <c r="C102">
        <f>精英副本!C104</f>
        <v>0</v>
      </c>
      <c r="D102">
        <f>精英副本!D104</f>
        <v>0</v>
      </c>
      <c r="E102" t="str">
        <f>[1]map.xml!$E102</f>
        <v>1050091_1</v>
      </c>
      <c r="F102" t="str">
        <f>[1]map.xml!F102</f>
        <v>1_10000,2_0,3_0</v>
      </c>
      <c r="G102" t="str">
        <f>[1]map.xml!G102</f>
        <v>40000_50551055_1_692,40000_50502055_1_1560,4000450_0_1_6600,4000450_0_1_6600,4000450_0_1_6600,30000_90002_3_10000,30000_90003_1_8800</v>
      </c>
      <c r="H102">
        <f>[1]map.xml!H102</f>
        <v>0</v>
      </c>
      <c r="I102" t="str">
        <f>[1]map.xml!I102</f>
        <v>30000_90004_1_10000,4000450_0_1_6600,4000450_0_1_6600,4000450_0_1_6600</v>
      </c>
      <c r="J102">
        <f>[1]map.xml!J102</f>
        <v>0</v>
      </c>
      <c r="K102">
        <f>精英副本!K104</f>
        <v>100</v>
      </c>
      <c r="L102" t="str">
        <f>精英副本!L104</f>
        <v>map/map_001.png</v>
      </c>
      <c r="M102" t="str">
        <f>精英副本!M104</f>
        <v>1-3</v>
      </c>
      <c r="N102">
        <f>精英副本!N104</f>
        <v>920</v>
      </c>
      <c r="O102">
        <f>精英副本!O104</f>
        <v>120</v>
      </c>
      <c r="P102">
        <f>精英副本!P104</f>
        <v>10</v>
      </c>
      <c r="Q102">
        <f>精英副本!Q104</f>
        <v>10</v>
      </c>
      <c r="R102">
        <f>精英副本!R104</f>
        <v>0</v>
      </c>
      <c r="S102">
        <f>精英副本!S104</f>
        <v>1</v>
      </c>
      <c r="T102">
        <f>精英副本!T104</f>
        <v>46</v>
      </c>
      <c r="U102">
        <f>精英副本客户端!F46</f>
        <v>105008</v>
      </c>
    </row>
    <row r="103" spans="1:21">
      <c r="A103">
        <f>精英副本!A105</f>
        <v>105501</v>
      </c>
      <c r="B103" t="str">
        <f>精英副本!Y105</f>
        <v>力量试炼（55）</v>
      </c>
      <c r="C103">
        <f>精英副本!C105</f>
        <v>0</v>
      </c>
      <c r="D103">
        <f>精英副本!D105</f>
        <v>0</v>
      </c>
      <c r="E103" t="str">
        <f>[1]map.xml!$E103</f>
        <v>1055011_1</v>
      </c>
      <c r="F103" t="str">
        <f>[1]map.xml!F103</f>
        <v>1_10000,2_0,3_0</v>
      </c>
      <c r="G103" t="str">
        <f>[1]map.xml!G103</f>
        <v>40000_50600025_1_685,40000_50550035_1_1550,4000455_0_1_6625,4000455_0_1_6625,4000455_0_1_6625,30000_90002_3_10000,30000_90003_1_6600</v>
      </c>
      <c r="H103">
        <f>[1]map.xml!H103</f>
        <v>0</v>
      </c>
      <c r="I103" t="str">
        <f>[1]map.xml!I103</f>
        <v>30000_90004_1_10000,4000455_0_1_6625,4000455_0_1_6625,4000455_0_1_6625</v>
      </c>
      <c r="J103">
        <f>[1]map.xml!J103</f>
        <v>0</v>
      </c>
      <c r="K103">
        <f>精英副本!K105</f>
        <v>100</v>
      </c>
      <c r="L103" t="str">
        <f>精英副本!L105</f>
        <v>map/map_001.png</v>
      </c>
      <c r="M103" t="str">
        <f>精英副本!M105</f>
        <v>1-3</v>
      </c>
      <c r="N103">
        <f>精英副本!N105</f>
        <v>920</v>
      </c>
      <c r="O103">
        <f>精英副本!O105</f>
        <v>120</v>
      </c>
      <c r="P103">
        <f>精英副本!P105</f>
        <v>10</v>
      </c>
      <c r="Q103">
        <f>精英副本!Q105</f>
        <v>10</v>
      </c>
      <c r="R103">
        <f>精英副本!R105</f>
        <v>0</v>
      </c>
      <c r="S103">
        <f>精英副本!S105</f>
        <v>1</v>
      </c>
      <c r="T103">
        <f>精英副本!T105</f>
        <v>51</v>
      </c>
      <c r="U103">
        <f>精英副本客户端!F47</f>
        <v>0</v>
      </c>
    </row>
    <row r="104" spans="1:21">
      <c r="A104">
        <f>精英副本!A106</f>
        <v>105502</v>
      </c>
      <c r="B104" t="str">
        <f>精英副本!Y106</f>
        <v>力量试炼（55）</v>
      </c>
      <c r="C104">
        <f>精英副本!C106</f>
        <v>0</v>
      </c>
      <c r="D104">
        <f>精英副本!D106</f>
        <v>0</v>
      </c>
      <c r="E104" t="str">
        <f>[1]map.xml!$E104</f>
        <v>1055021_1</v>
      </c>
      <c r="F104" t="str">
        <f>[1]map.xml!F104</f>
        <v>1_10000,2_0,3_0</v>
      </c>
      <c r="G104" t="str">
        <f>[1]map.xml!G104</f>
        <v>40000_50600105_1_678,40000_50553055_1_1540,4000455_0_1_6650,4000455_0_1_6650,4000455_0_1_6650,30000_90002_3_10000,30000_90003_1_6600</v>
      </c>
      <c r="H104">
        <f>[1]map.xml!H104</f>
        <v>0</v>
      </c>
      <c r="I104" t="str">
        <f>[1]map.xml!I104</f>
        <v>30000_90004_1_10000,4000455_0_1_6650,4000455_0_1_6650,4000455_0_1_6650</v>
      </c>
      <c r="J104">
        <f>[1]map.xml!J104</f>
        <v>0</v>
      </c>
      <c r="K104">
        <f>精英副本!K106</f>
        <v>100</v>
      </c>
      <c r="L104" t="str">
        <f>精英副本!L106</f>
        <v>map/map_001.png</v>
      </c>
      <c r="M104" t="str">
        <f>精英副本!M106</f>
        <v>1-3</v>
      </c>
      <c r="N104">
        <f>精英副本!N106</f>
        <v>920</v>
      </c>
      <c r="O104">
        <f>精英副本!O106</f>
        <v>120</v>
      </c>
      <c r="P104">
        <f>精英副本!P106</f>
        <v>10</v>
      </c>
      <c r="Q104">
        <f>精英副本!Q106</f>
        <v>10</v>
      </c>
      <c r="R104">
        <f>精英副本!R106</f>
        <v>0</v>
      </c>
      <c r="S104">
        <f>精英副本!S106</f>
        <v>1</v>
      </c>
      <c r="T104">
        <f>精英副本!T106</f>
        <v>51</v>
      </c>
      <c r="U104">
        <f>精英副本客户端!F48</f>
        <v>105501</v>
      </c>
    </row>
    <row r="105" spans="1:21">
      <c r="A105">
        <f>精英副本!A107</f>
        <v>105503</v>
      </c>
      <c r="B105" t="str">
        <f>精英副本!Y107</f>
        <v>力量试炼（55）</v>
      </c>
      <c r="C105">
        <f>精英副本!C107</f>
        <v>0</v>
      </c>
      <c r="D105">
        <f>精英副本!D107</f>
        <v>0</v>
      </c>
      <c r="E105" t="str">
        <f>[1]map.xml!$E105</f>
        <v>1055031_1</v>
      </c>
      <c r="F105" t="str">
        <f>[1]map.xml!F105</f>
        <v>1_10000,2_0,3_0</v>
      </c>
      <c r="G105" t="str">
        <f>[1]map.xml!G105</f>
        <v>40000_50600045_1_671,40000_50601065_1_1530,4000455_0_1_6675,4000455_0_1_6675,4000455_0_1_6675,30000_90002_3_10000,30000_90003_1_7700</v>
      </c>
      <c r="H105">
        <f>[1]map.xml!H105</f>
        <v>0</v>
      </c>
      <c r="I105" t="str">
        <f>[1]map.xml!I105</f>
        <v>30000_90004_1_10000,4000455_0_1_6675,4000455_0_1_6675,4000455_0_1_6675</v>
      </c>
      <c r="J105">
        <f>[1]map.xml!J105</f>
        <v>0</v>
      </c>
      <c r="K105">
        <f>精英副本!K107</f>
        <v>100</v>
      </c>
      <c r="L105" t="str">
        <f>精英副本!L107</f>
        <v>map/map_001.png</v>
      </c>
      <c r="M105" t="str">
        <f>精英副本!M107</f>
        <v>1-3</v>
      </c>
      <c r="N105">
        <f>精英副本!N107</f>
        <v>920</v>
      </c>
      <c r="O105">
        <f>精英副本!O107</f>
        <v>120</v>
      </c>
      <c r="P105">
        <f>精英副本!P107</f>
        <v>10</v>
      </c>
      <c r="Q105">
        <f>精英副本!Q107</f>
        <v>10</v>
      </c>
      <c r="R105">
        <f>精英副本!R107</f>
        <v>0</v>
      </c>
      <c r="S105">
        <f>精英副本!S107</f>
        <v>1</v>
      </c>
      <c r="T105">
        <f>精英副本!T107</f>
        <v>51</v>
      </c>
      <c r="U105">
        <f>精英副本客户端!F49</f>
        <v>105502</v>
      </c>
    </row>
    <row r="106" spans="1:21">
      <c r="A106">
        <f>精英副本!A108</f>
        <v>105504</v>
      </c>
      <c r="B106" t="str">
        <f>精英副本!Y108</f>
        <v>力量试炼（55）</v>
      </c>
      <c r="C106">
        <f>精英副本!C108</f>
        <v>0</v>
      </c>
      <c r="D106">
        <f>精英副本!D108</f>
        <v>0</v>
      </c>
      <c r="E106" t="str">
        <f>[1]map.xml!$E106</f>
        <v>1055041_1</v>
      </c>
      <c r="F106" t="str">
        <f>[1]map.xml!F106</f>
        <v>1_10000,2_0,3_0</v>
      </c>
      <c r="G106" t="str">
        <f>[1]map.xml!G106</f>
        <v>40000_50600035_1_664,40000_50553065_1_1520,4000455_0_1_6700,4000455_0_1_6700,4000455_0_1_6700,30000_90002_3_10000,30000_90003_1_7700</v>
      </c>
      <c r="H106">
        <f>[1]map.xml!H106</f>
        <v>0</v>
      </c>
      <c r="I106" t="str">
        <f>[1]map.xml!I106</f>
        <v>30000_90004_1_10000,4000455_0_1_6700,4000455_0_1_6700,4000455_0_1_6700</v>
      </c>
      <c r="J106">
        <f>[1]map.xml!J106</f>
        <v>0</v>
      </c>
      <c r="K106">
        <f>精英副本!K108</f>
        <v>100</v>
      </c>
      <c r="L106" t="str">
        <f>精英副本!L108</f>
        <v>map/map_001.png</v>
      </c>
      <c r="M106" t="str">
        <f>精英副本!M108</f>
        <v>1-3</v>
      </c>
      <c r="N106">
        <f>精英副本!N108</f>
        <v>920</v>
      </c>
      <c r="O106">
        <f>精英副本!O108</f>
        <v>120</v>
      </c>
      <c r="P106">
        <f>精英副本!P108</f>
        <v>10</v>
      </c>
      <c r="Q106">
        <f>精英副本!Q108</f>
        <v>10</v>
      </c>
      <c r="R106">
        <f>精英副本!R108</f>
        <v>0</v>
      </c>
      <c r="S106">
        <f>精英副本!S108</f>
        <v>1</v>
      </c>
      <c r="T106">
        <f>精英副本!T108</f>
        <v>51</v>
      </c>
      <c r="U106">
        <f>精英副本客户端!F50</f>
        <v>105503</v>
      </c>
    </row>
    <row r="107" spans="1:21">
      <c r="A107">
        <f>精英副本!A109</f>
        <v>105505</v>
      </c>
      <c r="B107" t="str">
        <f>精英副本!Y109</f>
        <v>力量试炼（55）</v>
      </c>
      <c r="C107">
        <f>精英副本!C109</f>
        <v>0</v>
      </c>
      <c r="D107">
        <f>精英副本!D109</f>
        <v>0</v>
      </c>
      <c r="E107" t="str">
        <f>[1]map.xml!$E107</f>
        <v>1055051_1</v>
      </c>
      <c r="F107" t="str">
        <f>[1]map.xml!F107</f>
        <v>1_10000,2_0,3_0</v>
      </c>
      <c r="G107" t="str">
        <f>[1]map.xml!G107</f>
        <v>40000_50600095_1_657,40000_50551055_1_1510,4000455_0_1_6725,4000455_0_1_6725,4000455_0_1_6725,30000_90002_3_10000,30000_90003_1_7700</v>
      </c>
      <c r="H107">
        <f>[1]map.xml!H107</f>
        <v>0</v>
      </c>
      <c r="I107" t="str">
        <f>[1]map.xml!I107</f>
        <v>30000_90004_1_10000,4000455_0_1_6725,4000455_0_1_6725,4000455_0_1_6725</v>
      </c>
      <c r="J107">
        <f>[1]map.xml!J107</f>
        <v>0</v>
      </c>
      <c r="K107">
        <f>精英副本!K109</f>
        <v>100</v>
      </c>
      <c r="L107" t="str">
        <f>精英副本!L109</f>
        <v>map/map_001.png</v>
      </c>
      <c r="M107" t="str">
        <f>精英副本!M109</f>
        <v>1-3</v>
      </c>
      <c r="N107">
        <f>精英副本!N109</f>
        <v>920</v>
      </c>
      <c r="O107">
        <f>精英副本!O109</f>
        <v>120</v>
      </c>
      <c r="P107">
        <f>精英副本!P109</f>
        <v>10</v>
      </c>
      <c r="Q107">
        <f>精英副本!Q109</f>
        <v>10</v>
      </c>
      <c r="R107">
        <f>精英副本!R109</f>
        <v>0</v>
      </c>
      <c r="S107">
        <f>精英副本!S109</f>
        <v>1</v>
      </c>
      <c r="T107">
        <f>精英副本!T109</f>
        <v>51</v>
      </c>
      <c r="U107">
        <f>精英副本客户端!F51</f>
        <v>105504</v>
      </c>
    </row>
    <row r="108" spans="1:21">
      <c r="A108">
        <f>精英副本!A110</f>
        <v>105506</v>
      </c>
      <c r="B108" t="str">
        <f>精英副本!Y110</f>
        <v>力量试炼（55）</v>
      </c>
      <c r="C108">
        <f>精英副本!C110</f>
        <v>0</v>
      </c>
      <c r="D108">
        <f>精英副本!D110</f>
        <v>0</v>
      </c>
      <c r="E108" t="str">
        <f>[1]map.xml!$E108</f>
        <v>1055061_1</v>
      </c>
      <c r="F108" t="str">
        <f>[1]map.xml!F108</f>
        <v>1_10000,2_0,3_0</v>
      </c>
      <c r="G108" t="str">
        <f>[1]map.xml!G108</f>
        <v>40000_50600075_1_650,40000_50550015_1_1500,4000455_0_1_6750,4000455_0_1_6750,4000455_0_1_6750,30000_90002_3_10000,30000_90003_1_8800</v>
      </c>
      <c r="H108">
        <f>[1]map.xml!H108</f>
        <v>0</v>
      </c>
      <c r="I108" t="str">
        <f>[1]map.xml!I108</f>
        <v>30000_90004_1_10000,4000455_0_1_6750,4000455_0_1_6750,4000455_0_1_6750</v>
      </c>
      <c r="J108">
        <f>[1]map.xml!J108</f>
        <v>0</v>
      </c>
      <c r="K108">
        <f>精英副本!K110</f>
        <v>100</v>
      </c>
      <c r="L108" t="str">
        <f>精英副本!L110</f>
        <v>map/map_001.png</v>
      </c>
      <c r="M108" t="str">
        <f>精英副本!M110</f>
        <v>1-3</v>
      </c>
      <c r="N108">
        <f>精英副本!N110</f>
        <v>920</v>
      </c>
      <c r="O108">
        <f>精英副本!O110</f>
        <v>120</v>
      </c>
      <c r="P108">
        <f>精英副本!P110</f>
        <v>10</v>
      </c>
      <c r="Q108">
        <f>精英副本!Q110</f>
        <v>10</v>
      </c>
      <c r="R108">
        <f>精英副本!R110</f>
        <v>0</v>
      </c>
      <c r="S108">
        <f>精英副本!S110</f>
        <v>1</v>
      </c>
      <c r="T108">
        <f>精英副本!T110</f>
        <v>51</v>
      </c>
      <c r="U108">
        <f>精英副本客户端!F52</f>
        <v>105505</v>
      </c>
    </row>
    <row r="109" spans="1:21">
      <c r="A109">
        <f>精英副本!A111</f>
        <v>105507</v>
      </c>
      <c r="B109" t="str">
        <f>精英副本!Y111</f>
        <v>力量试炼（55）</v>
      </c>
      <c r="C109">
        <f>精英副本!C111</f>
        <v>0</v>
      </c>
      <c r="D109">
        <f>精英副本!D111</f>
        <v>0</v>
      </c>
      <c r="E109" t="str">
        <f>[1]map.xml!$E109</f>
        <v>1055071_1,1055072_1</v>
      </c>
      <c r="F109" t="str">
        <f>[1]map.xml!F109</f>
        <v>1_0,2_10000,3_0</v>
      </c>
      <c r="G109" t="str">
        <f>[1]map.xml!G109</f>
        <v>40000_50600015_1_643,40000_50552055_1_1490,4000455_0_1_6775,4000455_0_1_6775,4000455_0_1_6775,30000_90002_3_10000,30000_90003_1_8800</v>
      </c>
      <c r="H109">
        <f>[1]map.xml!H109</f>
        <v>0</v>
      </c>
      <c r="I109" t="str">
        <f>[1]map.xml!I109</f>
        <v>30000_90004_1_10000,4000455_0_1_6775,4000455_0_1_6775,4000455_0_1_6775</v>
      </c>
      <c r="J109">
        <f>[1]map.xml!J109</f>
        <v>0</v>
      </c>
      <c r="K109">
        <f>精英副本!K111</f>
        <v>100</v>
      </c>
      <c r="L109" t="str">
        <f>精英副本!L111</f>
        <v>map/map_001.png</v>
      </c>
      <c r="M109" t="str">
        <f>精英副本!M111</f>
        <v>1-3</v>
      </c>
      <c r="N109">
        <f>精英副本!N111</f>
        <v>920</v>
      </c>
      <c r="O109">
        <f>精英副本!O111</f>
        <v>120</v>
      </c>
      <c r="P109">
        <f>精英副本!P111</f>
        <v>10</v>
      </c>
      <c r="Q109">
        <f>精英副本!Q111</f>
        <v>10</v>
      </c>
      <c r="R109">
        <f>精英副本!R111</f>
        <v>0</v>
      </c>
      <c r="S109">
        <f>精英副本!S111</f>
        <v>1</v>
      </c>
      <c r="T109">
        <f>精英副本!T111</f>
        <v>51</v>
      </c>
      <c r="U109">
        <f>精英副本客户端!F53</f>
        <v>105506</v>
      </c>
    </row>
    <row r="110" spans="1:21">
      <c r="A110">
        <f>精英副本!A112</f>
        <v>105508</v>
      </c>
      <c r="B110" t="str">
        <f>精英副本!Y112</f>
        <v>力量试炼（55）</v>
      </c>
      <c r="C110">
        <f>精英副本!C112</f>
        <v>0</v>
      </c>
      <c r="D110">
        <f>精英副本!D112</f>
        <v>0</v>
      </c>
      <c r="E110" t="str">
        <f>[1]map.xml!$E110</f>
        <v>1055081_1</v>
      </c>
      <c r="F110" t="str">
        <f>[1]map.xml!F110</f>
        <v>1_10000,2_0,3_0</v>
      </c>
      <c r="G110" t="str">
        <f>[1]map.xml!G110</f>
        <v>40000_50600085_1_636,40000_50551065_1_1480,4000455_0_1_6800,4000455_0_1_6800,4000455_0_1_6800,30000_90002_3_10000,30000_90003_1_8800</v>
      </c>
      <c r="H110">
        <f>[1]map.xml!H110</f>
        <v>0</v>
      </c>
      <c r="I110" t="str">
        <f>[1]map.xml!I110</f>
        <v>30000_90004_1_10000,4000455_0_1_6800,4000455_0_1_6800,4000455_0_1_6800</v>
      </c>
      <c r="J110">
        <f>[1]map.xml!J110</f>
        <v>0</v>
      </c>
      <c r="K110">
        <f>精英副本!K112</f>
        <v>100</v>
      </c>
      <c r="L110" t="str">
        <f>精英副本!L112</f>
        <v>map/map_001.png</v>
      </c>
      <c r="M110" t="str">
        <f>精英副本!M112</f>
        <v>1-3</v>
      </c>
      <c r="N110">
        <f>精英副本!N112</f>
        <v>920</v>
      </c>
      <c r="O110">
        <f>精英副本!O112</f>
        <v>120</v>
      </c>
      <c r="P110">
        <f>精英副本!P112</f>
        <v>10</v>
      </c>
      <c r="Q110">
        <f>精英副本!Q112</f>
        <v>10</v>
      </c>
      <c r="R110">
        <f>精英副本!R112</f>
        <v>0</v>
      </c>
      <c r="S110">
        <f>精英副本!S112</f>
        <v>1</v>
      </c>
      <c r="T110">
        <f>精英副本!T112</f>
        <v>51</v>
      </c>
      <c r="U110">
        <f>精英副本客户端!F54</f>
        <v>105507</v>
      </c>
    </row>
    <row r="111" spans="1:21">
      <c r="A111">
        <f>精英副本!A113</f>
        <v>105509</v>
      </c>
      <c r="B111" t="str">
        <f>精英副本!Y113</f>
        <v>力量试炼（55）</v>
      </c>
      <c r="C111">
        <f>精英副本!C113</f>
        <v>0</v>
      </c>
      <c r="D111">
        <f>精英副本!D113</f>
        <v>0</v>
      </c>
      <c r="E111" t="str">
        <f>[1]map.xml!$E111</f>
        <v>1055091_1</v>
      </c>
      <c r="F111" t="str">
        <f>[1]map.xml!F111</f>
        <v>1_10000,2_0,3_0</v>
      </c>
      <c r="G111" t="str">
        <f>[1]map.xml!G111</f>
        <v>40000_50601056_1_629,40000_50552065_1_1470,4000455_0_1_6825,4000455_0_1_6825,4000455_0_1_6825,30000_90002_3_10000,30000_90003_1_9900</v>
      </c>
      <c r="H111">
        <f>[1]map.xml!H111</f>
        <v>0</v>
      </c>
      <c r="I111" t="str">
        <f>[1]map.xml!I111</f>
        <v>30000_90004_1_10000,4000455_0_1_6825,4000455_0_1_6825,4000455_0_1_6825</v>
      </c>
      <c r="J111">
        <f>[1]map.xml!J111</f>
        <v>0</v>
      </c>
      <c r="K111">
        <f>精英副本!K113</f>
        <v>100</v>
      </c>
      <c r="L111" t="str">
        <f>精英副本!L113</f>
        <v>map/map_001.png</v>
      </c>
      <c r="M111" t="str">
        <f>精英副本!M113</f>
        <v>1-3</v>
      </c>
      <c r="N111">
        <f>精英副本!N113</f>
        <v>920</v>
      </c>
      <c r="O111">
        <f>精英副本!O113</f>
        <v>120</v>
      </c>
      <c r="P111">
        <f>精英副本!P113</f>
        <v>10</v>
      </c>
      <c r="Q111">
        <f>精英副本!Q113</f>
        <v>10</v>
      </c>
      <c r="R111">
        <f>精英副本!R113</f>
        <v>0</v>
      </c>
      <c r="S111">
        <f>精英副本!S113</f>
        <v>1</v>
      </c>
      <c r="T111">
        <f>精英副本!T113</f>
        <v>51</v>
      </c>
      <c r="U111">
        <f>精英副本客户端!F55</f>
        <v>105508</v>
      </c>
    </row>
    <row r="112" spans="1:21">
      <c r="A112">
        <f>精英副本!A114</f>
        <v>106001</v>
      </c>
      <c r="B112" t="str">
        <f>精英副本!Y114</f>
        <v>勇气试炼（60）</v>
      </c>
      <c r="C112">
        <f>精英副本!C114</f>
        <v>0</v>
      </c>
      <c r="D112">
        <f>精英副本!D114</f>
        <v>0</v>
      </c>
      <c r="E112" t="str">
        <f>[1]map.xml!$E112</f>
        <v>1060011_1</v>
      </c>
      <c r="F112" t="str">
        <f>[1]map.xml!F112</f>
        <v>1_10000,2_0,3_0</v>
      </c>
      <c r="G112" t="str">
        <f>[1]map.xml!G112</f>
        <v>40000_50650035_1_622,40000_50603055_1_1460,4000460_0_1_6850,4000460_0_1_6850,4000460_0_1_6850,30000_90003_1_10000,30000_90004_1_1250</v>
      </c>
      <c r="H112">
        <f>[1]map.xml!H112</f>
        <v>0</v>
      </c>
      <c r="I112" t="str">
        <f>[1]map.xml!I112</f>
        <v>30000_90005_1_10000,4000460_0_1_6850,4000460_0_1_6850,4000460_0_1_6850</v>
      </c>
      <c r="J112">
        <f>[1]map.xml!J112</f>
        <v>0</v>
      </c>
      <c r="K112">
        <f>精英副本!K114</f>
        <v>100</v>
      </c>
      <c r="L112" t="str">
        <f>精英副本!L114</f>
        <v>map/map_001.png</v>
      </c>
      <c r="M112" t="str">
        <f>精英副本!M114</f>
        <v>1-3</v>
      </c>
      <c r="N112">
        <f>精英副本!N114</f>
        <v>920</v>
      </c>
      <c r="O112">
        <f>精英副本!O114</f>
        <v>120</v>
      </c>
      <c r="P112">
        <f>精英副本!P114</f>
        <v>10</v>
      </c>
      <c r="Q112">
        <f>精英副本!Q114</f>
        <v>10</v>
      </c>
      <c r="R112">
        <f>精英副本!R114</f>
        <v>0</v>
      </c>
      <c r="S112">
        <f>精英副本!S114</f>
        <v>1</v>
      </c>
      <c r="T112">
        <f>精英副本!T114</f>
        <v>56</v>
      </c>
      <c r="U112">
        <f>精英副本客户端!F56</f>
        <v>0</v>
      </c>
    </row>
    <row r="113" spans="1:21">
      <c r="A113">
        <f>精英副本!A115</f>
        <v>106002</v>
      </c>
      <c r="B113" t="str">
        <f>精英副本!Y115</f>
        <v>勇气试炼（60）</v>
      </c>
      <c r="C113">
        <f>精英副本!C115</f>
        <v>0</v>
      </c>
      <c r="D113">
        <f>精英副本!D115</f>
        <v>0</v>
      </c>
      <c r="E113" t="str">
        <f>[1]map.xml!$E113</f>
        <v>1060021_1</v>
      </c>
      <c r="F113" t="str">
        <f>[1]map.xml!F113</f>
        <v>1_10000,2_0,3_0</v>
      </c>
      <c r="G113" t="str">
        <f>[1]map.xml!G113</f>
        <v>40000_50650025_1_615,40000_50602065_1_1450,4000460_0_1_6875,4000460_0_1_6875,4000460_0_1_6875,30000_90003_1_10000,30000_90004_1_1250</v>
      </c>
      <c r="H113">
        <f>[1]map.xml!H113</f>
        <v>0</v>
      </c>
      <c r="I113" t="str">
        <f>[1]map.xml!I113</f>
        <v>30000_90005_1_10000,4000460_0_1_6875,4000460_0_1_6875,4000460_0_1_6875</v>
      </c>
      <c r="J113">
        <f>[1]map.xml!J113</f>
        <v>0</v>
      </c>
      <c r="K113">
        <f>精英副本!K115</f>
        <v>100</v>
      </c>
      <c r="L113" t="str">
        <f>精英副本!L115</f>
        <v>map/map_001.png</v>
      </c>
      <c r="M113" t="str">
        <f>精英副本!M115</f>
        <v>1-3</v>
      </c>
      <c r="N113">
        <f>精英副本!N115</f>
        <v>920</v>
      </c>
      <c r="O113">
        <f>精英副本!O115</f>
        <v>120</v>
      </c>
      <c r="P113">
        <f>精英副本!P115</f>
        <v>10</v>
      </c>
      <c r="Q113">
        <f>精英副本!Q115</f>
        <v>10</v>
      </c>
      <c r="R113">
        <f>精英副本!R115</f>
        <v>0</v>
      </c>
      <c r="S113">
        <f>精英副本!S115</f>
        <v>1</v>
      </c>
      <c r="T113">
        <f>精英副本!T115</f>
        <v>56</v>
      </c>
      <c r="U113">
        <f>精英副本客户端!F57</f>
        <v>106001</v>
      </c>
    </row>
    <row r="114" spans="1:21">
      <c r="A114">
        <f>精英副本!A116</f>
        <v>106003</v>
      </c>
      <c r="B114" t="str">
        <f>精英副本!Y116</f>
        <v>勇气试炼（60）</v>
      </c>
      <c r="C114">
        <f>精英副本!C116</f>
        <v>0</v>
      </c>
      <c r="D114">
        <f>精英副本!D116</f>
        <v>0</v>
      </c>
      <c r="E114" t="str">
        <f>[1]map.xml!$E114</f>
        <v>1060031_1</v>
      </c>
      <c r="F114" t="str">
        <f>[1]map.xml!F114</f>
        <v>1_10000,2_0,3_0</v>
      </c>
      <c r="G114" t="str">
        <f>[1]map.xml!G114</f>
        <v>40000_50650085_1_608,40000_50601055_1_1440,4000460_0_1_6900,4000460_0_1_6900,4000460_0_1_6900,30000_90003_1_10000,30000_90004_1_2500</v>
      </c>
      <c r="H114">
        <f>[1]map.xml!H114</f>
        <v>0</v>
      </c>
      <c r="I114" t="str">
        <f>[1]map.xml!I114</f>
        <v>30000_90005_1_10000,4000460_0_1_6900,4000460_0_1_6900,4000460_0_1_6900</v>
      </c>
      <c r="J114">
        <f>[1]map.xml!J114</f>
        <v>0</v>
      </c>
      <c r="K114">
        <f>精英副本!K116</f>
        <v>100</v>
      </c>
      <c r="L114" t="str">
        <f>精英副本!L116</f>
        <v>map/map_001.png</v>
      </c>
      <c r="M114" t="str">
        <f>精英副本!M116</f>
        <v>1-3</v>
      </c>
      <c r="N114">
        <f>精英副本!N116</f>
        <v>920</v>
      </c>
      <c r="O114">
        <f>精英副本!O116</f>
        <v>120</v>
      </c>
      <c r="P114">
        <f>精英副本!P116</f>
        <v>10</v>
      </c>
      <c r="Q114">
        <f>精英副本!Q116</f>
        <v>10</v>
      </c>
      <c r="R114">
        <f>精英副本!R116</f>
        <v>0</v>
      </c>
      <c r="S114">
        <f>精英副本!S116</f>
        <v>1</v>
      </c>
      <c r="T114">
        <f>精英副本!T116</f>
        <v>56</v>
      </c>
      <c r="U114">
        <f>精英副本客户端!F58</f>
        <v>106002</v>
      </c>
    </row>
    <row r="115" spans="1:21">
      <c r="A115">
        <f>精英副本!A117</f>
        <v>106004</v>
      </c>
      <c r="B115" t="str">
        <f>精英副本!Y117</f>
        <v>勇气试炼（60）</v>
      </c>
      <c r="C115">
        <f>精英副本!C117</f>
        <v>0</v>
      </c>
      <c r="D115">
        <f>精英副本!D117</f>
        <v>0</v>
      </c>
      <c r="E115" t="str">
        <f>[1]map.xml!$E115</f>
        <v>1060041_1,1060042_1,1060043_1</v>
      </c>
      <c r="F115" t="str">
        <f>[1]map.xml!F115</f>
        <v>1_0,2_0,3_10000</v>
      </c>
      <c r="G115" t="str">
        <f>[1]map.xml!G115</f>
        <v>40000_50650105_1_601,40000_50600015_1_1430,4000460_0_1_6925,4000460_0_1_6925,4000460_0_1_6925,30000_90003_1_10000,30000_90004_1_2500</v>
      </c>
      <c r="H115">
        <f>[1]map.xml!H115</f>
        <v>0</v>
      </c>
      <c r="I115" t="str">
        <f>[1]map.xml!I115</f>
        <v>30000_90005_1_10000,4000460_0_1_6925,4000460_0_1_6925,4000460_0_1_6925</v>
      </c>
      <c r="J115">
        <f>[1]map.xml!J115</f>
        <v>0</v>
      </c>
      <c r="K115">
        <f>精英副本!K117</f>
        <v>100</v>
      </c>
      <c r="L115" t="str">
        <f>精英副本!L117</f>
        <v>map/map_001.png</v>
      </c>
      <c r="M115" t="str">
        <f>精英副本!M117</f>
        <v>1-3</v>
      </c>
      <c r="N115">
        <f>精英副本!N117</f>
        <v>920</v>
      </c>
      <c r="O115">
        <f>精英副本!O117</f>
        <v>120</v>
      </c>
      <c r="P115">
        <f>精英副本!P117</f>
        <v>10</v>
      </c>
      <c r="Q115">
        <f>精英副本!Q117</f>
        <v>10</v>
      </c>
      <c r="R115">
        <f>精英副本!R117</f>
        <v>0</v>
      </c>
      <c r="S115">
        <f>精英副本!S117</f>
        <v>1</v>
      </c>
      <c r="T115">
        <f>精英副本!T117</f>
        <v>56</v>
      </c>
      <c r="U115">
        <f>精英副本客户端!F59</f>
        <v>106003</v>
      </c>
    </row>
    <row r="116" spans="1:21">
      <c r="A116">
        <f>精英副本!A118</f>
        <v>106005</v>
      </c>
      <c r="B116" t="str">
        <f>精英副本!Y118</f>
        <v>勇气试炼（60）</v>
      </c>
      <c r="C116">
        <f>精英副本!C118</f>
        <v>0</v>
      </c>
      <c r="D116">
        <f>精英副本!D118</f>
        <v>0</v>
      </c>
      <c r="E116" t="str">
        <f>[1]map.xml!$E116</f>
        <v>1060051_1</v>
      </c>
      <c r="F116" t="str">
        <f>[1]map.xml!F116</f>
        <v>1_10000,2_0,3_0</v>
      </c>
      <c r="G116" t="str">
        <f>[1]map.xml!G116</f>
        <v>40000_50650045_1_594,40000_50602055_1_1420,4000460_0_1_6950,4000460_0_1_6950,4000460_0_1_6950,30000_90003_1_10000,30000_90004_1_2500</v>
      </c>
      <c r="H116">
        <f>[1]map.xml!H116</f>
        <v>0</v>
      </c>
      <c r="I116" t="str">
        <f>[1]map.xml!I116</f>
        <v>30000_90005_1_10000,4000460_0_1_6950,4000460_0_1_6950,4000460_0_1_6950</v>
      </c>
      <c r="J116">
        <f>[1]map.xml!J116</f>
        <v>0</v>
      </c>
      <c r="K116">
        <f>精英副本!K118</f>
        <v>100</v>
      </c>
      <c r="L116" t="str">
        <f>精英副本!L118</f>
        <v>map/map_001.png</v>
      </c>
      <c r="M116" t="str">
        <f>精英副本!M118</f>
        <v>1-3</v>
      </c>
      <c r="N116">
        <f>精英副本!N118</f>
        <v>920</v>
      </c>
      <c r="O116">
        <f>精英副本!O118</f>
        <v>120</v>
      </c>
      <c r="P116">
        <f>精英副本!P118</f>
        <v>10</v>
      </c>
      <c r="Q116">
        <f>精英副本!Q118</f>
        <v>10</v>
      </c>
      <c r="R116">
        <f>精英副本!R118</f>
        <v>0</v>
      </c>
      <c r="S116">
        <f>精英副本!S118</f>
        <v>1</v>
      </c>
      <c r="T116">
        <f>精英副本!T118</f>
        <v>56</v>
      </c>
      <c r="U116">
        <f>精英副本客户端!F60</f>
        <v>106004</v>
      </c>
    </row>
    <row r="117" spans="1:21">
      <c r="A117">
        <f>精英副本!A119</f>
        <v>106006</v>
      </c>
      <c r="B117" t="str">
        <f>精英副本!Y119</f>
        <v>勇气试炼（60）</v>
      </c>
      <c r="C117">
        <f>精英副本!C119</f>
        <v>0</v>
      </c>
      <c r="D117">
        <f>精英副本!D119</f>
        <v>0</v>
      </c>
      <c r="E117" t="str">
        <f>[1]map.xml!$E117</f>
        <v>1060061_1</v>
      </c>
      <c r="F117" t="str">
        <f>[1]map.xml!F117</f>
        <v>1_10000,2_0,3_0</v>
      </c>
      <c r="G117" t="str">
        <f>[1]map.xml!G117</f>
        <v>40000_50650095_1_587,40000_50601065_1_1410,4000460_0_1_6975,4000460_0_1_6975,4000460_0_1_6975,30000_90003_1_10000,30000_90004_1_3750</v>
      </c>
      <c r="H117">
        <f>[1]map.xml!H117</f>
        <v>0</v>
      </c>
      <c r="I117" t="str">
        <f>[1]map.xml!I117</f>
        <v>30000_90005_1_10000,4000460_0_1_6975,4000460_0_1_6975,4000460_0_1_6975</v>
      </c>
      <c r="J117">
        <f>[1]map.xml!J117</f>
        <v>0</v>
      </c>
      <c r="K117">
        <f>精英副本!K119</f>
        <v>100</v>
      </c>
      <c r="L117" t="str">
        <f>精英副本!L119</f>
        <v>map/map_001.png</v>
      </c>
      <c r="M117" t="str">
        <f>精英副本!M119</f>
        <v>1-3</v>
      </c>
      <c r="N117">
        <f>精英副本!N119</f>
        <v>920</v>
      </c>
      <c r="O117">
        <f>精英副本!O119</f>
        <v>120</v>
      </c>
      <c r="P117">
        <f>精英副本!P119</f>
        <v>10</v>
      </c>
      <c r="Q117">
        <f>精英副本!Q119</f>
        <v>10</v>
      </c>
      <c r="R117">
        <f>精英副本!R119</f>
        <v>0</v>
      </c>
      <c r="S117">
        <f>精英副本!S119</f>
        <v>1</v>
      </c>
      <c r="T117">
        <f>精英副本!T119</f>
        <v>56</v>
      </c>
      <c r="U117">
        <f>精英副本客户端!F61</f>
        <v>106005</v>
      </c>
    </row>
    <row r="118" spans="1:21">
      <c r="A118">
        <f>精英副本!A120</f>
        <v>106007</v>
      </c>
      <c r="B118" t="str">
        <f>精英副本!Y120</f>
        <v>勇气试炼（60）</v>
      </c>
      <c r="C118">
        <f>精英副本!C120</f>
        <v>0</v>
      </c>
      <c r="D118">
        <f>精英副本!D120</f>
        <v>0</v>
      </c>
      <c r="E118" t="str">
        <f>[1]map.xml!$E118</f>
        <v>1060071_1</v>
      </c>
      <c r="F118" t="str">
        <f>[1]map.xml!F118</f>
        <v>1_10000,2_0,3_0</v>
      </c>
      <c r="G118" t="str">
        <f>[1]map.xml!G118</f>
        <v>40000_50650015_1_580,40000_50603065_1_1400,4000460_0_1_7000,4000460_0_1_7000,4000460_0_1_7000,30000_90003_1_10000,30000_90004_1_3750</v>
      </c>
      <c r="H118">
        <f>[1]map.xml!H118</f>
        <v>0</v>
      </c>
      <c r="I118" t="str">
        <f>[1]map.xml!I118</f>
        <v>30000_90005_1_10000,4000460_0_1_7000,4000460_0_1_7000,4000460_0_1_7000</v>
      </c>
      <c r="J118">
        <f>[1]map.xml!J118</f>
        <v>0</v>
      </c>
      <c r="K118">
        <f>精英副本!K120</f>
        <v>100</v>
      </c>
      <c r="L118" t="str">
        <f>精英副本!L120</f>
        <v>map/map_001.png</v>
      </c>
      <c r="M118" t="str">
        <f>精英副本!M120</f>
        <v>1-3</v>
      </c>
      <c r="N118">
        <f>精英副本!N120</f>
        <v>920</v>
      </c>
      <c r="O118">
        <f>精英副本!O120</f>
        <v>120</v>
      </c>
      <c r="P118">
        <f>精英副本!P120</f>
        <v>10</v>
      </c>
      <c r="Q118">
        <f>精英副本!Q120</f>
        <v>10</v>
      </c>
      <c r="R118">
        <f>精英副本!R120</f>
        <v>0</v>
      </c>
      <c r="S118">
        <f>精英副本!S120</f>
        <v>1</v>
      </c>
      <c r="T118">
        <f>精英副本!T120</f>
        <v>56</v>
      </c>
      <c r="U118">
        <f>精英副本客户端!F62</f>
        <v>106006</v>
      </c>
    </row>
    <row r="119" spans="1:21">
      <c r="A119">
        <f>精英副本!A121</f>
        <v>106008</v>
      </c>
      <c r="B119" t="str">
        <f>精英副本!Y121</f>
        <v>勇气试炼（60）</v>
      </c>
      <c r="C119">
        <f>精英副本!C121</f>
        <v>0</v>
      </c>
      <c r="D119">
        <f>精英副本!D121</f>
        <v>0</v>
      </c>
      <c r="E119" t="str">
        <f>[1]map.xml!$E119</f>
        <v>1060081_1</v>
      </c>
      <c r="F119" t="str">
        <f>[1]map.xml!F119</f>
        <v>1_10000,2_0,3_0</v>
      </c>
      <c r="G119" t="str">
        <f>[1]map.xml!G119</f>
        <v>40000_50650075_1_573,40000_50651065_1_1390,4000460_0_1_7025,4000460_0_1_7025,4000460_0_1_7025,30000_90003_1_10000,30000_90004_1_3750</v>
      </c>
      <c r="H119">
        <f>[1]map.xml!H119</f>
        <v>0</v>
      </c>
      <c r="I119" t="str">
        <f>[1]map.xml!I119</f>
        <v>30000_90005_1_10000,4000460_0_1_7025,4000460_0_1_7025,4000460_0_1_7025</v>
      </c>
      <c r="J119">
        <f>[1]map.xml!J119</f>
        <v>0</v>
      </c>
      <c r="K119">
        <f>精英副本!K121</f>
        <v>100</v>
      </c>
      <c r="L119" t="str">
        <f>精英副本!L121</f>
        <v>map/map_001.png</v>
      </c>
      <c r="M119" t="str">
        <f>精英副本!M121</f>
        <v>1-3</v>
      </c>
      <c r="N119">
        <f>精英副本!N121</f>
        <v>920</v>
      </c>
      <c r="O119">
        <f>精英副本!O121</f>
        <v>120</v>
      </c>
      <c r="P119">
        <f>精英副本!P121</f>
        <v>10</v>
      </c>
      <c r="Q119">
        <f>精英副本!Q121</f>
        <v>10</v>
      </c>
      <c r="R119">
        <f>精英副本!R121</f>
        <v>0</v>
      </c>
      <c r="S119">
        <f>精英副本!S121</f>
        <v>1</v>
      </c>
      <c r="T119">
        <f>精英副本!T121</f>
        <v>56</v>
      </c>
      <c r="U119">
        <f>精英副本客户端!F63</f>
        <v>106007</v>
      </c>
    </row>
    <row r="120" spans="1:21">
      <c r="A120">
        <f>精英副本!A122</f>
        <v>106009</v>
      </c>
      <c r="B120" t="str">
        <f>精英副本!Y122</f>
        <v>勇气试炼（60）</v>
      </c>
      <c r="C120">
        <f>精英副本!C122</f>
        <v>0</v>
      </c>
      <c r="D120">
        <f>精英副本!D122</f>
        <v>0</v>
      </c>
      <c r="E120" t="str">
        <f>[1]map.xml!$E120</f>
        <v>1060091_1</v>
      </c>
      <c r="F120" t="str">
        <f>[1]map.xml!F120</f>
        <v>1_10000,2_0,3_0</v>
      </c>
      <c r="G120" t="str">
        <f>[1]map.xml!G120</f>
        <v>40000_50651055_1_566,40000_50600035_1_1380,4000460_0_1_7050,4000460_0_1_7050,4000460_0_1_7050,30000_90003_1_10000,30000_90004_1_5000</v>
      </c>
      <c r="H120">
        <f>[1]map.xml!H120</f>
        <v>0</v>
      </c>
      <c r="I120" t="str">
        <f>[1]map.xml!I120</f>
        <v>30000_90005_1_10000,4000460_0_1_7050,4000460_0_1_7050,4000460_0_1_7050</v>
      </c>
      <c r="J120">
        <f>[1]map.xml!J120</f>
        <v>0</v>
      </c>
      <c r="K120">
        <f>精英副本!K122</f>
        <v>100</v>
      </c>
      <c r="L120" t="str">
        <f>精英副本!L122</f>
        <v>map/map_001.png</v>
      </c>
      <c r="M120" t="str">
        <f>精英副本!M122</f>
        <v>1-3</v>
      </c>
      <c r="N120">
        <f>精英副本!N122</f>
        <v>920</v>
      </c>
      <c r="O120">
        <f>精英副本!O122</f>
        <v>120</v>
      </c>
      <c r="P120">
        <f>精英副本!P122</f>
        <v>10</v>
      </c>
      <c r="Q120">
        <f>精英副本!Q122</f>
        <v>10</v>
      </c>
      <c r="R120">
        <f>精英副本!R122</f>
        <v>0</v>
      </c>
      <c r="S120">
        <f>精英副本!S122</f>
        <v>1</v>
      </c>
      <c r="T120">
        <f>精英副本!T122</f>
        <v>56</v>
      </c>
      <c r="U120">
        <f>精英副本客户端!F64</f>
        <v>106008</v>
      </c>
    </row>
    <row r="121" spans="1:21">
      <c r="A121">
        <f>精英副本!A123</f>
        <v>106501</v>
      </c>
      <c r="B121" t="str">
        <f>精英副本!Y123</f>
        <v>勇气试炼（65）</v>
      </c>
      <c r="C121">
        <f>精英副本!C123</f>
        <v>0</v>
      </c>
      <c r="D121">
        <f>精英副本!D123</f>
        <v>0</v>
      </c>
      <c r="E121" t="str">
        <f>[1]map.xml!$E121</f>
        <v>1065011_1</v>
      </c>
      <c r="F121" t="str">
        <f>[1]map.xml!F121</f>
        <v>1_10000,2_0,3_0</v>
      </c>
      <c r="G121" t="str">
        <f>[1]map.xml!G121</f>
        <v>40000_50700105_1_559,40000_50650015_1_1370,4000465_0_1_7075,4000465_0_1_7075,4000465_0_1_7075,30000_90003_1_10000,30000_90004_1_2500</v>
      </c>
      <c r="H121">
        <f>[1]map.xml!H121</f>
        <v>0</v>
      </c>
      <c r="I121" t="str">
        <f>[1]map.xml!I121</f>
        <v>30000_90005_1_10000,4000465_0_1_7075,4000465_0_1_7075,4000465_0_1_7075</v>
      </c>
      <c r="J121">
        <f>[1]map.xml!J121</f>
        <v>0</v>
      </c>
      <c r="K121">
        <f>精英副本!K123</f>
        <v>100</v>
      </c>
      <c r="L121" t="str">
        <f>精英副本!L123</f>
        <v>map/map_001.png</v>
      </c>
      <c r="M121" t="str">
        <f>精英副本!M123</f>
        <v>1-3</v>
      </c>
      <c r="N121">
        <f>精英副本!N123</f>
        <v>920</v>
      </c>
      <c r="O121">
        <f>精英副本!O123</f>
        <v>120</v>
      </c>
      <c r="P121">
        <f>精英副本!P123</f>
        <v>10</v>
      </c>
      <c r="Q121">
        <f>精英副本!Q123</f>
        <v>10</v>
      </c>
      <c r="R121">
        <f>精英副本!R123</f>
        <v>0</v>
      </c>
      <c r="S121">
        <f>精英副本!S123</f>
        <v>1</v>
      </c>
      <c r="T121">
        <f>精英副本!T123</f>
        <v>61</v>
      </c>
      <c r="U121">
        <f>精英副本客户端!F65</f>
        <v>0</v>
      </c>
    </row>
    <row r="122" spans="1:21">
      <c r="A122">
        <f>精英副本!A124</f>
        <v>106502</v>
      </c>
      <c r="B122" t="str">
        <f>精英副本!Y124</f>
        <v>勇气试炼（65）</v>
      </c>
      <c r="C122">
        <f>精英副本!C124</f>
        <v>0</v>
      </c>
      <c r="D122">
        <f>精英副本!D124</f>
        <v>0</v>
      </c>
      <c r="E122" t="str">
        <f>[1]map.xml!$E122</f>
        <v>1065021_1</v>
      </c>
      <c r="F122" t="str">
        <f>[1]map.xml!F122</f>
        <v>1_10000,2_0,3_0</v>
      </c>
      <c r="G122" t="str">
        <f>[1]map.xml!G122</f>
        <v>40000_50700095_1_552,40000_50651065_1_1360,4000465_0_1_7100,4000465_0_1_7100,4000465_0_1_7100,30000_90003_1_10000,30000_90004_1_2500</v>
      </c>
      <c r="H122">
        <f>[1]map.xml!H122</f>
        <v>0</v>
      </c>
      <c r="I122" t="str">
        <f>[1]map.xml!I122</f>
        <v>30000_90005_1_10000,4000465_0_1_7100,4000465_0_1_7100,4000465_0_1_7100</v>
      </c>
      <c r="J122">
        <f>[1]map.xml!J122</f>
        <v>0</v>
      </c>
      <c r="K122">
        <f>精英副本!K124</f>
        <v>100</v>
      </c>
      <c r="L122" t="str">
        <f>精英副本!L124</f>
        <v>map/map_001.png</v>
      </c>
      <c r="M122" t="str">
        <f>精英副本!M124</f>
        <v>1-3</v>
      </c>
      <c r="N122">
        <f>精英副本!N124</f>
        <v>920</v>
      </c>
      <c r="O122">
        <f>精英副本!O124</f>
        <v>120</v>
      </c>
      <c r="P122">
        <f>精英副本!P124</f>
        <v>10</v>
      </c>
      <c r="Q122">
        <f>精英副本!Q124</f>
        <v>10</v>
      </c>
      <c r="R122">
        <f>精英副本!R124</f>
        <v>0</v>
      </c>
      <c r="S122">
        <f>精英副本!S124</f>
        <v>1</v>
      </c>
      <c r="T122">
        <f>精英副本!T124</f>
        <v>61</v>
      </c>
      <c r="U122">
        <f>精英副本客户端!F66</f>
        <v>106501</v>
      </c>
    </row>
    <row r="123" spans="1:21">
      <c r="A123">
        <f>精英副本!A125</f>
        <v>106503</v>
      </c>
      <c r="B123" t="str">
        <f>精英副本!Y125</f>
        <v>勇气试炼（65）</v>
      </c>
      <c r="C123">
        <f>精英副本!C125</f>
        <v>0</v>
      </c>
      <c r="D123">
        <f>精英副本!D125</f>
        <v>0</v>
      </c>
      <c r="E123" t="str">
        <f>[1]map.xml!$E123</f>
        <v>1065031_1</v>
      </c>
      <c r="F123" t="str">
        <f>[1]map.xml!F123</f>
        <v>1_10000,2_0,3_0</v>
      </c>
      <c r="G123" t="str">
        <f>[1]map.xml!G123</f>
        <v>40000_50700075_1_545,40000_50701065_1_1350,4000465_0_1_7125,4000465_0_1_7125,4000465_0_1_7125,30000_90003_1_10000,30000_90004_1_3750</v>
      </c>
      <c r="H123">
        <f>[1]map.xml!H123</f>
        <v>0</v>
      </c>
      <c r="I123" t="str">
        <f>[1]map.xml!I123</f>
        <v>30000_90005_1_10000,4000465_0_1_7125,4000465_0_1_7125,4000465_0_1_7125</v>
      </c>
      <c r="J123">
        <f>[1]map.xml!J123</f>
        <v>0</v>
      </c>
      <c r="K123">
        <f>精英副本!K125</f>
        <v>100</v>
      </c>
      <c r="L123" t="str">
        <f>精英副本!L125</f>
        <v>map/map_001.png</v>
      </c>
      <c r="M123" t="str">
        <f>精英副本!M125</f>
        <v>1-3</v>
      </c>
      <c r="N123">
        <f>精英副本!N125</f>
        <v>920</v>
      </c>
      <c r="O123">
        <f>精英副本!O125</f>
        <v>120</v>
      </c>
      <c r="P123">
        <f>精英副本!P125</f>
        <v>10</v>
      </c>
      <c r="Q123">
        <f>精英副本!Q125</f>
        <v>10</v>
      </c>
      <c r="R123">
        <f>精英副本!R125</f>
        <v>0</v>
      </c>
      <c r="S123">
        <f>精英副本!S125</f>
        <v>1</v>
      </c>
      <c r="T123">
        <f>精英副本!T125</f>
        <v>61</v>
      </c>
      <c r="U123">
        <f>精英副本客户端!F67</f>
        <v>106502</v>
      </c>
    </row>
    <row r="124" spans="1:21">
      <c r="A124">
        <f>精英副本!A126</f>
        <v>106504</v>
      </c>
      <c r="B124" t="str">
        <f>精英副本!Y126</f>
        <v>勇气试炼（65）</v>
      </c>
      <c r="C124">
        <f>精英副本!C126</f>
        <v>0</v>
      </c>
      <c r="D124">
        <f>精英副本!D126</f>
        <v>0</v>
      </c>
      <c r="E124" t="str">
        <f>[1]map.xml!$E124</f>
        <v>1065041_1,1065042_1,1065043_1</v>
      </c>
      <c r="F124" t="str">
        <f>[1]map.xml!F124</f>
        <v>1_0,2_0,3_10000</v>
      </c>
      <c r="G124" t="str">
        <f>[1]map.xml!G124</f>
        <v>40000_50700085_1_538,40000_50653065_1_1340,4000465_0_1_7150,4000465_0_1_7150,4000465_0_1_7150,30000_90003_1_10000,30000_90004_1_3750</v>
      </c>
      <c r="H124">
        <f>[1]map.xml!H124</f>
        <v>0</v>
      </c>
      <c r="I124" t="str">
        <f>[1]map.xml!I124</f>
        <v>30000_90005_1_10000,4000465_0_1_7150,4000465_0_1_7150,4000465_0_1_7150</v>
      </c>
      <c r="J124">
        <f>[1]map.xml!J124</f>
        <v>0</v>
      </c>
      <c r="K124">
        <f>精英副本!K126</f>
        <v>100</v>
      </c>
      <c r="L124" t="str">
        <f>精英副本!L126</f>
        <v>map/map_001.png</v>
      </c>
      <c r="M124" t="str">
        <f>精英副本!M126</f>
        <v>1-3</v>
      </c>
      <c r="N124">
        <f>精英副本!N126</f>
        <v>920</v>
      </c>
      <c r="O124">
        <f>精英副本!O126</f>
        <v>120</v>
      </c>
      <c r="P124">
        <f>精英副本!P126</f>
        <v>10</v>
      </c>
      <c r="Q124">
        <f>精英副本!Q126</f>
        <v>10</v>
      </c>
      <c r="R124">
        <f>精英副本!R126</f>
        <v>0</v>
      </c>
      <c r="S124">
        <f>精英副本!S126</f>
        <v>1</v>
      </c>
      <c r="T124">
        <f>精英副本!T126</f>
        <v>61</v>
      </c>
      <c r="U124">
        <f>精英副本客户端!F68</f>
        <v>106503</v>
      </c>
    </row>
    <row r="125" spans="1:21">
      <c r="A125">
        <f>精英副本!A127</f>
        <v>106505</v>
      </c>
      <c r="B125" t="str">
        <f>精英副本!Y127</f>
        <v>勇气试炼（65）</v>
      </c>
      <c r="C125">
        <f>精英副本!C127</f>
        <v>0</v>
      </c>
      <c r="D125">
        <f>精英副本!D127</f>
        <v>0</v>
      </c>
      <c r="E125" t="str">
        <f>[1]map.xml!$E125</f>
        <v>1065051_1</v>
      </c>
      <c r="F125" t="str">
        <f>[1]map.xml!F125</f>
        <v>1_10000,2_0,3_0</v>
      </c>
      <c r="G125" t="str">
        <f>[1]map.xml!G125</f>
        <v>40000_50700045_1_531,40000_50653055_1_1330,4000465_0_1_7175,4000465_0_1_7175,4000465_0_1_7175,30000_90003_1_10000,30000_90004_1_3750</v>
      </c>
      <c r="H125">
        <f>[1]map.xml!H125</f>
        <v>0</v>
      </c>
      <c r="I125" t="str">
        <f>[1]map.xml!I125</f>
        <v>30000_90005_1_10000,4000465_0_1_7175,4000465_0_1_7175,4000465_0_1_7175</v>
      </c>
      <c r="J125">
        <f>[1]map.xml!J125</f>
        <v>0</v>
      </c>
      <c r="K125">
        <f>精英副本!K127</f>
        <v>100</v>
      </c>
      <c r="L125" t="str">
        <f>精英副本!L127</f>
        <v>map/map_001.png</v>
      </c>
      <c r="M125" t="str">
        <f>精英副本!M127</f>
        <v>1-3</v>
      </c>
      <c r="N125">
        <f>精英副本!N127</f>
        <v>920</v>
      </c>
      <c r="O125">
        <f>精英副本!O127</f>
        <v>120</v>
      </c>
      <c r="P125">
        <f>精英副本!P127</f>
        <v>10</v>
      </c>
      <c r="Q125">
        <f>精英副本!Q127</f>
        <v>10</v>
      </c>
      <c r="R125">
        <f>精英副本!R127</f>
        <v>0</v>
      </c>
      <c r="S125">
        <f>精英副本!S127</f>
        <v>1</v>
      </c>
      <c r="T125">
        <f>精英副本!T127</f>
        <v>61</v>
      </c>
      <c r="U125">
        <f>精英副本客户端!F69</f>
        <v>106504</v>
      </c>
    </row>
    <row r="126" spans="1:21">
      <c r="A126">
        <f>精英副本!A128</f>
        <v>106506</v>
      </c>
      <c r="B126" t="str">
        <f>精英副本!Y128</f>
        <v>勇气试炼（65）</v>
      </c>
      <c r="C126">
        <f>精英副本!C128</f>
        <v>0</v>
      </c>
      <c r="D126">
        <f>精英副本!D128</f>
        <v>0</v>
      </c>
      <c r="E126" t="str">
        <f>[1]map.xml!$E126</f>
        <v>1065061_1</v>
      </c>
      <c r="F126" t="str">
        <f>[1]map.xml!F126</f>
        <v>1_10000,2_0,3_0</v>
      </c>
      <c r="G126" t="str">
        <f>[1]map.xml!G126</f>
        <v>40000_50700015_1_524,40000_50652065_1_1320,4000465_0_1_7200,4000465_0_1_7200,4000465_0_1_7200,30000_90003_1_10000,30000_90004_1_5000</v>
      </c>
      <c r="H126">
        <f>[1]map.xml!H126</f>
        <v>0</v>
      </c>
      <c r="I126" t="str">
        <f>[1]map.xml!I126</f>
        <v>30000_90005_1_10000,4000465_0_1_7200,4000465_0_1_7200,4000465_0_1_7200</v>
      </c>
      <c r="J126">
        <f>[1]map.xml!J126</f>
        <v>0</v>
      </c>
      <c r="K126">
        <f>精英副本!K128</f>
        <v>100</v>
      </c>
      <c r="L126" t="str">
        <f>精英副本!L128</f>
        <v>map/map_001.png</v>
      </c>
      <c r="M126" t="str">
        <f>精英副本!M128</f>
        <v>1-3</v>
      </c>
      <c r="N126">
        <f>精英副本!N128</f>
        <v>920</v>
      </c>
      <c r="O126">
        <f>精英副本!O128</f>
        <v>120</v>
      </c>
      <c r="P126">
        <f>精英副本!P128</f>
        <v>10</v>
      </c>
      <c r="Q126">
        <f>精英副本!Q128</f>
        <v>10</v>
      </c>
      <c r="R126">
        <f>精英副本!R128</f>
        <v>0</v>
      </c>
      <c r="S126">
        <f>精英副本!S128</f>
        <v>1</v>
      </c>
      <c r="T126">
        <f>精英副本!T128</f>
        <v>61</v>
      </c>
      <c r="U126">
        <f>精英副本客户端!F70</f>
        <v>106505</v>
      </c>
    </row>
    <row r="127" spans="1:21">
      <c r="A127">
        <f>精英副本!A129</f>
        <v>106507</v>
      </c>
      <c r="B127" t="str">
        <f>精英副本!Y129</f>
        <v>勇气试炼（65）</v>
      </c>
      <c r="C127">
        <f>精英副本!C129</f>
        <v>0</v>
      </c>
      <c r="D127">
        <f>精英副本!D129</f>
        <v>0</v>
      </c>
      <c r="E127" t="str">
        <f>[1]map.xml!$E127</f>
        <v>1065071_1</v>
      </c>
      <c r="F127" t="str">
        <f>[1]map.xml!F127</f>
        <v>1_10000,2_0,3_0</v>
      </c>
      <c r="G127" t="str">
        <f>[1]map.xml!G127</f>
        <v>40000_50700025_1_517,40000_50652055_1_1310,4000465_0_1_7225,4000465_0_1_7225,4000465_0_1_7225,30000_90003_1_10000,30000_90004_1_5000</v>
      </c>
      <c r="H127">
        <f>[1]map.xml!H127</f>
        <v>0</v>
      </c>
      <c r="I127" t="str">
        <f>[1]map.xml!I127</f>
        <v>30000_90005_1_10000,4000465_0_1_7225,4000465_0_1_7225,4000465_0_1_7225</v>
      </c>
      <c r="J127">
        <f>[1]map.xml!J127</f>
        <v>0</v>
      </c>
      <c r="K127">
        <f>精英副本!K129</f>
        <v>100</v>
      </c>
      <c r="L127" t="str">
        <f>精英副本!L129</f>
        <v>map/map_001.png</v>
      </c>
      <c r="M127" t="str">
        <f>精英副本!M129</f>
        <v>1-3</v>
      </c>
      <c r="N127">
        <f>精英副本!N129</f>
        <v>920</v>
      </c>
      <c r="O127">
        <f>精英副本!O129</f>
        <v>120</v>
      </c>
      <c r="P127">
        <f>精英副本!P129</f>
        <v>10</v>
      </c>
      <c r="Q127">
        <f>精英副本!Q129</f>
        <v>10</v>
      </c>
      <c r="R127">
        <f>精英副本!R129</f>
        <v>0</v>
      </c>
      <c r="S127">
        <f>精英副本!S129</f>
        <v>1</v>
      </c>
      <c r="T127">
        <f>精英副本!T129</f>
        <v>61</v>
      </c>
      <c r="U127">
        <f>精英副本客户端!F71</f>
        <v>106506</v>
      </c>
    </row>
    <row r="128" spans="1:21">
      <c r="A128">
        <f>精英副本!A130</f>
        <v>106508</v>
      </c>
      <c r="B128" t="str">
        <f>精英副本!Y130</f>
        <v>勇气试炼（65）</v>
      </c>
      <c r="C128">
        <f>精英副本!C130</f>
        <v>0</v>
      </c>
      <c r="D128">
        <f>精英副本!D130</f>
        <v>0</v>
      </c>
      <c r="E128" t="str">
        <f>[1]map.xml!$E128</f>
        <v>1065081_1</v>
      </c>
      <c r="F128" t="str">
        <f>[1]map.xml!F128</f>
        <v>1_10000,2_0,3_0</v>
      </c>
      <c r="G128" t="str">
        <f>[1]map.xml!G128</f>
        <v>40000_50700035_1_510,40000_50650035_1_1300,4000465_0_1_7250,4000465_0_1_7250,4000465_0_1_7250,30000_90003_1_10000,30000_90004_1_5000</v>
      </c>
      <c r="H128">
        <f>[1]map.xml!H128</f>
        <v>0</v>
      </c>
      <c r="I128" t="str">
        <f>[1]map.xml!I128</f>
        <v>30000_90005_1_10000,4000465_0_1_7250,4000465_0_1_7250,4000465_0_1_7250</v>
      </c>
      <c r="J128">
        <f>[1]map.xml!J128</f>
        <v>0</v>
      </c>
      <c r="K128">
        <f>精英副本!K130</f>
        <v>100</v>
      </c>
      <c r="L128" t="str">
        <f>精英副本!L130</f>
        <v>map/map_001.png</v>
      </c>
      <c r="M128" t="str">
        <f>精英副本!M130</f>
        <v>1-3</v>
      </c>
      <c r="N128">
        <f>精英副本!N130</f>
        <v>920</v>
      </c>
      <c r="O128">
        <f>精英副本!O130</f>
        <v>120</v>
      </c>
      <c r="P128">
        <f>精英副本!P130</f>
        <v>10</v>
      </c>
      <c r="Q128">
        <f>精英副本!Q130</f>
        <v>10</v>
      </c>
      <c r="R128">
        <f>精英副本!R130</f>
        <v>0</v>
      </c>
      <c r="S128">
        <f>精英副本!S130</f>
        <v>1</v>
      </c>
      <c r="T128">
        <f>精英副本!T130</f>
        <v>61</v>
      </c>
      <c r="U128">
        <f>精英副本客户端!F72</f>
        <v>106507</v>
      </c>
    </row>
    <row r="129" spans="1:21">
      <c r="A129">
        <f>精英副本!A131</f>
        <v>106509</v>
      </c>
      <c r="B129" t="str">
        <f>精英副本!Y131</f>
        <v>勇气试炼（65）</v>
      </c>
      <c r="C129">
        <f>精英副本!C131</f>
        <v>0</v>
      </c>
      <c r="D129">
        <f>精英副本!D131</f>
        <v>0</v>
      </c>
      <c r="E129" t="str">
        <f>[1]map.xml!$E129</f>
        <v>1065091_1</v>
      </c>
      <c r="F129" t="str">
        <f>[1]map.xml!F129</f>
        <v>1_10000,2_0,3_0</v>
      </c>
      <c r="G129" t="str">
        <f>[1]map.xml!G129</f>
        <v>40000_50701055_1_503,40000_50651055_1_1290,4000465_0_1_7275,4000465_0_1_7275,4000465_0_1_7275,30000_90003_1_10000,30000_90004_1_6250</v>
      </c>
      <c r="H129">
        <f>[1]map.xml!H129</f>
        <v>0</v>
      </c>
      <c r="I129" t="str">
        <f>[1]map.xml!I129</f>
        <v>30000_90005_1_10000,4000465_0_1_7275,4000465_0_1_7275,4000465_0_1_7275</v>
      </c>
      <c r="J129">
        <f>[1]map.xml!J129</f>
        <v>0</v>
      </c>
      <c r="K129">
        <f>精英副本!K131</f>
        <v>100</v>
      </c>
      <c r="L129" t="str">
        <f>精英副本!L131</f>
        <v>map/map_001.png</v>
      </c>
      <c r="M129" t="str">
        <f>精英副本!M131</f>
        <v>1-3</v>
      </c>
      <c r="N129">
        <f>精英副本!N131</f>
        <v>920</v>
      </c>
      <c r="O129">
        <f>精英副本!O131</f>
        <v>120</v>
      </c>
      <c r="P129">
        <f>精英副本!P131</f>
        <v>10</v>
      </c>
      <c r="Q129">
        <f>精英副本!Q131</f>
        <v>10</v>
      </c>
      <c r="R129">
        <f>精英副本!R131</f>
        <v>0</v>
      </c>
      <c r="S129">
        <f>精英副本!S131</f>
        <v>1</v>
      </c>
      <c r="T129">
        <f>精英副本!T131</f>
        <v>61</v>
      </c>
      <c r="U129">
        <f>精英副本客户端!F73</f>
        <v>106508</v>
      </c>
    </row>
    <row r="130" spans="1:21">
      <c r="A130">
        <f>精英副本!A132</f>
        <v>107001</v>
      </c>
      <c r="B130" t="str">
        <f>精英副本!Y132</f>
        <v>勇气试炼（70）</v>
      </c>
      <c r="C130">
        <f>精英副本!C132</f>
        <v>0</v>
      </c>
      <c r="D130">
        <f>精英副本!D132</f>
        <v>0</v>
      </c>
      <c r="E130" t="str">
        <f>[1]map.xml!$E130</f>
        <v>1070011_1</v>
      </c>
      <c r="F130" t="str">
        <f>[1]map.xml!F130</f>
        <v>1_10000,2_0,3_0</v>
      </c>
      <c r="G130" t="str">
        <f>[1]map.xml!G130</f>
        <v>40000_50750045_1_496,40000_50700015_1_1280,4000470_0_1_7300,4000470_0_1_7300,4000470_0_1_7300,30000_90003_1_10000,30000_90004_1_3750</v>
      </c>
      <c r="H130">
        <f>[1]map.xml!H130</f>
        <v>0</v>
      </c>
      <c r="I130" t="str">
        <f>[1]map.xml!I130</f>
        <v>30000_90005_1_10000,4000470_0_1_7300,4000470_0_1_7300,4000470_0_1_7300</v>
      </c>
      <c r="J130">
        <f>[1]map.xml!J130</f>
        <v>0</v>
      </c>
      <c r="K130">
        <f>精英副本!K132</f>
        <v>100</v>
      </c>
      <c r="L130" t="str">
        <f>精英副本!L132</f>
        <v>map/map_001.png</v>
      </c>
      <c r="M130" t="str">
        <f>精英副本!M132</f>
        <v>1-3</v>
      </c>
      <c r="N130">
        <f>精英副本!N132</f>
        <v>920</v>
      </c>
      <c r="O130">
        <f>精英副本!O132</f>
        <v>120</v>
      </c>
      <c r="P130">
        <f>精英副本!P132</f>
        <v>10</v>
      </c>
      <c r="Q130">
        <f>精英副本!Q132</f>
        <v>10</v>
      </c>
      <c r="R130">
        <f>精英副本!R132</f>
        <v>0</v>
      </c>
      <c r="S130">
        <f>精英副本!S132</f>
        <v>1</v>
      </c>
      <c r="T130">
        <f>精英副本!T132</f>
        <v>66</v>
      </c>
      <c r="U130">
        <f>精英副本客户端!F74</f>
        <v>0</v>
      </c>
    </row>
    <row r="131" spans="1:21">
      <c r="A131">
        <f>精英副本!A133</f>
        <v>107002</v>
      </c>
      <c r="B131" t="str">
        <f>精英副本!Y133</f>
        <v>勇气试炼（70）</v>
      </c>
      <c r="C131">
        <f>精英副本!C133</f>
        <v>0</v>
      </c>
      <c r="D131">
        <f>精英副本!D133</f>
        <v>0</v>
      </c>
      <c r="E131" t="str">
        <f>[1]map.xml!$E131</f>
        <v>1070021_1</v>
      </c>
      <c r="F131" t="str">
        <f>[1]map.xml!F131</f>
        <v>1_10000,2_0,3_0</v>
      </c>
      <c r="G131" t="str">
        <f>[1]map.xml!G131</f>
        <v>40000_50750025_1_489,40000_50701065_1_1270,4000470_0_1_7325,4000470_0_1_7325,4000470_0_1_7325,30000_90003_1_10000,30000_90004_1_3750</v>
      </c>
      <c r="H131">
        <f>[1]map.xml!H131</f>
        <v>0</v>
      </c>
      <c r="I131" t="str">
        <f>[1]map.xml!I131</f>
        <v>30000_90005_1_10000,4000470_0_1_7325,4000470_0_1_7325,4000470_0_1_7325</v>
      </c>
      <c r="J131">
        <f>[1]map.xml!J131</f>
        <v>0</v>
      </c>
      <c r="K131">
        <f>精英副本!K133</f>
        <v>100</v>
      </c>
      <c r="L131" t="str">
        <f>精英副本!L133</f>
        <v>map/map_001.png</v>
      </c>
      <c r="M131" t="str">
        <f>精英副本!M133</f>
        <v>1-3</v>
      </c>
      <c r="N131">
        <f>精英副本!N133</f>
        <v>920</v>
      </c>
      <c r="O131">
        <f>精英副本!O133</f>
        <v>120</v>
      </c>
      <c r="P131">
        <f>精英副本!P133</f>
        <v>10</v>
      </c>
      <c r="Q131">
        <f>精英副本!Q133</f>
        <v>10</v>
      </c>
      <c r="R131">
        <f>精英副本!R133</f>
        <v>0</v>
      </c>
      <c r="S131">
        <f>精英副本!S133</f>
        <v>1</v>
      </c>
      <c r="T131">
        <f>精英副本!T133</f>
        <v>66</v>
      </c>
      <c r="U131">
        <f>精英副本客户端!F75</f>
        <v>107001</v>
      </c>
    </row>
    <row r="132" spans="1:21">
      <c r="A132">
        <f>精英副本!A134</f>
        <v>107003</v>
      </c>
      <c r="B132" t="str">
        <f>精英副本!Y134</f>
        <v>勇气试炼（70）</v>
      </c>
      <c r="C132">
        <f>精英副本!C134</f>
        <v>0</v>
      </c>
      <c r="D132">
        <f>精英副本!D134</f>
        <v>0</v>
      </c>
      <c r="E132" t="str">
        <f>[1]map.xml!$E132</f>
        <v>1070031_1</v>
      </c>
      <c r="F132" t="str">
        <f>[1]map.xml!F132</f>
        <v>1_10000,2_0,3_0</v>
      </c>
      <c r="G132" t="str">
        <f>[1]map.xml!G132</f>
        <v>40000_50750095_1_482,40000_50702055_1_1260,4000470_0_1_7350,4000470_0_1_7350,4000470_0_1_7350,30000_90003_1_10000,30000_90004_1_5000</v>
      </c>
      <c r="H132">
        <f>[1]map.xml!H132</f>
        <v>0</v>
      </c>
      <c r="I132" t="str">
        <f>[1]map.xml!I132</f>
        <v>30000_90005_1_10000,4000470_0_1_7350,4000470_0_1_7350,4000470_0_1_7350</v>
      </c>
      <c r="J132">
        <f>[1]map.xml!J132</f>
        <v>0</v>
      </c>
      <c r="K132">
        <f>精英副本!K134</f>
        <v>100</v>
      </c>
      <c r="L132" t="str">
        <f>精英副本!L134</f>
        <v>map/map_001.png</v>
      </c>
      <c r="M132" t="str">
        <f>精英副本!M134</f>
        <v>1-3</v>
      </c>
      <c r="N132">
        <f>精英副本!N134</f>
        <v>920</v>
      </c>
      <c r="O132">
        <f>精英副本!O134</f>
        <v>120</v>
      </c>
      <c r="P132">
        <f>精英副本!P134</f>
        <v>10</v>
      </c>
      <c r="Q132">
        <f>精英副本!Q134</f>
        <v>10</v>
      </c>
      <c r="R132">
        <f>精英副本!R134</f>
        <v>0</v>
      </c>
      <c r="S132">
        <f>精英副本!S134</f>
        <v>1</v>
      </c>
      <c r="T132">
        <f>精英副本!T134</f>
        <v>66</v>
      </c>
      <c r="U132">
        <f>精英副本客户端!F76</f>
        <v>107002</v>
      </c>
    </row>
    <row r="133" spans="1:21">
      <c r="A133">
        <f>精英副本!A135</f>
        <v>107004</v>
      </c>
      <c r="B133" t="str">
        <f>精英副本!Y135</f>
        <v>勇气试炼（70）</v>
      </c>
      <c r="C133">
        <f>精英副本!C135</f>
        <v>0</v>
      </c>
      <c r="D133">
        <f>精英副本!D135</f>
        <v>0</v>
      </c>
      <c r="E133" t="str">
        <f>[1]map.xml!$E133</f>
        <v>1070041_1,1070042_1,1070043_1</v>
      </c>
      <c r="F133" t="str">
        <f>[1]map.xml!F133</f>
        <v>1_0,2_0,3_10000</v>
      </c>
      <c r="G133" t="str">
        <f>[1]map.xml!G133</f>
        <v>40000_50750035_1_475,40000_50751066_1_1250,4000470_0_1_7375,4000470_0_1_7375,4000470_0_1_7375,30000_90003_1_10000,30000_90004_1_5000</v>
      </c>
      <c r="H133">
        <f>[1]map.xml!H133</f>
        <v>0</v>
      </c>
      <c r="I133" t="str">
        <f>[1]map.xml!I133</f>
        <v>30000_90005_1_10000,4000470_0_1_7375,4000470_0_1_7375,4000470_0_1_7375</v>
      </c>
      <c r="J133">
        <f>[1]map.xml!J133</f>
        <v>0</v>
      </c>
      <c r="K133">
        <f>精英副本!K135</f>
        <v>100</v>
      </c>
      <c r="L133" t="str">
        <f>精英副本!L135</f>
        <v>map/map_001.png</v>
      </c>
      <c r="M133" t="str">
        <f>精英副本!M135</f>
        <v>1-3</v>
      </c>
      <c r="N133">
        <f>精英副本!N135</f>
        <v>920</v>
      </c>
      <c r="O133">
        <f>精英副本!O135</f>
        <v>120</v>
      </c>
      <c r="P133">
        <f>精英副本!P135</f>
        <v>10</v>
      </c>
      <c r="Q133">
        <f>精英副本!Q135</f>
        <v>10</v>
      </c>
      <c r="R133">
        <f>精英副本!R135</f>
        <v>0</v>
      </c>
      <c r="S133">
        <f>精英副本!S135</f>
        <v>1</v>
      </c>
      <c r="T133">
        <f>精英副本!T135</f>
        <v>66</v>
      </c>
      <c r="U133">
        <f>精英副本客户端!F77</f>
        <v>107003</v>
      </c>
    </row>
    <row r="134" spans="1:21">
      <c r="A134">
        <f>精英副本!A136</f>
        <v>107005</v>
      </c>
      <c r="B134" t="str">
        <f>精英副本!Y136</f>
        <v>勇气试炼（70）</v>
      </c>
      <c r="C134">
        <f>精英副本!C136</f>
        <v>0</v>
      </c>
      <c r="D134">
        <f>精英副本!D136</f>
        <v>0</v>
      </c>
      <c r="E134" t="str">
        <f>[1]map.xml!$E134</f>
        <v>1070051_1</v>
      </c>
      <c r="F134" t="str">
        <f>[1]map.xml!F134</f>
        <v>1_10000,2_0,3_0</v>
      </c>
      <c r="G134" t="str">
        <f>[1]map.xml!G134</f>
        <v>40000_50750085_1_468,40000_50703065_1_1240,4000470_0_1_7400,4000470_0_1_7400,4000470_0_1_7400,30000_90003_1_10000,30000_90004_1_5000</v>
      </c>
      <c r="H134">
        <f>[1]map.xml!H134</f>
        <v>0</v>
      </c>
      <c r="I134" t="str">
        <f>[1]map.xml!I134</f>
        <v>30000_90005_1_10000,4000470_0_1_7400,4000470_0_1_7400,4000470_0_1_7400</v>
      </c>
      <c r="J134">
        <f>[1]map.xml!J134</f>
        <v>0</v>
      </c>
      <c r="K134">
        <f>精英副本!K136</f>
        <v>100</v>
      </c>
      <c r="L134" t="str">
        <f>精英副本!L136</f>
        <v>map/map_001.png</v>
      </c>
      <c r="M134" t="str">
        <f>精英副本!M136</f>
        <v>1-3</v>
      </c>
      <c r="N134">
        <f>精英副本!N136</f>
        <v>920</v>
      </c>
      <c r="O134">
        <f>精英副本!O136</f>
        <v>120</v>
      </c>
      <c r="P134">
        <f>精英副本!P136</f>
        <v>10</v>
      </c>
      <c r="Q134">
        <f>精英副本!Q136</f>
        <v>10</v>
      </c>
      <c r="R134">
        <f>精英副本!R136</f>
        <v>0</v>
      </c>
      <c r="S134">
        <f>精英副本!S136</f>
        <v>1</v>
      </c>
      <c r="T134">
        <f>精英副本!T136</f>
        <v>66</v>
      </c>
      <c r="U134">
        <f>精英副本客户端!F78</f>
        <v>107004</v>
      </c>
    </row>
    <row r="135" spans="1:21">
      <c r="A135">
        <f>精英副本!A137</f>
        <v>107006</v>
      </c>
      <c r="B135" t="str">
        <f>精英副本!Y137</f>
        <v>勇气试炼（70）</v>
      </c>
      <c r="C135">
        <f>精英副本!C137</f>
        <v>0</v>
      </c>
      <c r="D135">
        <f>精英副本!D137</f>
        <v>0</v>
      </c>
      <c r="E135" t="str">
        <f>[1]map.xml!$E135</f>
        <v>1070061_1</v>
      </c>
      <c r="F135" t="str">
        <f>[1]map.xml!F135</f>
        <v>1_10000,2_0,3_0</v>
      </c>
      <c r="G135" t="str">
        <f>[1]map.xml!G135</f>
        <v>40000_50750105_1_461,40000_50702065_1_1230,4000470_0_1_7425,4000470_0_1_7425,4000470_0_1_7425,30000_90003_1_10000,30000_90004_1_6250</v>
      </c>
      <c r="H135">
        <f>[1]map.xml!H135</f>
        <v>0</v>
      </c>
      <c r="I135" t="str">
        <f>[1]map.xml!I135</f>
        <v>30000_90005_1_10000,4000470_0_1_7425,4000470_0_1_7425,4000470_0_1_7425</v>
      </c>
      <c r="J135">
        <f>[1]map.xml!J135</f>
        <v>0</v>
      </c>
      <c r="K135">
        <f>精英副本!K137</f>
        <v>100</v>
      </c>
      <c r="L135" t="str">
        <f>精英副本!L137</f>
        <v>map/map_001.png</v>
      </c>
      <c r="M135" t="str">
        <f>精英副本!M137</f>
        <v>1-3</v>
      </c>
      <c r="N135">
        <f>精英副本!N137</f>
        <v>920</v>
      </c>
      <c r="O135">
        <f>精英副本!O137</f>
        <v>120</v>
      </c>
      <c r="P135">
        <f>精英副本!P137</f>
        <v>10</v>
      </c>
      <c r="Q135">
        <f>精英副本!Q137</f>
        <v>10</v>
      </c>
      <c r="R135">
        <f>精英副本!R137</f>
        <v>0</v>
      </c>
      <c r="S135">
        <f>精英副本!S137</f>
        <v>1</v>
      </c>
      <c r="T135">
        <f>精英副本!T137</f>
        <v>66</v>
      </c>
      <c r="U135">
        <f>精英副本客户端!F79</f>
        <v>107005</v>
      </c>
    </row>
    <row r="136" spans="1:21">
      <c r="A136">
        <f>精英副本!A138</f>
        <v>107007</v>
      </c>
      <c r="B136" t="str">
        <f>精英副本!Y138</f>
        <v>勇气试炼（70）</v>
      </c>
      <c r="C136">
        <f>精英副本!C138</f>
        <v>0</v>
      </c>
      <c r="D136">
        <f>精英副本!D138</f>
        <v>0</v>
      </c>
      <c r="E136" t="str">
        <f>[1]map.xml!$E136</f>
        <v>1070071_1</v>
      </c>
      <c r="F136" t="str">
        <f>[1]map.xml!F136</f>
        <v>1_10000,2_0,3_0</v>
      </c>
      <c r="G136" t="str">
        <f>[1]map.xml!G136</f>
        <v>40000_50750015_1_454,40000_50700035_1_1220,4000470_0_1_7450,4000470_0_1_7450,4000470_0_1_7450,30000_90003_1_10000,30000_90004_1_6250</v>
      </c>
      <c r="H136">
        <f>[1]map.xml!H136</f>
        <v>0</v>
      </c>
      <c r="I136" t="str">
        <f>[1]map.xml!I136</f>
        <v>30000_90005_1_10000,4000470_0_1_7450,4000470_0_1_7450,4000470_0_1_7450</v>
      </c>
      <c r="J136">
        <f>[1]map.xml!J136</f>
        <v>0</v>
      </c>
      <c r="K136">
        <f>精英副本!K138</f>
        <v>100</v>
      </c>
      <c r="L136" t="str">
        <f>精英副本!L138</f>
        <v>map/map_001.png</v>
      </c>
      <c r="M136" t="str">
        <f>精英副本!M138</f>
        <v>1-3</v>
      </c>
      <c r="N136">
        <f>精英副本!N138</f>
        <v>920</v>
      </c>
      <c r="O136">
        <f>精英副本!O138</f>
        <v>120</v>
      </c>
      <c r="P136">
        <f>精英副本!P138</f>
        <v>10</v>
      </c>
      <c r="Q136">
        <f>精英副本!Q138</f>
        <v>10</v>
      </c>
      <c r="R136">
        <f>精英副本!R138</f>
        <v>0</v>
      </c>
      <c r="S136">
        <f>精英副本!S138</f>
        <v>1</v>
      </c>
      <c r="T136">
        <f>精英副本!T138</f>
        <v>66</v>
      </c>
      <c r="U136">
        <f>精英副本客户端!F80</f>
        <v>107006</v>
      </c>
    </row>
    <row r="137" spans="1:21">
      <c r="A137">
        <f>精英副本!A139</f>
        <v>107008</v>
      </c>
      <c r="B137" t="str">
        <f>精英副本!Y139</f>
        <v>勇气试炼（70）</v>
      </c>
      <c r="C137">
        <f>精英副本!C139</f>
        <v>0</v>
      </c>
      <c r="D137">
        <f>精英副本!D139</f>
        <v>0</v>
      </c>
      <c r="E137" t="str">
        <f>[1]map.xml!$E137</f>
        <v>1070081_1</v>
      </c>
      <c r="F137" t="str">
        <f>[1]map.xml!F137</f>
        <v>1_10000,2_0,3_0</v>
      </c>
      <c r="G137" t="str">
        <f>[1]map.xml!G137</f>
        <v>40000_50750035_1_447,40000_50703055_1_1210,4000470_0_1_7475,4000470_0_1_7475,4000470_0_1_7475,30000_90003_1_10000,30000_90004_1_6250</v>
      </c>
      <c r="H137">
        <f>[1]map.xml!H137</f>
        <v>0</v>
      </c>
      <c r="I137" t="str">
        <f>[1]map.xml!I137</f>
        <v>30000_90005_1_10000,4000470_0_1_7475,4000470_0_1_7475,4000470_0_1_7475</v>
      </c>
      <c r="J137">
        <f>[1]map.xml!J137</f>
        <v>0</v>
      </c>
      <c r="K137">
        <f>精英副本!K139</f>
        <v>100</v>
      </c>
      <c r="L137" t="str">
        <f>精英副本!L139</f>
        <v>map/map_001.png</v>
      </c>
      <c r="M137" t="str">
        <f>精英副本!M139</f>
        <v>1-3</v>
      </c>
      <c r="N137">
        <f>精英副本!N139</f>
        <v>920</v>
      </c>
      <c r="O137">
        <f>精英副本!O139</f>
        <v>120</v>
      </c>
      <c r="P137">
        <f>精英副本!P139</f>
        <v>10</v>
      </c>
      <c r="Q137">
        <f>精英副本!Q139</f>
        <v>10</v>
      </c>
      <c r="R137">
        <f>精英副本!R139</f>
        <v>0</v>
      </c>
      <c r="S137">
        <f>精英副本!S139</f>
        <v>1</v>
      </c>
      <c r="T137">
        <f>精英副本!T139</f>
        <v>66</v>
      </c>
      <c r="U137">
        <f>精英副本客户端!F81</f>
        <v>107007</v>
      </c>
    </row>
    <row r="138" spans="1:21">
      <c r="A138">
        <f>精英副本!A140</f>
        <v>107009</v>
      </c>
      <c r="B138" t="str">
        <f>精英副本!Y140</f>
        <v>勇气试炼（70）</v>
      </c>
      <c r="C138">
        <f>精英副本!C140</f>
        <v>0</v>
      </c>
      <c r="D138">
        <f>精英副本!D140</f>
        <v>0</v>
      </c>
      <c r="E138" t="str">
        <f>[1]map.xml!$E138</f>
        <v>1070091_1</v>
      </c>
      <c r="F138" t="str">
        <f>[1]map.xml!F138</f>
        <v>1_10000,2_0,3_0</v>
      </c>
      <c r="G138" t="str">
        <f>[1]map.xml!G138</f>
        <v>40000_50751056_1_440,40000_50701055_1_1200,4000470_0_1_7500,4000470_0_1_7500,4000470_0_1_7500,30000_90003_1_10000,30000_90004_1_7500</v>
      </c>
      <c r="H138">
        <f>[1]map.xml!H138</f>
        <v>0</v>
      </c>
      <c r="I138" t="str">
        <f>[1]map.xml!I138</f>
        <v>30000_90005_1_10000,4000470_0_1_7500,4000470_0_1_7500,4000470_0_1_7500</v>
      </c>
      <c r="J138">
        <f>[1]map.xml!J138</f>
        <v>0</v>
      </c>
      <c r="K138">
        <f>精英副本!K140</f>
        <v>100</v>
      </c>
      <c r="L138" t="str">
        <f>精英副本!L140</f>
        <v>map/map_001.png</v>
      </c>
      <c r="M138" t="str">
        <f>精英副本!M140</f>
        <v>1-3</v>
      </c>
      <c r="N138">
        <f>精英副本!N140</f>
        <v>920</v>
      </c>
      <c r="O138">
        <f>精英副本!O140</f>
        <v>120</v>
      </c>
      <c r="P138">
        <f>精英副本!P140</f>
        <v>10</v>
      </c>
      <c r="Q138">
        <f>精英副本!Q140</f>
        <v>10</v>
      </c>
      <c r="R138">
        <f>精英副本!R140</f>
        <v>0</v>
      </c>
      <c r="S138">
        <f>精英副本!S140</f>
        <v>1</v>
      </c>
      <c r="T138">
        <f>精英副本!T140</f>
        <v>66</v>
      </c>
      <c r="U138">
        <f>精英副本客户端!F82</f>
        <v>107008</v>
      </c>
    </row>
    <row r="139" spans="1:21">
      <c r="A139">
        <f>精英副本!A141</f>
        <v>107501</v>
      </c>
      <c r="B139" t="str">
        <f>精英副本!Y141</f>
        <v>勇气试炼（75）</v>
      </c>
      <c r="C139">
        <f>精英副本!C141</f>
        <v>0</v>
      </c>
      <c r="D139">
        <f>精英副本!D141</f>
        <v>0</v>
      </c>
      <c r="E139" t="str">
        <f>[1]map.xml!$E139</f>
        <v>1075011_1</v>
      </c>
      <c r="F139" t="str">
        <f>[1]map.xml!F139</f>
        <v>1_10000,2_0,3_0</v>
      </c>
      <c r="G139" t="str">
        <f>[1]map.xml!G139</f>
        <v>40000_50800105_1_433,40000_50752055_1_1190,4004074_0_1_7525,4004074_0_1_7525,4004074_0_1_7525,30000_90003_1_10000,30000_90004_1_5000</v>
      </c>
      <c r="H139">
        <f>[1]map.xml!H139</f>
        <v>0</v>
      </c>
      <c r="I139" t="str">
        <f>[1]map.xml!I139</f>
        <v>30000_90005_1_10000,4004074_0_1_7525,4004074_0_1_7525,4004074_0_1_7525</v>
      </c>
      <c r="J139">
        <f>[1]map.xml!J139</f>
        <v>0</v>
      </c>
      <c r="K139">
        <f>精英副本!K141</f>
        <v>100</v>
      </c>
      <c r="L139" t="str">
        <f>精英副本!L141</f>
        <v>map/map_001.png</v>
      </c>
      <c r="M139" t="str">
        <f>精英副本!M141</f>
        <v>1-3</v>
      </c>
      <c r="N139">
        <f>精英副本!N141</f>
        <v>920</v>
      </c>
      <c r="O139">
        <f>精英副本!O141</f>
        <v>120</v>
      </c>
      <c r="P139">
        <f>精英副本!P141</f>
        <v>10</v>
      </c>
      <c r="Q139">
        <f>精英副本!Q141</f>
        <v>10</v>
      </c>
      <c r="R139">
        <f>精英副本!R141</f>
        <v>0</v>
      </c>
      <c r="S139">
        <f>精英副本!S141</f>
        <v>1</v>
      </c>
      <c r="T139">
        <f>精英副本!T141</f>
        <v>71</v>
      </c>
      <c r="U139">
        <f>精英副本客户端!F83</f>
        <v>0</v>
      </c>
    </row>
    <row r="140" spans="1:21">
      <c r="A140">
        <f>精英副本!A142</f>
        <v>107502</v>
      </c>
      <c r="B140" t="str">
        <f>精英副本!Y142</f>
        <v>勇气试炼（75）</v>
      </c>
      <c r="C140">
        <f>精英副本!C142</f>
        <v>0</v>
      </c>
      <c r="D140">
        <f>精英副本!D142</f>
        <v>0</v>
      </c>
      <c r="E140" t="str">
        <f>[1]map.xml!$E140</f>
        <v>1075021_1</v>
      </c>
      <c r="F140" t="str">
        <f>[1]map.xml!F140</f>
        <v>1_10000,2_0,3_0</v>
      </c>
      <c r="G140" t="str">
        <f>[1]map.xml!G140</f>
        <v>40000_50800085_1_426,40000_50801066_1_1180,4004074_0_1_7550,4004074_0_1_7550,4004074_0_1_7550,30000_90003_1_10000,30000_90004_1_5000</v>
      </c>
      <c r="H140">
        <f>[1]map.xml!H140</f>
        <v>0</v>
      </c>
      <c r="I140" t="str">
        <f>[1]map.xml!I140</f>
        <v>30000_90005_1_10000,4004074_0_1_7550,4004074_0_1_7550,4004074_0_1_7550</v>
      </c>
      <c r="J140">
        <f>[1]map.xml!J140</f>
        <v>0</v>
      </c>
      <c r="K140">
        <f>精英副本!K142</f>
        <v>100</v>
      </c>
      <c r="L140" t="str">
        <f>精英副本!L142</f>
        <v>map/map_001.png</v>
      </c>
      <c r="M140" t="str">
        <f>精英副本!M142</f>
        <v>1-3</v>
      </c>
      <c r="N140">
        <f>精英副本!N142</f>
        <v>920</v>
      </c>
      <c r="O140">
        <f>精英副本!O142</f>
        <v>120</v>
      </c>
      <c r="P140">
        <f>精英副本!P142</f>
        <v>10</v>
      </c>
      <c r="Q140">
        <f>精英副本!Q142</f>
        <v>10</v>
      </c>
      <c r="R140">
        <f>精英副本!R142</f>
        <v>0</v>
      </c>
      <c r="S140">
        <f>精英副本!S142</f>
        <v>1</v>
      </c>
      <c r="T140">
        <f>精英副本!T142</f>
        <v>71</v>
      </c>
      <c r="U140">
        <f>精英副本客户端!F84</f>
        <v>107501</v>
      </c>
    </row>
    <row r="141" spans="1:21">
      <c r="A141">
        <f>精英副本!A143</f>
        <v>107503</v>
      </c>
      <c r="B141" t="str">
        <f>精英副本!Y143</f>
        <v>勇气试炼（75）</v>
      </c>
      <c r="C141">
        <f>精英副本!C143</f>
        <v>0</v>
      </c>
      <c r="D141">
        <f>精英副本!D143</f>
        <v>0</v>
      </c>
      <c r="E141" t="str">
        <f>[1]map.xml!$E141</f>
        <v>1075031_1</v>
      </c>
      <c r="F141" t="str">
        <f>[1]map.xml!F141</f>
        <v>1_10000,2_0,3_0</v>
      </c>
      <c r="G141" t="str">
        <f>[1]map.xml!G141</f>
        <v>40000_50800095_1_419,40000_50751065_1_1170,4004074_0_1_7575,4004074_0_1_7575,4004074_0_1_7575,30000_90003_1_10000,30000_90004_1_6250</v>
      </c>
      <c r="H141">
        <f>[1]map.xml!H141</f>
        <v>0</v>
      </c>
      <c r="I141" t="str">
        <f>[1]map.xml!I141</f>
        <v>30000_90005_1_10000,4004074_0_1_7575,4004074_0_1_7575,4004074_0_1_7575</v>
      </c>
      <c r="J141">
        <f>[1]map.xml!J141</f>
        <v>0</v>
      </c>
      <c r="K141">
        <f>精英副本!K143</f>
        <v>100</v>
      </c>
      <c r="L141" t="str">
        <f>精英副本!L143</f>
        <v>map/map_001.png</v>
      </c>
      <c r="M141" t="str">
        <f>精英副本!M143</f>
        <v>1-3</v>
      </c>
      <c r="N141">
        <f>精英副本!N143</f>
        <v>920</v>
      </c>
      <c r="O141">
        <f>精英副本!O143</f>
        <v>120</v>
      </c>
      <c r="P141">
        <f>精英副本!P143</f>
        <v>10</v>
      </c>
      <c r="Q141">
        <f>精英副本!Q143</f>
        <v>10</v>
      </c>
      <c r="R141">
        <f>精英副本!R143</f>
        <v>0</v>
      </c>
      <c r="S141">
        <f>精英副本!S143</f>
        <v>1</v>
      </c>
      <c r="T141">
        <f>精英副本!T143</f>
        <v>71</v>
      </c>
      <c r="U141">
        <f>精英副本客户端!F85</f>
        <v>107502</v>
      </c>
    </row>
    <row r="142" spans="1:21">
      <c r="A142">
        <f>精英副本!A144</f>
        <v>107504</v>
      </c>
      <c r="B142" t="str">
        <f>精英副本!Y144</f>
        <v>勇气试炼（75）</v>
      </c>
      <c r="C142">
        <f>精英副本!C144</f>
        <v>0</v>
      </c>
      <c r="D142">
        <f>精英副本!D144</f>
        <v>0</v>
      </c>
      <c r="E142" t="str">
        <f>[1]map.xml!$E142</f>
        <v>1075041_1,1075042_1,1075043_1</v>
      </c>
      <c r="F142" t="str">
        <f>[1]map.xml!F142</f>
        <v>1_0,2_0,3_10000</v>
      </c>
      <c r="G142" t="str">
        <f>[1]map.xml!G142</f>
        <v>40000_50800075_1_412,40000_50750035_1_1160,4004074_0_1_7600,4004074_0_1_7600,4004074_0_1_7600,30000_90003_1_10000,30000_90004_1_6250</v>
      </c>
      <c r="H142">
        <f>[1]map.xml!H142</f>
        <v>0</v>
      </c>
      <c r="I142" t="str">
        <f>[1]map.xml!I142</f>
        <v>30000_90005_1_10000,4004074_0_1_7600,4004074_0_1_7600,4004074_0_1_7600</v>
      </c>
      <c r="J142">
        <f>[1]map.xml!J142</f>
        <v>0</v>
      </c>
      <c r="K142">
        <f>精英副本!K144</f>
        <v>100</v>
      </c>
      <c r="L142" t="str">
        <f>精英副本!L144</f>
        <v>map/map_001.png</v>
      </c>
      <c r="M142" t="str">
        <f>精英副本!M144</f>
        <v>1-3</v>
      </c>
      <c r="N142">
        <f>精英副本!N144</f>
        <v>920</v>
      </c>
      <c r="O142">
        <f>精英副本!O144</f>
        <v>120</v>
      </c>
      <c r="P142">
        <f>精英副本!P144</f>
        <v>10</v>
      </c>
      <c r="Q142">
        <f>精英副本!Q144</f>
        <v>10</v>
      </c>
      <c r="R142">
        <f>精英副本!R144</f>
        <v>0</v>
      </c>
      <c r="S142">
        <f>精英副本!S144</f>
        <v>1</v>
      </c>
      <c r="T142">
        <f>精英副本!T144</f>
        <v>71</v>
      </c>
      <c r="U142">
        <f>精英副本客户端!F86</f>
        <v>107503</v>
      </c>
    </row>
    <row r="143" spans="1:21">
      <c r="A143">
        <f>精英副本!A145</f>
        <v>107505</v>
      </c>
      <c r="B143" t="str">
        <f>精英副本!Y145</f>
        <v>勇气试炼（75）</v>
      </c>
      <c r="C143">
        <f>精英副本!C145</f>
        <v>0</v>
      </c>
      <c r="D143">
        <f>精英副本!D145</f>
        <v>0</v>
      </c>
      <c r="E143" t="str">
        <f>[1]map.xml!$E143</f>
        <v>1075051_1</v>
      </c>
      <c r="F143" t="str">
        <f>[1]map.xml!F143</f>
        <v>1_10000,2_0,3_0</v>
      </c>
      <c r="G143" t="str">
        <f>[1]map.xml!G143</f>
        <v>40000_50800025_1_405,40000_50753065_1_1150,4004074_0_1_7625,4004074_0_1_7625,4004074_0_1_7625,30000_90003_1_10000,30000_90004_1_6250</v>
      </c>
      <c r="H143">
        <f>[1]map.xml!H143</f>
        <v>0</v>
      </c>
      <c r="I143" t="str">
        <f>[1]map.xml!I143</f>
        <v>30000_90005_1_10000,4004074_0_1_7625,4004074_0_1_7625,4004074_0_1_7625</v>
      </c>
      <c r="J143">
        <f>[1]map.xml!J143</f>
        <v>0</v>
      </c>
      <c r="K143">
        <f>精英副本!K145</f>
        <v>100</v>
      </c>
      <c r="L143" t="str">
        <f>精英副本!L145</f>
        <v>map/map_001.png</v>
      </c>
      <c r="M143" t="str">
        <f>精英副本!M145</f>
        <v>1-3</v>
      </c>
      <c r="N143">
        <f>精英副本!N145</f>
        <v>920</v>
      </c>
      <c r="O143">
        <f>精英副本!O145</f>
        <v>120</v>
      </c>
      <c r="P143">
        <f>精英副本!P145</f>
        <v>10</v>
      </c>
      <c r="Q143">
        <f>精英副本!Q145</f>
        <v>10</v>
      </c>
      <c r="R143">
        <f>精英副本!R145</f>
        <v>0</v>
      </c>
      <c r="S143">
        <f>精英副本!S145</f>
        <v>1</v>
      </c>
      <c r="T143">
        <f>精英副本!T145</f>
        <v>71</v>
      </c>
      <c r="U143">
        <f>精英副本客户端!F87</f>
        <v>107504</v>
      </c>
    </row>
    <row r="144" spans="1:21">
      <c r="A144">
        <f>精英副本!A146</f>
        <v>107506</v>
      </c>
      <c r="B144" t="str">
        <f>精英副本!Y146</f>
        <v>勇气试炼（75）</v>
      </c>
      <c r="C144">
        <f>精英副本!C146</f>
        <v>0</v>
      </c>
      <c r="D144">
        <f>精英副本!D146</f>
        <v>0</v>
      </c>
      <c r="E144" t="str">
        <f>[1]map.xml!$E144</f>
        <v>1075061_1</v>
      </c>
      <c r="F144" t="str">
        <f>[1]map.xml!F144</f>
        <v>1_10000,2_0,3_0</v>
      </c>
      <c r="G144" t="str">
        <f>[1]map.xml!G144</f>
        <v>40000_50800045_1_398,40000_50752065_1_1140,4004074_0_1_7650,4004074_0_1_7650,4004074_0_1_7650,30000_90003_1_10000,30000_90004_1_7500</v>
      </c>
      <c r="H144">
        <f>[1]map.xml!H144</f>
        <v>0</v>
      </c>
      <c r="I144" t="str">
        <f>[1]map.xml!I144</f>
        <v>30000_90005_1_10000,4004074_0_1_7650,4004074_0_1_7650,4004074_0_1_7650</v>
      </c>
      <c r="J144">
        <f>[1]map.xml!J144</f>
        <v>0</v>
      </c>
      <c r="K144">
        <f>精英副本!K146</f>
        <v>100</v>
      </c>
      <c r="L144" t="str">
        <f>精英副本!L146</f>
        <v>map/map_001.png</v>
      </c>
      <c r="M144" t="str">
        <f>精英副本!M146</f>
        <v>1-3</v>
      </c>
      <c r="N144">
        <f>精英副本!N146</f>
        <v>920</v>
      </c>
      <c r="O144">
        <f>精英副本!O146</f>
        <v>120</v>
      </c>
      <c r="P144">
        <f>精英副本!P146</f>
        <v>10</v>
      </c>
      <c r="Q144">
        <f>精英副本!Q146</f>
        <v>10</v>
      </c>
      <c r="R144">
        <f>精英副本!R146</f>
        <v>0</v>
      </c>
      <c r="S144">
        <f>精英副本!S146</f>
        <v>1</v>
      </c>
      <c r="T144">
        <f>精英副本!T146</f>
        <v>71</v>
      </c>
      <c r="U144">
        <f>精英副本客户端!F88</f>
        <v>107505</v>
      </c>
    </row>
    <row r="145" spans="1:21">
      <c r="A145">
        <f>精英副本!A147</f>
        <v>107507</v>
      </c>
      <c r="B145" t="str">
        <f>精英副本!Y147</f>
        <v>勇气试炼（75）</v>
      </c>
      <c r="C145">
        <f>精英副本!C147</f>
        <v>0</v>
      </c>
      <c r="D145">
        <f>精英副本!D147</f>
        <v>0</v>
      </c>
      <c r="E145" t="str">
        <f>[1]map.xml!$E145</f>
        <v>1075071_1</v>
      </c>
      <c r="F145" t="str">
        <f>[1]map.xml!F145</f>
        <v>1_10000,2_0,3_0</v>
      </c>
      <c r="G145" t="str">
        <f>[1]map.xml!G145</f>
        <v>40000_50800035_1_391,40000_50753055_1_1130,4004074_0_1_7675,4004074_0_1_7675,4004074_0_1_7675,30000_90003_1_10000,30000_90004_1_7500</v>
      </c>
      <c r="H145">
        <f>[1]map.xml!H145</f>
        <v>0</v>
      </c>
      <c r="I145" t="str">
        <f>[1]map.xml!I145</f>
        <v>30000_90005_1_10000,4004074_0_1_7675,4004074_0_1_7675,4004074_0_1_7675</v>
      </c>
      <c r="J145">
        <f>[1]map.xml!J145</f>
        <v>0</v>
      </c>
      <c r="K145">
        <f>精英副本!K147</f>
        <v>100</v>
      </c>
      <c r="L145" t="str">
        <f>精英副本!L147</f>
        <v>map/map_001.png</v>
      </c>
      <c r="M145" t="str">
        <f>精英副本!M147</f>
        <v>1-3</v>
      </c>
      <c r="N145">
        <f>精英副本!N147</f>
        <v>920</v>
      </c>
      <c r="O145">
        <f>精英副本!O147</f>
        <v>120</v>
      </c>
      <c r="P145">
        <f>精英副本!P147</f>
        <v>10</v>
      </c>
      <c r="Q145">
        <f>精英副本!Q147</f>
        <v>10</v>
      </c>
      <c r="R145">
        <f>精英副本!R147</f>
        <v>0</v>
      </c>
      <c r="S145">
        <f>精英副本!S147</f>
        <v>1</v>
      </c>
      <c r="T145">
        <f>精英副本!T147</f>
        <v>71</v>
      </c>
      <c r="U145">
        <f>精英副本客户端!F89</f>
        <v>107506</v>
      </c>
    </row>
    <row r="146" spans="1:21">
      <c r="A146">
        <f>精英副本!A148</f>
        <v>107508</v>
      </c>
      <c r="B146" t="str">
        <f>精英副本!Y148</f>
        <v>勇气试炼（75）</v>
      </c>
      <c r="C146">
        <f>精英副本!C148</f>
        <v>0</v>
      </c>
      <c r="D146">
        <f>精英副本!D148</f>
        <v>0</v>
      </c>
      <c r="E146" t="str">
        <f>[1]map.xml!$E146</f>
        <v>1075081_1</v>
      </c>
      <c r="F146" t="str">
        <f>[1]map.xml!F146</f>
        <v>1_10000,2_0,3_0</v>
      </c>
      <c r="G146" t="str">
        <f>[1]map.xml!G146</f>
        <v>40000_50800015_1_384,40000_50751055_1_1120,4004074_0_1_7700,4004074_0_1_7700,4004074_0_1_7700,30000_90003_1_10000,30000_90004_1_7500</v>
      </c>
      <c r="H146">
        <f>[1]map.xml!H146</f>
        <v>0</v>
      </c>
      <c r="I146" t="str">
        <f>[1]map.xml!I146</f>
        <v>30000_90005_1_10000,4004074_0_1_7700,4004074_0_1_7700,4004074_0_1_7700</v>
      </c>
      <c r="J146">
        <f>[1]map.xml!J146</f>
        <v>0</v>
      </c>
      <c r="K146">
        <f>精英副本!K148</f>
        <v>100</v>
      </c>
      <c r="L146" t="str">
        <f>精英副本!L148</f>
        <v>map/map_001.png</v>
      </c>
      <c r="M146" t="str">
        <f>精英副本!M148</f>
        <v>1-3</v>
      </c>
      <c r="N146">
        <f>精英副本!N148</f>
        <v>920</v>
      </c>
      <c r="O146">
        <f>精英副本!O148</f>
        <v>120</v>
      </c>
      <c r="P146">
        <f>精英副本!P148</f>
        <v>10</v>
      </c>
      <c r="Q146">
        <f>精英副本!Q148</f>
        <v>10</v>
      </c>
      <c r="R146">
        <f>精英副本!R148</f>
        <v>0</v>
      </c>
      <c r="S146">
        <f>精英副本!S148</f>
        <v>1</v>
      </c>
      <c r="T146">
        <f>精英副本!T148</f>
        <v>71</v>
      </c>
      <c r="U146">
        <f>精英副本客户端!F90</f>
        <v>107507</v>
      </c>
    </row>
    <row r="147" spans="1:21">
      <c r="A147">
        <f>精英副本!A149</f>
        <v>107509</v>
      </c>
      <c r="B147" t="str">
        <f>精英副本!Y149</f>
        <v>勇气试炼（75）</v>
      </c>
      <c r="C147">
        <f>精英副本!C149</f>
        <v>0</v>
      </c>
      <c r="D147">
        <f>精英副本!D149</f>
        <v>0</v>
      </c>
      <c r="E147" t="str">
        <f>[1]map.xml!$E147</f>
        <v>1075091_1</v>
      </c>
      <c r="F147" t="str">
        <f>[1]map.xml!F147</f>
        <v>1_10000,2_0,3_0</v>
      </c>
      <c r="G147" t="str">
        <f>[1]map.xml!G147</f>
        <v>40000_50801056_1_377,40000_50750015_1_1110,4004074_0_1_7725,4004074_0_1_7725,4004074_0_1_7725,30000_90003_1_10000,30000_90004_1_8750</v>
      </c>
      <c r="H147">
        <f>[1]map.xml!H147</f>
        <v>0</v>
      </c>
      <c r="I147" t="str">
        <f>[1]map.xml!I147</f>
        <v>30000_90005_1_10000,4004074_0_1_7725,4004074_0_1_7725,4004074_0_1_7725</v>
      </c>
      <c r="J147">
        <f>[1]map.xml!J147</f>
        <v>0</v>
      </c>
      <c r="K147">
        <f>精英副本!K149</f>
        <v>100</v>
      </c>
      <c r="L147" t="str">
        <f>精英副本!L149</f>
        <v>map/map_001.png</v>
      </c>
      <c r="M147" t="str">
        <f>精英副本!M149</f>
        <v>1-3</v>
      </c>
      <c r="N147">
        <f>精英副本!N149</f>
        <v>920</v>
      </c>
      <c r="O147">
        <f>精英副本!O149</f>
        <v>120</v>
      </c>
      <c r="P147">
        <f>精英副本!P149</f>
        <v>10</v>
      </c>
      <c r="Q147">
        <f>精英副本!Q149</f>
        <v>10</v>
      </c>
      <c r="R147">
        <f>精英副本!R149</f>
        <v>0</v>
      </c>
      <c r="S147">
        <f>精英副本!S149</f>
        <v>1</v>
      </c>
      <c r="T147">
        <f>精英副本!T149</f>
        <v>71</v>
      </c>
      <c r="U147">
        <f>精英副本客户端!F91</f>
        <v>107508</v>
      </c>
    </row>
    <row r="148" spans="1:21">
      <c r="A148">
        <f>精英副本!A150</f>
        <v>108001</v>
      </c>
      <c r="B148" t="str">
        <f>精英副本!Y150</f>
        <v>勇气试炼（80）</v>
      </c>
      <c r="C148">
        <f>精英副本!C150</f>
        <v>0</v>
      </c>
      <c r="D148">
        <f>精英副本!D150</f>
        <v>0</v>
      </c>
      <c r="E148" t="str">
        <f>[1]map.xml!$E148</f>
        <v>1080011_1</v>
      </c>
      <c r="F148" t="str">
        <f>[1]map.xml!F148</f>
        <v>1_10000,2_0,3_0</v>
      </c>
      <c r="G148" t="str">
        <f>[1]map.xml!G148</f>
        <v>40000_50850105_1_370,40000_50802065_1_1100,4004078_0_1_7750,4004078_0_1_7750,4004078_0_1_7750,30000_90003_1_10000,30000_90004_1_6250</v>
      </c>
      <c r="H148">
        <f>[1]map.xml!H148</f>
        <v>0</v>
      </c>
      <c r="I148" t="str">
        <f>[1]map.xml!I148</f>
        <v>30000_90005_1_10000,4004078_0_1_7750,4004078_0_1_7750,4004078_0_1_7750</v>
      </c>
      <c r="J148">
        <f>[1]map.xml!J148</f>
        <v>0</v>
      </c>
      <c r="K148">
        <f>精英副本!K150</f>
        <v>100</v>
      </c>
      <c r="L148" t="str">
        <f>精英副本!L150</f>
        <v>map/map_001.png</v>
      </c>
      <c r="M148" t="str">
        <f>精英副本!M150</f>
        <v>1-3</v>
      </c>
      <c r="N148">
        <f>精英副本!N150</f>
        <v>920</v>
      </c>
      <c r="O148">
        <f>精英副本!O150</f>
        <v>120</v>
      </c>
      <c r="P148">
        <f>精英副本!P150</f>
        <v>10</v>
      </c>
      <c r="Q148">
        <f>精英副本!Q150</f>
        <v>10</v>
      </c>
      <c r="R148">
        <f>精英副本!R150</f>
        <v>0</v>
      </c>
      <c r="S148">
        <f>精英副本!S150</f>
        <v>1</v>
      </c>
      <c r="T148">
        <f>精英副本!T150</f>
        <v>76</v>
      </c>
      <c r="U148">
        <f>精英副本客户端!F92</f>
        <v>0</v>
      </c>
    </row>
    <row r="149" spans="1:21">
      <c r="A149">
        <f>精英副本!A151</f>
        <v>108002</v>
      </c>
      <c r="B149" t="str">
        <f>精英副本!Y151</f>
        <v>勇气试炼（80）</v>
      </c>
      <c r="C149">
        <f>精英副本!C151</f>
        <v>0</v>
      </c>
      <c r="D149">
        <f>精英副本!D151</f>
        <v>0</v>
      </c>
      <c r="E149" t="str">
        <f>[1]map.xml!$E149</f>
        <v>1080021_1</v>
      </c>
      <c r="F149" t="str">
        <f>[1]map.xml!F149</f>
        <v>1_10000,2_0,3_0</v>
      </c>
      <c r="G149" t="str">
        <f>[1]map.xml!G149</f>
        <v>40000_50850085_1_363,40000_50802055_1_1090,4004078_0_1_7775,4004078_0_1_7775,4004078_0_1_7775,30000_90003_1_10000,30000_90004_1_6250</v>
      </c>
      <c r="H149">
        <f>[1]map.xml!H149</f>
        <v>0</v>
      </c>
      <c r="I149" t="str">
        <f>[1]map.xml!I149</f>
        <v>30000_90005_1_10000,4004078_0_1_7775,4004078_0_1_7775,4004078_0_1_7775</v>
      </c>
      <c r="J149">
        <f>[1]map.xml!J149</f>
        <v>0</v>
      </c>
      <c r="K149">
        <f>精英副本!K151</f>
        <v>100</v>
      </c>
      <c r="L149" t="str">
        <f>精英副本!L151</f>
        <v>map/map_001.png</v>
      </c>
      <c r="M149" t="str">
        <f>精英副本!M151</f>
        <v>1-3</v>
      </c>
      <c r="N149">
        <f>精英副本!N151</f>
        <v>920</v>
      </c>
      <c r="O149">
        <f>精英副本!O151</f>
        <v>120</v>
      </c>
      <c r="P149">
        <f>精英副本!P151</f>
        <v>10</v>
      </c>
      <c r="Q149">
        <f>精英副本!Q151</f>
        <v>10</v>
      </c>
      <c r="R149">
        <f>精英副本!R151</f>
        <v>0</v>
      </c>
      <c r="S149">
        <f>精英副本!S151</f>
        <v>1</v>
      </c>
      <c r="T149">
        <f>精英副本!T151</f>
        <v>76</v>
      </c>
      <c r="U149">
        <f>精英副本客户端!F93</f>
        <v>108001</v>
      </c>
    </row>
    <row r="150" spans="1:21">
      <c r="A150">
        <f>精英副本!A152</f>
        <v>108003</v>
      </c>
      <c r="B150" t="str">
        <f>精英副本!Y152</f>
        <v>勇气试炼（80）</v>
      </c>
      <c r="C150">
        <f>精英副本!C152</f>
        <v>0</v>
      </c>
      <c r="D150">
        <f>精英副本!D152</f>
        <v>0</v>
      </c>
      <c r="E150" t="str">
        <f>[1]map.xml!$E150</f>
        <v>1080031_1</v>
      </c>
      <c r="F150" t="str">
        <f>[1]map.xml!F150</f>
        <v>1_10000,2_0,3_0</v>
      </c>
      <c r="G150" t="str">
        <f>[1]map.xml!G150</f>
        <v>40000_50850045_1_356,40000_50800015_1_1080,4004078_0_1_7800,4004078_0_1_7800,4004078_0_1_7800,30000_90003_1_10000,30000_90004_1_7500</v>
      </c>
      <c r="H150">
        <f>[1]map.xml!H150</f>
        <v>0</v>
      </c>
      <c r="I150" t="str">
        <f>[1]map.xml!I150</f>
        <v>30000_90005_1_10000,4004078_0_1_7800,4004078_0_1_7800,4004078_0_1_7800</v>
      </c>
      <c r="J150">
        <f>[1]map.xml!J150</f>
        <v>0</v>
      </c>
      <c r="K150">
        <f>精英副本!K152</f>
        <v>100</v>
      </c>
      <c r="L150" t="str">
        <f>精英副本!L152</f>
        <v>map/map_001.png</v>
      </c>
      <c r="M150" t="str">
        <f>精英副本!M152</f>
        <v>1-3</v>
      </c>
      <c r="N150">
        <f>精英副本!N152</f>
        <v>920</v>
      </c>
      <c r="O150">
        <f>精英副本!O152</f>
        <v>120</v>
      </c>
      <c r="P150">
        <f>精英副本!P152</f>
        <v>10</v>
      </c>
      <c r="Q150">
        <f>精英副本!Q152</f>
        <v>10</v>
      </c>
      <c r="R150">
        <f>精英副本!R152</f>
        <v>0</v>
      </c>
      <c r="S150">
        <f>精英副本!S152</f>
        <v>1</v>
      </c>
      <c r="T150">
        <f>精英副本!T152</f>
        <v>76</v>
      </c>
      <c r="U150">
        <f>精英副本客户端!F94</f>
        <v>108002</v>
      </c>
    </row>
    <row r="151" spans="1:21">
      <c r="A151">
        <f>精英副本!A153</f>
        <v>108004</v>
      </c>
      <c r="B151" t="str">
        <f>精英副本!Y153</f>
        <v>勇气试炼（80）</v>
      </c>
      <c r="C151">
        <f>精英副本!C153</f>
        <v>0</v>
      </c>
      <c r="D151">
        <f>精英副本!D153</f>
        <v>0</v>
      </c>
      <c r="E151" t="str">
        <f>[1]map.xml!$E151</f>
        <v>1080041_1,1080042_1,1080043_1</v>
      </c>
      <c r="F151" t="str">
        <f>[1]map.xml!F151</f>
        <v>1_0,2_0,3_10000</v>
      </c>
      <c r="G151" t="str">
        <f>[1]map.xml!G151</f>
        <v>40000_50850025_1_349,40000_50801055_1_1070,4004078_0_1_7825,4004078_0_1_7825,4004078_0_1_7825,30000_90003_1_10000,30000_90004_1_7500</v>
      </c>
      <c r="H151">
        <f>[1]map.xml!H151</f>
        <v>0</v>
      </c>
      <c r="I151" t="str">
        <f>[1]map.xml!I151</f>
        <v>30000_90005_1_10000,4004078_0_1_7825,4004078_0_1_7825,4004078_0_1_7825</v>
      </c>
      <c r="J151">
        <f>[1]map.xml!J151</f>
        <v>0</v>
      </c>
      <c r="K151">
        <f>精英副本!K153</f>
        <v>100</v>
      </c>
      <c r="L151" t="str">
        <f>精英副本!L153</f>
        <v>map/map_001.png</v>
      </c>
      <c r="M151" t="str">
        <f>精英副本!M153</f>
        <v>1-3</v>
      </c>
      <c r="N151">
        <f>精英副本!N153</f>
        <v>920</v>
      </c>
      <c r="O151">
        <f>精英副本!O153</f>
        <v>120</v>
      </c>
      <c r="P151">
        <f>精英副本!P153</f>
        <v>10</v>
      </c>
      <c r="Q151">
        <f>精英副本!Q153</f>
        <v>10</v>
      </c>
      <c r="R151">
        <f>精英副本!R153</f>
        <v>0</v>
      </c>
      <c r="S151">
        <f>精英副本!S153</f>
        <v>1</v>
      </c>
      <c r="T151">
        <f>精英副本!T153</f>
        <v>76</v>
      </c>
      <c r="U151">
        <f>精英副本客户端!F95</f>
        <v>108003</v>
      </c>
    </row>
    <row r="152" spans="1:21">
      <c r="A152">
        <f>精英副本!A154</f>
        <v>108005</v>
      </c>
      <c r="B152" t="str">
        <f>精英副本!Y154</f>
        <v>勇气试炼（80）</v>
      </c>
      <c r="C152">
        <f>精英副本!C154</f>
        <v>0</v>
      </c>
      <c r="D152">
        <f>精英副本!D154</f>
        <v>0</v>
      </c>
      <c r="E152" t="str">
        <f>[1]map.xml!$E152</f>
        <v>1080051_1</v>
      </c>
      <c r="F152" t="str">
        <f>[1]map.xml!F152</f>
        <v>1_10000,2_0,3_0</v>
      </c>
      <c r="G152" t="str">
        <f>[1]map.xml!G152</f>
        <v>40000_50850075_1_342,40000_50801065_1_1060,4004078_0_1_7850,4004078_0_1_7850,4004078_0_1_7850,30000_90003_1_10000,30000_90004_1_7500</v>
      </c>
      <c r="H152">
        <f>[1]map.xml!H152</f>
        <v>0</v>
      </c>
      <c r="I152" t="str">
        <f>[1]map.xml!I152</f>
        <v>30000_90005_1_10000,4004078_0_1_7850,4004078_0_1_7850,4004078_0_1_7850</v>
      </c>
      <c r="J152">
        <f>[1]map.xml!J152</f>
        <v>0</v>
      </c>
      <c r="K152">
        <f>精英副本!K154</f>
        <v>100</v>
      </c>
      <c r="L152" t="str">
        <f>精英副本!L154</f>
        <v>map/map_001.png</v>
      </c>
      <c r="M152" t="str">
        <f>精英副本!M154</f>
        <v>1-3</v>
      </c>
      <c r="N152">
        <f>精英副本!N154</f>
        <v>920</v>
      </c>
      <c r="O152">
        <f>精英副本!O154</f>
        <v>120</v>
      </c>
      <c r="P152">
        <f>精英副本!P154</f>
        <v>10</v>
      </c>
      <c r="Q152">
        <f>精英副本!Q154</f>
        <v>10</v>
      </c>
      <c r="R152">
        <f>精英副本!R154</f>
        <v>0</v>
      </c>
      <c r="S152">
        <f>精英副本!S154</f>
        <v>1</v>
      </c>
      <c r="T152">
        <f>精英副本!T154</f>
        <v>76</v>
      </c>
      <c r="U152">
        <f>精英副本客户端!F96</f>
        <v>108004</v>
      </c>
    </row>
    <row r="153" spans="1:21">
      <c r="A153">
        <f>精英副本!A155</f>
        <v>108006</v>
      </c>
      <c r="B153" t="str">
        <f>精英副本!Y155</f>
        <v>勇气试炼（80）</v>
      </c>
      <c r="C153">
        <f>精英副本!C155</f>
        <v>0</v>
      </c>
      <c r="D153">
        <f>精英副本!D155</f>
        <v>0</v>
      </c>
      <c r="E153" t="str">
        <f>[1]map.xml!$E153</f>
        <v>1080061_1</v>
      </c>
      <c r="F153" t="str">
        <f>[1]map.xml!F153</f>
        <v>1_10000,2_0,3_0</v>
      </c>
      <c r="G153" t="str">
        <f>[1]map.xml!G153</f>
        <v>40000_50850095_1_335,40000_50803055_1_1050,4004078_0_1_7875,4004078_0_1_7875,4004078_0_1_7875,30000_90003_1_10000,30000_90004_1_8750</v>
      </c>
      <c r="H153">
        <f>[1]map.xml!H153</f>
        <v>0</v>
      </c>
      <c r="I153" t="str">
        <f>[1]map.xml!I153</f>
        <v>30000_90005_1_10000,4004078_0_1_7875,4004078_0_1_7875,4004078_0_1_7875</v>
      </c>
      <c r="J153">
        <f>[1]map.xml!J153</f>
        <v>0</v>
      </c>
      <c r="K153">
        <f>精英副本!K155</f>
        <v>100</v>
      </c>
      <c r="L153" t="str">
        <f>精英副本!L155</f>
        <v>map/map_001.png</v>
      </c>
      <c r="M153" t="str">
        <f>精英副本!M155</f>
        <v>1-3</v>
      </c>
      <c r="N153">
        <f>精英副本!N155</f>
        <v>920</v>
      </c>
      <c r="O153">
        <f>精英副本!O155</f>
        <v>120</v>
      </c>
      <c r="P153">
        <f>精英副本!P155</f>
        <v>10</v>
      </c>
      <c r="Q153">
        <f>精英副本!Q155</f>
        <v>10</v>
      </c>
      <c r="R153">
        <f>精英副本!R155</f>
        <v>0</v>
      </c>
      <c r="S153">
        <f>精英副本!S155</f>
        <v>1</v>
      </c>
      <c r="T153">
        <f>精英副本!T155</f>
        <v>76</v>
      </c>
      <c r="U153">
        <f>精英副本客户端!F97</f>
        <v>108005</v>
      </c>
    </row>
    <row r="154" spans="1:21">
      <c r="A154">
        <f>精英副本!A156</f>
        <v>108007</v>
      </c>
      <c r="B154" t="str">
        <f>精英副本!Y156</f>
        <v>勇气试炼（80）</v>
      </c>
      <c r="C154">
        <f>精英副本!C156</f>
        <v>0</v>
      </c>
      <c r="D154">
        <f>精英副本!D156</f>
        <v>0</v>
      </c>
      <c r="E154" t="str">
        <f>[1]map.xml!$E154</f>
        <v>1080071_1</v>
      </c>
      <c r="F154" t="str">
        <f>[1]map.xml!F154</f>
        <v>1_10000,2_0,3_0</v>
      </c>
      <c r="G154" t="str">
        <f>[1]map.xml!G154</f>
        <v>40000_50850015_1_328,40000_50803065_1_1040,4004078_0_1_7900,4004078_0_1_7900,4004078_0_1_7900,30000_90003_1_10000,30000_90004_1_8750</v>
      </c>
      <c r="H154">
        <f>[1]map.xml!H154</f>
        <v>0</v>
      </c>
      <c r="I154" t="str">
        <f>[1]map.xml!I154</f>
        <v>30000_90005_1_10000,4004078_0_1_7900,4004078_0_1_7900,4004078_0_1_7900</v>
      </c>
      <c r="J154">
        <f>[1]map.xml!J154</f>
        <v>0</v>
      </c>
      <c r="K154">
        <f>精英副本!K156</f>
        <v>100</v>
      </c>
      <c r="L154" t="str">
        <f>精英副本!L156</f>
        <v>map/map_001.png</v>
      </c>
      <c r="M154" t="str">
        <f>精英副本!M156</f>
        <v>1-3</v>
      </c>
      <c r="N154">
        <f>精英副本!N156</f>
        <v>920</v>
      </c>
      <c r="O154">
        <f>精英副本!O156</f>
        <v>120</v>
      </c>
      <c r="P154">
        <f>精英副本!P156</f>
        <v>10</v>
      </c>
      <c r="Q154">
        <f>精英副本!Q156</f>
        <v>10</v>
      </c>
      <c r="R154">
        <f>精英副本!R156</f>
        <v>0</v>
      </c>
      <c r="S154">
        <f>精英副本!S156</f>
        <v>1</v>
      </c>
      <c r="T154">
        <f>精英副本!T156</f>
        <v>76</v>
      </c>
      <c r="U154">
        <f>精英副本客户端!F98</f>
        <v>108006</v>
      </c>
    </row>
    <row r="155" spans="1:21">
      <c r="A155">
        <f>精英副本!A157</f>
        <v>108008</v>
      </c>
      <c r="B155" t="str">
        <f>精英副本!Y157</f>
        <v>勇气试炼（80）</v>
      </c>
      <c r="C155">
        <f>精英副本!C157</f>
        <v>0</v>
      </c>
      <c r="D155">
        <f>精英副本!D157</f>
        <v>0</v>
      </c>
      <c r="E155" t="str">
        <f>[1]map.xml!$E155</f>
        <v>1080081_1</v>
      </c>
      <c r="F155" t="str">
        <f>[1]map.xml!F155</f>
        <v>1_10000,2_0,3_0</v>
      </c>
      <c r="G155" t="str">
        <f>[1]map.xml!G155</f>
        <v>40000_50850035_1_321,40000_50800035_1_1030,4004078_0_1_7925,4004078_0_1_7925,4004078_0_1_7925,30000_90003_1_10000,30000_90004_1_8750</v>
      </c>
      <c r="H155">
        <f>[1]map.xml!H155</f>
        <v>0</v>
      </c>
      <c r="I155" t="str">
        <f>[1]map.xml!I155</f>
        <v>30000_90005_1_10000,4004078_0_1_7925,4004078_0_1_7925,4004078_0_1_7925</v>
      </c>
      <c r="J155">
        <f>[1]map.xml!J155</f>
        <v>0</v>
      </c>
      <c r="K155">
        <f>精英副本!K157</f>
        <v>100</v>
      </c>
      <c r="L155" t="str">
        <f>精英副本!L157</f>
        <v>map/map_001.png</v>
      </c>
      <c r="M155" t="str">
        <f>精英副本!M157</f>
        <v>1-3</v>
      </c>
      <c r="N155">
        <f>精英副本!N157</f>
        <v>920</v>
      </c>
      <c r="O155">
        <f>精英副本!O157</f>
        <v>120</v>
      </c>
      <c r="P155">
        <f>精英副本!P157</f>
        <v>10</v>
      </c>
      <c r="Q155">
        <f>精英副本!Q157</f>
        <v>10</v>
      </c>
      <c r="R155">
        <f>精英副本!R157</f>
        <v>0</v>
      </c>
      <c r="S155">
        <f>精英副本!S157</f>
        <v>1</v>
      </c>
      <c r="T155">
        <f>精英副本!T157</f>
        <v>76</v>
      </c>
      <c r="U155">
        <f>精英副本客户端!F99</f>
        <v>108007</v>
      </c>
    </row>
    <row r="156" spans="1:21">
      <c r="A156">
        <f>精英副本!A158</f>
        <v>108009</v>
      </c>
      <c r="B156" t="str">
        <f>精英副本!Y158</f>
        <v>勇气试炼（80）</v>
      </c>
      <c r="C156">
        <f>精英副本!C158</f>
        <v>0</v>
      </c>
      <c r="D156">
        <f>精英副本!D158</f>
        <v>0</v>
      </c>
      <c r="E156" t="str">
        <f>[1]map.xml!$E156</f>
        <v>1080091_1</v>
      </c>
      <c r="F156" t="str">
        <f>[1]map.xml!F156</f>
        <v>1_10000,2_0,3_0</v>
      </c>
      <c r="G156" t="str">
        <f>[1]map.xml!G156</f>
        <v>40000_50851056_1_314,40000_50851066_1_1020,4004078_0_1_7950,4004078_0_1_7950,4004078_0_1_7950,30000_90003_1_10000,30000_90004_1_10000</v>
      </c>
      <c r="H156">
        <f>[1]map.xml!H156</f>
        <v>0</v>
      </c>
      <c r="I156" t="str">
        <f>[1]map.xml!I156</f>
        <v>30000_90005_1_10000,4004078_0_1_7950,4004078_0_1_7950,4004078_0_1_7950</v>
      </c>
      <c r="J156">
        <f>[1]map.xml!J156</f>
        <v>0</v>
      </c>
      <c r="K156">
        <f>精英副本!K158</f>
        <v>100</v>
      </c>
      <c r="L156" t="str">
        <f>精英副本!L158</f>
        <v>map/map_001.png</v>
      </c>
      <c r="M156" t="str">
        <f>精英副本!M158</f>
        <v>1-3</v>
      </c>
      <c r="N156">
        <f>精英副本!N158</f>
        <v>920</v>
      </c>
      <c r="O156">
        <f>精英副本!O158</f>
        <v>120</v>
      </c>
      <c r="P156">
        <f>精英副本!P158</f>
        <v>10</v>
      </c>
      <c r="Q156">
        <f>精英副本!Q158</f>
        <v>10</v>
      </c>
      <c r="R156">
        <f>精英副本!R158</f>
        <v>0</v>
      </c>
      <c r="S156">
        <f>精英副本!S158</f>
        <v>1</v>
      </c>
      <c r="T156">
        <f>精英副本!T158</f>
        <v>76</v>
      </c>
      <c r="U156">
        <f>精英副本客户端!F100</f>
        <v>108008</v>
      </c>
    </row>
    <row r="157" spans="1:21">
      <c r="A157">
        <f>精英副本!A159</f>
        <v>108501</v>
      </c>
      <c r="B157" t="str">
        <f>精英副本!Y159</f>
        <v>无畏试炼（85）</v>
      </c>
      <c r="C157">
        <f>精英副本!C159</f>
        <v>0</v>
      </c>
      <c r="D157">
        <f>精英副本!D159</f>
        <v>0</v>
      </c>
      <c r="E157" t="str">
        <f>[1]map.xml!$E157</f>
        <v>1085011_1</v>
      </c>
      <c r="F157" t="str">
        <f>[1]map.xml!F157</f>
        <v>1_10000,2_0,3_0</v>
      </c>
      <c r="G157" t="str">
        <f>[1]map.xml!G157</f>
        <v>40000_50900105_1_307,40000_50852065_1_1010,4004082_0_1_7975,4004082_0_1_7975,4004082_0_1_7975,30000_90004_1_10000,30000_90005_1_1400</v>
      </c>
      <c r="H157">
        <f>[1]map.xml!H157</f>
        <v>0</v>
      </c>
      <c r="I157" t="str">
        <f>[1]map.xml!I157</f>
        <v>30000_90006_1_10000,4004082_0_1_7975,4004082_0_1_7975,4004082_0_1_7975</v>
      </c>
      <c r="J157">
        <f>[1]map.xml!J157</f>
        <v>0</v>
      </c>
      <c r="K157">
        <f>精英副本!K159</f>
        <v>100</v>
      </c>
      <c r="L157" t="str">
        <f>精英副本!L159</f>
        <v>map/map_001.png</v>
      </c>
      <c r="M157" t="str">
        <f>精英副本!M159</f>
        <v>1-3</v>
      </c>
      <c r="N157">
        <f>精英副本!N159</f>
        <v>920</v>
      </c>
      <c r="O157">
        <f>精英副本!O159</f>
        <v>120</v>
      </c>
      <c r="P157">
        <f>精英副本!P159</f>
        <v>10</v>
      </c>
      <c r="Q157">
        <f>精英副本!Q159</f>
        <v>10</v>
      </c>
      <c r="R157">
        <f>精英副本!R159</f>
        <v>0</v>
      </c>
      <c r="S157">
        <f>精英副本!S159</f>
        <v>1</v>
      </c>
      <c r="T157">
        <f>精英副本!T159</f>
        <v>81</v>
      </c>
      <c r="U157">
        <f>精英副本客户端!F101</f>
        <v>0</v>
      </c>
    </row>
    <row r="158" spans="1:21">
      <c r="A158">
        <f>精英副本!A160</f>
        <v>108502</v>
      </c>
      <c r="B158" t="str">
        <f>精英副本!Y160</f>
        <v>无畏试炼（85）</v>
      </c>
      <c r="C158">
        <f>精英副本!C160</f>
        <v>0</v>
      </c>
      <c r="D158">
        <f>精英副本!D160</f>
        <v>0</v>
      </c>
      <c r="E158" t="str">
        <f>[1]map.xml!$E158</f>
        <v>1085021_1</v>
      </c>
      <c r="F158" t="str">
        <f>[1]map.xml!F158</f>
        <v>1_10000,2_0,3_0</v>
      </c>
      <c r="G158" t="str">
        <f>[1]map.xml!G158</f>
        <v>40000_50900025_1_300,40000_50853065_1_1000,4004082_0_1_8000,4004082_0_1_8000,4004082_0_1_8000,30000_90004_1_10000,30000_90005_1_1400</v>
      </c>
      <c r="H158">
        <f>[1]map.xml!H158</f>
        <v>0</v>
      </c>
      <c r="I158" t="str">
        <f>[1]map.xml!I158</f>
        <v>30000_90006_1_10000,4004082_0_1_8000,4004082_0_1_8000,4004082_0_1_8000</v>
      </c>
      <c r="J158">
        <f>[1]map.xml!J158</f>
        <v>0</v>
      </c>
      <c r="K158">
        <f>精英副本!K160</f>
        <v>100</v>
      </c>
      <c r="L158" t="str">
        <f>精英副本!L160</f>
        <v>map/map_001.png</v>
      </c>
      <c r="M158" t="str">
        <f>精英副本!M160</f>
        <v>1-3</v>
      </c>
      <c r="N158">
        <f>精英副本!N160</f>
        <v>920</v>
      </c>
      <c r="O158">
        <f>精英副本!O160</f>
        <v>120</v>
      </c>
      <c r="P158">
        <f>精英副本!P160</f>
        <v>10</v>
      </c>
      <c r="Q158">
        <f>精英副本!Q160</f>
        <v>10</v>
      </c>
      <c r="R158">
        <f>精英副本!R160</f>
        <v>0</v>
      </c>
      <c r="S158">
        <f>精英副本!S160</f>
        <v>1</v>
      </c>
      <c r="T158">
        <f>精英副本!T160</f>
        <v>81</v>
      </c>
      <c r="U158">
        <f>精英副本客户端!F102</f>
        <v>108501</v>
      </c>
    </row>
    <row r="159" spans="1:21">
      <c r="A159">
        <f>精英副本!A161</f>
        <v>108503</v>
      </c>
      <c r="B159" t="str">
        <f>精英副本!Y161</f>
        <v>无畏试炼（85）</v>
      </c>
      <c r="C159">
        <f>精英副本!C161</f>
        <v>0</v>
      </c>
      <c r="D159">
        <f>精英副本!D161</f>
        <v>0</v>
      </c>
      <c r="E159" t="str">
        <f>[1]map.xml!$E159</f>
        <v>1085031_1</v>
      </c>
      <c r="F159" t="str">
        <f>[1]map.xml!F159</f>
        <v>1_10000,2_0,3_0</v>
      </c>
      <c r="G159" t="str">
        <f>[1]map.xml!G159</f>
        <v>40000_50900045_1_293,40000_50851055_1_990,4004082_0_1_8025,4004082_0_1_8025,4004082_0_1_8025,30000_90004_1_10000,30000_90005_1_2800</v>
      </c>
      <c r="H159">
        <f>[1]map.xml!H159</f>
        <v>0</v>
      </c>
      <c r="I159" t="str">
        <f>[1]map.xml!I159</f>
        <v>30000_90006_1_10000,4004082_0_1_8025,4004082_0_1_8025,4004082_0_1_8025</v>
      </c>
      <c r="J159">
        <f>[1]map.xml!J159</f>
        <v>0</v>
      </c>
      <c r="K159">
        <f>精英副本!K161</f>
        <v>100</v>
      </c>
      <c r="L159" t="str">
        <f>精英副本!L161</f>
        <v>map/map_001.png</v>
      </c>
      <c r="M159" t="str">
        <f>精英副本!M161</f>
        <v>1-3</v>
      </c>
      <c r="N159">
        <f>精英副本!N161</f>
        <v>920</v>
      </c>
      <c r="O159">
        <f>精英副本!O161</f>
        <v>120</v>
      </c>
      <c r="P159">
        <f>精英副本!P161</f>
        <v>10</v>
      </c>
      <c r="Q159">
        <f>精英副本!Q161</f>
        <v>10</v>
      </c>
      <c r="R159">
        <f>精英副本!R161</f>
        <v>0</v>
      </c>
      <c r="S159">
        <f>精英副本!S161</f>
        <v>1</v>
      </c>
      <c r="T159">
        <f>精英副本!T161</f>
        <v>81</v>
      </c>
      <c r="U159">
        <f>精英副本客户端!F103</f>
        <v>108502</v>
      </c>
    </row>
    <row r="160" spans="1:21">
      <c r="A160">
        <f>精英副本!A162</f>
        <v>108504</v>
      </c>
      <c r="B160" t="str">
        <f>精英副本!Y162</f>
        <v>无畏试炼（85）</v>
      </c>
      <c r="C160">
        <f>精英副本!C162</f>
        <v>0</v>
      </c>
      <c r="D160">
        <f>精英副本!D162</f>
        <v>0</v>
      </c>
      <c r="E160" t="str">
        <f>[1]map.xml!$E160</f>
        <v>1085041_1</v>
      </c>
      <c r="F160" t="str">
        <f>[1]map.xml!F160</f>
        <v>1_10000,2_0,3_0</v>
      </c>
      <c r="G160" t="str">
        <f>[1]map.xml!G160</f>
        <v>40000_50900075_1_286,40000_50851065_1_980,4004082_0_1_8050,4004082_0_1_8050,4004082_0_1_8050,30000_90004_1_10000,30000_90005_1_2800</v>
      </c>
      <c r="H160">
        <f>[1]map.xml!H160</f>
        <v>0</v>
      </c>
      <c r="I160" t="str">
        <f>[1]map.xml!I160</f>
        <v>30000_90006_1_10000,4004082_0_1_8050,4004082_0_1_8050,4004082_0_1_8050</v>
      </c>
      <c r="J160">
        <f>[1]map.xml!J160</f>
        <v>0</v>
      </c>
      <c r="K160">
        <f>精英副本!K162</f>
        <v>100</v>
      </c>
      <c r="L160" t="str">
        <f>精英副本!L162</f>
        <v>map/map_001.png</v>
      </c>
      <c r="M160" t="str">
        <f>精英副本!M162</f>
        <v>1-3</v>
      </c>
      <c r="N160">
        <f>精英副本!N162</f>
        <v>920</v>
      </c>
      <c r="O160">
        <f>精英副本!O162</f>
        <v>120</v>
      </c>
      <c r="P160">
        <f>精英副本!P162</f>
        <v>10</v>
      </c>
      <c r="Q160">
        <f>精英副本!Q162</f>
        <v>10</v>
      </c>
      <c r="R160">
        <f>精英副本!R162</f>
        <v>0</v>
      </c>
      <c r="S160">
        <f>精英副本!S162</f>
        <v>1</v>
      </c>
      <c r="T160">
        <f>精英副本!T162</f>
        <v>81</v>
      </c>
      <c r="U160">
        <f>精英副本客户端!F104</f>
        <v>108503</v>
      </c>
    </row>
    <row r="161" spans="1:21">
      <c r="A161">
        <f>精英副本!A163</f>
        <v>108505</v>
      </c>
      <c r="B161" t="str">
        <f>精英副本!Y163</f>
        <v>无畏试炼（85）</v>
      </c>
      <c r="C161">
        <f>精英副本!C163</f>
        <v>0</v>
      </c>
      <c r="D161">
        <f>精英副本!D163</f>
        <v>0</v>
      </c>
      <c r="E161" t="str">
        <f>[1]map.xml!$E161</f>
        <v>1085051_1,1085052_1,1085053_1</v>
      </c>
      <c r="F161" t="str">
        <f>[1]map.xml!F161</f>
        <v>1_0,2_0,3_10000</v>
      </c>
      <c r="G161" t="str">
        <f>[1]map.xml!G161</f>
        <v>40000_50900085_1_279,40000_50850035_1_970,4004082_0_1_8075,4004082_0_1_8075,4004082_0_1_8075,30000_90004_1_10000,30000_90005_1_2800</v>
      </c>
      <c r="H161">
        <f>[1]map.xml!H161</f>
        <v>0</v>
      </c>
      <c r="I161" t="str">
        <f>[1]map.xml!I161</f>
        <v>30000_90006_1_10000,4004082_0_1_8075,4004082_0_1_8075,4004082_0_1_8075</v>
      </c>
      <c r="J161">
        <f>[1]map.xml!J161</f>
        <v>0</v>
      </c>
      <c r="K161">
        <f>精英副本!K163</f>
        <v>100</v>
      </c>
      <c r="L161" t="str">
        <f>精英副本!L163</f>
        <v>map/map_001.png</v>
      </c>
      <c r="M161" t="str">
        <f>精英副本!M163</f>
        <v>1-3</v>
      </c>
      <c r="N161">
        <f>精英副本!N163</f>
        <v>920</v>
      </c>
      <c r="O161">
        <f>精英副本!O163</f>
        <v>120</v>
      </c>
      <c r="P161">
        <f>精英副本!P163</f>
        <v>10</v>
      </c>
      <c r="Q161">
        <f>精英副本!Q163</f>
        <v>10</v>
      </c>
      <c r="R161">
        <f>精英副本!R163</f>
        <v>0</v>
      </c>
      <c r="S161">
        <f>精英副本!S163</f>
        <v>1</v>
      </c>
      <c r="T161">
        <f>精英副本!T163</f>
        <v>81</v>
      </c>
      <c r="U161">
        <f>精英副本客户端!F105</f>
        <v>108504</v>
      </c>
    </row>
    <row r="162" spans="1:21">
      <c r="A162">
        <f>精英副本!A164</f>
        <v>108506</v>
      </c>
      <c r="B162" t="str">
        <f>精英副本!Y164</f>
        <v>无畏试炼（85）</v>
      </c>
      <c r="C162">
        <f>精英副本!C164</f>
        <v>0</v>
      </c>
      <c r="D162">
        <f>精英副本!D164</f>
        <v>0</v>
      </c>
      <c r="E162" t="str">
        <f>[1]map.xml!$E162</f>
        <v>1085061_1</v>
      </c>
      <c r="F162" t="str">
        <f>[1]map.xml!F162</f>
        <v>1_10000,2_0,3_0</v>
      </c>
      <c r="G162" t="str">
        <f>[1]map.xml!G162</f>
        <v>40000_50900095_1_272,40000_50850015_1_960,4004082_0_1_8100,4004082_0_1_8100,4004082_0_1_8100,30000_90004_1_10000,30000_90005_1_4200</v>
      </c>
      <c r="H162">
        <f>[1]map.xml!H162</f>
        <v>0</v>
      </c>
      <c r="I162" t="str">
        <f>[1]map.xml!I162</f>
        <v>30000_90006_1_10000,4004082_0_1_8100,4004082_0_1_8100,4004082_0_1_8100</v>
      </c>
      <c r="J162">
        <f>[1]map.xml!J162</f>
        <v>0</v>
      </c>
      <c r="K162">
        <f>精英副本!K164</f>
        <v>100</v>
      </c>
      <c r="L162" t="str">
        <f>精英副本!L164</f>
        <v>map/map_001.png</v>
      </c>
      <c r="M162" t="str">
        <f>精英副本!M164</f>
        <v>1-3</v>
      </c>
      <c r="N162">
        <f>精英副本!N164</f>
        <v>920</v>
      </c>
      <c r="O162">
        <f>精英副本!O164</f>
        <v>120</v>
      </c>
      <c r="P162">
        <f>精英副本!P164</f>
        <v>10</v>
      </c>
      <c r="Q162">
        <f>精英副本!Q164</f>
        <v>10</v>
      </c>
      <c r="R162">
        <f>精英副本!R164</f>
        <v>0</v>
      </c>
      <c r="S162">
        <f>精英副本!S164</f>
        <v>1</v>
      </c>
      <c r="T162">
        <f>精英副本!T164</f>
        <v>81</v>
      </c>
      <c r="U162">
        <f>精英副本客户端!F106</f>
        <v>108505</v>
      </c>
    </row>
    <row r="163" spans="1:21">
      <c r="A163">
        <f>精英副本!A165</f>
        <v>108507</v>
      </c>
      <c r="B163" t="str">
        <f>精英副本!Y165</f>
        <v>无畏试炼（85）</v>
      </c>
      <c r="C163">
        <f>精英副本!C165</f>
        <v>0</v>
      </c>
      <c r="D163">
        <f>精英副本!D165</f>
        <v>0</v>
      </c>
      <c r="E163" t="str">
        <f>[1]map.xml!$E163</f>
        <v>1085071_1</v>
      </c>
      <c r="F163" t="str">
        <f>[1]map.xml!F163</f>
        <v>1_10000,2_0,3_0</v>
      </c>
      <c r="G163" t="str">
        <f>[1]map.xml!G163</f>
        <v>40000_50900015_1_265,40000_50853055_1_950,4004082_0_1_8125,4004082_0_1_8125,4004082_0_1_8125,30000_90004_1_10000,30000_90005_1_4200</v>
      </c>
      <c r="H163">
        <f>[1]map.xml!H163</f>
        <v>0</v>
      </c>
      <c r="I163" t="str">
        <f>[1]map.xml!I163</f>
        <v>30000_90006_1_10000,4004082_0_1_8125,4004082_0_1_8125,4004082_0_1_8125</v>
      </c>
      <c r="J163">
        <f>[1]map.xml!J163</f>
        <v>0</v>
      </c>
      <c r="K163">
        <f>精英副本!K165</f>
        <v>100</v>
      </c>
      <c r="L163" t="str">
        <f>精英副本!L165</f>
        <v>map/map_001.png</v>
      </c>
      <c r="M163" t="str">
        <f>精英副本!M165</f>
        <v>1-3</v>
      </c>
      <c r="N163">
        <f>精英副本!N165</f>
        <v>920</v>
      </c>
      <c r="O163">
        <f>精英副本!O165</f>
        <v>120</v>
      </c>
      <c r="P163">
        <f>精英副本!P165</f>
        <v>10</v>
      </c>
      <c r="Q163">
        <f>精英副本!Q165</f>
        <v>10</v>
      </c>
      <c r="R163">
        <f>精英副本!R165</f>
        <v>0</v>
      </c>
      <c r="S163">
        <f>精英副本!S165</f>
        <v>1</v>
      </c>
      <c r="T163">
        <f>精英副本!T165</f>
        <v>81</v>
      </c>
      <c r="U163">
        <f>精英副本客户端!F107</f>
        <v>108506</v>
      </c>
    </row>
    <row r="164" spans="1:21">
      <c r="A164">
        <f>精英副本!A166</f>
        <v>108508</v>
      </c>
      <c r="B164" t="str">
        <f>精英副本!Y166</f>
        <v>无畏试炼（85）</v>
      </c>
      <c r="C164">
        <f>精英副本!C166</f>
        <v>0</v>
      </c>
      <c r="D164">
        <f>精英副本!D166</f>
        <v>0</v>
      </c>
      <c r="E164" t="str">
        <f>[1]map.xml!$E164</f>
        <v>1085081_1</v>
      </c>
      <c r="F164" t="str">
        <f>[1]map.xml!F164</f>
        <v>1_10000,2_0,3_0</v>
      </c>
      <c r="G164" t="str">
        <f>[1]map.xml!G164</f>
        <v>40000_50900035_1_258,40000_50852055_1_940,4004082_0_1_8150,4004082_0_1_8150,4004082_0_1_8150,30000_90004_1_10000,30000_90005_1_4200</v>
      </c>
      <c r="H164">
        <f>[1]map.xml!H164</f>
        <v>0</v>
      </c>
      <c r="I164" t="str">
        <f>[1]map.xml!I164</f>
        <v>30000_90006_1_10000,4004082_0_1_8150,4004082_0_1_8150,4004082_0_1_8150</v>
      </c>
      <c r="J164">
        <f>[1]map.xml!J164</f>
        <v>0</v>
      </c>
      <c r="K164">
        <f>精英副本!K166</f>
        <v>100</v>
      </c>
      <c r="L164" t="str">
        <f>精英副本!L166</f>
        <v>map/map_001.png</v>
      </c>
      <c r="M164" t="str">
        <f>精英副本!M166</f>
        <v>1-3</v>
      </c>
      <c r="N164">
        <f>精英副本!N166</f>
        <v>920</v>
      </c>
      <c r="O164">
        <f>精英副本!O166</f>
        <v>120</v>
      </c>
      <c r="P164">
        <f>精英副本!P166</f>
        <v>10</v>
      </c>
      <c r="Q164">
        <f>精英副本!Q166</f>
        <v>10</v>
      </c>
      <c r="R164">
        <f>精英副本!R166</f>
        <v>0</v>
      </c>
      <c r="S164">
        <f>精英副本!S166</f>
        <v>1</v>
      </c>
      <c r="T164">
        <f>精英副本!T166</f>
        <v>81</v>
      </c>
      <c r="U164">
        <f>精英副本客户端!F108</f>
        <v>108507</v>
      </c>
    </row>
    <row r="165" spans="1:21">
      <c r="A165">
        <f>精英副本!A167</f>
        <v>108509</v>
      </c>
      <c r="B165" t="str">
        <f>精英副本!Y167</f>
        <v>无畏试炼（85）</v>
      </c>
      <c r="C165">
        <f>精英副本!C167</f>
        <v>0</v>
      </c>
      <c r="D165">
        <f>精英副本!D167</f>
        <v>0</v>
      </c>
      <c r="E165" t="str">
        <f>[1]map.xml!$E165</f>
        <v>1085091_1</v>
      </c>
      <c r="F165" t="str">
        <f>[1]map.xml!F165</f>
        <v>1_10000,2_0,3_0</v>
      </c>
      <c r="G165" t="str">
        <f>[1]map.xml!G165</f>
        <v>40000_50901055_1_251,40000_50901066_1_930,4004082_0_1_8175,4004082_0_1_8175,4004082_0_1_8175,30000_90004_1_10000,30000_90005_1_5600</v>
      </c>
      <c r="H165">
        <f>[1]map.xml!H165</f>
        <v>0</v>
      </c>
      <c r="I165" t="str">
        <f>[1]map.xml!I165</f>
        <v>30000_90006_1_10000,4004082_0_1_8175,4004082_0_1_8175,4004082_0_1_8175</v>
      </c>
      <c r="J165">
        <f>[1]map.xml!J165</f>
        <v>0</v>
      </c>
      <c r="K165">
        <f>精英副本!K167</f>
        <v>100</v>
      </c>
      <c r="L165" t="str">
        <f>精英副本!L167</f>
        <v>map/map_001.png</v>
      </c>
      <c r="M165" t="str">
        <f>精英副本!M167</f>
        <v>1-3</v>
      </c>
      <c r="N165">
        <f>精英副本!N167</f>
        <v>920</v>
      </c>
      <c r="O165">
        <f>精英副本!O167</f>
        <v>120</v>
      </c>
      <c r="P165">
        <f>精英副本!P167</f>
        <v>10</v>
      </c>
      <c r="Q165">
        <f>精英副本!Q167</f>
        <v>10</v>
      </c>
      <c r="R165">
        <f>精英副本!R167</f>
        <v>0</v>
      </c>
      <c r="S165">
        <f>精英副本!S167</f>
        <v>1</v>
      </c>
      <c r="T165">
        <f>精英副本!T167</f>
        <v>81</v>
      </c>
      <c r="U165">
        <f>精英副本客户端!F109</f>
        <v>108508</v>
      </c>
    </row>
    <row r="166" spans="1:21">
      <c r="A166">
        <f>精英副本!A168</f>
        <v>109001</v>
      </c>
      <c r="B166" t="str">
        <f>精英副本!Y168</f>
        <v>无畏试炼（90）</v>
      </c>
      <c r="C166">
        <f>精英副本!C168</f>
        <v>0</v>
      </c>
      <c r="D166">
        <f>精英副本!D168</f>
        <v>0</v>
      </c>
      <c r="E166" t="str">
        <f>[1]map.xml!$E166</f>
        <v>1090011_1</v>
      </c>
      <c r="F166" t="str">
        <f>[1]map.xml!F166</f>
        <v>1_10000,2_0,3_0</v>
      </c>
      <c r="G166" t="str">
        <f>[1]map.xml!G166</f>
        <v>40000_50900105_1_244,40000_50902055_1_920,4004086_0_1_8200,4004086_0_1_8200,4004086_0_1_8200,30000_90004_1_10000,30000_90005_1_2800</v>
      </c>
      <c r="H166">
        <f>[1]map.xml!H166</f>
        <v>0</v>
      </c>
      <c r="I166" t="str">
        <f>[1]map.xml!I166</f>
        <v>30000_90006_1_10000,4004086_0_1_8200,4004086_0_1_8200,4004086_0_1_8200</v>
      </c>
      <c r="J166">
        <f>[1]map.xml!J166</f>
        <v>0</v>
      </c>
      <c r="K166">
        <f>精英副本!K168</f>
        <v>100</v>
      </c>
      <c r="L166" t="str">
        <f>精英副本!L168</f>
        <v>map/map_001.png</v>
      </c>
      <c r="M166" t="str">
        <f>精英副本!M168</f>
        <v>1-3</v>
      </c>
      <c r="N166">
        <f>精英副本!N168</f>
        <v>920</v>
      </c>
      <c r="O166">
        <f>精英副本!O168</f>
        <v>120</v>
      </c>
      <c r="P166">
        <f>精英副本!P168</f>
        <v>10</v>
      </c>
      <c r="Q166">
        <f>精英副本!Q168</f>
        <v>10</v>
      </c>
      <c r="R166">
        <f>精英副本!R168</f>
        <v>0</v>
      </c>
      <c r="S166">
        <f>精英副本!S168</f>
        <v>1</v>
      </c>
      <c r="T166">
        <f>精英副本!T168</f>
        <v>86</v>
      </c>
      <c r="U166">
        <f>精英副本客户端!F110</f>
        <v>0</v>
      </c>
    </row>
    <row r="167" spans="1:21">
      <c r="A167">
        <f>精英副本!A169</f>
        <v>109002</v>
      </c>
      <c r="B167" t="str">
        <f>精英副本!Y169</f>
        <v>无畏试炼（90）</v>
      </c>
      <c r="C167">
        <f>精英副本!C169</f>
        <v>0</v>
      </c>
      <c r="D167">
        <f>精英副本!D169</f>
        <v>0</v>
      </c>
      <c r="E167" t="str">
        <f>[1]map.xml!$E167</f>
        <v>1090021_1</v>
      </c>
      <c r="F167" t="str">
        <f>[1]map.xml!F167</f>
        <v>1_10000,2_0,3_0</v>
      </c>
      <c r="G167" t="str">
        <f>[1]map.xml!G167</f>
        <v>40000_50900025_1_237,40000_50900035_1_910,4004086_0_1_8225,4004086_0_1_8225,4004086_0_1_8225,30000_90004_1_10000,30000_90005_1_2800</v>
      </c>
      <c r="H167">
        <f>[1]map.xml!H167</f>
        <v>0</v>
      </c>
      <c r="I167" t="str">
        <f>[1]map.xml!I167</f>
        <v>30000_90006_1_10000,4004086_0_1_8225,4004086_0_1_8225,4004086_0_1_8225</v>
      </c>
      <c r="J167">
        <f>[1]map.xml!J167</f>
        <v>0</v>
      </c>
      <c r="K167">
        <f>精英副本!K169</f>
        <v>100</v>
      </c>
      <c r="L167" t="str">
        <f>精英副本!L169</f>
        <v>map/map_001.png</v>
      </c>
      <c r="M167" t="str">
        <f>精英副本!M169</f>
        <v>1-3</v>
      </c>
      <c r="N167">
        <f>精英副本!N169</f>
        <v>920</v>
      </c>
      <c r="O167">
        <f>精英副本!O169</f>
        <v>120</v>
      </c>
      <c r="P167">
        <f>精英副本!P169</f>
        <v>10</v>
      </c>
      <c r="Q167">
        <f>精英副本!Q169</f>
        <v>10</v>
      </c>
      <c r="R167">
        <f>精英副本!R169</f>
        <v>0</v>
      </c>
      <c r="S167">
        <f>精英副本!S169</f>
        <v>1</v>
      </c>
      <c r="T167">
        <f>精英副本!T169</f>
        <v>86</v>
      </c>
      <c r="U167">
        <f>精英副本客户端!F111</f>
        <v>109001</v>
      </c>
    </row>
    <row r="168" spans="1:21">
      <c r="A168">
        <f>精英副本!A170</f>
        <v>109003</v>
      </c>
      <c r="B168" t="str">
        <f>精英副本!Y170</f>
        <v>无畏试炼（90）</v>
      </c>
      <c r="C168">
        <f>精英副本!C170</f>
        <v>0</v>
      </c>
      <c r="D168">
        <f>精英副本!D170</f>
        <v>0</v>
      </c>
      <c r="E168" t="str">
        <f>[1]map.xml!$E168</f>
        <v>1090031_1</v>
      </c>
      <c r="F168" t="str">
        <f>[1]map.xml!F168</f>
        <v>1_10000,2_0,3_0</v>
      </c>
      <c r="G168" t="str">
        <f>[1]map.xml!G168</f>
        <v>40000_50900046_1_230,40000_50902065_1_900,4004086_0_1_8250,4004086_0_1_8250,4004086_0_1_8250,30000_90004_1_10000,30000_90005_1_4200</v>
      </c>
      <c r="H168">
        <f>[1]map.xml!H168</f>
        <v>0</v>
      </c>
      <c r="I168" t="str">
        <f>[1]map.xml!I168</f>
        <v>30000_90006_1_10000,4004086_0_1_8250,4004086_0_1_8250,4004086_0_1_8250</v>
      </c>
      <c r="J168">
        <f>[1]map.xml!J168</f>
        <v>0</v>
      </c>
      <c r="K168">
        <f>精英副本!K170</f>
        <v>100</v>
      </c>
      <c r="L168" t="str">
        <f>精英副本!L170</f>
        <v>map/map_001.png</v>
      </c>
      <c r="M168" t="str">
        <f>精英副本!M170</f>
        <v>1-3</v>
      </c>
      <c r="N168">
        <f>精英副本!N170</f>
        <v>920</v>
      </c>
      <c r="O168">
        <f>精英副本!O170</f>
        <v>120</v>
      </c>
      <c r="P168">
        <f>精英副本!P170</f>
        <v>10</v>
      </c>
      <c r="Q168">
        <f>精英副本!Q170</f>
        <v>10</v>
      </c>
      <c r="R168">
        <f>精英副本!R170</f>
        <v>0</v>
      </c>
      <c r="S168">
        <f>精英副本!S170</f>
        <v>1</v>
      </c>
      <c r="T168">
        <f>精英副本!T170</f>
        <v>86</v>
      </c>
      <c r="U168">
        <f>精英副本客户端!F112</f>
        <v>109002</v>
      </c>
    </row>
    <row r="169" spans="1:21">
      <c r="A169">
        <f>精英副本!A171</f>
        <v>109004</v>
      </c>
      <c r="B169" t="str">
        <f>精英副本!Y171</f>
        <v>无畏试炼（90）</v>
      </c>
      <c r="C169">
        <f>精英副本!C171</f>
        <v>0</v>
      </c>
      <c r="D169">
        <f>精英副本!D171</f>
        <v>0</v>
      </c>
      <c r="E169" t="str">
        <f>[1]map.xml!$E169</f>
        <v>1090041_1</v>
      </c>
      <c r="F169" t="str">
        <f>[1]map.xml!F169</f>
        <v>1_10000,2_0,3_0</v>
      </c>
      <c r="G169" t="str">
        <f>[1]map.xml!G169</f>
        <v>40000_50900076_1_223,40000_50901055_1_890,4004086_0_1_8275,4004086_0_1_8275,4004086_0_1_8275,30000_90004_1_10000,30000_90005_1_4200</v>
      </c>
      <c r="H169">
        <f>[1]map.xml!H169</f>
        <v>0</v>
      </c>
      <c r="I169" t="str">
        <f>[1]map.xml!I169</f>
        <v>30000_90006_1_10000,4004086_0_1_8275,4004086_0_1_8275,4004086_0_1_8275</v>
      </c>
      <c r="J169">
        <f>[1]map.xml!J169</f>
        <v>0</v>
      </c>
      <c r="K169">
        <f>精英副本!K171</f>
        <v>100</v>
      </c>
      <c r="L169" t="str">
        <f>精英副本!L171</f>
        <v>map/map_001.png</v>
      </c>
      <c r="M169" t="str">
        <f>精英副本!M171</f>
        <v>1-3</v>
      </c>
      <c r="N169">
        <f>精英副本!N171</f>
        <v>920</v>
      </c>
      <c r="O169">
        <f>精英副本!O171</f>
        <v>120</v>
      </c>
      <c r="P169">
        <f>精英副本!P171</f>
        <v>10</v>
      </c>
      <c r="Q169">
        <f>精英副本!Q171</f>
        <v>10</v>
      </c>
      <c r="R169">
        <f>精英副本!R171</f>
        <v>0</v>
      </c>
      <c r="S169">
        <f>精英副本!S171</f>
        <v>1</v>
      </c>
      <c r="T169">
        <f>精英副本!T171</f>
        <v>86</v>
      </c>
      <c r="U169">
        <f>精英副本客户端!F113</f>
        <v>109003</v>
      </c>
    </row>
    <row r="170" spans="1:21">
      <c r="A170">
        <f>精英副本!A172</f>
        <v>109005</v>
      </c>
      <c r="B170" t="str">
        <f>精英副本!Y172</f>
        <v>无畏试炼（90）</v>
      </c>
      <c r="C170">
        <f>精英副本!C172</f>
        <v>0</v>
      </c>
      <c r="D170">
        <f>精英副本!D172</f>
        <v>0</v>
      </c>
      <c r="E170" t="str">
        <f>[1]map.xml!$E170</f>
        <v>1090051_1,1090052_1,1090053_1</v>
      </c>
      <c r="F170" t="str">
        <f>[1]map.xml!F170</f>
        <v>1_0,2_0,3_10000</v>
      </c>
      <c r="G170" t="str">
        <f>[1]map.xml!G170</f>
        <v>40000_50900085_1_216,40000_50901065_1_880,4004086_0_1_8300,4004086_0_1_8300,4004086_0_1_8300,30000_90004_1_10000,30000_90005_1_4200</v>
      </c>
      <c r="H170">
        <f>[1]map.xml!H170</f>
        <v>0</v>
      </c>
      <c r="I170" t="str">
        <f>[1]map.xml!I170</f>
        <v>30000_90006_1_10000,4004086_0_1_8300,4004086_0_1_8300,4004086_0_1_8300</v>
      </c>
      <c r="J170">
        <f>[1]map.xml!J170</f>
        <v>0</v>
      </c>
      <c r="K170">
        <f>精英副本!K172</f>
        <v>100</v>
      </c>
      <c r="L170" t="str">
        <f>精英副本!L172</f>
        <v>map/map_001.png</v>
      </c>
      <c r="M170" t="str">
        <f>精英副本!M172</f>
        <v>1-3</v>
      </c>
      <c r="N170">
        <f>精英副本!N172</f>
        <v>920</v>
      </c>
      <c r="O170">
        <f>精英副本!O172</f>
        <v>120</v>
      </c>
      <c r="P170">
        <f>精英副本!P172</f>
        <v>10</v>
      </c>
      <c r="Q170">
        <f>精英副本!Q172</f>
        <v>10</v>
      </c>
      <c r="R170">
        <f>精英副本!R172</f>
        <v>0</v>
      </c>
      <c r="S170">
        <f>精英副本!S172</f>
        <v>1</v>
      </c>
      <c r="T170">
        <f>精英副本!T172</f>
        <v>86</v>
      </c>
      <c r="U170">
        <f>精英副本客户端!F114</f>
        <v>109004</v>
      </c>
    </row>
    <row r="171" spans="1:21">
      <c r="A171">
        <f>精英副本!A173</f>
        <v>109006</v>
      </c>
      <c r="B171" t="str">
        <f>精英副本!Y173</f>
        <v>无畏试炼（90）</v>
      </c>
      <c r="C171">
        <f>精英副本!C173</f>
        <v>0</v>
      </c>
      <c r="D171">
        <f>精英副本!D173</f>
        <v>0</v>
      </c>
      <c r="E171" t="str">
        <f>[1]map.xml!$E171</f>
        <v>1090061_1</v>
      </c>
      <c r="F171" t="str">
        <f>[1]map.xml!F171</f>
        <v>1_10000,2_0,3_0</v>
      </c>
      <c r="G171" t="str">
        <f>[1]map.xml!G171</f>
        <v>40000_50900095_1_209,40000_50900015_1_870,4004086_0_1_8325,4004086_0_1_8325,4004086_0_1_8325,30000_90004_1_10000,30000_90005_1_5600</v>
      </c>
      <c r="H171">
        <f>[1]map.xml!H171</f>
        <v>0</v>
      </c>
      <c r="I171" t="str">
        <f>[1]map.xml!I171</f>
        <v>30000_90006_1_10000,4004086_0_1_8325,4004086_0_1_8325,4004086_0_1_8325</v>
      </c>
      <c r="J171">
        <f>[1]map.xml!J171</f>
        <v>0</v>
      </c>
      <c r="K171">
        <f>精英副本!K173</f>
        <v>100</v>
      </c>
      <c r="L171" t="str">
        <f>精英副本!L173</f>
        <v>map/map_001.png</v>
      </c>
      <c r="M171" t="str">
        <f>精英副本!M173</f>
        <v>1-3</v>
      </c>
      <c r="N171">
        <f>精英副本!N173</f>
        <v>920</v>
      </c>
      <c r="O171">
        <f>精英副本!O173</f>
        <v>120</v>
      </c>
      <c r="P171">
        <f>精英副本!P173</f>
        <v>10</v>
      </c>
      <c r="Q171">
        <f>精英副本!Q173</f>
        <v>10</v>
      </c>
      <c r="R171">
        <f>精英副本!R173</f>
        <v>0</v>
      </c>
      <c r="S171">
        <f>精英副本!S173</f>
        <v>1</v>
      </c>
      <c r="T171">
        <f>精英副本!T173</f>
        <v>86</v>
      </c>
      <c r="U171">
        <f>精英副本客户端!F115</f>
        <v>109005</v>
      </c>
    </row>
    <row r="172" spans="1:21">
      <c r="A172">
        <f>精英副本!A174</f>
        <v>109007</v>
      </c>
      <c r="B172" t="str">
        <f>精英副本!Y174</f>
        <v>无畏试炼（90）</v>
      </c>
      <c r="C172">
        <f>精英副本!C174</f>
        <v>0</v>
      </c>
      <c r="D172">
        <f>精英副本!D174</f>
        <v>0</v>
      </c>
      <c r="E172" t="str">
        <f>[1]map.xml!$E172</f>
        <v>1090071_1</v>
      </c>
      <c r="F172" t="str">
        <f>[1]map.xml!F172</f>
        <v>1_10000,2_0,3_0</v>
      </c>
      <c r="G172" t="str">
        <f>[1]map.xml!G172</f>
        <v>40000_50900015_1_202,40000_50901065_1_860,4004086_0_1_8350,4004086_0_1_8350,4004086_0_1_8350,30000_90004_1_10000,30000_90005_1_5600</v>
      </c>
      <c r="H172">
        <f>[1]map.xml!H172</f>
        <v>0</v>
      </c>
      <c r="I172" t="str">
        <f>[1]map.xml!I172</f>
        <v>30000_90006_1_10000,4004086_0_1_8350,4004086_0_1_8350,4004086_0_1_8350</v>
      </c>
      <c r="J172">
        <f>[1]map.xml!J172</f>
        <v>0</v>
      </c>
      <c r="K172">
        <f>精英副本!K174</f>
        <v>100</v>
      </c>
      <c r="L172" t="str">
        <f>精英副本!L174</f>
        <v>map/map_001.png</v>
      </c>
      <c r="M172" t="str">
        <f>精英副本!M174</f>
        <v>1-3</v>
      </c>
      <c r="N172">
        <f>精英副本!N174</f>
        <v>920</v>
      </c>
      <c r="O172">
        <f>精英副本!O174</f>
        <v>120</v>
      </c>
      <c r="P172">
        <f>精英副本!P174</f>
        <v>10</v>
      </c>
      <c r="Q172">
        <f>精英副本!Q174</f>
        <v>10</v>
      </c>
      <c r="R172">
        <f>精英副本!R174</f>
        <v>0</v>
      </c>
      <c r="S172">
        <f>精英副本!S174</f>
        <v>1</v>
      </c>
      <c r="T172">
        <f>精英副本!T174</f>
        <v>86</v>
      </c>
      <c r="U172">
        <f>精英副本客户端!F116</f>
        <v>109006</v>
      </c>
    </row>
    <row r="173" spans="1:21">
      <c r="A173">
        <f>精英副本!A175</f>
        <v>109008</v>
      </c>
      <c r="B173" t="str">
        <f>精英副本!Y175</f>
        <v>无畏试炼（90）</v>
      </c>
      <c r="C173">
        <f>精英副本!C175</f>
        <v>0</v>
      </c>
      <c r="D173">
        <f>精英副本!D175</f>
        <v>0</v>
      </c>
      <c r="E173" t="str">
        <f>[1]map.xml!$E173</f>
        <v>1090081_1</v>
      </c>
      <c r="F173" t="str">
        <f>[1]map.xml!F173</f>
        <v>1_10000,2_0,3_0</v>
      </c>
      <c r="G173" t="str">
        <f>[1]map.xml!G173</f>
        <v>40000_50900035_1_195,40000_50903055_1_850,4004086_0_1_8375,4004086_0_1_8375,4004086_0_1_8375,30000_90004_1_10000,30000_90005_1_5600</v>
      </c>
      <c r="H173">
        <f>[1]map.xml!H173</f>
        <v>0</v>
      </c>
      <c r="I173" t="str">
        <f>[1]map.xml!I173</f>
        <v>30000_90006_1_10000,4004086_0_1_8375,4004086_0_1_8375,4004086_0_1_8375</v>
      </c>
      <c r="J173">
        <f>[1]map.xml!J173</f>
        <v>0</v>
      </c>
      <c r="K173">
        <f>精英副本!K175</f>
        <v>100</v>
      </c>
      <c r="L173" t="str">
        <f>精英副本!L175</f>
        <v>map/map_001.png</v>
      </c>
      <c r="M173" t="str">
        <f>精英副本!M175</f>
        <v>1-3</v>
      </c>
      <c r="N173">
        <f>精英副本!N175</f>
        <v>920</v>
      </c>
      <c r="O173">
        <f>精英副本!O175</f>
        <v>120</v>
      </c>
      <c r="P173">
        <f>精英副本!P175</f>
        <v>10</v>
      </c>
      <c r="Q173">
        <f>精英副本!Q175</f>
        <v>10</v>
      </c>
      <c r="R173">
        <f>精英副本!R175</f>
        <v>0</v>
      </c>
      <c r="S173">
        <f>精英副本!S175</f>
        <v>1</v>
      </c>
      <c r="T173">
        <f>精英副本!T175</f>
        <v>86</v>
      </c>
      <c r="U173">
        <f>精英副本客户端!F117</f>
        <v>109007</v>
      </c>
    </row>
    <row r="174" spans="1:21">
      <c r="A174">
        <f>精英副本!A176</f>
        <v>109009</v>
      </c>
      <c r="B174" t="str">
        <f>精英副本!Y176</f>
        <v>无畏试炼（90）</v>
      </c>
      <c r="C174">
        <f>精英副本!C176</f>
        <v>0</v>
      </c>
      <c r="D174">
        <f>精英副本!D176</f>
        <v>0</v>
      </c>
      <c r="E174" t="str">
        <f>[1]map.xml!$E174</f>
        <v>1090091_1</v>
      </c>
      <c r="F174" t="str">
        <f>[1]map.xml!F174</f>
        <v>1_10000,2_0,3_0</v>
      </c>
      <c r="G174" t="str">
        <f>[1]map.xml!G174</f>
        <v>40000_50901056_1_188,40000_50903065_1_840,4004086_0_1_8400,4004086_0_1_8400,4004086_0_1_8400,30000_90004_1_10000,30000_90005_1_7000</v>
      </c>
      <c r="H174">
        <f>[1]map.xml!H174</f>
        <v>0</v>
      </c>
      <c r="I174" t="str">
        <f>[1]map.xml!I174</f>
        <v>30000_90006_1_10000,4004086_0_1_8400,4004086_0_1_8400,4004086_0_1_8400</v>
      </c>
      <c r="J174">
        <f>[1]map.xml!J174</f>
        <v>0</v>
      </c>
      <c r="K174">
        <f>精英副本!K176</f>
        <v>100</v>
      </c>
      <c r="L174" t="str">
        <f>精英副本!L176</f>
        <v>map/map_001.png</v>
      </c>
      <c r="M174" t="str">
        <f>精英副本!M176</f>
        <v>1-3</v>
      </c>
      <c r="N174">
        <f>精英副本!N176</f>
        <v>920</v>
      </c>
      <c r="O174">
        <f>精英副本!O176</f>
        <v>120</v>
      </c>
      <c r="P174">
        <f>精英副本!P176</f>
        <v>10</v>
      </c>
      <c r="Q174">
        <f>精英副本!Q176</f>
        <v>10</v>
      </c>
      <c r="R174">
        <f>精英副本!R176</f>
        <v>0</v>
      </c>
      <c r="S174">
        <f>精英副本!S176</f>
        <v>1</v>
      </c>
      <c r="T174">
        <f>精英副本!T176</f>
        <v>86</v>
      </c>
      <c r="U174">
        <f>精英副本客户端!F118</f>
        <v>109008</v>
      </c>
    </row>
    <row r="175" spans="1:21">
      <c r="A175">
        <f>精英副本!A177</f>
        <v>109501</v>
      </c>
      <c r="B175" t="str">
        <f>精英副本!Y177</f>
        <v>无畏试炼（95）</v>
      </c>
      <c r="C175">
        <f>精英副本!C177</f>
        <v>0</v>
      </c>
      <c r="D175">
        <f>精英副本!D177</f>
        <v>0</v>
      </c>
      <c r="E175" t="str">
        <f>[1]map.xml!$E175</f>
        <v>1095011_1</v>
      </c>
      <c r="F175" t="str">
        <f>[1]map.xml!F175</f>
        <v>1_10000,2_0,3_0</v>
      </c>
      <c r="G175" t="str">
        <f>[1]map.xml!G175</f>
        <v>40000_50950105_1_0,40000_50950015_1_0,4004090_0_1_8425,4004090_0_1_8425,4004090_0_1_8425,30000_90004_1_10000,30000_90005_1_4200</v>
      </c>
      <c r="H175">
        <f>[1]map.xml!H175</f>
        <v>0</v>
      </c>
      <c r="I175" t="str">
        <f>[1]map.xml!I175</f>
        <v>30000_90006_1_10000,4004090_0_1_8425,4004090_0_1_8425,4004090_0_1_8425</v>
      </c>
      <c r="J175">
        <f>[1]map.xml!J175</f>
        <v>0</v>
      </c>
      <c r="K175">
        <f>精英副本!K177</f>
        <v>100</v>
      </c>
      <c r="L175" t="str">
        <f>精英副本!L177</f>
        <v>map/map_001.png</v>
      </c>
      <c r="M175" t="str">
        <f>精英副本!M177</f>
        <v>1-3</v>
      </c>
      <c r="N175">
        <f>精英副本!N177</f>
        <v>920</v>
      </c>
      <c r="O175">
        <f>精英副本!O177</f>
        <v>120</v>
      </c>
      <c r="P175">
        <f>精英副本!P177</f>
        <v>10</v>
      </c>
      <c r="Q175">
        <f>精英副本!Q177</f>
        <v>10</v>
      </c>
      <c r="R175">
        <f>精英副本!R177</f>
        <v>0</v>
      </c>
      <c r="S175">
        <f>精英副本!S177</f>
        <v>1</v>
      </c>
      <c r="T175">
        <f>精英副本!T177</f>
        <v>91</v>
      </c>
      <c r="U175">
        <f>精英副本客户端!F119</f>
        <v>0</v>
      </c>
    </row>
    <row r="176" spans="1:21">
      <c r="A176">
        <f>精英副本!A178</f>
        <v>109502</v>
      </c>
      <c r="B176" t="str">
        <f>精英副本!Y178</f>
        <v>无畏试炼（95）</v>
      </c>
      <c r="C176">
        <f>精英副本!C178</f>
        <v>0</v>
      </c>
      <c r="D176">
        <f>精英副本!D178</f>
        <v>0</v>
      </c>
      <c r="E176" t="str">
        <f>[1]map.xml!$E176</f>
        <v>1095021_1</v>
      </c>
      <c r="F176" t="str">
        <f>[1]map.xml!F176</f>
        <v>1_10000,2_0,3_0</v>
      </c>
      <c r="G176" t="str">
        <f>[1]map.xml!G176</f>
        <v>40000_50950025_1_0,40000_50952055_1_0,4004090_0_1_8450,4004090_0_1_8450,4004090_0_1_8450,30000_90004_1_10000,30000_90005_1_4200</v>
      </c>
      <c r="H176">
        <f>[1]map.xml!H176</f>
        <v>0</v>
      </c>
      <c r="I176" t="str">
        <f>[1]map.xml!I176</f>
        <v>30000_90006_1_10000,4004090_0_1_8450,4004090_0_1_8450,4004090_0_1_8450</v>
      </c>
      <c r="J176">
        <f>[1]map.xml!J176</f>
        <v>0</v>
      </c>
      <c r="K176">
        <f>精英副本!K178</f>
        <v>100</v>
      </c>
      <c r="L176" t="str">
        <f>精英副本!L178</f>
        <v>map/map_001.png</v>
      </c>
      <c r="M176" t="str">
        <f>精英副本!M178</f>
        <v>1-3</v>
      </c>
      <c r="N176">
        <f>精英副本!N178</f>
        <v>920</v>
      </c>
      <c r="O176">
        <f>精英副本!O178</f>
        <v>120</v>
      </c>
      <c r="P176">
        <f>精英副本!P178</f>
        <v>10</v>
      </c>
      <c r="Q176">
        <f>精英副本!Q178</f>
        <v>10</v>
      </c>
      <c r="R176">
        <f>精英副本!R178</f>
        <v>0</v>
      </c>
      <c r="S176">
        <f>精英副本!S178</f>
        <v>1</v>
      </c>
      <c r="T176">
        <f>精英副本!T178</f>
        <v>91</v>
      </c>
      <c r="U176">
        <f>精英副本客户端!F120</f>
        <v>109501</v>
      </c>
    </row>
    <row r="177" spans="1:21">
      <c r="A177">
        <f>精英副本!A179</f>
        <v>109503</v>
      </c>
      <c r="B177" t="str">
        <f>精英副本!Y179</f>
        <v>无畏试炼（95）</v>
      </c>
      <c r="C177">
        <f>精英副本!C179</f>
        <v>0</v>
      </c>
      <c r="D177">
        <f>精英副本!D179</f>
        <v>0</v>
      </c>
      <c r="E177" t="str">
        <f>[1]map.xml!$E177</f>
        <v>1095031_1</v>
      </c>
      <c r="F177" t="str">
        <f>[1]map.xml!F177</f>
        <v>1_10000,2_0,3_0</v>
      </c>
      <c r="G177" t="str">
        <f>[1]map.xml!G177</f>
        <v>40000_50950046_1_0,40000_50952065_1_0,4004090_0_1_8475,4004090_0_1_8475,4004090_0_1_8475,30000_90004_1_10000,30000_90005_1_5600</v>
      </c>
      <c r="H177">
        <f>[1]map.xml!H177</f>
        <v>0</v>
      </c>
      <c r="I177" t="str">
        <f>[1]map.xml!I177</f>
        <v>30000_90006_1_10000,4004090_0_1_8475,4004090_0_1_8475,4004090_0_1_8475</v>
      </c>
      <c r="J177">
        <f>[1]map.xml!J177</f>
        <v>0</v>
      </c>
      <c r="K177">
        <f>精英副本!K179</f>
        <v>100</v>
      </c>
      <c r="L177" t="str">
        <f>精英副本!L179</f>
        <v>map/map_001.png</v>
      </c>
      <c r="M177" t="str">
        <f>精英副本!M179</f>
        <v>1-3</v>
      </c>
      <c r="N177">
        <f>精英副本!N179</f>
        <v>920</v>
      </c>
      <c r="O177">
        <f>精英副本!O179</f>
        <v>120</v>
      </c>
      <c r="P177">
        <f>精英副本!P179</f>
        <v>10</v>
      </c>
      <c r="Q177">
        <f>精英副本!Q179</f>
        <v>10</v>
      </c>
      <c r="R177">
        <f>精英副本!R179</f>
        <v>0</v>
      </c>
      <c r="S177">
        <f>精英副本!S179</f>
        <v>1</v>
      </c>
      <c r="T177">
        <f>精英副本!T179</f>
        <v>91</v>
      </c>
      <c r="U177">
        <f>精英副本客户端!F121</f>
        <v>109502</v>
      </c>
    </row>
    <row r="178" spans="1:21">
      <c r="A178">
        <f>精英副本!A180</f>
        <v>109504</v>
      </c>
      <c r="B178" t="str">
        <f>精英副本!Y180</f>
        <v>无畏试炼（95）</v>
      </c>
      <c r="C178">
        <f>精英副本!C180</f>
        <v>0</v>
      </c>
      <c r="D178">
        <f>精英副本!D180</f>
        <v>0</v>
      </c>
      <c r="E178" t="str">
        <f>[1]map.xml!$E178</f>
        <v>1095041_1</v>
      </c>
      <c r="F178" t="str">
        <f>[1]map.xml!F178</f>
        <v>1_10000,2_0,3_0</v>
      </c>
      <c r="G178" t="str">
        <f>[1]map.xml!G178</f>
        <v>40000_50950076_1_0,40000_50950035_1_0,4004090_0_1_8500,4004090_0_1_8500,4004090_0_1_8500,30000_90004_1_10000,30000_90005_1_5600</v>
      </c>
      <c r="H178">
        <f>[1]map.xml!H178</f>
        <v>0</v>
      </c>
      <c r="I178" t="str">
        <f>[1]map.xml!I178</f>
        <v>30000_90006_1_10000,4004090_0_1_8500,4004090_0_1_8500,4004090_0_1_8500</v>
      </c>
      <c r="J178">
        <f>[1]map.xml!J178</f>
        <v>0</v>
      </c>
      <c r="K178">
        <f>精英副本!K180</f>
        <v>100</v>
      </c>
      <c r="L178" t="str">
        <f>精英副本!L180</f>
        <v>map/map_001.png</v>
      </c>
      <c r="M178" t="str">
        <f>精英副本!M180</f>
        <v>1-3</v>
      </c>
      <c r="N178">
        <f>精英副本!N180</f>
        <v>920</v>
      </c>
      <c r="O178">
        <f>精英副本!O180</f>
        <v>120</v>
      </c>
      <c r="P178">
        <f>精英副本!P180</f>
        <v>10</v>
      </c>
      <c r="Q178">
        <f>精英副本!Q180</f>
        <v>10</v>
      </c>
      <c r="R178">
        <f>精英副本!R180</f>
        <v>0</v>
      </c>
      <c r="S178">
        <f>精英副本!S180</f>
        <v>1</v>
      </c>
      <c r="T178">
        <f>精英副本!T180</f>
        <v>91</v>
      </c>
      <c r="U178">
        <f>精英副本客户端!F122</f>
        <v>109503</v>
      </c>
    </row>
    <row r="179" spans="1:21">
      <c r="A179">
        <f>精英副本!A181</f>
        <v>109505</v>
      </c>
      <c r="B179" t="str">
        <f>精英副本!Y181</f>
        <v>无畏试炼（95）</v>
      </c>
      <c r="C179">
        <f>精英副本!C181</f>
        <v>0</v>
      </c>
      <c r="D179">
        <f>精英副本!D181</f>
        <v>0</v>
      </c>
      <c r="E179" t="str">
        <f>[1]map.xml!$E179</f>
        <v>1095051_1,1095052_1,1095053_1</v>
      </c>
      <c r="F179" t="str">
        <f>[1]map.xml!F179</f>
        <v>1_0,2_0,3_10000</v>
      </c>
      <c r="G179" t="str">
        <f>[1]map.xml!G179</f>
        <v>40000_50950085_1_0,40000_50953065_1_0,4004090_0_1_8525,4004090_0_1_8525,4004090_0_1_8525,30000_90004_1_10000,30000_90005_1_5600</v>
      </c>
      <c r="H179">
        <f>[1]map.xml!H179</f>
        <v>0</v>
      </c>
      <c r="I179" t="str">
        <f>[1]map.xml!I179</f>
        <v>30000_90006_1_10000,4004090_0_1_8525,4004090_0_1_8525,4004090_0_1_8525</v>
      </c>
      <c r="J179">
        <f>[1]map.xml!J179</f>
        <v>0</v>
      </c>
      <c r="K179">
        <f>精英副本!K181</f>
        <v>100</v>
      </c>
      <c r="L179" t="str">
        <f>精英副本!L181</f>
        <v>map/map_001.png</v>
      </c>
      <c r="M179" t="str">
        <f>精英副本!M181</f>
        <v>1-3</v>
      </c>
      <c r="N179">
        <f>精英副本!N181</f>
        <v>920</v>
      </c>
      <c r="O179">
        <f>精英副本!O181</f>
        <v>120</v>
      </c>
      <c r="P179">
        <f>精英副本!P181</f>
        <v>10</v>
      </c>
      <c r="Q179">
        <f>精英副本!Q181</f>
        <v>10</v>
      </c>
      <c r="R179">
        <f>精英副本!R181</f>
        <v>0</v>
      </c>
      <c r="S179">
        <f>精英副本!S181</f>
        <v>1</v>
      </c>
      <c r="T179">
        <f>精英副本!T181</f>
        <v>91</v>
      </c>
      <c r="U179">
        <f>精英副本客户端!F123</f>
        <v>109504</v>
      </c>
    </row>
    <row r="180" spans="1:21">
      <c r="A180">
        <f>精英副本!A182</f>
        <v>109506</v>
      </c>
      <c r="B180" t="str">
        <f>精英副本!Y182</f>
        <v>无畏试炼（95）</v>
      </c>
      <c r="C180">
        <f>精英副本!C182</f>
        <v>0</v>
      </c>
      <c r="D180">
        <f>精英副本!D182</f>
        <v>0</v>
      </c>
      <c r="E180" t="str">
        <f>[1]map.xml!$E180</f>
        <v>1095061_1</v>
      </c>
      <c r="F180" t="str">
        <f>[1]map.xml!F180</f>
        <v>1_10000,2_0,3_0</v>
      </c>
      <c r="G180" t="str">
        <f>[1]map.xml!G180</f>
        <v>40000_50950095_1_0,40000_50951055_1_0,4004090_0_1_8550,4004090_0_1_8550,4004090_0_1_8550,30000_90004_1_10000,30000_90005_1_7000</v>
      </c>
      <c r="H180">
        <f>[1]map.xml!H180</f>
        <v>0</v>
      </c>
      <c r="I180" t="str">
        <f>[1]map.xml!I180</f>
        <v>30000_90006_1_10000,4004090_0_1_8550,4004090_0_1_8550,4004090_0_1_8550</v>
      </c>
      <c r="J180">
        <f>[1]map.xml!J180</f>
        <v>0</v>
      </c>
      <c r="K180">
        <f>精英副本!K182</f>
        <v>100</v>
      </c>
      <c r="L180" t="str">
        <f>精英副本!L182</f>
        <v>map/map_001.png</v>
      </c>
      <c r="M180" t="str">
        <f>精英副本!M182</f>
        <v>1-3</v>
      </c>
      <c r="N180">
        <f>精英副本!N182</f>
        <v>920</v>
      </c>
      <c r="O180">
        <f>精英副本!O182</f>
        <v>120</v>
      </c>
      <c r="P180">
        <f>精英副本!P182</f>
        <v>10</v>
      </c>
      <c r="Q180">
        <f>精英副本!Q182</f>
        <v>10</v>
      </c>
      <c r="R180">
        <f>精英副本!R182</f>
        <v>0</v>
      </c>
      <c r="S180">
        <f>精英副本!S182</f>
        <v>1</v>
      </c>
      <c r="T180">
        <f>精英副本!T182</f>
        <v>91</v>
      </c>
      <c r="U180">
        <f>精英副本客户端!F124</f>
        <v>109505</v>
      </c>
    </row>
    <row r="181" spans="1:21">
      <c r="A181">
        <f>精英副本!A183</f>
        <v>109507</v>
      </c>
      <c r="B181" t="str">
        <f>精英副本!Y183</f>
        <v>无畏试炼（95）</v>
      </c>
      <c r="C181">
        <f>精英副本!C183</f>
        <v>0</v>
      </c>
      <c r="D181">
        <f>精英副本!D183</f>
        <v>0</v>
      </c>
      <c r="E181" t="str">
        <f>[1]map.xml!$E181</f>
        <v>1095071_1</v>
      </c>
      <c r="F181" t="str">
        <f>[1]map.xml!F181</f>
        <v>1_10000,2_0,3_0</v>
      </c>
      <c r="G181" t="str">
        <f>[1]map.xml!G181</f>
        <v>40000_50950015_1_0,40000_50951065_1_0,4004090_0_1_8575,4004090_0_1_8575,4004090_0_1_8575,30000_90004_1_10000,30000_90005_1_7000</v>
      </c>
      <c r="H181">
        <f>[1]map.xml!H181</f>
        <v>0</v>
      </c>
      <c r="I181" t="str">
        <f>[1]map.xml!I181</f>
        <v>30000_90006_1_10000,4004090_0_1_8575,4004090_0_1_8575,4004090_0_1_8575</v>
      </c>
      <c r="J181">
        <f>[1]map.xml!J181</f>
        <v>0</v>
      </c>
      <c r="K181">
        <f>精英副本!K183</f>
        <v>100</v>
      </c>
      <c r="L181" t="str">
        <f>精英副本!L183</f>
        <v>map/map_001.png</v>
      </c>
      <c r="M181" t="str">
        <f>精英副本!M183</f>
        <v>1-3</v>
      </c>
      <c r="N181">
        <f>精英副本!N183</f>
        <v>920</v>
      </c>
      <c r="O181">
        <f>精英副本!O183</f>
        <v>120</v>
      </c>
      <c r="P181">
        <f>精英副本!P183</f>
        <v>10</v>
      </c>
      <c r="Q181">
        <f>精英副本!Q183</f>
        <v>10</v>
      </c>
      <c r="R181">
        <f>精英副本!R183</f>
        <v>0</v>
      </c>
      <c r="S181">
        <f>精英副本!S183</f>
        <v>1</v>
      </c>
      <c r="T181">
        <f>精英副本!T183</f>
        <v>91</v>
      </c>
      <c r="U181">
        <f>精英副本客户端!F125</f>
        <v>109506</v>
      </c>
    </row>
    <row r="182" spans="1:21">
      <c r="A182">
        <f>精英副本!A184</f>
        <v>109508</v>
      </c>
      <c r="B182" t="str">
        <f>精英副本!Y184</f>
        <v>无畏试炼（95）</v>
      </c>
      <c r="C182">
        <f>精英副本!C184</f>
        <v>0</v>
      </c>
      <c r="D182">
        <f>精英副本!D184</f>
        <v>0</v>
      </c>
      <c r="E182" t="str">
        <f>[1]map.xml!$E182</f>
        <v>1095081_1</v>
      </c>
      <c r="F182" t="str">
        <f>[1]map.xml!F182</f>
        <v>1_10000,2_0,3_0</v>
      </c>
      <c r="G182" t="str">
        <f>[1]map.xml!G182</f>
        <v>40000_50950035_1_0,40000_50953055_1_0,4004090_0_1_8600,4004090_0_1_8600,4004090_0_1_8600,30000_90004_1_10000,30000_90005_1_7000</v>
      </c>
      <c r="H182">
        <f>[1]map.xml!H182</f>
        <v>0</v>
      </c>
      <c r="I182" t="str">
        <f>[1]map.xml!I182</f>
        <v>30000_90006_1_10000,4004090_0_1_8600,4004090_0_1_8600,4004090_0_1_8600</v>
      </c>
      <c r="J182">
        <f>[1]map.xml!J182</f>
        <v>0</v>
      </c>
      <c r="K182">
        <f>精英副本!K184</f>
        <v>100</v>
      </c>
      <c r="L182" t="str">
        <f>精英副本!L184</f>
        <v>map/map_001.png</v>
      </c>
      <c r="M182" t="str">
        <f>精英副本!M184</f>
        <v>1-3</v>
      </c>
      <c r="N182">
        <f>精英副本!N184</f>
        <v>920</v>
      </c>
      <c r="O182">
        <f>精英副本!O184</f>
        <v>120</v>
      </c>
      <c r="P182">
        <f>精英副本!P184</f>
        <v>10</v>
      </c>
      <c r="Q182">
        <f>精英副本!Q184</f>
        <v>10</v>
      </c>
      <c r="R182">
        <f>精英副本!R184</f>
        <v>0</v>
      </c>
      <c r="S182">
        <f>精英副本!S184</f>
        <v>1</v>
      </c>
      <c r="T182">
        <f>精英副本!T184</f>
        <v>91</v>
      </c>
      <c r="U182">
        <f>精英副本客户端!F126</f>
        <v>109507</v>
      </c>
    </row>
    <row r="183" spans="1:21">
      <c r="A183">
        <f>精英副本!A185</f>
        <v>109509</v>
      </c>
      <c r="B183" t="str">
        <f>精英副本!Y185</f>
        <v>无畏试炼（95）</v>
      </c>
      <c r="C183">
        <f>精英副本!C185</f>
        <v>0</v>
      </c>
      <c r="D183">
        <f>精英副本!D185</f>
        <v>0</v>
      </c>
      <c r="E183" t="str">
        <f>[1]map.xml!$E183</f>
        <v>1095091_1</v>
      </c>
      <c r="F183" t="str">
        <f>[1]map.xml!F183</f>
        <v>1_10000,2_0,3_0</v>
      </c>
      <c r="G183" t="str">
        <f>[1]map.xml!G183</f>
        <v>40000_50951056_1_0,40000_50953065_1_0,4004090_0_1_8625,4004090_0_1_8625,4004090_0_1_8625,30000_90004_1_10000,30000_90005_1_8400</v>
      </c>
      <c r="H183">
        <f>[1]map.xml!H183</f>
        <v>0</v>
      </c>
      <c r="I183" t="str">
        <f>[1]map.xml!I183</f>
        <v>30000_90006_1_10000,4004090_0_1_8625,4004090_0_1_8625,4004090_0_1_8625</v>
      </c>
      <c r="J183">
        <f>[1]map.xml!J183</f>
        <v>0</v>
      </c>
      <c r="K183">
        <f>精英副本!K185</f>
        <v>100</v>
      </c>
      <c r="L183" t="str">
        <f>精英副本!L185</f>
        <v>map/map_001.png</v>
      </c>
      <c r="M183" t="str">
        <f>精英副本!M185</f>
        <v>1-3</v>
      </c>
      <c r="N183">
        <f>精英副本!N185</f>
        <v>920</v>
      </c>
      <c r="O183">
        <f>精英副本!O185</f>
        <v>120</v>
      </c>
      <c r="P183">
        <f>精英副本!P185</f>
        <v>10</v>
      </c>
      <c r="Q183">
        <f>精英副本!Q185</f>
        <v>10</v>
      </c>
      <c r="R183">
        <f>精英副本!R185</f>
        <v>0</v>
      </c>
      <c r="S183">
        <f>精英副本!S185</f>
        <v>1</v>
      </c>
      <c r="T183">
        <f>精英副本!T185</f>
        <v>91</v>
      </c>
      <c r="U183">
        <f>精英副本客户端!F127</f>
        <v>109508</v>
      </c>
    </row>
    <row r="184" spans="1:21">
      <c r="A184">
        <f>精英副本!A186</f>
        <v>110001</v>
      </c>
      <c r="B184" t="str">
        <f>精英副本!Y186</f>
        <v>无畏试炼（100）</v>
      </c>
      <c r="C184">
        <f>精英副本!C186</f>
        <v>0</v>
      </c>
      <c r="D184">
        <f>精英副本!D186</f>
        <v>0</v>
      </c>
      <c r="E184" t="str">
        <f>[1]map.xml!$E184</f>
        <v>1100011_1</v>
      </c>
      <c r="F184" t="str">
        <f>[1]map.xml!F184</f>
        <v>1_10000,2_0,3_0</v>
      </c>
      <c r="G184" t="str">
        <f>[1]map.xml!G184</f>
        <v>40000_51000105_1_0,40000_51000015_1_0,4004094_0_1_8650,4004094_0_1_8650,4004094_0_1_8650,30000_90004_1_10000,30000_90005_1_5600</v>
      </c>
      <c r="H184">
        <f>[1]map.xml!H184</f>
        <v>0</v>
      </c>
      <c r="I184" t="str">
        <f>[1]map.xml!I184</f>
        <v>30000_90006_1_10000,4004094_0_1_8650,4004094_0_1_8650,4004094_0_1_8650</v>
      </c>
      <c r="J184">
        <f>[1]map.xml!J184</f>
        <v>0</v>
      </c>
      <c r="K184">
        <f>精英副本!K186</f>
        <v>100</v>
      </c>
      <c r="L184" t="str">
        <f>精英副本!L186</f>
        <v>map/map_001.png</v>
      </c>
      <c r="M184" t="str">
        <f>精英副本!M186</f>
        <v>1-3</v>
      </c>
      <c r="N184">
        <f>精英副本!N186</f>
        <v>920</v>
      </c>
      <c r="O184">
        <f>精英副本!O186</f>
        <v>120</v>
      </c>
      <c r="P184">
        <f>精英副本!P186</f>
        <v>10</v>
      </c>
      <c r="Q184">
        <f>精英副本!Q186</f>
        <v>10</v>
      </c>
      <c r="R184">
        <f>精英副本!R186</f>
        <v>0</v>
      </c>
      <c r="S184">
        <f>精英副本!S186</f>
        <v>1</v>
      </c>
      <c r="T184">
        <f>精英副本!T186</f>
        <v>96</v>
      </c>
      <c r="U184">
        <f>精英副本客户端!F128</f>
        <v>0</v>
      </c>
    </row>
    <row r="185" spans="1:21">
      <c r="A185">
        <f>精英副本!A187</f>
        <v>110002</v>
      </c>
      <c r="B185" t="str">
        <f>精英副本!Y187</f>
        <v>无畏试炼（100）</v>
      </c>
      <c r="C185">
        <f>精英副本!C187</f>
        <v>0</v>
      </c>
      <c r="D185">
        <f>精英副本!D187</f>
        <v>0</v>
      </c>
      <c r="E185" t="str">
        <f>[1]map.xml!$E185</f>
        <v>1100021_1</v>
      </c>
      <c r="F185" t="str">
        <f>[1]map.xml!F185</f>
        <v>1_10000,2_0,3_0</v>
      </c>
      <c r="G185" t="str">
        <f>[1]map.xml!G185</f>
        <v>40000_51000025_1_0,40000_51002055_1_0,4004094_0_1_8675,4004094_0_1_8675,4004094_0_1_8675,30000_90004_1_10000,30000_90005_1_5600</v>
      </c>
      <c r="H185">
        <f>[1]map.xml!H185</f>
        <v>0</v>
      </c>
      <c r="I185" t="str">
        <f>[1]map.xml!I185</f>
        <v>30000_90006_1_10000,4004094_0_1_8675,4004094_0_1_8675,4004094_0_1_8675</v>
      </c>
      <c r="J185">
        <f>[1]map.xml!J185</f>
        <v>0</v>
      </c>
      <c r="K185">
        <f>精英副本!K187</f>
        <v>100</v>
      </c>
      <c r="L185" t="str">
        <f>精英副本!L187</f>
        <v>map/map_001.png</v>
      </c>
      <c r="M185" t="str">
        <f>精英副本!M187</f>
        <v>1-3</v>
      </c>
      <c r="N185">
        <f>精英副本!N187</f>
        <v>920</v>
      </c>
      <c r="O185">
        <f>精英副本!O187</f>
        <v>120</v>
      </c>
      <c r="P185">
        <f>精英副本!P187</f>
        <v>10</v>
      </c>
      <c r="Q185">
        <f>精英副本!Q187</f>
        <v>10</v>
      </c>
      <c r="R185">
        <f>精英副本!R187</f>
        <v>0</v>
      </c>
      <c r="S185">
        <f>精英副本!S187</f>
        <v>1</v>
      </c>
      <c r="T185">
        <f>精英副本!T187</f>
        <v>96</v>
      </c>
      <c r="U185">
        <f>精英副本客户端!F129</f>
        <v>110001</v>
      </c>
    </row>
    <row r="186" spans="1:21">
      <c r="A186">
        <f>精英副本!A188</f>
        <v>110003</v>
      </c>
      <c r="B186" t="str">
        <f>精英副本!Y188</f>
        <v>无畏试炼（100）</v>
      </c>
      <c r="C186">
        <f>精英副本!C188</f>
        <v>0</v>
      </c>
      <c r="D186">
        <f>精英副本!D188</f>
        <v>0</v>
      </c>
      <c r="E186" t="str">
        <f>[1]map.xml!$E186</f>
        <v>1100031_1</v>
      </c>
      <c r="F186" t="str">
        <f>[1]map.xml!F186</f>
        <v>1_10000,2_0,3_0</v>
      </c>
      <c r="G186" t="str">
        <f>[1]map.xml!G186</f>
        <v>40000_51000046_1_0,40000_51002065_1_0,4004094_0_1_8700,4004094_0_1_8700,4004094_0_1_8700,30000_90004_1_10000,30000_90005_1_7000</v>
      </c>
      <c r="H186">
        <f>[1]map.xml!H186</f>
        <v>0</v>
      </c>
      <c r="I186" t="str">
        <f>[1]map.xml!I186</f>
        <v>30000_90006_1_10000,4004094_0_1_8700,4004094_0_1_8700,4004094_0_1_8700</v>
      </c>
      <c r="J186">
        <f>[1]map.xml!J186</f>
        <v>0</v>
      </c>
      <c r="K186">
        <f>精英副本!K188</f>
        <v>100</v>
      </c>
      <c r="L186" t="str">
        <f>精英副本!L188</f>
        <v>map/map_001.png</v>
      </c>
      <c r="M186" t="str">
        <f>精英副本!M188</f>
        <v>1-3</v>
      </c>
      <c r="N186">
        <f>精英副本!N188</f>
        <v>920</v>
      </c>
      <c r="O186">
        <f>精英副本!O188</f>
        <v>120</v>
      </c>
      <c r="P186">
        <f>精英副本!P188</f>
        <v>10</v>
      </c>
      <c r="Q186">
        <f>精英副本!Q188</f>
        <v>10</v>
      </c>
      <c r="R186">
        <f>精英副本!R188</f>
        <v>0</v>
      </c>
      <c r="S186">
        <f>精英副本!S188</f>
        <v>1</v>
      </c>
      <c r="T186">
        <f>精英副本!T188</f>
        <v>96</v>
      </c>
      <c r="U186">
        <f>精英副本客户端!F130</f>
        <v>110002</v>
      </c>
    </row>
    <row r="187" spans="1:21">
      <c r="A187">
        <f>精英副本!A189</f>
        <v>110004</v>
      </c>
      <c r="B187" t="str">
        <f>精英副本!Y189</f>
        <v>无畏试炼（100）</v>
      </c>
      <c r="C187">
        <f>精英副本!C189</f>
        <v>0</v>
      </c>
      <c r="D187">
        <f>精英副本!D189</f>
        <v>0</v>
      </c>
      <c r="E187" t="str">
        <f>[1]map.xml!$E187</f>
        <v>1100041_1</v>
      </c>
      <c r="F187" t="str">
        <f>[1]map.xml!F187</f>
        <v>1_10000,2_0,3_0</v>
      </c>
      <c r="G187" t="str">
        <f>[1]map.xml!G187</f>
        <v>40000_51000076_1_0,40000_51000035_1_0,4004094_0_1_8725,4004094_0_1_8725,4004094_0_1_8725,30000_90004_1_10000,30000_90005_1_7000</v>
      </c>
      <c r="H187">
        <f>[1]map.xml!H187</f>
        <v>0</v>
      </c>
      <c r="I187" t="str">
        <f>[1]map.xml!I187</f>
        <v>30000_90006_1_10000,4004094_0_1_8725,4004094_0_1_8725,4004094_0_1_8725</v>
      </c>
      <c r="J187">
        <f>[1]map.xml!J187</f>
        <v>0</v>
      </c>
      <c r="K187">
        <f>精英副本!K189</f>
        <v>100</v>
      </c>
      <c r="L187" t="str">
        <f>精英副本!L189</f>
        <v>map/map_001.png</v>
      </c>
      <c r="M187" t="str">
        <f>精英副本!M189</f>
        <v>1-3</v>
      </c>
      <c r="N187">
        <f>精英副本!N189</f>
        <v>920</v>
      </c>
      <c r="O187">
        <f>精英副本!O189</f>
        <v>120</v>
      </c>
      <c r="P187">
        <f>精英副本!P189</f>
        <v>10</v>
      </c>
      <c r="Q187">
        <f>精英副本!Q189</f>
        <v>10</v>
      </c>
      <c r="R187">
        <f>精英副本!R189</f>
        <v>0</v>
      </c>
      <c r="S187">
        <f>精英副本!S189</f>
        <v>1</v>
      </c>
      <c r="T187">
        <f>精英副本!T189</f>
        <v>96</v>
      </c>
      <c r="U187">
        <f>精英副本客户端!F131</f>
        <v>110003</v>
      </c>
    </row>
    <row r="188" spans="1:21">
      <c r="A188">
        <f>精英副本!A190</f>
        <v>110005</v>
      </c>
      <c r="B188" t="str">
        <f>精英副本!Y190</f>
        <v>无畏试炼（100）</v>
      </c>
      <c r="C188">
        <f>精英副本!C190</f>
        <v>0</v>
      </c>
      <c r="D188">
        <f>精英副本!D190</f>
        <v>0</v>
      </c>
      <c r="E188" t="str">
        <f>[1]map.xml!$E188</f>
        <v>1100051_1,1100052_1,1100053_1</v>
      </c>
      <c r="F188" t="str">
        <f>[1]map.xml!F188</f>
        <v>1_0,2_0,3_10000</v>
      </c>
      <c r="G188" t="str">
        <f>[1]map.xml!G188</f>
        <v>40000_51000085_1_0,40000_51003065_1_0,4004094_0_1_8750,4004094_0_1_8750,4004094_0_1_8750,30000_90004_1_10000,30000_90005_1_7000</v>
      </c>
      <c r="H188">
        <f>[1]map.xml!H188</f>
        <v>0</v>
      </c>
      <c r="I188" t="str">
        <f>[1]map.xml!I188</f>
        <v>30000_90006_1_10000,4004094_0_1_8750,4004094_0_1_8750,4004094_0_1_8750</v>
      </c>
      <c r="J188">
        <f>[1]map.xml!J188</f>
        <v>0</v>
      </c>
      <c r="K188">
        <f>精英副本!K190</f>
        <v>100</v>
      </c>
      <c r="L188" t="str">
        <f>精英副本!L190</f>
        <v>map/map_001.png</v>
      </c>
      <c r="M188" t="str">
        <f>精英副本!M190</f>
        <v>1-3</v>
      </c>
      <c r="N188">
        <f>精英副本!N190</f>
        <v>920</v>
      </c>
      <c r="O188">
        <f>精英副本!O190</f>
        <v>120</v>
      </c>
      <c r="P188">
        <f>精英副本!P190</f>
        <v>10</v>
      </c>
      <c r="Q188">
        <f>精英副本!Q190</f>
        <v>10</v>
      </c>
      <c r="R188">
        <f>精英副本!R190</f>
        <v>0</v>
      </c>
      <c r="S188">
        <f>精英副本!S190</f>
        <v>1</v>
      </c>
      <c r="T188">
        <f>精英副本!T190</f>
        <v>96</v>
      </c>
      <c r="U188">
        <f>精英副本客户端!F132</f>
        <v>110004</v>
      </c>
    </row>
    <row r="189" spans="1:21">
      <c r="A189">
        <f>精英副本!A191</f>
        <v>110006</v>
      </c>
      <c r="B189" t="str">
        <f>精英副本!Y191</f>
        <v>无畏试炼（100）</v>
      </c>
      <c r="C189">
        <f>精英副本!C191</f>
        <v>0</v>
      </c>
      <c r="D189">
        <f>精英副本!D191</f>
        <v>0</v>
      </c>
      <c r="E189" t="str">
        <f>[1]map.xml!$E189</f>
        <v>1100061_1</v>
      </c>
      <c r="F189" t="str">
        <f>[1]map.xml!F189</f>
        <v>1_10000,2_0,3_0</v>
      </c>
      <c r="G189" t="str">
        <f>[1]map.xml!G189</f>
        <v>40000_51000095_1_0,40000_51001055_1_0,4004094_0_1_8775,4004094_0_1_8775,4004094_0_1_8775,30000_90004_1_10000,30000_90005_1_8400</v>
      </c>
      <c r="H189">
        <f>[1]map.xml!H189</f>
        <v>0</v>
      </c>
      <c r="I189" t="str">
        <f>[1]map.xml!I189</f>
        <v>30000_90006_1_10000,4004094_0_1_8775,4004094_0_1_8775,4004094_0_1_8775</v>
      </c>
      <c r="J189">
        <f>[1]map.xml!J189</f>
        <v>0</v>
      </c>
      <c r="K189">
        <f>精英副本!K191</f>
        <v>100</v>
      </c>
      <c r="L189" t="str">
        <f>精英副本!L191</f>
        <v>map/map_001.png</v>
      </c>
      <c r="M189" t="str">
        <f>精英副本!M191</f>
        <v>1-3</v>
      </c>
      <c r="N189">
        <f>精英副本!N191</f>
        <v>920</v>
      </c>
      <c r="O189">
        <f>精英副本!O191</f>
        <v>120</v>
      </c>
      <c r="P189">
        <f>精英副本!P191</f>
        <v>10</v>
      </c>
      <c r="Q189">
        <f>精英副本!Q191</f>
        <v>10</v>
      </c>
      <c r="R189">
        <f>精英副本!R191</f>
        <v>0</v>
      </c>
      <c r="S189">
        <f>精英副本!S191</f>
        <v>1</v>
      </c>
      <c r="T189">
        <f>精英副本!T191</f>
        <v>96</v>
      </c>
      <c r="U189">
        <f>精英副本客户端!F133</f>
        <v>110005</v>
      </c>
    </row>
    <row r="190" spans="1:21">
      <c r="A190">
        <f>精英副本!A192</f>
        <v>110007</v>
      </c>
      <c r="B190" t="str">
        <f>精英副本!Y192</f>
        <v>无畏试炼（100）</v>
      </c>
      <c r="C190">
        <f>精英副本!C192</f>
        <v>0</v>
      </c>
      <c r="D190">
        <f>精英副本!D192</f>
        <v>0</v>
      </c>
      <c r="E190" t="str">
        <f>[1]map.xml!$E190</f>
        <v>1100071_1</v>
      </c>
      <c r="F190" t="str">
        <f>[1]map.xml!F190</f>
        <v>1_10000,2_0,3_0</v>
      </c>
      <c r="G190" t="str">
        <f>[1]map.xml!G190</f>
        <v>40000_51000015_1_0,40000_51001065_1_0,4004094_0_1_8800,4004094_0_1_8800,4004094_0_1_8800,30000_90004_1_10000,30000_90005_1_8400</v>
      </c>
      <c r="H190">
        <f>[1]map.xml!H190</f>
        <v>0</v>
      </c>
      <c r="I190" t="str">
        <f>[1]map.xml!I190</f>
        <v>30000_90006_1_10000,4004094_0_1_8800,4004094_0_1_8800,4004094_0_1_8800</v>
      </c>
      <c r="J190">
        <f>[1]map.xml!J190</f>
        <v>0</v>
      </c>
      <c r="K190">
        <f>精英副本!K192</f>
        <v>100</v>
      </c>
      <c r="L190" t="str">
        <f>精英副本!L192</f>
        <v>map/map_001.png</v>
      </c>
      <c r="M190" t="str">
        <f>精英副本!M192</f>
        <v>1-3</v>
      </c>
      <c r="N190">
        <f>精英副本!N192</f>
        <v>920</v>
      </c>
      <c r="O190">
        <f>精英副本!O192</f>
        <v>120</v>
      </c>
      <c r="P190">
        <f>精英副本!P192</f>
        <v>10</v>
      </c>
      <c r="Q190">
        <f>精英副本!Q192</f>
        <v>10</v>
      </c>
      <c r="R190">
        <f>精英副本!R192</f>
        <v>0</v>
      </c>
      <c r="S190">
        <f>精英副本!S192</f>
        <v>1</v>
      </c>
      <c r="T190">
        <f>精英副本!T192</f>
        <v>96</v>
      </c>
      <c r="U190">
        <f>精英副本客户端!F134</f>
        <v>110006</v>
      </c>
    </row>
    <row r="191" spans="1:21">
      <c r="A191">
        <f>精英副本!A193</f>
        <v>110008</v>
      </c>
      <c r="B191" t="str">
        <f>精英副本!Y193</f>
        <v>无畏试炼（100）</v>
      </c>
      <c r="C191">
        <f>精英副本!C193</f>
        <v>0</v>
      </c>
      <c r="D191">
        <f>精英副本!D193</f>
        <v>0</v>
      </c>
      <c r="E191" t="str">
        <f>[1]map.xml!$E191</f>
        <v>1100081_1</v>
      </c>
      <c r="F191" t="str">
        <f>[1]map.xml!F191</f>
        <v>1_10000,2_0,3_0</v>
      </c>
      <c r="G191" t="str">
        <f>[1]map.xml!G191</f>
        <v>40000_51000035_1_0,40000_51003055_1_0,4004094_0_1_8825,4004094_0_1_8825,4004094_0_1_8825,30000_90004_1_10000,30000_90005_1_8400</v>
      </c>
      <c r="H191">
        <f>[1]map.xml!H191</f>
        <v>0</v>
      </c>
      <c r="I191" t="str">
        <f>[1]map.xml!I191</f>
        <v>30000_90006_1_10000,4004094_0_1_8825,4004094_0_1_8825,4004094_0_1_8825</v>
      </c>
      <c r="J191">
        <f>[1]map.xml!J191</f>
        <v>0</v>
      </c>
      <c r="K191">
        <f>精英副本!K193</f>
        <v>100</v>
      </c>
      <c r="L191" t="str">
        <f>精英副本!L193</f>
        <v>map/map_001.png</v>
      </c>
      <c r="M191" t="str">
        <f>精英副本!M193</f>
        <v>1-3</v>
      </c>
      <c r="N191">
        <f>精英副本!N193</f>
        <v>920</v>
      </c>
      <c r="O191">
        <f>精英副本!O193</f>
        <v>120</v>
      </c>
      <c r="P191">
        <f>精英副本!P193</f>
        <v>10</v>
      </c>
      <c r="Q191">
        <f>精英副本!Q193</f>
        <v>10</v>
      </c>
      <c r="R191">
        <f>精英副本!R193</f>
        <v>0</v>
      </c>
      <c r="S191">
        <f>精英副本!S193</f>
        <v>1</v>
      </c>
      <c r="T191">
        <f>精英副本!T193</f>
        <v>96</v>
      </c>
      <c r="U191">
        <f>精英副本客户端!F135</f>
        <v>110007</v>
      </c>
    </row>
    <row r="192" spans="1:21">
      <c r="A192">
        <f>精英副本!A194</f>
        <v>110009</v>
      </c>
      <c r="B192" t="str">
        <f>精英副本!Y194</f>
        <v>无畏试炼（100）</v>
      </c>
      <c r="C192">
        <f>精英副本!C194</f>
        <v>0</v>
      </c>
      <c r="D192">
        <f>精英副本!D194</f>
        <v>0</v>
      </c>
      <c r="E192" t="str">
        <f>[1]map.xml!$E192</f>
        <v>1100091_1</v>
      </c>
      <c r="F192" t="str">
        <f>[1]map.xml!F192</f>
        <v>1_10000,2_0,3_0</v>
      </c>
      <c r="G192" t="str">
        <f>[1]map.xml!G192</f>
        <v>40000_51001056_1_0,40000_51003065_1_0,4004094_0_1_8850,4004094_0_1_8850,4004094_0_1_8850,30000_90004_1_10000,30000_90005_1_9800</v>
      </c>
      <c r="H192">
        <f>[1]map.xml!H192</f>
        <v>0</v>
      </c>
      <c r="I192" t="str">
        <f>[1]map.xml!I192</f>
        <v>30000_90006_1_10000,4004094_0_1_8850,4004094_0_1_8850,4004094_0_1_8850</v>
      </c>
      <c r="J192">
        <f>[1]map.xml!J192</f>
        <v>0</v>
      </c>
      <c r="K192">
        <f>精英副本!K194</f>
        <v>100</v>
      </c>
      <c r="L192" t="str">
        <f>精英副本!L194</f>
        <v>map/map_001.png</v>
      </c>
      <c r="M192" t="str">
        <f>精英副本!M194</f>
        <v>1-3</v>
      </c>
      <c r="N192">
        <f>精英副本!N194</f>
        <v>920</v>
      </c>
      <c r="O192">
        <f>精英副本!O194</f>
        <v>120</v>
      </c>
      <c r="P192">
        <f>精英副本!P194</f>
        <v>10</v>
      </c>
      <c r="Q192">
        <f>精英副本!Q194</f>
        <v>10</v>
      </c>
      <c r="R192">
        <f>精英副本!R194</f>
        <v>0</v>
      </c>
      <c r="S192">
        <f>精英副本!S194</f>
        <v>1</v>
      </c>
      <c r="T192">
        <f>精英副本!T194</f>
        <v>96</v>
      </c>
      <c r="U192">
        <f>精英副本客户端!F136</f>
        <v>110008</v>
      </c>
    </row>
    <row r="193" spans="1:21">
      <c r="A193">
        <f>精英副本!A249</f>
        <v>203001</v>
      </c>
      <c r="B193" t="str">
        <f>精英副本!Y249</f>
        <v>敏捷试炼（30）</v>
      </c>
      <c r="C193">
        <f>精英副本!C249</f>
        <v>0</v>
      </c>
      <c r="D193">
        <f>精英副本!D249</f>
        <v>0</v>
      </c>
      <c r="E193" t="str">
        <f>[1]map.xml!$E193</f>
        <v>2030011_1</v>
      </c>
      <c r="F193" t="str">
        <f>[1]map.xml!F193</f>
        <v>1_10000,2_0,3_0</v>
      </c>
      <c r="G193" t="str">
        <f>[1]map.xml!G193</f>
        <v>40000_50350105_1_1000,40000_50303065_1_2000,4000430_0_1_5000,4000430_0_1_5000,4000430_0_1_5000,30000_90002_3_10000,30000_90003_1_1100</v>
      </c>
      <c r="H193">
        <f>[1]map.xml!H193</f>
        <v>0</v>
      </c>
      <c r="I193" t="str">
        <f>[1]map.xml!I193</f>
        <v>30000_90004_1_10000,4000430_0_1_5000,4000430_0_1_5000,4000430_0_1_5000</v>
      </c>
      <c r="J193">
        <f>[1]map.xml!J193</f>
        <v>0</v>
      </c>
      <c r="K193">
        <f>精英副本!K249</f>
        <v>100</v>
      </c>
      <c r="L193" t="str">
        <f>精英副本!L249</f>
        <v>map/map_001.png</v>
      </c>
      <c r="M193" t="str">
        <f>精英副本!M249</f>
        <v>1-3</v>
      </c>
      <c r="N193">
        <f>精英副本!N249</f>
        <v>920</v>
      </c>
      <c r="O193">
        <f>精英副本!O249</f>
        <v>120</v>
      </c>
      <c r="P193">
        <f>精英副本!P249</f>
        <v>10</v>
      </c>
      <c r="Q193">
        <f>精英副本!Q249</f>
        <v>10</v>
      </c>
      <c r="R193">
        <f>精英副本!R249</f>
        <v>0</v>
      </c>
      <c r="S193">
        <f>精英副本!S249</f>
        <v>2</v>
      </c>
      <c r="T193">
        <f>精英副本!T249</f>
        <v>30</v>
      </c>
      <c r="U193">
        <f>精英副本客户端!F137</f>
        <v>0</v>
      </c>
    </row>
    <row r="194" spans="1:21">
      <c r="A194">
        <f>精英副本!A250</f>
        <v>203002</v>
      </c>
      <c r="B194" t="str">
        <f>精英副本!Y250</f>
        <v>敏捷试炼（30）</v>
      </c>
      <c r="C194">
        <f>精英副本!C250</f>
        <v>0</v>
      </c>
      <c r="D194">
        <f>精英副本!D250</f>
        <v>0</v>
      </c>
      <c r="E194" t="str">
        <f>[1]map.xml!$E194</f>
        <v>2030021_1</v>
      </c>
      <c r="F194" t="str">
        <f>[1]map.xml!F194</f>
        <v>1_10000,2_0,3_0</v>
      </c>
      <c r="G194" t="str">
        <f>[1]map.xml!G194</f>
        <v>40000_50350075_1_993,40000_50301055_1_1990,4000430_0_1_5050,4000430_0_1_5050,4000430_0_1_5050,30000_90002_3_10000,30000_90003_1_1100</v>
      </c>
      <c r="H194">
        <f>[1]map.xml!H194</f>
        <v>0</v>
      </c>
      <c r="I194" t="str">
        <f>[1]map.xml!I194</f>
        <v>30000_90004_1_10000,4000430_0_1_5050,4000430_0_1_5050,4000430_0_1_5050</v>
      </c>
      <c r="J194">
        <f>[1]map.xml!J194</f>
        <v>0</v>
      </c>
      <c r="K194">
        <f>精英副本!K250</f>
        <v>100</v>
      </c>
      <c r="L194" t="str">
        <f>精英副本!L250</f>
        <v>map/map_001.png</v>
      </c>
      <c r="M194" t="str">
        <f>精英副本!M250</f>
        <v>1-3</v>
      </c>
      <c r="N194">
        <f>精英副本!N250</f>
        <v>920</v>
      </c>
      <c r="O194">
        <f>精英副本!O250</f>
        <v>120</v>
      </c>
      <c r="P194">
        <f>精英副本!P250</f>
        <v>10</v>
      </c>
      <c r="Q194">
        <f>精英副本!Q250</f>
        <v>10</v>
      </c>
      <c r="R194">
        <f>精英副本!R250</f>
        <v>0</v>
      </c>
      <c r="S194">
        <f>精英副本!S250</f>
        <v>2</v>
      </c>
      <c r="T194">
        <f>精英副本!T250</f>
        <v>30</v>
      </c>
      <c r="U194">
        <f>精英副本客户端!F138</f>
        <v>203001</v>
      </c>
    </row>
    <row r="195" spans="1:21">
      <c r="A195">
        <f>精英副本!A251</f>
        <v>203003</v>
      </c>
      <c r="B195" t="str">
        <f>精英副本!Y251</f>
        <v>敏捷试炼（30）</v>
      </c>
      <c r="C195">
        <f>精英副本!C251</f>
        <v>0</v>
      </c>
      <c r="D195">
        <f>精英副本!D251</f>
        <v>0</v>
      </c>
      <c r="E195" t="str">
        <f>[1]map.xml!$E195</f>
        <v>2030031_1</v>
      </c>
      <c r="F195" t="str">
        <f>[1]map.xml!F195</f>
        <v>1_10000,2_0,3_0</v>
      </c>
      <c r="G195" t="str">
        <f>[1]map.xml!G195</f>
        <v>40000_50350045_1_986,40000_50301065_1_1980,4000430_0_1_5100,4000430_0_1_5100,4000430_0_1_5100,30000_90002_3_10000,30000_90003_1_2200</v>
      </c>
      <c r="H195">
        <f>[1]map.xml!H195</f>
        <v>0</v>
      </c>
      <c r="I195" t="str">
        <f>[1]map.xml!I195</f>
        <v>30000_90004_1_10000,4000430_0_1_5100,4000430_0_1_5100,4000430_0_1_5100</v>
      </c>
      <c r="J195">
        <f>[1]map.xml!J195</f>
        <v>0</v>
      </c>
      <c r="K195">
        <f>精英副本!K251</f>
        <v>100</v>
      </c>
      <c r="L195" t="str">
        <f>精英副本!L251</f>
        <v>map/map_001.png</v>
      </c>
      <c r="M195" t="str">
        <f>精英副本!M251</f>
        <v>1-3</v>
      </c>
      <c r="N195">
        <f>精英副本!N251</f>
        <v>920</v>
      </c>
      <c r="O195">
        <f>精英副本!O251</f>
        <v>120</v>
      </c>
      <c r="P195">
        <f>精英副本!P251</f>
        <v>10</v>
      </c>
      <c r="Q195">
        <f>精英副本!Q251</f>
        <v>10</v>
      </c>
      <c r="R195">
        <f>精英副本!R251</f>
        <v>0</v>
      </c>
      <c r="S195">
        <f>精英副本!S251</f>
        <v>2</v>
      </c>
      <c r="T195">
        <f>精英副本!T251</f>
        <v>30</v>
      </c>
      <c r="U195">
        <f>精英副本客户端!F139</f>
        <v>203002</v>
      </c>
    </row>
    <row r="196" spans="1:21">
      <c r="A196">
        <f>精英副本!A252</f>
        <v>203004</v>
      </c>
      <c r="B196" t="str">
        <f>精英副本!Y252</f>
        <v>敏捷试炼（30）</v>
      </c>
      <c r="C196">
        <f>精英副本!C252</f>
        <v>0</v>
      </c>
      <c r="D196">
        <f>精英副本!D252</f>
        <v>0</v>
      </c>
      <c r="E196" t="str">
        <f>[1]map.xml!$E196</f>
        <v>2030041_1</v>
      </c>
      <c r="F196" t="str">
        <f>[1]map.xml!F196</f>
        <v>1_10000,2_0,3_0</v>
      </c>
      <c r="G196" t="str">
        <f>[1]map.xml!G196</f>
        <v>40000_50350025_1_979,40000_50302055_1_1970,4000430_0_1_5150,4000430_0_1_5150,4000430_0_1_5150,30000_90002_3_10000,30000_90003_1_2200</v>
      </c>
      <c r="H196">
        <f>[1]map.xml!H196</f>
        <v>0</v>
      </c>
      <c r="I196" t="str">
        <f>[1]map.xml!I196</f>
        <v>30000_90004_1_10000,4000430_0_1_5150,4000430_0_1_5150,4000430_0_1_5150</v>
      </c>
      <c r="J196">
        <f>[1]map.xml!J196</f>
        <v>0</v>
      </c>
      <c r="K196">
        <f>精英副本!K252</f>
        <v>100</v>
      </c>
      <c r="L196" t="str">
        <f>精英副本!L252</f>
        <v>map/map_001.png</v>
      </c>
      <c r="M196" t="str">
        <f>精英副本!M252</f>
        <v>1-3</v>
      </c>
      <c r="N196">
        <f>精英副本!N252</f>
        <v>920</v>
      </c>
      <c r="O196">
        <f>精英副本!O252</f>
        <v>120</v>
      </c>
      <c r="P196">
        <f>精英副本!P252</f>
        <v>10</v>
      </c>
      <c r="Q196">
        <f>精英副本!Q252</f>
        <v>10</v>
      </c>
      <c r="R196">
        <f>精英副本!R252</f>
        <v>0</v>
      </c>
      <c r="S196">
        <f>精英副本!S252</f>
        <v>2</v>
      </c>
      <c r="T196">
        <f>精英副本!T252</f>
        <v>30</v>
      </c>
      <c r="U196">
        <f>精英副本客户端!F140</f>
        <v>203003</v>
      </c>
    </row>
    <row r="197" spans="1:21">
      <c r="A197">
        <f>精英副本!A253</f>
        <v>203005</v>
      </c>
      <c r="B197" t="str">
        <f>精英副本!Y253</f>
        <v>敏捷试炼（30）</v>
      </c>
      <c r="C197">
        <f>精英副本!C253</f>
        <v>0</v>
      </c>
      <c r="D197">
        <f>精英副本!D253</f>
        <v>0</v>
      </c>
      <c r="E197" t="str">
        <f>[1]map.xml!$E197</f>
        <v>2030051_1</v>
      </c>
      <c r="F197" t="str">
        <f>[1]map.xml!F197</f>
        <v>1_10000,2_0,3_0</v>
      </c>
      <c r="G197" t="str">
        <f>[1]map.xml!G197</f>
        <v>40000_50350095_1_972,40000_50303055_1_1960,4000430_0_1_5200,4000430_0_1_5200,4000430_0_1_5200,30000_90002_3_10000,30000_90003_1_2200</v>
      </c>
      <c r="H197">
        <f>[1]map.xml!H197</f>
        <v>0</v>
      </c>
      <c r="I197" t="str">
        <f>[1]map.xml!I197</f>
        <v>30000_90004_1_10000,4000430_0_1_5200,4000430_0_1_5200,4000430_0_1_5200</v>
      </c>
      <c r="J197">
        <f>[1]map.xml!J197</f>
        <v>0</v>
      </c>
      <c r="K197">
        <f>精英副本!K253</f>
        <v>100</v>
      </c>
      <c r="L197" t="str">
        <f>精英副本!L253</f>
        <v>map/map_001.png</v>
      </c>
      <c r="M197" t="str">
        <f>精英副本!M253</f>
        <v>1-3</v>
      </c>
      <c r="N197">
        <f>精英副本!N253</f>
        <v>920</v>
      </c>
      <c r="O197">
        <f>精英副本!O253</f>
        <v>120</v>
      </c>
      <c r="P197">
        <f>精英副本!P253</f>
        <v>10</v>
      </c>
      <c r="Q197">
        <f>精英副本!Q253</f>
        <v>10</v>
      </c>
      <c r="R197">
        <f>精英副本!R253</f>
        <v>0</v>
      </c>
      <c r="S197">
        <f>精英副本!S253</f>
        <v>2</v>
      </c>
      <c r="T197">
        <f>精英副本!T253</f>
        <v>30</v>
      </c>
      <c r="U197">
        <f>精英副本客户端!F141</f>
        <v>203004</v>
      </c>
    </row>
    <row r="198" spans="1:21">
      <c r="A198">
        <f>精英副本!A254</f>
        <v>203006</v>
      </c>
      <c r="B198" t="str">
        <f>精英副本!Y254</f>
        <v>敏捷试炼（30）</v>
      </c>
      <c r="C198">
        <f>精英副本!C254</f>
        <v>0</v>
      </c>
      <c r="D198">
        <f>精英副本!D254</f>
        <v>0</v>
      </c>
      <c r="E198" t="str">
        <f>[1]map.xml!$E198</f>
        <v>2030061_1</v>
      </c>
      <c r="F198" t="str">
        <f>[1]map.xml!F198</f>
        <v>1_10000,2_0,3_0</v>
      </c>
      <c r="G198" t="str">
        <f>[1]map.xml!G198</f>
        <v>40000_50350085_1_965,40000_50300015_1_1950,4000430_0_1_5250,4000430_0_1_5250,4000430_0_1_5250,30000_90002_3_10000,30000_90003_1_3300</v>
      </c>
      <c r="H198">
        <f>[1]map.xml!H198</f>
        <v>0</v>
      </c>
      <c r="I198" t="str">
        <f>[1]map.xml!I198</f>
        <v>30000_90004_1_10000,4000430_0_1_5250,4000430_0_1_5250,4000430_0_1_5250</v>
      </c>
      <c r="J198">
        <f>[1]map.xml!J198</f>
        <v>0</v>
      </c>
      <c r="K198">
        <f>精英副本!K254</f>
        <v>100</v>
      </c>
      <c r="L198" t="str">
        <f>精英副本!L254</f>
        <v>map/map_001.png</v>
      </c>
      <c r="M198" t="str">
        <f>精英副本!M254</f>
        <v>1-3</v>
      </c>
      <c r="N198">
        <f>精英副本!N254</f>
        <v>920</v>
      </c>
      <c r="O198">
        <f>精英副本!O254</f>
        <v>120</v>
      </c>
      <c r="P198">
        <f>精英副本!P254</f>
        <v>10</v>
      </c>
      <c r="Q198">
        <f>精英副本!Q254</f>
        <v>10</v>
      </c>
      <c r="R198">
        <f>精英副本!R254</f>
        <v>0</v>
      </c>
      <c r="S198">
        <f>精英副本!S254</f>
        <v>2</v>
      </c>
      <c r="T198">
        <f>精英副本!T254</f>
        <v>30</v>
      </c>
      <c r="U198">
        <f>精英副本客户端!F142</f>
        <v>203005</v>
      </c>
    </row>
    <row r="199" spans="1:21">
      <c r="A199">
        <f>精英副本!A255</f>
        <v>203007</v>
      </c>
      <c r="B199" t="str">
        <f>精英副本!Y255</f>
        <v>敏捷试炼（30）</v>
      </c>
      <c r="C199">
        <f>精英副本!C255</f>
        <v>0</v>
      </c>
      <c r="D199">
        <f>精英副本!D255</f>
        <v>0</v>
      </c>
      <c r="E199" t="str">
        <f>[1]map.xml!$E199</f>
        <v>2030071_1,2030072_1</v>
      </c>
      <c r="F199" t="str">
        <f>[1]map.xml!F199</f>
        <v>1_0,2_10000,3_0</v>
      </c>
      <c r="G199" t="str">
        <f>[1]map.xml!G199</f>
        <v>40000_50350015_1_958,40000_50352066_1_1940,4000430_0_1_5300,4000430_0_1_5300,4000430_0_1_5300,30000_90002_3_10000,30000_90003_1_3300</v>
      </c>
      <c r="H199">
        <f>[1]map.xml!H199</f>
        <v>0</v>
      </c>
      <c r="I199" t="str">
        <f>[1]map.xml!I199</f>
        <v>30000_90004_1_10000,4000430_0_1_5300,4000430_0_1_5300,4000430_0_1_5300</v>
      </c>
      <c r="J199">
        <f>[1]map.xml!J199</f>
        <v>0</v>
      </c>
      <c r="K199">
        <f>精英副本!K255</f>
        <v>100</v>
      </c>
      <c r="L199" t="str">
        <f>精英副本!L255</f>
        <v>map/map_001.png</v>
      </c>
      <c r="M199" t="str">
        <f>精英副本!M255</f>
        <v>1-3</v>
      </c>
      <c r="N199">
        <f>精英副本!N255</f>
        <v>920</v>
      </c>
      <c r="O199">
        <f>精英副本!O255</f>
        <v>120</v>
      </c>
      <c r="P199">
        <f>精英副本!P255</f>
        <v>10</v>
      </c>
      <c r="Q199">
        <f>精英副本!Q255</f>
        <v>10</v>
      </c>
      <c r="R199">
        <f>精英副本!R255</f>
        <v>0</v>
      </c>
      <c r="S199">
        <f>精英副本!S255</f>
        <v>2</v>
      </c>
      <c r="T199">
        <f>精英副本!T255</f>
        <v>30</v>
      </c>
      <c r="U199">
        <f>精英副本客户端!F143</f>
        <v>203006</v>
      </c>
    </row>
    <row r="200" spans="1:21">
      <c r="A200">
        <f>精英副本!A256</f>
        <v>203008</v>
      </c>
      <c r="B200" t="str">
        <f>精英副本!Y256</f>
        <v>敏捷试炼（30）</v>
      </c>
      <c r="C200">
        <f>精英副本!C256</f>
        <v>0</v>
      </c>
      <c r="D200">
        <f>精英副本!D256</f>
        <v>0</v>
      </c>
      <c r="E200" t="str">
        <f>[1]map.xml!$E200</f>
        <v>2030081_1</v>
      </c>
      <c r="F200" t="str">
        <f>[1]map.xml!F200</f>
        <v>1_10000,2_0,3_0</v>
      </c>
      <c r="G200" t="str">
        <f>[1]map.xml!G200</f>
        <v>40000_50350035_1_951,40000_50302065_1_1930,4000430_0_1_5350,4000430_0_1_5350,4000430_0_1_5350,30000_90002_3_10000,30000_90003_1_3300</v>
      </c>
      <c r="H200">
        <f>[1]map.xml!H200</f>
        <v>0</v>
      </c>
      <c r="I200" t="str">
        <f>[1]map.xml!I200</f>
        <v>30000_90004_1_10000,4000430_0_1_5350,4000430_0_1_5350,4000430_0_1_5350</v>
      </c>
      <c r="J200">
        <f>[1]map.xml!J200</f>
        <v>0</v>
      </c>
      <c r="K200">
        <f>精英副本!K256</f>
        <v>100</v>
      </c>
      <c r="L200" t="str">
        <f>精英副本!L256</f>
        <v>map/map_001.png</v>
      </c>
      <c r="M200" t="str">
        <f>精英副本!M256</f>
        <v>1-3</v>
      </c>
      <c r="N200">
        <f>精英副本!N256</f>
        <v>920</v>
      </c>
      <c r="O200">
        <f>精英副本!O256</f>
        <v>120</v>
      </c>
      <c r="P200">
        <f>精英副本!P256</f>
        <v>10</v>
      </c>
      <c r="Q200">
        <f>精英副本!Q256</f>
        <v>10</v>
      </c>
      <c r="R200">
        <f>精英副本!R256</f>
        <v>0</v>
      </c>
      <c r="S200">
        <f>精英副本!S256</f>
        <v>2</v>
      </c>
      <c r="T200">
        <f>精英副本!T256</f>
        <v>30</v>
      </c>
      <c r="U200">
        <f>精英副本客户端!F144</f>
        <v>203007</v>
      </c>
    </row>
    <row r="201" spans="1:21">
      <c r="A201">
        <f>精英副本!A257</f>
        <v>203009</v>
      </c>
      <c r="B201" t="str">
        <f>精英副本!Y257</f>
        <v>敏捷试炼（30）</v>
      </c>
      <c r="C201">
        <f>精英副本!C257</f>
        <v>0</v>
      </c>
      <c r="D201">
        <f>精英副本!D257</f>
        <v>0</v>
      </c>
      <c r="E201" t="str">
        <f>[1]map.xml!$E201</f>
        <v>2030091_1</v>
      </c>
      <c r="F201" t="str">
        <f>[1]map.xml!F201</f>
        <v>1_10000,2_0,3_0</v>
      </c>
      <c r="G201" t="str">
        <f>[1]map.xml!G201</f>
        <v>40000_50352055_1_944,40000_50300035_1_1920,4000430_0_1_5400,4000430_0_1_5400,4000430_0_1_5400,30000_90002_3_10000,30000_90003_1_4400</v>
      </c>
      <c r="H201">
        <f>[1]map.xml!H201</f>
        <v>0</v>
      </c>
      <c r="I201" t="str">
        <f>[1]map.xml!I201</f>
        <v>30000_90004_1_10000,4000430_0_1_5400,4000430_0_1_5400,4000430_0_1_5400</v>
      </c>
      <c r="J201">
        <f>[1]map.xml!J201</f>
        <v>0</v>
      </c>
      <c r="K201">
        <f>精英副本!K257</f>
        <v>100</v>
      </c>
      <c r="L201" t="str">
        <f>精英副本!L257</f>
        <v>map/map_001.png</v>
      </c>
      <c r="M201" t="str">
        <f>精英副本!M257</f>
        <v>1-3</v>
      </c>
      <c r="N201">
        <f>精英副本!N257</f>
        <v>920</v>
      </c>
      <c r="O201">
        <f>精英副本!O257</f>
        <v>120</v>
      </c>
      <c r="P201">
        <f>精英副本!P257</f>
        <v>10</v>
      </c>
      <c r="Q201">
        <f>精英副本!Q257</f>
        <v>10</v>
      </c>
      <c r="R201">
        <f>精英副本!R257</f>
        <v>0</v>
      </c>
      <c r="S201">
        <f>精英副本!S257</f>
        <v>2</v>
      </c>
      <c r="T201">
        <f>精英副本!T257</f>
        <v>30</v>
      </c>
      <c r="U201">
        <f>精英副本客户端!F145</f>
        <v>203008</v>
      </c>
    </row>
    <row r="202" spans="1:21">
      <c r="A202">
        <f>精英副本!A258</f>
        <v>203501</v>
      </c>
      <c r="B202" t="str">
        <f>精英副本!Y258</f>
        <v>敏捷试炼（35）</v>
      </c>
      <c r="C202">
        <f>精英副本!C258</f>
        <v>0</v>
      </c>
      <c r="D202">
        <f>精英副本!D258</f>
        <v>0</v>
      </c>
      <c r="E202" t="str">
        <f>[1]map.xml!$E202</f>
        <v>2035011_1</v>
      </c>
      <c r="F202" t="str">
        <f>[1]map.xml!F202</f>
        <v>1_10000,2_0,3_0</v>
      </c>
      <c r="G202" t="str">
        <f>[1]map.xml!G202</f>
        <v>40000_50400015_1_937,40000_50353065_1_1910,4000435_0_1_5450,4000435_0_1_5450,4000435_0_1_5450,30000_90002_3_10000,30000_90003_1_2200</v>
      </c>
      <c r="H202">
        <f>[1]map.xml!H202</f>
        <v>0</v>
      </c>
      <c r="I202" t="str">
        <f>[1]map.xml!I202</f>
        <v>30000_90004_1_10000,4000435_0_1_5450,4000435_0_1_5450,4000435_0_1_5450</v>
      </c>
      <c r="J202">
        <f>[1]map.xml!J202</f>
        <v>0</v>
      </c>
      <c r="K202">
        <f>精英副本!K258</f>
        <v>100</v>
      </c>
      <c r="L202" t="str">
        <f>精英副本!L258</f>
        <v>map/map_001.png</v>
      </c>
      <c r="M202" t="str">
        <f>精英副本!M258</f>
        <v>1-3</v>
      </c>
      <c r="N202">
        <f>精英副本!N258</f>
        <v>920</v>
      </c>
      <c r="O202">
        <f>精英副本!O258</f>
        <v>120</v>
      </c>
      <c r="P202">
        <f>精英副本!P258</f>
        <v>10</v>
      </c>
      <c r="Q202">
        <f>精英副本!Q258</f>
        <v>10</v>
      </c>
      <c r="R202">
        <f>精英副本!R258</f>
        <v>0</v>
      </c>
      <c r="S202">
        <f>精英副本!S258</f>
        <v>2</v>
      </c>
      <c r="T202">
        <f>精英副本!T258</f>
        <v>31</v>
      </c>
      <c r="U202">
        <f>精英副本客户端!F146</f>
        <v>0</v>
      </c>
    </row>
    <row r="203" spans="1:21">
      <c r="A203">
        <f>精英副本!A259</f>
        <v>203502</v>
      </c>
      <c r="B203" t="str">
        <f>精英副本!Y259</f>
        <v>敏捷试炼（35）</v>
      </c>
      <c r="C203">
        <f>精英副本!C259</f>
        <v>0</v>
      </c>
      <c r="D203">
        <f>精英副本!D259</f>
        <v>0</v>
      </c>
      <c r="E203" t="str">
        <f>[1]map.xml!$E203</f>
        <v>2035021_1</v>
      </c>
      <c r="F203" t="str">
        <f>[1]map.xml!F203</f>
        <v>1_10000,2_0,3_0</v>
      </c>
      <c r="G203" t="str">
        <f>[1]map.xml!G203</f>
        <v>40000_50400095_1_930,40000_50352055_1_1900,4000435_0_1_5500,4000435_0_1_5500,4000435_0_1_5500,30000_90002_3_10000,30000_90003_1_2200</v>
      </c>
      <c r="H203">
        <f>[1]map.xml!H203</f>
        <v>0</v>
      </c>
      <c r="I203" t="str">
        <f>[1]map.xml!I203</f>
        <v>30000_90004_1_10000,4000435_0_1_5500,4000435_0_1_5500,4000435_0_1_5500</v>
      </c>
      <c r="J203">
        <f>[1]map.xml!J203</f>
        <v>0</v>
      </c>
      <c r="K203">
        <f>精英副本!K259</f>
        <v>100</v>
      </c>
      <c r="L203" t="str">
        <f>精英副本!L259</f>
        <v>map/map_001.png</v>
      </c>
      <c r="M203" t="str">
        <f>精英副本!M259</f>
        <v>1-3</v>
      </c>
      <c r="N203">
        <f>精英副本!N259</f>
        <v>920</v>
      </c>
      <c r="O203">
        <f>精英副本!O259</f>
        <v>120</v>
      </c>
      <c r="P203">
        <f>精英副本!P259</f>
        <v>10</v>
      </c>
      <c r="Q203">
        <f>精英副本!Q259</f>
        <v>10</v>
      </c>
      <c r="R203">
        <f>精英副本!R259</f>
        <v>0</v>
      </c>
      <c r="S203">
        <f>精英副本!S259</f>
        <v>2</v>
      </c>
      <c r="T203">
        <f>精英副本!T259</f>
        <v>31</v>
      </c>
      <c r="U203">
        <f>精英副本客户端!F147</f>
        <v>203501</v>
      </c>
    </row>
    <row r="204" spans="1:21">
      <c r="A204">
        <f>精英副本!A260</f>
        <v>203503</v>
      </c>
      <c r="B204" t="str">
        <f>精英副本!Y260</f>
        <v>敏捷试炼（35）</v>
      </c>
      <c r="C204">
        <f>精英副本!C260</f>
        <v>0</v>
      </c>
      <c r="D204">
        <f>精英副本!D260</f>
        <v>0</v>
      </c>
      <c r="E204" t="str">
        <f>[1]map.xml!$E204</f>
        <v>2035031_1</v>
      </c>
      <c r="F204" t="str">
        <f>[1]map.xml!F204</f>
        <v>1_10000,2_0,3_0</v>
      </c>
      <c r="G204" t="str">
        <f>[1]map.xml!G204</f>
        <v>40000_50400045_1_923,40000_50351055_1_1890,4000435_0_1_5550,4000435_0_1_5550,4000435_0_1_5550,30000_90002_3_10000,30000_90003_1_3300</v>
      </c>
      <c r="H204">
        <f>[1]map.xml!H204</f>
        <v>0</v>
      </c>
      <c r="I204" t="str">
        <f>[1]map.xml!I204</f>
        <v>30000_90004_1_10000,4000435_0_1_5550,4000435_0_1_5550,4000435_0_1_5550</v>
      </c>
      <c r="J204">
        <f>[1]map.xml!J204</f>
        <v>0</v>
      </c>
      <c r="K204">
        <f>精英副本!K260</f>
        <v>100</v>
      </c>
      <c r="L204" t="str">
        <f>精英副本!L260</f>
        <v>map/map_001.png</v>
      </c>
      <c r="M204" t="str">
        <f>精英副本!M260</f>
        <v>1-3</v>
      </c>
      <c r="N204">
        <f>精英副本!N260</f>
        <v>920</v>
      </c>
      <c r="O204">
        <f>精英副本!O260</f>
        <v>120</v>
      </c>
      <c r="P204">
        <f>精英副本!P260</f>
        <v>10</v>
      </c>
      <c r="Q204">
        <f>精英副本!Q260</f>
        <v>10</v>
      </c>
      <c r="R204">
        <f>精英副本!R260</f>
        <v>0</v>
      </c>
      <c r="S204">
        <f>精英副本!S260</f>
        <v>2</v>
      </c>
      <c r="T204">
        <f>精英副本!T260</f>
        <v>31</v>
      </c>
      <c r="U204">
        <f>精英副本客户端!F148</f>
        <v>203502</v>
      </c>
    </row>
    <row r="205" spans="1:21">
      <c r="A205">
        <f>精英副本!A261</f>
        <v>203504</v>
      </c>
      <c r="B205" t="str">
        <f>精英副本!Y261</f>
        <v>敏捷试炼（35）</v>
      </c>
      <c r="C205">
        <f>精英副本!C261</f>
        <v>0</v>
      </c>
      <c r="D205">
        <f>精英副本!D261</f>
        <v>0</v>
      </c>
      <c r="E205" t="str">
        <f>[1]map.xml!$E205</f>
        <v>2035041_1</v>
      </c>
      <c r="F205" t="str">
        <f>[1]map.xml!F205</f>
        <v>1_10000,2_0,3_0</v>
      </c>
      <c r="G205" t="str">
        <f>[1]map.xml!G205</f>
        <v>40000_50400085_1_916,40000_50402065_1_1880,4000435_0_1_5600,4000435_0_1_5600,4000435_0_1_5600,30000_90002_3_10000,30000_90003_1_3300</v>
      </c>
      <c r="H205">
        <f>[1]map.xml!H205</f>
        <v>0</v>
      </c>
      <c r="I205" t="str">
        <f>[1]map.xml!I205</f>
        <v>30000_90004_1_10000,4000435_0_1_5600,4000435_0_1_5600,4000435_0_1_5600</v>
      </c>
      <c r="J205">
        <f>[1]map.xml!J205</f>
        <v>0</v>
      </c>
      <c r="K205">
        <f>精英副本!K261</f>
        <v>100</v>
      </c>
      <c r="L205" t="str">
        <f>精英副本!L261</f>
        <v>map/map_001.png</v>
      </c>
      <c r="M205" t="str">
        <f>精英副本!M261</f>
        <v>1-3</v>
      </c>
      <c r="N205">
        <f>精英副本!N261</f>
        <v>920</v>
      </c>
      <c r="O205">
        <f>精英副本!O261</f>
        <v>120</v>
      </c>
      <c r="P205">
        <f>精英副本!P261</f>
        <v>10</v>
      </c>
      <c r="Q205">
        <f>精英副本!Q261</f>
        <v>10</v>
      </c>
      <c r="R205">
        <f>精英副本!R261</f>
        <v>0</v>
      </c>
      <c r="S205">
        <f>精英副本!S261</f>
        <v>2</v>
      </c>
      <c r="T205">
        <f>精英副本!T261</f>
        <v>31</v>
      </c>
      <c r="U205">
        <f>精英副本客户端!F149</f>
        <v>203503</v>
      </c>
    </row>
    <row r="206" spans="1:21">
      <c r="A206">
        <f>精英副本!A262</f>
        <v>203505</v>
      </c>
      <c r="B206" t="str">
        <f>精英副本!Y262</f>
        <v>敏捷试炼（35）</v>
      </c>
      <c r="C206">
        <f>精英副本!C262</f>
        <v>0</v>
      </c>
      <c r="D206">
        <f>精英副本!D262</f>
        <v>0</v>
      </c>
      <c r="E206" t="str">
        <f>[1]map.xml!$E206</f>
        <v>2035051_1</v>
      </c>
      <c r="F206" t="str">
        <f>[1]map.xml!F206</f>
        <v>1_10000,2_0,3_0</v>
      </c>
      <c r="G206" t="str">
        <f>[1]map.xml!G206</f>
        <v>40000_50400075_1_909,40000_50351065_1_1870,4000435_0_1_5650,4000435_0_1_5650,4000435_0_1_5650,30000_90002_3_10000,30000_90003_1_3300</v>
      </c>
      <c r="H206">
        <f>[1]map.xml!H206</f>
        <v>0</v>
      </c>
      <c r="I206" t="str">
        <f>[1]map.xml!I206</f>
        <v>30000_90004_1_10000,4000435_0_1_5650,4000435_0_1_5650,4000435_0_1_5650</v>
      </c>
      <c r="J206">
        <f>[1]map.xml!J206</f>
        <v>0</v>
      </c>
      <c r="K206">
        <f>精英副本!K262</f>
        <v>100</v>
      </c>
      <c r="L206" t="str">
        <f>精英副本!L262</f>
        <v>map/map_001.png</v>
      </c>
      <c r="M206" t="str">
        <f>精英副本!M262</f>
        <v>1-3</v>
      </c>
      <c r="N206">
        <f>精英副本!N262</f>
        <v>920</v>
      </c>
      <c r="O206">
        <f>精英副本!O262</f>
        <v>120</v>
      </c>
      <c r="P206">
        <f>精英副本!P262</f>
        <v>10</v>
      </c>
      <c r="Q206">
        <f>精英副本!Q262</f>
        <v>10</v>
      </c>
      <c r="R206">
        <f>精英副本!R262</f>
        <v>0</v>
      </c>
      <c r="S206">
        <f>精英副本!S262</f>
        <v>2</v>
      </c>
      <c r="T206">
        <f>精英副本!T262</f>
        <v>31</v>
      </c>
      <c r="U206">
        <f>精英副本客户端!F150</f>
        <v>203504</v>
      </c>
    </row>
    <row r="207" spans="1:21">
      <c r="A207">
        <f>精英副本!A263</f>
        <v>203506</v>
      </c>
      <c r="B207" t="str">
        <f>精英副本!Y263</f>
        <v>敏捷试炼（35）</v>
      </c>
      <c r="C207">
        <f>精英副本!C263</f>
        <v>0</v>
      </c>
      <c r="D207">
        <f>精英副本!D263</f>
        <v>0</v>
      </c>
      <c r="E207" t="str">
        <f>[1]map.xml!$E207</f>
        <v>2035061_1</v>
      </c>
      <c r="F207" t="str">
        <f>[1]map.xml!F207</f>
        <v>1_10000,2_0,3_0</v>
      </c>
      <c r="G207" t="str">
        <f>[1]map.xml!G207</f>
        <v>40000_50400025_1_902,40000_50350015_1_1860,4000435_0_1_5700,4000435_0_1_5700,4000435_0_1_5700,30000_90002_3_10000,30000_90003_1_4400</v>
      </c>
      <c r="H207">
        <f>[1]map.xml!H207</f>
        <v>0</v>
      </c>
      <c r="I207" t="str">
        <f>[1]map.xml!I207</f>
        <v>30000_90004_1_10000,4000435_0_1_5700,4000435_0_1_5700,4000435_0_1_5700</v>
      </c>
      <c r="J207">
        <f>[1]map.xml!J207</f>
        <v>0</v>
      </c>
      <c r="K207">
        <f>精英副本!K263</f>
        <v>100</v>
      </c>
      <c r="L207" t="str">
        <f>精英副本!L263</f>
        <v>map/map_001.png</v>
      </c>
      <c r="M207" t="str">
        <f>精英副本!M263</f>
        <v>1-3</v>
      </c>
      <c r="N207">
        <f>精英副本!N263</f>
        <v>920</v>
      </c>
      <c r="O207">
        <f>精英副本!O263</f>
        <v>120</v>
      </c>
      <c r="P207">
        <f>精英副本!P263</f>
        <v>10</v>
      </c>
      <c r="Q207">
        <f>精英副本!Q263</f>
        <v>10</v>
      </c>
      <c r="R207">
        <f>精英副本!R263</f>
        <v>0</v>
      </c>
      <c r="S207">
        <f>精英副本!S263</f>
        <v>2</v>
      </c>
      <c r="T207">
        <f>精英副本!T263</f>
        <v>31</v>
      </c>
      <c r="U207">
        <f>精英副本客户端!F151</f>
        <v>203505</v>
      </c>
    </row>
    <row r="208" spans="1:21">
      <c r="A208">
        <f>精英副本!A264</f>
        <v>203507</v>
      </c>
      <c r="B208" t="str">
        <f>精英副本!Y264</f>
        <v>敏捷试炼（35）</v>
      </c>
      <c r="C208">
        <f>精英副本!C264</f>
        <v>0</v>
      </c>
      <c r="D208">
        <f>精英副本!D264</f>
        <v>0</v>
      </c>
      <c r="E208" t="str">
        <f>[1]map.xml!$E208</f>
        <v>2035071_1,2035072_1</v>
      </c>
      <c r="F208" t="str">
        <f>[1]map.xml!F208</f>
        <v>1_0,2_10000,3_0</v>
      </c>
      <c r="G208" t="str">
        <f>[1]map.xml!G208</f>
        <v>40000_50400105_1_895,40000_50353055_1_1850,4000435_0_1_5750,4000435_0_1_5750,4000435_0_1_5750,30000_90002_3_10000,30000_90003_1_4400</v>
      </c>
      <c r="H208">
        <f>[1]map.xml!H208</f>
        <v>0</v>
      </c>
      <c r="I208" t="str">
        <f>[1]map.xml!I208</f>
        <v>30000_90004_1_10000,4000435_0_1_5750,4000435_0_1_5750,4000435_0_1_5750</v>
      </c>
      <c r="J208">
        <f>[1]map.xml!J208</f>
        <v>0</v>
      </c>
      <c r="K208">
        <f>精英副本!K264</f>
        <v>100</v>
      </c>
      <c r="L208" t="str">
        <f>精英副本!L264</f>
        <v>map/map_001.png</v>
      </c>
      <c r="M208" t="str">
        <f>精英副本!M264</f>
        <v>1-3</v>
      </c>
      <c r="N208">
        <f>精英副本!N264</f>
        <v>920</v>
      </c>
      <c r="O208">
        <f>精英副本!O264</f>
        <v>120</v>
      </c>
      <c r="P208">
        <f>精英副本!P264</f>
        <v>10</v>
      </c>
      <c r="Q208">
        <f>精英副本!Q264</f>
        <v>10</v>
      </c>
      <c r="R208">
        <f>精英副本!R264</f>
        <v>0</v>
      </c>
      <c r="S208">
        <f>精英副本!S264</f>
        <v>2</v>
      </c>
      <c r="T208">
        <f>精英副本!T264</f>
        <v>31</v>
      </c>
      <c r="U208">
        <f>精英副本客户端!F152</f>
        <v>203506</v>
      </c>
    </row>
    <row r="209" spans="1:21">
      <c r="A209">
        <f>精英副本!A265</f>
        <v>203508</v>
      </c>
      <c r="B209" t="str">
        <f>精英副本!Y265</f>
        <v>敏捷试炼（35）</v>
      </c>
      <c r="C209">
        <f>精英副本!C265</f>
        <v>0</v>
      </c>
      <c r="D209">
        <f>精英副本!D265</f>
        <v>0</v>
      </c>
      <c r="E209" t="str">
        <f>[1]map.xml!$E209</f>
        <v>2035081_1</v>
      </c>
      <c r="F209" t="str">
        <f>[1]map.xml!F209</f>
        <v>1_10000,2_0,3_0</v>
      </c>
      <c r="G209" t="str">
        <f>[1]map.xml!G209</f>
        <v>40000_50400035_1_888,40000_50350035_1_1840,4000435_0_1_5800,4000435_0_1_5800,4000435_0_1_5800,30000_90002_3_10000,30000_90003_1_4400</v>
      </c>
      <c r="H209">
        <f>[1]map.xml!H209</f>
        <v>0</v>
      </c>
      <c r="I209" t="str">
        <f>[1]map.xml!I209</f>
        <v>30000_90004_1_10000,4000435_0_1_5800,4000435_0_1_5800,4000435_0_1_5800</v>
      </c>
      <c r="J209">
        <f>[1]map.xml!J209</f>
        <v>0</v>
      </c>
      <c r="K209">
        <f>精英副本!K265</f>
        <v>100</v>
      </c>
      <c r="L209" t="str">
        <f>精英副本!L265</f>
        <v>map/map_001.png</v>
      </c>
      <c r="M209" t="str">
        <f>精英副本!M265</f>
        <v>1-3</v>
      </c>
      <c r="N209">
        <f>精英副本!N265</f>
        <v>920</v>
      </c>
      <c r="O209">
        <f>精英副本!O265</f>
        <v>120</v>
      </c>
      <c r="P209">
        <f>精英副本!P265</f>
        <v>10</v>
      </c>
      <c r="Q209">
        <f>精英副本!Q265</f>
        <v>10</v>
      </c>
      <c r="R209">
        <f>精英副本!R265</f>
        <v>0</v>
      </c>
      <c r="S209">
        <f>精英副本!S265</f>
        <v>2</v>
      </c>
      <c r="T209">
        <f>精英副本!T265</f>
        <v>31</v>
      </c>
      <c r="U209">
        <f>精英副本客户端!F153</f>
        <v>203507</v>
      </c>
    </row>
    <row r="210" spans="1:21">
      <c r="A210">
        <f>精英副本!A266</f>
        <v>203509</v>
      </c>
      <c r="B210" t="str">
        <f>精英副本!Y266</f>
        <v>敏捷试炼（35）</v>
      </c>
      <c r="C210">
        <f>精英副本!C266</f>
        <v>0</v>
      </c>
      <c r="D210">
        <f>精英副本!D266</f>
        <v>0</v>
      </c>
      <c r="E210" t="str">
        <f>[1]map.xml!$E210</f>
        <v>2035091_1</v>
      </c>
      <c r="F210" t="str">
        <f>[1]map.xml!F210</f>
        <v>1_10000,2_0,3_0</v>
      </c>
      <c r="G210" t="str">
        <f>[1]map.xml!G210</f>
        <v>40000_50402056_1_881,40000_50352065_1_1830,4000435_0_1_5850,4000435_0_1_5850,4000435_0_1_5850,30000_90002_3_10000,30000_90003_1_5500</v>
      </c>
      <c r="H210">
        <f>[1]map.xml!H210</f>
        <v>0</v>
      </c>
      <c r="I210" t="str">
        <f>[1]map.xml!I210</f>
        <v>30000_90004_1_10000,4000435_0_1_5850,4000435_0_1_5850,4000435_0_1_5850</v>
      </c>
      <c r="J210">
        <f>[1]map.xml!J210</f>
        <v>0</v>
      </c>
      <c r="K210">
        <f>精英副本!K266</f>
        <v>100</v>
      </c>
      <c r="L210" t="str">
        <f>精英副本!L266</f>
        <v>map/map_001.png</v>
      </c>
      <c r="M210" t="str">
        <f>精英副本!M266</f>
        <v>1-3</v>
      </c>
      <c r="N210">
        <f>精英副本!N266</f>
        <v>920</v>
      </c>
      <c r="O210">
        <f>精英副本!O266</f>
        <v>120</v>
      </c>
      <c r="P210">
        <f>精英副本!P266</f>
        <v>10</v>
      </c>
      <c r="Q210">
        <f>精英副本!Q266</f>
        <v>10</v>
      </c>
      <c r="R210">
        <f>精英副本!R266</f>
        <v>0</v>
      </c>
      <c r="S210">
        <f>精英副本!S266</f>
        <v>2</v>
      </c>
      <c r="T210">
        <f>精英副本!T266</f>
        <v>31</v>
      </c>
      <c r="U210">
        <f>精英副本客户端!F154</f>
        <v>203508</v>
      </c>
    </row>
    <row r="211" spans="1:21">
      <c r="A211">
        <f>精英副本!A267</f>
        <v>204001</v>
      </c>
      <c r="B211" t="str">
        <f>精英副本!Y267</f>
        <v>敏捷试炼（40）</v>
      </c>
      <c r="C211">
        <f>精英副本!C267</f>
        <v>0</v>
      </c>
      <c r="D211">
        <f>精英副本!D267</f>
        <v>0</v>
      </c>
      <c r="E211" t="str">
        <f>[1]map.xml!$E211</f>
        <v>2040011_1</v>
      </c>
      <c r="F211" t="str">
        <f>[1]map.xml!F211</f>
        <v>1_10000,2_0,3_0</v>
      </c>
      <c r="G211" t="str">
        <f>[1]map.xml!G211</f>
        <v>40000_50450025_1_874,40000_50403065_1_1820,4000440_0_1_5900,4000440_0_1_5900,4000440_0_1_5900,30000_90002_3_10000,30000_90003_1_3300</v>
      </c>
      <c r="H211">
        <f>[1]map.xml!H211</f>
        <v>0</v>
      </c>
      <c r="I211" t="str">
        <f>[1]map.xml!I211</f>
        <v>30000_90004_1_10000,4000440_0_1_5900,4000440_0_1_5900,4000440_0_1_5900</v>
      </c>
      <c r="J211">
        <f>[1]map.xml!J211</f>
        <v>0</v>
      </c>
      <c r="K211">
        <f>精英副本!K267</f>
        <v>100</v>
      </c>
      <c r="L211" t="str">
        <f>精英副本!L267</f>
        <v>map/map_001.png</v>
      </c>
      <c r="M211" t="str">
        <f>精英副本!M267</f>
        <v>1-3</v>
      </c>
      <c r="N211">
        <f>精英副本!N267</f>
        <v>920</v>
      </c>
      <c r="O211">
        <f>精英副本!O267</f>
        <v>120</v>
      </c>
      <c r="P211">
        <f>精英副本!P267</f>
        <v>10</v>
      </c>
      <c r="Q211">
        <f>精英副本!Q267</f>
        <v>10</v>
      </c>
      <c r="R211">
        <f>精英副本!R267</f>
        <v>0</v>
      </c>
      <c r="S211">
        <f>精英副本!S267</f>
        <v>2</v>
      </c>
      <c r="T211">
        <f>精英副本!T267</f>
        <v>36</v>
      </c>
      <c r="U211">
        <f>精英副本客户端!F155</f>
        <v>0</v>
      </c>
    </row>
    <row r="212" spans="1:21">
      <c r="A212">
        <f>精英副本!A268</f>
        <v>204002</v>
      </c>
      <c r="B212" t="str">
        <f>精英副本!Y268</f>
        <v>敏捷试炼（40）</v>
      </c>
      <c r="C212">
        <f>精英副本!C268</f>
        <v>0</v>
      </c>
      <c r="D212">
        <f>精英副本!D268</f>
        <v>0</v>
      </c>
      <c r="E212" t="str">
        <f>[1]map.xml!$E212</f>
        <v>2040021_1</v>
      </c>
      <c r="F212" t="str">
        <f>[1]map.xml!F212</f>
        <v>1_10000,2_0,3_0</v>
      </c>
      <c r="G212" t="str">
        <f>[1]map.xml!G212</f>
        <v>40000_50450105_1_867,40000_50400015_1_1810,4000440_0_1_5950,4000440_0_1_5950,4000440_0_1_5950,30000_90002_3_10000,30000_90003_1_3300</v>
      </c>
      <c r="H212">
        <f>[1]map.xml!H212</f>
        <v>0</v>
      </c>
      <c r="I212" t="str">
        <f>[1]map.xml!I212</f>
        <v>30000_90004_1_10000,4000440_0_1_5950,4000440_0_1_5950,4000440_0_1_5950</v>
      </c>
      <c r="J212">
        <f>[1]map.xml!J212</f>
        <v>0</v>
      </c>
      <c r="K212">
        <f>精英副本!K268</f>
        <v>100</v>
      </c>
      <c r="L212" t="str">
        <f>精英副本!L268</f>
        <v>map/map_001.png</v>
      </c>
      <c r="M212" t="str">
        <f>精英副本!M268</f>
        <v>1-3</v>
      </c>
      <c r="N212">
        <f>精英副本!N268</f>
        <v>920</v>
      </c>
      <c r="O212">
        <f>精英副本!O268</f>
        <v>120</v>
      </c>
      <c r="P212">
        <f>精英副本!P268</f>
        <v>10</v>
      </c>
      <c r="Q212">
        <f>精英副本!Q268</f>
        <v>10</v>
      </c>
      <c r="R212">
        <f>精英副本!R268</f>
        <v>0</v>
      </c>
      <c r="S212">
        <f>精英副本!S268</f>
        <v>2</v>
      </c>
      <c r="T212">
        <f>精英副本!T268</f>
        <v>36</v>
      </c>
      <c r="U212">
        <f>精英副本客户端!F156</f>
        <v>204001</v>
      </c>
    </row>
    <row r="213" spans="1:21">
      <c r="A213">
        <f>精英副本!A269</f>
        <v>204003</v>
      </c>
      <c r="B213" t="str">
        <f>精英副本!Y269</f>
        <v>敏捷试炼（40）</v>
      </c>
      <c r="C213">
        <f>精英副本!C269</f>
        <v>0</v>
      </c>
      <c r="D213">
        <f>精英副本!D269</f>
        <v>0</v>
      </c>
      <c r="E213" t="str">
        <f>[1]map.xml!$E213</f>
        <v>2040031_1</v>
      </c>
      <c r="F213" t="str">
        <f>[1]map.xml!F213</f>
        <v>1_10000,2_0,3_0</v>
      </c>
      <c r="G213" t="str">
        <f>[1]map.xml!G213</f>
        <v>40000_50450045_1_860,40000_50401055_1_1800,4000440_0_1_6000,4000440_0_1_6000,4000440_0_1_6000,30000_90002_3_10000,30000_90003_1_4400</v>
      </c>
      <c r="H213">
        <f>[1]map.xml!H213</f>
        <v>0</v>
      </c>
      <c r="I213" t="str">
        <f>[1]map.xml!I213</f>
        <v>30000_90004_1_10000,4000440_0_1_6000,4000440_0_1_6000,4000440_0_1_6000</v>
      </c>
      <c r="J213">
        <f>[1]map.xml!J213</f>
        <v>0</v>
      </c>
      <c r="K213">
        <f>精英副本!K269</f>
        <v>100</v>
      </c>
      <c r="L213" t="str">
        <f>精英副本!L269</f>
        <v>map/map_001.png</v>
      </c>
      <c r="M213" t="str">
        <f>精英副本!M269</f>
        <v>1-3</v>
      </c>
      <c r="N213">
        <f>精英副本!N269</f>
        <v>920</v>
      </c>
      <c r="O213">
        <f>精英副本!O269</f>
        <v>120</v>
      </c>
      <c r="P213">
        <f>精英副本!P269</f>
        <v>10</v>
      </c>
      <c r="Q213">
        <f>精英副本!Q269</f>
        <v>10</v>
      </c>
      <c r="R213">
        <f>精英副本!R269</f>
        <v>0</v>
      </c>
      <c r="S213">
        <f>精英副本!S269</f>
        <v>2</v>
      </c>
      <c r="T213">
        <f>精英副本!T269</f>
        <v>36</v>
      </c>
      <c r="U213">
        <f>精英副本客户端!F157</f>
        <v>204002</v>
      </c>
    </row>
    <row r="214" spans="1:21">
      <c r="A214">
        <f>精英副本!A270</f>
        <v>204004</v>
      </c>
      <c r="B214" t="str">
        <f>精英副本!Y270</f>
        <v>敏捷试炼（40）</v>
      </c>
      <c r="C214">
        <f>精英副本!C270</f>
        <v>0</v>
      </c>
      <c r="D214">
        <f>精英副本!D270</f>
        <v>0</v>
      </c>
      <c r="E214" t="str">
        <f>[1]map.xml!$E214</f>
        <v>2040041_1</v>
      </c>
      <c r="F214" t="str">
        <f>[1]map.xml!F214</f>
        <v>1_10000,2_0,3_0</v>
      </c>
      <c r="G214" t="str">
        <f>[1]map.xml!G214</f>
        <v>40000_50450075_1_853,40000_50401065_1_1790,4000440_0_1_6025,4000440_0_1_6025,4000440_0_1_6025,30000_90002_3_10000,30000_90003_1_4400</v>
      </c>
      <c r="H214">
        <f>[1]map.xml!H214</f>
        <v>0</v>
      </c>
      <c r="I214" t="str">
        <f>[1]map.xml!I214</f>
        <v>30000_90004_1_10000,4000440_0_1_6025,4000440_0_1_6025,4000440_0_1_6025</v>
      </c>
      <c r="J214">
        <f>[1]map.xml!J214</f>
        <v>0</v>
      </c>
      <c r="K214">
        <f>精英副本!K270</f>
        <v>100</v>
      </c>
      <c r="L214" t="str">
        <f>精英副本!L270</f>
        <v>map/map_001.png</v>
      </c>
      <c r="M214" t="str">
        <f>精英副本!M270</f>
        <v>1-3</v>
      </c>
      <c r="N214">
        <f>精英副本!N270</f>
        <v>920</v>
      </c>
      <c r="O214">
        <f>精英副本!O270</f>
        <v>120</v>
      </c>
      <c r="P214">
        <f>精英副本!P270</f>
        <v>10</v>
      </c>
      <c r="Q214">
        <f>精英副本!Q270</f>
        <v>10</v>
      </c>
      <c r="R214">
        <f>精英副本!R270</f>
        <v>0</v>
      </c>
      <c r="S214">
        <f>精英副本!S270</f>
        <v>2</v>
      </c>
      <c r="T214">
        <f>精英副本!T270</f>
        <v>36</v>
      </c>
      <c r="U214">
        <f>精英副本客户端!F158</f>
        <v>204003</v>
      </c>
    </row>
    <row r="215" spans="1:21">
      <c r="A215">
        <f>精英副本!A271</f>
        <v>204005</v>
      </c>
      <c r="B215" t="str">
        <f>精英副本!Y271</f>
        <v>敏捷试炼（40）</v>
      </c>
      <c r="C215">
        <f>精英副本!C271</f>
        <v>0</v>
      </c>
      <c r="D215">
        <f>精英副本!D271</f>
        <v>0</v>
      </c>
      <c r="E215" t="str">
        <f>[1]map.xml!$E215</f>
        <v>2040051_1</v>
      </c>
      <c r="F215" t="str">
        <f>[1]map.xml!F215</f>
        <v>1_10000,2_0,3_0</v>
      </c>
      <c r="G215" t="str">
        <f>[1]map.xml!G215</f>
        <v>40000_50450035_1_846,40000_50402065_1_1780,4000440_0_1_6050,4000440_0_1_6050,4000440_0_1_6050,30000_90002_3_10000,30000_90003_1_4400</v>
      </c>
      <c r="H215">
        <f>[1]map.xml!H215</f>
        <v>0</v>
      </c>
      <c r="I215" t="str">
        <f>[1]map.xml!I215</f>
        <v>30000_90004_1_10000,4000440_0_1_6050,4000440_0_1_6050,4000440_0_1_6050</v>
      </c>
      <c r="J215">
        <f>[1]map.xml!J215</f>
        <v>0</v>
      </c>
      <c r="K215">
        <f>精英副本!K271</f>
        <v>100</v>
      </c>
      <c r="L215" t="str">
        <f>精英副本!L271</f>
        <v>map/map_001.png</v>
      </c>
      <c r="M215" t="str">
        <f>精英副本!M271</f>
        <v>1-3</v>
      </c>
      <c r="N215">
        <f>精英副本!N271</f>
        <v>920</v>
      </c>
      <c r="O215">
        <f>精英副本!O271</f>
        <v>120</v>
      </c>
      <c r="P215">
        <f>精英副本!P271</f>
        <v>10</v>
      </c>
      <c r="Q215">
        <f>精英副本!Q271</f>
        <v>10</v>
      </c>
      <c r="R215">
        <f>精英副本!R271</f>
        <v>0</v>
      </c>
      <c r="S215">
        <f>精英副本!S271</f>
        <v>2</v>
      </c>
      <c r="T215">
        <f>精英副本!T271</f>
        <v>36</v>
      </c>
      <c r="U215">
        <f>精英副本客户端!F159</f>
        <v>204004</v>
      </c>
    </row>
    <row r="216" spans="1:21">
      <c r="A216">
        <f>精英副本!A272</f>
        <v>204006</v>
      </c>
      <c r="B216" t="str">
        <f>精英副本!Y272</f>
        <v>敏捷试炼（40）</v>
      </c>
      <c r="C216">
        <f>精英副本!C272</f>
        <v>0</v>
      </c>
      <c r="D216">
        <f>精英副本!D272</f>
        <v>0</v>
      </c>
      <c r="E216" t="str">
        <f>[1]map.xml!$E216</f>
        <v>2040061_1</v>
      </c>
      <c r="F216" t="str">
        <f>[1]map.xml!F216</f>
        <v>1_10000,2_0,3_0</v>
      </c>
      <c r="G216" t="str">
        <f>[1]map.xml!G216</f>
        <v>40000_50450095_1_839,40000_50402055_1_1770,4000440_0_1_6075,4000440_0_1_6075,4000440_0_1_6075,30000_90002_3_10000,30000_90003_1_5500</v>
      </c>
      <c r="H216">
        <f>[1]map.xml!H216</f>
        <v>0</v>
      </c>
      <c r="I216" t="str">
        <f>[1]map.xml!I216</f>
        <v>30000_90004_1_10000,4000440_0_1_6075,4000440_0_1_6075,4000440_0_1_6075</v>
      </c>
      <c r="J216">
        <f>[1]map.xml!J216</f>
        <v>0</v>
      </c>
      <c r="K216">
        <f>精英副本!K272</f>
        <v>100</v>
      </c>
      <c r="L216" t="str">
        <f>精英副本!L272</f>
        <v>map/map_001.png</v>
      </c>
      <c r="M216" t="str">
        <f>精英副本!M272</f>
        <v>1-3</v>
      </c>
      <c r="N216">
        <f>精英副本!N272</f>
        <v>920</v>
      </c>
      <c r="O216">
        <f>精英副本!O272</f>
        <v>120</v>
      </c>
      <c r="P216">
        <f>精英副本!P272</f>
        <v>10</v>
      </c>
      <c r="Q216">
        <f>精英副本!Q272</f>
        <v>10</v>
      </c>
      <c r="R216">
        <f>精英副本!R272</f>
        <v>0</v>
      </c>
      <c r="S216">
        <f>精英副本!S272</f>
        <v>2</v>
      </c>
      <c r="T216">
        <f>精英副本!T272</f>
        <v>36</v>
      </c>
      <c r="U216">
        <f>精英副本客户端!F160</f>
        <v>204005</v>
      </c>
    </row>
    <row r="217" spans="1:21">
      <c r="A217">
        <f>精英副本!A273</f>
        <v>204007</v>
      </c>
      <c r="B217" t="str">
        <f>精英副本!Y273</f>
        <v>敏捷试炼（40）</v>
      </c>
      <c r="C217">
        <f>精英副本!C273</f>
        <v>0</v>
      </c>
      <c r="D217">
        <f>精英副本!D273</f>
        <v>0</v>
      </c>
      <c r="E217" t="str">
        <f>[1]map.xml!$E217</f>
        <v>2040071_1,2040072_1</v>
      </c>
      <c r="F217" t="str">
        <f>[1]map.xml!F217</f>
        <v>1_0,2_10000,3_0</v>
      </c>
      <c r="G217" t="str">
        <f>[1]map.xml!G217</f>
        <v>40000_50450015_1_832,40000_50452065_1_1760,4000440_0_1_6100,4000440_0_1_6100,4000440_0_1_6100,30000_90002_3_10000,30000_90003_1_5500</v>
      </c>
      <c r="H217">
        <f>[1]map.xml!H217</f>
        <v>0</v>
      </c>
      <c r="I217" t="str">
        <f>[1]map.xml!I217</f>
        <v>30000_90004_1_10000,4000440_0_1_6100,4000440_0_1_6100,4000440_0_1_6100</v>
      </c>
      <c r="J217">
        <f>[1]map.xml!J217</f>
        <v>0</v>
      </c>
      <c r="K217">
        <f>精英副本!K273</f>
        <v>100</v>
      </c>
      <c r="L217" t="str">
        <f>精英副本!L273</f>
        <v>map/map_001.png</v>
      </c>
      <c r="M217" t="str">
        <f>精英副本!M273</f>
        <v>1-3</v>
      </c>
      <c r="N217">
        <f>精英副本!N273</f>
        <v>920</v>
      </c>
      <c r="O217">
        <f>精英副本!O273</f>
        <v>120</v>
      </c>
      <c r="P217">
        <f>精英副本!P273</f>
        <v>10</v>
      </c>
      <c r="Q217">
        <f>精英副本!Q273</f>
        <v>10</v>
      </c>
      <c r="R217">
        <f>精英副本!R273</f>
        <v>0</v>
      </c>
      <c r="S217">
        <f>精英副本!S273</f>
        <v>2</v>
      </c>
      <c r="T217">
        <f>精英副本!T273</f>
        <v>36</v>
      </c>
      <c r="U217">
        <f>精英副本客户端!F161</f>
        <v>204006</v>
      </c>
    </row>
    <row r="218" spans="1:21">
      <c r="A218">
        <f>精英副本!A274</f>
        <v>204008</v>
      </c>
      <c r="B218" t="str">
        <f>精英副本!Y274</f>
        <v>敏捷试炼（40）</v>
      </c>
      <c r="C218">
        <f>精英副本!C274</f>
        <v>0</v>
      </c>
      <c r="D218">
        <f>精英副本!D274</f>
        <v>0</v>
      </c>
      <c r="E218" t="str">
        <f>[1]map.xml!$E218</f>
        <v>2040081_1</v>
      </c>
      <c r="F218" t="str">
        <f>[1]map.xml!F218</f>
        <v>1_10000,2_0,3_0</v>
      </c>
      <c r="G218" t="str">
        <f>[1]map.xml!G218</f>
        <v>40000_50450085_1_825,40000_50400035_1_1750,4000440_0_1_6125,4000440_0_1_6125,4000440_0_1_6125,30000_90002_3_10000,30000_90003_1_5500</v>
      </c>
      <c r="H218">
        <f>[1]map.xml!H218</f>
        <v>0</v>
      </c>
      <c r="I218" t="str">
        <f>[1]map.xml!I218</f>
        <v>30000_90004_1_10000,4000440_0_1_6125,4000440_0_1_6125,4000440_0_1_6125</v>
      </c>
      <c r="J218">
        <f>[1]map.xml!J218</f>
        <v>0</v>
      </c>
      <c r="K218">
        <f>精英副本!K274</f>
        <v>100</v>
      </c>
      <c r="L218" t="str">
        <f>精英副本!L274</f>
        <v>map/map_001.png</v>
      </c>
      <c r="M218" t="str">
        <f>精英副本!M274</f>
        <v>1-3</v>
      </c>
      <c r="N218">
        <f>精英副本!N274</f>
        <v>920</v>
      </c>
      <c r="O218">
        <f>精英副本!O274</f>
        <v>120</v>
      </c>
      <c r="P218">
        <f>精英副本!P274</f>
        <v>10</v>
      </c>
      <c r="Q218">
        <f>精英副本!Q274</f>
        <v>10</v>
      </c>
      <c r="R218">
        <f>精英副本!R274</f>
        <v>0</v>
      </c>
      <c r="S218">
        <f>精英副本!S274</f>
        <v>2</v>
      </c>
      <c r="T218">
        <f>精英副本!T274</f>
        <v>36</v>
      </c>
      <c r="U218">
        <f>精英副本客户端!F162</f>
        <v>204007</v>
      </c>
    </row>
    <row r="219" spans="1:21">
      <c r="A219">
        <f>精英副本!A275</f>
        <v>204009</v>
      </c>
      <c r="B219" t="str">
        <f>精英副本!Y275</f>
        <v>敏捷试炼（40）</v>
      </c>
      <c r="C219">
        <f>精英副本!C275</f>
        <v>0</v>
      </c>
      <c r="D219">
        <f>精英副本!D275</f>
        <v>0</v>
      </c>
      <c r="E219" t="str">
        <f>[1]map.xml!$E219</f>
        <v>2040091_1</v>
      </c>
      <c r="F219" t="str">
        <f>[1]map.xml!F219</f>
        <v>1_10000,2_0,3_0</v>
      </c>
      <c r="G219" t="str">
        <f>[1]map.xml!G219</f>
        <v>40000_50452055_1_818,40000_50403055_1_1740,4000440_0_1_6150,4000440_0_1_6150,4000440_0_1_6150,30000_90002_3_10000,30000_90003_1_6600</v>
      </c>
      <c r="H219">
        <f>[1]map.xml!H219</f>
        <v>0</v>
      </c>
      <c r="I219" t="str">
        <f>[1]map.xml!I219</f>
        <v>30000_90004_1_10000,4000440_0_1_6150,4000440_0_1_6150,4000440_0_1_6150</v>
      </c>
      <c r="J219">
        <f>[1]map.xml!J219</f>
        <v>0</v>
      </c>
      <c r="K219">
        <f>精英副本!K275</f>
        <v>100</v>
      </c>
      <c r="L219" t="str">
        <f>精英副本!L275</f>
        <v>map/map_001.png</v>
      </c>
      <c r="M219" t="str">
        <f>精英副本!M275</f>
        <v>1-3</v>
      </c>
      <c r="N219">
        <f>精英副本!N275</f>
        <v>920</v>
      </c>
      <c r="O219">
        <f>精英副本!O275</f>
        <v>120</v>
      </c>
      <c r="P219">
        <f>精英副本!P275</f>
        <v>10</v>
      </c>
      <c r="Q219">
        <f>精英副本!Q275</f>
        <v>10</v>
      </c>
      <c r="R219">
        <f>精英副本!R275</f>
        <v>0</v>
      </c>
      <c r="S219">
        <f>精英副本!S275</f>
        <v>2</v>
      </c>
      <c r="T219">
        <f>精英副本!T275</f>
        <v>36</v>
      </c>
      <c r="U219">
        <f>精英副本客户端!F163</f>
        <v>204008</v>
      </c>
    </row>
    <row r="220" spans="1:21">
      <c r="A220">
        <f>精英副本!A276</f>
        <v>204501</v>
      </c>
      <c r="B220" t="str">
        <f>精英副本!Y276</f>
        <v>敏捷试炼（45）</v>
      </c>
      <c r="C220">
        <f>精英副本!C276</f>
        <v>0</v>
      </c>
      <c r="D220">
        <f>精英副本!D276</f>
        <v>0</v>
      </c>
      <c r="E220" t="str">
        <f>[1]map.xml!$E220</f>
        <v>2045011_1</v>
      </c>
      <c r="F220" t="str">
        <f>[1]map.xml!F220</f>
        <v>1_10000,2_0,3_0</v>
      </c>
      <c r="G220" t="str">
        <f>[1]map.xml!G220</f>
        <v>40000_50500045_1_811,40000_50452065_1_1730,4000445_0_1_6175,4000445_0_1_6175,4000445_0_1_6175,30000_90002_3_10000,30000_90003_1_4400</v>
      </c>
      <c r="H220">
        <f>[1]map.xml!H220</f>
        <v>0</v>
      </c>
      <c r="I220" t="str">
        <f>[1]map.xml!I220</f>
        <v>30000_90004_1_10000,4000445_0_1_6175,4000445_0_1_6175,4000445_0_1_6175</v>
      </c>
      <c r="J220">
        <f>[1]map.xml!J220</f>
        <v>0</v>
      </c>
      <c r="K220">
        <f>精英副本!K276</f>
        <v>100</v>
      </c>
      <c r="L220" t="str">
        <f>精英副本!L276</f>
        <v>map/map_001.png</v>
      </c>
      <c r="M220" t="str">
        <f>精英副本!M276</f>
        <v>1-3</v>
      </c>
      <c r="N220">
        <f>精英副本!N276</f>
        <v>920</v>
      </c>
      <c r="O220">
        <f>精英副本!O276</f>
        <v>120</v>
      </c>
      <c r="P220">
        <f>精英副本!P276</f>
        <v>10</v>
      </c>
      <c r="Q220">
        <f>精英副本!Q276</f>
        <v>10</v>
      </c>
      <c r="R220">
        <f>精英副本!R276</f>
        <v>0</v>
      </c>
      <c r="S220">
        <f>精英副本!S276</f>
        <v>2</v>
      </c>
      <c r="T220">
        <f>精英副本!T276</f>
        <v>41</v>
      </c>
      <c r="U220">
        <f>精英副本客户端!F164</f>
        <v>0</v>
      </c>
    </row>
    <row r="221" spans="1:21">
      <c r="A221">
        <f>精英副本!A277</f>
        <v>204502</v>
      </c>
      <c r="B221" t="str">
        <f>精英副本!Y277</f>
        <v>敏捷试炼（45）</v>
      </c>
      <c r="C221">
        <f>精英副本!C277</f>
        <v>0</v>
      </c>
      <c r="D221">
        <f>精英副本!D277</f>
        <v>0</v>
      </c>
      <c r="E221" t="str">
        <f>[1]map.xml!$E221</f>
        <v>2045021_1</v>
      </c>
      <c r="F221" t="str">
        <f>[1]map.xml!F221</f>
        <v>1_10000,2_0,3_0</v>
      </c>
      <c r="G221" t="str">
        <f>[1]map.xml!G221</f>
        <v>40000_50500075_1_804,40000_50451065_1_1720,4000445_0_1_6200,4000445_0_1_6200,4000445_0_1_6200,30000_90002_3_10000,30000_90003_1_4400</v>
      </c>
      <c r="H221">
        <f>[1]map.xml!H221</f>
        <v>0</v>
      </c>
      <c r="I221" t="str">
        <f>[1]map.xml!I221</f>
        <v>30000_90004_1_10000,4000445_0_1_6200,4000445_0_1_6200,4000445_0_1_6200</v>
      </c>
      <c r="J221">
        <f>[1]map.xml!J221</f>
        <v>0</v>
      </c>
      <c r="K221">
        <f>精英副本!K277</f>
        <v>100</v>
      </c>
      <c r="L221" t="str">
        <f>精英副本!L277</f>
        <v>map/map_001.png</v>
      </c>
      <c r="M221" t="str">
        <f>精英副本!M277</f>
        <v>1-3</v>
      </c>
      <c r="N221">
        <f>精英副本!N277</f>
        <v>920</v>
      </c>
      <c r="O221">
        <f>精英副本!O277</f>
        <v>120</v>
      </c>
      <c r="P221">
        <f>精英副本!P277</f>
        <v>10</v>
      </c>
      <c r="Q221">
        <f>精英副本!Q277</f>
        <v>10</v>
      </c>
      <c r="R221">
        <f>精英副本!R277</f>
        <v>0</v>
      </c>
      <c r="S221">
        <f>精英副本!S277</f>
        <v>2</v>
      </c>
      <c r="T221">
        <f>精英副本!T277</f>
        <v>41</v>
      </c>
      <c r="U221">
        <f>精英副本客户端!F165</f>
        <v>204501</v>
      </c>
    </row>
    <row r="222" spans="1:21">
      <c r="A222">
        <f>精英副本!A278</f>
        <v>204503</v>
      </c>
      <c r="B222" t="str">
        <f>精英副本!Y278</f>
        <v>敏捷试炼（45）</v>
      </c>
      <c r="C222">
        <f>精英副本!C278</f>
        <v>0</v>
      </c>
      <c r="D222">
        <f>精英副本!D278</f>
        <v>0</v>
      </c>
      <c r="E222" t="str">
        <f>[1]map.xml!$E222</f>
        <v>2045031_1</v>
      </c>
      <c r="F222" t="str">
        <f>[1]map.xml!F222</f>
        <v>1_10000,2_0,3_0</v>
      </c>
      <c r="G222" t="str">
        <f>[1]map.xml!G222</f>
        <v>40000_50500025_1_797,40000_50452055_1_1710,4000445_0_1_6225,4000445_0_1_6225,4000445_0_1_6225,30000_90002_3_10000,30000_90003_1_5500</v>
      </c>
      <c r="H222">
        <f>[1]map.xml!H222</f>
        <v>0</v>
      </c>
      <c r="I222" t="str">
        <f>[1]map.xml!I222</f>
        <v>30000_90004_1_10000,4000445_0_1_6225,4000445_0_1_6225,4000445_0_1_6225</v>
      </c>
      <c r="J222">
        <f>[1]map.xml!J222</f>
        <v>0</v>
      </c>
      <c r="K222">
        <f>精英副本!K278</f>
        <v>100</v>
      </c>
      <c r="L222" t="str">
        <f>精英副本!L278</f>
        <v>map/map_001.png</v>
      </c>
      <c r="M222" t="str">
        <f>精英副本!M278</f>
        <v>1-3</v>
      </c>
      <c r="N222">
        <f>精英副本!N278</f>
        <v>920</v>
      </c>
      <c r="O222">
        <f>精英副本!O278</f>
        <v>120</v>
      </c>
      <c r="P222">
        <f>精英副本!P278</f>
        <v>10</v>
      </c>
      <c r="Q222">
        <f>精英副本!Q278</f>
        <v>10</v>
      </c>
      <c r="R222">
        <f>精英副本!R278</f>
        <v>0</v>
      </c>
      <c r="S222">
        <f>精英副本!S278</f>
        <v>2</v>
      </c>
      <c r="T222">
        <f>精英副本!T278</f>
        <v>41</v>
      </c>
      <c r="U222">
        <f>精英副本客户端!F166</f>
        <v>204502</v>
      </c>
    </row>
    <row r="223" spans="1:21">
      <c r="A223">
        <f>精英副本!A279</f>
        <v>204504</v>
      </c>
      <c r="B223" t="str">
        <f>精英副本!Y279</f>
        <v>敏捷试炼（45）</v>
      </c>
      <c r="C223">
        <f>精英副本!C279</f>
        <v>0</v>
      </c>
      <c r="D223">
        <f>精英副本!D279</f>
        <v>0</v>
      </c>
      <c r="E223" t="str">
        <f>[1]map.xml!$E223</f>
        <v>2045041_1</v>
      </c>
      <c r="F223" t="str">
        <f>[1]map.xml!F223</f>
        <v>1_10000,2_0,3_0</v>
      </c>
      <c r="G223" t="str">
        <f>[1]map.xml!G223</f>
        <v>40000_50500105_1_790,40000_50453055_1_1700,4000445_0_1_6250,4000445_0_1_6250,4000445_0_1_6250,30000_90002_3_10000,30000_90003_1_5500</v>
      </c>
      <c r="H223">
        <f>[1]map.xml!H223</f>
        <v>0</v>
      </c>
      <c r="I223" t="str">
        <f>[1]map.xml!I223</f>
        <v>30000_90004_1_10000,4000445_0_1_6250,4000445_0_1_6250,4000445_0_1_6250</v>
      </c>
      <c r="J223">
        <f>[1]map.xml!J223</f>
        <v>0</v>
      </c>
      <c r="K223">
        <f>精英副本!K279</f>
        <v>100</v>
      </c>
      <c r="L223" t="str">
        <f>精英副本!L279</f>
        <v>map/map_001.png</v>
      </c>
      <c r="M223" t="str">
        <f>精英副本!M279</f>
        <v>1-3</v>
      </c>
      <c r="N223">
        <f>精英副本!N279</f>
        <v>920</v>
      </c>
      <c r="O223">
        <f>精英副本!O279</f>
        <v>120</v>
      </c>
      <c r="P223">
        <f>精英副本!P279</f>
        <v>10</v>
      </c>
      <c r="Q223">
        <f>精英副本!Q279</f>
        <v>10</v>
      </c>
      <c r="R223">
        <f>精英副本!R279</f>
        <v>0</v>
      </c>
      <c r="S223">
        <f>精英副本!S279</f>
        <v>2</v>
      </c>
      <c r="T223">
        <f>精英副本!T279</f>
        <v>41</v>
      </c>
      <c r="U223">
        <f>精英副本客户端!F167</f>
        <v>204503</v>
      </c>
    </row>
    <row r="224" spans="1:21">
      <c r="A224">
        <f>精英副本!A280</f>
        <v>204505</v>
      </c>
      <c r="B224" t="str">
        <f>精英副本!Y280</f>
        <v>敏捷试炼（45）</v>
      </c>
      <c r="C224">
        <f>精英副本!C280</f>
        <v>0</v>
      </c>
      <c r="D224">
        <f>精英副本!D280</f>
        <v>0</v>
      </c>
      <c r="E224" t="str">
        <f>[1]map.xml!$E224</f>
        <v>2045051_1</v>
      </c>
      <c r="F224" t="str">
        <f>[1]map.xml!F224</f>
        <v>1_10000,2_0,3_0</v>
      </c>
      <c r="G224" t="str">
        <f>[1]map.xml!G224</f>
        <v>40000_50500095_1_783,40000_50451055_1_1690,4000445_0_1_6275,4000445_0_1_6275,4000445_0_1_6275,30000_90002_3_10000,30000_90003_1_5500</v>
      </c>
      <c r="H224">
        <f>[1]map.xml!H224</f>
        <v>0</v>
      </c>
      <c r="I224" t="str">
        <f>[1]map.xml!I224</f>
        <v>30000_90004_1_10000,4000445_0_1_6275,4000445_0_1_6275,4000445_0_1_6275</v>
      </c>
      <c r="J224">
        <f>[1]map.xml!J224</f>
        <v>0</v>
      </c>
      <c r="K224">
        <f>精英副本!K280</f>
        <v>100</v>
      </c>
      <c r="L224" t="str">
        <f>精英副本!L280</f>
        <v>map/map_001.png</v>
      </c>
      <c r="M224" t="str">
        <f>精英副本!M280</f>
        <v>1-3</v>
      </c>
      <c r="N224">
        <f>精英副本!N280</f>
        <v>920</v>
      </c>
      <c r="O224">
        <f>精英副本!O280</f>
        <v>120</v>
      </c>
      <c r="P224">
        <f>精英副本!P280</f>
        <v>10</v>
      </c>
      <c r="Q224">
        <f>精英副本!Q280</f>
        <v>10</v>
      </c>
      <c r="R224">
        <f>精英副本!R280</f>
        <v>0</v>
      </c>
      <c r="S224">
        <f>精英副本!S280</f>
        <v>2</v>
      </c>
      <c r="T224">
        <f>精英副本!T280</f>
        <v>41</v>
      </c>
      <c r="U224">
        <f>精英副本客户端!F168</f>
        <v>204504</v>
      </c>
    </row>
    <row r="225" spans="1:21">
      <c r="A225">
        <f>精英副本!A281</f>
        <v>204506</v>
      </c>
      <c r="B225" t="str">
        <f>精英副本!Y281</f>
        <v>敏捷试炼（45）</v>
      </c>
      <c r="C225">
        <f>精英副本!C281</f>
        <v>0</v>
      </c>
      <c r="D225">
        <f>精英副本!D281</f>
        <v>0</v>
      </c>
      <c r="E225" t="str">
        <f>[1]map.xml!$E225</f>
        <v>2045061_1</v>
      </c>
      <c r="F225" t="str">
        <f>[1]map.xml!F225</f>
        <v>1_10000,2_0,3_0</v>
      </c>
      <c r="G225" t="str">
        <f>[1]map.xml!G225</f>
        <v>40000_50500085_1_776,40000_50453065_1_1680,4000445_0_1_6300,4000445_0_1_6300,4000445_0_1_6300,30000_90002_3_10000,30000_90003_1_6600</v>
      </c>
      <c r="H225">
        <f>[1]map.xml!H225</f>
        <v>0</v>
      </c>
      <c r="I225" t="str">
        <f>[1]map.xml!I225</f>
        <v>30000_90004_1_10000,4000445_0_1_6300,4000445_0_1_6300,4000445_0_1_6300</v>
      </c>
      <c r="J225">
        <f>[1]map.xml!J225</f>
        <v>0</v>
      </c>
      <c r="K225">
        <f>精英副本!K281</f>
        <v>100</v>
      </c>
      <c r="L225" t="str">
        <f>精英副本!L281</f>
        <v>map/map_001.png</v>
      </c>
      <c r="M225" t="str">
        <f>精英副本!M281</f>
        <v>1-3</v>
      </c>
      <c r="N225">
        <f>精英副本!N281</f>
        <v>920</v>
      </c>
      <c r="O225">
        <f>精英副本!O281</f>
        <v>120</v>
      </c>
      <c r="P225">
        <f>精英副本!P281</f>
        <v>10</v>
      </c>
      <c r="Q225">
        <f>精英副本!Q281</f>
        <v>10</v>
      </c>
      <c r="R225">
        <f>精英副本!R281</f>
        <v>0</v>
      </c>
      <c r="S225">
        <f>精英副本!S281</f>
        <v>2</v>
      </c>
      <c r="T225">
        <f>精英副本!T281</f>
        <v>41</v>
      </c>
      <c r="U225">
        <f>精英副本客户端!F169</f>
        <v>204505</v>
      </c>
    </row>
    <row r="226" spans="1:21">
      <c r="A226">
        <f>精英副本!A282</f>
        <v>204507</v>
      </c>
      <c r="B226" t="str">
        <f>精英副本!Y282</f>
        <v>敏捷试炼（45）</v>
      </c>
      <c r="C226">
        <f>精英副本!C282</f>
        <v>0</v>
      </c>
      <c r="D226">
        <f>精英副本!D282</f>
        <v>0</v>
      </c>
      <c r="E226" t="str">
        <f>[1]map.xml!$E226</f>
        <v>2045071_1,2045072_1</v>
      </c>
      <c r="F226" t="str">
        <f>[1]map.xml!F226</f>
        <v>1_0,2_10000,3_0</v>
      </c>
      <c r="G226" t="str">
        <f>[1]map.xml!G226</f>
        <v>40000_50500035_1_769,40000_50502066_1_1670,4000445_0_1_6325,4000445_0_1_6325,4000445_0_1_6325,30000_90002_3_10000,30000_90003_1_6600</v>
      </c>
      <c r="H226">
        <f>[1]map.xml!H226</f>
        <v>0</v>
      </c>
      <c r="I226" t="str">
        <f>[1]map.xml!I226</f>
        <v>30000_90004_1_10000,4000445_0_1_6325,4000445_0_1_6325,4000445_0_1_6325</v>
      </c>
      <c r="J226">
        <f>[1]map.xml!J226</f>
        <v>0</v>
      </c>
      <c r="K226">
        <f>精英副本!K282</f>
        <v>100</v>
      </c>
      <c r="L226" t="str">
        <f>精英副本!L282</f>
        <v>map/map_001.png</v>
      </c>
      <c r="M226" t="str">
        <f>精英副本!M282</f>
        <v>1-3</v>
      </c>
      <c r="N226">
        <f>精英副本!N282</f>
        <v>920</v>
      </c>
      <c r="O226">
        <f>精英副本!O282</f>
        <v>120</v>
      </c>
      <c r="P226">
        <f>精英副本!P282</f>
        <v>10</v>
      </c>
      <c r="Q226">
        <f>精英副本!Q282</f>
        <v>10</v>
      </c>
      <c r="R226">
        <f>精英副本!R282</f>
        <v>0</v>
      </c>
      <c r="S226">
        <f>精英副本!S282</f>
        <v>2</v>
      </c>
      <c r="T226">
        <f>精英副本!T282</f>
        <v>41</v>
      </c>
      <c r="U226">
        <f>精英副本客户端!F170</f>
        <v>204506</v>
      </c>
    </row>
    <row r="227" spans="1:21">
      <c r="A227">
        <f>精英副本!A283</f>
        <v>204508</v>
      </c>
      <c r="B227" t="str">
        <f>精英副本!Y283</f>
        <v>敏捷试炼（45）</v>
      </c>
      <c r="C227">
        <f>精英副本!C283</f>
        <v>0</v>
      </c>
      <c r="D227">
        <f>精英副本!D283</f>
        <v>0</v>
      </c>
      <c r="E227" t="str">
        <f>[1]map.xml!$E227</f>
        <v>2045081_1</v>
      </c>
      <c r="F227" t="str">
        <f>[1]map.xml!F227</f>
        <v>1_10000,2_0,3_0</v>
      </c>
      <c r="G227" t="str">
        <f>[1]map.xml!G227</f>
        <v>40000_50500015_1_762,40000_50450035_1_1660,4000445_0_1_6350,4000445_0_1_6350,4000445_0_1_6350,30000_90002_3_10000,30000_90003_1_6600</v>
      </c>
      <c r="H227">
        <f>[1]map.xml!H227</f>
        <v>0</v>
      </c>
      <c r="I227" t="str">
        <f>[1]map.xml!I227</f>
        <v>30000_90004_1_10000,4000445_0_1_6350,4000445_0_1_6350,4000445_0_1_6350</v>
      </c>
      <c r="J227">
        <f>[1]map.xml!J227</f>
        <v>0</v>
      </c>
      <c r="K227">
        <f>精英副本!K283</f>
        <v>100</v>
      </c>
      <c r="L227" t="str">
        <f>精英副本!L283</f>
        <v>map/map_001.png</v>
      </c>
      <c r="M227" t="str">
        <f>精英副本!M283</f>
        <v>1-3</v>
      </c>
      <c r="N227">
        <f>精英副本!N283</f>
        <v>920</v>
      </c>
      <c r="O227">
        <f>精英副本!O283</f>
        <v>120</v>
      </c>
      <c r="P227">
        <f>精英副本!P283</f>
        <v>10</v>
      </c>
      <c r="Q227">
        <f>精英副本!Q283</f>
        <v>10</v>
      </c>
      <c r="R227">
        <f>精英副本!R283</f>
        <v>0</v>
      </c>
      <c r="S227">
        <f>精英副本!S283</f>
        <v>2</v>
      </c>
      <c r="T227">
        <f>精英副本!T283</f>
        <v>41</v>
      </c>
      <c r="U227">
        <f>精英副本客户端!F171</f>
        <v>204507</v>
      </c>
    </row>
    <row r="228" spans="1:21">
      <c r="A228">
        <f>精英副本!A284</f>
        <v>204509</v>
      </c>
      <c r="B228" t="str">
        <f>精英副本!Y284</f>
        <v>敏捷试炼（45）</v>
      </c>
      <c r="C228">
        <f>精英副本!C284</f>
        <v>0</v>
      </c>
      <c r="D228">
        <f>精英副本!D284</f>
        <v>0</v>
      </c>
      <c r="E228" t="str">
        <f>[1]map.xml!$E228</f>
        <v>2045091_1</v>
      </c>
      <c r="F228" t="str">
        <f>[1]map.xml!F228</f>
        <v>1_10000,2_0,3_0</v>
      </c>
      <c r="G228" t="str">
        <f>[1]map.xml!G228</f>
        <v>40000_50502056_1_755,40000_50450015_1_1650,4000445_0_1_6375,4000445_0_1_6375,4000445_0_1_6375,30000_90002_3_10000,30000_90003_1_7700</v>
      </c>
      <c r="H228">
        <f>[1]map.xml!H228</f>
        <v>0</v>
      </c>
      <c r="I228" t="str">
        <f>[1]map.xml!I228</f>
        <v>30000_90004_1_10000,4000445_0_1_6375,4000445_0_1_6375,4000445_0_1_6375</v>
      </c>
      <c r="J228">
        <f>[1]map.xml!J228</f>
        <v>0</v>
      </c>
      <c r="K228">
        <f>精英副本!K284</f>
        <v>100</v>
      </c>
      <c r="L228" t="str">
        <f>精英副本!L284</f>
        <v>map/map_001.png</v>
      </c>
      <c r="M228" t="str">
        <f>精英副本!M284</f>
        <v>1-3</v>
      </c>
      <c r="N228">
        <f>精英副本!N284</f>
        <v>920</v>
      </c>
      <c r="O228">
        <f>精英副本!O284</f>
        <v>120</v>
      </c>
      <c r="P228">
        <f>精英副本!P284</f>
        <v>10</v>
      </c>
      <c r="Q228">
        <f>精英副本!Q284</f>
        <v>10</v>
      </c>
      <c r="R228">
        <f>精英副本!R284</f>
        <v>0</v>
      </c>
      <c r="S228">
        <f>精英副本!S284</f>
        <v>2</v>
      </c>
      <c r="T228">
        <f>精英副本!T284</f>
        <v>41</v>
      </c>
      <c r="U228">
        <f>精英副本客户端!F172</f>
        <v>204508</v>
      </c>
    </row>
    <row r="229" spans="1:21">
      <c r="A229">
        <f>精英副本!A285</f>
        <v>205001</v>
      </c>
      <c r="B229" t="str">
        <f>精英副本!Y285</f>
        <v>敏捷试炼（50）</v>
      </c>
      <c r="C229">
        <f>精英副本!C285</f>
        <v>0</v>
      </c>
      <c r="D229">
        <f>精英副本!D285</f>
        <v>0</v>
      </c>
      <c r="E229" t="str">
        <f>[1]map.xml!$E229</f>
        <v>2050011_1</v>
      </c>
      <c r="F229" t="str">
        <f>[1]map.xml!F229</f>
        <v>1_10000,2_0,3_0</v>
      </c>
      <c r="G229" t="str">
        <f>[1]map.xml!G229</f>
        <v>40000_50550045_1_748,40000_50502065_1_1640,4000450_0_1_6400,4000450_0_1_6400,4000450_0_1_6400,30000_90002_3_10000,30000_90003_1_5500</v>
      </c>
      <c r="H229">
        <f>[1]map.xml!H229</f>
        <v>0</v>
      </c>
      <c r="I229" t="str">
        <f>[1]map.xml!I229</f>
        <v>30000_90004_1_10000,4000450_0_1_6400,4000450_0_1_6400,4000450_0_1_6400</v>
      </c>
      <c r="J229">
        <f>[1]map.xml!J229</f>
        <v>0</v>
      </c>
      <c r="K229">
        <f>精英副本!K285</f>
        <v>100</v>
      </c>
      <c r="L229" t="str">
        <f>精英副本!L285</f>
        <v>map/map_001.png</v>
      </c>
      <c r="M229" t="str">
        <f>精英副本!M285</f>
        <v>1-3</v>
      </c>
      <c r="N229">
        <f>精英副本!N285</f>
        <v>920</v>
      </c>
      <c r="O229">
        <f>精英副本!O285</f>
        <v>120</v>
      </c>
      <c r="P229">
        <f>精英副本!P285</f>
        <v>10</v>
      </c>
      <c r="Q229">
        <f>精英副本!Q285</f>
        <v>10</v>
      </c>
      <c r="R229">
        <f>精英副本!R285</f>
        <v>0</v>
      </c>
      <c r="S229">
        <f>精英副本!S285</f>
        <v>2</v>
      </c>
      <c r="T229">
        <f>精英副本!T285</f>
        <v>46</v>
      </c>
      <c r="U229">
        <f>精英副本客户端!F173</f>
        <v>0</v>
      </c>
    </row>
    <row r="230" spans="1:21">
      <c r="A230">
        <f>精英副本!A286</f>
        <v>205002</v>
      </c>
      <c r="B230" t="str">
        <f>精英副本!Y286</f>
        <v>敏捷试炼（50）</v>
      </c>
      <c r="C230">
        <f>精英副本!C286</f>
        <v>0</v>
      </c>
      <c r="D230">
        <f>精英副本!D286</f>
        <v>0</v>
      </c>
      <c r="E230" t="str">
        <f>[1]map.xml!$E230</f>
        <v>2050021_1</v>
      </c>
      <c r="F230" t="str">
        <f>[1]map.xml!F230</f>
        <v>1_10000,2_0,3_0</v>
      </c>
      <c r="G230" t="str">
        <f>[1]map.xml!G230</f>
        <v>40000_50550015_1_741,40000_50501055_1_1630,4000450_0_1_6425,4000450_0_1_6425,4000450_0_1_6425,30000_90002_3_10000,30000_90003_1_5500</v>
      </c>
      <c r="H230">
        <f>[1]map.xml!H230</f>
        <v>0</v>
      </c>
      <c r="I230" t="str">
        <f>[1]map.xml!I230</f>
        <v>30000_90004_1_10000,4000450_0_1_6425,4000450_0_1_6425,4000450_0_1_6425</v>
      </c>
      <c r="J230">
        <f>[1]map.xml!J230</f>
        <v>0</v>
      </c>
      <c r="K230">
        <f>精英副本!K286</f>
        <v>100</v>
      </c>
      <c r="L230" t="str">
        <f>精英副本!L286</f>
        <v>map/map_001.png</v>
      </c>
      <c r="M230" t="str">
        <f>精英副本!M286</f>
        <v>1-3</v>
      </c>
      <c r="N230">
        <f>精英副本!N286</f>
        <v>920</v>
      </c>
      <c r="O230">
        <f>精英副本!O286</f>
        <v>120</v>
      </c>
      <c r="P230">
        <f>精英副本!P286</f>
        <v>10</v>
      </c>
      <c r="Q230">
        <f>精英副本!Q286</f>
        <v>10</v>
      </c>
      <c r="R230">
        <f>精英副本!R286</f>
        <v>0</v>
      </c>
      <c r="S230">
        <f>精英副本!S286</f>
        <v>2</v>
      </c>
      <c r="T230">
        <f>精英副本!T286</f>
        <v>46</v>
      </c>
      <c r="U230">
        <f>精英副本客户端!F174</f>
        <v>205001</v>
      </c>
    </row>
    <row r="231" spans="1:21">
      <c r="A231">
        <f>精英副本!A287</f>
        <v>205003</v>
      </c>
      <c r="B231" t="str">
        <f>精英副本!Y287</f>
        <v>敏捷试炼（50）</v>
      </c>
      <c r="C231">
        <f>精英副本!C287</f>
        <v>0</v>
      </c>
      <c r="D231">
        <f>精英副本!D287</f>
        <v>0</v>
      </c>
      <c r="E231" t="str">
        <f>[1]map.xml!$E231</f>
        <v>2050031_1</v>
      </c>
      <c r="F231" t="str">
        <f>[1]map.xml!F231</f>
        <v>1_10000,2_0,3_0</v>
      </c>
      <c r="G231" t="str">
        <f>[1]map.xml!G231</f>
        <v>40000_50550105_1_734,40000_50503055_1_1620,4000450_0_1_6450,4000450_0_1_6450,4000450_0_1_6450,30000_90002_3_10000,30000_90003_1_6600</v>
      </c>
      <c r="H231">
        <f>[1]map.xml!H231</f>
        <v>0</v>
      </c>
      <c r="I231" t="str">
        <f>[1]map.xml!I231</f>
        <v>30000_90004_1_10000,4000450_0_1_6450,4000450_0_1_6450,4000450_0_1_6450</v>
      </c>
      <c r="J231">
        <f>[1]map.xml!J231</f>
        <v>0</v>
      </c>
      <c r="K231">
        <f>精英副本!K287</f>
        <v>100</v>
      </c>
      <c r="L231" t="str">
        <f>精英副本!L287</f>
        <v>map/map_001.png</v>
      </c>
      <c r="M231" t="str">
        <f>精英副本!M287</f>
        <v>1-3</v>
      </c>
      <c r="N231">
        <f>精英副本!N287</f>
        <v>920</v>
      </c>
      <c r="O231">
        <f>精英副本!O287</f>
        <v>120</v>
      </c>
      <c r="P231">
        <f>精英副本!P287</f>
        <v>10</v>
      </c>
      <c r="Q231">
        <f>精英副本!Q287</f>
        <v>10</v>
      </c>
      <c r="R231">
        <f>精英副本!R287</f>
        <v>0</v>
      </c>
      <c r="S231">
        <f>精英副本!S287</f>
        <v>2</v>
      </c>
      <c r="T231">
        <f>精英副本!T287</f>
        <v>46</v>
      </c>
      <c r="U231">
        <f>精英副本客户端!F175</f>
        <v>205002</v>
      </c>
    </row>
    <row r="232" spans="1:21">
      <c r="A232">
        <f>精英副本!A288</f>
        <v>205004</v>
      </c>
      <c r="B232" t="str">
        <f>精英副本!Y288</f>
        <v>敏捷试炼（50）</v>
      </c>
      <c r="C232">
        <f>精英副本!C288</f>
        <v>0</v>
      </c>
      <c r="D232">
        <f>精英副本!D288</f>
        <v>0</v>
      </c>
      <c r="E232" t="str">
        <f>[1]map.xml!$E232</f>
        <v>2050041_1</v>
      </c>
      <c r="F232" t="str">
        <f>[1]map.xml!F232</f>
        <v>1_10000,2_0,3_0</v>
      </c>
      <c r="G232" t="str">
        <f>[1]map.xml!G232</f>
        <v>40000_50550075_1_727,40000_50503065_1_1610,4000450_0_1_6475,4000450_0_1_6475,4000450_0_1_6475,30000_90002_3_10000,30000_90003_1_6600</v>
      </c>
      <c r="H232">
        <f>[1]map.xml!H232</f>
        <v>0</v>
      </c>
      <c r="I232" t="str">
        <f>[1]map.xml!I232</f>
        <v>30000_90004_1_10000,4000450_0_1_6475,4000450_0_1_6475,4000450_0_1_6475</v>
      </c>
      <c r="J232">
        <f>[1]map.xml!J232</f>
        <v>0</v>
      </c>
      <c r="K232">
        <f>精英副本!K288</f>
        <v>100</v>
      </c>
      <c r="L232" t="str">
        <f>精英副本!L288</f>
        <v>map/map_001.png</v>
      </c>
      <c r="M232" t="str">
        <f>精英副本!M288</f>
        <v>1-3</v>
      </c>
      <c r="N232">
        <f>精英副本!N288</f>
        <v>920</v>
      </c>
      <c r="O232">
        <f>精英副本!O288</f>
        <v>120</v>
      </c>
      <c r="P232">
        <f>精英副本!P288</f>
        <v>10</v>
      </c>
      <c r="Q232">
        <f>精英副本!Q288</f>
        <v>10</v>
      </c>
      <c r="R232">
        <f>精英副本!R288</f>
        <v>0</v>
      </c>
      <c r="S232">
        <f>精英副本!S288</f>
        <v>2</v>
      </c>
      <c r="T232">
        <f>精英副本!T288</f>
        <v>46</v>
      </c>
      <c r="U232">
        <f>精英副本客户端!F176</f>
        <v>205003</v>
      </c>
    </row>
    <row r="233" spans="1:21">
      <c r="A233">
        <f>精英副本!A289</f>
        <v>205005</v>
      </c>
      <c r="B233" t="str">
        <f>精英副本!Y289</f>
        <v>敏捷试炼（50）</v>
      </c>
      <c r="C233">
        <f>精英副本!C289</f>
        <v>0</v>
      </c>
      <c r="D233">
        <f>精英副本!D289</f>
        <v>0</v>
      </c>
      <c r="E233" t="str">
        <f>[1]map.xml!$E233</f>
        <v>2050051_1</v>
      </c>
      <c r="F233" t="str">
        <f>[1]map.xml!F233</f>
        <v>1_10000,2_0,3_0</v>
      </c>
      <c r="G233" t="str">
        <f>[1]map.xml!G233</f>
        <v>40000_50550085_1_720,40000_50552066_1_1600,4000450_0_1_6500,4000450_0_1_6500,4000450_0_1_6500,30000_90002_3_10000,30000_90003_1_6600</v>
      </c>
      <c r="H233">
        <f>[1]map.xml!H233</f>
        <v>0</v>
      </c>
      <c r="I233" t="str">
        <f>[1]map.xml!I233</f>
        <v>30000_90004_1_10000,4000450_0_1_6500,4000450_0_1_6500,4000450_0_1_6500</v>
      </c>
      <c r="J233">
        <f>[1]map.xml!J233</f>
        <v>0</v>
      </c>
      <c r="K233">
        <f>精英副本!K289</f>
        <v>100</v>
      </c>
      <c r="L233" t="str">
        <f>精英副本!L289</f>
        <v>map/map_001.png</v>
      </c>
      <c r="M233" t="str">
        <f>精英副本!M289</f>
        <v>1-3</v>
      </c>
      <c r="N233">
        <f>精英副本!N289</f>
        <v>920</v>
      </c>
      <c r="O233">
        <f>精英副本!O289</f>
        <v>120</v>
      </c>
      <c r="P233">
        <f>精英副本!P289</f>
        <v>10</v>
      </c>
      <c r="Q233">
        <f>精英副本!Q289</f>
        <v>10</v>
      </c>
      <c r="R233">
        <f>精英副本!R289</f>
        <v>0</v>
      </c>
      <c r="S233">
        <f>精英副本!S289</f>
        <v>2</v>
      </c>
      <c r="T233">
        <f>精英副本!T289</f>
        <v>46</v>
      </c>
      <c r="U233">
        <f>精英副本客户端!F177</f>
        <v>205004</v>
      </c>
    </row>
    <row r="234" spans="1:21">
      <c r="A234">
        <f>精英副本!A290</f>
        <v>205006</v>
      </c>
      <c r="B234" t="str">
        <f>精英副本!Y290</f>
        <v>敏捷试炼（50）</v>
      </c>
      <c r="C234">
        <f>精英副本!C290</f>
        <v>0</v>
      </c>
      <c r="D234">
        <f>精英副本!D290</f>
        <v>0</v>
      </c>
      <c r="E234" t="str">
        <f>[1]map.xml!$E234</f>
        <v>2050061_1</v>
      </c>
      <c r="F234" t="str">
        <f>[1]map.xml!F234</f>
        <v>1_10000,2_0,3_0</v>
      </c>
      <c r="G234" t="str">
        <f>[1]map.xml!G234</f>
        <v>40000_50550035_1_713,40000_50500035_1_1590,4000450_0_1_6525,4000450_0_1_6525,4000450_0_1_6525,30000_90002_3_10000,30000_90003_1_7700</v>
      </c>
      <c r="H234">
        <f>[1]map.xml!H234</f>
        <v>0</v>
      </c>
      <c r="I234" t="str">
        <f>[1]map.xml!I234</f>
        <v>30000_90004_1_10000,4000450_0_1_6525,4000450_0_1_6525,4000450_0_1_6525</v>
      </c>
      <c r="J234">
        <f>[1]map.xml!J234</f>
        <v>0</v>
      </c>
      <c r="K234">
        <f>精英副本!K290</f>
        <v>100</v>
      </c>
      <c r="L234" t="str">
        <f>精英副本!L290</f>
        <v>map/map_001.png</v>
      </c>
      <c r="M234" t="str">
        <f>精英副本!M290</f>
        <v>1-3</v>
      </c>
      <c r="N234">
        <f>精英副本!N290</f>
        <v>920</v>
      </c>
      <c r="O234">
        <f>精英副本!O290</f>
        <v>120</v>
      </c>
      <c r="P234">
        <f>精英副本!P290</f>
        <v>10</v>
      </c>
      <c r="Q234">
        <f>精英副本!Q290</f>
        <v>10</v>
      </c>
      <c r="R234">
        <f>精英副本!R290</f>
        <v>0</v>
      </c>
      <c r="S234">
        <f>精英副本!S290</f>
        <v>2</v>
      </c>
      <c r="T234">
        <f>精英副本!T290</f>
        <v>46</v>
      </c>
      <c r="U234">
        <f>精英副本客户端!F178</f>
        <v>205005</v>
      </c>
    </row>
    <row r="235" spans="1:21">
      <c r="A235">
        <f>精英副本!A291</f>
        <v>205007</v>
      </c>
      <c r="B235" t="str">
        <f>精英副本!Y291</f>
        <v>敏捷试炼（50）</v>
      </c>
      <c r="C235">
        <f>精英副本!C291</f>
        <v>0</v>
      </c>
      <c r="D235">
        <f>精英副本!D291</f>
        <v>0</v>
      </c>
      <c r="E235" t="str">
        <f>[1]map.xml!$E235</f>
        <v>2050071_1,2050072_1</v>
      </c>
      <c r="F235" t="str">
        <f>[1]map.xml!F235</f>
        <v>1_0,2_10000,3_0</v>
      </c>
      <c r="G235" t="str">
        <f>[1]map.xml!G235</f>
        <v>40000_50550025_1_706,40000_50501065_1_1580,4000450_0_1_6550,4000450_0_1_6550,4000450_0_1_6550,30000_90002_3_10000,30000_90003_1_7700</v>
      </c>
      <c r="H235">
        <f>[1]map.xml!H235</f>
        <v>0</v>
      </c>
      <c r="I235" t="str">
        <f>[1]map.xml!I235</f>
        <v>30000_90004_1_10000,4000450_0_1_6550,4000450_0_1_6550,4000450_0_1_6550</v>
      </c>
      <c r="J235">
        <f>[1]map.xml!J235</f>
        <v>0</v>
      </c>
      <c r="K235">
        <f>精英副本!K291</f>
        <v>100</v>
      </c>
      <c r="L235" t="str">
        <f>精英副本!L291</f>
        <v>map/map_001.png</v>
      </c>
      <c r="M235" t="str">
        <f>精英副本!M291</f>
        <v>1-3</v>
      </c>
      <c r="N235">
        <f>精英副本!N291</f>
        <v>920</v>
      </c>
      <c r="O235">
        <f>精英副本!O291</f>
        <v>120</v>
      </c>
      <c r="P235">
        <f>精英副本!P291</f>
        <v>10</v>
      </c>
      <c r="Q235">
        <f>精英副本!Q291</f>
        <v>10</v>
      </c>
      <c r="R235">
        <f>精英副本!R291</f>
        <v>0</v>
      </c>
      <c r="S235">
        <f>精英副本!S291</f>
        <v>2</v>
      </c>
      <c r="T235">
        <f>精英副本!T291</f>
        <v>46</v>
      </c>
      <c r="U235">
        <f>精英副本客户端!F179</f>
        <v>205006</v>
      </c>
    </row>
    <row r="236" spans="1:21">
      <c r="A236">
        <f>精英副本!A292</f>
        <v>205008</v>
      </c>
      <c r="B236" t="str">
        <f>精英副本!Y292</f>
        <v>敏捷试炼（50）</v>
      </c>
      <c r="C236">
        <f>精英副本!C292</f>
        <v>0</v>
      </c>
      <c r="D236">
        <f>精英副本!D292</f>
        <v>0</v>
      </c>
      <c r="E236" t="str">
        <f>[1]map.xml!$E236</f>
        <v>2050081_1</v>
      </c>
      <c r="F236" t="str">
        <f>[1]map.xml!F236</f>
        <v>1_10000,2_0,3_0</v>
      </c>
      <c r="G236" t="str">
        <f>[1]map.xml!G236</f>
        <v>40000_50550095_1_699,40000_50500015_1_1570,4000450_0_1_6575,4000450_0_1_6575,4000450_0_1_6575,30000_90002_3_10000,30000_90003_1_7700</v>
      </c>
      <c r="H236">
        <f>[1]map.xml!H236</f>
        <v>0</v>
      </c>
      <c r="I236" t="str">
        <f>[1]map.xml!I236</f>
        <v>30000_90004_1_10000,4000450_0_1_6575,4000450_0_1_6575,4000450_0_1_6575</v>
      </c>
      <c r="J236">
        <f>[1]map.xml!J236</f>
        <v>0</v>
      </c>
      <c r="K236">
        <f>精英副本!K292</f>
        <v>100</v>
      </c>
      <c r="L236" t="str">
        <f>精英副本!L292</f>
        <v>map/map_001.png</v>
      </c>
      <c r="M236" t="str">
        <f>精英副本!M292</f>
        <v>1-3</v>
      </c>
      <c r="N236">
        <f>精英副本!N292</f>
        <v>920</v>
      </c>
      <c r="O236">
        <f>精英副本!O292</f>
        <v>120</v>
      </c>
      <c r="P236">
        <f>精英副本!P292</f>
        <v>10</v>
      </c>
      <c r="Q236">
        <f>精英副本!Q292</f>
        <v>10</v>
      </c>
      <c r="R236">
        <f>精英副本!R292</f>
        <v>0</v>
      </c>
      <c r="S236">
        <f>精英副本!S292</f>
        <v>2</v>
      </c>
      <c r="T236">
        <f>精英副本!T292</f>
        <v>46</v>
      </c>
      <c r="U236">
        <f>精英副本客户端!F180</f>
        <v>205007</v>
      </c>
    </row>
    <row r="237" spans="1:21">
      <c r="A237">
        <f>精英副本!A293</f>
        <v>205009</v>
      </c>
      <c r="B237" t="str">
        <f>精英副本!Y293</f>
        <v>敏捷试炼（50）</v>
      </c>
      <c r="C237">
        <f>精英副本!C293</f>
        <v>0</v>
      </c>
      <c r="D237">
        <f>精英副本!D293</f>
        <v>0</v>
      </c>
      <c r="E237" t="str">
        <f>[1]map.xml!$E237</f>
        <v>2050091_1</v>
      </c>
      <c r="F237" t="str">
        <f>[1]map.xml!F237</f>
        <v>1_10000,2_0,3_0</v>
      </c>
      <c r="G237" t="str">
        <f>[1]map.xml!G237</f>
        <v>40000_50552055_1_692,40000_50502055_1_1560,4000450_0_1_6600,4000450_0_1_6600,4000450_0_1_6600,30000_90002_3_10000,30000_90003_1_8800</v>
      </c>
      <c r="H237">
        <f>[1]map.xml!H237</f>
        <v>0</v>
      </c>
      <c r="I237" t="str">
        <f>[1]map.xml!I237</f>
        <v>30000_90004_1_10000,4000450_0_1_6600,4000450_0_1_6600,4000450_0_1_6600</v>
      </c>
      <c r="J237">
        <f>[1]map.xml!J237</f>
        <v>0</v>
      </c>
      <c r="K237">
        <f>精英副本!K293</f>
        <v>100</v>
      </c>
      <c r="L237" t="str">
        <f>精英副本!L293</f>
        <v>map/map_001.png</v>
      </c>
      <c r="M237" t="str">
        <f>精英副本!M293</f>
        <v>1-3</v>
      </c>
      <c r="N237">
        <f>精英副本!N293</f>
        <v>920</v>
      </c>
      <c r="O237">
        <f>精英副本!O293</f>
        <v>120</v>
      </c>
      <c r="P237">
        <f>精英副本!P293</f>
        <v>10</v>
      </c>
      <c r="Q237">
        <f>精英副本!Q293</f>
        <v>10</v>
      </c>
      <c r="R237">
        <f>精英副本!R293</f>
        <v>0</v>
      </c>
      <c r="S237">
        <f>精英副本!S293</f>
        <v>2</v>
      </c>
      <c r="T237">
        <f>精英副本!T293</f>
        <v>46</v>
      </c>
      <c r="U237">
        <f>精英副本客户端!F181</f>
        <v>205008</v>
      </c>
    </row>
    <row r="238" spans="1:21">
      <c r="A238">
        <f>精英副本!A294</f>
        <v>205501</v>
      </c>
      <c r="B238" t="str">
        <f>精英副本!Y294</f>
        <v>敏捷试炼（55）</v>
      </c>
      <c r="C238">
        <f>精英副本!C294</f>
        <v>0</v>
      </c>
      <c r="D238">
        <f>精英副本!D294</f>
        <v>0</v>
      </c>
      <c r="E238" t="str">
        <f>[1]map.xml!$E238</f>
        <v>2055011_1</v>
      </c>
      <c r="F238" t="str">
        <f>[1]map.xml!F238</f>
        <v>1_10000,2_0,3_0</v>
      </c>
      <c r="G238" t="str">
        <f>[1]map.xml!G238</f>
        <v>40000_50600025_1_685,40000_50550035_1_1550,4000455_0_1_6625,4000455_0_1_6625,4000455_0_1_6625,30000_90002_3_10000,30000_90003_1_6600</v>
      </c>
      <c r="H238">
        <f>[1]map.xml!H238</f>
        <v>0</v>
      </c>
      <c r="I238" t="str">
        <f>[1]map.xml!I238</f>
        <v>30000_90004_1_10000,4000455_0_1_6625,4000455_0_1_6625,4000455_0_1_6625</v>
      </c>
      <c r="J238">
        <f>[1]map.xml!J238</f>
        <v>0</v>
      </c>
      <c r="K238">
        <f>精英副本!K294</f>
        <v>100</v>
      </c>
      <c r="L238" t="str">
        <f>精英副本!L294</f>
        <v>map/map_001.png</v>
      </c>
      <c r="M238" t="str">
        <f>精英副本!M294</f>
        <v>1-3</v>
      </c>
      <c r="N238">
        <f>精英副本!N294</f>
        <v>920</v>
      </c>
      <c r="O238">
        <f>精英副本!O294</f>
        <v>120</v>
      </c>
      <c r="P238">
        <f>精英副本!P294</f>
        <v>10</v>
      </c>
      <c r="Q238">
        <f>精英副本!Q294</f>
        <v>10</v>
      </c>
      <c r="R238">
        <f>精英副本!R294</f>
        <v>0</v>
      </c>
      <c r="S238">
        <f>精英副本!S294</f>
        <v>2</v>
      </c>
      <c r="T238">
        <f>精英副本!T294</f>
        <v>51</v>
      </c>
      <c r="U238">
        <f>精英副本客户端!F182</f>
        <v>0</v>
      </c>
    </row>
    <row r="239" spans="1:21">
      <c r="A239">
        <f>精英副本!A295</f>
        <v>205502</v>
      </c>
      <c r="B239" t="str">
        <f>精英副本!Y295</f>
        <v>敏捷试炼（55）</v>
      </c>
      <c r="C239">
        <f>精英副本!C295</f>
        <v>0</v>
      </c>
      <c r="D239">
        <f>精英副本!D295</f>
        <v>0</v>
      </c>
      <c r="E239" t="str">
        <f>[1]map.xml!$E239</f>
        <v>2055021_1</v>
      </c>
      <c r="F239" t="str">
        <f>[1]map.xml!F239</f>
        <v>1_10000,2_0,3_0</v>
      </c>
      <c r="G239" t="str">
        <f>[1]map.xml!G239</f>
        <v>40000_50600105_1_678,40000_50553055_1_1540,4000455_0_1_6650,4000455_0_1_6650,4000455_0_1_6650,30000_90002_3_10000,30000_90003_1_6600</v>
      </c>
      <c r="H239">
        <f>[1]map.xml!H239</f>
        <v>0</v>
      </c>
      <c r="I239" t="str">
        <f>[1]map.xml!I239</f>
        <v>30000_90004_1_10000,4000455_0_1_6650,4000455_0_1_6650,4000455_0_1_6650</v>
      </c>
      <c r="J239">
        <f>[1]map.xml!J239</f>
        <v>0</v>
      </c>
      <c r="K239">
        <f>精英副本!K295</f>
        <v>100</v>
      </c>
      <c r="L239" t="str">
        <f>精英副本!L295</f>
        <v>map/map_001.png</v>
      </c>
      <c r="M239" t="str">
        <f>精英副本!M295</f>
        <v>1-3</v>
      </c>
      <c r="N239">
        <f>精英副本!N295</f>
        <v>920</v>
      </c>
      <c r="O239">
        <f>精英副本!O295</f>
        <v>120</v>
      </c>
      <c r="P239">
        <f>精英副本!P295</f>
        <v>10</v>
      </c>
      <c r="Q239">
        <f>精英副本!Q295</f>
        <v>10</v>
      </c>
      <c r="R239">
        <f>精英副本!R295</f>
        <v>0</v>
      </c>
      <c r="S239">
        <f>精英副本!S295</f>
        <v>2</v>
      </c>
      <c r="T239">
        <f>精英副本!T295</f>
        <v>51</v>
      </c>
      <c r="U239">
        <f>精英副本客户端!F183</f>
        <v>205501</v>
      </c>
    </row>
    <row r="240" spans="1:21">
      <c r="A240">
        <f>精英副本!A296</f>
        <v>205503</v>
      </c>
      <c r="B240" t="str">
        <f>精英副本!Y296</f>
        <v>敏捷试炼（55）</v>
      </c>
      <c r="C240">
        <f>精英副本!C296</f>
        <v>0</v>
      </c>
      <c r="D240">
        <f>精英副本!D296</f>
        <v>0</v>
      </c>
      <c r="E240" t="str">
        <f>[1]map.xml!$E240</f>
        <v>2055031_1</v>
      </c>
      <c r="F240" t="str">
        <f>[1]map.xml!F240</f>
        <v>1_10000,2_0,3_0</v>
      </c>
      <c r="G240" t="str">
        <f>[1]map.xml!G240</f>
        <v>40000_50600045_1_671,40000_50602065_1_1530,4000455_0_1_6675,4000455_0_1_6675,4000455_0_1_6675,30000_90002_3_10000,30000_90003_1_7700</v>
      </c>
      <c r="H240">
        <f>[1]map.xml!H240</f>
        <v>0</v>
      </c>
      <c r="I240" t="str">
        <f>[1]map.xml!I240</f>
        <v>30000_90004_1_10000,4000455_0_1_6675,4000455_0_1_6675,4000455_0_1_6675</v>
      </c>
      <c r="J240">
        <f>[1]map.xml!J240</f>
        <v>0</v>
      </c>
      <c r="K240">
        <f>精英副本!K296</f>
        <v>100</v>
      </c>
      <c r="L240" t="str">
        <f>精英副本!L296</f>
        <v>map/map_001.png</v>
      </c>
      <c r="M240" t="str">
        <f>精英副本!M296</f>
        <v>1-3</v>
      </c>
      <c r="N240">
        <f>精英副本!N296</f>
        <v>920</v>
      </c>
      <c r="O240">
        <f>精英副本!O296</f>
        <v>120</v>
      </c>
      <c r="P240">
        <f>精英副本!P296</f>
        <v>10</v>
      </c>
      <c r="Q240">
        <f>精英副本!Q296</f>
        <v>10</v>
      </c>
      <c r="R240">
        <f>精英副本!R296</f>
        <v>0</v>
      </c>
      <c r="S240">
        <f>精英副本!S296</f>
        <v>2</v>
      </c>
      <c r="T240">
        <f>精英副本!T296</f>
        <v>51</v>
      </c>
      <c r="U240">
        <f>精英副本客户端!F184</f>
        <v>205502</v>
      </c>
    </row>
    <row r="241" spans="1:21">
      <c r="A241">
        <f>精英副本!A297</f>
        <v>205504</v>
      </c>
      <c r="B241" t="str">
        <f>精英副本!Y297</f>
        <v>敏捷试炼（55）</v>
      </c>
      <c r="C241">
        <f>精英副本!C297</f>
        <v>0</v>
      </c>
      <c r="D241">
        <f>精英副本!D297</f>
        <v>0</v>
      </c>
      <c r="E241" t="str">
        <f>[1]map.xml!$E241</f>
        <v>2055041_1</v>
      </c>
      <c r="F241" t="str">
        <f>[1]map.xml!F241</f>
        <v>1_10000,2_0,3_0</v>
      </c>
      <c r="G241" t="str">
        <f>[1]map.xml!G241</f>
        <v>40000_50600035_1_664,40000_50553065_1_1520,4000455_0_1_6700,4000455_0_1_6700,4000455_0_1_6700,30000_90002_3_10000,30000_90003_1_7700</v>
      </c>
      <c r="H241">
        <f>[1]map.xml!H241</f>
        <v>0</v>
      </c>
      <c r="I241" t="str">
        <f>[1]map.xml!I241</f>
        <v>30000_90004_1_10000,4000455_0_1_6700,4000455_0_1_6700,4000455_0_1_6700</v>
      </c>
      <c r="J241">
        <f>[1]map.xml!J241</f>
        <v>0</v>
      </c>
      <c r="K241">
        <f>精英副本!K297</f>
        <v>100</v>
      </c>
      <c r="L241" t="str">
        <f>精英副本!L297</f>
        <v>map/map_001.png</v>
      </c>
      <c r="M241" t="str">
        <f>精英副本!M297</f>
        <v>1-3</v>
      </c>
      <c r="N241">
        <f>精英副本!N297</f>
        <v>920</v>
      </c>
      <c r="O241">
        <f>精英副本!O297</f>
        <v>120</v>
      </c>
      <c r="P241">
        <f>精英副本!P297</f>
        <v>10</v>
      </c>
      <c r="Q241">
        <f>精英副本!Q297</f>
        <v>10</v>
      </c>
      <c r="R241">
        <f>精英副本!R297</f>
        <v>0</v>
      </c>
      <c r="S241">
        <f>精英副本!S297</f>
        <v>2</v>
      </c>
      <c r="T241">
        <f>精英副本!T297</f>
        <v>51</v>
      </c>
      <c r="U241">
        <f>精英副本客户端!F185</f>
        <v>205503</v>
      </c>
    </row>
    <row r="242" spans="1:21">
      <c r="A242">
        <f>精英副本!A298</f>
        <v>205505</v>
      </c>
      <c r="B242" t="str">
        <f>精英副本!Y298</f>
        <v>敏捷试炼（55）</v>
      </c>
      <c r="C242">
        <f>精英副本!C298</f>
        <v>0</v>
      </c>
      <c r="D242">
        <f>精英副本!D298</f>
        <v>0</v>
      </c>
      <c r="E242" t="str">
        <f>[1]map.xml!$E242</f>
        <v>2055051_1</v>
      </c>
      <c r="F242" t="str">
        <f>[1]map.xml!F242</f>
        <v>1_10000,2_0,3_0</v>
      </c>
      <c r="G242" t="str">
        <f>[1]map.xml!G242</f>
        <v>40000_50600095_1_657,40000_50551055_1_1510,4000455_0_1_6725,4000455_0_1_6725,4000455_0_1_6725,30000_90002_3_10000,30000_90003_1_7700</v>
      </c>
      <c r="H242">
        <f>[1]map.xml!H242</f>
        <v>0</v>
      </c>
      <c r="I242" t="str">
        <f>[1]map.xml!I242</f>
        <v>30000_90004_1_10000,4000455_0_1_6725,4000455_0_1_6725,4000455_0_1_6725</v>
      </c>
      <c r="J242">
        <f>[1]map.xml!J242</f>
        <v>0</v>
      </c>
      <c r="K242">
        <f>精英副本!K298</f>
        <v>100</v>
      </c>
      <c r="L242" t="str">
        <f>精英副本!L298</f>
        <v>map/map_001.png</v>
      </c>
      <c r="M242" t="str">
        <f>精英副本!M298</f>
        <v>1-3</v>
      </c>
      <c r="N242">
        <f>精英副本!N298</f>
        <v>920</v>
      </c>
      <c r="O242">
        <f>精英副本!O298</f>
        <v>120</v>
      </c>
      <c r="P242">
        <f>精英副本!P298</f>
        <v>10</v>
      </c>
      <c r="Q242">
        <f>精英副本!Q298</f>
        <v>10</v>
      </c>
      <c r="R242">
        <f>精英副本!R298</f>
        <v>0</v>
      </c>
      <c r="S242">
        <f>精英副本!S298</f>
        <v>2</v>
      </c>
      <c r="T242">
        <f>精英副本!T298</f>
        <v>51</v>
      </c>
      <c r="U242">
        <f>精英副本客户端!F186</f>
        <v>205504</v>
      </c>
    </row>
    <row r="243" spans="1:21">
      <c r="A243">
        <f>精英副本!A299</f>
        <v>205506</v>
      </c>
      <c r="B243" t="str">
        <f>精英副本!Y299</f>
        <v>敏捷试炼（55）</v>
      </c>
      <c r="C243">
        <f>精英副本!C299</f>
        <v>0</v>
      </c>
      <c r="D243">
        <f>精英副本!D299</f>
        <v>0</v>
      </c>
      <c r="E243" t="str">
        <f>[1]map.xml!$E243</f>
        <v>2055061_1</v>
      </c>
      <c r="F243" t="str">
        <f>[1]map.xml!F243</f>
        <v>1_10000,2_0,3_0</v>
      </c>
      <c r="G243" t="str">
        <f>[1]map.xml!G243</f>
        <v>40000_50600075_1_650,40000_50550015_1_1500,4000455_0_1_6750,4000455_0_1_6750,4000455_0_1_6750,30000_90002_3_10000,30000_90003_1_8800</v>
      </c>
      <c r="H243">
        <f>[1]map.xml!H243</f>
        <v>0</v>
      </c>
      <c r="I243" t="str">
        <f>[1]map.xml!I243</f>
        <v>30000_90004_1_10000,4000455_0_1_6750,4000455_0_1_6750,4000455_0_1_6750</v>
      </c>
      <c r="J243">
        <f>[1]map.xml!J243</f>
        <v>0</v>
      </c>
      <c r="K243">
        <f>精英副本!K299</f>
        <v>100</v>
      </c>
      <c r="L243" t="str">
        <f>精英副本!L299</f>
        <v>map/map_001.png</v>
      </c>
      <c r="M243" t="str">
        <f>精英副本!M299</f>
        <v>1-3</v>
      </c>
      <c r="N243">
        <f>精英副本!N299</f>
        <v>920</v>
      </c>
      <c r="O243">
        <f>精英副本!O299</f>
        <v>120</v>
      </c>
      <c r="P243">
        <f>精英副本!P299</f>
        <v>10</v>
      </c>
      <c r="Q243">
        <f>精英副本!Q299</f>
        <v>10</v>
      </c>
      <c r="R243">
        <f>精英副本!R299</f>
        <v>0</v>
      </c>
      <c r="S243">
        <f>精英副本!S299</f>
        <v>2</v>
      </c>
      <c r="T243">
        <f>精英副本!T299</f>
        <v>51</v>
      </c>
      <c r="U243">
        <f>精英副本客户端!F187</f>
        <v>205505</v>
      </c>
    </row>
    <row r="244" spans="1:21">
      <c r="A244">
        <f>精英副本!A300</f>
        <v>205507</v>
      </c>
      <c r="B244" t="str">
        <f>精英副本!Y300</f>
        <v>敏捷试炼（55）</v>
      </c>
      <c r="C244">
        <f>精英副本!C300</f>
        <v>0</v>
      </c>
      <c r="D244">
        <f>精英副本!D300</f>
        <v>0</v>
      </c>
      <c r="E244" t="str">
        <f>[1]map.xml!$E244</f>
        <v>2055071_1,2055072_1</v>
      </c>
      <c r="F244" t="str">
        <f>[1]map.xml!F244</f>
        <v>1_0,2_10000,3_0</v>
      </c>
      <c r="G244" t="str">
        <f>[1]map.xml!G244</f>
        <v>40000_50600015_1_643,40000_50552055_1_1490,4000455_0_1_6775,4000455_0_1_6775,4000455_0_1_6775,30000_90002_3_10000,30000_90003_1_8800</v>
      </c>
      <c r="H244">
        <f>[1]map.xml!H244</f>
        <v>0</v>
      </c>
      <c r="I244" t="str">
        <f>[1]map.xml!I244</f>
        <v>30000_90004_1_10000,4000455_0_1_6775,4000455_0_1_6775,4000455_0_1_6775</v>
      </c>
      <c r="J244">
        <f>[1]map.xml!J244</f>
        <v>0</v>
      </c>
      <c r="K244">
        <f>精英副本!K300</f>
        <v>100</v>
      </c>
      <c r="L244" t="str">
        <f>精英副本!L300</f>
        <v>map/map_001.png</v>
      </c>
      <c r="M244" t="str">
        <f>精英副本!M300</f>
        <v>1-3</v>
      </c>
      <c r="N244">
        <f>精英副本!N300</f>
        <v>920</v>
      </c>
      <c r="O244">
        <f>精英副本!O300</f>
        <v>120</v>
      </c>
      <c r="P244">
        <f>精英副本!P300</f>
        <v>10</v>
      </c>
      <c r="Q244">
        <f>精英副本!Q300</f>
        <v>10</v>
      </c>
      <c r="R244">
        <f>精英副本!R300</f>
        <v>0</v>
      </c>
      <c r="S244">
        <f>精英副本!S300</f>
        <v>2</v>
      </c>
      <c r="T244">
        <f>精英副本!T300</f>
        <v>51</v>
      </c>
      <c r="U244">
        <f>精英副本客户端!F188</f>
        <v>205506</v>
      </c>
    </row>
    <row r="245" spans="1:21">
      <c r="A245">
        <f>精英副本!A301</f>
        <v>205508</v>
      </c>
      <c r="B245" t="str">
        <f>精英副本!Y301</f>
        <v>敏捷试炼（55）</v>
      </c>
      <c r="C245">
        <f>精英副本!C301</f>
        <v>0</v>
      </c>
      <c r="D245">
        <f>精英副本!D301</f>
        <v>0</v>
      </c>
      <c r="E245" t="str">
        <f>[1]map.xml!$E245</f>
        <v>2055081_1</v>
      </c>
      <c r="F245" t="str">
        <f>[1]map.xml!F245</f>
        <v>1_10000,2_0,3_0</v>
      </c>
      <c r="G245" t="str">
        <f>[1]map.xml!G245</f>
        <v>40000_50600085_1_636,40000_50551065_1_1480,4000455_0_1_6800,4000455_0_1_6800,4000455_0_1_6800,30000_90002_3_10000,30000_90003_1_8800</v>
      </c>
      <c r="H245">
        <f>[1]map.xml!H245</f>
        <v>0</v>
      </c>
      <c r="I245" t="str">
        <f>[1]map.xml!I245</f>
        <v>30000_90004_1_10000,4000455_0_1_6800,4000455_0_1_6800,4000455_0_1_6800</v>
      </c>
      <c r="J245">
        <f>[1]map.xml!J245</f>
        <v>0</v>
      </c>
      <c r="K245">
        <f>精英副本!K301</f>
        <v>100</v>
      </c>
      <c r="L245" t="str">
        <f>精英副本!L301</f>
        <v>map/map_001.png</v>
      </c>
      <c r="M245" t="str">
        <f>精英副本!M301</f>
        <v>1-3</v>
      </c>
      <c r="N245">
        <f>精英副本!N301</f>
        <v>920</v>
      </c>
      <c r="O245">
        <f>精英副本!O301</f>
        <v>120</v>
      </c>
      <c r="P245">
        <f>精英副本!P301</f>
        <v>10</v>
      </c>
      <c r="Q245">
        <f>精英副本!Q301</f>
        <v>10</v>
      </c>
      <c r="R245">
        <f>精英副本!R301</f>
        <v>0</v>
      </c>
      <c r="S245">
        <f>精英副本!S301</f>
        <v>2</v>
      </c>
      <c r="T245">
        <f>精英副本!T301</f>
        <v>51</v>
      </c>
      <c r="U245">
        <f>精英副本客户端!F189</f>
        <v>205507</v>
      </c>
    </row>
    <row r="246" spans="1:21">
      <c r="A246">
        <f>精英副本!A302</f>
        <v>205509</v>
      </c>
      <c r="B246" t="str">
        <f>精英副本!Y302</f>
        <v>敏捷试炼（55）</v>
      </c>
      <c r="C246">
        <f>精英副本!C302</f>
        <v>0</v>
      </c>
      <c r="D246">
        <f>精英副本!D302</f>
        <v>0</v>
      </c>
      <c r="E246" t="str">
        <f>[1]map.xml!$E246</f>
        <v>2055091_1</v>
      </c>
      <c r="F246" t="str">
        <f>[1]map.xml!F246</f>
        <v>1_10000,2_0,3_0</v>
      </c>
      <c r="G246" t="str">
        <f>[1]map.xml!G246</f>
        <v>40000_50602055_1_629,40000_50552065_1_1470,4000455_0_1_6825,4000455_0_1_6825,4000455_0_1_6825,30000_90002_3_10000,30000_90003_1_9900</v>
      </c>
      <c r="H246">
        <f>[1]map.xml!H246</f>
        <v>0</v>
      </c>
      <c r="I246" t="str">
        <f>[1]map.xml!I246</f>
        <v>30000_90004_1_10000,4000455_0_1_6825,4000455_0_1_6825,4000455_0_1_6825</v>
      </c>
      <c r="J246">
        <f>[1]map.xml!J246</f>
        <v>0</v>
      </c>
      <c r="K246">
        <f>精英副本!K302</f>
        <v>100</v>
      </c>
      <c r="L246" t="str">
        <f>精英副本!L302</f>
        <v>map/map_001.png</v>
      </c>
      <c r="M246" t="str">
        <f>精英副本!M302</f>
        <v>1-3</v>
      </c>
      <c r="N246">
        <f>精英副本!N302</f>
        <v>920</v>
      </c>
      <c r="O246">
        <f>精英副本!O302</f>
        <v>120</v>
      </c>
      <c r="P246">
        <f>精英副本!P302</f>
        <v>10</v>
      </c>
      <c r="Q246">
        <f>精英副本!Q302</f>
        <v>10</v>
      </c>
      <c r="R246">
        <f>精英副本!R302</f>
        <v>0</v>
      </c>
      <c r="S246">
        <f>精英副本!S302</f>
        <v>2</v>
      </c>
      <c r="T246">
        <f>精英副本!T302</f>
        <v>51</v>
      </c>
      <c r="U246">
        <f>精英副本客户端!F190</f>
        <v>205508</v>
      </c>
    </row>
    <row r="247" spans="1:21">
      <c r="A247">
        <f>精英副本!A303</f>
        <v>206001</v>
      </c>
      <c r="B247" t="str">
        <f>精英副本!Y303</f>
        <v>技巧试炼（60）</v>
      </c>
      <c r="C247">
        <f>精英副本!C303</f>
        <v>0</v>
      </c>
      <c r="D247">
        <f>精英副本!D303</f>
        <v>0</v>
      </c>
      <c r="E247" t="str">
        <f>[1]map.xml!$E247</f>
        <v>2060011_1</v>
      </c>
      <c r="F247" t="str">
        <f>[1]map.xml!F247</f>
        <v>1_10000,2_0,3_0</v>
      </c>
      <c r="G247" t="str">
        <f>[1]map.xml!G247</f>
        <v>40000_50650035_1_622,40000_50603055_1_1460,4000460_0_1_6850,4000460_0_1_6850,4000460_0_1_6850,30000_90003_1_10000,30000_90004_1_1250</v>
      </c>
      <c r="H247">
        <f>[1]map.xml!H247</f>
        <v>0</v>
      </c>
      <c r="I247" t="str">
        <f>[1]map.xml!I247</f>
        <v>30000_90005_1_10000,4000460_0_1_6850,4000460_0_1_6850,4000460_0_1_6850</v>
      </c>
      <c r="J247">
        <f>[1]map.xml!J247</f>
        <v>0</v>
      </c>
      <c r="K247">
        <f>精英副本!K303</f>
        <v>100</v>
      </c>
      <c r="L247" t="str">
        <f>精英副本!L303</f>
        <v>map/map_001.png</v>
      </c>
      <c r="M247" t="str">
        <f>精英副本!M303</f>
        <v>1-3</v>
      </c>
      <c r="N247">
        <f>精英副本!N303</f>
        <v>920</v>
      </c>
      <c r="O247">
        <f>精英副本!O303</f>
        <v>120</v>
      </c>
      <c r="P247">
        <f>精英副本!P303</f>
        <v>10</v>
      </c>
      <c r="Q247">
        <f>精英副本!Q303</f>
        <v>10</v>
      </c>
      <c r="R247">
        <f>精英副本!R303</f>
        <v>0</v>
      </c>
      <c r="S247">
        <f>精英副本!S303</f>
        <v>2</v>
      </c>
      <c r="T247">
        <f>精英副本!T303</f>
        <v>56</v>
      </c>
      <c r="U247">
        <f>精英副本客户端!F191</f>
        <v>0</v>
      </c>
    </row>
    <row r="248" spans="1:21">
      <c r="A248">
        <f>精英副本!A304</f>
        <v>206002</v>
      </c>
      <c r="B248" t="str">
        <f>精英副本!Y304</f>
        <v>技巧试炼（60）</v>
      </c>
      <c r="C248">
        <f>精英副本!C304</f>
        <v>0</v>
      </c>
      <c r="D248">
        <f>精英副本!D304</f>
        <v>0</v>
      </c>
      <c r="E248" t="str">
        <f>[1]map.xml!$E248</f>
        <v>2060021_1</v>
      </c>
      <c r="F248" t="str">
        <f>[1]map.xml!F248</f>
        <v>1_10000,2_0,3_0</v>
      </c>
      <c r="G248" t="str">
        <f>[1]map.xml!G248</f>
        <v>40000_50650025_1_615,40000_50602065_1_1450,4000460_0_1_6875,4000460_0_1_6875,4000460_0_1_6875,30000_90003_1_10000,30000_90004_1_1250</v>
      </c>
      <c r="H248">
        <f>[1]map.xml!H248</f>
        <v>0</v>
      </c>
      <c r="I248" t="str">
        <f>[1]map.xml!I248</f>
        <v>30000_90005_1_10000,4000460_0_1_6875,4000460_0_1_6875,4000460_0_1_6875</v>
      </c>
      <c r="J248">
        <f>[1]map.xml!J248</f>
        <v>0</v>
      </c>
      <c r="K248">
        <f>精英副本!K304</f>
        <v>100</v>
      </c>
      <c r="L248" t="str">
        <f>精英副本!L304</f>
        <v>map/map_001.png</v>
      </c>
      <c r="M248" t="str">
        <f>精英副本!M304</f>
        <v>1-3</v>
      </c>
      <c r="N248">
        <f>精英副本!N304</f>
        <v>920</v>
      </c>
      <c r="O248">
        <f>精英副本!O304</f>
        <v>120</v>
      </c>
      <c r="P248">
        <f>精英副本!P304</f>
        <v>10</v>
      </c>
      <c r="Q248">
        <f>精英副本!Q304</f>
        <v>10</v>
      </c>
      <c r="R248">
        <f>精英副本!R304</f>
        <v>0</v>
      </c>
      <c r="S248">
        <f>精英副本!S304</f>
        <v>2</v>
      </c>
      <c r="T248">
        <f>精英副本!T304</f>
        <v>56</v>
      </c>
      <c r="U248">
        <f>精英副本客户端!F192</f>
        <v>206001</v>
      </c>
    </row>
    <row r="249" spans="1:21">
      <c r="A249">
        <f>精英副本!A305</f>
        <v>206003</v>
      </c>
      <c r="B249" t="str">
        <f>精英副本!Y305</f>
        <v>技巧试炼（60）</v>
      </c>
      <c r="C249">
        <f>精英副本!C305</f>
        <v>0</v>
      </c>
      <c r="D249">
        <f>精英副本!D305</f>
        <v>0</v>
      </c>
      <c r="E249" t="str">
        <f>[1]map.xml!$E249</f>
        <v>2060031_1</v>
      </c>
      <c r="F249" t="str">
        <f>[1]map.xml!F249</f>
        <v>1_10000,2_0,3_0</v>
      </c>
      <c r="G249" t="str">
        <f>[1]map.xml!G249</f>
        <v>40000_50650085_1_608,40000_50601055_1_1440,4000460_0_1_6900,4000460_0_1_6900,4000460_0_1_6900,30000_90003_1_10000,30000_90004_1_2500</v>
      </c>
      <c r="H249">
        <f>[1]map.xml!H249</f>
        <v>0</v>
      </c>
      <c r="I249" t="str">
        <f>[1]map.xml!I249</f>
        <v>30000_90005_1_10000,4000460_0_1_6900,4000460_0_1_6900,4000460_0_1_6900</v>
      </c>
      <c r="J249">
        <f>[1]map.xml!J249</f>
        <v>0</v>
      </c>
      <c r="K249">
        <f>精英副本!K305</f>
        <v>100</v>
      </c>
      <c r="L249" t="str">
        <f>精英副本!L305</f>
        <v>map/map_001.png</v>
      </c>
      <c r="M249" t="str">
        <f>精英副本!M305</f>
        <v>1-3</v>
      </c>
      <c r="N249">
        <f>精英副本!N305</f>
        <v>920</v>
      </c>
      <c r="O249">
        <f>精英副本!O305</f>
        <v>120</v>
      </c>
      <c r="P249">
        <f>精英副本!P305</f>
        <v>10</v>
      </c>
      <c r="Q249">
        <f>精英副本!Q305</f>
        <v>10</v>
      </c>
      <c r="R249">
        <f>精英副本!R305</f>
        <v>0</v>
      </c>
      <c r="S249">
        <f>精英副本!S305</f>
        <v>2</v>
      </c>
      <c r="T249">
        <f>精英副本!T305</f>
        <v>56</v>
      </c>
      <c r="U249">
        <f>精英副本客户端!F193</f>
        <v>206002</v>
      </c>
    </row>
    <row r="250" spans="1:21">
      <c r="A250">
        <f>精英副本!A306</f>
        <v>206004</v>
      </c>
      <c r="B250" t="str">
        <f>精英副本!Y306</f>
        <v>技巧试炼（60）</v>
      </c>
      <c r="C250">
        <f>精英副本!C306</f>
        <v>0</v>
      </c>
      <c r="D250">
        <f>精英副本!D306</f>
        <v>0</v>
      </c>
      <c r="E250" t="str">
        <f>[1]map.xml!$E250</f>
        <v>2060041_1,2060042_1,2060043_1</v>
      </c>
      <c r="F250" t="str">
        <f>[1]map.xml!F250</f>
        <v>1_0,2_0,3_10000</v>
      </c>
      <c r="G250" t="str">
        <f>[1]map.xml!G250</f>
        <v>40000_50650105_1_601,40000_50600015_1_1430,4000460_0_1_6925,4000460_0_1_6925,4000460_0_1_6925,30000_90003_1_10000,30000_90004_1_2500</v>
      </c>
      <c r="H250">
        <f>[1]map.xml!H250</f>
        <v>0</v>
      </c>
      <c r="I250" t="str">
        <f>[1]map.xml!I250</f>
        <v>30000_90005_1_10000,4000460_0_1_6925,4000460_0_1_6925,4000460_0_1_6925</v>
      </c>
      <c r="J250">
        <f>[1]map.xml!J250</f>
        <v>0</v>
      </c>
      <c r="K250">
        <f>精英副本!K306</f>
        <v>100</v>
      </c>
      <c r="L250" t="str">
        <f>精英副本!L306</f>
        <v>map/map_001.png</v>
      </c>
      <c r="M250" t="str">
        <f>精英副本!M306</f>
        <v>1-3</v>
      </c>
      <c r="N250">
        <f>精英副本!N306</f>
        <v>920</v>
      </c>
      <c r="O250">
        <f>精英副本!O306</f>
        <v>120</v>
      </c>
      <c r="P250">
        <f>精英副本!P306</f>
        <v>10</v>
      </c>
      <c r="Q250">
        <f>精英副本!Q306</f>
        <v>10</v>
      </c>
      <c r="R250">
        <f>精英副本!R306</f>
        <v>0</v>
      </c>
      <c r="S250">
        <f>精英副本!S306</f>
        <v>2</v>
      </c>
      <c r="T250">
        <f>精英副本!T306</f>
        <v>56</v>
      </c>
      <c r="U250">
        <f>精英副本客户端!F194</f>
        <v>206003</v>
      </c>
    </row>
    <row r="251" spans="1:21">
      <c r="A251">
        <f>精英副本!A307</f>
        <v>206005</v>
      </c>
      <c r="B251" t="str">
        <f>精英副本!Y307</f>
        <v>技巧试炼（60）</v>
      </c>
      <c r="C251">
        <f>精英副本!C307</f>
        <v>0</v>
      </c>
      <c r="D251">
        <f>精英副本!D307</f>
        <v>0</v>
      </c>
      <c r="E251" t="str">
        <f>[1]map.xml!$E251</f>
        <v>2060051_1</v>
      </c>
      <c r="F251" t="str">
        <f>[1]map.xml!F251</f>
        <v>1_10000,2_0,3_0</v>
      </c>
      <c r="G251" t="str">
        <f>[1]map.xml!G251</f>
        <v>40000_50650045_1_594,40000_50602055_1_1420,4000460_0_1_6950,4000460_0_1_6950,4000460_0_1_6950,30000_90003_1_10000,30000_90004_1_2500</v>
      </c>
      <c r="H251">
        <f>[1]map.xml!H251</f>
        <v>0</v>
      </c>
      <c r="I251" t="str">
        <f>[1]map.xml!I251</f>
        <v>30000_90005_1_10000,4000460_0_1_6950,4000460_0_1_6950,4000460_0_1_6950</v>
      </c>
      <c r="J251">
        <f>[1]map.xml!J251</f>
        <v>0</v>
      </c>
      <c r="K251">
        <f>精英副本!K307</f>
        <v>100</v>
      </c>
      <c r="L251" t="str">
        <f>精英副本!L307</f>
        <v>map/map_001.png</v>
      </c>
      <c r="M251" t="str">
        <f>精英副本!M307</f>
        <v>1-3</v>
      </c>
      <c r="N251">
        <f>精英副本!N307</f>
        <v>920</v>
      </c>
      <c r="O251">
        <f>精英副本!O307</f>
        <v>120</v>
      </c>
      <c r="P251">
        <f>精英副本!P307</f>
        <v>10</v>
      </c>
      <c r="Q251">
        <f>精英副本!Q307</f>
        <v>10</v>
      </c>
      <c r="R251">
        <f>精英副本!R307</f>
        <v>0</v>
      </c>
      <c r="S251">
        <f>精英副本!S307</f>
        <v>2</v>
      </c>
      <c r="T251">
        <f>精英副本!T307</f>
        <v>56</v>
      </c>
      <c r="U251">
        <f>精英副本客户端!F195</f>
        <v>206004</v>
      </c>
    </row>
    <row r="252" spans="1:21">
      <c r="A252">
        <f>精英副本!A308</f>
        <v>206006</v>
      </c>
      <c r="B252" t="str">
        <f>精英副本!Y308</f>
        <v>技巧试炼（60）</v>
      </c>
      <c r="C252">
        <f>精英副本!C308</f>
        <v>0</v>
      </c>
      <c r="D252">
        <f>精英副本!D308</f>
        <v>0</v>
      </c>
      <c r="E252" t="str">
        <f>[1]map.xml!$E252</f>
        <v>2060061_1</v>
      </c>
      <c r="F252" t="str">
        <f>[1]map.xml!F252</f>
        <v>1_10000,2_0,3_0</v>
      </c>
      <c r="G252" t="str">
        <f>[1]map.xml!G252</f>
        <v>40000_50650095_1_587,40000_50601065_1_1410,4000460_0_1_6975,4000460_0_1_6975,4000460_0_1_6975,30000_90003_1_10000,30000_90004_1_3750</v>
      </c>
      <c r="H252">
        <f>[1]map.xml!H252</f>
        <v>0</v>
      </c>
      <c r="I252" t="str">
        <f>[1]map.xml!I252</f>
        <v>30000_90005_1_10000,4000460_0_1_6975,4000460_0_1_6975,4000460_0_1_6975</v>
      </c>
      <c r="J252">
        <f>[1]map.xml!J252</f>
        <v>0</v>
      </c>
      <c r="K252">
        <f>精英副本!K308</f>
        <v>100</v>
      </c>
      <c r="L252" t="str">
        <f>精英副本!L308</f>
        <v>map/map_001.png</v>
      </c>
      <c r="M252" t="str">
        <f>精英副本!M308</f>
        <v>1-3</v>
      </c>
      <c r="N252">
        <f>精英副本!N308</f>
        <v>920</v>
      </c>
      <c r="O252">
        <f>精英副本!O308</f>
        <v>120</v>
      </c>
      <c r="P252">
        <f>精英副本!P308</f>
        <v>10</v>
      </c>
      <c r="Q252">
        <f>精英副本!Q308</f>
        <v>10</v>
      </c>
      <c r="R252">
        <f>精英副本!R308</f>
        <v>0</v>
      </c>
      <c r="S252">
        <f>精英副本!S308</f>
        <v>2</v>
      </c>
      <c r="T252">
        <f>精英副本!T308</f>
        <v>56</v>
      </c>
      <c r="U252">
        <f>精英副本客户端!F196</f>
        <v>206005</v>
      </c>
    </row>
    <row r="253" spans="1:21">
      <c r="A253">
        <f>精英副本!A309</f>
        <v>206007</v>
      </c>
      <c r="B253" t="str">
        <f>精英副本!Y309</f>
        <v>技巧试炼（60）</v>
      </c>
      <c r="C253">
        <f>精英副本!C309</f>
        <v>0</v>
      </c>
      <c r="D253">
        <f>精英副本!D309</f>
        <v>0</v>
      </c>
      <c r="E253" t="str">
        <f>[1]map.xml!$E253</f>
        <v>2060071_1</v>
      </c>
      <c r="F253" t="str">
        <f>[1]map.xml!F253</f>
        <v>1_10000,2_0,3_0</v>
      </c>
      <c r="G253" t="str">
        <f>[1]map.xml!G253</f>
        <v>40000_50650015_1_580,40000_50603065_1_1400,4000460_0_1_7000,4000460_0_1_7000,4000460_0_1_7000,30000_90003_1_10000,30000_90004_1_3750</v>
      </c>
      <c r="H253">
        <f>[1]map.xml!H253</f>
        <v>0</v>
      </c>
      <c r="I253" t="str">
        <f>[1]map.xml!I253</f>
        <v>30000_90005_1_10000,4000460_0_1_7000,4000460_0_1_7000,4000460_0_1_7000</v>
      </c>
      <c r="J253">
        <f>[1]map.xml!J253</f>
        <v>0</v>
      </c>
      <c r="K253">
        <f>精英副本!K309</f>
        <v>100</v>
      </c>
      <c r="L253" t="str">
        <f>精英副本!L309</f>
        <v>map/map_001.png</v>
      </c>
      <c r="M253" t="str">
        <f>精英副本!M309</f>
        <v>1-3</v>
      </c>
      <c r="N253">
        <f>精英副本!N309</f>
        <v>920</v>
      </c>
      <c r="O253">
        <f>精英副本!O309</f>
        <v>120</v>
      </c>
      <c r="P253">
        <f>精英副本!P309</f>
        <v>10</v>
      </c>
      <c r="Q253">
        <f>精英副本!Q309</f>
        <v>10</v>
      </c>
      <c r="R253">
        <f>精英副本!R309</f>
        <v>0</v>
      </c>
      <c r="S253">
        <f>精英副本!S309</f>
        <v>2</v>
      </c>
      <c r="T253">
        <f>精英副本!T309</f>
        <v>56</v>
      </c>
      <c r="U253">
        <f>精英副本客户端!F197</f>
        <v>206006</v>
      </c>
    </row>
    <row r="254" spans="1:21">
      <c r="A254">
        <f>精英副本!A310</f>
        <v>206008</v>
      </c>
      <c r="B254" t="str">
        <f>精英副本!Y310</f>
        <v>技巧试炼（60）</v>
      </c>
      <c r="C254">
        <f>精英副本!C310</f>
        <v>0</v>
      </c>
      <c r="D254">
        <f>精英副本!D310</f>
        <v>0</v>
      </c>
      <c r="E254" t="str">
        <f>[1]map.xml!$E254</f>
        <v>2060081_1</v>
      </c>
      <c r="F254" t="str">
        <f>[1]map.xml!F254</f>
        <v>1_10000,2_0,3_0</v>
      </c>
      <c r="G254" t="str">
        <f>[1]map.xml!G254</f>
        <v>40000_50650075_1_573,40000_50652065_1_1390,4000460_0_1_7025,4000460_0_1_7025,4000460_0_1_7025,30000_90003_1_10000,30000_90004_1_3750</v>
      </c>
      <c r="H254">
        <f>[1]map.xml!H254</f>
        <v>0</v>
      </c>
      <c r="I254" t="str">
        <f>[1]map.xml!I254</f>
        <v>30000_90005_1_10000,4000460_0_1_7025,4000460_0_1_7025,4000460_0_1_7025</v>
      </c>
      <c r="J254">
        <f>[1]map.xml!J254</f>
        <v>0</v>
      </c>
      <c r="K254">
        <f>精英副本!K310</f>
        <v>100</v>
      </c>
      <c r="L254" t="str">
        <f>精英副本!L310</f>
        <v>map/map_001.png</v>
      </c>
      <c r="M254" t="str">
        <f>精英副本!M310</f>
        <v>1-3</v>
      </c>
      <c r="N254">
        <f>精英副本!N310</f>
        <v>920</v>
      </c>
      <c r="O254">
        <f>精英副本!O310</f>
        <v>120</v>
      </c>
      <c r="P254">
        <f>精英副本!P310</f>
        <v>10</v>
      </c>
      <c r="Q254">
        <f>精英副本!Q310</f>
        <v>10</v>
      </c>
      <c r="R254">
        <f>精英副本!R310</f>
        <v>0</v>
      </c>
      <c r="S254">
        <f>精英副本!S310</f>
        <v>2</v>
      </c>
      <c r="T254">
        <f>精英副本!T310</f>
        <v>56</v>
      </c>
      <c r="U254">
        <f>精英副本客户端!F198</f>
        <v>206007</v>
      </c>
    </row>
    <row r="255" spans="1:21">
      <c r="A255">
        <f>精英副本!A311</f>
        <v>206009</v>
      </c>
      <c r="B255" t="str">
        <f>精英副本!Y311</f>
        <v>技巧试炼（60）</v>
      </c>
      <c r="C255">
        <f>精英副本!C311</f>
        <v>0</v>
      </c>
      <c r="D255">
        <f>精英副本!D311</f>
        <v>0</v>
      </c>
      <c r="E255" t="str">
        <f>[1]map.xml!$E255</f>
        <v>2060091_1</v>
      </c>
      <c r="F255" t="str">
        <f>[1]map.xml!F255</f>
        <v>1_10000,2_0,3_0</v>
      </c>
      <c r="G255" t="str">
        <f>[1]map.xml!G255</f>
        <v>40000_50652055_1_566,40000_50600035_1_1380,4000460_0_1_7050,4000460_0_1_7050,4000460_0_1_7050,30000_90003_1_10000,30000_90004_1_5000</v>
      </c>
      <c r="H255">
        <f>[1]map.xml!H255</f>
        <v>0</v>
      </c>
      <c r="I255" t="str">
        <f>[1]map.xml!I255</f>
        <v>30000_90005_1_10000,4000460_0_1_7050,4000460_0_1_7050,4000460_0_1_7050</v>
      </c>
      <c r="J255">
        <f>[1]map.xml!J255</f>
        <v>0</v>
      </c>
      <c r="K255">
        <f>精英副本!K311</f>
        <v>100</v>
      </c>
      <c r="L255" t="str">
        <f>精英副本!L311</f>
        <v>map/map_001.png</v>
      </c>
      <c r="M255" t="str">
        <f>精英副本!M311</f>
        <v>1-3</v>
      </c>
      <c r="N255">
        <f>精英副本!N311</f>
        <v>920</v>
      </c>
      <c r="O255">
        <f>精英副本!O311</f>
        <v>120</v>
      </c>
      <c r="P255">
        <f>精英副本!P311</f>
        <v>10</v>
      </c>
      <c r="Q255">
        <f>精英副本!Q311</f>
        <v>10</v>
      </c>
      <c r="R255">
        <f>精英副本!R311</f>
        <v>0</v>
      </c>
      <c r="S255">
        <f>精英副本!S311</f>
        <v>2</v>
      </c>
      <c r="T255">
        <f>精英副本!T311</f>
        <v>56</v>
      </c>
      <c r="U255">
        <f>精英副本客户端!F199</f>
        <v>206008</v>
      </c>
    </row>
    <row r="256" spans="1:21">
      <c r="A256">
        <f>精英副本!A312</f>
        <v>206501</v>
      </c>
      <c r="B256" t="str">
        <f>精英副本!Y312</f>
        <v>技巧试炼（65）</v>
      </c>
      <c r="C256">
        <f>精英副本!C312</f>
        <v>0</v>
      </c>
      <c r="D256">
        <f>精英副本!D312</f>
        <v>0</v>
      </c>
      <c r="E256" t="str">
        <f>[1]map.xml!$E256</f>
        <v>2065011_1</v>
      </c>
      <c r="F256" t="str">
        <f>[1]map.xml!F256</f>
        <v>1_10000,2_0,3_0</v>
      </c>
      <c r="G256" t="str">
        <f>[1]map.xml!G256</f>
        <v>40000_50700105_1_559,40000_50650015_1_1370,4000465_0_1_7075,4000465_0_1_7075,4000465_0_1_7075,30000_90003_1_10000,30000_90004_1_2500</v>
      </c>
      <c r="H256">
        <f>[1]map.xml!H256</f>
        <v>0</v>
      </c>
      <c r="I256" t="str">
        <f>[1]map.xml!I256</f>
        <v>30000_90005_1_10000,4000465_0_1_7075,4000465_0_1_7075,4000465_0_1_7075</v>
      </c>
      <c r="J256">
        <f>[1]map.xml!J256</f>
        <v>0</v>
      </c>
      <c r="K256">
        <f>精英副本!K312</f>
        <v>100</v>
      </c>
      <c r="L256" t="str">
        <f>精英副本!L312</f>
        <v>map/map_001.png</v>
      </c>
      <c r="M256" t="str">
        <f>精英副本!M312</f>
        <v>1-3</v>
      </c>
      <c r="N256">
        <f>精英副本!N312</f>
        <v>920</v>
      </c>
      <c r="O256">
        <f>精英副本!O312</f>
        <v>120</v>
      </c>
      <c r="P256">
        <f>精英副本!P312</f>
        <v>10</v>
      </c>
      <c r="Q256">
        <f>精英副本!Q312</f>
        <v>10</v>
      </c>
      <c r="R256">
        <f>精英副本!R312</f>
        <v>0</v>
      </c>
      <c r="S256">
        <f>精英副本!S312</f>
        <v>2</v>
      </c>
      <c r="T256">
        <f>精英副本!T312</f>
        <v>61</v>
      </c>
      <c r="U256">
        <f>精英副本客户端!F200</f>
        <v>0</v>
      </c>
    </row>
    <row r="257" spans="1:21">
      <c r="A257">
        <f>精英副本!A313</f>
        <v>206502</v>
      </c>
      <c r="B257" t="str">
        <f>精英副本!Y313</f>
        <v>技巧试炼（65）</v>
      </c>
      <c r="C257">
        <f>精英副本!C313</f>
        <v>0</v>
      </c>
      <c r="D257">
        <f>精英副本!D313</f>
        <v>0</v>
      </c>
      <c r="E257" t="str">
        <f>[1]map.xml!$E257</f>
        <v>2065021_1</v>
      </c>
      <c r="F257" t="str">
        <f>[1]map.xml!F257</f>
        <v>1_10000,2_0,3_0</v>
      </c>
      <c r="G257" t="str">
        <f>[1]map.xml!G257</f>
        <v>40000_50700095_1_552,40000_50651065_1_1360,4000465_0_1_7100,4000465_0_1_7100,4000465_0_1_7100,30000_90003_1_10000,30000_90004_1_2500</v>
      </c>
      <c r="H257">
        <f>[1]map.xml!H257</f>
        <v>0</v>
      </c>
      <c r="I257" t="str">
        <f>[1]map.xml!I257</f>
        <v>30000_90005_1_10000,4000465_0_1_7100,4000465_0_1_7100,4000465_0_1_7100</v>
      </c>
      <c r="J257">
        <f>[1]map.xml!J257</f>
        <v>0</v>
      </c>
      <c r="K257">
        <f>精英副本!K313</f>
        <v>100</v>
      </c>
      <c r="L257" t="str">
        <f>精英副本!L313</f>
        <v>map/map_001.png</v>
      </c>
      <c r="M257" t="str">
        <f>精英副本!M313</f>
        <v>1-3</v>
      </c>
      <c r="N257">
        <f>精英副本!N313</f>
        <v>920</v>
      </c>
      <c r="O257">
        <f>精英副本!O313</f>
        <v>120</v>
      </c>
      <c r="P257">
        <f>精英副本!P313</f>
        <v>10</v>
      </c>
      <c r="Q257">
        <f>精英副本!Q313</f>
        <v>10</v>
      </c>
      <c r="R257">
        <f>精英副本!R313</f>
        <v>0</v>
      </c>
      <c r="S257">
        <f>精英副本!S313</f>
        <v>2</v>
      </c>
      <c r="T257">
        <f>精英副本!T313</f>
        <v>61</v>
      </c>
      <c r="U257">
        <f>精英副本客户端!F201</f>
        <v>206501</v>
      </c>
    </row>
    <row r="258" spans="1:21">
      <c r="A258">
        <f>精英副本!A314</f>
        <v>206503</v>
      </c>
      <c r="B258" t="str">
        <f>精英副本!Y314</f>
        <v>技巧试炼（65）</v>
      </c>
      <c r="C258">
        <f>精英副本!C314</f>
        <v>0</v>
      </c>
      <c r="D258">
        <f>精英副本!D314</f>
        <v>0</v>
      </c>
      <c r="E258" t="str">
        <f>[1]map.xml!$E258</f>
        <v>2065031_1</v>
      </c>
      <c r="F258" t="str">
        <f>[1]map.xml!F258</f>
        <v>1_10000,2_0,3_0</v>
      </c>
      <c r="G258" t="str">
        <f>[1]map.xml!G258</f>
        <v>40000_50700075_1_545,40000_50702065_1_1350,4000465_0_1_7125,4000465_0_1_7125,4000465_0_1_7125,30000_90003_1_10000,30000_90004_1_3750</v>
      </c>
      <c r="H258">
        <f>[1]map.xml!H258</f>
        <v>0</v>
      </c>
      <c r="I258" t="str">
        <f>[1]map.xml!I258</f>
        <v>30000_90005_1_10000,4000465_0_1_7125,4000465_0_1_7125,4000465_0_1_7125</v>
      </c>
      <c r="J258">
        <f>[1]map.xml!J258</f>
        <v>0</v>
      </c>
      <c r="K258">
        <f>精英副本!K314</f>
        <v>100</v>
      </c>
      <c r="L258" t="str">
        <f>精英副本!L314</f>
        <v>map/map_001.png</v>
      </c>
      <c r="M258" t="str">
        <f>精英副本!M314</f>
        <v>1-3</v>
      </c>
      <c r="N258">
        <f>精英副本!N314</f>
        <v>920</v>
      </c>
      <c r="O258">
        <f>精英副本!O314</f>
        <v>120</v>
      </c>
      <c r="P258">
        <f>精英副本!P314</f>
        <v>10</v>
      </c>
      <c r="Q258">
        <f>精英副本!Q314</f>
        <v>10</v>
      </c>
      <c r="R258">
        <f>精英副本!R314</f>
        <v>0</v>
      </c>
      <c r="S258">
        <f>精英副本!S314</f>
        <v>2</v>
      </c>
      <c r="T258">
        <f>精英副本!T314</f>
        <v>61</v>
      </c>
      <c r="U258">
        <f>精英副本客户端!F202</f>
        <v>206502</v>
      </c>
    </row>
    <row r="259" spans="1:21">
      <c r="A259">
        <f>精英副本!A315</f>
        <v>206504</v>
      </c>
      <c r="B259" t="str">
        <f>精英副本!Y315</f>
        <v>技巧试炼（65）</v>
      </c>
      <c r="C259">
        <f>精英副本!C315</f>
        <v>0</v>
      </c>
      <c r="D259">
        <f>精英副本!D315</f>
        <v>0</v>
      </c>
      <c r="E259" t="str">
        <f>[1]map.xml!$E259</f>
        <v>2065041_1,2065042_1,2065043_1</v>
      </c>
      <c r="F259" t="str">
        <f>[1]map.xml!F259</f>
        <v>1_0,2_0,3_10000</v>
      </c>
      <c r="G259" t="str">
        <f>[1]map.xml!G259</f>
        <v>40000_50700085_1_538,40000_50653065_1_1340,4000465_0_1_7150,4000465_0_1_7150,4000465_0_1_7150,30000_90003_1_10000,30000_90004_1_3750</v>
      </c>
      <c r="H259">
        <f>[1]map.xml!H259</f>
        <v>0</v>
      </c>
      <c r="I259" t="str">
        <f>[1]map.xml!I259</f>
        <v>30000_90005_1_10000,4000465_0_1_7150,4000465_0_1_7150,4000465_0_1_7150</v>
      </c>
      <c r="J259">
        <f>[1]map.xml!J259</f>
        <v>0</v>
      </c>
      <c r="K259">
        <f>精英副本!K315</f>
        <v>100</v>
      </c>
      <c r="L259" t="str">
        <f>精英副本!L315</f>
        <v>map/map_001.png</v>
      </c>
      <c r="M259" t="str">
        <f>精英副本!M315</f>
        <v>1-3</v>
      </c>
      <c r="N259">
        <f>精英副本!N315</f>
        <v>920</v>
      </c>
      <c r="O259">
        <f>精英副本!O315</f>
        <v>120</v>
      </c>
      <c r="P259">
        <f>精英副本!P315</f>
        <v>10</v>
      </c>
      <c r="Q259">
        <f>精英副本!Q315</f>
        <v>10</v>
      </c>
      <c r="R259">
        <f>精英副本!R315</f>
        <v>0</v>
      </c>
      <c r="S259">
        <f>精英副本!S315</f>
        <v>2</v>
      </c>
      <c r="T259">
        <f>精英副本!T315</f>
        <v>61</v>
      </c>
      <c r="U259">
        <f>精英副本客户端!F203</f>
        <v>206503</v>
      </c>
    </row>
    <row r="260" spans="1:21">
      <c r="A260">
        <f>精英副本!A316</f>
        <v>206505</v>
      </c>
      <c r="B260" t="str">
        <f>精英副本!Y316</f>
        <v>技巧试炼（65）</v>
      </c>
      <c r="C260">
        <f>精英副本!C316</f>
        <v>0</v>
      </c>
      <c r="D260">
        <f>精英副本!D316</f>
        <v>0</v>
      </c>
      <c r="E260" t="str">
        <f>[1]map.xml!$E260</f>
        <v>2065051_1</v>
      </c>
      <c r="F260" t="str">
        <f>[1]map.xml!F260</f>
        <v>1_10000,2_0,3_0</v>
      </c>
      <c r="G260" t="str">
        <f>[1]map.xml!G260</f>
        <v>40000_50700045_1_531,40000_50653055_1_1330,4000465_0_1_7175,4000465_0_1_7175,4000465_0_1_7175,30000_90003_1_10000,30000_90004_1_3750</v>
      </c>
      <c r="H260">
        <f>[1]map.xml!H260</f>
        <v>0</v>
      </c>
      <c r="I260" t="str">
        <f>[1]map.xml!I260</f>
        <v>30000_90005_1_10000,4000465_0_1_7175,4000465_0_1_7175,4000465_0_1_7175</v>
      </c>
      <c r="J260">
        <f>[1]map.xml!J260</f>
        <v>0</v>
      </c>
      <c r="K260">
        <f>精英副本!K316</f>
        <v>100</v>
      </c>
      <c r="L260" t="str">
        <f>精英副本!L316</f>
        <v>map/map_001.png</v>
      </c>
      <c r="M260" t="str">
        <f>精英副本!M316</f>
        <v>1-3</v>
      </c>
      <c r="N260">
        <f>精英副本!N316</f>
        <v>920</v>
      </c>
      <c r="O260">
        <f>精英副本!O316</f>
        <v>120</v>
      </c>
      <c r="P260">
        <f>精英副本!P316</f>
        <v>10</v>
      </c>
      <c r="Q260">
        <f>精英副本!Q316</f>
        <v>10</v>
      </c>
      <c r="R260">
        <f>精英副本!R316</f>
        <v>0</v>
      </c>
      <c r="S260">
        <f>精英副本!S316</f>
        <v>2</v>
      </c>
      <c r="T260">
        <f>精英副本!T316</f>
        <v>61</v>
      </c>
      <c r="U260">
        <f>精英副本客户端!F204</f>
        <v>206504</v>
      </c>
    </row>
    <row r="261" spans="1:21">
      <c r="A261">
        <f>精英副本!A317</f>
        <v>206506</v>
      </c>
      <c r="B261" t="str">
        <f>精英副本!Y317</f>
        <v>技巧试炼（65）</v>
      </c>
      <c r="C261">
        <f>精英副本!C317</f>
        <v>0</v>
      </c>
      <c r="D261">
        <f>精英副本!D317</f>
        <v>0</v>
      </c>
      <c r="E261" t="str">
        <f>[1]map.xml!$E261</f>
        <v>2065061_1</v>
      </c>
      <c r="F261" t="str">
        <f>[1]map.xml!F261</f>
        <v>1_10000,2_0,3_0</v>
      </c>
      <c r="G261" t="str">
        <f>[1]map.xml!G261</f>
        <v>40000_50700015_1_524,40000_50652065_1_1320,4000465_0_1_7200,4000465_0_1_7200,4000465_0_1_7200,30000_90003_1_10000,30000_90004_1_5000</v>
      </c>
      <c r="H261">
        <f>[1]map.xml!H261</f>
        <v>0</v>
      </c>
      <c r="I261" t="str">
        <f>[1]map.xml!I261</f>
        <v>30000_90005_1_10000,4000465_0_1_7200,4000465_0_1_7200,4000465_0_1_7200</v>
      </c>
      <c r="J261">
        <f>[1]map.xml!J261</f>
        <v>0</v>
      </c>
      <c r="K261">
        <f>精英副本!K317</f>
        <v>100</v>
      </c>
      <c r="L261" t="str">
        <f>精英副本!L317</f>
        <v>map/map_001.png</v>
      </c>
      <c r="M261" t="str">
        <f>精英副本!M317</f>
        <v>1-3</v>
      </c>
      <c r="N261">
        <f>精英副本!N317</f>
        <v>920</v>
      </c>
      <c r="O261">
        <f>精英副本!O317</f>
        <v>120</v>
      </c>
      <c r="P261">
        <f>精英副本!P317</f>
        <v>10</v>
      </c>
      <c r="Q261">
        <f>精英副本!Q317</f>
        <v>10</v>
      </c>
      <c r="R261">
        <f>精英副本!R317</f>
        <v>0</v>
      </c>
      <c r="S261">
        <f>精英副本!S317</f>
        <v>2</v>
      </c>
      <c r="T261">
        <f>精英副本!T317</f>
        <v>61</v>
      </c>
      <c r="U261">
        <f>精英副本客户端!F205</f>
        <v>206505</v>
      </c>
    </row>
    <row r="262" spans="1:21">
      <c r="A262">
        <f>精英副本!A318</f>
        <v>206507</v>
      </c>
      <c r="B262" t="str">
        <f>精英副本!Y318</f>
        <v>技巧试炼（65）</v>
      </c>
      <c r="C262">
        <f>精英副本!C318</f>
        <v>0</v>
      </c>
      <c r="D262">
        <f>精英副本!D318</f>
        <v>0</v>
      </c>
      <c r="E262" t="str">
        <f>[1]map.xml!$E262</f>
        <v>2065071_1</v>
      </c>
      <c r="F262" t="str">
        <f>[1]map.xml!F262</f>
        <v>1_10000,2_0,3_0</v>
      </c>
      <c r="G262" t="str">
        <f>[1]map.xml!G262</f>
        <v>40000_50700025_1_517,40000_50652055_1_1310,4000465_0_1_7225,4000465_0_1_7225,4000465_0_1_7225,30000_90003_1_10000,30000_90004_1_5000</v>
      </c>
      <c r="H262">
        <f>[1]map.xml!H262</f>
        <v>0</v>
      </c>
      <c r="I262" t="str">
        <f>[1]map.xml!I262</f>
        <v>30000_90005_1_10000,4000465_0_1_7225,4000465_0_1_7225,4000465_0_1_7225</v>
      </c>
      <c r="J262">
        <f>[1]map.xml!J262</f>
        <v>0</v>
      </c>
      <c r="K262">
        <f>精英副本!K318</f>
        <v>100</v>
      </c>
      <c r="L262" t="str">
        <f>精英副本!L318</f>
        <v>map/map_001.png</v>
      </c>
      <c r="M262" t="str">
        <f>精英副本!M318</f>
        <v>1-3</v>
      </c>
      <c r="N262">
        <f>精英副本!N318</f>
        <v>920</v>
      </c>
      <c r="O262">
        <f>精英副本!O318</f>
        <v>120</v>
      </c>
      <c r="P262">
        <f>精英副本!P318</f>
        <v>10</v>
      </c>
      <c r="Q262">
        <f>精英副本!Q318</f>
        <v>10</v>
      </c>
      <c r="R262">
        <f>精英副本!R318</f>
        <v>0</v>
      </c>
      <c r="S262">
        <f>精英副本!S318</f>
        <v>2</v>
      </c>
      <c r="T262">
        <f>精英副本!T318</f>
        <v>61</v>
      </c>
      <c r="U262">
        <f>精英副本客户端!F206</f>
        <v>206506</v>
      </c>
    </row>
    <row r="263" spans="1:21">
      <c r="A263">
        <f>精英副本!A319</f>
        <v>206508</v>
      </c>
      <c r="B263" t="str">
        <f>精英副本!Y319</f>
        <v>技巧试炼（65）</v>
      </c>
      <c r="C263">
        <f>精英副本!C319</f>
        <v>0</v>
      </c>
      <c r="D263">
        <f>精英副本!D319</f>
        <v>0</v>
      </c>
      <c r="E263" t="str">
        <f>[1]map.xml!$E263</f>
        <v>2065081_1</v>
      </c>
      <c r="F263" t="str">
        <f>[1]map.xml!F263</f>
        <v>1_10000,2_0,3_0</v>
      </c>
      <c r="G263" t="str">
        <f>[1]map.xml!G263</f>
        <v>40000_50700035_1_510,40000_50650035_1_1300,4000465_0_1_7250,4000465_0_1_7250,4000465_0_1_7250,30000_90003_1_10000,30000_90004_1_5000</v>
      </c>
      <c r="H263">
        <f>[1]map.xml!H263</f>
        <v>0</v>
      </c>
      <c r="I263" t="str">
        <f>[1]map.xml!I263</f>
        <v>30000_90005_1_10000,4000465_0_1_7250,4000465_0_1_7250,4000465_0_1_7250</v>
      </c>
      <c r="J263">
        <f>[1]map.xml!J263</f>
        <v>0</v>
      </c>
      <c r="K263">
        <f>精英副本!K319</f>
        <v>100</v>
      </c>
      <c r="L263" t="str">
        <f>精英副本!L319</f>
        <v>map/map_001.png</v>
      </c>
      <c r="M263" t="str">
        <f>精英副本!M319</f>
        <v>1-3</v>
      </c>
      <c r="N263">
        <f>精英副本!N319</f>
        <v>920</v>
      </c>
      <c r="O263">
        <f>精英副本!O319</f>
        <v>120</v>
      </c>
      <c r="P263">
        <f>精英副本!P319</f>
        <v>10</v>
      </c>
      <c r="Q263">
        <f>精英副本!Q319</f>
        <v>10</v>
      </c>
      <c r="R263">
        <f>精英副本!R319</f>
        <v>0</v>
      </c>
      <c r="S263">
        <f>精英副本!S319</f>
        <v>2</v>
      </c>
      <c r="T263">
        <f>精英副本!T319</f>
        <v>61</v>
      </c>
      <c r="U263">
        <f>精英副本客户端!F207</f>
        <v>206507</v>
      </c>
    </row>
    <row r="264" spans="1:21">
      <c r="A264">
        <f>精英副本!A320</f>
        <v>206509</v>
      </c>
      <c r="B264" t="str">
        <f>精英副本!Y320</f>
        <v>技巧试炼（65）</v>
      </c>
      <c r="C264">
        <f>精英副本!C320</f>
        <v>0</v>
      </c>
      <c r="D264">
        <f>精英副本!D320</f>
        <v>0</v>
      </c>
      <c r="E264" t="str">
        <f>[1]map.xml!$E264</f>
        <v>2065091_1</v>
      </c>
      <c r="F264" t="str">
        <f>[1]map.xml!F264</f>
        <v>1_10000,2_0,3_0</v>
      </c>
      <c r="G264" t="str">
        <f>[1]map.xml!G264</f>
        <v>40000_50702055_1_503,40000_50651055_1_1290,4000465_0_1_7275,4000465_0_1_7275,4000465_0_1_7275,30000_90003_1_10000,30000_90004_1_6250</v>
      </c>
      <c r="H264">
        <f>[1]map.xml!H264</f>
        <v>0</v>
      </c>
      <c r="I264" t="str">
        <f>[1]map.xml!I264</f>
        <v>30000_90005_1_10000,4000465_0_1_7275,4000465_0_1_7275,4000465_0_1_7275</v>
      </c>
      <c r="J264">
        <f>[1]map.xml!J264</f>
        <v>0</v>
      </c>
      <c r="K264">
        <f>精英副本!K320</f>
        <v>100</v>
      </c>
      <c r="L264" t="str">
        <f>精英副本!L320</f>
        <v>map/map_001.png</v>
      </c>
      <c r="M264" t="str">
        <f>精英副本!M320</f>
        <v>1-3</v>
      </c>
      <c r="N264">
        <f>精英副本!N320</f>
        <v>920</v>
      </c>
      <c r="O264">
        <f>精英副本!O320</f>
        <v>120</v>
      </c>
      <c r="P264">
        <f>精英副本!P320</f>
        <v>10</v>
      </c>
      <c r="Q264">
        <f>精英副本!Q320</f>
        <v>10</v>
      </c>
      <c r="R264">
        <f>精英副本!R320</f>
        <v>0</v>
      </c>
      <c r="S264">
        <f>精英副本!S320</f>
        <v>2</v>
      </c>
      <c r="T264">
        <f>精英副本!T320</f>
        <v>61</v>
      </c>
      <c r="U264">
        <f>精英副本客户端!F208</f>
        <v>206508</v>
      </c>
    </row>
    <row r="265" spans="1:21">
      <c r="A265">
        <f>精英副本!A321</f>
        <v>207001</v>
      </c>
      <c r="B265" t="str">
        <f>精英副本!Y321</f>
        <v>技巧试炼（70）</v>
      </c>
      <c r="C265">
        <f>精英副本!C321</f>
        <v>0</v>
      </c>
      <c r="D265">
        <f>精英副本!D321</f>
        <v>0</v>
      </c>
      <c r="E265" t="str">
        <f>[1]map.xml!$E265</f>
        <v>2070011_1</v>
      </c>
      <c r="F265" t="str">
        <f>[1]map.xml!F265</f>
        <v>1_10000,2_0,3_0</v>
      </c>
      <c r="G265" t="str">
        <f>[1]map.xml!G265</f>
        <v>40000_50750045_1_496,40000_50700015_1_1280,4000470_0_1_7300,4000470_0_1_7300,4000470_0_1_7300,30000_90003_1_10000,30000_90004_1_3750</v>
      </c>
      <c r="H265">
        <f>[1]map.xml!H265</f>
        <v>0</v>
      </c>
      <c r="I265" t="str">
        <f>[1]map.xml!I265</f>
        <v>30000_90005_1_10000,4000470_0_1_7300,4000470_0_1_7300,4000470_0_1_7300</v>
      </c>
      <c r="J265">
        <f>[1]map.xml!J265</f>
        <v>0</v>
      </c>
      <c r="K265">
        <f>精英副本!K321</f>
        <v>100</v>
      </c>
      <c r="L265" t="str">
        <f>精英副本!L321</f>
        <v>map/map_001.png</v>
      </c>
      <c r="M265" t="str">
        <f>精英副本!M321</f>
        <v>1-3</v>
      </c>
      <c r="N265">
        <f>精英副本!N321</f>
        <v>920</v>
      </c>
      <c r="O265">
        <f>精英副本!O321</f>
        <v>120</v>
      </c>
      <c r="P265">
        <f>精英副本!P321</f>
        <v>10</v>
      </c>
      <c r="Q265">
        <f>精英副本!Q321</f>
        <v>10</v>
      </c>
      <c r="R265">
        <f>精英副本!R321</f>
        <v>0</v>
      </c>
      <c r="S265">
        <f>精英副本!S321</f>
        <v>2</v>
      </c>
      <c r="T265">
        <f>精英副本!T321</f>
        <v>66</v>
      </c>
      <c r="U265">
        <f>精英副本客户端!F209</f>
        <v>0</v>
      </c>
    </row>
    <row r="266" spans="1:21">
      <c r="A266">
        <f>精英副本!A322</f>
        <v>207002</v>
      </c>
      <c r="B266" t="str">
        <f>精英副本!Y322</f>
        <v>技巧试炼（70）</v>
      </c>
      <c r="C266">
        <f>精英副本!C322</f>
        <v>0</v>
      </c>
      <c r="D266">
        <f>精英副本!D322</f>
        <v>0</v>
      </c>
      <c r="E266" t="str">
        <f>[1]map.xml!$E266</f>
        <v>2070021_1</v>
      </c>
      <c r="F266" t="str">
        <f>[1]map.xml!F266</f>
        <v>1_10000,2_0,3_0</v>
      </c>
      <c r="G266" t="str">
        <f>[1]map.xml!G266</f>
        <v>40000_50750025_1_489,40000_50701065_1_1270,4000470_0_1_7325,4000470_0_1_7325,4000470_0_1_7325,30000_90003_1_10000,30000_90004_1_3750</v>
      </c>
      <c r="H266">
        <f>[1]map.xml!H266</f>
        <v>0</v>
      </c>
      <c r="I266" t="str">
        <f>[1]map.xml!I266</f>
        <v>30000_90005_1_10000,4000470_0_1_7325,4000470_0_1_7325,4000470_0_1_7325</v>
      </c>
      <c r="J266">
        <f>[1]map.xml!J266</f>
        <v>0</v>
      </c>
      <c r="K266">
        <f>精英副本!K322</f>
        <v>100</v>
      </c>
      <c r="L266" t="str">
        <f>精英副本!L322</f>
        <v>map/map_001.png</v>
      </c>
      <c r="M266" t="str">
        <f>精英副本!M322</f>
        <v>1-3</v>
      </c>
      <c r="N266">
        <f>精英副本!N322</f>
        <v>920</v>
      </c>
      <c r="O266">
        <f>精英副本!O322</f>
        <v>120</v>
      </c>
      <c r="P266">
        <f>精英副本!P322</f>
        <v>10</v>
      </c>
      <c r="Q266">
        <f>精英副本!Q322</f>
        <v>10</v>
      </c>
      <c r="R266">
        <f>精英副本!R322</f>
        <v>0</v>
      </c>
      <c r="S266">
        <f>精英副本!S322</f>
        <v>2</v>
      </c>
      <c r="T266">
        <f>精英副本!T322</f>
        <v>66</v>
      </c>
      <c r="U266">
        <f>精英副本客户端!F210</f>
        <v>207001</v>
      </c>
    </row>
    <row r="267" spans="1:21">
      <c r="A267">
        <f>精英副本!A323</f>
        <v>207003</v>
      </c>
      <c r="B267" t="str">
        <f>精英副本!Y323</f>
        <v>技巧试炼（70）</v>
      </c>
      <c r="C267">
        <f>精英副本!C323</f>
        <v>0</v>
      </c>
      <c r="D267">
        <f>精英副本!D323</f>
        <v>0</v>
      </c>
      <c r="E267" t="str">
        <f>[1]map.xml!$E267</f>
        <v>2070031_1</v>
      </c>
      <c r="F267" t="str">
        <f>[1]map.xml!F267</f>
        <v>1_10000,2_0,3_0</v>
      </c>
      <c r="G267" t="str">
        <f>[1]map.xml!G267</f>
        <v>40000_50750095_1_482,40000_50702055_1_1260,4000470_0_1_7350,4000470_0_1_7350,4000470_0_1_7350,30000_90003_1_10000,30000_90004_1_5000</v>
      </c>
      <c r="H267">
        <f>[1]map.xml!H267</f>
        <v>0</v>
      </c>
      <c r="I267" t="str">
        <f>[1]map.xml!I267</f>
        <v>30000_90005_1_10000,4000470_0_1_7350,4000470_0_1_7350,4000470_0_1_7350</v>
      </c>
      <c r="J267">
        <f>[1]map.xml!J267</f>
        <v>0</v>
      </c>
      <c r="K267">
        <f>精英副本!K323</f>
        <v>100</v>
      </c>
      <c r="L267" t="str">
        <f>精英副本!L323</f>
        <v>map/map_001.png</v>
      </c>
      <c r="M267" t="str">
        <f>精英副本!M323</f>
        <v>1-3</v>
      </c>
      <c r="N267">
        <f>精英副本!N323</f>
        <v>920</v>
      </c>
      <c r="O267">
        <f>精英副本!O323</f>
        <v>120</v>
      </c>
      <c r="P267">
        <f>精英副本!P323</f>
        <v>10</v>
      </c>
      <c r="Q267">
        <f>精英副本!Q323</f>
        <v>10</v>
      </c>
      <c r="R267">
        <f>精英副本!R323</f>
        <v>0</v>
      </c>
      <c r="S267">
        <f>精英副本!S323</f>
        <v>2</v>
      </c>
      <c r="T267">
        <f>精英副本!T323</f>
        <v>66</v>
      </c>
      <c r="U267">
        <f>精英副本客户端!F211</f>
        <v>207002</v>
      </c>
    </row>
    <row r="268" spans="1:21">
      <c r="A268">
        <f>精英副本!A324</f>
        <v>207004</v>
      </c>
      <c r="B268" t="str">
        <f>精英副本!Y324</f>
        <v>技巧试炼（70）</v>
      </c>
      <c r="C268">
        <f>精英副本!C324</f>
        <v>0</v>
      </c>
      <c r="D268">
        <f>精英副本!D324</f>
        <v>0</v>
      </c>
      <c r="E268" t="str">
        <f>[1]map.xml!$E268</f>
        <v>2070041_1,2070042_1,2070043_1</v>
      </c>
      <c r="F268" t="str">
        <f>[1]map.xml!F268</f>
        <v>1_0,2_0,3_10000</v>
      </c>
      <c r="G268" t="str">
        <f>[1]map.xml!G268</f>
        <v>40000_50750035_1_475,40000_50752066_1_1250,4000470_0_1_7375,4000470_0_1_7375,4000470_0_1_7375,30000_90003_1_10000,30000_90004_1_5000</v>
      </c>
      <c r="H268">
        <f>[1]map.xml!H268</f>
        <v>0</v>
      </c>
      <c r="I268" t="str">
        <f>[1]map.xml!I268</f>
        <v>30000_90005_1_10000,4000470_0_1_7375,4000470_0_1_7375,4000470_0_1_7375</v>
      </c>
      <c r="J268">
        <f>[1]map.xml!J268</f>
        <v>0</v>
      </c>
      <c r="K268">
        <f>精英副本!K324</f>
        <v>100</v>
      </c>
      <c r="L268" t="str">
        <f>精英副本!L324</f>
        <v>map/map_001.png</v>
      </c>
      <c r="M268" t="str">
        <f>精英副本!M324</f>
        <v>1-3</v>
      </c>
      <c r="N268">
        <f>精英副本!N324</f>
        <v>920</v>
      </c>
      <c r="O268">
        <f>精英副本!O324</f>
        <v>120</v>
      </c>
      <c r="P268">
        <f>精英副本!P324</f>
        <v>10</v>
      </c>
      <c r="Q268">
        <f>精英副本!Q324</f>
        <v>10</v>
      </c>
      <c r="R268">
        <f>精英副本!R324</f>
        <v>0</v>
      </c>
      <c r="S268">
        <f>精英副本!S324</f>
        <v>2</v>
      </c>
      <c r="T268">
        <f>精英副本!T324</f>
        <v>66</v>
      </c>
      <c r="U268">
        <f>精英副本客户端!F212</f>
        <v>207003</v>
      </c>
    </row>
    <row r="269" spans="1:21">
      <c r="A269">
        <f>精英副本!A325</f>
        <v>207005</v>
      </c>
      <c r="B269" t="str">
        <f>精英副本!Y325</f>
        <v>技巧试炼（70）</v>
      </c>
      <c r="C269">
        <f>精英副本!C325</f>
        <v>0</v>
      </c>
      <c r="D269">
        <f>精英副本!D325</f>
        <v>0</v>
      </c>
      <c r="E269" t="str">
        <f>[1]map.xml!$E269</f>
        <v>2070051_1</v>
      </c>
      <c r="F269" t="str">
        <f>[1]map.xml!F269</f>
        <v>1_10000,2_0,3_0</v>
      </c>
      <c r="G269" t="str">
        <f>[1]map.xml!G269</f>
        <v>40000_50750085_1_468,40000_50703065_1_1240,4000470_0_1_7400,4000470_0_1_7400,4000470_0_1_7400,30000_90003_1_10000,30000_90004_1_5000</v>
      </c>
      <c r="H269">
        <f>[1]map.xml!H269</f>
        <v>0</v>
      </c>
      <c r="I269" t="str">
        <f>[1]map.xml!I269</f>
        <v>30000_90005_1_10000,4000470_0_1_7400,4000470_0_1_7400,4000470_0_1_7400</v>
      </c>
      <c r="J269">
        <f>[1]map.xml!J269</f>
        <v>0</v>
      </c>
      <c r="K269">
        <f>精英副本!K325</f>
        <v>100</v>
      </c>
      <c r="L269" t="str">
        <f>精英副本!L325</f>
        <v>map/map_001.png</v>
      </c>
      <c r="M269" t="str">
        <f>精英副本!M325</f>
        <v>1-3</v>
      </c>
      <c r="N269">
        <f>精英副本!N325</f>
        <v>920</v>
      </c>
      <c r="O269">
        <f>精英副本!O325</f>
        <v>120</v>
      </c>
      <c r="P269">
        <f>精英副本!P325</f>
        <v>10</v>
      </c>
      <c r="Q269">
        <f>精英副本!Q325</f>
        <v>10</v>
      </c>
      <c r="R269">
        <f>精英副本!R325</f>
        <v>0</v>
      </c>
      <c r="S269">
        <f>精英副本!S325</f>
        <v>2</v>
      </c>
      <c r="T269">
        <f>精英副本!T325</f>
        <v>66</v>
      </c>
      <c r="U269">
        <f>精英副本客户端!F213</f>
        <v>207004</v>
      </c>
    </row>
    <row r="270" spans="1:21">
      <c r="A270">
        <f>精英副本!A326</f>
        <v>207006</v>
      </c>
      <c r="B270" t="str">
        <f>精英副本!Y326</f>
        <v>技巧试炼（70）</v>
      </c>
      <c r="C270">
        <f>精英副本!C326</f>
        <v>0</v>
      </c>
      <c r="D270">
        <f>精英副本!D326</f>
        <v>0</v>
      </c>
      <c r="E270" t="str">
        <f>[1]map.xml!$E270</f>
        <v>2070061_1</v>
      </c>
      <c r="F270" t="str">
        <f>[1]map.xml!F270</f>
        <v>1_10000,2_0,3_0</v>
      </c>
      <c r="G270" t="str">
        <f>[1]map.xml!G270</f>
        <v>40000_50750105_1_461,40000_50702065_1_1230,4000470_0_1_7425,4000470_0_1_7425,4000470_0_1_7425,30000_90003_1_10000,30000_90004_1_6250</v>
      </c>
      <c r="H270">
        <f>[1]map.xml!H270</f>
        <v>0</v>
      </c>
      <c r="I270" t="str">
        <f>[1]map.xml!I270</f>
        <v>30000_90005_1_10000,4000470_0_1_7425,4000470_0_1_7425,4000470_0_1_7425</v>
      </c>
      <c r="J270">
        <f>[1]map.xml!J270</f>
        <v>0</v>
      </c>
      <c r="K270">
        <f>精英副本!K326</f>
        <v>100</v>
      </c>
      <c r="L270" t="str">
        <f>精英副本!L326</f>
        <v>map/map_001.png</v>
      </c>
      <c r="M270" t="str">
        <f>精英副本!M326</f>
        <v>1-3</v>
      </c>
      <c r="N270">
        <f>精英副本!N326</f>
        <v>920</v>
      </c>
      <c r="O270">
        <f>精英副本!O326</f>
        <v>120</v>
      </c>
      <c r="P270">
        <f>精英副本!P326</f>
        <v>10</v>
      </c>
      <c r="Q270">
        <f>精英副本!Q326</f>
        <v>10</v>
      </c>
      <c r="R270">
        <f>精英副本!R326</f>
        <v>0</v>
      </c>
      <c r="S270">
        <f>精英副本!S326</f>
        <v>2</v>
      </c>
      <c r="T270">
        <f>精英副本!T326</f>
        <v>66</v>
      </c>
      <c r="U270">
        <f>精英副本客户端!F214</f>
        <v>207005</v>
      </c>
    </row>
    <row r="271" spans="1:21">
      <c r="A271">
        <f>精英副本!A327</f>
        <v>207007</v>
      </c>
      <c r="B271" t="str">
        <f>精英副本!Y327</f>
        <v>技巧试炼（70）</v>
      </c>
      <c r="C271">
        <f>精英副本!C327</f>
        <v>0</v>
      </c>
      <c r="D271">
        <f>精英副本!D327</f>
        <v>0</v>
      </c>
      <c r="E271" t="str">
        <f>[1]map.xml!$E271</f>
        <v>2070071_1</v>
      </c>
      <c r="F271" t="str">
        <f>[1]map.xml!F271</f>
        <v>1_10000,2_0,3_0</v>
      </c>
      <c r="G271" t="str">
        <f>[1]map.xml!G271</f>
        <v>40000_50750015_1_454,40000_50700035_1_1220,4000470_0_1_7450,4000470_0_1_7450,4000470_0_1_7450,30000_90003_1_10000,30000_90004_1_6250</v>
      </c>
      <c r="H271">
        <f>[1]map.xml!H271</f>
        <v>0</v>
      </c>
      <c r="I271" t="str">
        <f>[1]map.xml!I271</f>
        <v>30000_90005_1_10000,4000470_0_1_7450,4000470_0_1_7450,4000470_0_1_7450</v>
      </c>
      <c r="J271">
        <f>[1]map.xml!J271</f>
        <v>0</v>
      </c>
      <c r="K271">
        <f>精英副本!K327</f>
        <v>100</v>
      </c>
      <c r="L271" t="str">
        <f>精英副本!L327</f>
        <v>map/map_001.png</v>
      </c>
      <c r="M271" t="str">
        <f>精英副本!M327</f>
        <v>1-3</v>
      </c>
      <c r="N271">
        <f>精英副本!N327</f>
        <v>920</v>
      </c>
      <c r="O271">
        <f>精英副本!O327</f>
        <v>120</v>
      </c>
      <c r="P271">
        <f>精英副本!P327</f>
        <v>10</v>
      </c>
      <c r="Q271">
        <f>精英副本!Q327</f>
        <v>10</v>
      </c>
      <c r="R271">
        <f>精英副本!R327</f>
        <v>0</v>
      </c>
      <c r="S271">
        <f>精英副本!S327</f>
        <v>2</v>
      </c>
      <c r="T271">
        <f>精英副本!T327</f>
        <v>66</v>
      </c>
      <c r="U271">
        <f>精英副本客户端!F215</f>
        <v>207006</v>
      </c>
    </row>
    <row r="272" spans="1:21">
      <c r="A272">
        <f>精英副本!A328</f>
        <v>207008</v>
      </c>
      <c r="B272" t="str">
        <f>精英副本!Y328</f>
        <v>技巧试炼（70）</v>
      </c>
      <c r="C272">
        <f>精英副本!C328</f>
        <v>0</v>
      </c>
      <c r="D272">
        <f>精英副本!D328</f>
        <v>0</v>
      </c>
      <c r="E272" t="str">
        <f>[1]map.xml!$E272</f>
        <v>2070081_1</v>
      </c>
      <c r="F272" t="str">
        <f>[1]map.xml!F272</f>
        <v>1_10000,2_0,3_0</v>
      </c>
      <c r="G272" t="str">
        <f>[1]map.xml!G272</f>
        <v>40000_50750035_1_447,40000_50703055_1_1210,4000470_0_1_7475,4000470_0_1_7475,4000470_0_1_7475,30000_90003_1_10000,30000_90004_1_6250</v>
      </c>
      <c r="H272">
        <f>[1]map.xml!H272</f>
        <v>0</v>
      </c>
      <c r="I272" t="str">
        <f>[1]map.xml!I272</f>
        <v>30000_90005_1_10000,4000470_0_1_7475,4000470_0_1_7475,4000470_0_1_7475</v>
      </c>
      <c r="J272">
        <f>[1]map.xml!J272</f>
        <v>0</v>
      </c>
      <c r="K272">
        <f>精英副本!K328</f>
        <v>100</v>
      </c>
      <c r="L272" t="str">
        <f>精英副本!L328</f>
        <v>map/map_001.png</v>
      </c>
      <c r="M272" t="str">
        <f>精英副本!M328</f>
        <v>1-3</v>
      </c>
      <c r="N272">
        <f>精英副本!N328</f>
        <v>920</v>
      </c>
      <c r="O272">
        <f>精英副本!O328</f>
        <v>120</v>
      </c>
      <c r="P272">
        <f>精英副本!P328</f>
        <v>10</v>
      </c>
      <c r="Q272">
        <f>精英副本!Q328</f>
        <v>10</v>
      </c>
      <c r="R272">
        <f>精英副本!R328</f>
        <v>0</v>
      </c>
      <c r="S272">
        <f>精英副本!S328</f>
        <v>2</v>
      </c>
      <c r="T272">
        <f>精英副本!T328</f>
        <v>66</v>
      </c>
      <c r="U272">
        <f>精英副本客户端!F216</f>
        <v>207007</v>
      </c>
    </row>
    <row r="273" spans="1:21">
      <c r="A273">
        <f>精英副本!A329</f>
        <v>207009</v>
      </c>
      <c r="B273" t="str">
        <f>精英副本!Y329</f>
        <v>技巧试炼（70）</v>
      </c>
      <c r="C273">
        <f>精英副本!C329</f>
        <v>0</v>
      </c>
      <c r="D273">
        <f>精英副本!D329</f>
        <v>0</v>
      </c>
      <c r="E273" t="str">
        <f>[1]map.xml!$E273</f>
        <v>2070091_1</v>
      </c>
      <c r="F273" t="str">
        <f>[1]map.xml!F273</f>
        <v>1_10000,2_0,3_0</v>
      </c>
      <c r="G273" t="str">
        <f>[1]map.xml!G273</f>
        <v>40000_50752056_1_440,40000_50701055_1_1200,4000470_0_1_7500,4000470_0_1_7500,4000470_0_1_7500,30000_90003_1_10000,30000_90004_1_7500</v>
      </c>
      <c r="H273">
        <f>[1]map.xml!H273</f>
        <v>0</v>
      </c>
      <c r="I273" t="str">
        <f>[1]map.xml!I273</f>
        <v>30000_90005_1_10000,4000470_0_1_7500,4000470_0_1_7500,4000470_0_1_7500</v>
      </c>
      <c r="J273">
        <f>[1]map.xml!J273</f>
        <v>0</v>
      </c>
      <c r="K273">
        <f>精英副本!K329</f>
        <v>100</v>
      </c>
      <c r="L273" t="str">
        <f>精英副本!L329</f>
        <v>map/map_001.png</v>
      </c>
      <c r="M273" t="str">
        <f>精英副本!M329</f>
        <v>1-3</v>
      </c>
      <c r="N273">
        <f>精英副本!N329</f>
        <v>920</v>
      </c>
      <c r="O273">
        <f>精英副本!O329</f>
        <v>120</v>
      </c>
      <c r="P273">
        <f>精英副本!P329</f>
        <v>10</v>
      </c>
      <c r="Q273">
        <f>精英副本!Q329</f>
        <v>10</v>
      </c>
      <c r="R273">
        <f>精英副本!R329</f>
        <v>0</v>
      </c>
      <c r="S273">
        <f>精英副本!S329</f>
        <v>2</v>
      </c>
      <c r="T273">
        <f>精英副本!T329</f>
        <v>66</v>
      </c>
      <c r="U273">
        <f>精英副本客户端!F217</f>
        <v>207008</v>
      </c>
    </row>
    <row r="274" spans="1:21">
      <c r="A274">
        <f>精英副本!A330</f>
        <v>207501</v>
      </c>
      <c r="B274" t="str">
        <f>精英副本!Y330</f>
        <v>技巧试炼（75）</v>
      </c>
      <c r="C274">
        <f>精英副本!C330</f>
        <v>0</v>
      </c>
      <c r="D274">
        <f>精英副本!D330</f>
        <v>0</v>
      </c>
      <c r="E274" t="str">
        <f>[1]map.xml!$E274</f>
        <v>2075011_1</v>
      </c>
      <c r="F274" t="str">
        <f>[1]map.xml!F274</f>
        <v>1_10000,2_0,3_0</v>
      </c>
      <c r="G274" t="str">
        <f>[1]map.xml!G274</f>
        <v>40000_50800105_1_433,40000_50752055_1_1190,4004074_0_1_7525,4004074_0_1_7525,4004074_0_1_7525,30000_90003_1_10000,30000_90004_1_5000</v>
      </c>
      <c r="H274">
        <f>[1]map.xml!H274</f>
        <v>0</v>
      </c>
      <c r="I274" t="str">
        <f>[1]map.xml!I274</f>
        <v>30000_90005_1_10000,4004074_0_1_7525,4004074_0_1_7525,4004074_0_1_7525</v>
      </c>
      <c r="J274">
        <f>[1]map.xml!J274</f>
        <v>0</v>
      </c>
      <c r="K274">
        <f>精英副本!K330</f>
        <v>100</v>
      </c>
      <c r="L274" t="str">
        <f>精英副本!L330</f>
        <v>map/map_001.png</v>
      </c>
      <c r="M274" t="str">
        <f>精英副本!M330</f>
        <v>1-3</v>
      </c>
      <c r="N274">
        <f>精英副本!N330</f>
        <v>920</v>
      </c>
      <c r="O274">
        <f>精英副本!O330</f>
        <v>120</v>
      </c>
      <c r="P274">
        <f>精英副本!P330</f>
        <v>10</v>
      </c>
      <c r="Q274">
        <f>精英副本!Q330</f>
        <v>10</v>
      </c>
      <c r="R274">
        <f>精英副本!R330</f>
        <v>0</v>
      </c>
      <c r="S274">
        <f>精英副本!S330</f>
        <v>2</v>
      </c>
      <c r="T274">
        <f>精英副本!T330</f>
        <v>71</v>
      </c>
      <c r="U274">
        <f>精英副本客户端!F218</f>
        <v>0</v>
      </c>
    </row>
    <row r="275" spans="1:21">
      <c r="A275">
        <f>精英副本!A331</f>
        <v>207502</v>
      </c>
      <c r="B275" t="str">
        <f>精英副本!Y331</f>
        <v>技巧试炼（75）</v>
      </c>
      <c r="C275">
        <f>精英副本!C331</f>
        <v>0</v>
      </c>
      <c r="D275">
        <f>精英副本!D331</f>
        <v>0</v>
      </c>
      <c r="E275" t="str">
        <f>[1]map.xml!$E275</f>
        <v>2075021_1</v>
      </c>
      <c r="F275" t="str">
        <f>[1]map.xml!F275</f>
        <v>1_10000,2_0,3_0</v>
      </c>
      <c r="G275" t="str">
        <f>[1]map.xml!G275</f>
        <v>40000_50800085_1_426,40000_50802066_1_1180,4004074_0_1_7550,4004074_0_1_7550,4004074_0_1_7550,30000_90003_1_10000,30000_90004_1_5000</v>
      </c>
      <c r="H275">
        <f>[1]map.xml!H275</f>
        <v>0</v>
      </c>
      <c r="I275" t="str">
        <f>[1]map.xml!I275</f>
        <v>30000_90005_1_10000,4004074_0_1_7550,4004074_0_1_7550,4004074_0_1_7550</v>
      </c>
      <c r="J275">
        <f>[1]map.xml!J275</f>
        <v>0</v>
      </c>
      <c r="K275">
        <f>精英副本!K331</f>
        <v>100</v>
      </c>
      <c r="L275" t="str">
        <f>精英副本!L331</f>
        <v>map/map_001.png</v>
      </c>
      <c r="M275" t="str">
        <f>精英副本!M331</f>
        <v>1-3</v>
      </c>
      <c r="N275">
        <f>精英副本!N331</f>
        <v>920</v>
      </c>
      <c r="O275">
        <f>精英副本!O331</f>
        <v>120</v>
      </c>
      <c r="P275">
        <f>精英副本!P331</f>
        <v>10</v>
      </c>
      <c r="Q275">
        <f>精英副本!Q331</f>
        <v>10</v>
      </c>
      <c r="R275">
        <f>精英副本!R331</f>
        <v>0</v>
      </c>
      <c r="S275">
        <f>精英副本!S331</f>
        <v>2</v>
      </c>
      <c r="T275">
        <f>精英副本!T331</f>
        <v>71</v>
      </c>
      <c r="U275">
        <f>精英副本客户端!F219</f>
        <v>207501</v>
      </c>
    </row>
    <row r="276" spans="1:21">
      <c r="A276">
        <f>精英副本!A332</f>
        <v>207503</v>
      </c>
      <c r="B276" t="str">
        <f>精英副本!Y332</f>
        <v>技巧试炼（75）</v>
      </c>
      <c r="C276">
        <f>精英副本!C332</f>
        <v>0</v>
      </c>
      <c r="D276">
        <f>精英副本!D332</f>
        <v>0</v>
      </c>
      <c r="E276" t="str">
        <f>[1]map.xml!$E276</f>
        <v>2075031_1</v>
      </c>
      <c r="F276" t="str">
        <f>[1]map.xml!F276</f>
        <v>1_10000,2_0,3_0</v>
      </c>
      <c r="G276" t="str">
        <f>[1]map.xml!G276</f>
        <v>40000_50800095_1_419,40000_50751065_1_1170,4004074_0_1_7575,4004074_0_1_7575,4004074_0_1_7575,30000_90003_1_10000,30000_90004_1_6250</v>
      </c>
      <c r="H276">
        <f>[1]map.xml!H276</f>
        <v>0</v>
      </c>
      <c r="I276" t="str">
        <f>[1]map.xml!I276</f>
        <v>30000_90005_1_10000,4004074_0_1_7575,4004074_0_1_7575,4004074_0_1_7575</v>
      </c>
      <c r="J276">
        <f>[1]map.xml!J276</f>
        <v>0</v>
      </c>
      <c r="K276">
        <f>精英副本!K332</f>
        <v>100</v>
      </c>
      <c r="L276" t="str">
        <f>精英副本!L332</f>
        <v>map/map_001.png</v>
      </c>
      <c r="M276" t="str">
        <f>精英副本!M332</f>
        <v>1-3</v>
      </c>
      <c r="N276">
        <f>精英副本!N332</f>
        <v>920</v>
      </c>
      <c r="O276">
        <f>精英副本!O332</f>
        <v>120</v>
      </c>
      <c r="P276">
        <f>精英副本!P332</f>
        <v>10</v>
      </c>
      <c r="Q276">
        <f>精英副本!Q332</f>
        <v>10</v>
      </c>
      <c r="R276">
        <f>精英副本!R332</f>
        <v>0</v>
      </c>
      <c r="S276">
        <f>精英副本!S332</f>
        <v>2</v>
      </c>
      <c r="T276">
        <f>精英副本!T332</f>
        <v>71</v>
      </c>
      <c r="U276">
        <f>精英副本客户端!F220</f>
        <v>207502</v>
      </c>
    </row>
    <row r="277" spans="1:21">
      <c r="A277">
        <f>精英副本!A333</f>
        <v>207504</v>
      </c>
      <c r="B277" t="str">
        <f>精英副本!Y333</f>
        <v>技巧试炼（75）</v>
      </c>
      <c r="C277">
        <f>精英副本!C333</f>
        <v>0</v>
      </c>
      <c r="D277">
        <f>精英副本!D333</f>
        <v>0</v>
      </c>
      <c r="E277" t="str">
        <f>[1]map.xml!$E277</f>
        <v>2075041_1,2075042_1,2075043_1</v>
      </c>
      <c r="F277" t="str">
        <f>[1]map.xml!F277</f>
        <v>1_0,2_0,3_10000</v>
      </c>
      <c r="G277" t="str">
        <f>[1]map.xml!G277</f>
        <v>40000_50800075_1_412,40000_50750035_1_1160,4004074_0_1_7600,4004074_0_1_7600,4004074_0_1_7600,30000_90003_1_10000,30000_90004_1_6250</v>
      </c>
      <c r="H277">
        <f>[1]map.xml!H277</f>
        <v>0</v>
      </c>
      <c r="I277" t="str">
        <f>[1]map.xml!I277</f>
        <v>30000_90005_1_10000,4004074_0_1_7600,4004074_0_1_7600,4004074_0_1_7600</v>
      </c>
      <c r="J277">
        <f>[1]map.xml!J277</f>
        <v>0</v>
      </c>
      <c r="K277">
        <f>精英副本!K333</f>
        <v>100</v>
      </c>
      <c r="L277" t="str">
        <f>精英副本!L333</f>
        <v>map/map_001.png</v>
      </c>
      <c r="M277" t="str">
        <f>精英副本!M333</f>
        <v>1-3</v>
      </c>
      <c r="N277">
        <f>精英副本!N333</f>
        <v>920</v>
      </c>
      <c r="O277">
        <f>精英副本!O333</f>
        <v>120</v>
      </c>
      <c r="P277">
        <f>精英副本!P333</f>
        <v>10</v>
      </c>
      <c r="Q277">
        <f>精英副本!Q333</f>
        <v>10</v>
      </c>
      <c r="R277">
        <f>精英副本!R333</f>
        <v>0</v>
      </c>
      <c r="S277">
        <f>精英副本!S333</f>
        <v>2</v>
      </c>
      <c r="T277">
        <f>精英副本!T333</f>
        <v>71</v>
      </c>
      <c r="U277">
        <f>精英副本客户端!F221</f>
        <v>207503</v>
      </c>
    </row>
    <row r="278" spans="1:21">
      <c r="A278">
        <f>精英副本!A334</f>
        <v>207505</v>
      </c>
      <c r="B278" t="str">
        <f>精英副本!Y334</f>
        <v>技巧试炼（75）</v>
      </c>
      <c r="C278">
        <f>精英副本!C334</f>
        <v>0</v>
      </c>
      <c r="D278">
        <f>精英副本!D334</f>
        <v>0</v>
      </c>
      <c r="E278" t="str">
        <f>[1]map.xml!$E278</f>
        <v>2075051_1</v>
      </c>
      <c r="F278" t="str">
        <f>[1]map.xml!F278</f>
        <v>1_10000,2_0,3_0</v>
      </c>
      <c r="G278" t="str">
        <f>[1]map.xml!G278</f>
        <v>40000_50800025_1_405,40000_50753065_1_1150,4004074_0_1_7625,4004074_0_1_7625,4004074_0_1_7625,30000_90003_1_10000,30000_90004_1_6250</v>
      </c>
      <c r="H278">
        <f>[1]map.xml!H278</f>
        <v>0</v>
      </c>
      <c r="I278" t="str">
        <f>[1]map.xml!I278</f>
        <v>30000_90005_1_10000,4004074_0_1_7625,4004074_0_1_7625,4004074_0_1_7625</v>
      </c>
      <c r="J278">
        <f>[1]map.xml!J278</f>
        <v>0</v>
      </c>
      <c r="K278">
        <f>精英副本!K334</f>
        <v>100</v>
      </c>
      <c r="L278" t="str">
        <f>精英副本!L334</f>
        <v>map/map_001.png</v>
      </c>
      <c r="M278" t="str">
        <f>精英副本!M334</f>
        <v>1-3</v>
      </c>
      <c r="N278">
        <f>精英副本!N334</f>
        <v>920</v>
      </c>
      <c r="O278">
        <f>精英副本!O334</f>
        <v>120</v>
      </c>
      <c r="P278">
        <f>精英副本!P334</f>
        <v>10</v>
      </c>
      <c r="Q278">
        <f>精英副本!Q334</f>
        <v>10</v>
      </c>
      <c r="R278">
        <f>精英副本!R334</f>
        <v>0</v>
      </c>
      <c r="S278">
        <f>精英副本!S334</f>
        <v>2</v>
      </c>
      <c r="T278">
        <f>精英副本!T334</f>
        <v>71</v>
      </c>
      <c r="U278">
        <f>精英副本客户端!F222</f>
        <v>207504</v>
      </c>
    </row>
    <row r="279" spans="1:21">
      <c r="A279">
        <f>精英副本!A335</f>
        <v>207506</v>
      </c>
      <c r="B279" t="str">
        <f>精英副本!Y335</f>
        <v>技巧试炼（75）</v>
      </c>
      <c r="C279">
        <f>精英副本!C335</f>
        <v>0</v>
      </c>
      <c r="D279">
        <f>精英副本!D335</f>
        <v>0</v>
      </c>
      <c r="E279" t="str">
        <f>[1]map.xml!$E279</f>
        <v>2075061_1</v>
      </c>
      <c r="F279" t="str">
        <f>[1]map.xml!F279</f>
        <v>1_10000,2_0,3_0</v>
      </c>
      <c r="G279" t="str">
        <f>[1]map.xml!G279</f>
        <v>40000_50800045_1_398,40000_50752065_1_1140,4004074_0_1_7650,4004074_0_1_7650,4004074_0_1_7650,30000_90003_1_10000,30000_90004_1_7500</v>
      </c>
      <c r="H279">
        <f>[1]map.xml!H279</f>
        <v>0</v>
      </c>
      <c r="I279" t="str">
        <f>[1]map.xml!I279</f>
        <v>30000_90005_1_10000,4004074_0_1_7650,4004074_0_1_7650,4004074_0_1_7650</v>
      </c>
      <c r="J279">
        <f>[1]map.xml!J279</f>
        <v>0</v>
      </c>
      <c r="K279">
        <f>精英副本!K335</f>
        <v>100</v>
      </c>
      <c r="L279" t="str">
        <f>精英副本!L335</f>
        <v>map/map_001.png</v>
      </c>
      <c r="M279" t="str">
        <f>精英副本!M335</f>
        <v>1-3</v>
      </c>
      <c r="N279">
        <f>精英副本!N335</f>
        <v>920</v>
      </c>
      <c r="O279">
        <f>精英副本!O335</f>
        <v>120</v>
      </c>
      <c r="P279">
        <f>精英副本!P335</f>
        <v>10</v>
      </c>
      <c r="Q279">
        <f>精英副本!Q335</f>
        <v>10</v>
      </c>
      <c r="R279">
        <f>精英副本!R335</f>
        <v>0</v>
      </c>
      <c r="S279">
        <f>精英副本!S335</f>
        <v>2</v>
      </c>
      <c r="T279">
        <f>精英副本!T335</f>
        <v>71</v>
      </c>
      <c r="U279">
        <f>精英副本客户端!F223</f>
        <v>207505</v>
      </c>
    </row>
    <row r="280" spans="1:21">
      <c r="A280">
        <f>精英副本!A336</f>
        <v>207507</v>
      </c>
      <c r="B280" t="str">
        <f>精英副本!Y336</f>
        <v>技巧试炼（75）</v>
      </c>
      <c r="C280">
        <f>精英副本!C336</f>
        <v>0</v>
      </c>
      <c r="D280">
        <f>精英副本!D336</f>
        <v>0</v>
      </c>
      <c r="E280" t="str">
        <f>[1]map.xml!$E280</f>
        <v>2075071_1</v>
      </c>
      <c r="F280" t="str">
        <f>[1]map.xml!F280</f>
        <v>1_10000,2_0,3_0</v>
      </c>
      <c r="G280" t="str">
        <f>[1]map.xml!G280</f>
        <v>40000_50800035_1_391,40000_50753055_1_1130,4004074_0_1_7675,4004074_0_1_7675,4004074_0_1_7675,30000_90003_1_10000,30000_90004_1_7500</v>
      </c>
      <c r="H280">
        <f>[1]map.xml!H280</f>
        <v>0</v>
      </c>
      <c r="I280" t="str">
        <f>[1]map.xml!I280</f>
        <v>30000_90005_1_10000,4004074_0_1_7675,4004074_0_1_7675,4004074_0_1_7675</v>
      </c>
      <c r="J280">
        <f>[1]map.xml!J280</f>
        <v>0</v>
      </c>
      <c r="K280">
        <f>精英副本!K336</f>
        <v>100</v>
      </c>
      <c r="L280" t="str">
        <f>精英副本!L336</f>
        <v>map/map_001.png</v>
      </c>
      <c r="M280" t="str">
        <f>精英副本!M336</f>
        <v>1-3</v>
      </c>
      <c r="N280">
        <f>精英副本!N336</f>
        <v>920</v>
      </c>
      <c r="O280">
        <f>精英副本!O336</f>
        <v>120</v>
      </c>
      <c r="P280">
        <f>精英副本!P336</f>
        <v>10</v>
      </c>
      <c r="Q280">
        <f>精英副本!Q336</f>
        <v>10</v>
      </c>
      <c r="R280">
        <f>精英副本!R336</f>
        <v>0</v>
      </c>
      <c r="S280">
        <f>精英副本!S336</f>
        <v>2</v>
      </c>
      <c r="T280">
        <f>精英副本!T336</f>
        <v>71</v>
      </c>
      <c r="U280">
        <f>精英副本客户端!F224</f>
        <v>207506</v>
      </c>
    </row>
    <row r="281" spans="1:21">
      <c r="A281">
        <f>精英副本!A337</f>
        <v>207508</v>
      </c>
      <c r="B281" t="str">
        <f>精英副本!Y337</f>
        <v>技巧试炼（75）</v>
      </c>
      <c r="C281">
        <f>精英副本!C337</f>
        <v>0</v>
      </c>
      <c r="D281">
        <f>精英副本!D337</f>
        <v>0</v>
      </c>
      <c r="E281" t="str">
        <f>[1]map.xml!$E281</f>
        <v>2075081_1</v>
      </c>
      <c r="F281" t="str">
        <f>[1]map.xml!F281</f>
        <v>1_10000,2_0,3_0</v>
      </c>
      <c r="G281" t="str">
        <f>[1]map.xml!G281</f>
        <v>40000_50800015_1_384,40000_50751055_1_1120,4004074_0_1_7700,4004074_0_1_7700,4004074_0_1_7700,30000_90003_1_10000,30000_90004_1_7500</v>
      </c>
      <c r="H281">
        <f>[1]map.xml!H281</f>
        <v>0</v>
      </c>
      <c r="I281" t="str">
        <f>[1]map.xml!I281</f>
        <v>30000_90005_1_10000,4004074_0_1_7700,4004074_0_1_7700,4004074_0_1_7700</v>
      </c>
      <c r="J281">
        <f>[1]map.xml!J281</f>
        <v>0</v>
      </c>
      <c r="K281">
        <f>精英副本!K337</f>
        <v>100</v>
      </c>
      <c r="L281" t="str">
        <f>精英副本!L337</f>
        <v>map/map_001.png</v>
      </c>
      <c r="M281" t="str">
        <f>精英副本!M337</f>
        <v>1-3</v>
      </c>
      <c r="N281">
        <f>精英副本!N337</f>
        <v>920</v>
      </c>
      <c r="O281">
        <f>精英副本!O337</f>
        <v>120</v>
      </c>
      <c r="P281">
        <f>精英副本!P337</f>
        <v>10</v>
      </c>
      <c r="Q281">
        <f>精英副本!Q337</f>
        <v>10</v>
      </c>
      <c r="R281">
        <f>精英副本!R337</f>
        <v>0</v>
      </c>
      <c r="S281">
        <f>精英副本!S337</f>
        <v>2</v>
      </c>
      <c r="T281">
        <f>精英副本!T337</f>
        <v>71</v>
      </c>
      <c r="U281">
        <f>精英副本客户端!F225</f>
        <v>207507</v>
      </c>
    </row>
    <row r="282" spans="1:21">
      <c r="A282">
        <f>精英副本!A338</f>
        <v>207509</v>
      </c>
      <c r="B282" t="str">
        <f>精英副本!Y338</f>
        <v>技巧试炼（75）</v>
      </c>
      <c r="C282">
        <f>精英副本!C338</f>
        <v>0</v>
      </c>
      <c r="D282">
        <f>精英副本!D338</f>
        <v>0</v>
      </c>
      <c r="E282" t="str">
        <f>[1]map.xml!$E282</f>
        <v>2075091_1</v>
      </c>
      <c r="F282" t="str">
        <f>[1]map.xml!F282</f>
        <v>1_10000,2_0,3_0</v>
      </c>
      <c r="G282" t="str">
        <f>[1]map.xml!G282</f>
        <v>40000_50802056_1_377,40000_50750015_1_1110,4004074_0_1_7725,4004074_0_1_7725,4004074_0_1_7725,30000_90003_1_10000,30000_90004_1_8750</v>
      </c>
      <c r="H282">
        <f>[1]map.xml!H282</f>
        <v>0</v>
      </c>
      <c r="I282" t="str">
        <f>[1]map.xml!I282</f>
        <v>30000_90005_1_10000,4004074_0_1_7725,4004074_0_1_7725,4004074_0_1_7725</v>
      </c>
      <c r="J282">
        <f>[1]map.xml!J282</f>
        <v>0</v>
      </c>
      <c r="K282">
        <f>精英副本!K338</f>
        <v>100</v>
      </c>
      <c r="L282" t="str">
        <f>精英副本!L338</f>
        <v>map/map_001.png</v>
      </c>
      <c r="M282" t="str">
        <f>精英副本!M338</f>
        <v>1-3</v>
      </c>
      <c r="N282">
        <f>精英副本!N338</f>
        <v>920</v>
      </c>
      <c r="O282">
        <f>精英副本!O338</f>
        <v>120</v>
      </c>
      <c r="P282">
        <f>精英副本!P338</f>
        <v>10</v>
      </c>
      <c r="Q282">
        <f>精英副本!Q338</f>
        <v>10</v>
      </c>
      <c r="R282">
        <f>精英副本!R338</f>
        <v>0</v>
      </c>
      <c r="S282">
        <f>精英副本!S338</f>
        <v>2</v>
      </c>
      <c r="T282">
        <f>精英副本!T338</f>
        <v>71</v>
      </c>
      <c r="U282">
        <f>精英副本客户端!F226</f>
        <v>207508</v>
      </c>
    </row>
    <row r="283" spans="1:21">
      <c r="A283">
        <f>精英副本!A339</f>
        <v>208001</v>
      </c>
      <c r="B283" t="str">
        <f>精英副本!Y339</f>
        <v>技巧试炼（80）</v>
      </c>
      <c r="C283">
        <f>精英副本!C339</f>
        <v>0</v>
      </c>
      <c r="D283">
        <f>精英副本!D339</f>
        <v>0</v>
      </c>
      <c r="E283" t="str">
        <f>[1]map.xml!$E283</f>
        <v>2080011_1</v>
      </c>
      <c r="F283" t="str">
        <f>[1]map.xml!F283</f>
        <v>1_10000,2_0,3_0</v>
      </c>
      <c r="G283" t="str">
        <f>[1]map.xml!G283</f>
        <v>40000_50850105_1_370,40000_50802065_1_1100,4004078_0_1_7750,4004078_0_1_7750,4004078_0_1_7750,30000_90003_1_10000,30000_90004_1_6250</v>
      </c>
      <c r="H283">
        <f>[1]map.xml!H283</f>
        <v>0</v>
      </c>
      <c r="I283" t="str">
        <f>[1]map.xml!I283</f>
        <v>30000_90005_1_10000,4004078_0_1_7750,4004078_0_1_7750,4004078_0_1_7750</v>
      </c>
      <c r="J283">
        <f>[1]map.xml!J283</f>
        <v>0</v>
      </c>
      <c r="K283">
        <f>精英副本!K339</f>
        <v>100</v>
      </c>
      <c r="L283" t="str">
        <f>精英副本!L339</f>
        <v>map/map_001.png</v>
      </c>
      <c r="M283" t="str">
        <f>精英副本!M339</f>
        <v>1-3</v>
      </c>
      <c r="N283">
        <f>精英副本!N339</f>
        <v>920</v>
      </c>
      <c r="O283">
        <f>精英副本!O339</f>
        <v>120</v>
      </c>
      <c r="P283">
        <f>精英副本!P339</f>
        <v>10</v>
      </c>
      <c r="Q283">
        <f>精英副本!Q339</f>
        <v>10</v>
      </c>
      <c r="R283">
        <f>精英副本!R339</f>
        <v>0</v>
      </c>
      <c r="S283">
        <f>精英副本!S339</f>
        <v>2</v>
      </c>
      <c r="T283">
        <f>精英副本!T339</f>
        <v>76</v>
      </c>
      <c r="U283">
        <f>精英副本客户端!F227</f>
        <v>0</v>
      </c>
    </row>
    <row r="284" spans="1:21">
      <c r="A284">
        <f>精英副本!A340</f>
        <v>208002</v>
      </c>
      <c r="B284" t="str">
        <f>精英副本!Y340</f>
        <v>技巧试炼（80）</v>
      </c>
      <c r="C284">
        <f>精英副本!C340</f>
        <v>0</v>
      </c>
      <c r="D284">
        <f>精英副本!D340</f>
        <v>0</v>
      </c>
      <c r="E284" t="str">
        <f>[1]map.xml!$E284</f>
        <v>2080021_1</v>
      </c>
      <c r="F284" t="str">
        <f>[1]map.xml!F284</f>
        <v>1_10000,2_0,3_0</v>
      </c>
      <c r="G284" t="str">
        <f>[1]map.xml!G284</f>
        <v>40000_50850085_1_363,40000_50802055_1_1090,4004078_0_1_7775,4004078_0_1_7775,4004078_0_1_7775,30000_90003_1_10000,30000_90004_1_6250</v>
      </c>
      <c r="H284">
        <f>[1]map.xml!H284</f>
        <v>0</v>
      </c>
      <c r="I284" t="str">
        <f>[1]map.xml!I284</f>
        <v>30000_90005_1_10000,4004078_0_1_7775,4004078_0_1_7775,4004078_0_1_7775</v>
      </c>
      <c r="J284">
        <f>[1]map.xml!J284</f>
        <v>0</v>
      </c>
      <c r="K284">
        <f>精英副本!K340</f>
        <v>100</v>
      </c>
      <c r="L284" t="str">
        <f>精英副本!L340</f>
        <v>map/map_001.png</v>
      </c>
      <c r="M284" t="str">
        <f>精英副本!M340</f>
        <v>1-3</v>
      </c>
      <c r="N284">
        <f>精英副本!N340</f>
        <v>920</v>
      </c>
      <c r="O284">
        <f>精英副本!O340</f>
        <v>120</v>
      </c>
      <c r="P284">
        <f>精英副本!P340</f>
        <v>10</v>
      </c>
      <c r="Q284">
        <f>精英副本!Q340</f>
        <v>10</v>
      </c>
      <c r="R284">
        <f>精英副本!R340</f>
        <v>0</v>
      </c>
      <c r="S284">
        <f>精英副本!S340</f>
        <v>2</v>
      </c>
      <c r="T284">
        <f>精英副本!T340</f>
        <v>76</v>
      </c>
      <c r="U284">
        <f>精英副本客户端!F228</f>
        <v>208001</v>
      </c>
    </row>
    <row r="285" spans="1:21">
      <c r="A285">
        <f>精英副本!A341</f>
        <v>208003</v>
      </c>
      <c r="B285" t="str">
        <f>精英副本!Y341</f>
        <v>技巧试炼（80）</v>
      </c>
      <c r="C285">
        <f>精英副本!C341</f>
        <v>0</v>
      </c>
      <c r="D285">
        <f>精英副本!D341</f>
        <v>0</v>
      </c>
      <c r="E285" t="str">
        <f>[1]map.xml!$E285</f>
        <v>2080031_1</v>
      </c>
      <c r="F285" t="str">
        <f>[1]map.xml!F285</f>
        <v>1_10000,2_0,3_0</v>
      </c>
      <c r="G285" t="str">
        <f>[1]map.xml!G285</f>
        <v>40000_50850045_1_356,40000_50800015_1_1080,4004078_0_1_7800,4004078_0_1_7800,4004078_0_1_7800,30000_90003_1_10000,30000_90004_1_7500</v>
      </c>
      <c r="H285">
        <f>[1]map.xml!H285</f>
        <v>0</v>
      </c>
      <c r="I285" t="str">
        <f>[1]map.xml!I285</f>
        <v>30000_90005_1_10000,4004078_0_1_7800,4004078_0_1_7800,4004078_0_1_7800</v>
      </c>
      <c r="J285">
        <f>[1]map.xml!J285</f>
        <v>0</v>
      </c>
      <c r="K285">
        <f>精英副本!K341</f>
        <v>100</v>
      </c>
      <c r="L285" t="str">
        <f>精英副本!L341</f>
        <v>map/map_001.png</v>
      </c>
      <c r="M285" t="str">
        <f>精英副本!M341</f>
        <v>1-3</v>
      </c>
      <c r="N285">
        <f>精英副本!N341</f>
        <v>920</v>
      </c>
      <c r="O285">
        <f>精英副本!O341</f>
        <v>120</v>
      </c>
      <c r="P285">
        <f>精英副本!P341</f>
        <v>10</v>
      </c>
      <c r="Q285">
        <f>精英副本!Q341</f>
        <v>10</v>
      </c>
      <c r="R285">
        <f>精英副本!R341</f>
        <v>0</v>
      </c>
      <c r="S285">
        <f>精英副本!S341</f>
        <v>2</v>
      </c>
      <c r="T285">
        <f>精英副本!T341</f>
        <v>76</v>
      </c>
      <c r="U285">
        <f>精英副本客户端!F229</f>
        <v>208002</v>
      </c>
    </row>
    <row r="286" spans="1:21">
      <c r="A286">
        <f>精英副本!A342</f>
        <v>208004</v>
      </c>
      <c r="B286" t="str">
        <f>精英副本!Y342</f>
        <v>技巧试炼（80）</v>
      </c>
      <c r="C286">
        <f>精英副本!C342</f>
        <v>0</v>
      </c>
      <c r="D286">
        <f>精英副本!D342</f>
        <v>0</v>
      </c>
      <c r="E286" t="str">
        <f>[1]map.xml!$E286</f>
        <v>2080041_1,2080042_1,2080043_1</v>
      </c>
      <c r="F286" t="str">
        <f>[1]map.xml!F286</f>
        <v>1_0,2_0,3_10000</v>
      </c>
      <c r="G286" t="str">
        <f>[1]map.xml!G286</f>
        <v>40000_50850025_1_349,40000_50801055_1_1070,4004078_0_1_7825,4004078_0_1_7825,4004078_0_1_7825,30000_90003_1_10000,30000_90004_1_7500</v>
      </c>
      <c r="H286">
        <f>[1]map.xml!H286</f>
        <v>0</v>
      </c>
      <c r="I286" t="str">
        <f>[1]map.xml!I286</f>
        <v>30000_90005_1_10000,4004078_0_1_7825,4004078_0_1_7825,4004078_0_1_7825</v>
      </c>
      <c r="J286">
        <f>[1]map.xml!J286</f>
        <v>0</v>
      </c>
      <c r="K286">
        <f>精英副本!K342</f>
        <v>100</v>
      </c>
      <c r="L286" t="str">
        <f>精英副本!L342</f>
        <v>map/map_001.png</v>
      </c>
      <c r="M286" t="str">
        <f>精英副本!M342</f>
        <v>1-3</v>
      </c>
      <c r="N286">
        <f>精英副本!N342</f>
        <v>920</v>
      </c>
      <c r="O286">
        <f>精英副本!O342</f>
        <v>120</v>
      </c>
      <c r="P286">
        <f>精英副本!P342</f>
        <v>10</v>
      </c>
      <c r="Q286">
        <f>精英副本!Q342</f>
        <v>10</v>
      </c>
      <c r="R286">
        <f>精英副本!R342</f>
        <v>0</v>
      </c>
      <c r="S286">
        <f>精英副本!S342</f>
        <v>2</v>
      </c>
      <c r="T286">
        <f>精英副本!T342</f>
        <v>76</v>
      </c>
      <c r="U286">
        <f>精英副本客户端!F230</f>
        <v>208003</v>
      </c>
    </row>
    <row r="287" spans="1:21">
      <c r="A287">
        <f>精英副本!A343</f>
        <v>208005</v>
      </c>
      <c r="B287" t="str">
        <f>精英副本!Y343</f>
        <v>技巧试炼（80）</v>
      </c>
      <c r="C287">
        <f>精英副本!C343</f>
        <v>0</v>
      </c>
      <c r="D287">
        <f>精英副本!D343</f>
        <v>0</v>
      </c>
      <c r="E287" t="str">
        <f>[1]map.xml!$E287</f>
        <v>2080051_1</v>
      </c>
      <c r="F287" t="str">
        <f>[1]map.xml!F287</f>
        <v>1_10000,2_0,3_0</v>
      </c>
      <c r="G287" t="str">
        <f>[1]map.xml!G287</f>
        <v>40000_50850075_1_342,40000_50801065_1_1060,4004078_0_1_7850,4004078_0_1_7850,4004078_0_1_7850,30000_90003_1_10000,30000_90004_1_7500</v>
      </c>
      <c r="H287">
        <f>[1]map.xml!H287</f>
        <v>0</v>
      </c>
      <c r="I287" t="str">
        <f>[1]map.xml!I287</f>
        <v>30000_90005_1_10000,4004078_0_1_7850,4004078_0_1_7850,4004078_0_1_7850</v>
      </c>
      <c r="J287">
        <f>[1]map.xml!J287</f>
        <v>0</v>
      </c>
      <c r="K287">
        <f>精英副本!K343</f>
        <v>100</v>
      </c>
      <c r="L287" t="str">
        <f>精英副本!L343</f>
        <v>map/map_001.png</v>
      </c>
      <c r="M287" t="str">
        <f>精英副本!M343</f>
        <v>1-3</v>
      </c>
      <c r="N287">
        <f>精英副本!N343</f>
        <v>920</v>
      </c>
      <c r="O287">
        <f>精英副本!O343</f>
        <v>120</v>
      </c>
      <c r="P287">
        <f>精英副本!P343</f>
        <v>10</v>
      </c>
      <c r="Q287">
        <f>精英副本!Q343</f>
        <v>10</v>
      </c>
      <c r="R287">
        <f>精英副本!R343</f>
        <v>0</v>
      </c>
      <c r="S287">
        <f>精英副本!S343</f>
        <v>2</v>
      </c>
      <c r="T287">
        <f>精英副本!T343</f>
        <v>76</v>
      </c>
      <c r="U287">
        <f>精英副本客户端!F231</f>
        <v>208004</v>
      </c>
    </row>
    <row r="288" spans="1:21">
      <c r="A288">
        <f>精英副本!A344</f>
        <v>208006</v>
      </c>
      <c r="B288" t="str">
        <f>精英副本!Y344</f>
        <v>技巧试炼（80）</v>
      </c>
      <c r="C288">
        <f>精英副本!C344</f>
        <v>0</v>
      </c>
      <c r="D288">
        <f>精英副本!D344</f>
        <v>0</v>
      </c>
      <c r="E288" t="str">
        <f>[1]map.xml!$E288</f>
        <v>2080061_1</v>
      </c>
      <c r="F288" t="str">
        <f>[1]map.xml!F288</f>
        <v>1_10000,2_0,3_0</v>
      </c>
      <c r="G288" t="str">
        <f>[1]map.xml!G288</f>
        <v>40000_50850095_1_335,40000_50803055_1_1050,4004078_0_1_7875,4004078_0_1_7875,4004078_0_1_7875,30000_90003_1_10000,30000_90004_1_8750</v>
      </c>
      <c r="H288">
        <f>[1]map.xml!H288</f>
        <v>0</v>
      </c>
      <c r="I288" t="str">
        <f>[1]map.xml!I288</f>
        <v>30000_90005_1_10000,4004078_0_1_7875,4004078_0_1_7875,4004078_0_1_7875</v>
      </c>
      <c r="J288">
        <f>[1]map.xml!J288</f>
        <v>0</v>
      </c>
      <c r="K288">
        <f>精英副本!K344</f>
        <v>100</v>
      </c>
      <c r="L288" t="str">
        <f>精英副本!L344</f>
        <v>map/map_001.png</v>
      </c>
      <c r="M288" t="str">
        <f>精英副本!M344</f>
        <v>1-3</v>
      </c>
      <c r="N288">
        <f>精英副本!N344</f>
        <v>920</v>
      </c>
      <c r="O288">
        <f>精英副本!O344</f>
        <v>120</v>
      </c>
      <c r="P288">
        <f>精英副本!P344</f>
        <v>10</v>
      </c>
      <c r="Q288">
        <f>精英副本!Q344</f>
        <v>10</v>
      </c>
      <c r="R288">
        <f>精英副本!R344</f>
        <v>0</v>
      </c>
      <c r="S288">
        <f>精英副本!S344</f>
        <v>2</v>
      </c>
      <c r="T288">
        <f>精英副本!T344</f>
        <v>76</v>
      </c>
      <c r="U288">
        <f>精英副本客户端!F232</f>
        <v>208005</v>
      </c>
    </row>
    <row r="289" spans="1:21">
      <c r="A289">
        <f>精英副本!A345</f>
        <v>208007</v>
      </c>
      <c r="B289" t="str">
        <f>精英副本!Y345</f>
        <v>技巧试炼（80）</v>
      </c>
      <c r="C289">
        <f>精英副本!C345</f>
        <v>0</v>
      </c>
      <c r="D289">
        <f>精英副本!D345</f>
        <v>0</v>
      </c>
      <c r="E289" t="str">
        <f>[1]map.xml!$E289</f>
        <v>2080071_1</v>
      </c>
      <c r="F289" t="str">
        <f>[1]map.xml!F289</f>
        <v>1_10000,2_0,3_0</v>
      </c>
      <c r="G289" t="str">
        <f>[1]map.xml!G289</f>
        <v>40000_50850015_1_328,40000_50803065_1_1040,4004078_0_1_7900,4004078_0_1_7900,4004078_0_1_7900,30000_90003_1_10000,30000_90004_1_8750</v>
      </c>
      <c r="H289">
        <f>[1]map.xml!H289</f>
        <v>0</v>
      </c>
      <c r="I289" t="str">
        <f>[1]map.xml!I289</f>
        <v>30000_90005_1_10000,4004078_0_1_7900,4004078_0_1_7900,4004078_0_1_7900</v>
      </c>
      <c r="J289">
        <f>[1]map.xml!J289</f>
        <v>0</v>
      </c>
      <c r="K289">
        <f>精英副本!K345</f>
        <v>100</v>
      </c>
      <c r="L289" t="str">
        <f>精英副本!L345</f>
        <v>map/map_001.png</v>
      </c>
      <c r="M289" t="str">
        <f>精英副本!M345</f>
        <v>1-3</v>
      </c>
      <c r="N289">
        <f>精英副本!N345</f>
        <v>920</v>
      </c>
      <c r="O289">
        <f>精英副本!O345</f>
        <v>120</v>
      </c>
      <c r="P289">
        <f>精英副本!P345</f>
        <v>10</v>
      </c>
      <c r="Q289">
        <f>精英副本!Q345</f>
        <v>10</v>
      </c>
      <c r="R289">
        <f>精英副本!R345</f>
        <v>0</v>
      </c>
      <c r="S289">
        <f>精英副本!S345</f>
        <v>2</v>
      </c>
      <c r="T289">
        <f>精英副本!T345</f>
        <v>76</v>
      </c>
      <c r="U289">
        <f>精英副本客户端!F233</f>
        <v>208006</v>
      </c>
    </row>
    <row r="290" spans="1:21">
      <c r="A290">
        <f>精英副本!A346</f>
        <v>208008</v>
      </c>
      <c r="B290" t="str">
        <f>精英副本!Y346</f>
        <v>技巧试炼（80）</v>
      </c>
      <c r="C290">
        <f>精英副本!C346</f>
        <v>0</v>
      </c>
      <c r="D290">
        <f>精英副本!D346</f>
        <v>0</v>
      </c>
      <c r="E290" t="str">
        <f>[1]map.xml!$E290</f>
        <v>2080081_1</v>
      </c>
      <c r="F290" t="str">
        <f>[1]map.xml!F290</f>
        <v>1_10000,2_0,3_0</v>
      </c>
      <c r="G290" t="str">
        <f>[1]map.xml!G290</f>
        <v>40000_50850035_1_321,40000_50800035_1_1030,4004078_0_1_7925,4004078_0_1_7925,4004078_0_1_7925,30000_90003_1_10000,30000_90004_1_8750</v>
      </c>
      <c r="H290">
        <f>[1]map.xml!H290</f>
        <v>0</v>
      </c>
      <c r="I290" t="str">
        <f>[1]map.xml!I290</f>
        <v>30000_90005_1_10000,4004078_0_1_7925,4004078_0_1_7925,4004078_0_1_7925</v>
      </c>
      <c r="J290">
        <f>[1]map.xml!J290</f>
        <v>0</v>
      </c>
      <c r="K290">
        <f>精英副本!K346</f>
        <v>100</v>
      </c>
      <c r="L290" t="str">
        <f>精英副本!L346</f>
        <v>map/map_001.png</v>
      </c>
      <c r="M290" t="str">
        <f>精英副本!M346</f>
        <v>1-3</v>
      </c>
      <c r="N290">
        <f>精英副本!N346</f>
        <v>920</v>
      </c>
      <c r="O290">
        <f>精英副本!O346</f>
        <v>120</v>
      </c>
      <c r="P290">
        <f>精英副本!P346</f>
        <v>10</v>
      </c>
      <c r="Q290">
        <f>精英副本!Q346</f>
        <v>10</v>
      </c>
      <c r="R290">
        <f>精英副本!R346</f>
        <v>0</v>
      </c>
      <c r="S290">
        <f>精英副本!S346</f>
        <v>2</v>
      </c>
      <c r="T290">
        <f>精英副本!T346</f>
        <v>76</v>
      </c>
      <c r="U290">
        <f>精英副本客户端!F234</f>
        <v>208007</v>
      </c>
    </row>
    <row r="291" spans="1:21">
      <c r="A291">
        <f>精英副本!A347</f>
        <v>208009</v>
      </c>
      <c r="B291" t="str">
        <f>精英副本!Y347</f>
        <v>技巧试炼（80）</v>
      </c>
      <c r="C291">
        <f>精英副本!C347</f>
        <v>0</v>
      </c>
      <c r="D291">
        <f>精英副本!D347</f>
        <v>0</v>
      </c>
      <c r="E291" t="str">
        <f>[1]map.xml!$E291</f>
        <v>2080091_1</v>
      </c>
      <c r="F291" t="str">
        <f>[1]map.xml!F291</f>
        <v>1_10000,2_0,3_0</v>
      </c>
      <c r="G291" t="str">
        <f>[1]map.xml!G291</f>
        <v>40000_50852056_1_314,40000_50852066_1_1020,4004078_0_1_7950,4004078_0_1_7950,4004078_0_1_7950,30000_90003_1_10000,30000_90004_1_10000</v>
      </c>
      <c r="H291">
        <f>[1]map.xml!H291</f>
        <v>0</v>
      </c>
      <c r="I291" t="str">
        <f>[1]map.xml!I291</f>
        <v>30000_90005_1_10000,4004078_0_1_7950,4004078_0_1_7950,4004078_0_1_7950</v>
      </c>
      <c r="J291">
        <f>[1]map.xml!J291</f>
        <v>0</v>
      </c>
      <c r="K291">
        <f>精英副本!K347</f>
        <v>100</v>
      </c>
      <c r="L291" t="str">
        <f>精英副本!L347</f>
        <v>map/map_001.png</v>
      </c>
      <c r="M291" t="str">
        <f>精英副本!M347</f>
        <v>1-3</v>
      </c>
      <c r="N291">
        <f>精英副本!N347</f>
        <v>920</v>
      </c>
      <c r="O291">
        <f>精英副本!O347</f>
        <v>120</v>
      </c>
      <c r="P291">
        <f>精英副本!P347</f>
        <v>10</v>
      </c>
      <c r="Q291">
        <f>精英副本!Q347</f>
        <v>10</v>
      </c>
      <c r="R291">
        <f>精英副本!R347</f>
        <v>0</v>
      </c>
      <c r="S291">
        <f>精英副本!S347</f>
        <v>2</v>
      </c>
      <c r="T291">
        <f>精英副本!T347</f>
        <v>76</v>
      </c>
      <c r="U291">
        <f>精英副本客户端!F235</f>
        <v>208008</v>
      </c>
    </row>
    <row r="292" spans="1:21">
      <c r="A292">
        <f>精英副本!A348</f>
        <v>208501</v>
      </c>
      <c r="B292" t="str">
        <f>精英副本!Y348</f>
        <v>沉着试炼（85）</v>
      </c>
      <c r="C292">
        <f>精英副本!C348</f>
        <v>0</v>
      </c>
      <c r="D292">
        <f>精英副本!D348</f>
        <v>0</v>
      </c>
      <c r="E292" t="str">
        <f>[1]map.xml!$E292</f>
        <v>2085011_1</v>
      </c>
      <c r="F292" t="str">
        <f>[1]map.xml!F292</f>
        <v>1_10000,2_0,3_0</v>
      </c>
      <c r="G292" t="str">
        <f>[1]map.xml!G292</f>
        <v>40000_50900105_1_307,40000_50852065_1_1010,4004082_0_1_7975,4004082_0_1_7975,4004082_0_1_7975,30000_90004_1_10000,30000_90005_1_1400</v>
      </c>
      <c r="H292">
        <f>[1]map.xml!H292</f>
        <v>0</v>
      </c>
      <c r="I292" t="str">
        <f>[1]map.xml!I292</f>
        <v>30000_90006_1_10000,4004082_0_1_7975,4004082_0_1_7975,4004082_0_1_7975</v>
      </c>
      <c r="J292">
        <f>[1]map.xml!J292</f>
        <v>0</v>
      </c>
      <c r="K292">
        <f>精英副本!K348</f>
        <v>100</v>
      </c>
      <c r="L292" t="str">
        <f>精英副本!L348</f>
        <v>map/map_001.png</v>
      </c>
      <c r="M292" t="str">
        <f>精英副本!M348</f>
        <v>1-3</v>
      </c>
      <c r="N292">
        <f>精英副本!N348</f>
        <v>920</v>
      </c>
      <c r="O292">
        <f>精英副本!O348</f>
        <v>120</v>
      </c>
      <c r="P292">
        <f>精英副本!P348</f>
        <v>10</v>
      </c>
      <c r="Q292">
        <f>精英副本!Q348</f>
        <v>10</v>
      </c>
      <c r="R292">
        <f>精英副本!R348</f>
        <v>0</v>
      </c>
      <c r="S292">
        <f>精英副本!S348</f>
        <v>2</v>
      </c>
      <c r="T292">
        <f>精英副本!T348</f>
        <v>81</v>
      </c>
      <c r="U292">
        <f>精英副本客户端!F236</f>
        <v>0</v>
      </c>
    </row>
    <row r="293" spans="1:21">
      <c r="A293">
        <f>精英副本!A349</f>
        <v>208502</v>
      </c>
      <c r="B293" t="str">
        <f>精英副本!Y349</f>
        <v>沉着试炼（85）</v>
      </c>
      <c r="C293">
        <f>精英副本!C349</f>
        <v>0</v>
      </c>
      <c r="D293">
        <f>精英副本!D349</f>
        <v>0</v>
      </c>
      <c r="E293" t="str">
        <f>[1]map.xml!$E293</f>
        <v>2085021_1</v>
      </c>
      <c r="F293" t="str">
        <f>[1]map.xml!F293</f>
        <v>1_10000,2_0,3_0</v>
      </c>
      <c r="G293" t="str">
        <f>[1]map.xml!G293</f>
        <v>40000_50900025_1_300,40000_50853065_1_1000,4004082_0_1_8000,4004082_0_1_8000,4004082_0_1_8000,30000_90004_1_10000,30000_90005_1_1400</v>
      </c>
      <c r="H293">
        <f>[1]map.xml!H293</f>
        <v>0</v>
      </c>
      <c r="I293" t="str">
        <f>[1]map.xml!I293</f>
        <v>30000_90006_1_10000,4004082_0_1_8000,4004082_0_1_8000,4004082_0_1_8000</v>
      </c>
      <c r="J293">
        <f>[1]map.xml!J293</f>
        <v>0</v>
      </c>
      <c r="K293">
        <f>精英副本!K349</f>
        <v>100</v>
      </c>
      <c r="L293" t="str">
        <f>精英副本!L349</f>
        <v>map/map_001.png</v>
      </c>
      <c r="M293" t="str">
        <f>精英副本!M349</f>
        <v>1-3</v>
      </c>
      <c r="N293">
        <f>精英副本!N349</f>
        <v>920</v>
      </c>
      <c r="O293">
        <f>精英副本!O349</f>
        <v>120</v>
      </c>
      <c r="P293">
        <f>精英副本!P349</f>
        <v>10</v>
      </c>
      <c r="Q293">
        <f>精英副本!Q349</f>
        <v>10</v>
      </c>
      <c r="R293">
        <f>精英副本!R349</f>
        <v>0</v>
      </c>
      <c r="S293">
        <f>精英副本!S349</f>
        <v>2</v>
      </c>
      <c r="T293">
        <f>精英副本!T349</f>
        <v>81</v>
      </c>
      <c r="U293">
        <f>精英副本客户端!F237</f>
        <v>208501</v>
      </c>
    </row>
    <row r="294" spans="1:21">
      <c r="A294">
        <f>精英副本!A350</f>
        <v>208503</v>
      </c>
      <c r="B294" t="str">
        <f>精英副本!Y350</f>
        <v>沉着试炼（85）</v>
      </c>
      <c r="C294">
        <f>精英副本!C350</f>
        <v>0</v>
      </c>
      <c r="D294">
        <f>精英副本!D350</f>
        <v>0</v>
      </c>
      <c r="E294" t="str">
        <f>[1]map.xml!$E294</f>
        <v>2085031_1</v>
      </c>
      <c r="F294" t="str">
        <f>[1]map.xml!F294</f>
        <v>1_10000,2_0,3_0</v>
      </c>
      <c r="G294" t="str">
        <f>[1]map.xml!G294</f>
        <v>40000_50900045_1_293,40000_50851055_1_990,4004082_0_1_8025,4004082_0_1_8025,4004082_0_1_8025,30000_90004_1_10000,30000_90005_1_2800</v>
      </c>
      <c r="H294">
        <f>[1]map.xml!H294</f>
        <v>0</v>
      </c>
      <c r="I294" t="str">
        <f>[1]map.xml!I294</f>
        <v>30000_90006_1_10000,4004082_0_1_8025,4004082_0_1_8025,4004082_0_1_8025</v>
      </c>
      <c r="J294">
        <f>[1]map.xml!J294</f>
        <v>0</v>
      </c>
      <c r="K294">
        <f>精英副本!K350</f>
        <v>100</v>
      </c>
      <c r="L294" t="str">
        <f>精英副本!L350</f>
        <v>map/map_001.png</v>
      </c>
      <c r="M294" t="str">
        <f>精英副本!M350</f>
        <v>1-3</v>
      </c>
      <c r="N294">
        <f>精英副本!N350</f>
        <v>920</v>
      </c>
      <c r="O294">
        <f>精英副本!O350</f>
        <v>120</v>
      </c>
      <c r="P294">
        <f>精英副本!P350</f>
        <v>10</v>
      </c>
      <c r="Q294">
        <f>精英副本!Q350</f>
        <v>10</v>
      </c>
      <c r="R294">
        <f>精英副本!R350</f>
        <v>0</v>
      </c>
      <c r="S294">
        <f>精英副本!S350</f>
        <v>2</v>
      </c>
      <c r="T294">
        <f>精英副本!T350</f>
        <v>81</v>
      </c>
      <c r="U294">
        <f>精英副本客户端!F238</f>
        <v>208502</v>
      </c>
    </row>
    <row r="295" spans="1:21">
      <c r="A295">
        <f>精英副本!A351</f>
        <v>208504</v>
      </c>
      <c r="B295" t="str">
        <f>精英副本!Y351</f>
        <v>沉着试炼（85）</v>
      </c>
      <c r="C295">
        <f>精英副本!C351</f>
        <v>0</v>
      </c>
      <c r="D295">
        <f>精英副本!D351</f>
        <v>0</v>
      </c>
      <c r="E295" t="str">
        <f>[1]map.xml!$E295</f>
        <v>2085041_1</v>
      </c>
      <c r="F295" t="str">
        <f>[1]map.xml!F295</f>
        <v>1_10000,2_0,3_0</v>
      </c>
      <c r="G295" t="str">
        <f>[1]map.xml!G295</f>
        <v>40000_50900075_1_286,40000_50851065_1_980,4004082_0_1_8050,4004082_0_1_8050,4004082_0_1_8050,30000_90004_1_10000,30000_90005_1_2800</v>
      </c>
      <c r="H295">
        <f>[1]map.xml!H295</f>
        <v>0</v>
      </c>
      <c r="I295" t="str">
        <f>[1]map.xml!I295</f>
        <v>30000_90006_1_10000,4004082_0_1_8050,4004082_0_1_8050,4004082_0_1_8050</v>
      </c>
      <c r="J295">
        <f>[1]map.xml!J295</f>
        <v>0</v>
      </c>
      <c r="K295">
        <f>精英副本!K351</f>
        <v>100</v>
      </c>
      <c r="L295" t="str">
        <f>精英副本!L351</f>
        <v>map/map_001.png</v>
      </c>
      <c r="M295" t="str">
        <f>精英副本!M351</f>
        <v>1-3</v>
      </c>
      <c r="N295">
        <f>精英副本!N351</f>
        <v>920</v>
      </c>
      <c r="O295">
        <f>精英副本!O351</f>
        <v>120</v>
      </c>
      <c r="P295">
        <f>精英副本!P351</f>
        <v>10</v>
      </c>
      <c r="Q295">
        <f>精英副本!Q351</f>
        <v>10</v>
      </c>
      <c r="R295">
        <f>精英副本!R351</f>
        <v>0</v>
      </c>
      <c r="S295">
        <f>精英副本!S351</f>
        <v>2</v>
      </c>
      <c r="T295">
        <f>精英副本!T351</f>
        <v>81</v>
      </c>
      <c r="U295">
        <f>精英副本客户端!F239</f>
        <v>208503</v>
      </c>
    </row>
    <row r="296" spans="1:21">
      <c r="A296">
        <f>精英副本!A352</f>
        <v>208505</v>
      </c>
      <c r="B296" t="str">
        <f>精英副本!Y352</f>
        <v>沉着试炼（85）</v>
      </c>
      <c r="C296">
        <f>精英副本!C352</f>
        <v>0</v>
      </c>
      <c r="D296">
        <f>精英副本!D352</f>
        <v>0</v>
      </c>
      <c r="E296" t="str">
        <f>[1]map.xml!$E296</f>
        <v>2085051_1,2085052_1,2085053_1</v>
      </c>
      <c r="F296" t="str">
        <f>[1]map.xml!F296</f>
        <v>1_0,2_0,3_10000</v>
      </c>
      <c r="G296" t="str">
        <f>[1]map.xml!G296</f>
        <v>40000_50900085_1_279,40000_50850035_1_970,4004082_0_1_8075,4004082_0_1_8075,4004082_0_1_8075,30000_90004_1_10000,30000_90005_1_2800</v>
      </c>
      <c r="H296">
        <f>[1]map.xml!H296</f>
        <v>0</v>
      </c>
      <c r="I296" t="str">
        <f>[1]map.xml!I296</f>
        <v>30000_90006_1_10000,4004082_0_1_8075,4004082_0_1_8075,4004082_0_1_8075</v>
      </c>
      <c r="J296">
        <f>[1]map.xml!J296</f>
        <v>0</v>
      </c>
      <c r="K296">
        <f>精英副本!K352</f>
        <v>100</v>
      </c>
      <c r="L296" t="str">
        <f>精英副本!L352</f>
        <v>map/map_001.png</v>
      </c>
      <c r="M296" t="str">
        <f>精英副本!M352</f>
        <v>1-3</v>
      </c>
      <c r="N296">
        <f>精英副本!N352</f>
        <v>920</v>
      </c>
      <c r="O296">
        <f>精英副本!O352</f>
        <v>120</v>
      </c>
      <c r="P296">
        <f>精英副本!P352</f>
        <v>10</v>
      </c>
      <c r="Q296">
        <f>精英副本!Q352</f>
        <v>10</v>
      </c>
      <c r="R296">
        <f>精英副本!R352</f>
        <v>0</v>
      </c>
      <c r="S296">
        <f>精英副本!S352</f>
        <v>2</v>
      </c>
      <c r="T296">
        <f>精英副本!T352</f>
        <v>81</v>
      </c>
      <c r="U296">
        <f>精英副本客户端!F240</f>
        <v>208504</v>
      </c>
    </row>
    <row r="297" spans="1:21">
      <c r="A297">
        <f>精英副本!A353</f>
        <v>208506</v>
      </c>
      <c r="B297" t="str">
        <f>精英副本!Y353</f>
        <v>沉着试炼（85）</v>
      </c>
      <c r="C297">
        <f>精英副本!C353</f>
        <v>0</v>
      </c>
      <c r="D297">
        <f>精英副本!D353</f>
        <v>0</v>
      </c>
      <c r="E297" t="str">
        <f>[1]map.xml!$E297</f>
        <v>2085061_1</v>
      </c>
      <c r="F297" t="str">
        <f>[1]map.xml!F297</f>
        <v>1_10000,2_0,3_0</v>
      </c>
      <c r="G297" t="str">
        <f>[1]map.xml!G297</f>
        <v>40000_50900095_1_272,40000_50850015_1_960,4004082_0_1_8100,4004082_0_1_8100,4004082_0_1_8100,30000_90004_1_10000,30000_90005_1_4200</v>
      </c>
      <c r="H297">
        <f>[1]map.xml!H297</f>
        <v>0</v>
      </c>
      <c r="I297" t="str">
        <f>[1]map.xml!I297</f>
        <v>30000_90006_1_10000,4004082_0_1_8100,4004082_0_1_8100,4004082_0_1_8100</v>
      </c>
      <c r="J297">
        <f>[1]map.xml!J297</f>
        <v>0</v>
      </c>
      <c r="K297">
        <f>精英副本!K353</f>
        <v>100</v>
      </c>
      <c r="L297" t="str">
        <f>精英副本!L353</f>
        <v>map/map_001.png</v>
      </c>
      <c r="M297" t="str">
        <f>精英副本!M353</f>
        <v>1-3</v>
      </c>
      <c r="N297">
        <f>精英副本!N353</f>
        <v>920</v>
      </c>
      <c r="O297">
        <f>精英副本!O353</f>
        <v>120</v>
      </c>
      <c r="P297">
        <f>精英副本!P353</f>
        <v>10</v>
      </c>
      <c r="Q297">
        <f>精英副本!Q353</f>
        <v>10</v>
      </c>
      <c r="R297">
        <f>精英副本!R353</f>
        <v>0</v>
      </c>
      <c r="S297">
        <f>精英副本!S353</f>
        <v>2</v>
      </c>
      <c r="T297">
        <f>精英副本!T353</f>
        <v>81</v>
      </c>
      <c r="U297">
        <f>精英副本客户端!F241</f>
        <v>208505</v>
      </c>
    </row>
    <row r="298" spans="1:21">
      <c r="A298">
        <f>精英副本!A354</f>
        <v>208507</v>
      </c>
      <c r="B298" t="str">
        <f>精英副本!Y354</f>
        <v>沉着试炼（85）</v>
      </c>
      <c r="C298">
        <f>精英副本!C354</f>
        <v>0</v>
      </c>
      <c r="D298">
        <f>精英副本!D354</f>
        <v>0</v>
      </c>
      <c r="E298" t="str">
        <f>[1]map.xml!$E298</f>
        <v>2085071_1</v>
      </c>
      <c r="F298" t="str">
        <f>[1]map.xml!F298</f>
        <v>1_10000,2_0,3_0</v>
      </c>
      <c r="G298" t="str">
        <f>[1]map.xml!G298</f>
        <v>40000_50900015_1_265,40000_50853055_1_950,4004082_0_1_8125,4004082_0_1_8125,4004082_0_1_8125,30000_90004_1_10000,30000_90005_1_4200</v>
      </c>
      <c r="H298">
        <f>[1]map.xml!H298</f>
        <v>0</v>
      </c>
      <c r="I298" t="str">
        <f>[1]map.xml!I298</f>
        <v>30000_90006_1_10000,4004082_0_1_8125,4004082_0_1_8125,4004082_0_1_8125</v>
      </c>
      <c r="J298">
        <f>[1]map.xml!J298</f>
        <v>0</v>
      </c>
      <c r="K298">
        <f>精英副本!K354</f>
        <v>100</v>
      </c>
      <c r="L298" t="str">
        <f>精英副本!L354</f>
        <v>map/map_001.png</v>
      </c>
      <c r="M298" t="str">
        <f>精英副本!M354</f>
        <v>1-3</v>
      </c>
      <c r="N298">
        <f>精英副本!N354</f>
        <v>920</v>
      </c>
      <c r="O298">
        <f>精英副本!O354</f>
        <v>120</v>
      </c>
      <c r="P298">
        <f>精英副本!P354</f>
        <v>10</v>
      </c>
      <c r="Q298">
        <f>精英副本!Q354</f>
        <v>10</v>
      </c>
      <c r="R298">
        <f>精英副本!R354</f>
        <v>0</v>
      </c>
      <c r="S298">
        <f>精英副本!S354</f>
        <v>2</v>
      </c>
      <c r="T298">
        <f>精英副本!T354</f>
        <v>81</v>
      </c>
      <c r="U298">
        <f>精英副本客户端!F242</f>
        <v>208506</v>
      </c>
    </row>
    <row r="299" spans="1:21">
      <c r="A299">
        <f>精英副本!A355</f>
        <v>208508</v>
      </c>
      <c r="B299" t="str">
        <f>精英副本!Y355</f>
        <v>沉着试炼（85）</v>
      </c>
      <c r="C299">
        <f>精英副本!C355</f>
        <v>0</v>
      </c>
      <c r="D299">
        <f>精英副本!D355</f>
        <v>0</v>
      </c>
      <c r="E299" t="str">
        <f>[1]map.xml!$E299</f>
        <v>2085081_1</v>
      </c>
      <c r="F299" t="str">
        <f>[1]map.xml!F299</f>
        <v>1_10000,2_0,3_0</v>
      </c>
      <c r="G299" t="str">
        <f>[1]map.xml!G299</f>
        <v>40000_50900035_1_258,40000_50852055_1_940,4004082_0_1_8150,4004082_0_1_8150,4004082_0_1_8150,30000_90004_1_10000,30000_90005_1_4200</v>
      </c>
      <c r="H299">
        <f>[1]map.xml!H299</f>
        <v>0</v>
      </c>
      <c r="I299" t="str">
        <f>[1]map.xml!I299</f>
        <v>30000_90006_1_10000,4004082_0_1_8150,4004082_0_1_8150,4004082_0_1_8150</v>
      </c>
      <c r="J299">
        <f>[1]map.xml!J299</f>
        <v>0</v>
      </c>
      <c r="K299">
        <f>精英副本!K355</f>
        <v>100</v>
      </c>
      <c r="L299" t="str">
        <f>精英副本!L355</f>
        <v>map/map_001.png</v>
      </c>
      <c r="M299" t="str">
        <f>精英副本!M355</f>
        <v>1-3</v>
      </c>
      <c r="N299">
        <f>精英副本!N355</f>
        <v>920</v>
      </c>
      <c r="O299">
        <f>精英副本!O355</f>
        <v>120</v>
      </c>
      <c r="P299">
        <f>精英副本!P355</f>
        <v>10</v>
      </c>
      <c r="Q299">
        <f>精英副本!Q355</f>
        <v>10</v>
      </c>
      <c r="R299">
        <f>精英副本!R355</f>
        <v>0</v>
      </c>
      <c r="S299">
        <f>精英副本!S355</f>
        <v>2</v>
      </c>
      <c r="T299">
        <f>精英副本!T355</f>
        <v>81</v>
      </c>
      <c r="U299">
        <f>精英副本客户端!F243</f>
        <v>208507</v>
      </c>
    </row>
    <row r="300" spans="1:21">
      <c r="A300">
        <f>精英副本!A356</f>
        <v>208509</v>
      </c>
      <c r="B300" t="str">
        <f>精英副本!Y356</f>
        <v>沉着试炼（85）</v>
      </c>
      <c r="C300">
        <f>精英副本!C356</f>
        <v>0</v>
      </c>
      <c r="D300">
        <f>精英副本!D356</f>
        <v>0</v>
      </c>
      <c r="E300" t="str">
        <f>[1]map.xml!$E300</f>
        <v>2085091_1</v>
      </c>
      <c r="F300" t="str">
        <f>[1]map.xml!F300</f>
        <v>1_10000,2_0,3_0</v>
      </c>
      <c r="G300" t="str">
        <f>[1]map.xml!G300</f>
        <v>40000_50902055_1_251,40000_50902066_1_930,4004082_0_1_8175,4004082_0_1_8175,4004082_0_1_8175,30000_90004_1_10000,30000_90005_1_5600</v>
      </c>
      <c r="H300">
        <f>[1]map.xml!H300</f>
        <v>0</v>
      </c>
      <c r="I300" t="str">
        <f>[1]map.xml!I300</f>
        <v>30000_90006_1_10000,4004082_0_1_8175,4004082_0_1_8175,4004082_0_1_8175</v>
      </c>
      <c r="J300">
        <f>[1]map.xml!J300</f>
        <v>0</v>
      </c>
      <c r="K300">
        <f>精英副本!K356</f>
        <v>100</v>
      </c>
      <c r="L300" t="str">
        <f>精英副本!L356</f>
        <v>map/map_001.png</v>
      </c>
      <c r="M300" t="str">
        <f>精英副本!M356</f>
        <v>1-3</v>
      </c>
      <c r="N300">
        <f>精英副本!N356</f>
        <v>920</v>
      </c>
      <c r="O300">
        <f>精英副本!O356</f>
        <v>120</v>
      </c>
      <c r="P300">
        <f>精英副本!P356</f>
        <v>10</v>
      </c>
      <c r="Q300">
        <f>精英副本!Q356</f>
        <v>10</v>
      </c>
      <c r="R300">
        <f>精英副本!R356</f>
        <v>0</v>
      </c>
      <c r="S300">
        <f>精英副本!S356</f>
        <v>2</v>
      </c>
      <c r="T300">
        <f>精英副本!T356</f>
        <v>81</v>
      </c>
      <c r="U300">
        <f>精英副本客户端!F244</f>
        <v>208508</v>
      </c>
    </row>
    <row r="301" spans="1:21">
      <c r="A301">
        <f>精英副本!A357</f>
        <v>209001</v>
      </c>
      <c r="B301" t="str">
        <f>精英副本!Y357</f>
        <v>沉着试炼（90）</v>
      </c>
      <c r="C301">
        <f>精英副本!C357</f>
        <v>0</v>
      </c>
      <c r="D301">
        <f>精英副本!D357</f>
        <v>0</v>
      </c>
      <c r="E301" t="str">
        <f>[1]map.xml!$E301</f>
        <v>2090011_1</v>
      </c>
      <c r="F301" t="str">
        <f>[1]map.xml!F301</f>
        <v>1_10000,2_0,3_0</v>
      </c>
      <c r="G301" t="str">
        <f>[1]map.xml!G301</f>
        <v>40000_50900105_1_244,40000_50902055_1_920,4004086_0_1_8200,4004086_0_1_8200,4004086_0_1_8200,30000_90004_1_10000,30000_90005_1_2800</v>
      </c>
      <c r="H301">
        <f>[1]map.xml!H301</f>
        <v>0</v>
      </c>
      <c r="I301" t="str">
        <f>[1]map.xml!I301</f>
        <v>30000_90006_1_10000,4004086_0_1_8200,4004086_0_1_8200,4004086_0_1_8200</v>
      </c>
      <c r="J301">
        <f>[1]map.xml!J301</f>
        <v>0</v>
      </c>
      <c r="K301">
        <f>精英副本!K357</f>
        <v>100</v>
      </c>
      <c r="L301" t="str">
        <f>精英副本!L357</f>
        <v>map/map_001.png</v>
      </c>
      <c r="M301" t="str">
        <f>精英副本!M357</f>
        <v>1-3</v>
      </c>
      <c r="N301">
        <f>精英副本!N357</f>
        <v>920</v>
      </c>
      <c r="O301">
        <f>精英副本!O357</f>
        <v>120</v>
      </c>
      <c r="P301">
        <f>精英副本!P357</f>
        <v>10</v>
      </c>
      <c r="Q301">
        <f>精英副本!Q357</f>
        <v>10</v>
      </c>
      <c r="R301">
        <f>精英副本!R357</f>
        <v>0</v>
      </c>
      <c r="S301">
        <f>精英副本!S357</f>
        <v>2</v>
      </c>
      <c r="T301">
        <f>精英副本!T357</f>
        <v>86</v>
      </c>
      <c r="U301">
        <f>精英副本客户端!F245</f>
        <v>0</v>
      </c>
    </row>
    <row r="302" spans="1:21">
      <c r="A302">
        <f>精英副本!A358</f>
        <v>209002</v>
      </c>
      <c r="B302" t="str">
        <f>精英副本!Y358</f>
        <v>沉着试炼（90）</v>
      </c>
      <c r="C302">
        <f>精英副本!C358</f>
        <v>0</v>
      </c>
      <c r="D302">
        <f>精英副本!D358</f>
        <v>0</v>
      </c>
      <c r="E302" t="str">
        <f>[1]map.xml!$E302</f>
        <v>2090021_1</v>
      </c>
      <c r="F302" t="str">
        <f>[1]map.xml!F302</f>
        <v>1_10000,2_0,3_0</v>
      </c>
      <c r="G302" t="str">
        <f>[1]map.xml!G302</f>
        <v>40000_50900025_1_237,40000_50900035_1_910,4004086_0_1_8225,4004086_0_1_8225,4004086_0_1_8225,30000_90004_1_10000,30000_90005_1_2800</v>
      </c>
      <c r="H302">
        <f>[1]map.xml!H302</f>
        <v>0</v>
      </c>
      <c r="I302" t="str">
        <f>[1]map.xml!I302</f>
        <v>30000_90006_1_10000,4004086_0_1_8225,4004086_0_1_8225,4004086_0_1_8225</v>
      </c>
      <c r="J302">
        <f>[1]map.xml!J302</f>
        <v>0</v>
      </c>
      <c r="K302">
        <f>精英副本!K358</f>
        <v>100</v>
      </c>
      <c r="L302" t="str">
        <f>精英副本!L358</f>
        <v>map/map_001.png</v>
      </c>
      <c r="M302" t="str">
        <f>精英副本!M358</f>
        <v>1-3</v>
      </c>
      <c r="N302">
        <f>精英副本!N358</f>
        <v>920</v>
      </c>
      <c r="O302">
        <f>精英副本!O358</f>
        <v>120</v>
      </c>
      <c r="P302">
        <f>精英副本!P358</f>
        <v>10</v>
      </c>
      <c r="Q302">
        <f>精英副本!Q358</f>
        <v>10</v>
      </c>
      <c r="R302">
        <f>精英副本!R358</f>
        <v>0</v>
      </c>
      <c r="S302">
        <f>精英副本!S358</f>
        <v>2</v>
      </c>
      <c r="T302">
        <f>精英副本!T358</f>
        <v>86</v>
      </c>
      <c r="U302">
        <f>精英副本客户端!F246</f>
        <v>209001</v>
      </c>
    </row>
    <row r="303" spans="1:21">
      <c r="A303">
        <f>精英副本!A359</f>
        <v>209003</v>
      </c>
      <c r="B303" t="str">
        <f>精英副本!Y359</f>
        <v>沉着试炼（90）</v>
      </c>
      <c r="C303">
        <f>精英副本!C359</f>
        <v>0</v>
      </c>
      <c r="D303">
        <f>精英副本!D359</f>
        <v>0</v>
      </c>
      <c r="E303" t="str">
        <f>[1]map.xml!$E303</f>
        <v>2090031_1</v>
      </c>
      <c r="F303" t="str">
        <f>[1]map.xml!F303</f>
        <v>1_10000,2_0,3_0</v>
      </c>
      <c r="G303" t="str">
        <f>[1]map.xml!G303</f>
        <v>40000_50900046_1_230,40000_50902065_1_900,4004086_0_1_8250,4004086_0_1_8250,4004086_0_1_8250,30000_90004_1_10000,30000_90005_1_4200</v>
      </c>
      <c r="H303">
        <f>[1]map.xml!H303</f>
        <v>0</v>
      </c>
      <c r="I303" t="str">
        <f>[1]map.xml!I303</f>
        <v>30000_90006_1_10000,4004086_0_1_8250,4004086_0_1_8250,4004086_0_1_8250</v>
      </c>
      <c r="J303">
        <f>[1]map.xml!J303</f>
        <v>0</v>
      </c>
      <c r="K303">
        <f>精英副本!K359</f>
        <v>100</v>
      </c>
      <c r="L303" t="str">
        <f>精英副本!L359</f>
        <v>map/map_001.png</v>
      </c>
      <c r="M303" t="str">
        <f>精英副本!M359</f>
        <v>1-3</v>
      </c>
      <c r="N303">
        <f>精英副本!N359</f>
        <v>920</v>
      </c>
      <c r="O303">
        <f>精英副本!O359</f>
        <v>120</v>
      </c>
      <c r="P303">
        <f>精英副本!P359</f>
        <v>10</v>
      </c>
      <c r="Q303">
        <f>精英副本!Q359</f>
        <v>10</v>
      </c>
      <c r="R303">
        <f>精英副本!R359</f>
        <v>0</v>
      </c>
      <c r="S303">
        <f>精英副本!S359</f>
        <v>2</v>
      </c>
      <c r="T303">
        <f>精英副本!T359</f>
        <v>86</v>
      </c>
      <c r="U303">
        <f>精英副本客户端!F247</f>
        <v>209002</v>
      </c>
    </row>
    <row r="304" spans="1:21">
      <c r="A304">
        <f>精英副本!A360</f>
        <v>209004</v>
      </c>
      <c r="B304" t="str">
        <f>精英副本!Y360</f>
        <v>沉着试炼（90）</v>
      </c>
      <c r="C304">
        <f>精英副本!C360</f>
        <v>0</v>
      </c>
      <c r="D304">
        <f>精英副本!D360</f>
        <v>0</v>
      </c>
      <c r="E304" t="str">
        <f>[1]map.xml!$E304</f>
        <v>2090041_1</v>
      </c>
      <c r="F304" t="str">
        <f>[1]map.xml!F304</f>
        <v>1_10000,2_0,3_0</v>
      </c>
      <c r="G304" t="str">
        <f>[1]map.xml!G304</f>
        <v>40000_50900076_1_223,40000_50901055_1_890,4004086_0_1_8275,4004086_0_1_8275,4004086_0_1_8275,30000_90004_1_10000,30000_90005_1_4200</v>
      </c>
      <c r="H304">
        <f>[1]map.xml!H304</f>
        <v>0</v>
      </c>
      <c r="I304" t="str">
        <f>[1]map.xml!I304</f>
        <v>30000_90006_1_10000,4004086_0_1_8275,4004086_0_1_8275,4004086_0_1_8275</v>
      </c>
      <c r="J304">
        <f>[1]map.xml!J304</f>
        <v>0</v>
      </c>
      <c r="K304">
        <f>精英副本!K360</f>
        <v>100</v>
      </c>
      <c r="L304" t="str">
        <f>精英副本!L360</f>
        <v>map/map_001.png</v>
      </c>
      <c r="M304" t="str">
        <f>精英副本!M360</f>
        <v>1-3</v>
      </c>
      <c r="N304">
        <f>精英副本!N360</f>
        <v>920</v>
      </c>
      <c r="O304">
        <f>精英副本!O360</f>
        <v>120</v>
      </c>
      <c r="P304">
        <f>精英副本!P360</f>
        <v>10</v>
      </c>
      <c r="Q304">
        <f>精英副本!Q360</f>
        <v>10</v>
      </c>
      <c r="R304">
        <f>精英副本!R360</f>
        <v>0</v>
      </c>
      <c r="S304">
        <f>精英副本!S360</f>
        <v>2</v>
      </c>
      <c r="T304">
        <f>精英副本!T360</f>
        <v>86</v>
      </c>
      <c r="U304">
        <f>精英副本客户端!F248</f>
        <v>209003</v>
      </c>
    </row>
    <row r="305" spans="1:21">
      <c r="A305">
        <f>精英副本!A361</f>
        <v>209005</v>
      </c>
      <c r="B305" t="str">
        <f>精英副本!Y361</f>
        <v>沉着试炼（90）</v>
      </c>
      <c r="C305">
        <f>精英副本!C361</f>
        <v>0</v>
      </c>
      <c r="D305">
        <f>精英副本!D361</f>
        <v>0</v>
      </c>
      <c r="E305" t="str">
        <f>[1]map.xml!$E305</f>
        <v>2090051_1,2090052_1,2090053_1</v>
      </c>
      <c r="F305" t="str">
        <f>[1]map.xml!F305</f>
        <v>1_0,2_0,3_10000</v>
      </c>
      <c r="G305" t="str">
        <f>[1]map.xml!G305</f>
        <v>40000_50900085_1_216,40000_50901065_1_880,4004086_0_1_8300,4004086_0_1_8300,4004086_0_1_8300,30000_90004_1_10000,30000_90005_1_4200</v>
      </c>
      <c r="H305">
        <f>[1]map.xml!H305</f>
        <v>0</v>
      </c>
      <c r="I305" t="str">
        <f>[1]map.xml!I305</f>
        <v>30000_90006_1_10000,4004086_0_1_8300,4004086_0_1_8300,4004086_0_1_8300</v>
      </c>
      <c r="J305">
        <f>[1]map.xml!J305</f>
        <v>0</v>
      </c>
      <c r="K305">
        <f>精英副本!K361</f>
        <v>100</v>
      </c>
      <c r="L305" t="str">
        <f>精英副本!L361</f>
        <v>map/map_001.png</v>
      </c>
      <c r="M305" t="str">
        <f>精英副本!M361</f>
        <v>1-3</v>
      </c>
      <c r="N305">
        <f>精英副本!N361</f>
        <v>920</v>
      </c>
      <c r="O305">
        <f>精英副本!O361</f>
        <v>120</v>
      </c>
      <c r="P305">
        <f>精英副本!P361</f>
        <v>10</v>
      </c>
      <c r="Q305">
        <f>精英副本!Q361</f>
        <v>10</v>
      </c>
      <c r="R305">
        <f>精英副本!R361</f>
        <v>0</v>
      </c>
      <c r="S305">
        <f>精英副本!S361</f>
        <v>2</v>
      </c>
      <c r="T305">
        <f>精英副本!T361</f>
        <v>86</v>
      </c>
      <c r="U305">
        <f>精英副本客户端!F249</f>
        <v>209004</v>
      </c>
    </row>
    <row r="306" spans="1:21">
      <c r="A306">
        <f>精英副本!A362</f>
        <v>209006</v>
      </c>
      <c r="B306" t="str">
        <f>精英副本!Y362</f>
        <v>沉着试炼（90）</v>
      </c>
      <c r="C306">
        <f>精英副本!C362</f>
        <v>0</v>
      </c>
      <c r="D306">
        <f>精英副本!D362</f>
        <v>0</v>
      </c>
      <c r="E306" t="str">
        <f>[1]map.xml!$E306</f>
        <v>2090061_1</v>
      </c>
      <c r="F306" t="str">
        <f>[1]map.xml!F306</f>
        <v>1_10000,2_0,3_0</v>
      </c>
      <c r="G306" t="str">
        <f>[1]map.xml!G306</f>
        <v>40000_50900095_1_209,40000_50900015_1_870,4004086_0_1_8325,4004086_0_1_8325,4004086_0_1_8325,30000_90004_1_10000,30000_90005_1_5600</v>
      </c>
      <c r="H306">
        <f>[1]map.xml!H306</f>
        <v>0</v>
      </c>
      <c r="I306" t="str">
        <f>[1]map.xml!I306</f>
        <v>30000_90006_1_10000,4004086_0_1_8325,4004086_0_1_8325,4004086_0_1_8325</v>
      </c>
      <c r="J306">
        <f>[1]map.xml!J306</f>
        <v>0</v>
      </c>
      <c r="K306">
        <f>精英副本!K362</f>
        <v>100</v>
      </c>
      <c r="L306" t="str">
        <f>精英副本!L362</f>
        <v>map/map_001.png</v>
      </c>
      <c r="M306" t="str">
        <f>精英副本!M362</f>
        <v>1-3</v>
      </c>
      <c r="N306">
        <f>精英副本!N362</f>
        <v>920</v>
      </c>
      <c r="O306">
        <f>精英副本!O362</f>
        <v>120</v>
      </c>
      <c r="P306">
        <f>精英副本!P362</f>
        <v>10</v>
      </c>
      <c r="Q306">
        <f>精英副本!Q362</f>
        <v>10</v>
      </c>
      <c r="R306">
        <f>精英副本!R362</f>
        <v>0</v>
      </c>
      <c r="S306">
        <f>精英副本!S362</f>
        <v>2</v>
      </c>
      <c r="T306">
        <f>精英副本!T362</f>
        <v>86</v>
      </c>
      <c r="U306">
        <f>精英副本客户端!F250</f>
        <v>209005</v>
      </c>
    </row>
    <row r="307" spans="1:21">
      <c r="A307">
        <f>精英副本!A363</f>
        <v>209007</v>
      </c>
      <c r="B307" t="str">
        <f>精英副本!Y363</f>
        <v>沉着试炼（90）</v>
      </c>
      <c r="C307">
        <f>精英副本!C363</f>
        <v>0</v>
      </c>
      <c r="D307">
        <f>精英副本!D363</f>
        <v>0</v>
      </c>
      <c r="E307" t="str">
        <f>[1]map.xml!$E307</f>
        <v>2090071_1</v>
      </c>
      <c r="F307" t="str">
        <f>[1]map.xml!F307</f>
        <v>1_10000,2_0,3_0</v>
      </c>
      <c r="G307" t="str">
        <f>[1]map.xml!G307</f>
        <v>40000_50900015_1_202,40000_50902065_1_860,4004086_0_1_8350,4004086_0_1_8350,4004086_0_1_8350,30000_90004_1_10000,30000_90005_1_5600</v>
      </c>
      <c r="H307">
        <f>[1]map.xml!H307</f>
        <v>0</v>
      </c>
      <c r="I307" t="str">
        <f>[1]map.xml!I307</f>
        <v>30000_90006_1_10000,4004086_0_1_8350,4004086_0_1_8350,4004086_0_1_8350</v>
      </c>
      <c r="J307">
        <f>[1]map.xml!J307</f>
        <v>0</v>
      </c>
      <c r="K307">
        <f>精英副本!K363</f>
        <v>100</v>
      </c>
      <c r="L307" t="str">
        <f>精英副本!L363</f>
        <v>map/map_001.png</v>
      </c>
      <c r="M307" t="str">
        <f>精英副本!M363</f>
        <v>1-3</v>
      </c>
      <c r="N307">
        <f>精英副本!N363</f>
        <v>920</v>
      </c>
      <c r="O307">
        <f>精英副本!O363</f>
        <v>120</v>
      </c>
      <c r="P307">
        <f>精英副本!P363</f>
        <v>10</v>
      </c>
      <c r="Q307">
        <f>精英副本!Q363</f>
        <v>10</v>
      </c>
      <c r="R307">
        <f>精英副本!R363</f>
        <v>0</v>
      </c>
      <c r="S307">
        <f>精英副本!S363</f>
        <v>2</v>
      </c>
      <c r="T307">
        <f>精英副本!T363</f>
        <v>86</v>
      </c>
      <c r="U307">
        <f>精英副本客户端!F251</f>
        <v>209006</v>
      </c>
    </row>
    <row r="308" spans="1:21">
      <c r="A308">
        <f>精英副本!A364</f>
        <v>209008</v>
      </c>
      <c r="B308" t="str">
        <f>精英副本!Y364</f>
        <v>沉着试炼（90）</v>
      </c>
      <c r="C308">
        <f>精英副本!C364</f>
        <v>0</v>
      </c>
      <c r="D308">
        <f>精英副本!D364</f>
        <v>0</v>
      </c>
      <c r="E308" t="str">
        <f>[1]map.xml!$E308</f>
        <v>2090081_1</v>
      </c>
      <c r="F308" t="str">
        <f>[1]map.xml!F308</f>
        <v>1_10000,2_0,3_0</v>
      </c>
      <c r="G308" t="str">
        <f>[1]map.xml!G308</f>
        <v>40000_50900035_1_195,40000_50903055_1_850,4004086_0_1_8375,4004086_0_1_8375,4004086_0_1_8375,30000_90004_1_10000,30000_90005_1_5600</v>
      </c>
      <c r="H308">
        <f>[1]map.xml!H308</f>
        <v>0</v>
      </c>
      <c r="I308" t="str">
        <f>[1]map.xml!I308</f>
        <v>30000_90006_1_10000,4004086_0_1_8375,4004086_0_1_8375,4004086_0_1_8375</v>
      </c>
      <c r="J308">
        <f>[1]map.xml!J308</f>
        <v>0</v>
      </c>
      <c r="K308">
        <f>精英副本!K364</f>
        <v>100</v>
      </c>
      <c r="L308" t="str">
        <f>精英副本!L364</f>
        <v>map/map_001.png</v>
      </c>
      <c r="M308" t="str">
        <f>精英副本!M364</f>
        <v>1-3</v>
      </c>
      <c r="N308">
        <f>精英副本!N364</f>
        <v>920</v>
      </c>
      <c r="O308">
        <f>精英副本!O364</f>
        <v>120</v>
      </c>
      <c r="P308">
        <f>精英副本!P364</f>
        <v>10</v>
      </c>
      <c r="Q308">
        <f>精英副本!Q364</f>
        <v>10</v>
      </c>
      <c r="R308">
        <f>精英副本!R364</f>
        <v>0</v>
      </c>
      <c r="S308">
        <f>精英副本!S364</f>
        <v>2</v>
      </c>
      <c r="T308">
        <f>精英副本!T364</f>
        <v>86</v>
      </c>
      <c r="U308">
        <f>精英副本客户端!F252</f>
        <v>209007</v>
      </c>
    </row>
    <row r="309" spans="1:21">
      <c r="A309">
        <f>精英副本!A365</f>
        <v>209009</v>
      </c>
      <c r="B309" t="str">
        <f>精英副本!Y365</f>
        <v>沉着试炼（90）</v>
      </c>
      <c r="C309">
        <f>精英副本!C365</f>
        <v>0</v>
      </c>
      <c r="D309">
        <f>精英副本!D365</f>
        <v>0</v>
      </c>
      <c r="E309" t="str">
        <f>[1]map.xml!$E309</f>
        <v>2090091_1</v>
      </c>
      <c r="F309" t="str">
        <f>[1]map.xml!F309</f>
        <v>1_10000,2_0,3_0</v>
      </c>
      <c r="G309" t="str">
        <f>[1]map.xml!G309</f>
        <v>40000_50902056_1_188,40000_50903065_1_840,4004086_0_1_8400,4004086_0_1_8400,4004086_0_1_8400,30000_90004_1_10000,30000_90005_1_7000</v>
      </c>
      <c r="H309">
        <f>[1]map.xml!H309</f>
        <v>0</v>
      </c>
      <c r="I309" t="str">
        <f>[1]map.xml!I309</f>
        <v>30000_90006_1_10000,4004086_0_1_8400,4004086_0_1_8400,4004086_0_1_8400</v>
      </c>
      <c r="J309">
        <f>[1]map.xml!J309</f>
        <v>0</v>
      </c>
      <c r="K309">
        <f>精英副本!K365</f>
        <v>100</v>
      </c>
      <c r="L309" t="str">
        <f>精英副本!L365</f>
        <v>map/map_001.png</v>
      </c>
      <c r="M309" t="str">
        <f>精英副本!M365</f>
        <v>1-3</v>
      </c>
      <c r="N309">
        <f>精英副本!N365</f>
        <v>920</v>
      </c>
      <c r="O309">
        <f>精英副本!O365</f>
        <v>120</v>
      </c>
      <c r="P309">
        <f>精英副本!P365</f>
        <v>10</v>
      </c>
      <c r="Q309">
        <f>精英副本!Q365</f>
        <v>10</v>
      </c>
      <c r="R309">
        <f>精英副本!R365</f>
        <v>0</v>
      </c>
      <c r="S309">
        <f>精英副本!S365</f>
        <v>2</v>
      </c>
      <c r="T309">
        <f>精英副本!T365</f>
        <v>86</v>
      </c>
      <c r="U309">
        <f>精英副本客户端!F253</f>
        <v>209008</v>
      </c>
    </row>
    <row r="310" spans="1:21">
      <c r="A310">
        <f>精英副本!A366</f>
        <v>209501</v>
      </c>
      <c r="B310" t="str">
        <f>精英副本!Y366</f>
        <v>沉着试炼（95）</v>
      </c>
      <c r="C310">
        <f>精英副本!C366</f>
        <v>0</v>
      </c>
      <c r="D310">
        <f>精英副本!D366</f>
        <v>0</v>
      </c>
      <c r="E310" t="str">
        <f>[1]map.xml!$E310</f>
        <v>2095011_1</v>
      </c>
      <c r="F310" t="str">
        <f>[1]map.xml!F310</f>
        <v>1_10000,2_0,3_0</v>
      </c>
      <c r="G310" t="str">
        <f>[1]map.xml!G310</f>
        <v>40000_50950105_1_0,40000_50950015_1_0,4004090_0_1_8425,4004090_0_1_8425,4004090_0_1_8425,30000_90004_1_10000,30000_90005_1_4200</v>
      </c>
      <c r="H310">
        <f>[1]map.xml!H310</f>
        <v>0</v>
      </c>
      <c r="I310" t="str">
        <f>[1]map.xml!I310</f>
        <v>30000_90006_1_10000,4004090_0_1_8425,4004090_0_1_8425,4004090_0_1_8425</v>
      </c>
      <c r="J310">
        <f>[1]map.xml!J310</f>
        <v>0</v>
      </c>
      <c r="K310">
        <f>精英副本!K366</f>
        <v>100</v>
      </c>
      <c r="L310" t="str">
        <f>精英副本!L366</f>
        <v>map/map_001.png</v>
      </c>
      <c r="M310" t="str">
        <f>精英副本!M366</f>
        <v>1-3</v>
      </c>
      <c r="N310">
        <f>精英副本!N366</f>
        <v>920</v>
      </c>
      <c r="O310">
        <f>精英副本!O366</f>
        <v>120</v>
      </c>
      <c r="P310">
        <f>精英副本!P366</f>
        <v>10</v>
      </c>
      <c r="Q310">
        <f>精英副本!Q366</f>
        <v>10</v>
      </c>
      <c r="R310">
        <f>精英副本!R366</f>
        <v>0</v>
      </c>
      <c r="S310">
        <f>精英副本!S366</f>
        <v>2</v>
      </c>
      <c r="T310">
        <f>精英副本!T366</f>
        <v>91</v>
      </c>
      <c r="U310">
        <f>精英副本客户端!F254</f>
        <v>0</v>
      </c>
    </row>
    <row r="311" spans="1:21">
      <c r="A311">
        <f>精英副本!A367</f>
        <v>209502</v>
      </c>
      <c r="B311" t="str">
        <f>精英副本!Y367</f>
        <v>沉着试炼（95）</v>
      </c>
      <c r="C311">
        <f>精英副本!C367</f>
        <v>0</v>
      </c>
      <c r="D311">
        <f>精英副本!D367</f>
        <v>0</v>
      </c>
      <c r="E311" t="str">
        <f>[1]map.xml!$E311</f>
        <v>2095021_1</v>
      </c>
      <c r="F311" t="str">
        <f>[1]map.xml!F311</f>
        <v>1_10000,2_0,3_0</v>
      </c>
      <c r="G311" t="str">
        <f>[1]map.xml!G311</f>
        <v>40000_50950025_1_0,40000_50952055_1_0,4004090_0_1_8450,4004090_0_1_8450,4004090_0_1_8450,30000_90004_1_10000,30000_90005_1_4200</v>
      </c>
      <c r="H311">
        <f>[1]map.xml!H311</f>
        <v>0</v>
      </c>
      <c r="I311" t="str">
        <f>[1]map.xml!I311</f>
        <v>30000_90006_1_10000,4004090_0_1_8450,4004090_0_1_8450,4004090_0_1_8450</v>
      </c>
      <c r="J311">
        <f>[1]map.xml!J311</f>
        <v>0</v>
      </c>
      <c r="K311">
        <f>精英副本!K367</f>
        <v>100</v>
      </c>
      <c r="L311" t="str">
        <f>精英副本!L367</f>
        <v>map/map_001.png</v>
      </c>
      <c r="M311" t="str">
        <f>精英副本!M367</f>
        <v>1-3</v>
      </c>
      <c r="N311">
        <f>精英副本!N367</f>
        <v>920</v>
      </c>
      <c r="O311">
        <f>精英副本!O367</f>
        <v>120</v>
      </c>
      <c r="P311">
        <f>精英副本!P367</f>
        <v>10</v>
      </c>
      <c r="Q311">
        <f>精英副本!Q367</f>
        <v>10</v>
      </c>
      <c r="R311">
        <f>精英副本!R367</f>
        <v>0</v>
      </c>
      <c r="S311">
        <f>精英副本!S367</f>
        <v>2</v>
      </c>
      <c r="T311">
        <f>精英副本!T367</f>
        <v>91</v>
      </c>
      <c r="U311">
        <f>精英副本客户端!F255</f>
        <v>209501</v>
      </c>
    </row>
    <row r="312" spans="1:21">
      <c r="A312">
        <f>精英副本!A368</f>
        <v>209503</v>
      </c>
      <c r="B312" t="str">
        <f>精英副本!Y368</f>
        <v>沉着试炼（95）</v>
      </c>
      <c r="C312">
        <f>精英副本!C368</f>
        <v>0</v>
      </c>
      <c r="D312">
        <f>精英副本!D368</f>
        <v>0</v>
      </c>
      <c r="E312" t="str">
        <f>[1]map.xml!$E312</f>
        <v>2095031_1</v>
      </c>
      <c r="F312" t="str">
        <f>[1]map.xml!F312</f>
        <v>1_10000,2_0,3_0</v>
      </c>
      <c r="G312" t="str">
        <f>[1]map.xml!G312</f>
        <v>40000_50950046_1_0,40000_50952065_1_0,4004090_0_1_8475,4004090_0_1_8475,4004090_0_1_8475,30000_90004_1_10000,30000_90005_1_5600</v>
      </c>
      <c r="H312">
        <f>[1]map.xml!H312</f>
        <v>0</v>
      </c>
      <c r="I312" t="str">
        <f>[1]map.xml!I312</f>
        <v>30000_90006_1_10000,4004090_0_1_8475,4004090_0_1_8475,4004090_0_1_8475</v>
      </c>
      <c r="J312">
        <f>[1]map.xml!J312</f>
        <v>0</v>
      </c>
      <c r="K312">
        <f>精英副本!K368</f>
        <v>100</v>
      </c>
      <c r="L312" t="str">
        <f>精英副本!L368</f>
        <v>map/map_001.png</v>
      </c>
      <c r="M312" t="str">
        <f>精英副本!M368</f>
        <v>1-3</v>
      </c>
      <c r="N312">
        <f>精英副本!N368</f>
        <v>920</v>
      </c>
      <c r="O312">
        <f>精英副本!O368</f>
        <v>120</v>
      </c>
      <c r="P312">
        <f>精英副本!P368</f>
        <v>10</v>
      </c>
      <c r="Q312">
        <f>精英副本!Q368</f>
        <v>10</v>
      </c>
      <c r="R312">
        <f>精英副本!R368</f>
        <v>0</v>
      </c>
      <c r="S312">
        <f>精英副本!S368</f>
        <v>2</v>
      </c>
      <c r="T312">
        <f>精英副本!T368</f>
        <v>91</v>
      </c>
      <c r="U312">
        <f>精英副本客户端!F256</f>
        <v>209502</v>
      </c>
    </row>
    <row r="313" spans="1:21">
      <c r="A313">
        <f>精英副本!A369</f>
        <v>209504</v>
      </c>
      <c r="B313" t="str">
        <f>精英副本!Y369</f>
        <v>沉着试炼（95）</v>
      </c>
      <c r="C313">
        <f>精英副本!C369</f>
        <v>0</v>
      </c>
      <c r="D313">
        <f>精英副本!D369</f>
        <v>0</v>
      </c>
      <c r="E313" t="str">
        <f>[1]map.xml!$E313</f>
        <v>2095041_1</v>
      </c>
      <c r="F313" t="str">
        <f>[1]map.xml!F313</f>
        <v>1_10000,2_0,3_0</v>
      </c>
      <c r="G313" t="str">
        <f>[1]map.xml!G313</f>
        <v>40000_50950076_1_0,40000_50950035_1_0,4004090_0_1_8500,4004090_0_1_8500,4004090_0_1_8500,30000_90004_1_10000,30000_90005_1_5600</v>
      </c>
      <c r="H313">
        <f>[1]map.xml!H313</f>
        <v>0</v>
      </c>
      <c r="I313" t="str">
        <f>[1]map.xml!I313</f>
        <v>30000_90006_1_10000,4004090_0_1_8500,4004090_0_1_8500,4004090_0_1_8500</v>
      </c>
      <c r="J313">
        <f>[1]map.xml!J313</f>
        <v>0</v>
      </c>
      <c r="K313">
        <f>精英副本!K369</f>
        <v>100</v>
      </c>
      <c r="L313" t="str">
        <f>精英副本!L369</f>
        <v>map/map_001.png</v>
      </c>
      <c r="M313" t="str">
        <f>精英副本!M369</f>
        <v>1-3</v>
      </c>
      <c r="N313">
        <f>精英副本!N369</f>
        <v>920</v>
      </c>
      <c r="O313">
        <f>精英副本!O369</f>
        <v>120</v>
      </c>
      <c r="P313">
        <f>精英副本!P369</f>
        <v>10</v>
      </c>
      <c r="Q313">
        <f>精英副本!Q369</f>
        <v>10</v>
      </c>
      <c r="R313">
        <f>精英副本!R369</f>
        <v>0</v>
      </c>
      <c r="S313">
        <f>精英副本!S369</f>
        <v>2</v>
      </c>
      <c r="T313">
        <f>精英副本!T369</f>
        <v>91</v>
      </c>
      <c r="U313">
        <f>精英副本客户端!F257</f>
        <v>209503</v>
      </c>
    </row>
    <row r="314" spans="1:21">
      <c r="A314">
        <f>精英副本!A370</f>
        <v>209505</v>
      </c>
      <c r="B314" t="str">
        <f>精英副本!Y370</f>
        <v>沉着试炼（95）</v>
      </c>
      <c r="C314">
        <f>精英副本!C370</f>
        <v>0</v>
      </c>
      <c r="D314">
        <f>精英副本!D370</f>
        <v>0</v>
      </c>
      <c r="E314" t="str">
        <f>[1]map.xml!$E314</f>
        <v>2095051_1,2095052_1,2095053_1</v>
      </c>
      <c r="F314" t="str">
        <f>[1]map.xml!F314</f>
        <v>1_0,2_0,3_10000</v>
      </c>
      <c r="G314" t="str">
        <f>[1]map.xml!G314</f>
        <v>40000_50950085_1_0,40000_50953065_1_0,4004090_0_1_8525,4004090_0_1_8525,4004090_0_1_8525,30000_90004_1_10000,30000_90005_1_5600</v>
      </c>
      <c r="H314">
        <f>[1]map.xml!H314</f>
        <v>0</v>
      </c>
      <c r="I314" t="str">
        <f>[1]map.xml!I314</f>
        <v>30000_90006_1_10000,4004090_0_1_8525,4004090_0_1_8525,4004090_0_1_8525</v>
      </c>
      <c r="J314">
        <f>[1]map.xml!J314</f>
        <v>0</v>
      </c>
      <c r="K314">
        <f>精英副本!K370</f>
        <v>100</v>
      </c>
      <c r="L314" t="str">
        <f>精英副本!L370</f>
        <v>map/map_001.png</v>
      </c>
      <c r="M314" t="str">
        <f>精英副本!M370</f>
        <v>1-3</v>
      </c>
      <c r="N314">
        <f>精英副本!N370</f>
        <v>920</v>
      </c>
      <c r="O314">
        <f>精英副本!O370</f>
        <v>120</v>
      </c>
      <c r="P314">
        <f>精英副本!P370</f>
        <v>10</v>
      </c>
      <c r="Q314">
        <f>精英副本!Q370</f>
        <v>10</v>
      </c>
      <c r="R314">
        <f>精英副本!R370</f>
        <v>0</v>
      </c>
      <c r="S314">
        <f>精英副本!S370</f>
        <v>2</v>
      </c>
      <c r="T314">
        <f>精英副本!T370</f>
        <v>91</v>
      </c>
      <c r="U314">
        <f>精英副本客户端!F258</f>
        <v>209504</v>
      </c>
    </row>
    <row r="315" spans="1:21">
      <c r="A315">
        <f>精英副本!A371</f>
        <v>209506</v>
      </c>
      <c r="B315" t="str">
        <f>精英副本!Y371</f>
        <v>沉着试炼（95）</v>
      </c>
      <c r="C315">
        <f>精英副本!C371</f>
        <v>0</v>
      </c>
      <c r="D315">
        <f>精英副本!D371</f>
        <v>0</v>
      </c>
      <c r="E315" t="str">
        <f>[1]map.xml!$E315</f>
        <v>2095061_1</v>
      </c>
      <c r="F315" t="str">
        <f>[1]map.xml!F315</f>
        <v>1_10000,2_0,3_0</v>
      </c>
      <c r="G315" t="str">
        <f>[1]map.xml!G315</f>
        <v>40000_50950095_1_0,40000_50951055_1_0,4004090_0_1_8550,4004090_0_1_8550,4004090_0_1_8550,30000_90004_1_10000,30000_90005_1_7000</v>
      </c>
      <c r="H315">
        <f>[1]map.xml!H315</f>
        <v>0</v>
      </c>
      <c r="I315" t="str">
        <f>[1]map.xml!I315</f>
        <v>30000_90006_1_10000,4004090_0_1_8550,4004090_0_1_8550,4004090_0_1_8550</v>
      </c>
      <c r="J315">
        <f>[1]map.xml!J315</f>
        <v>0</v>
      </c>
      <c r="K315">
        <f>精英副本!K371</f>
        <v>100</v>
      </c>
      <c r="L315" t="str">
        <f>精英副本!L371</f>
        <v>map/map_001.png</v>
      </c>
      <c r="M315" t="str">
        <f>精英副本!M371</f>
        <v>1-3</v>
      </c>
      <c r="N315">
        <f>精英副本!N371</f>
        <v>920</v>
      </c>
      <c r="O315">
        <f>精英副本!O371</f>
        <v>120</v>
      </c>
      <c r="P315">
        <f>精英副本!P371</f>
        <v>10</v>
      </c>
      <c r="Q315">
        <f>精英副本!Q371</f>
        <v>10</v>
      </c>
      <c r="R315">
        <f>精英副本!R371</f>
        <v>0</v>
      </c>
      <c r="S315">
        <f>精英副本!S371</f>
        <v>2</v>
      </c>
      <c r="T315">
        <f>精英副本!T371</f>
        <v>91</v>
      </c>
      <c r="U315">
        <f>精英副本客户端!F259</f>
        <v>209505</v>
      </c>
    </row>
    <row r="316" spans="1:21">
      <c r="A316">
        <f>精英副本!A372</f>
        <v>209507</v>
      </c>
      <c r="B316" t="str">
        <f>精英副本!Y372</f>
        <v>沉着试炼（95）</v>
      </c>
      <c r="C316">
        <f>精英副本!C372</f>
        <v>0</v>
      </c>
      <c r="D316">
        <f>精英副本!D372</f>
        <v>0</v>
      </c>
      <c r="E316" t="str">
        <f>[1]map.xml!$E316</f>
        <v>2095071_1</v>
      </c>
      <c r="F316" t="str">
        <f>[1]map.xml!F316</f>
        <v>1_10000,2_0,3_0</v>
      </c>
      <c r="G316" t="str">
        <f>[1]map.xml!G316</f>
        <v>40000_50950015_1_0,40000_50952065_1_0,4004090_0_1_8575,4004090_0_1_8575,4004090_0_1_8575,30000_90004_1_10000,30000_90005_1_7000</v>
      </c>
      <c r="H316">
        <f>[1]map.xml!H316</f>
        <v>0</v>
      </c>
      <c r="I316" t="str">
        <f>[1]map.xml!I316</f>
        <v>30000_90006_1_10000,4004090_0_1_8575,4004090_0_1_8575,4004090_0_1_8575</v>
      </c>
      <c r="J316">
        <f>[1]map.xml!J316</f>
        <v>0</v>
      </c>
      <c r="K316">
        <f>精英副本!K372</f>
        <v>100</v>
      </c>
      <c r="L316" t="str">
        <f>精英副本!L372</f>
        <v>map/map_001.png</v>
      </c>
      <c r="M316" t="str">
        <f>精英副本!M372</f>
        <v>1-3</v>
      </c>
      <c r="N316">
        <f>精英副本!N372</f>
        <v>920</v>
      </c>
      <c r="O316">
        <f>精英副本!O372</f>
        <v>120</v>
      </c>
      <c r="P316">
        <f>精英副本!P372</f>
        <v>10</v>
      </c>
      <c r="Q316">
        <f>精英副本!Q372</f>
        <v>10</v>
      </c>
      <c r="R316">
        <f>精英副本!R372</f>
        <v>0</v>
      </c>
      <c r="S316">
        <f>精英副本!S372</f>
        <v>2</v>
      </c>
      <c r="T316">
        <f>精英副本!T372</f>
        <v>91</v>
      </c>
      <c r="U316">
        <f>精英副本客户端!F260</f>
        <v>209506</v>
      </c>
    </row>
    <row r="317" spans="1:21">
      <c r="A317">
        <f>精英副本!A373</f>
        <v>209508</v>
      </c>
      <c r="B317" t="str">
        <f>精英副本!Y373</f>
        <v>沉着试炼（95）</v>
      </c>
      <c r="C317">
        <f>精英副本!C373</f>
        <v>0</v>
      </c>
      <c r="D317">
        <f>精英副本!D373</f>
        <v>0</v>
      </c>
      <c r="E317" t="str">
        <f>[1]map.xml!$E317</f>
        <v>2095081_1</v>
      </c>
      <c r="F317" t="str">
        <f>[1]map.xml!F317</f>
        <v>1_10000,2_0,3_0</v>
      </c>
      <c r="G317" t="str">
        <f>[1]map.xml!G317</f>
        <v>40000_50950035_1_0,40000_50953055_1_0,4004090_0_1_8600,4004090_0_1_8600,4004090_0_1_8600,30000_90004_1_10000,30000_90005_1_7000</v>
      </c>
      <c r="H317">
        <f>[1]map.xml!H317</f>
        <v>0</v>
      </c>
      <c r="I317" t="str">
        <f>[1]map.xml!I317</f>
        <v>30000_90006_1_10000,4004090_0_1_8600,4004090_0_1_8600,4004090_0_1_8600</v>
      </c>
      <c r="J317">
        <f>[1]map.xml!J317</f>
        <v>0</v>
      </c>
      <c r="K317">
        <f>精英副本!K373</f>
        <v>100</v>
      </c>
      <c r="L317" t="str">
        <f>精英副本!L373</f>
        <v>map/map_001.png</v>
      </c>
      <c r="M317" t="str">
        <f>精英副本!M373</f>
        <v>1-3</v>
      </c>
      <c r="N317">
        <f>精英副本!N373</f>
        <v>920</v>
      </c>
      <c r="O317">
        <f>精英副本!O373</f>
        <v>120</v>
      </c>
      <c r="P317">
        <f>精英副本!P373</f>
        <v>10</v>
      </c>
      <c r="Q317">
        <f>精英副本!Q373</f>
        <v>10</v>
      </c>
      <c r="R317">
        <f>精英副本!R373</f>
        <v>0</v>
      </c>
      <c r="S317">
        <f>精英副本!S373</f>
        <v>2</v>
      </c>
      <c r="T317">
        <f>精英副本!T373</f>
        <v>91</v>
      </c>
      <c r="U317">
        <f>精英副本客户端!F261</f>
        <v>209507</v>
      </c>
    </row>
    <row r="318" spans="1:21">
      <c r="A318">
        <f>精英副本!A374</f>
        <v>209509</v>
      </c>
      <c r="B318" t="str">
        <f>精英副本!Y374</f>
        <v>沉着试炼（95）</v>
      </c>
      <c r="C318">
        <f>精英副本!C374</f>
        <v>0</v>
      </c>
      <c r="D318">
        <f>精英副本!D374</f>
        <v>0</v>
      </c>
      <c r="E318" t="str">
        <f>[1]map.xml!$E318</f>
        <v>2095091_1</v>
      </c>
      <c r="F318" t="str">
        <f>[1]map.xml!F318</f>
        <v>1_10000,2_0,3_0</v>
      </c>
      <c r="G318" t="str">
        <f>[1]map.xml!G318</f>
        <v>40000_50952056_1_0,40000_50953065_1_0,4004090_0_1_8625,4004090_0_1_8625,4004090_0_1_8625,30000_90004_1_10000,30000_90005_1_8400</v>
      </c>
      <c r="H318">
        <f>[1]map.xml!H318</f>
        <v>0</v>
      </c>
      <c r="I318" t="str">
        <f>[1]map.xml!I318</f>
        <v>30000_90006_1_10000,4004090_0_1_8625,4004090_0_1_8625,4004090_0_1_8625</v>
      </c>
      <c r="J318">
        <f>[1]map.xml!J318</f>
        <v>0</v>
      </c>
      <c r="K318">
        <f>精英副本!K374</f>
        <v>100</v>
      </c>
      <c r="L318" t="str">
        <f>精英副本!L374</f>
        <v>map/map_001.png</v>
      </c>
      <c r="M318" t="str">
        <f>精英副本!M374</f>
        <v>1-3</v>
      </c>
      <c r="N318">
        <f>精英副本!N374</f>
        <v>920</v>
      </c>
      <c r="O318">
        <f>精英副本!O374</f>
        <v>120</v>
      </c>
      <c r="P318">
        <f>精英副本!P374</f>
        <v>10</v>
      </c>
      <c r="Q318">
        <f>精英副本!Q374</f>
        <v>10</v>
      </c>
      <c r="R318">
        <f>精英副本!R374</f>
        <v>0</v>
      </c>
      <c r="S318">
        <f>精英副本!S374</f>
        <v>2</v>
      </c>
      <c r="T318">
        <f>精英副本!T374</f>
        <v>91</v>
      </c>
      <c r="U318">
        <f>精英副本客户端!F262</f>
        <v>209508</v>
      </c>
    </row>
    <row r="319" spans="1:21">
      <c r="A319">
        <f>精英副本!A375</f>
        <v>210001</v>
      </c>
      <c r="B319" t="str">
        <f>精英副本!Y375</f>
        <v>沉着试炼（100）</v>
      </c>
      <c r="C319">
        <f>精英副本!C375</f>
        <v>0</v>
      </c>
      <c r="D319">
        <f>精英副本!D375</f>
        <v>0</v>
      </c>
      <c r="E319" t="str">
        <f>[1]map.xml!$E319</f>
        <v>2100011_1</v>
      </c>
      <c r="F319" t="str">
        <f>[1]map.xml!F319</f>
        <v>1_10000,2_0,3_0</v>
      </c>
      <c r="G319" t="str">
        <f>[1]map.xml!G319</f>
        <v>40000_51000105_1_0,40000_51000015_1_0,4004094_0_1_8650,4004094_0_1_8650,4004094_0_1_8650,30000_90004_1_10000,30000_90005_1_5600</v>
      </c>
      <c r="H319">
        <f>[1]map.xml!H319</f>
        <v>0</v>
      </c>
      <c r="I319" t="str">
        <f>[1]map.xml!I319</f>
        <v>30000_90006_1_10000,4004094_0_1_8650,4004094_0_1_8650,4004094_0_1_8650</v>
      </c>
      <c r="J319">
        <f>[1]map.xml!J319</f>
        <v>0</v>
      </c>
      <c r="K319">
        <f>精英副本!K375</f>
        <v>100</v>
      </c>
      <c r="L319" t="str">
        <f>精英副本!L375</f>
        <v>map/map_001.png</v>
      </c>
      <c r="M319" t="str">
        <f>精英副本!M375</f>
        <v>1-3</v>
      </c>
      <c r="N319">
        <f>精英副本!N375</f>
        <v>920</v>
      </c>
      <c r="O319">
        <f>精英副本!O375</f>
        <v>120</v>
      </c>
      <c r="P319">
        <f>精英副本!P375</f>
        <v>10</v>
      </c>
      <c r="Q319">
        <f>精英副本!Q375</f>
        <v>10</v>
      </c>
      <c r="R319">
        <f>精英副本!R375</f>
        <v>0</v>
      </c>
      <c r="S319">
        <f>精英副本!S375</f>
        <v>2</v>
      </c>
      <c r="T319">
        <f>精英副本!T375</f>
        <v>96</v>
      </c>
      <c r="U319">
        <f>精英副本客户端!F263</f>
        <v>0</v>
      </c>
    </row>
    <row r="320" spans="1:21">
      <c r="A320">
        <f>精英副本!A376</f>
        <v>210002</v>
      </c>
      <c r="B320" t="str">
        <f>精英副本!Y376</f>
        <v>沉着试炼（100）</v>
      </c>
      <c r="C320">
        <f>精英副本!C376</f>
        <v>0</v>
      </c>
      <c r="D320">
        <f>精英副本!D376</f>
        <v>0</v>
      </c>
      <c r="E320" t="str">
        <f>[1]map.xml!$E320</f>
        <v>2100021_1</v>
      </c>
      <c r="F320" t="str">
        <f>[1]map.xml!F320</f>
        <v>1_10000,2_0,3_0</v>
      </c>
      <c r="G320" t="str">
        <f>[1]map.xml!G320</f>
        <v>40000_51000025_1_0,40000_51002055_1_0,4004094_0_1_8675,4004094_0_1_8675,4004094_0_1_8675,30000_90004_1_10000,30000_90005_1_5600</v>
      </c>
      <c r="H320">
        <f>[1]map.xml!H320</f>
        <v>0</v>
      </c>
      <c r="I320" t="str">
        <f>[1]map.xml!I320</f>
        <v>30000_90006_1_10000,4004094_0_1_8675,4004094_0_1_8675,4004094_0_1_8675</v>
      </c>
      <c r="J320">
        <f>[1]map.xml!J320</f>
        <v>0</v>
      </c>
      <c r="K320">
        <f>精英副本!K376</f>
        <v>100</v>
      </c>
      <c r="L320" t="str">
        <f>精英副本!L376</f>
        <v>map/map_001.png</v>
      </c>
      <c r="M320" t="str">
        <f>精英副本!M376</f>
        <v>1-3</v>
      </c>
      <c r="N320">
        <f>精英副本!N376</f>
        <v>920</v>
      </c>
      <c r="O320">
        <f>精英副本!O376</f>
        <v>120</v>
      </c>
      <c r="P320">
        <f>精英副本!P376</f>
        <v>10</v>
      </c>
      <c r="Q320">
        <f>精英副本!Q376</f>
        <v>10</v>
      </c>
      <c r="R320">
        <f>精英副本!R376</f>
        <v>0</v>
      </c>
      <c r="S320">
        <f>精英副本!S376</f>
        <v>2</v>
      </c>
      <c r="T320">
        <f>精英副本!T376</f>
        <v>96</v>
      </c>
      <c r="U320">
        <f>精英副本客户端!F264</f>
        <v>210001</v>
      </c>
    </row>
    <row r="321" spans="1:21">
      <c r="A321">
        <f>精英副本!A377</f>
        <v>210003</v>
      </c>
      <c r="B321" t="str">
        <f>精英副本!Y377</f>
        <v>沉着试炼（100）</v>
      </c>
      <c r="C321">
        <f>精英副本!C377</f>
        <v>0</v>
      </c>
      <c r="D321">
        <f>精英副本!D377</f>
        <v>0</v>
      </c>
      <c r="E321" t="str">
        <f>[1]map.xml!$E321</f>
        <v>2100031_1</v>
      </c>
      <c r="F321" t="str">
        <f>[1]map.xml!F321</f>
        <v>1_10000,2_0,3_0</v>
      </c>
      <c r="G321" t="str">
        <f>[1]map.xml!G321</f>
        <v>40000_51000046_1_0,40000_51002065_1_0,4004094_0_1_8700,4004094_0_1_8700,4004094_0_1_8700,30000_90004_1_10000,30000_90005_1_7000</v>
      </c>
      <c r="H321">
        <f>[1]map.xml!H321</f>
        <v>0</v>
      </c>
      <c r="I321" t="str">
        <f>[1]map.xml!I321</f>
        <v>30000_90006_1_10000,4004094_0_1_8700,4004094_0_1_8700,4004094_0_1_8700</v>
      </c>
      <c r="J321">
        <f>[1]map.xml!J321</f>
        <v>0</v>
      </c>
      <c r="K321">
        <f>精英副本!K377</f>
        <v>100</v>
      </c>
      <c r="L321" t="str">
        <f>精英副本!L377</f>
        <v>map/map_001.png</v>
      </c>
      <c r="M321" t="str">
        <f>精英副本!M377</f>
        <v>1-3</v>
      </c>
      <c r="N321">
        <f>精英副本!N377</f>
        <v>920</v>
      </c>
      <c r="O321">
        <f>精英副本!O377</f>
        <v>120</v>
      </c>
      <c r="P321">
        <f>精英副本!P377</f>
        <v>10</v>
      </c>
      <c r="Q321">
        <f>精英副本!Q377</f>
        <v>10</v>
      </c>
      <c r="R321">
        <f>精英副本!R377</f>
        <v>0</v>
      </c>
      <c r="S321">
        <f>精英副本!S377</f>
        <v>2</v>
      </c>
      <c r="T321">
        <f>精英副本!T377</f>
        <v>96</v>
      </c>
      <c r="U321">
        <f>精英副本客户端!F265</f>
        <v>210002</v>
      </c>
    </row>
    <row r="322" spans="1:21">
      <c r="A322">
        <f>精英副本!A378</f>
        <v>210004</v>
      </c>
      <c r="B322" t="str">
        <f>精英副本!Y378</f>
        <v>沉着试炼（100）</v>
      </c>
      <c r="C322">
        <f>精英副本!C378</f>
        <v>0</v>
      </c>
      <c r="D322">
        <f>精英副本!D378</f>
        <v>0</v>
      </c>
      <c r="E322" t="str">
        <f>[1]map.xml!$E322</f>
        <v>2100041_1</v>
      </c>
      <c r="F322" t="str">
        <f>[1]map.xml!F322</f>
        <v>1_10000,2_0,3_0</v>
      </c>
      <c r="G322" t="str">
        <f>[1]map.xml!G322</f>
        <v>40000_51000076_1_0,40000_51000035_1_0,4004094_0_1_8725,4004094_0_1_8725,4004094_0_1_8725,30000_90004_1_10000,30000_90005_1_7000</v>
      </c>
      <c r="H322">
        <f>[1]map.xml!H322</f>
        <v>0</v>
      </c>
      <c r="I322" t="str">
        <f>[1]map.xml!I322</f>
        <v>30000_90006_1_10000,4004094_0_1_8725,4004094_0_1_8725,4004094_0_1_8725</v>
      </c>
      <c r="J322">
        <f>[1]map.xml!J322</f>
        <v>0</v>
      </c>
      <c r="K322">
        <f>精英副本!K378</f>
        <v>100</v>
      </c>
      <c r="L322" t="str">
        <f>精英副本!L378</f>
        <v>map/map_001.png</v>
      </c>
      <c r="M322" t="str">
        <f>精英副本!M378</f>
        <v>1-3</v>
      </c>
      <c r="N322">
        <f>精英副本!N378</f>
        <v>920</v>
      </c>
      <c r="O322">
        <f>精英副本!O378</f>
        <v>120</v>
      </c>
      <c r="P322">
        <f>精英副本!P378</f>
        <v>10</v>
      </c>
      <c r="Q322">
        <f>精英副本!Q378</f>
        <v>10</v>
      </c>
      <c r="R322">
        <f>精英副本!R378</f>
        <v>0</v>
      </c>
      <c r="S322">
        <f>精英副本!S378</f>
        <v>2</v>
      </c>
      <c r="T322">
        <f>精英副本!T378</f>
        <v>96</v>
      </c>
      <c r="U322">
        <f>精英副本客户端!F266</f>
        <v>210003</v>
      </c>
    </row>
    <row r="323" spans="1:21">
      <c r="A323">
        <f>精英副本!A379</f>
        <v>210005</v>
      </c>
      <c r="B323" t="str">
        <f>精英副本!Y379</f>
        <v>沉着试炼（100）</v>
      </c>
      <c r="C323">
        <f>精英副本!C379</f>
        <v>0</v>
      </c>
      <c r="D323">
        <f>精英副本!D379</f>
        <v>0</v>
      </c>
      <c r="E323" t="str">
        <f>[1]map.xml!$E323</f>
        <v>2100051_1,2100052_1,2100053_1</v>
      </c>
      <c r="F323" t="str">
        <f>[1]map.xml!F323</f>
        <v>1_0,2_0,3_10000</v>
      </c>
      <c r="G323" t="str">
        <f>[1]map.xml!G323</f>
        <v>40000_51000085_1_0,40000_51003065_1_0,4004094_0_1_8750,4004094_0_1_8750,4004094_0_1_8750,30000_90004_1_10000,30000_90005_1_7000</v>
      </c>
      <c r="H323">
        <f>[1]map.xml!H323</f>
        <v>0</v>
      </c>
      <c r="I323" t="str">
        <f>[1]map.xml!I323</f>
        <v>30000_90006_1_10000,4004094_0_1_8750,4004094_0_1_8750,4004094_0_1_8750</v>
      </c>
      <c r="J323">
        <f>[1]map.xml!J323</f>
        <v>0</v>
      </c>
      <c r="K323">
        <f>精英副本!K379</f>
        <v>100</v>
      </c>
      <c r="L323" t="str">
        <f>精英副本!L379</f>
        <v>map/map_001.png</v>
      </c>
      <c r="M323" t="str">
        <f>精英副本!M379</f>
        <v>1-3</v>
      </c>
      <c r="N323">
        <f>精英副本!N379</f>
        <v>920</v>
      </c>
      <c r="O323">
        <f>精英副本!O379</f>
        <v>120</v>
      </c>
      <c r="P323">
        <f>精英副本!P379</f>
        <v>10</v>
      </c>
      <c r="Q323">
        <f>精英副本!Q379</f>
        <v>10</v>
      </c>
      <c r="R323">
        <f>精英副本!R379</f>
        <v>0</v>
      </c>
      <c r="S323">
        <f>精英副本!S379</f>
        <v>2</v>
      </c>
      <c r="T323">
        <f>精英副本!T379</f>
        <v>96</v>
      </c>
      <c r="U323">
        <f>精英副本客户端!F267</f>
        <v>210004</v>
      </c>
    </row>
    <row r="324" spans="1:21">
      <c r="A324">
        <f>精英副本!A380</f>
        <v>210006</v>
      </c>
      <c r="B324" t="str">
        <f>精英副本!Y380</f>
        <v>沉着试炼（100）</v>
      </c>
      <c r="C324">
        <f>精英副本!C380</f>
        <v>0</v>
      </c>
      <c r="D324">
        <f>精英副本!D380</f>
        <v>0</v>
      </c>
      <c r="E324" t="str">
        <f>[1]map.xml!$E324</f>
        <v>2100061_1</v>
      </c>
      <c r="F324" t="str">
        <f>[1]map.xml!F324</f>
        <v>1_10000,2_0,3_0</v>
      </c>
      <c r="G324" t="str">
        <f>[1]map.xml!G324</f>
        <v>40000_51000095_1_0,40000_51001055_1_0,4004094_0_1_8775,4004094_0_1_8775,4004094_0_1_8775,30000_90004_1_10000,30000_90005_1_8400</v>
      </c>
      <c r="H324">
        <f>[1]map.xml!H324</f>
        <v>0</v>
      </c>
      <c r="I324" t="str">
        <f>[1]map.xml!I324</f>
        <v>30000_90006_1_10000,4004094_0_1_8775,4004094_0_1_8775,4004094_0_1_8775</v>
      </c>
      <c r="J324">
        <f>[1]map.xml!J324</f>
        <v>0</v>
      </c>
      <c r="K324">
        <f>精英副本!K380</f>
        <v>100</v>
      </c>
      <c r="L324" t="str">
        <f>精英副本!L380</f>
        <v>map/map_001.png</v>
      </c>
      <c r="M324" t="str">
        <f>精英副本!M380</f>
        <v>1-3</v>
      </c>
      <c r="N324">
        <f>精英副本!N380</f>
        <v>920</v>
      </c>
      <c r="O324">
        <f>精英副本!O380</f>
        <v>120</v>
      </c>
      <c r="P324">
        <f>精英副本!P380</f>
        <v>10</v>
      </c>
      <c r="Q324">
        <f>精英副本!Q380</f>
        <v>10</v>
      </c>
      <c r="R324">
        <f>精英副本!R380</f>
        <v>0</v>
      </c>
      <c r="S324">
        <f>精英副本!S380</f>
        <v>2</v>
      </c>
      <c r="T324">
        <f>精英副本!T380</f>
        <v>96</v>
      </c>
      <c r="U324">
        <f>精英副本客户端!F268</f>
        <v>210005</v>
      </c>
    </row>
    <row r="325" spans="1:21">
      <c r="A325">
        <f>精英副本!A381</f>
        <v>210007</v>
      </c>
      <c r="B325" t="str">
        <f>精英副本!Y381</f>
        <v>沉着试炼（100）</v>
      </c>
      <c r="C325">
        <f>精英副本!C381</f>
        <v>0</v>
      </c>
      <c r="D325">
        <f>精英副本!D381</f>
        <v>0</v>
      </c>
      <c r="E325" t="str">
        <f>[1]map.xml!$E325</f>
        <v>2100071_1</v>
      </c>
      <c r="F325" t="str">
        <f>[1]map.xml!F325</f>
        <v>1_10000,2_0,3_0</v>
      </c>
      <c r="G325" t="str">
        <f>[1]map.xml!G325</f>
        <v>40000_51000015_1_0,40000_51002065_1_0,4004094_0_1_8800,4004094_0_1_8800,4004094_0_1_8800,30000_90004_1_10000,30000_90005_1_8400</v>
      </c>
      <c r="H325">
        <f>[1]map.xml!H325</f>
        <v>0</v>
      </c>
      <c r="I325" t="str">
        <f>[1]map.xml!I325</f>
        <v>30000_90006_1_10000,4004094_0_1_8800,4004094_0_1_8800,4004094_0_1_8800</v>
      </c>
      <c r="J325">
        <f>[1]map.xml!J325</f>
        <v>0</v>
      </c>
      <c r="K325">
        <f>精英副本!K381</f>
        <v>100</v>
      </c>
      <c r="L325" t="str">
        <f>精英副本!L381</f>
        <v>map/map_001.png</v>
      </c>
      <c r="M325" t="str">
        <f>精英副本!M381</f>
        <v>1-3</v>
      </c>
      <c r="N325">
        <f>精英副本!N381</f>
        <v>920</v>
      </c>
      <c r="O325">
        <f>精英副本!O381</f>
        <v>120</v>
      </c>
      <c r="P325">
        <f>精英副本!P381</f>
        <v>10</v>
      </c>
      <c r="Q325">
        <f>精英副本!Q381</f>
        <v>10</v>
      </c>
      <c r="R325">
        <f>精英副本!R381</f>
        <v>0</v>
      </c>
      <c r="S325">
        <f>精英副本!S381</f>
        <v>2</v>
      </c>
      <c r="T325">
        <f>精英副本!T381</f>
        <v>96</v>
      </c>
      <c r="U325">
        <f>精英副本客户端!F269</f>
        <v>210006</v>
      </c>
    </row>
    <row r="326" spans="1:21">
      <c r="A326">
        <f>精英副本!A382</f>
        <v>210008</v>
      </c>
      <c r="B326" t="str">
        <f>精英副本!Y382</f>
        <v>沉着试炼（100）</v>
      </c>
      <c r="C326">
        <f>精英副本!C382</f>
        <v>0</v>
      </c>
      <c r="D326">
        <f>精英副本!D382</f>
        <v>0</v>
      </c>
      <c r="E326" t="str">
        <f>[1]map.xml!$E326</f>
        <v>2100081_1</v>
      </c>
      <c r="F326" t="str">
        <f>[1]map.xml!F326</f>
        <v>1_10000,2_0,3_0</v>
      </c>
      <c r="G326" t="str">
        <f>[1]map.xml!G326</f>
        <v>40000_51000035_1_0,40000_51003055_1_0,4004094_0_1_8825,4004094_0_1_8825,4004094_0_1_8825,30000_90004_1_10000,30000_90005_1_8400</v>
      </c>
      <c r="H326">
        <f>[1]map.xml!H326</f>
        <v>0</v>
      </c>
      <c r="I326" t="str">
        <f>[1]map.xml!I326</f>
        <v>30000_90006_1_10000,4004094_0_1_8825,4004094_0_1_8825,4004094_0_1_8825</v>
      </c>
      <c r="J326">
        <f>[1]map.xml!J326</f>
        <v>0</v>
      </c>
      <c r="K326">
        <f>精英副本!K382</f>
        <v>100</v>
      </c>
      <c r="L326" t="str">
        <f>精英副本!L382</f>
        <v>map/map_001.png</v>
      </c>
      <c r="M326" t="str">
        <f>精英副本!M382</f>
        <v>1-3</v>
      </c>
      <c r="N326">
        <f>精英副本!N382</f>
        <v>920</v>
      </c>
      <c r="O326">
        <f>精英副本!O382</f>
        <v>120</v>
      </c>
      <c r="P326">
        <f>精英副本!P382</f>
        <v>10</v>
      </c>
      <c r="Q326">
        <f>精英副本!Q382</f>
        <v>10</v>
      </c>
      <c r="R326">
        <f>精英副本!R382</f>
        <v>0</v>
      </c>
      <c r="S326">
        <f>精英副本!S382</f>
        <v>2</v>
      </c>
      <c r="T326">
        <f>精英副本!T382</f>
        <v>96</v>
      </c>
      <c r="U326">
        <f>精英副本客户端!F270</f>
        <v>210007</v>
      </c>
    </row>
    <row r="327" spans="1:21">
      <c r="A327">
        <f>精英副本!A383</f>
        <v>210009</v>
      </c>
      <c r="B327" t="str">
        <f>精英副本!Y383</f>
        <v>沉着试炼（100）</v>
      </c>
      <c r="C327">
        <f>精英副本!C383</f>
        <v>0</v>
      </c>
      <c r="D327">
        <f>精英副本!D383</f>
        <v>0</v>
      </c>
      <c r="E327" t="str">
        <f>[1]map.xml!$E327</f>
        <v>2100091_1</v>
      </c>
      <c r="F327" t="str">
        <f>[1]map.xml!F327</f>
        <v>1_10000,2_0,3_0</v>
      </c>
      <c r="G327" t="str">
        <f>[1]map.xml!G327</f>
        <v>40000_51002056_1_0,40000_51003065_1_0,4004094_0_1_8850,4004094_0_1_8850,4004094_0_1_8850,30000_90004_1_10000,30000_90005_1_9800</v>
      </c>
      <c r="H327">
        <f>[1]map.xml!H327</f>
        <v>0</v>
      </c>
      <c r="I327" t="str">
        <f>[1]map.xml!I327</f>
        <v>30000_90006_1_10000,4004094_0_1_8850,4004094_0_1_8850,4004094_0_1_8850</v>
      </c>
      <c r="J327">
        <f>[1]map.xml!J327</f>
        <v>0</v>
      </c>
      <c r="K327">
        <f>精英副本!K383</f>
        <v>100</v>
      </c>
      <c r="L327" t="str">
        <f>精英副本!L383</f>
        <v>map/map_001.png</v>
      </c>
      <c r="M327" t="str">
        <f>精英副本!M383</f>
        <v>1-3</v>
      </c>
      <c r="N327">
        <f>精英副本!N383</f>
        <v>920</v>
      </c>
      <c r="O327">
        <f>精英副本!O383</f>
        <v>120</v>
      </c>
      <c r="P327">
        <f>精英副本!P383</f>
        <v>10</v>
      </c>
      <c r="Q327">
        <f>精英副本!Q383</f>
        <v>10</v>
      </c>
      <c r="R327">
        <f>精英副本!R383</f>
        <v>0</v>
      </c>
      <c r="S327">
        <f>精英副本!S383</f>
        <v>2</v>
      </c>
      <c r="T327">
        <f>精英副本!T383</f>
        <v>96</v>
      </c>
      <c r="U327">
        <f>精英副本客户端!F271</f>
        <v>210008</v>
      </c>
    </row>
    <row r="328" spans="1:21">
      <c r="A328">
        <f>精英副本!A438</f>
        <v>303001</v>
      </c>
      <c r="B328" t="str">
        <f>精英副本!Y438</f>
        <v>知识试炼（30）</v>
      </c>
      <c r="C328">
        <f>精英副本!C438</f>
        <v>0</v>
      </c>
      <c r="D328">
        <f>精英副本!D438</f>
        <v>0</v>
      </c>
      <c r="E328" t="str">
        <f>[1]map.xml!$E328</f>
        <v>3030011_1</v>
      </c>
      <c r="F328" t="str">
        <f>[1]map.xml!F328</f>
        <v>1_10000,2_0,3_0</v>
      </c>
      <c r="G328" t="str">
        <f>[1]map.xml!G328</f>
        <v>40000_50350105_1_1000,40000_50303065_1_2000,4000430_0_1_5000,4000430_0_1_5000,4000430_0_1_5000,30000_90002_3_10000,30000_90003_1_1100</v>
      </c>
      <c r="H328">
        <f>[1]map.xml!H328</f>
        <v>0</v>
      </c>
      <c r="I328" t="str">
        <f>[1]map.xml!I328</f>
        <v>30000_90004_1_10000,4000430_0_1_5000,4000430_0_1_5000,4000430_0_1_5000</v>
      </c>
      <c r="J328">
        <f>[1]map.xml!J328</f>
        <v>0</v>
      </c>
      <c r="K328">
        <f>精英副本!K438</f>
        <v>100</v>
      </c>
      <c r="L328" t="str">
        <f>精英副本!L438</f>
        <v>map/map_001.png</v>
      </c>
      <c r="M328" t="str">
        <f>精英副本!M438</f>
        <v>1-3</v>
      </c>
      <c r="N328">
        <f>精英副本!N438</f>
        <v>920</v>
      </c>
      <c r="O328">
        <f>精英副本!O438</f>
        <v>120</v>
      </c>
      <c r="P328">
        <f>精英副本!P438</f>
        <v>10</v>
      </c>
      <c r="Q328">
        <f>精英副本!Q438</f>
        <v>10</v>
      </c>
      <c r="R328">
        <f>精英副本!R438</f>
        <v>0</v>
      </c>
      <c r="S328">
        <f>精英副本!S438</f>
        <v>3</v>
      </c>
      <c r="T328">
        <f>精英副本!T438</f>
        <v>30</v>
      </c>
      <c r="U328">
        <f>精英副本客户端!F272</f>
        <v>0</v>
      </c>
    </row>
    <row r="329" spans="1:21">
      <c r="A329">
        <f>精英副本!A439</f>
        <v>303002</v>
      </c>
      <c r="B329" t="str">
        <f>精英副本!Y439</f>
        <v>知识试炼（30）</v>
      </c>
      <c r="C329">
        <f>精英副本!C439</f>
        <v>0</v>
      </c>
      <c r="D329">
        <f>精英副本!D439</f>
        <v>0</v>
      </c>
      <c r="E329" t="str">
        <f>[1]map.xml!$E329</f>
        <v>3030021_1</v>
      </c>
      <c r="F329" t="str">
        <f>[1]map.xml!F329</f>
        <v>1_10000,2_0,3_0</v>
      </c>
      <c r="G329" t="str">
        <f>[1]map.xml!G329</f>
        <v>40000_50350075_1_993,40000_50301055_1_1990,4000430_0_1_5050,4000430_0_1_5050,4000430_0_1_5050,30000_90002_3_10000,30000_90003_1_1100</v>
      </c>
      <c r="H329">
        <f>[1]map.xml!H329</f>
        <v>0</v>
      </c>
      <c r="I329" t="str">
        <f>[1]map.xml!I329</f>
        <v>30000_90004_1_10000,4000430_0_1_5050,4000430_0_1_5050,4000430_0_1_5050</v>
      </c>
      <c r="J329">
        <f>[1]map.xml!J329</f>
        <v>0</v>
      </c>
      <c r="K329">
        <f>精英副本!K439</f>
        <v>100</v>
      </c>
      <c r="L329" t="str">
        <f>精英副本!L439</f>
        <v>map/map_001.png</v>
      </c>
      <c r="M329" t="str">
        <f>精英副本!M439</f>
        <v>1-3</v>
      </c>
      <c r="N329">
        <f>精英副本!N439</f>
        <v>920</v>
      </c>
      <c r="O329">
        <f>精英副本!O439</f>
        <v>120</v>
      </c>
      <c r="P329">
        <f>精英副本!P439</f>
        <v>10</v>
      </c>
      <c r="Q329">
        <f>精英副本!Q439</f>
        <v>10</v>
      </c>
      <c r="R329">
        <f>精英副本!R439</f>
        <v>0</v>
      </c>
      <c r="S329">
        <f>精英副本!S439</f>
        <v>3</v>
      </c>
      <c r="T329">
        <f>精英副本!T439</f>
        <v>30</v>
      </c>
      <c r="U329">
        <f>精英副本客户端!F273</f>
        <v>303001</v>
      </c>
    </row>
    <row r="330" spans="1:21">
      <c r="A330">
        <f>精英副本!A440</f>
        <v>303003</v>
      </c>
      <c r="B330" t="str">
        <f>精英副本!Y440</f>
        <v>知识试炼（30）</v>
      </c>
      <c r="C330">
        <f>精英副本!C440</f>
        <v>0</v>
      </c>
      <c r="D330">
        <f>精英副本!D440</f>
        <v>0</v>
      </c>
      <c r="E330" t="str">
        <f>[1]map.xml!$E330</f>
        <v>3030031_1</v>
      </c>
      <c r="F330" t="str">
        <f>[1]map.xml!F330</f>
        <v>1_10000,2_0,3_0</v>
      </c>
      <c r="G330" t="str">
        <f>[1]map.xml!G330</f>
        <v>40000_50350045_1_986,40000_50301065_1_1980,4000430_0_1_5100,4000430_0_1_5100,4000430_0_1_5100,30000_90002_3_10000,30000_90003_1_2200</v>
      </c>
      <c r="H330">
        <f>[1]map.xml!H330</f>
        <v>0</v>
      </c>
      <c r="I330" t="str">
        <f>[1]map.xml!I330</f>
        <v>30000_90004_1_10000,4000430_0_1_5100,4000430_0_1_5100,4000430_0_1_5100</v>
      </c>
      <c r="J330">
        <f>[1]map.xml!J330</f>
        <v>0</v>
      </c>
      <c r="K330">
        <f>精英副本!K440</f>
        <v>100</v>
      </c>
      <c r="L330" t="str">
        <f>精英副本!L440</f>
        <v>map/map_001.png</v>
      </c>
      <c r="M330" t="str">
        <f>精英副本!M440</f>
        <v>1-3</v>
      </c>
      <c r="N330">
        <f>精英副本!N440</f>
        <v>920</v>
      </c>
      <c r="O330">
        <f>精英副本!O440</f>
        <v>120</v>
      </c>
      <c r="P330">
        <f>精英副本!P440</f>
        <v>10</v>
      </c>
      <c r="Q330">
        <f>精英副本!Q440</f>
        <v>10</v>
      </c>
      <c r="R330">
        <f>精英副本!R440</f>
        <v>0</v>
      </c>
      <c r="S330">
        <f>精英副本!S440</f>
        <v>3</v>
      </c>
      <c r="T330">
        <f>精英副本!T440</f>
        <v>30</v>
      </c>
      <c r="U330">
        <f>精英副本客户端!F274</f>
        <v>303002</v>
      </c>
    </row>
    <row r="331" spans="1:21">
      <c r="A331">
        <f>精英副本!A441</f>
        <v>303004</v>
      </c>
      <c r="B331" t="str">
        <f>精英副本!Y441</f>
        <v>知识试炼（30）</v>
      </c>
      <c r="C331">
        <f>精英副本!C441</f>
        <v>0</v>
      </c>
      <c r="D331">
        <f>精英副本!D441</f>
        <v>0</v>
      </c>
      <c r="E331" t="str">
        <f>[1]map.xml!$E331</f>
        <v>3030041_1</v>
      </c>
      <c r="F331" t="str">
        <f>[1]map.xml!F331</f>
        <v>1_10000,2_0,3_0</v>
      </c>
      <c r="G331" t="str">
        <f>[1]map.xml!G331</f>
        <v>40000_50350025_1_979,40000_50302055_1_1970,4000430_0_1_5150,4000430_0_1_5150,4000430_0_1_5150,30000_90002_3_10000,30000_90003_1_2200</v>
      </c>
      <c r="H331">
        <f>[1]map.xml!H331</f>
        <v>0</v>
      </c>
      <c r="I331" t="str">
        <f>[1]map.xml!I331</f>
        <v>30000_90004_1_10000,4000430_0_1_5150,4000430_0_1_5150,4000430_0_1_5150</v>
      </c>
      <c r="J331">
        <f>[1]map.xml!J331</f>
        <v>0</v>
      </c>
      <c r="K331">
        <f>精英副本!K441</f>
        <v>100</v>
      </c>
      <c r="L331" t="str">
        <f>精英副本!L441</f>
        <v>map/map_001.png</v>
      </c>
      <c r="M331" t="str">
        <f>精英副本!M441</f>
        <v>1-3</v>
      </c>
      <c r="N331">
        <f>精英副本!N441</f>
        <v>920</v>
      </c>
      <c r="O331">
        <f>精英副本!O441</f>
        <v>120</v>
      </c>
      <c r="P331">
        <f>精英副本!P441</f>
        <v>10</v>
      </c>
      <c r="Q331">
        <f>精英副本!Q441</f>
        <v>10</v>
      </c>
      <c r="R331">
        <f>精英副本!R441</f>
        <v>0</v>
      </c>
      <c r="S331">
        <f>精英副本!S441</f>
        <v>3</v>
      </c>
      <c r="T331">
        <f>精英副本!T441</f>
        <v>30</v>
      </c>
      <c r="U331">
        <f>精英副本客户端!F275</f>
        <v>303003</v>
      </c>
    </row>
    <row r="332" spans="1:21">
      <c r="A332">
        <f>精英副本!A442</f>
        <v>303005</v>
      </c>
      <c r="B332" t="str">
        <f>精英副本!Y442</f>
        <v>知识试炼（30）</v>
      </c>
      <c r="C332">
        <f>精英副本!C442</f>
        <v>0</v>
      </c>
      <c r="D332">
        <f>精英副本!D442</f>
        <v>0</v>
      </c>
      <c r="E332" t="str">
        <f>[1]map.xml!$E332</f>
        <v>3030051_1</v>
      </c>
      <c r="F332" t="str">
        <f>[1]map.xml!F332</f>
        <v>1_10000,2_0,3_0</v>
      </c>
      <c r="G332" t="str">
        <f>[1]map.xml!G332</f>
        <v>40000_50350095_1_972,40000_50303055_1_1960,4000430_0_1_5200,4000430_0_1_5200,4000430_0_1_5200,30000_90002_3_10000,30000_90003_1_2200</v>
      </c>
      <c r="H332">
        <f>[1]map.xml!H332</f>
        <v>0</v>
      </c>
      <c r="I332" t="str">
        <f>[1]map.xml!I332</f>
        <v>30000_90004_1_10000,4000430_0_1_5200,4000430_0_1_5200,4000430_0_1_5200</v>
      </c>
      <c r="J332">
        <f>[1]map.xml!J332</f>
        <v>0</v>
      </c>
      <c r="K332">
        <f>精英副本!K442</f>
        <v>100</v>
      </c>
      <c r="L332" t="str">
        <f>精英副本!L442</f>
        <v>map/map_001.png</v>
      </c>
      <c r="M332" t="str">
        <f>精英副本!M442</f>
        <v>1-3</v>
      </c>
      <c r="N332">
        <f>精英副本!N442</f>
        <v>920</v>
      </c>
      <c r="O332">
        <f>精英副本!O442</f>
        <v>120</v>
      </c>
      <c r="P332">
        <f>精英副本!P442</f>
        <v>10</v>
      </c>
      <c r="Q332">
        <f>精英副本!Q442</f>
        <v>10</v>
      </c>
      <c r="R332">
        <f>精英副本!R442</f>
        <v>0</v>
      </c>
      <c r="S332">
        <f>精英副本!S442</f>
        <v>3</v>
      </c>
      <c r="T332">
        <f>精英副本!T442</f>
        <v>30</v>
      </c>
      <c r="U332">
        <f>精英副本客户端!F276</f>
        <v>303004</v>
      </c>
    </row>
    <row r="333" spans="1:21">
      <c r="A333">
        <f>精英副本!A443</f>
        <v>303006</v>
      </c>
      <c r="B333" t="str">
        <f>精英副本!Y443</f>
        <v>知识试炼（30）</v>
      </c>
      <c r="C333">
        <f>精英副本!C443</f>
        <v>0</v>
      </c>
      <c r="D333">
        <f>精英副本!D443</f>
        <v>0</v>
      </c>
      <c r="E333" t="str">
        <f>[1]map.xml!$E333</f>
        <v>3030061_1</v>
      </c>
      <c r="F333" t="str">
        <f>[1]map.xml!F333</f>
        <v>1_10000,2_0,3_0</v>
      </c>
      <c r="G333" t="str">
        <f>[1]map.xml!G333</f>
        <v>40000_50350085_1_965,40000_50300015_1_1950,4000430_0_1_5250,4000430_0_1_5250,4000430_0_1_5250,30000_90002_3_10000,30000_90003_1_3300</v>
      </c>
      <c r="H333">
        <f>[1]map.xml!H333</f>
        <v>0</v>
      </c>
      <c r="I333" t="str">
        <f>[1]map.xml!I333</f>
        <v>30000_90004_1_10000,4000430_0_1_5250,4000430_0_1_5250,4000430_0_1_5250</v>
      </c>
      <c r="J333">
        <f>[1]map.xml!J333</f>
        <v>0</v>
      </c>
      <c r="K333">
        <f>精英副本!K443</f>
        <v>100</v>
      </c>
      <c r="L333" t="str">
        <f>精英副本!L443</f>
        <v>map/map_001.png</v>
      </c>
      <c r="M333" t="str">
        <f>精英副本!M443</f>
        <v>1-3</v>
      </c>
      <c r="N333">
        <f>精英副本!N443</f>
        <v>920</v>
      </c>
      <c r="O333">
        <f>精英副本!O443</f>
        <v>120</v>
      </c>
      <c r="P333">
        <f>精英副本!P443</f>
        <v>10</v>
      </c>
      <c r="Q333">
        <f>精英副本!Q443</f>
        <v>10</v>
      </c>
      <c r="R333">
        <f>精英副本!R443</f>
        <v>0</v>
      </c>
      <c r="S333">
        <f>精英副本!S443</f>
        <v>3</v>
      </c>
      <c r="T333">
        <f>精英副本!T443</f>
        <v>30</v>
      </c>
      <c r="U333">
        <f>精英副本客户端!F277</f>
        <v>303005</v>
      </c>
    </row>
    <row r="334" spans="1:21">
      <c r="A334">
        <f>精英副本!A444</f>
        <v>303007</v>
      </c>
      <c r="B334" t="str">
        <f>精英副本!Y444</f>
        <v>知识试炼（30）</v>
      </c>
      <c r="C334">
        <f>精英副本!C444</f>
        <v>0</v>
      </c>
      <c r="D334">
        <f>精英副本!D444</f>
        <v>0</v>
      </c>
      <c r="E334" t="str">
        <f>[1]map.xml!$E334</f>
        <v>3030071_1,3030072_1</v>
      </c>
      <c r="F334" t="str">
        <f>[1]map.xml!F334</f>
        <v>1_0,2_10000,3_0</v>
      </c>
      <c r="G334" t="str">
        <f>[1]map.xml!G334</f>
        <v>40000_50350015_1_958,40000_50353066_1_1940,4000430_0_1_5300,4000430_0_1_5300,4000430_0_1_5300,30000_90002_3_10000,30000_90003_1_3300</v>
      </c>
      <c r="H334">
        <f>[1]map.xml!H334</f>
        <v>0</v>
      </c>
      <c r="I334" t="str">
        <f>[1]map.xml!I334</f>
        <v>30000_90004_1_10000,4000430_0_1_5300,4000430_0_1_5300,4000430_0_1_5300</v>
      </c>
      <c r="J334">
        <f>[1]map.xml!J334</f>
        <v>0</v>
      </c>
      <c r="K334">
        <f>精英副本!K444</f>
        <v>100</v>
      </c>
      <c r="L334" t="str">
        <f>精英副本!L444</f>
        <v>map/map_001.png</v>
      </c>
      <c r="M334" t="str">
        <f>精英副本!M444</f>
        <v>1-3</v>
      </c>
      <c r="N334">
        <f>精英副本!N444</f>
        <v>920</v>
      </c>
      <c r="O334">
        <f>精英副本!O444</f>
        <v>120</v>
      </c>
      <c r="P334">
        <f>精英副本!P444</f>
        <v>10</v>
      </c>
      <c r="Q334">
        <f>精英副本!Q444</f>
        <v>10</v>
      </c>
      <c r="R334">
        <f>精英副本!R444</f>
        <v>0</v>
      </c>
      <c r="S334">
        <f>精英副本!S444</f>
        <v>3</v>
      </c>
      <c r="T334">
        <f>精英副本!T444</f>
        <v>30</v>
      </c>
      <c r="U334">
        <f>精英副本客户端!F278</f>
        <v>303006</v>
      </c>
    </row>
    <row r="335" spans="1:21">
      <c r="A335">
        <f>精英副本!A445</f>
        <v>303008</v>
      </c>
      <c r="B335" t="str">
        <f>精英副本!Y445</f>
        <v>知识试炼（30）</v>
      </c>
      <c r="C335">
        <f>精英副本!C445</f>
        <v>0</v>
      </c>
      <c r="D335">
        <f>精英副本!D445</f>
        <v>0</v>
      </c>
      <c r="E335" t="str">
        <f>[1]map.xml!$E335</f>
        <v>3030081_1</v>
      </c>
      <c r="F335" t="str">
        <f>[1]map.xml!F335</f>
        <v>1_10000,2_0,3_0</v>
      </c>
      <c r="G335" t="str">
        <f>[1]map.xml!G335</f>
        <v>40000_50350035_1_951,40000_50302065_1_1930,4000430_0_1_5350,4000430_0_1_5350,4000430_0_1_5350,30000_90002_3_10000,30000_90003_1_3300</v>
      </c>
      <c r="H335">
        <f>[1]map.xml!H335</f>
        <v>0</v>
      </c>
      <c r="I335" t="str">
        <f>[1]map.xml!I335</f>
        <v>30000_90004_1_10000,4000430_0_1_5350,4000430_0_1_5350,4000430_0_1_5350</v>
      </c>
      <c r="J335">
        <f>[1]map.xml!J335</f>
        <v>0</v>
      </c>
      <c r="K335">
        <f>精英副本!K445</f>
        <v>100</v>
      </c>
      <c r="L335" t="str">
        <f>精英副本!L445</f>
        <v>map/map_001.png</v>
      </c>
      <c r="M335" t="str">
        <f>精英副本!M445</f>
        <v>1-3</v>
      </c>
      <c r="N335">
        <f>精英副本!N445</f>
        <v>920</v>
      </c>
      <c r="O335">
        <f>精英副本!O445</f>
        <v>120</v>
      </c>
      <c r="P335">
        <f>精英副本!P445</f>
        <v>10</v>
      </c>
      <c r="Q335">
        <f>精英副本!Q445</f>
        <v>10</v>
      </c>
      <c r="R335">
        <f>精英副本!R445</f>
        <v>0</v>
      </c>
      <c r="S335">
        <f>精英副本!S445</f>
        <v>3</v>
      </c>
      <c r="T335">
        <f>精英副本!T445</f>
        <v>30</v>
      </c>
      <c r="U335">
        <f>精英副本客户端!F279</f>
        <v>303007</v>
      </c>
    </row>
    <row r="336" spans="1:21">
      <c r="A336">
        <f>精英副本!A446</f>
        <v>303009</v>
      </c>
      <c r="B336" t="str">
        <f>精英副本!Y446</f>
        <v>知识试炼（30）</v>
      </c>
      <c r="C336">
        <f>精英副本!C446</f>
        <v>0</v>
      </c>
      <c r="D336">
        <f>精英副本!D446</f>
        <v>0</v>
      </c>
      <c r="E336" t="str">
        <f>[1]map.xml!$E336</f>
        <v>3030091_1</v>
      </c>
      <c r="F336" t="str">
        <f>[1]map.xml!F336</f>
        <v>1_10000,2_0,3_0</v>
      </c>
      <c r="G336" t="str">
        <f>[1]map.xml!G336</f>
        <v>40000_50353055_1_944,40000_50300035_1_1920,4000430_0_1_5400,4000430_0_1_5400,4000430_0_1_5400,30000_90002_3_10000,30000_90003_1_4400</v>
      </c>
      <c r="H336">
        <f>[1]map.xml!H336</f>
        <v>0</v>
      </c>
      <c r="I336" t="str">
        <f>[1]map.xml!I336</f>
        <v>30000_90004_1_10000,4000430_0_1_5400,4000430_0_1_5400,4000430_0_1_5400</v>
      </c>
      <c r="J336">
        <f>[1]map.xml!J336</f>
        <v>0</v>
      </c>
      <c r="K336">
        <f>精英副本!K446</f>
        <v>100</v>
      </c>
      <c r="L336" t="str">
        <f>精英副本!L446</f>
        <v>map/map_001.png</v>
      </c>
      <c r="M336" t="str">
        <f>精英副本!M446</f>
        <v>1-3</v>
      </c>
      <c r="N336">
        <f>精英副本!N446</f>
        <v>920</v>
      </c>
      <c r="O336">
        <f>精英副本!O446</f>
        <v>120</v>
      </c>
      <c r="P336">
        <f>精英副本!P446</f>
        <v>10</v>
      </c>
      <c r="Q336">
        <f>精英副本!Q446</f>
        <v>10</v>
      </c>
      <c r="R336">
        <f>精英副本!R446</f>
        <v>0</v>
      </c>
      <c r="S336">
        <f>精英副本!S446</f>
        <v>3</v>
      </c>
      <c r="T336">
        <f>精英副本!T446</f>
        <v>30</v>
      </c>
      <c r="U336">
        <f>精英副本客户端!F280</f>
        <v>303008</v>
      </c>
    </row>
    <row r="337" spans="1:21">
      <c r="A337">
        <f>精英副本!A447</f>
        <v>303501</v>
      </c>
      <c r="B337" t="str">
        <f>精英副本!Y447</f>
        <v>知识试炼（35）</v>
      </c>
      <c r="C337">
        <f>精英副本!C447</f>
        <v>0</v>
      </c>
      <c r="D337">
        <f>精英副本!D447</f>
        <v>0</v>
      </c>
      <c r="E337" t="str">
        <f>[1]map.xml!$E337</f>
        <v>3035011_1</v>
      </c>
      <c r="F337" t="str">
        <f>[1]map.xml!F337</f>
        <v>1_10000,2_0,3_0</v>
      </c>
      <c r="G337" t="str">
        <f>[1]map.xml!G337</f>
        <v>40000_50400015_1_937,40000_50353065_1_1910,4000435_0_1_5450,4000435_0_1_5450,4000435_0_1_5450,30000_90002_3_10000,30000_90003_1_2200</v>
      </c>
      <c r="H337">
        <f>[1]map.xml!H337</f>
        <v>0</v>
      </c>
      <c r="I337" t="str">
        <f>[1]map.xml!I337</f>
        <v>30000_90004_1_10000,4000435_0_1_5450,4000435_0_1_5450,4000435_0_1_5450</v>
      </c>
      <c r="J337">
        <f>[1]map.xml!J337</f>
        <v>0</v>
      </c>
      <c r="K337">
        <f>精英副本!K447</f>
        <v>100</v>
      </c>
      <c r="L337" t="str">
        <f>精英副本!L447</f>
        <v>map/map_001.png</v>
      </c>
      <c r="M337" t="str">
        <f>精英副本!M447</f>
        <v>1-3</v>
      </c>
      <c r="N337">
        <f>精英副本!N447</f>
        <v>920</v>
      </c>
      <c r="O337">
        <f>精英副本!O447</f>
        <v>120</v>
      </c>
      <c r="P337">
        <f>精英副本!P447</f>
        <v>10</v>
      </c>
      <c r="Q337">
        <f>精英副本!Q447</f>
        <v>10</v>
      </c>
      <c r="R337">
        <f>精英副本!R447</f>
        <v>0</v>
      </c>
      <c r="S337">
        <f>精英副本!S447</f>
        <v>3</v>
      </c>
      <c r="T337">
        <f>精英副本!T447</f>
        <v>31</v>
      </c>
      <c r="U337">
        <f>精英副本客户端!F281</f>
        <v>0</v>
      </c>
    </row>
    <row r="338" spans="1:21">
      <c r="A338">
        <f>精英副本!A448</f>
        <v>303502</v>
      </c>
      <c r="B338" t="str">
        <f>精英副本!Y448</f>
        <v>知识试炼（35）</v>
      </c>
      <c r="C338">
        <f>精英副本!C448</f>
        <v>0</v>
      </c>
      <c r="D338">
        <f>精英副本!D448</f>
        <v>0</v>
      </c>
      <c r="E338" t="str">
        <f>[1]map.xml!$E338</f>
        <v>3035021_1</v>
      </c>
      <c r="F338" t="str">
        <f>[1]map.xml!F338</f>
        <v>1_10000,2_0,3_0</v>
      </c>
      <c r="G338" t="str">
        <f>[1]map.xml!G338</f>
        <v>40000_50400095_1_930,40000_50352055_1_1900,4000435_0_1_5500,4000435_0_1_5500,4000435_0_1_5500,30000_90002_3_10000,30000_90003_1_2200</v>
      </c>
      <c r="H338">
        <f>[1]map.xml!H338</f>
        <v>0</v>
      </c>
      <c r="I338" t="str">
        <f>[1]map.xml!I338</f>
        <v>30000_90004_1_10000,4000435_0_1_5500,4000435_0_1_5500,4000435_0_1_5500</v>
      </c>
      <c r="J338">
        <f>[1]map.xml!J338</f>
        <v>0</v>
      </c>
      <c r="K338">
        <f>精英副本!K448</f>
        <v>100</v>
      </c>
      <c r="L338" t="str">
        <f>精英副本!L448</f>
        <v>map/map_001.png</v>
      </c>
      <c r="M338" t="str">
        <f>精英副本!M448</f>
        <v>1-3</v>
      </c>
      <c r="N338">
        <f>精英副本!N448</f>
        <v>920</v>
      </c>
      <c r="O338">
        <f>精英副本!O448</f>
        <v>120</v>
      </c>
      <c r="P338">
        <f>精英副本!P448</f>
        <v>10</v>
      </c>
      <c r="Q338">
        <f>精英副本!Q448</f>
        <v>10</v>
      </c>
      <c r="R338">
        <f>精英副本!R448</f>
        <v>0</v>
      </c>
      <c r="S338">
        <f>精英副本!S448</f>
        <v>3</v>
      </c>
      <c r="T338">
        <f>精英副本!T448</f>
        <v>31</v>
      </c>
      <c r="U338">
        <f>精英副本客户端!F282</f>
        <v>303501</v>
      </c>
    </row>
    <row r="339" spans="1:21">
      <c r="A339">
        <f>精英副本!A449</f>
        <v>303503</v>
      </c>
      <c r="B339" t="str">
        <f>精英副本!Y449</f>
        <v>知识试炼（35）</v>
      </c>
      <c r="C339">
        <f>精英副本!C449</f>
        <v>0</v>
      </c>
      <c r="D339">
        <f>精英副本!D449</f>
        <v>0</v>
      </c>
      <c r="E339" t="str">
        <f>[1]map.xml!$E339</f>
        <v>3035031_1</v>
      </c>
      <c r="F339" t="str">
        <f>[1]map.xml!F339</f>
        <v>1_10000,2_0,3_0</v>
      </c>
      <c r="G339" t="str">
        <f>[1]map.xml!G339</f>
        <v>40000_50400045_1_923,40000_50351055_1_1890,4000435_0_1_5550,4000435_0_1_5550,4000435_0_1_5550,30000_90002_3_10000,30000_90003_1_3300</v>
      </c>
      <c r="H339">
        <f>[1]map.xml!H339</f>
        <v>0</v>
      </c>
      <c r="I339" t="str">
        <f>[1]map.xml!I339</f>
        <v>30000_90004_1_10000,4000435_0_1_5550,4000435_0_1_5550,4000435_0_1_5550</v>
      </c>
      <c r="J339">
        <f>[1]map.xml!J339</f>
        <v>0</v>
      </c>
      <c r="K339">
        <f>精英副本!K449</f>
        <v>100</v>
      </c>
      <c r="L339" t="str">
        <f>精英副本!L449</f>
        <v>map/map_001.png</v>
      </c>
      <c r="M339" t="str">
        <f>精英副本!M449</f>
        <v>1-3</v>
      </c>
      <c r="N339">
        <f>精英副本!N449</f>
        <v>920</v>
      </c>
      <c r="O339">
        <f>精英副本!O449</f>
        <v>120</v>
      </c>
      <c r="P339">
        <f>精英副本!P449</f>
        <v>10</v>
      </c>
      <c r="Q339">
        <f>精英副本!Q449</f>
        <v>10</v>
      </c>
      <c r="R339">
        <f>精英副本!R449</f>
        <v>0</v>
      </c>
      <c r="S339">
        <f>精英副本!S449</f>
        <v>3</v>
      </c>
      <c r="T339">
        <f>精英副本!T449</f>
        <v>31</v>
      </c>
      <c r="U339">
        <f>精英副本客户端!F283</f>
        <v>303502</v>
      </c>
    </row>
    <row r="340" spans="1:21">
      <c r="A340">
        <f>精英副本!A450</f>
        <v>303504</v>
      </c>
      <c r="B340" t="str">
        <f>精英副本!Y450</f>
        <v>知识试炼（35）</v>
      </c>
      <c r="C340">
        <f>精英副本!C450</f>
        <v>0</v>
      </c>
      <c r="D340">
        <f>精英副本!D450</f>
        <v>0</v>
      </c>
      <c r="E340" t="str">
        <f>[1]map.xml!$E340</f>
        <v>3035041_1</v>
      </c>
      <c r="F340" t="str">
        <f>[1]map.xml!F340</f>
        <v>1_10000,2_0,3_0</v>
      </c>
      <c r="G340" t="str">
        <f>[1]map.xml!G340</f>
        <v>40000_50400085_1_916,40000_50403065_1_1880,4000435_0_1_5600,4000435_0_1_5600,4000435_0_1_5600,30000_90002_3_10000,30000_90003_1_3300</v>
      </c>
      <c r="H340">
        <f>[1]map.xml!H340</f>
        <v>0</v>
      </c>
      <c r="I340" t="str">
        <f>[1]map.xml!I340</f>
        <v>30000_90004_1_10000,4000435_0_1_5600,4000435_0_1_5600,4000435_0_1_5600</v>
      </c>
      <c r="J340">
        <f>[1]map.xml!J340</f>
        <v>0</v>
      </c>
      <c r="K340">
        <f>精英副本!K450</f>
        <v>100</v>
      </c>
      <c r="L340" t="str">
        <f>精英副本!L450</f>
        <v>map/map_001.png</v>
      </c>
      <c r="M340" t="str">
        <f>精英副本!M450</f>
        <v>1-3</v>
      </c>
      <c r="N340">
        <f>精英副本!N450</f>
        <v>920</v>
      </c>
      <c r="O340">
        <f>精英副本!O450</f>
        <v>120</v>
      </c>
      <c r="P340">
        <f>精英副本!P450</f>
        <v>10</v>
      </c>
      <c r="Q340">
        <f>精英副本!Q450</f>
        <v>10</v>
      </c>
      <c r="R340">
        <f>精英副本!R450</f>
        <v>0</v>
      </c>
      <c r="S340">
        <f>精英副本!S450</f>
        <v>3</v>
      </c>
      <c r="T340">
        <f>精英副本!T450</f>
        <v>31</v>
      </c>
      <c r="U340">
        <f>精英副本客户端!F284</f>
        <v>303503</v>
      </c>
    </row>
    <row r="341" spans="1:21">
      <c r="A341">
        <f>精英副本!A451</f>
        <v>303505</v>
      </c>
      <c r="B341" t="str">
        <f>精英副本!Y451</f>
        <v>知识试炼（35）</v>
      </c>
      <c r="C341">
        <f>精英副本!C451</f>
        <v>0</v>
      </c>
      <c r="D341">
        <f>精英副本!D451</f>
        <v>0</v>
      </c>
      <c r="E341" t="str">
        <f>[1]map.xml!$E341</f>
        <v>3035051_1</v>
      </c>
      <c r="F341" t="str">
        <f>[1]map.xml!F341</f>
        <v>1_10000,2_0,3_0</v>
      </c>
      <c r="G341" t="str">
        <f>[1]map.xml!G341</f>
        <v>40000_50400075_1_909,40000_50351065_1_1870,4000435_0_1_5650,4000435_0_1_5650,4000435_0_1_5650,30000_90002_3_10000,30000_90003_1_3300</v>
      </c>
      <c r="H341">
        <f>[1]map.xml!H341</f>
        <v>0</v>
      </c>
      <c r="I341" t="str">
        <f>[1]map.xml!I341</f>
        <v>30000_90004_1_10000,4000435_0_1_5650,4000435_0_1_5650,4000435_0_1_5650</v>
      </c>
      <c r="J341">
        <f>[1]map.xml!J341</f>
        <v>0</v>
      </c>
      <c r="K341">
        <f>精英副本!K451</f>
        <v>100</v>
      </c>
      <c r="L341" t="str">
        <f>精英副本!L451</f>
        <v>map/map_001.png</v>
      </c>
      <c r="M341" t="str">
        <f>精英副本!M451</f>
        <v>1-3</v>
      </c>
      <c r="N341">
        <f>精英副本!N451</f>
        <v>920</v>
      </c>
      <c r="O341">
        <f>精英副本!O451</f>
        <v>120</v>
      </c>
      <c r="P341">
        <f>精英副本!P451</f>
        <v>10</v>
      </c>
      <c r="Q341">
        <f>精英副本!Q451</f>
        <v>10</v>
      </c>
      <c r="R341">
        <f>精英副本!R451</f>
        <v>0</v>
      </c>
      <c r="S341">
        <f>精英副本!S451</f>
        <v>3</v>
      </c>
      <c r="T341">
        <f>精英副本!T451</f>
        <v>31</v>
      </c>
      <c r="U341">
        <f>精英副本客户端!F285</f>
        <v>303504</v>
      </c>
    </row>
    <row r="342" spans="1:21">
      <c r="A342">
        <f>精英副本!A452</f>
        <v>303506</v>
      </c>
      <c r="B342" t="str">
        <f>精英副本!Y452</f>
        <v>知识试炼（35）</v>
      </c>
      <c r="C342">
        <f>精英副本!C452</f>
        <v>0</v>
      </c>
      <c r="D342">
        <f>精英副本!D452</f>
        <v>0</v>
      </c>
      <c r="E342" t="str">
        <f>[1]map.xml!$E342</f>
        <v>3035061_1</v>
      </c>
      <c r="F342" t="str">
        <f>[1]map.xml!F342</f>
        <v>1_10000,2_0,3_0</v>
      </c>
      <c r="G342" t="str">
        <f>[1]map.xml!G342</f>
        <v>40000_50400025_1_902,40000_50350015_1_1860,4000435_0_1_5700,4000435_0_1_5700,4000435_0_1_5700,30000_90002_3_10000,30000_90003_1_4400</v>
      </c>
      <c r="H342">
        <f>[1]map.xml!H342</f>
        <v>0</v>
      </c>
      <c r="I342" t="str">
        <f>[1]map.xml!I342</f>
        <v>30000_90004_1_10000,4000435_0_1_5700,4000435_0_1_5700,4000435_0_1_5700</v>
      </c>
      <c r="J342">
        <f>[1]map.xml!J342</f>
        <v>0</v>
      </c>
      <c r="K342">
        <f>精英副本!K452</f>
        <v>100</v>
      </c>
      <c r="L342" t="str">
        <f>精英副本!L452</f>
        <v>map/map_001.png</v>
      </c>
      <c r="M342" t="str">
        <f>精英副本!M452</f>
        <v>1-3</v>
      </c>
      <c r="N342">
        <f>精英副本!N452</f>
        <v>920</v>
      </c>
      <c r="O342">
        <f>精英副本!O452</f>
        <v>120</v>
      </c>
      <c r="P342">
        <f>精英副本!P452</f>
        <v>10</v>
      </c>
      <c r="Q342">
        <f>精英副本!Q452</f>
        <v>10</v>
      </c>
      <c r="R342">
        <f>精英副本!R452</f>
        <v>0</v>
      </c>
      <c r="S342">
        <f>精英副本!S452</f>
        <v>3</v>
      </c>
      <c r="T342">
        <f>精英副本!T452</f>
        <v>31</v>
      </c>
      <c r="U342">
        <f>精英副本客户端!F286</f>
        <v>303505</v>
      </c>
    </row>
    <row r="343" spans="1:21">
      <c r="A343">
        <f>精英副本!A453</f>
        <v>303507</v>
      </c>
      <c r="B343" t="str">
        <f>精英副本!Y453</f>
        <v>知识试炼（35）</v>
      </c>
      <c r="C343">
        <f>精英副本!C453</f>
        <v>0</v>
      </c>
      <c r="D343">
        <f>精英副本!D453</f>
        <v>0</v>
      </c>
      <c r="E343" t="str">
        <f>[1]map.xml!$E343</f>
        <v>3035071_1,3035072_1</v>
      </c>
      <c r="F343" t="str">
        <f>[1]map.xml!F343</f>
        <v>1_0,2_10000,3_0</v>
      </c>
      <c r="G343" t="str">
        <f>[1]map.xml!G343</f>
        <v>40000_50400105_1_895,40000_50353055_1_1850,4000435_0_1_5750,4000435_0_1_5750,4000435_0_1_5750,30000_90002_3_10000,30000_90003_1_4400</v>
      </c>
      <c r="H343">
        <f>[1]map.xml!H343</f>
        <v>0</v>
      </c>
      <c r="I343" t="str">
        <f>[1]map.xml!I343</f>
        <v>30000_90004_1_10000,4000435_0_1_5750,4000435_0_1_5750,4000435_0_1_5750</v>
      </c>
      <c r="J343">
        <f>[1]map.xml!J343</f>
        <v>0</v>
      </c>
      <c r="K343">
        <f>精英副本!K453</f>
        <v>100</v>
      </c>
      <c r="L343" t="str">
        <f>精英副本!L453</f>
        <v>map/map_001.png</v>
      </c>
      <c r="M343" t="str">
        <f>精英副本!M453</f>
        <v>1-3</v>
      </c>
      <c r="N343">
        <f>精英副本!N453</f>
        <v>920</v>
      </c>
      <c r="O343">
        <f>精英副本!O453</f>
        <v>120</v>
      </c>
      <c r="P343">
        <f>精英副本!P453</f>
        <v>10</v>
      </c>
      <c r="Q343">
        <f>精英副本!Q453</f>
        <v>10</v>
      </c>
      <c r="R343">
        <f>精英副本!R453</f>
        <v>0</v>
      </c>
      <c r="S343">
        <f>精英副本!S453</f>
        <v>3</v>
      </c>
      <c r="T343">
        <f>精英副本!T453</f>
        <v>31</v>
      </c>
      <c r="U343">
        <f>精英副本客户端!F287</f>
        <v>303506</v>
      </c>
    </row>
    <row r="344" spans="1:21">
      <c r="A344">
        <f>精英副本!A454</f>
        <v>303508</v>
      </c>
      <c r="B344" t="str">
        <f>精英副本!Y454</f>
        <v>知识试炼（35）</v>
      </c>
      <c r="C344">
        <f>精英副本!C454</f>
        <v>0</v>
      </c>
      <c r="D344">
        <f>精英副本!D454</f>
        <v>0</v>
      </c>
      <c r="E344" t="str">
        <f>[1]map.xml!$E344</f>
        <v>3035081_1</v>
      </c>
      <c r="F344" t="str">
        <f>[1]map.xml!F344</f>
        <v>1_10000,2_0,3_0</v>
      </c>
      <c r="G344" t="str">
        <f>[1]map.xml!G344</f>
        <v>40000_50400035_1_888,40000_50350035_1_1840,4000435_0_1_5800,4000435_0_1_5800,4000435_0_1_5800,30000_90002_3_10000,30000_90003_1_4400</v>
      </c>
      <c r="H344">
        <f>[1]map.xml!H344</f>
        <v>0</v>
      </c>
      <c r="I344" t="str">
        <f>[1]map.xml!I344</f>
        <v>30000_90004_1_10000,4000435_0_1_5800,4000435_0_1_5800,4000435_0_1_5800</v>
      </c>
      <c r="J344">
        <f>[1]map.xml!J344</f>
        <v>0</v>
      </c>
      <c r="K344">
        <f>精英副本!K454</f>
        <v>100</v>
      </c>
      <c r="L344" t="str">
        <f>精英副本!L454</f>
        <v>map/map_001.png</v>
      </c>
      <c r="M344" t="str">
        <f>精英副本!M454</f>
        <v>1-3</v>
      </c>
      <c r="N344">
        <f>精英副本!N454</f>
        <v>920</v>
      </c>
      <c r="O344">
        <f>精英副本!O454</f>
        <v>120</v>
      </c>
      <c r="P344">
        <f>精英副本!P454</f>
        <v>10</v>
      </c>
      <c r="Q344">
        <f>精英副本!Q454</f>
        <v>10</v>
      </c>
      <c r="R344">
        <f>精英副本!R454</f>
        <v>0</v>
      </c>
      <c r="S344">
        <f>精英副本!S454</f>
        <v>3</v>
      </c>
      <c r="T344">
        <f>精英副本!T454</f>
        <v>31</v>
      </c>
      <c r="U344">
        <f>精英副本客户端!F288</f>
        <v>303507</v>
      </c>
    </row>
    <row r="345" spans="1:21">
      <c r="A345">
        <f>精英副本!A455</f>
        <v>303509</v>
      </c>
      <c r="B345" t="str">
        <f>精英副本!Y455</f>
        <v>知识试炼（35）</v>
      </c>
      <c r="C345">
        <f>精英副本!C455</f>
        <v>0</v>
      </c>
      <c r="D345">
        <f>精英副本!D455</f>
        <v>0</v>
      </c>
      <c r="E345" t="str">
        <f>[1]map.xml!$E345</f>
        <v>3035091_1</v>
      </c>
      <c r="F345" t="str">
        <f>[1]map.xml!F345</f>
        <v>1_10000,2_0,3_0</v>
      </c>
      <c r="G345" t="str">
        <f>[1]map.xml!G345</f>
        <v>40000_50403056_1_881,40000_50352065_1_1830,4000435_0_1_5850,4000435_0_1_5850,4000435_0_1_5850,30000_90002_3_10000,30000_90003_1_5500</v>
      </c>
      <c r="H345">
        <f>[1]map.xml!H345</f>
        <v>0</v>
      </c>
      <c r="I345" t="str">
        <f>[1]map.xml!I345</f>
        <v>30000_90004_1_10000,4000435_0_1_5850,4000435_0_1_5850,4000435_0_1_5850</v>
      </c>
      <c r="J345">
        <f>[1]map.xml!J345</f>
        <v>0</v>
      </c>
      <c r="K345">
        <f>精英副本!K455</f>
        <v>100</v>
      </c>
      <c r="L345" t="str">
        <f>精英副本!L455</f>
        <v>map/map_001.png</v>
      </c>
      <c r="M345" t="str">
        <f>精英副本!M455</f>
        <v>1-3</v>
      </c>
      <c r="N345">
        <f>精英副本!N455</f>
        <v>920</v>
      </c>
      <c r="O345">
        <f>精英副本!O455</f>
        <v>120</v>
      </c>
      <c r="P345">
        <f>精英副本!P455</f>
        <v>10</v>
      </c>
      <c r="Q345">
        <f>精英副本!Q455</f>
        <v>10</v>
      </c>
      <c r="R345">
        <f>精英副本!R455</f>
        <v>0</v>
      </c>
      <c r="S345">
        <f>精英副本!S455</f>
        <v>3</v>
      </c>
      <c r="T345">
        <f>精英副本!T455</f>
        <v>31</v>
      </c>
      <c r="U345">
        <f>精英副本客户端!F289</f>
        <v>303508</v>
      </c>
    </row>
    <row r="346" spans="1:21">
      <c r="A346">
        <f>精英副本!A456</f>
        <v>304001</v>
      </c>
      <c r="B346" t="str">
        <f>精英副本!Y456</f>
        <v>知识试炼（40）</v>
      </c>
      <c r="C346">
        <f>精英副本!C456</f>
        <v>0</v>
      </c>
      <c r="D346">
        <f>精英副本!D456</f>
        <v>0</v>
      </c>
      <c r="E346" t="str">
        <f>[1]map.xml!$E346</f>
        <v>3040011_1</v>
      </c>
      <c r="F346" t="str">
        <f>[1]map.xml!F346</f>
        <v>1_10000,2_0,3_0</v>
      </c>
      <c r="G346" t="str">
        <f>[1]map.xml!G346</f>
        <v>40000_50450025_1_874,40000_50403065_1_1820,4000440_0_1_5900,4000440_0_1_5900,4000440_0_1_5900,30000_90002_3_10000,30000_90003_1_3300</v>
      </c>
      <c r="H346">
        <f>[1]map.xml!H346</f>
        <v>0</v>
      </c>
      <c r="I346" t="str">
        <f>[1]map.xml!I346</f>
        <v>30000_90004_1_10000,4000440_0_1_5900,4000440_0_1_5900,4000440_0_1_5900</v>
      </c>
      <c r="J346">
        <f>[1]map.xml!J346</f>
        <v>0</v>
      </c>
      <c r="K346">
        <f>精英副本!K456</f>
        <v>100</v>
      </c>
      <c r="L346" t="str">
        <f>精英副本!L456</f>
        <v>map/map_001.png</v>
      </c>
      <c r="M346" t="str">
        <f>精英副本!M456</f>
        <v>1-3</v>
      </c>
      <c r="N346">
        <f>精英副本!N456</f>
        <v>920</v>
      </c>
      <c r="O346">
        <f>精英副本!O456</f>
        <v>120</v>
      </c>
      <c r="P346">
        <f>精英副本!P456</f>
        <v>10</v>
      </c>
      <c r="Q346">
        <f>精英副本!Q456</f>
        <v>10</v>
      </c>
      <c r="R346">
        <f>精英副本!R456</f>
        <v>0</v>
      </c>
      <c r="S346">
        <f>精英副本!S456</f>
        <v>3</v>
      </c>
      <c r="T346">
        <f>精英副本!T456</f>
        <v>36</v>
      </c>
      <c r="U346">
        <f>精英副本客户端!F290</f>
        <v>0</v>
      </c>
    </row>
    <row r="347" spans="1:21">
      <c r="A347">
        <f>精英副本!A457</f>
        <v>304002</v>
      </c>
      <c r="B347" t="str">
        <f>精英副本!Y457</f>
        <v>知识试炼（40）</v>
      </c>
      <c r="C347">
        <f>精英副本!C457</f>
        <v>0</v>
      </c>
      <c r="D347">
        <f>精英副本!D457</f>
        <v>0</v>
      </c>
      <c r="E347" t="str">
        <f>[1]map.xml!$E347</f>
        <v>3040021_1</v>
      </c>
      <c r="F347" t="str">
        <f>[1]map.xml!F347</f>
        <v>1_10000,2_0,3_0</v>
      </c>
      <c r="G347" t="str">
        <f>[1]map.xml!G347</f>
        <v>40000_50450105_1_867,40000_50400015_1_1810,4000440_0_1_5950,4000440_0_1_5950,4000440_0_1_5950,30000_90002_3_10000,30000_90003_1_3300</v>
      </c>
      <c r="H347">
        <f>[1]map.xml!H347</f>
        <v>0</v>
      </c>
      <c r="I347" t="str">
        <f>[1]map.xml!I347</f>
        <v>30000_90004_1_10000,4000440_0_1_5950,4000440_0_1_5950,4000440_0_1_5950</v>
      </c>
      <c r="J347">
        <f>[1]map.xml!J347</f>
        <v>0</v>
      </c>
      <c r="K347">
        <f>精英副本!K457</f>
        <v>100</v>
      </c>
      <c r="L347" t="str">
        <f>精英副本!L457</f>
        <v>map/map_001.png</v>
      </c>
      <c r="M347" t="str">
        <f>精英副本!M457</f>
        <v>1-3</v>
      </c>
      <c r="N347">
        <f>精英副本!N457</f>
        <v>920</v>
      </c>
      <c r="O347">
        <f>精英副本!O457</f>
        <v>120</v>
      </c>
      <c r="P347">
        <f>精英副本!P457</f>
        <v>10</v>
      </c>
      <c r="Q347">
        <f>精英副本!Q457</f>
        <v>10</v>
      </c>
      <c r="R347">
        <f>精英副本!R457</f>
        <v>0</v>
      </c>
      <c r="S347">
        <f>精英副本!S457</f>
        <v>3</v>
      </c>
      <c r="T347">
        <f>精英副本!T457</f>
        <v>36</v>
      </c>
      <c r="U347">
        <f>精英副本客户端!F291</f>
        <v>304001</v>
      </c>
    </row>
    <row r="348" spans="1:21">
      <c r="A348">
        <f>精英副本!A458</f>
        <v>304003</v>
      </c>
      <c r="B348" t="str">
        <f>精英副本!Y458</f>
        <v>知识试炼（40）</v>
      </c>
      <c r="C348">
        <f>精英副本!C458</f>
        <v>0</v>
      </c>
      <c r="D348">
        <f>精英副本!D458</f>
        <v>0</v>
      </c>
      <c r="E348" t="str">
        <f>[1]map.xml!$E348</f>
        <v>3040031_1</v>
      </c>
      <c r="F348" t="str">
        <f>[1]map.xml!F348</f>
        <v>1_10000,2_0,3_0</v>
      </c>
      <c r="G348" t="str">
        <f>[1]map.xml!G348</f>
        <v>40000_50450045_1_860,40000_50401055_1_1800,4000440_0_1_6000,4000440_0_1_6000,4000440_0_1_6000,30000_90002_3_10000,30000_90003_1_4400</v>
      </c>
      <c r="H348">
        <f>[1]map.xml!H348</f>
        <v>0</v>
      </c>
      <c r="I348" t="str">
        <f>[1]map.xml!I348</f>
        <v>30000_90004_1_10000,4000440_0_1_6000,4000440_0_1_6000,4000440_0_1_6000</v>
      </c>
      <c r="J348">
        <f>[1]map.xml!J348</f>
        <v>0</v>
      </c>
      <c r="K348">
        <f>精英副本!K458</f>
        <v>100</v>
      </c>
      <c r="L348" t="str">
        <f>精英副本!L458</f>
        <v>map/map_001.png</v>
      </c>
      <c r="M348" t="str">
        <f>精英副本!M458</f>
        <v>1-3</v>
      </c>
      <c r="N348">
        <f>精英副本!N458</f>
        <v>920</v>
      </c>
      <c r="O348">
        <f>精英副本!O458</f>
        <v>120</v>
      </c>
      <c r="P348">
        <f>精英副本!P458</f>
        <v>10</v>
      </c>
      <c r="Q348">
        <f>精英副本!Q458</f>
        <v>10</v>
      </c>
      <c r="R348">
        <f>精英副本!R458</f>
        <v>0</v>
      </c>
      <c r="S348">
        <f>精英副本!S458</f>
        <v>3</v>
      </c>
      <c r="T348">
        <f>精英副本!T458</f>
        <v>36</v>
      </c>
      <c r="U348">
        <f>精英副本客户端!F292</f>
        <v>304002</v>
      </c>
    </row>
    <row r="349" spans="1:21">
      <c r="A349">
        <f>精英副本!A459</f>
        <v>304004</v>
      </c>
      <c r="B349" t="str">
        <f>精英副本!Y459</f>
        <v>知识试炼（40）</v>
      </c>
      <c r="C349">
        <f>精英副本!C459</f>
        <v>0</v>
      </c>
      <c r="D349">
        <f>精英副本!D459</f>
        <v>0</v>
      </c>
      <c r="E349" t="str">
        <f>[1]map.xml!$E349</f>
        <v>3040041_1</v>
      </c>
      <c r="F349" t="str">
        <f>[1]map.xml!F349</f>
        <v>1_10000,2_0,3_0</v>
      </c>
      <c r="G349" t="str">
        <f>[1]map.xml!G349</f>
        <v>40000_50450075_1_853,40000_50401065_1_1790,4000440_0_1_6025,4000440_0_1_6025,4000440_0_1_6025,30000_90002_3_10000,30000_90003_1_4400</v>
      </c>
      <c r="H349">
        <f>[1]map.xml!H349</f>
        <v>0</v>
      </c>
      <c r="I349" t="str">
        <f>[1]map.xml!I349</f>
        <v>30000_90004_1_10000,4000440_0_1_6025,4000440_0_1_6025,4000440_0_1_6025</v>
      </c>
      <c r="J349">
        <f>[1]map.xml!J349</f>
        <v>0</v>
      </c>
      <c r="K349">
        <f>精英副本!K459</f>
        <v>100</v>
      </c>
      <c r="L349" t="str">
        <f>精英副本!L459</f>
        <v>map/map_001.png</v>
      </c>
      <c r="M349" t="str">
        <f>精英副本!M459</f>
        <v>1-3</v>
      </c>
      <c r="N349">
        <f>精英副本!N459</f>
        <v>920</v>
      </c>
      <c r="O349">
        <f>精英副本!O459</f>
        <v>120</v>
      </c>
      <c r="P349">
        <f>精英副本!P459</f>
        <v>10</v>
      </c>
      <c r="Q349">
        <f>精英副本!Q459</f>
        <v>10</v>
      </c>
      <c r="R349">
        <f>精英副本!R459</f>
        <v>0</v>
      </c>
      <c r="S349">
        <f>精英副本!S459</f>
        <v>3</v>
      </c>
      <c r="T349">
        <f>精英副本!T459</f>
        <v>36</v>
      </c>
      <c r="U349">
        <f>精英副本客户端!F293</f>
        <v>304003</v>
      </c>
    </row>
    <row r="350" spans="1:21">
      <c r="A350">
        <f>精英副本!A460</f>
        <v>304005</v>
      </c>
      <c r="B350" t="str">
        <f>精英副本!Y460</f>
        <v>知识试炼（40）</v>
      </c>
      <c r="C350">
        <f>精英副本!C460</f>
        <v>0</v>
      </c>
      <c r="D350">
        <f>精英副本!D460</f>
        <v>0</v>
      </c>
      <c r="E350" t="str">
        <f>[1]map.xml!$E350</f>
        <v>3040051_1</v>
      </c>
      <c r="F350" t="str">
        <f>[1]map.xml!F350</f>
        <v>1_10000,2_0,3_0</v>
      </c>
      <c r="G350" t="str">
        <f>[1]map.xml!G350</f>
        <v>40000_50450035_1_846,40000_50402065_1_1780,4000440_0_1_6050,4000440_0_1_6050,4000440_0_1_6050,30000_90002_3_10000,30000_90003_1_4400</v>
      </c>
      <c r="H350">
        <f>[1]map.xml!H350</f>
        <v>0</v>
      </c>
      <c r="I350" t="str">
        <f>[1]map.xml!I350</f>
        <v>30000_90004_1_10000,4000440_0_1_6050,4000440_0_1_6050,4000440_0_1_6050</v>
      </c>
      <c r="J350">
        <f>[1]map.xml!J350</f>
        <v>0</v>
      </c>
      <c r="K350">
        <f>精英副本!K460</f>
        <v>100</v>
      </c>
      <c r="L350" t="str">
        <f>精英副本!L460</f>
        <v>map/map_001.png</v>
      </c>
      <c r="M350" t="str">
        <f>精英副本!M460</f>
        <v>1-3</v>
      </c>
      <c r="N350">
        <f>精英副本!N460</f>
        <v>920</v>
      </c>
      <c r="O350">
        <f>精英副本!O460</f>
        <v>120</v>
      </c>
      <c r="P350">
        <f>精英副本!P460</f>
        <v>10</v>
      </c>
      <c r="Q350">
        <f>精英副本!Q460</f>
        <v>10</v>
      </c>
      <c r="R350">
        <f>精英副本!R460</f>
        <v>0</v>
      </c>
      <c r="S350">
        <f>精英副本!S460</f>
        <v>3</v>
      </c>
      <c r="T350">
        <f>精英副本!T460</f>
        <v>36</v>
      </c>
      <c r="U350">
        <f>精英副本客户端!F294</f>
        <v>304004</v>
      </c>
    </row>
    <row r="351" spans="1:21">
      <c r="A351">
        <f>精英副本!A461</f>
        <v>304006</v>
      </c>
      <c r="B351" t="str">
        <f>精英副本!Y461</f>
        <v>知识试炼（40）</v>
      </c>
      <c r="C351">
        <f>精英副本!C461</f>
        <v>0</v>
      </c>
      <c r="D351">
        <f>精英副本!D461</f>
        <v>0</v>
      </c>
      <c r="E351" t="str">
        <f>[1]map.xml!$E351</f>
        <v>3040061_1</v>
      </c>
      <c r="F351" t="str">
        <f>[1]map.xml!F351</f>
        <v>1_10000,2_0,3_0</v>
      </c>
      <c r="G351" t="str">
        <f>[1]map.xml!G351</f>
        <v>40000_50450095_1_839,40000_50402055_1_1770,4000440_0_1_6075,4000440_0_1_6075,4000440_0_1_6075,30000_90002_3_10000,30000_90003_1_5500</v>
      </c>
      <c r="H351">
        <f>[1]map.xml!H351</f>
        <v>0</v>
      </c>
      <c r="I351" t="str">
        <f>[1]map.xml!I351</f>
        <v>30000_90004_1_10000,4000440_0_1_6075,4000440_0_1_6075,4000440_0_1_6075</v>
      </c>
      <c r="J351">
        <f>[1]map.xml!J351</f>
        <v>0</v>
      </c>
      <c r="K351">
        <f>精英副本!K461</f>
        <v>100</v>
      </c>
      <c r="L351" t="str">
        <f>精英副本!L461</f>
        <v>map/map_001.png</v>
      </c>
      <c r="M351" t="str">
        <f>精英副本!M461</f>
        <v>1-3</v>
      </c>
      <c r="N351">
        <f>精英副本!N461</f>
        <v>920</v>
      </c>
      <c r="O351">
        <f>精英副本!O461</f>
        <v>120</v>
      </c>
      <c r="P351">
        <f>精英副本!P461</f>
        <v>10</v>
      </c>
      <c r="Q351">
        <f>精英副本!Q461</f>
        <v>10</v>
      </c>
      <c r="R351">
        <f>精英副本!R461</f>
        <v>0</v>
      </c>
      <c r="S351">
        <f>精英副本!S461</f>
        <v>3</v>
      </c>
      <c r="T351">
        <f>精英副本!T461</f>
        <v>36</v>
      </c>
      <c r="U351">
        <f>精英副本客户端!F295</f>
        <v>304005</v>
      </c>
    </row>
    <row r="352" spans="1:21">
      <c r="A352">
        <f>精英副本!A462</f>
        <v>304007</v>
      </c>
      <c r="B352" t="str">
        <f>精英副本!Y462</f>
        <v>知识试炼（40）</v>
      </c>
      <c r="C352">
        <f>精英副本!C462</f>
        <v>0</v>
      </c>
      <c r="D352">
        <f>精英副本!D462</f>
        <v>0</v>
      </c>
      <c r="E352" t="str">
        <f>[1]map.xml!$E352</f>
        <v>3040071_1,3040072_1</v>
      </c>
      <c r="F352" t="str">
        <f>[1]map.xml!F352</f>
        <v>1_0,2_10000,3_0</v>
      </c>
      <c r="G352" t="str">
        <f>[1]map.xml!G352</f>
        <v>40000_50450015_1_832,40000_50453065_1_1760,4000440_0_1_6100,4000440_0_1_6100,4000440_0_1_6100,30000_90002_3_10000,30000_90003_1_5500</v>
      </c>
      <c r="H352">
        <f>[1]map.xml!H352</f>
        <v>0</v>
      </c>
      <c r="I352" t="str">
        <f>[1]map.xml!I352</f>
        <v>30000_90004_1_10000,4000440_0_1_6100,4000440_0_1_6100,4000440_0_1_6100</v>
      </c>
      <c r="J352">
        <f>[1]map.xml!J352</f>
        <v>0</v>
      </c>
      <c r="K352">
        <f>精英副本!K462</f>
        <v>100</v>
      </c>
      <c r="L352" t="str">
        <f>精英副本!L462</f>
        <v>map/map_001.png</v>
      </c>
      <c r="M352" t="str">
        <f>精英副本!M462</f>
        <v>1-3</v>
      </c>
      <c r="N352">
        <f>精英副本!N462</f>
        <v>920</v>
      </c>
      <c r="O352">
        <f>精英副本!O462</f>
        <v>120</v>
      </c>
      <c r="P352">
        <f>精英副本!P462</f>
        <v>10</v>
      </c>
      <c r="Q352">
        <f>精英副本!Q462</f>
        <v>10</v>
      </c>
      <c r="R352">
        <f>精英副本!R462</f>
        <v>0</v>
      </c>
      <c r="S352">
        <f>精英副本!S462</f>
        <v>3</v>
      </c>
      <c r="T352">
        <f>精英副本!T462</f>
        <v>36</v>
      </c>
      <c r="U352">
        <f>精英副本客户端!F296</f>
        <v>304006</v>
      </c>
    </row>
    <row r="353" spans="1:21">
      <c r="A353">
        <f>精英副本!A463</f>
        <v>304008</v>
      </c>
      <c r="B353" t="str">
        <f>精英副本!Y463</f>
        <v>知识试炼（40）</v>
      </c>
      <c r="C353">
        <f>精英副本!C463</f>
        <v>0</v>
      </c>
      <c r="D353">
        <f>精英副本!D463</f>
        <v>0</v>
      </c>
      <c r="E353" t="str">
        <f>[1]map.xml!$E353</f>
        <v>3040081_1</v>
      </c>
      <c r="F353" t="str">
        <f>[1]map.xml!F353</f>
        <v>1_10000,2_0,3_0</v>
      </c>
      <c r="G353" t="str">
        <f>[1]map.xml!G353</f>
        <v>40000_50450085_1_825,40000_50400035_1_1750,4000440_0_1_6125,4000440_0_1_6125,4000440_0_1_6125,30000_90002_3_10000,30000_90003_1_5500</v>
      </c>
      <c r="H353">
        <f>[1]map.xml!H353</f>
        <v>0</v>
      </c>
      <c r="I353" t="str">
        <f>[1]map.xml!I353</f>
        <v>30000_90004_1_10000,4000440_0_1_6125,4000440_0_1_6125,4000440_0_1_6125</v>
      </c>
      <c r="J353">
        <f>[1]map.xml!J353</f>
        <v>0</v>
      </c>
      <c r="K353">
        <f>精英副本!K463</f>
        <v>100</v>
      </c>
      <c r="L353" t="str">
        <f>精英副本!L463</f>
        <v>map/map_001.png</v>
      </c>
      <c r="M353" t="str">
        <f>精英副本!M463</f>
        <v>1-3</v>
      </c>
      <c r="N353">
        <f>精英副本!N463</f>
        <v>920</v>
      </c>
      <c r="O353">
        <f>精英副本!O463</f>
        <v>120</v>
      </c>
      <c r="P353">
        <f>精英副本!P463</f>
        <v>10</v>
      </c>
      <c r="Q353">
        <f>精英副本!Q463</f>
        <v>10</v>
      </c>
      <c r="R353">
        <f>精英副本!R463</f>
        <v>0</v>
      </c>
      <c r="S353">
        <f>精英副本!S463</f>
        <v>3</v>
      </c>
      <c r="T353">
        <f>精英副本!T463</f>
        <v>36</v>
      </c>
      <c r="U353">
        <f>精英副本客户端!F297</f>
        <v>304007</v>
      </c>
    </row>
    <row r="354" spans="1:21">
      <c r="A354">
        <f>精英副本!A464</f>
        <v>304009</v>
      </c>
      <c r="B354" t="str">
        <f>精英副本!Y464</f>
        <v>知识试炼（40）</v>
      </c>
      <c r="C354">
        <f>精英副本!C464</f>
        <v>0</v>
      </c>
      <c r="D354">
        <f>精英副本!D464</f>
        <v>0</v>
      </c>
      <c r="E354" t="str">
        <f>[1]map.xml!$E354</f>
        <v>3040091_1</v>
      </c>
      <c r="F354" t="str">
        <f>[1]map.xml!F354</f>
        <v>1_10000,2_0,3_0</v>
      </c>
      <c r="G354" t="str">
        <f>[1]map.xml!G354</f>
        <v>40000_50453056_1_818,40000_50403055_1_1740,4000440_0_1_6150,4000440_0_1_6150,4000440_0_1_6150,30000_90002_3_10000,30000_90003_1_6600</v>
      </c>
      <c r="H354">
        <f>[1]map.xml!H354</f>
        <v>0</v>
      </c>
      <c r="I354" t="str">
        <f>[1]map.xml!I354</f>
        <v>30000_90004_1_10000,4000440_0_1_6150,4000440_0_1_6150,4000440_0_1_6150</v>
      </c>
      <c r="J354">
        <f>[1]map.xml!J354</f>
        <v>0</v>
      </c>
      <c r="K354">
        <f>精英副本!K464</f>
        <v>100</v>
      </c>
      <c r="L354" t="str">
        <f>精英副本!L464</f>
        <v>map/map_001.png</v>
      </c>
      <c r="M354" t="str">
        <f>精英副本!M464</f>
        <v>1-3</v>
      </c>
      <c r="N354">
        <f>精英副本!N464</f>
        <v>920</v>
      </c>
      <c r="O354">
        <f>精英副本!O464</f>
        <v>120</v>
      </c>
      <c r="P354">
        <f>精英副本!P464</f>
        <v>10</v>
      </c>
      <c r="Q354">
        <f>精英副本!Q464</f>
        <v>10</v>
      </c>
      <c r="R354">
        <f>精英副本!R464</f>
        <v>0</v>
      </c>
      <c r="S354">
        <f>精英副本!S464</f>
        <v>3</v>
      </c>
      <c r="T354">
        <f>精英副本!T464</f>
        <v>36</v>
      </c>
      <c r="U354">
        <f>精英副本客户端!F298</f>
        <v>304008</v>
      </c>
    </row>
    <row r="355" spans="1:21">
      <c r="A355">
        <f>精英副本!A465</f>
        <v>304501</v>
      </c>
      <c r="B355" t="str">
        <f>精英副本!Y465</f>
        <v>知识试炼（45）</v>
      </c>
      <c r="C355">
        <f>精英副本!C465</f>
        <v>0</v>
      </c>
      <c r="D355">
        <f>精英副本!D465</f>
        <v>0</v>
      </c>
      <c r="E355" t="str">
        <f>[1]map.xml!$E355</f>
        <v>3045011_1</v>
      </c>
      <c r="F355" t="str">
        <f>[1]map.xml!F355</f>
        <v>1_10000,2_0,3_0</v>
      </c>
      <c r="G355" t="str">
        <f>[1]map.xml!G355</f>
        <v>40000_50500045_1_811,40000_50452065_1_1730,4000445_0_1_6175,4000445_0_1_6175,4000445_0_1_6175,30000_90002_3_10000,30000_90003_1_4400</v>
      </c>
      <c r="H355">
        <f>[1]map.xml!H355</f>
        <v>0</v>
      </c>
      <c r="I355" t="str">
        <f>[1]map.xml!I355</f>
        <v>30000_90004_1_10000,4000445_0_1_6175,4000445_0_1_6175,4000445_0_1_6175</v>
      </c>
      <c r="J355">
        <f>[1]map.xml!J355</f>
        <v>0</v>
      </c>
      <c r="K355">
        <f>精英副本!K465</f>
        <v>100</v>
      </c>
      <c r="L355" t="str">
        <f>精英副本!L465</f>
        <v>map/map_001.png</v>
      </c>
      <c r="M355" t="str">
        <f>精英副本!M465</f>
        <v>1-3</v>
      </c>
      <c r="N355">
        <f>精英副本!N465</f>
        <v>920</v>
      </c>
      <c r="O355">
        <f>精英副本!O465</f>
        <v>120</v>
      </c>
      <c r="P355">
        <f>精英副本!P465</f>
        <v>10</v>
      </c>
      <c r="Q355">
        <f>精英副本!Q465</f>
        <v>10</v>
      </c>
      <c r="R355">
        <f>精英副本!R465</f>
        <v>0</v>
      </c>
      <c r="S355">
        <f>精英副本!S465</f>
        <v>3</v>
      </c>
      <c r="T355">
        <f>精英副本!T465</f>
        <v>41</v>
      </c>
      <c r="U355">
        <f>精英副本客户端!F299</f>
        <v>0</v>
      </c>
    </row>
    <row r="356" spans="1:21">
      <c r="A356">
        <f>精英副本!A466</f>
        <v>304502</v>
      </c>
      <c r="B356" t="str">
        <f>精英副本!Y466</f>
        <v>知识试炼（45）</v>
      </c>
      <c r="C356">
        <f>精英副本!C466</f>
        <v>0</v>
      </c>
      <c r="D356">
        <f>精英副本!D466</f>
        <v>0</v>
      </c>
      <c r="E356" t="str">
        <f>[1]map.xml!$E356</f>
        <v>3045021_1</v>
      </c>
      <c r="F356" t="str">
        <f>[1]map.xml!F356</f>
        <v>1_10000,2_0,3_0</v>
      </c>
      <c r="G356" t="str">
        <f>[1]map.xml!G356</f>
        <v>40000_50500075_1_804,40000_50451065_1_1720,4000445_0_1_6200,4000445_0_1_6200,4000445_0_1_6200,30000_90002_3_10000,30000_90003_1_4400</v>
      </c>
      <c r="H356">
        <f>[1]map.xml!H356</f>
        <v>0</v>
      </c>
      <c r="I356" t="str">
        <f>[1]map.xml!I356</f>
        <v>30000_90004_1_10000,4000445_0_1_6200,4000445_0_1_6200,4000445_0_1_6200</v>
      </c>
      <c r="J356">
        <f>[1]map.xml!J356</f>
        <v>0</v>
      </c>
      <c r="K356">
        <f>精英副本!K466</f>
        <v>100</v>
      </c>
      <c r="L356" t="str">
        <f>精英副本!L466</f>
        <v>map/map_001.png</v>
      </c>
      <c r="M356" t="str">
        <f>精英副本!M466</f>
        <v>1-3</v>
      </c>
      <c r="N356">
        <f>精英副本!N466</f>
        <v>920</v>
      </c>
      <c r="O356">
        <f>精英副本!O466</f>
        <v>120</v>
      </c>
      <c r="P356">
        <f>精英副本!P466</f>
        <v>10</v>
      </c>
      <c r="Q356">
        <f>精英副本!Q466</f>
        <v>10</v>
      </c>
      <c r="R356">
        <f>精英副本!R466</f>
        <v>0</v>
      </c>
      <c r="S356">
        <f>精英副本!S466</f>
        <v>3</v>
      </c>
      <c r="T356">
        <f>精英副本!T466</f>
        <v>41</v>
      </c>
      <c r="U356">
        <f>精英副本客户端!F300</f>
        <v>304501</v>
      </c>
    </row>
    <row r="357" spans="1:21">
      <c r="A357">
        <f>精英副本!A467</f>
        <v>304503</v>
      </c>
      <c r="B357" t="str">
        <f>精英副本!Y467</f>
        <v>知识试炼（45）</v>
      </c>
      <c r="C357">
        <f>精英副本!C467</f>
        <v>0</v>
      </c>
      <c r="D357">
        <f>精英副本!D467</f>
        <v>0</v>
      </c>
      <c r="E357" t="str">
        <f>[1]map.xml!$E357</f>
        <v>3045031_1</v>
      </c>
      <c r="F357" t="str">
        <f>[1]map.xml!F357</f>
        <v>1_10000,2_0,3_0</v>
      </c>
      <c r="G357" t="str">
        <f>[1]map.xml!G357</f>
        <v>40000_50500025_1_797,40000_50452055_1_1710,4000445_0_1_6225,4000445_0_1_6225,4000445_0_1_6225,30000_90002_3_10000,30000_90003_1_5500</v>
      </c>
      <c r="H357">
        <f>[1]map.xml!H357</f>
        <v>0</v>
      </c>
      <c r="I357" t="str">
        <f>[1]map.xml!I357</f>
        <v>30000_90004_1_10000,4000445_0_1_6225,4000445_0_1_6225,4000445_0_1_6225</v>
      </c>
      <c r="J357">
        <f>[1]map.xml!J357</f>
        <v>0</v>
      </c>
      <c r="K357">
        <f>精英副本!K467</f>
        <v>100</v>
      </c>
      <c r="L357" t="str">
        <f>精英副本!L467</f>
        <v>map/map_001.png</v>
      </c>
      <c r="M357" t="str">
        <f>精英副本!M467</f>
        <v>1-3</v>
      </c>
      <c r="N357">
        <f>精英副本!N467</f>
        <v>920</v>
      </c>
      <c r="O357">
        <f>精英副本!O467</f>
        <v>120</v>
      </c>
      <c r="P357">
        <f>精英副本!P467</f>
        <v>10</v>
      </c>
      <c r="Q357">
        <f>精英副本!Q467</f>
        <v>10</v>
      </c>
      <c r="R357">
        <f>精英副本!R467</f>
        <v>0</v>
      </c>
      <c r="S357">
        <f>精英副本!S467</f>
        <v>3</v>
      </c>
      <c r="T357">
        <f>精英副本!T467</f>
        <v>41</v>
      </c>
      <c r="U357">
        <f>精英副本客户端!F301</f>
        <v>304502</v>
      </c>
    </row>
    <row r="358" spans="1:21">
      <c r="A358">
        <f>精英副本!A468</f>
        <v>304504</v>
      </c>
      <c r="B358" t="str">
        <f>精英副本!Y468</f>
        <v>知识试炼（45）</v>
      </c>
      <c r="C358">
        <f>精英副本!C468</f>
        <v>0</v>
      </c>
      <c r="D358">
        <f>精英副本!D468</f>
        <v>0</v>
      </c>
      <c r="E358" t="str">
        <f>[1]map.xml!$E358</f>
        <v>3045041_1</v>
      </c>
      <c r="F358" t="str">
        <f>[1]map.xml!F358</f>
        <v>1_10000,2_0,3_0</v>
      </c>
      <c r="G358" t="str">
        <f>[1]map.xml!G358</f>
        <v>40000_50500105_1_790,40000_50453055_1_1700,4000445_0_1_6250,4000445_0_1_6250,4000445_0_1_6250,30000_90002_3_10000,30000_90003_1_5500</v>
      </c>
      <c r="H358">
        <f>[1]map.xml!H358</f>
        <v>0</v>
      </c>
      <c r="I358" t="str">
        <f>[1]map.xml!I358</f>
        <v>30000_90004_1_10000,4000445_0_1_6250,4000445_0_1_6250,4000445_0_1_6250</v>
      </c>
      <c r="J358">
        <f>[1]map.xml!J358</f>
        <v>0</v>
      </c>
      <c r="K358">
        <f>精英副本!K468</f>
        <v>100</v>
      </c>
      <c r="L358" t="str">
        <f>精英副本!L468</f>
        <v>map/map_001.png</v>
      </c>
      <c r="M358" t="str">
        <f>精英副本!M468</f>
        <v>1-3</v>
      </c>
      <c r="N358">
        <f>精英副本!N468</f>
        <v>920</v>
      </c>
      <c r="O358">
        <f>精英副本!O468</f>
        <v>120</v>
      </c>
      <c r="P358">
        <f>精英副本!P468</f>
        <v>10</v>
      </c>
      <c r="Q358">
        <f>精英副本!Q468</f>
        <v>10</v>
      </c>
      <c r="R358">
        <f>精英副本!R468</f>
        <v>0</v>
      </c>
      <c r="S358">
        <f>精英副本!S468</f>
        <v>3</v>
      </c>
      <c r="T358">
        <f>精英副本!T468</f>
        <v>41</v>
      </c>
      <c r="U358">
        <f>精英副本客户端!F302</f>
        <v>304503</v>
      </c>
    </row>
    <row r="359" spans="1:21">
      <c r="A359">
        <f>精英副本!A469</f>
        <v>304505</v>
      </c>
      <c r="B359" t="str">
        <f>精英副本!Y469</f>
        <v>知识试炼（45）</v>
      </c>
      <c r="C359">
        <f>精英副本!C469</f>
        <v>0</v>
      </c>
      <c r="D359">
        <f>精英副本!D469</f>
        <v>0</v>
      </c>
      <c r="E359" t="str">
        <f>[1]map.xml!$E359</f>
        <v>3045051_1</v>
      </c>
      <c r="F359" t="str">
        <f>[1]map.xml!F359</f>
        <v>1_10000,2_0,3_0</v>
      </c>
      <c r="G359" t="str">
        <f>[1]map.xml!G359</f>
        <v>40000_50500095_1_783,40000_50451055_1_1690,4000445_0_1_6275,4000445_0_1_6275,4000445_0_1_6275,30000_90002_3_10000,30000_90003_1_5500</v>
      </c>
      <c r="H359">
        <f>[1]map.xml!H359</f>
        <v>0</v>
      </c>
      <c r="I359" t="str">
        <f>[1]map.xml!I359</f>
        <v>30000_90004_1_10000,4000445_0_1_6275,4000445_0_1_6275,4000445_0_1_6275</v>
      </c>
      <c r="J359">
        <f>[1]map.xml!J359</f>
        <v>0</v>
      </c>
      <c r="K359">
        <f>精英副本!K469</f>
        <v>100</v>
      </c>
      <c r="L359" t="str">
        <f>精英副本!L469</f>
        <v>map/map_001.png</v>
      </c>
      <c r="M359" t="str">
        <f>精英副本!M469</f>
        <v>1-3</v>
      </c>
      <c r="N359">
        <f>精英副本!N469</f>
        <v>920</v>
      </c>
      <c r="O359">
        <f>精英副本!O469</f>
        <v>120</v>
      </c>
      <c r="P359">
        <f>精英副本!P469</f>
        <v>10</v>
      </c>
      <c r="Q359">
        <f>精英副本!Q469</f>
        <v>10</v>
      </c>
      <c r="R359">
        <f>精英副本!R469</f>
        <v>0</v>
      </c>
      <c r="S359">
        <f>精英副本!S469</f>
        <v>3</v>
      </c>
      <c r="T359">
        <f>精英副本!T469</f>
        <v>41</v>
      </c>
      <c r="U359">
        <f>精英副本客户端!F303</f>
        <v>304504</v>
      </c>
    </row>
    <row r="360" spans="1:21">
      <c r="A360">
        <f>精英副本!A470</f>
        <v>304506</v>
      </c>
      <c r="B360" t="str">
        <f>精英副本!Y470</f>
        <v>知识试炼（45）</v>
      </c>
      <c r="C360">
        <f>精英副本!C470</f>
        <v>0</v>
      </c>
      <c r="D360">
        <f>精英副本!D470</f>
        <v>0</v>
      </c>
      <c r="E360" t="str">
        <f>[1]map.xml!$E360</f>
        <v>3045061_1</v>
      </c>
      <c r="F360" t="str">
        <f>[1]map.xml!F360</f>
        <v>1_10000,2_0,3_0</v>
      </c>
      <c r="G360" t="str">
        <f>[1]map.xml!G360</f>
        <v>40000_50500085_1_776,40000_50453065_1_1680,4000445_0_1_6300,4000445_0_1_6300,4000445_0_1_6300,30000_90002_3_10000,30000_90003_1_6600</v>
      </c>
      <c r="H360">
        <f>[1]map.xml!H360</f>
        <v>0</v>
      </c>
      <c r="I360" t="str">
        <f>[1]map.xml!I360</f>
        <v>30000_90004_1_10000,4000445_0_1_6300,4000445_0_1_6300,4000445_0_1_6300</v>
      </c>
      <c r="J360">
        <f>[1]map.xml!J360</f>
        <v>0</v>
      </c>
      <c r="K360">
        <f>精英副本!K470</f>
        <v>100</v>
      </c>
      <c r="L360" t="str">
        <f>精英副本!L470</f>
        <v>map/map_001.png</v>
      </c>
      <c r="M360" t="str">
        <f>精英副本!M470</f>
        <v>1-3</v>
      </c>
      <c r="N360">
        <f>精英副本!N470</f>
        <v>920</v>
      </c>
      <c r="O360">
        <f>精英副本!O470</f>
        <v>120</v>
      </c>
      <c r="P360">
        <f>精英副本!P470</f>
        <v>10</v>
      </c>
      <c r="Q360">
        <f>精英副本!Q470</f>
        <v>10</v>
      </c>
      <c r="R360">
        <f>精英副本!R470</f>
        <v>0</v>
      </c>
      <c r="S360">
        <f>精英副本!S470</f>
        <v>3</v>
      </c>
      <c r="T360">
        <f>精英副本!T470</f>
        <v>41</v>
      </c>
      <c r="U360">
        <f>精英副本客户端!F304</f>
        <v>304505</v>
      </c>
    </row>
    <row r="361" spans="1:21">
      <c r="A361">
        <f>精英副本!A471</f>
        <v>304507</v>
      </c>
      <c r="B361" t="str">
        <f>精英副本!Y471</f>
        <v>知识试炼（45）</v>
      </c>
      <c r="C361">
        <f>精英副本!C471</f>
        <v>0</v>
      </c>
      <c r="D361">
        <f>精英副本!D471</f>
        <v>0</v>
      </c>
      <c r="E361" t="str">
        <f>[1]map.xml!$E361</f>
        <v>3045071_1,3045072_1</v>
      </c>
      <c r="F361" t="str">
        <f>[1]map.xml!F361</f>
        <v>1_0,2_10000,3_0</v>
      </c>
      <c r="G361" t="str">
        <f>[1]map.xml!G361</f>
        <v>40000_50500035_1_769,40000_50503066_1_1670,4000445_0_1_6325,4000445_0_1_6325,4000445_0_1_6325,30000_90002_3_10000,30000_90003_1_6600</v>
      </c>
      <c r="H361">
        <f>[1]map.xml!H361</f>
        <v>0</v>
      </c>
      <c r="I361" t="str">
        <f>[1]map.xml!I361</f>
        <v>30000_90004_1_10000,4000445_0_1_6325,4000445_0_1_6325,4000445_0_1_6325</v>
      </c>
      <c r="J361">
        <f>[1]map.xml!J361</f>
        <v>0</v>
      </c>
      <c r="K361">
        <f>精英副本!K471</f>
        <v>100</v>
      </c>
      <c r="L361" t="str">
        <f>精英副本!L471</f>
        <v>map/map_001.png</v>
      </c>
      <c r="M361" t="str">
        <f>精英副本!M471</f>
        <v>1-3</v>
      </c>
      <c r="N361">
        <f>精英副本!N471</f>
        <v>920</v>
      </c>
      <c r="O361">
        <f>精英副本!O471</f>
        <v>120</v>
      </c>
      <c r="P361">
        <f>精英副本!P471</f>
        <v>10</v>
      </c>
      <c r="Q361">
        <f>精英副本!Q471</f>
        <v>10</v>
      </c>
      <c r="R361">
        <f>精英副本!R471</f>
        <v>0</v>
      </c>
      <c r="S361">
        <f>精英副本!S471</f>
        <v>3</v>
      </c>
      <c r="T361">
        <f>精英副本!T471</f>
        <v>41</v>
      </c>
      <c r="U361">
        <f>精英副本客户端!F305</f>
        <v>304506</v>
      </c>
    </row>
    <row r="362" spans="1:21">
      <c r="A362">
        <f>精英副本!A472</f>
        <v>304508</v>
      </c>
      <c r="B362" t="str">
        <f>精英副本!Y472</f>
        <v>知识试炼（45）</v>
      </c>
      <c r="C362">
        <f>精英副本!C472</f>
        <v>0</v>
      </c>
      <c r="D362">
        <f>精英副本!D472</f>
        <v>0</v>
      </c>
      <c r="E362" t="str">
        <f>[1]map.xml!$E362</f>
        <v>3045081_1</v>
      </c>
      <c r="F362" t="str">
        <f>[1]map.xml!F362</f>
        <v>1_10000,2_0,3_0</v>
      </c>
      <c r="G362" t="str">
        <f>[1]map.xml!G362</f>
        <v>40000_50500015_1_762,40000_50450035_1_1660,4000445_0_1_6350,4000445_0_1_6350,4000445_0_1_6350,30000_90002_3_10000,30000_90003_1_6600</v>
      </c>
      <c r="H362">
        <f>[1]map.xml!H362</f>
        <v>0</v>
      </c>
      <c r="I362" t="str">
        <f>[1]map.xml!I362</f>
        <v>30000_90004_1_10000,4000445_0_1_6350,4000445_0_1_6350,4000445_0_1_6350</v>
      </c>
      <c r="J362">
        <f>[1]map.xml!J362</f>
        <v>0</v>
      </c>
      <c r="K362">
        <f>精英副本!K472</f>
        <v>100</v>
      </c>
      <c r="L362" t="str">
        <f>精英副本!L472</f>
        <v>map/map_001.png</v>
      </c>
      <c r="M362" t="str">
        <f>精英副本!M472</f>
        <v>1-3</v>
      </c>
      <c r="N362">
        <f>精英副本!N472</f>
        <v>920</v>
      </c>
      <c r="O362">
        <f>精英副本!O472</f>
        <v>120</v>
      </c>
      <c r="P362">
        <f>精英副本!P472</f>
        <v>10</v>
      </c>
      <c r="Q362">
        <f>精英副本!Q472</f>
        <v>10</v>
      </c>
      <c r="R362">
        <f>精英副本!R472</f>
        <v>0</v>
      </c>
      <c r="S362">
        <f>精英副本!S472</f>
        <v>3</v>
      </c>
      <c r="T362">
        <f>精英副本!T472</f>
        <v>41</v>
      </c>
      <c r="U362">
        <f>精英副本客户端!F306</f>
        <v>304507</v>
      </c>
    </row>
    <row r="363" spans="1:21">
      <c r="A363">
        <f>精英副本!A473</f>
        <v>304509</v>
      </c>
      <c r="B363" t="str">
        <f>精英副本!Y473</f>
        <v>知识试炼（45）</v>
      </c>
      <c r="C363">
        <f>精英副本!C473</f>
        <v>0</v>
      </c>
      <c r="D363">
        <f>精英副本!D473</f>
        <v>0</v>
      </c>
      <c r="E363" t="str">
        <f>[1]map.xml!$E363</f>
        <v>3045091_1</v>
      </c>
      <c r="F363" t="str">
        <f>[1]map.xml!F363</f>
        <v>1_10000,2_0,3_0</v>
      </c>
      <c r="G363" t="str">
        <f>[1]map.xml!G363</f>
        <v>40000_50503056_1_755,40000_50450015_1_1650,4000445_0_1_6375,4000445_0_1_6375,4000445_0_1_6375,30000_90002_3_10000,30000_90003_1_7700</v>
      </c>
      <c r="H363">
        <f>[1]map.xml!H363</f>
        <v>0</v>
      </c>
      <c r="I363" t="str">
        <f>[1]map.xml!I363</f>
        <v>30000_90004_1_10000,4000445_0_1_6375,4000445_0_1_6375,4000445_0_1_6375</v>
      </c>
      <c r="J363">
        <f>[1]map.xml!J363</f>
        <v>0</v>
      </c>
      <c r="K363">
        <f>精英副本!K473</f>
        <v>100</v>
      </c>
      <c r="L363" t="str">
        <f>精英副本!L473</f>
        <v>map/map_001.png</v>
      </c>
      <c r="M363" t="str">
        <f>精英副本!M473</f>
        <v>1-3</v>
      </c>
      <c r="N363">
        <f>精英副本!N473</f>
        <v>920</v>
      </c>
      <c r="O363">
        <f>精英副本!O473</f>
        <v>120</v>
      </c>
      <c r="P363">
        <f>精英副本!P473</f>
        <v>10</v>
      </c>
      <c r="Q363">
        <f>精英副本!Q473</f>
        <v>10</v>
      </c>
      <c r="R363">
        <f>精英副本!R473</f>
        <v>0</v>
      </c>
      <c r="S363">
        <f>精英副本!S473</f>
        <v>3</v>
      </c>
      <c r="T363">
        <f>精英副本!T473</f>
        <v>41</v>
      </c>
      <c r="U363">
        <f>精英副本客户端!F307</f>
        <v>304508</v>
      </c>
    </row>
    <row r="364" spans="1:21">
      <c r="A364">
        <f>精英副本!A474</f>
        <v>305001</v>
      </c>
      <c r="B364" t="str">
        <f>精英副本!Y474</f>
        <v>知识试炼（50）</v>
      </c>
      <c r="C364">
        <f>精英副本!C474</f>
        <v>0</v>
      </c>
      <c r="D364">
        <f>精英副本!D474</f>
        <v>0</v>
      </c>
      <c r="E364" t="str">
        <f>[1]map.xml!$E364</f>
        <v>3050011_1</v>
      </c>
      <c r="F364" t="str">
        <f>[1]map.xml!F364</f>
        <v>1_10000,2_0,3_0</v>
      </c>
      <c r="G364" t="str">
        <f>[1]map.xml!G364</f>
        <v>40000_50550045_1_748,40000_50502065_1_1640,4000450_0_1_6400,4000450_0_1_6400,4000450_0_1_6400,30000_90002_3_10000,30000_90003_1_5500</v>
      </c>
      <c r="H364">
        <f>[1]map.xml!H364</f>
        <v>0</v>
      </c>
      <c r="I364" t="str">
        <f>[1]map.xml!I364</f>
        <v>30000_90004_1_10000,4000450_0_1_6400,4000450_0_1_6400,4000450_0_1_6400</v>
      </c>
      <c r="J364">
        <f>[1]map.xml!J364</f>
        <v>0</v>
      </c>
      <c r="K364">
        <f>精英副本!K474</f>
        <v>100</v>
      </c>
      <c r="L364" t="str">
        <f>精英副本!L474</f>
        <v>map/map_001.png</v>
      </c>
      <c r="M364" t="str">
        <f>精英副本!M474</f>
        <v>1-3</v>
      </c>
      <c r="N364">
        <f>精英副本!N474</f>
        <v>920</v>
      </c>
      <c r="O364">
        <f>精英副本!O474</f>
        <v>120</v>
      </c>
      <c r="P364">
        <f>精英副本!P474</f>
        <v>10</v>
      </c>
      <c r="Q364">
        <f>精英副本!Q474</f>
        <v>10</v>
      </c>
      <c r="R364">
        <f>精英副本!R474</f>
        <v>0</v>
      </c>
      <c r="S364">
        <f>精英副本!S474</f>
        <v>3</v>
      </c>
      <c r="T364">
        <f>精英副本!T474</f>
        <v>46</v>
      </c>
      <c r="U364">
        <f>精英副本客户端!F308</f>
        <v>0</v>
      </c>
    </row>
    <row r="365" spans="1:21">
      <c r="A365">
        <f>精英副本!A475</f>
        <v>305002</v>
      </c>
      <c r="B365" t="str">
        <f>精英副本!Y475</f>
        <v>知识试炼（50）</v>
      </c>
      <c r="C365">
        <f>精英副本!C475</f>
        <v>0</v>
      </c>
      <c r="D365">
        <f>精英副本!D475</f>
        <v>0</v>
      </c>
      <c r="E365" t="str">
        <f>[1]map.xml!$E365</f>
        <v>3050021_1</v>
      </c>
      <c r="F365" t="str">
        <f>[1]map.xml!F365</f>
        <v>1_10000,2_0,3_0</v>
      </c>
      <c r="G365" t="str">
        <f>[1]map.xml!G365</f>
        <v>40000_50550015_1_741,40000_50501055_1_1630,4000450_0_1_6425,4000450_0_1_6425,4000450_0_1_6425,30000_90002_3_10000,30000_90003_1_5500</v>
      </c>
      <c r="H365">
        <f>[1]map.xml!H365</f>
        <v>0</v>
      </c>
      <c r="I365" t="str">
        <f>[1]map.xml!I365</f>
        <v>30000_90004_1_10000,4000450_0_1_6425,4000450_0_1_6425,4000450_0_1_6425</v>
      </c>
      <c r="J365">
        <f>[1]map.xml!J365</f>
        <v>0</v>
      </c>
      <c r="K365">
        <f>精英副本!K475</f>
        <v>100</v>
      </c>
      <c r="L365" t="str">
        <f>精英副本!L475</f>
        <v>map/map_001.png</v>
      </c>
      <c r="M365" t="str">
        <f>精英副本!M475</f>
        <v>1-3</v>
      </c>
      <c r="N365">
        <f>精英副本!N475</f>
        <v>920</v>
      </c>
      <c r="O365">
        <f>精英副本!O475</f>
        <v>120</v>
      </c>
      <c r="P365">
        <f>精英副本!P475</f>
        <v>10</v>
      </c>
      <c r="Q365">
        <f>精英副本!Q475</f>
        <v>10</v>
      </c>
      <c r="R365">
        <f>精英副本!R475</f>
        <v>0</v>
      </c>
      <c r="S365">
        <f>精英副本!S475</f>
        <v>3</v>
      </c>
      <c r="T365">
        <f>精英副本!T475</f>
        <v>46</v>
      </c>
      <c r="U365">
        <f>精英副本客户端!F309</f>
        <v>305001</v>
      </c>
    </row>
    <row r="366" spans="1:21">
      <c r="A366">
        <f>精英副本!A476</f>
        <v>305003</v>
      </c>
      <c r="B366" t="str">
        <f>精英副本!Y476</f>
        <v>知识试炼（50）</v>
      </c>
      <c r="C366">
        <f>精英副本!C476</f>
        <v>0</v>
      </c>
      <c r="D366">
        <f>精英副本!D476</f>
        <v>0</v>
      </c>
      <c r="E366" t="str">
        <f>[1]map.xml!$E366</f>
        <v>3050031_1</v>
      </c>
      <c r="F366" t="str">
        <f>[1]map.xml!F366</f>
        <v>1_10000,2_0,3_0</v>
      </c>
      <c r="G366" t="str">
        <f>[1]map.xml!G366</f>
        <v>40000_50550105_1_734,40000_50503055_1_1620,4000450_0_1_6450,4000450_0_1_6450,4000450_0_1_6450,30000_90002_3_10000,30000_90003_1_6600</v>
      </c>
      <c r="H366">
        <f>[1]map.xml!H366</f>
        <v>0</v>
      </c>
      <c r="I366" t="str">
        <f>[1]map.xml!I366</f>
        <v>30000_90004_1_10000,4000450_0_1_6450,4000450_0_1_6450,4000450_0_1_6450</v>
      </c>
      <c r="J366">
        <f>[1]map.xml!J366</f>
        <v>0</v>
      </c>
      <c r="K366">
        <f>精英副本!K476</f>
        <v>100</v>
      </c>
      <c r="L366" t="str">
        <f>精英副本!L476</f>
        <v>map/map_001.png</v>
      </c>
      <c r="M366" t="str">
        <f>精英副本!M476</f>
        <v>1-3</v>
      </c>
      <c r="N366">
        <f>精英副本!N476</f>
        <v>920</v>
      </c>
      <c r="O366">
        <f>精英副本!O476</f>
        <v>120</v>
      </c>
      <c r="P366">
        <f>精英副本!P476</f>
        <v>10</v>
      </c>
      <c r="Q366">
        <f>精英副本!Q476</f>
        <v>10</v>
      </c>
      <c r="R366">
        <f>精英副本!R476</f>
        <v>0</v>
      </c>
      <c r="S366">
        <f>精英副本!S476</f>
        <v>3</v>
      </c>
      <c r="T366">
        <f>精英副本!T476</f>
        <v>46</v>
      </c>
      <c r="U366">
        <f>精英副本客户端!F310</f>
        <v>305002</v>
      </c>
    </row>
    <row r="367" spans="1:21">
      <c r="A367">
        <f>精英副本!A477</f>
        <v>305004</v>
      </c>
      <c r="B367" t="str">
        <f>精英副本!Y477</f>
        <v>知识试炼（50）</v>
      </c>
      <c r="C367">
        <f>精英副本!C477</f>
        <v>0</v>
      </c>
      <c r="D367">
        <f>精英副本!D477</f>
        <v>0</v>
      </c>
      <c r="E367" t="str">
        <f>[1]map.xml!$E367</f>
        <v>3050041_1</v>
      </c>
      <c r="F367" t="str">
        <f>[1]map.xml!F367</f>
        <v>1_10000,2_0,3_0</v>
      </c>
      <c r="G367" t="str">
        <f>[1]map.xml!G367</f>
        <v>40000_50550075_1_727,40000_50503065_1_1610,4000450_0_1_6475,4000450_0_1_6475,4000450_0_1_6475,30000_90002_3_10000,30000_90003_1_6600</v>
      </c>
      <c r="H367">
        <f>[1]map.xml!H367</f>
        <v>0</v>
      </c>
      <c r="I367" t="str">
        <f>[1]map.xml!I367</f>
        <v>30000_90004_1_10000,4000450_0_1_6475,4000450_0_1_6475,4000450_0_1_6475</v>
      </c>
      <c r="J367">
        <f>[1]map.xml!J367</f>
        <v>0</v>
      </c>
      <c r="K367">
        <f>精英副本!K477</f>
        <v>100</v>
      </c>
      <c r="L367" t="str">
        <f>精英副本!L477</f>
        <v>map/map_001.png</v>
      </c>
      <c r="M367" t="str">
        <f>精英副本!M477</f>
        <v>1-3</v>
      </c>
      <c r="N367">
        <f>精英副本!N477</f>
        <v>920</v>
      </c>
      <c r="O367">
        <f>精英副本!O477</f>
        <v>120</v>
      </c>
      <c r="P367">
        <f>精英副本!P477</f>
        <v>10</v>
      </c>
      <c r="Q367">
        <f>精英副本!Q477</f>
        <v>10</v>
      </c>
      <c r="R367">
        <f>精英副本!R477</f>
        <v>0</v>
      </c>
      <c r="S367">
        <f>精英副本!S477</f>
        <v>3</v>
      </c>
      <c r="T367">
        <f>精英副本!T477</f>
        <v>46</v>
      </c>
      <c r="U367">
        <f>精英副本客户端!F311</f>
        <v>305003</v>
      </c>
    </row>
    <row r="368" spans="1:21">
      <c r="A368">
        <f>精英副本!A478</f>
        <v>305005</v>
      </c>
      <c r="B368" t="str">
        <f>精英副本!Y478</f>
        <v>知识试炼（50）</v>
      </c>
      <c r="C368">
        <f>精英副本!C478</f>
        <v>0</v>
      </c>
      <c r="D368">
        <f>精英副本!D478</f>
        <v>0</v>
      </c>
      <c r="E368" t="str">
        <f>[1]map.xml!$E368</f>
        <v>3050051_1</v>
      </c>
      <c r="F368" t="str">
        <f>[1]map.xml!F368</f>
        <v>1_10000,2_0,3_0</v>
      </c>
      <c r="G368" t="str">
        <f>[1]map.xml!G368</f>
        <v>40000_50550085_1_720,40000_50553066_1_1600,4000450_0_1_6500,4000450_0_1_6500,4000450_0_1_6500,30000_90002_3_10000,30000_90003_1_6600</v>
      </c>
      <c r="H368">
        <f>[1]map.xml!H368</f>
        <v>0</v>
      </c>
      <c r="I368" t="str">
        <f>[1]map.xml!I368</f>
        <v>30000_90004_1_10000,4000450_0_1_6500,4000450_0_1_6500,4000450_0_1_6500</v>
      </c>
      <c r="J368">
        <f>[1]map.xml!J368</f>
        <v>0</v>
      </c>
      <c r="K368">
        <f>精英副本!K478</f>
        <v>100</v>
      </c>
      <c r="L368" t="str">
        <f>精英副本!L478</f>
        <v>map/map_001.png</v>
      </c>
      <c r="M368" t="str">
        <f>精英副本!M478</f>
        <v>1-3</v>
      </c>
      <c r="N368">
        <f>精英副本!N478</f>
        <v>920</v>
      </c>
      <c r="O368">
        <f>精英副本!O478</f>
        <v>120</v>
      </c>
      <c r="P368">
        <f>精英副本!P478</f>
        <v>10</v>
      </c>
      <c r="Q368">
        <f>精英副本!Q478</f>
        <v>10</v>
      </c>
      <c r="R368">
        <f>精英副本!R478</f>
        <v>0</v>
      </c>
      <c r="S368">
        <f>精英副本!S478</f>
        <v>3</v>
      </c>
      <c r="T368">
        <f>精英副本!T478</f>
        <v>46</v>
      </c>
      <c r="U368">
        <f>精英副本客户端!F312</f>
        <v>305004</v>
      </c>
    </row>
    <row r="369" spans="1:21">
      <c r="A369">
        <f>精英副本!A479</f>
        <v>305006</v>
      </c>
      <c r="B369" t="str">
        <f>精英副本!Y479</f>
        <v>知识试炼（50）</v>
      </c>
      <c r="C369">
        <f>精英副本!C479</f>
        <v>0</v>
      </c>
      <c r="D369">
        <f>精英副本!D479</f>
        <v>0</v>
      </c>
      <c r="E369" t="str">
        <f>[1]map.xml!$E369</f>
        <v>3050061_1</v>
      </c>
      <c r="F369" t="str">
        <f>[1]map.xml!F369</f>
        <v>1_10000,2_0,3_0</v>
      </c>
      <c r="G369" t="str">
        <f>[1]map.xml!G369</f>
        <v>40000_50550035_1_713,40000_50500035_1_1590,4000450_0_1_6525,4000450_0_1_6525,4000450_0_1_6525,30000_90002_3_10000,30000_90003_1_7700</v>
      </c>
      <c r="H369">
        <f>[1]map.xml!H369</f>
        <v>0</v>
      </c>
      <c r="I369" t="str">
        <f>[1]map.xml!I369</f>
        <v>30000_90004_1_10000,4000450_0_1_6525,4000450_0_1_6525,4000450_0_1_6525</v>
      </c>
      <c r="J369">
        <f>[1]map.xml!J369</f>
        <v>0</v>
      </c>
      <c r="K369">
        <f>精英副本!K479</f>
        <v>100</v>
      </c>
      <c r="L369" t="str">
        <f>精英副本!L479</f>
        <v>map/map_001.png</v>
      </c>
      <c r="M369" t="str">
        <f>精英副本!M479</f>
        <v>1-3</v>
      </c>
      <c r="N369">
        <f>精英副本!N479</f>
        <v>920</v>
      </c>
      <c r="O369">
        <f>精英副本!O479</f>
        <v>120</v>
      </c>
      <c r="P369">
        <f>精英副本!P479</f>
        <v>10</v>
      </c>
      <c r="Q369">
        <f>精英副本!Q479</f>
        <v>10</v>
      </c>
      <c r="R369">
        <f>精英副本!R479</f>
        <v>0</v>
      </c>
      <c r="S369">
        <f>精英副本!S479</f>
        <v>3</v>
      </c>
      <c r="T369">
        <f>精英副本!T479</f>
        <v>46</v>
      </c>
      <c r="U369">
        <f>精英副本客户端!F313</f>
        <v>305005</v>
      </c>
    </row>
    <row r="370" spans="1:21">
      <c r="A370">
        <f>精英副本!A480</f>
        <v>305007</v>
      </c>
      <c r="B370" t="str">
        <f>精英副本!Y480</f>
        <v>知识试炼（50）</v>
      </c>
      <c r="C370">
        <f>精英副本!C480</f>
        <v>0</v>
      </c>
      <c r="D370">
        <f>精英副本!D480</f>
        <v>0</v>
      </c>
      <c r="E370" t="str">
        <f>[1]map.xml!$E370</f>
        <v>3050071_1,3050072_1</v>
      </c>
      <c r="F370" t="str">
        <f>[1]map.xml!F370</f>
        <v>1_0,2_10000,3_0</v>
      </c>
      <c r="G370" t="str">
        <f>[1]map.xml!G370</f>
        <v>40000_50550025_1_706,40000_50501065_1_1580,4000450_0_1_6550,4000450_0_1_6550,4000450_0_1_6550,30000_90002_3_10000,30000_90003_1_7700</v>
      </c>
      <c r="H370">
        <f>[1]map.xml!H370</f>
        <v>0</v>
      </c>
      <c r="I370" t="str">
        <f>[1]map.xml!I370</f>
        <v>30000_90004_1_10000,4000450_0_1_6550,4000450_0_1_6550,4000450_0_1_6550</v>
      </c>
      <c r="J370">
        <f>[1]map.xml!J370</f>
        <v>0</v>
      </c>
      <c r="K370">
        <f>精英副本!K480</f>
        <v>100</v>
      </c>
      <c r="L370" t="str">
        <f>精英副本!L480</f>
        <v>map/map_001.png</v>
      </c>
      <c r="M370" t="str">
        <f>精英副本!M480</f>
        <v>1-3</v>
      </c>
      <c r="N370">
        <f>精英副本!N480</f>
        <v>920</v>
      </c>
      <c r="O370">
        <f>精英副本!O480</f>
        <v>120</v>
      </c>
      <c r="P370">
        <f>精英副本!P480</f>
        <v>10</v>
      </c>
      <c r="Q370">
        <f>精英副本!Q480</f>
        <v>10</v>
      </c>
      <c r="R370">
        <f>精英副本!R480</f>
        <v>0</v>
      </c>
      <c r="S370">
        <f>精英副本!S480</f>
        <v>3</v>
      </c>
      <c r="T370">
        <f>精英副本!T480</f>
        <v>46</v>
      </c>
      <c r="U370">
        <f>精英副本客户端!F314</f>
        <v>305006</v>
      </c>
    </row>
    <row r="371" spans="1:21">
      <c r="A371">
        <f>精英副本!A481</f>
        <v>305008</v>
      </c>
      <c r="B371" t="str">
        <f>精英副本!Y481</f>
        <v>知识试炼（50）</v>
      </c>
      <c r="C371">
        <f>精英副本!C481</f>
        <v>0</v>
      </c>
      <c r="D371">
        <f>精英副本!D481</f>
        <v>0</v>
      </c>
      <c r="E371" t="str">
        <f>[1]map.xml!$E371</f>
        <v>3050081_1</v>
      </c>
      <c r="F371" t="str">
        <f>[1]map.xml!F371</f>
        <v>1_10000,2_0,3_0</v>
      </c>
      <c r="G371" t="str">
        <f>[1]map.xml!G371</f>
        <v>40000_50550095_1_699,40000_50500015_1_1570,4000450_0_1_6575,4000450_0_1_6575,4000450_0_1_6575,30000_90002_3_10000,30000_90003_1_7700</v>
      </c>
      <c r="H371">
        <f>[1]map.xml!H371</f>
        <v>0</v>
      </c>
      <c r="I371" t="str">
        <f>[1]map.xml!I371</f>
        <v>30000_90004_1_10000,4000450_0_1_6575,4000450_0_1_6575,4000450_0_1_6575</v>
      </c>
      <c r="J371">
        <f>[1]map.xml!J371</f>
        <v>0</v>
      </c>
      <c r="K371">
        <f>精英副本!K481</f>
        <v>100</v>
      </c>
      <c r="L371" t="str">
        <f>精英副本!L481</f>
        <v>map/map_001.png</v>
      </c>
      <c r="M371" t="str">
        <f>精英副本!M481</f>
        <v>1-3</v>
      </c>
      <c r="N371">
        <f>精英副本!N481</f>
        <v>920</v>
      </c>
      <c r="O371">
        <f>精英副本!O481</f>
        <v>120</v>
      </c>
      <c r="P371">
        <f>精英副本!P481</f>
        <v>10</v>
      </c>
      <c r="Q371">
        <f>精英副本!Q481</f>
        <v>10</v>
      </c>
      <c r="R371">
        <f>精英副本!R481</f>
        <v>0</v>
      </c>
      <c r="S371">
        <f>精英副本!S481</f>
        <v>3</v>
      </c>
      <c r="T371">
        <f>精英副本!T481</f>
        <v>46</v>
      </c>
      <c r="U371">
        <f>精英副本客户端!F315</f>
        <v>305007</v>
      </c>
    </row>
    <row r="372" spans="1:21">
      <c r="A372">
        <f>精英副本!A482</f>
        <v>305009</v>
      </c>
      <c r="B372" t="str">
        <f>精英副本!Y482</f>
        <v>知识试炼（50）</v>
      </c>
      <c r="C372">
        <f>精英副本!C482</f>
        <v>0</v>
      </c>
      <c r="D372">
        <f>精英副本!D482</f>
        <v>0</v>
      </c>
      <c r="E372" t="str">
        <f>[1]map.xml!$E372</f>
        <v>3050091_1</v>
      </c>
      <c r="F372" t="str">
        <f>[1]map.xml!F372</f>
        <v>1_10000,2_0,3_0</v>
      </c>
      <c r="G372" t="str">
        <f>[1]map.xml!G372</f>
        <v>40000_50553055_1_692,40000_50502055_1_1560,4000450_0_1_6600,4000450_0_1_6600,4000450_0_1_6600,30000_90002_3_10000,30000_90003_1_8800</v>
      </c>
      <c r="H372">
        <f>[1]map.xml!H372</f>
        <v>0</v>
      </c>
      <c r="I372" t="str">
        <f>[1]map.xml!I372</f>
        <v>30000_90004_1_10000,4000450_0_1_6600,4000450_0_1_6600,4000450_0_1_6600</v>
      </c>
      <c r="J372">
        <f>[1]map.xml!J372</f>
        <v>0</v>
      </c>
      <c r="K372">
        <f>精英副本!K482</f>
        <v>100</v>
      </c>
      <c r="L372" t="str">
        <f>精英副本!L482</f>
        <v>map/map_001.png</v>
      </c>
      <c r="M372" t="str">
        <f>精英副本!M482</f>
        <v>1-3</v>
      </c>
      <c r="N372">
        <f>精英副本!N482</f>
        <v>920</v>
      </c>
      <c r="O372">
        <f>精英副本!O482</f>
        <v>120</v>
      </c>
      <c r="P372">
        <f>精英副本!P482</f>
        <v>10</v>
      </c>
      <c r="Q372">
        <f>精英副本!Q482</f>
        <v>10</v>
      </c>
      <c r="R372">
        <f>精英副本!R482</f>
        <v>0</v>
      </c>
      <c r="S372">
        <f>精英副本!S482</f>
        <v>3</v>
      </c>
      <c r="T372">
        <f>精英副本!T482</f>
        <v>46</v>
      </c>
      <c r="U372">
        <f>精英副本客户端!F316</f>
        <v>305008</v>
      </c>
    </row>
    <row r="373" spans="1:21">
      <c r="A373">
        <f>精英副本!A483</f>
        <v>305501</v>
      </c>
      <c r="B373" t="str">
        <f>精英副本!Y483</f>
        <v>知识试炼（55）</v>
      </c>
      <c r="C373">
        <f>精英副本!C483</f>
        <v>0</v>
      </c>
      <c r="D373">
        <f>精英副本!D483</f>
        <v>0</v>
      </c>
      <c r="E373" t="str">
        <f>[1]map.xml!$E373</f>
        <v>3055011_1</v>
      </c>
      <c r="F373" t="str">
        <f>[1]map.xml!F373</f>
        <v>1_10000,2_0,3_0</v>
      </c>
      <c r="G373" t="str">
        <f>[1]map.xml!G373</f>
        <v>40000_50600025_1_685,40000_50550035_1_1550,4000455_0_1_6625,4000455_0_1_6625,4000455_0_1_6625,30000_90002_3_10000,30000_90003_1_6600</v>
      </c>
      <c r="H373">
        <f>[1]map.xml!H373</f>
        <v>0</v>
      </c>
      <c r="I373" t="str">
        <f>[1]map.xml!I373</f>
        <v>30000_90004_1_10000,4000455_0_1_6625,4000455_0_1_6625,4000455_0_1_6625</v>
      </c>
      <c r="J373">
        <f>[1]map.xml!J373</f>
        <v>0</v>
      </c>
      <c r="K373">
        <f>精英副本!K483</f>
        <v>100</v>
      </c>
      <c r="L373" t="str">
        <f>精英副本!L483</f>
        <v>map/map_001.png</v>
      </c>
      <c r="M373" t="str">
        <f>精英副本!M483</f>
        <v>1-3</v>
      </c>
      <c r="N373">
        <f>精英副本!N483</f>
        <v>920</v>
      </c>
      <c r="O373">
        <f>精英副本!O483</f>
        <v>120</v>
      </c>
      <c r="P373">
        <f>精英副本!P483</f>
        <v>10</v>
      </c>
      <c r="Q373">
        <f>精英副本!Q483</f>
        <v>10</v>
      </c>
      <c r="R373">
        <f>精英副本!R483</f>
        <v>0</v>
      </c>
      <c r="S373">
        <f>精英副本!S483</f>
        <v>3</v>
      </c>
      <c r="T373">
        <f>精英副本!T483</f>
        <v>51</v>
      </c>
      <c r="U373">
        <f>精英副本客户端!F317</f>
        <v>0</v>
      </c>
    </row>
    <row r="374" spans="1:21">
      <c r="A374">
        <f>精英副本!A484</f>
        <v>305502</v>
      </c>
      <c r="B374" t="str">
        <f>精英副本!Y484</f>
        <v>知识试炼（55）</v>
      </c>
      <c r="C374">
        <f>精英副本!C484</f>
        <v>0</v>
      </c>
      <c r="D374">
        <f>精英副本!D484</f>
        <v>0</v>
      </c>
      <c r="E374" t="str">
        <f>[1]map.xml!$E374</f>
        <v>3055021_1</v>
      </c>
      <c r="F374" t="str">
        <f>[1]map.xml!F374</f>
        <v>1_10000,2_0,3_0</v>
      </c>
      <c r="G374" t="str">
        <f>[1]map.xml!G374</f>
        <v>40000_50600105_1_678,40000_50553055_1_1540,4000455_0_1_6650,4000455_0_1_6650,4000455_0_1_6650,30000_90002_3_10000,30000_90003_1_6600</v>
      </c>
      <c r="H374">
        <f>[1]map.xml!H374</f>
        <v>0</v>
      </c>
      <c r="I374" t="str">
        <f>[1]map.xml!I374</f>
        <v>30000_90004_1_10000,4000455_0_1_6650,4000455_0_1_6650,4000455_0_1_6650</v>
      </c>
      <c r="J374">
        <f>[1]map.xml!J374</f>
        <v>0</v>
      </c>
      <c r="K374">
        <f>精英副本!K484</f>
        <v>100</v>
      </c>
      <c r="L374" t="str">
        <f>精英副本!L484</f>
        <v>map/map_001.png</v>
      </c>
      <c r="M374" t="str">
        <f>精英副本!M484</f>
        <v>1-3</v>
      </c>
      <c r="N374">
        <f>精英副本!N484</f>
        <v>920</v>
      </c>
      <c r="O374">
        <f>精英副本!O484</f>
        <v>120</v>
      </c>
      <c r="P374">
        <f>精英副本!P484</f>
        <v>10</v>
      </c>
      <c r="Q374">
        <f>精英副本!Q484</f>
        <v>10</v>
      </c>
      <c r="R374">
        <f>精英副本!R484</f>
        <v>0</v>
      </c>
      <c r="S374">
        <f>精英副本!S484</f>
        <v>3</v>
      </c>
      <c r="T374">
        <f>精英副本!T484</f>
        <v>51</v>
      </c>
      <c r="U374">
        <f>精英副本客户端!F318</f>
        <v>305501</v>
      </c>
    </row>
    <row r="375" spans="1:21">
      <c r="A375">
        <f>精英副本!A485</f>
        <v>305503</v>
      </c>
      <c r="B375" t="str">
        <f>精英副本!Y485</f>
        <v>知识试炼（55）</v>
      </c>
      <c r="C375">
        <f>精英副本!C485</f>
        <v>0</v>
      </c>
      <c r="D375">
        <f>精英副本!D485</f>
        <v>0</v>
      </c>
      <c r="E375" t="str">
        <f>[1]map.xml!$E375</f>
        <v>3055031_1</v>
      </c>
      <c r="F375" t="str">
        <f>[1]map.xml!F375</f>
        <v>1_10000,2_0,3_0</v>
      </c>
      <c r="G375" t="str">
        <f>[1]map.xml!G375</f>
        <v>40000_50600045_1_671,40000_50603065_1_1530,4000455_0_1_6675,4000455_0_1_6675,4000455_0_1_6675,30000_90002_3_10000,30000_90003_1_7700</v>
      </c>
      <c r="H375">
        <f>[1]map.xml!H375</f>
        <v>0</v>
      </c>
      <c r="I375" t="str">
        <f>[1]map.xml!I375</f>
        <v>30000_90004_1_10000,4000455_0_1_6675,4000455_0_1_6675,4000455_0_1_6675</v>
      </c>
      <c r="J375">
        <f>[1]map.xml!J375</f>
        <v>0</v>
      </c>
      <c r="K375">
        <f>精英副本!K485</f>
        <v>100</v>
      </c>
      <c r="L375" t="str">
        <f>精英副本!L485</f>
        <v>map/map_001.png</v>
      </c>
      <c r="M375" t="str">
        <f>精英副本!M485</f>
        <v>1-3</v>
      </c>
      <c r="N375">
        <f>精英副本!N485</f>
        <v>920</v>
      </c>
      <c r="O375">
        <f>精英副本!O485</f>
        <v>120</v>
      </c>
      <c r="P375">
        <f>精英副本!P485</f>
        <v>10</v>
      </c>
      <c r="Q375">
        <f>精英副本!Q485</f>
        <v>10</v>
      </c>
      <c r="R375">
        <f>精英副本!R485</f>
        <v>0</v>
      </c>
      <c r="S375">
        <f>精英副本!S485</f>
        <v>3</v>
      </c>
      <c r="T375">
        <f>精英副本!T485</f>
        <v>51</v>
      </c>
      <c r="U375">
        <f>精英副本客户端!F319</f>
        <v>305502</v>
      </c>
    </row>
    <row r="376" spans="1:21">
      <c r="A376">
        <f>精英副本!A486</f>
        <v>305504</v>
      </c>
      <c r="B376" t="str">
        <f>精英副本!Y486</f>
        <v>知识试炼（55）</v>
      </c>
      <c r="C376">
        <f>精英副本!C486</f>
        <v>0</v>
      </c>
      <c r="D376">
        <f>精英副本!D486</f>
        <v>0</v>
      </c>
      <c r="E376" t="str">
        <f>[1]map.xml!$E376</f>
        <v>3055041_1</v>
      </c>
      <c r="F376" t="str">
        <f>[1]map.xml!F376</f>
        <v>1_10000,2_0,3_0</v>
      </c>
      <c r="G376" t="str">
        <f>[1]map.xml!G376</f>
        <v>40000_50600035_1_664,40000_50553065_1_1520,4000455_0_1_6700,4000455_0_1_6700,4000455_0_1_6700,30000_90002_3_10000,30000_90003_1_7700</v>
      </c>
      <c r="H376">
        <f>[1]map.xml!H376</f>
        <v>0</v>
      </c>
      <c r="I376" t="str">
        <f>[1]map.xml!I376</f>
        <v>30000_90004_1_10000,4000455_0_1_6700,4000455_0_1_6700,4000455_0_1_6700</v>
      </c>
      <c r="J376">
        <f>[1]map.xml!J376</f>
        <v>0</v>
      </c>
      <c r="K376">
        <f>精英副本!K486</f>
        <v>100</v>
      </c>
      <c r="L376" t="str">
        <f>精英副本!L486</f>
        <v>map/map_001.png</v>
      </c>
      <c r="M376" t="str">
        <f>精英副本!M486</f>
        <v>1-3</v>
      </c>
      <c r="N376">
        <f>精英副本!N486</f>
        <v>920</v>
      </c>
      <c r="O376">
        <f>精英副本!O486</f>
        <v>120</v>
      </c>
      <c r="P376">
        <f>精英副本!P486</f>
        <v>10</v>
      </c>
      <c r="Q376">
        <f>精英副本!Q486</f>
        <v>10</v>
      </c>
      <c r="R376">
        <f>精英副本!R486</f>
        <v>0</v>
      </c>
      <c r="S376">
        <f>精英副本!S486</f>
        <v>3</v>
      </c>
      <c r="T376">
        <f>精英副本!T486</f>
        <v>51</v>
      </c>
      <c r="U376">
        <f>精英副本客户端!F320</f>
        <v>305503</v>
      </c>
    </row>
    <row r="377" spans="1:21">
      <c r="A377">
        <f>精英副本!A487</f>
        <v>305505</v>
      </c>
      <c r="B377" t="str">
        <f>精英副本!Y487</f>
        <v>知识试炼（55）</v>
      </c>
      <c r="C377">
        <f>精英副本!C487</f>
        <v>0</v>
      </c>
      <c r="D377">
        <f>精英副本!D487</f>
        <v>0</v>
      </c>
      <c r="E377" t="str">
        <f>[1]map.xml!$E377</f>
        <v>3055051_1</v>
      </c>
      <c r="F377" t="str">
        <f>[1]map.xml!F377</f>
        <v>1_10000,2_0,3_0</v>
      </c>
      <c r="G377" t="str">
        <f>[1]map.xml!G377</f>
        <v>40000_50600095_1_657,40000_50551055_1_1510,4000455_0_1_6725,4000455_0_1_6725,4000455_0_1_6725,30000_90002_3_10000,30000_90003_1_7700</v>
      </c>
      <c r="H377">
        <f>[1]map.xml!H377</f>
        <v>0</v>
      </c>
      <c r="I377" t="str">
        <f>[1]map.xml!I377</f>
        <v>30000_90004_1_10000,4000455_0_1_6725,4000455_0_1_6725,4000455_0_1_6725</v>
      </c>
      <c r="J377">
        <f>[1]map.xml!J377</f>
        <v>0</v>
      </c>
      <c r="K377">
        <f>精英副本!K487</f>
        <v>100</v>
      </c>
      <c r="L377" t="str">
        <f>精英副本!L487</f>
        <v>map/map_001.png</v>
      </c>
      <c r="M377" t="str">
        <f>精英副本!M487</f>
        <v>1-3</v>
      </c>
      <c r="N377">
        <f>精英副本!N487</f>
        <v>920</v>
      </c>
      <c r="O377">
        <f>精英副本!O487</f>
        <v>120</v>
      </c>
      <c r="P377">
        <f>精英副本!P487</f>
        <v>10</v>
      </c>
      <c r="Q377">
        <f>精英副本!Q487</f>
        <v>10</v>
      </c>
      <c r="R377">
        <f>精英副本!R487</f>
        <v>0</v>
      </c>
      <c r="S377">
        <f>精英副本!S487</f>
        <v>3</v>
      </c>
      <c r="T377">
        <f>精英副本!T487</f>
        <v>51</v>
      </c>
      <c r="U377">
        <f>精英副本客户端!F321</f>
        <v>305504</v>
      </c>
    </row>
    <row r="378" spans="1:21">
      <c r="A378">
        <f>精英副本!A488</f>
        <v>305506</v>
      </c>
      <c r="B378" t="str">
        <f>精英副本!Y488</f>
        <v>知识试炼（55）</v>
      </c>
      <c r="C378">
        <f>精英副本!C488</f>
        <v>0</v>
      </c>
      <c r="D378">
        <f>精英副本!D488</f>
        <v>0</v>
      </c>
      <c r="E378" t="str">
        <f>[1]map.xml!$E378</f>
        <v>3055061_1</v>
      </c>
      <c r="F378" t="str">
        <f>[1]map.xml!F378</f>
        <v>1_10000,2_0,3_0</v>
      </c>
      <c r="G378" t="str">
        <f>[1]map.xml!G378</f>
        <v>40000_50600075_1_650,40000_50550015_1_1500,4000455_0_1_6750,4000455_0_1_6750,4000455_0_1_6750,30000_90002_3_10000,30000_90003_1_8800</v>
      </c>
      <c r="H378">
        <f>[1]map.xml!H378</f>
        <v>0</v>
      </c>
      <c r="I378" t="str">
        <f>[1]map.xml!I378</f>
        <v>30000_90004_1_10000,4000455_0_1_6750,4000455_0_1_6750,4000455_0_1_6750</v>
      </c>
      <c r="J378">
        <f>[1]map.xml!J378</f>
        <v>0</v>
      </c>
      <c r="K378">
        <f>精英副本!K488</f>
        <v>100</v>
      </c>
      <c r="L378" t="str">
        <f>精英副本!L488</f>
        <v>map/map_001.png</v>
      </c>
      <c r="M378" t="str">
        <f>精英副本!M488</f>
        <v>1-3</v>
      </c>
      <c r="N378">
        <f>精英副本!N488</f>
        <v>920</v>
      </c>
      <c r="O378">
        <f>精英副本!O488</f>
        <v>120</v>
      </c>
      <c r="P378">
        <f>精英副本!P488</f>
        <v>10</v>
      </c>
      <c r="Q378">
        <f>精英副本!Q488</f>
        <v>10</v>
      </c>
      <c r="R378">
        <f>精英副本!R488</f>
        <v>0</v>
      </c>
      <c r="S378">
        <f>精英副本!S488</f>
        <v>3</v>
      </c>
      <c r="T378">
        <f>精英副本!T488</f>
        <v>51</v>
      </c>
      <c r="U378">
        <f>精英副本客户端!F322</f>
        <v>305505</v>
      </c>
    </row>
    <row r="379" spans="1:21">
      <c r="A379">
        <f>精英副本!A489</f>
        <v>305507</v>
      </c>
      <c r="B379" t="str">
        <f>精英副本!Y489</f>
        <v>知识试炼（55）</v>
      </c>
      <c r="C379">
        <f>精英副本!C489</f>
        <v>0</v>
      </c>
      <c r="D379">
        <f>精英副本!D489</f>
        <v>0</v>
      </c>
      <c r="E379" t="str">
        <f>[1]map.xml!$E379</f>
        <v>3055071_1,3055072_1</v>
      </c>
      <c r="F379" t="str">
        <f>[1]map.xml!F379</f>
        <v>1_0,2_10000,3_0</v>
      </c>
      <c r="G379" t="str">
        <f>[1]map.xml!G379</f>
        <v>40000_50600015_1_643,40000_50552055_1_1490,4000455_0_1_6775,4000455_0_1_6775,4000455_0_1_6775,30000_90002_3_10000,30000_90003_1_8800</v>
      </c>
      <c r="H379">
        <f>[1]map.xml!H379</f>
        <v>0</v>
      </c>
      <c r="I379" t="str">
        <f>[1]map.xml!I379</f>
        <v>30000_90004_1_10000,4000455_0_1_6775,4000455_0_1_6775,4000455_0_1_6775</v>
      </c>
      <c r="J379">
        <f>[1]map.xml!J379</f>
        <v>0</v>
      </c>
      <c r="K379">
        <f>精英副本!K489</f>
        <v>100</v>
      </c>
      <c r="L379" t="str">
        <f>精英副本!L489</f>
        <v>map/map_001.png</v>
      </c>
      <c r="M379" t="str">
        <f>精英副本!M489</f>
        <v>1-3</v>
      </c>
      <c r="N379">
        <f>精英副本!N489</f>
        <v>920</v>
      </c>
      <c r="O379">
        <f>精英副本!O489</f>
        <v>120</v>
      </c>
      <c r="P379">
        <f>精英副本!P489</f>
        <v>10</v>
      </c>
      <c r="Q379">
        <f>精英副本!Q489</f>
        <v>10</v>
      </c>
      <c r="R379">
        <f>精英副本!R489</f>
        <v>0</v>
      </c>
      <c r="S379">
        <f>精英副本!S489</f>
        <v>3</v>
      </c>
      <c r="T379">
        <f>精英副本!T489</f>
        <v>51</v>
      </c>
      <c r="U379">
        <f>精英副本客户端!F323</f>
        <v>305506</v>
      </c>
    </row>
    <row r="380" spans="1:21">
      <c r="A380">
        <f>精英副本!A490</f>
        <v>305508</v>
      </c>
      <c r="B380" t="str">
        <f>精英副本!Y490</f>
        <v>知识试炼（55）</v>
      </c>
      <c r="C380">
        <f>精英副本!C490</f>
        <v>0</v>
      </c>
      <c r="D380">
        <f>精英副本!D490</f>
        <v>0</v>
      </c>
      <c r="E380" t="str">
        <f>[1]map.xml!$E380</f>
        <v>3055081_1</v>
      </c>
      <c r="F380" t="str">
        <f>[1]map.xml!F380</f>
        <v>1_10000,2_0,3_0</v>
      </c>
      <c r="G380" t="str">
        <f>[1]map.xml!G380</f>
        <v>40000_50600085_1_636,40000_50551065_1_1480,4000455_0_1_6800,4000455_0_1_6800,4000455_0_1_6800,30000_90002_3_10000,30000_90003_1_8800</v>
      </c>
      <c r="H380">
        <f>[1]map.xml!H380</f>
        <v>0</v>
      </c>
      <c r="I380" t="str">
        <f>[1]map.xml!I380</f>
        <v>30000_90004_1_10000,4000455_0_1_6800,4000455_0_1_6800,4000455_0_1_6800</v>
      </c>
      <c r="J380">
        <f>[1]map.xml!J380</f>
        <v>0</v>
      </c>
      <c r="K380">
        <f>精英副本!K490</f>
        <v>100</v>
      </c>
      <c r="L380" t="str">
        <f>精英副本!L490</f>
        <v>map/map_001.png</v>
      </c>
      <c r="M380" t="str">
        <f>精英副本!M490</f>
        <v>1-3</v>
      </c>
      <c r="N380">
        <f>精英副本!N490</f>
        <v>920</v>
      </c>
      <c r="O380">
        <f>精英副本!O490</f>
        <v>120</v>
      </c>
      <c r="P380">
        <f>精英副本!P490</f>
        <v>10</v>
      </c>
      <c r="Q380">
        <f>精英副本!Q490</f>
        <v>10</v>
      </c>
      <c r="R380">
        <f>精英副本!R490</f>
        <v>0</v>
      </c>
      <c r="S380">
        <f>精英副本!S490</f>
        <v>3</v>
      </c>
      <c r="T380">
        <f>精英副本!T490</f>
        <v>51</v>
      </c>
      <c r="U380">
        <f>精英副本客户端!F324</f>
        <v>305507</v>
      </c>
    </row>
    <row r="381" spans="1:21">
      <c r="A381">
        <f>精英副本!A491</f>
        <v>305509</v>
      </c>
      <c r="B381" t="str">
        <f>精英副本!Y491</f>
        <v>知识试炼（55）</v>
      </c>
      <c r="C381">
        <f>精英副本!C491</f>
        <v>0</v>
      </c>
      <c r="D381">
        <f>精英副本!D491</f>
        <v>0</v>
      </c>
      <c r="E381" t="str">
        <f>[1]map.xml!$E381</f>
        <v>3055091_1</v>
      </c>
      <c r="F381" t="str">
        <f>[1]map.xml!F381</f>
        <v>1_10000,2_0,3_0</v>
      </c>
      <c r="G381" t="str">
        <f>[1]map.xml!G381</f>
        <v>40000_50603056_1_629,40000_50552065_1_1470,4000455_0_1_6825,4000455_0_1_6825,4000455_0_1_6825,30000_90002_3_10000,30000_90003_1_9900</v>
      </c>
      <c r="H381">
        <f>[1]map.xml!H381</f>
        <v>0</v>
      </c>
      <c r="I381" t="str">
        <f>[1]map.xml!I381</f>
        <v>30000_90004_1_10000,4000455_0_1_6825,4000455_0_1_6825,4000455_0_1_6825</v>
      </c>
      <c r="J381">
        <f>[1]map.xml!J381</f>
        <v>0</v>
      </c>
      <c r="K381">
        <f>精英副本!K491</f>
        <v>100</v>
      </c>
      <c r="L381" t="str">
        <f>精英副本!L491</f>
        <v>map/map_001.png</v>
      </c>
      <c r="M381" t="str">
        <f>精英副本!M491</f>
        <v>1-3</v>
      </c>
      <c r="N381">
        <f>精英副本!N491</f>
        <v>920</v>
      </c>
      <c r="O381">
        <f>精英副本!O491</f>
        <v>120</v>
      </c>
      <c r="P381">
        <f>精英副本!P491</f>
        <v>10</v>
      </c>
      <c r="Q381">
        <f>精英副本!Q491</f>
        <v>10</v>
      </c>
      <c r="R381">
        <f>精英副本!R491</f>
        <v>0</v>
      </c>
      <c r="S381">
        <f>精英副本!S491</f>
        <v>3</v>
      </c>
      <c r="T381">
        <f>精英副本!T491</f>
        <v>51</v>
      </c>
      <c r="U381">
        <f>精英副本客户端!F325</f>
        <v>305508</v>
      </c>
    </row>
    <row r="382" spans="1:21">
      <c r="A382">
        <f>精英副本!A492</f>
        <v>306001</v>
      </c>
      <c r="B382" t="str">
        <f>精英副本!Y492</f>
        <v>智慧试炼（60）</v>
      </c>
      <c r="C382">
        <f>精英副本!C492</f>
        <v>0</v>
      </c>
      <c r="D382">
        <f>精英副本!D492</f>
        <v>0</v>
      </c>
      <c r="E382" t="str">
        <f>[1]map.xml!$E382</f>
        <v>3060011_1</v>
      </c>
      <c r="F382" t="str">
        <f>[1]map.xml!F382</f>
        <v>1_10000,2_0,3_0</v>
      </c>
      <c r="G382" t="str">
        <f>[1]map.xml!G382</f>
        <v>40000_50650035_1_622,40000_50603055_1_1460,4000460_0_1_6850,4000460_0_1_6850,4000460_0_1_6850,30000_90003_1_10000,30000_90004_1_1250</v>
      </c>
      <c r="H382">
        <f>[1]map.xml!H382</f>
        <v>0</v>
      </c>
      <c r="I382" t="str">
        <f>[1]map.xml!I382</f>
        <v>30000_90005_1_10000,4000460_0_1_6850,4000460_0_1_6850,4000460_0_1_6850</v>
      </c>
      <c r="J382">
        <f>[1]map.xml!J382</f>
        <v>0</v>
      </c>
      <c r="K382">
        <f>精英副本!K492</f>
        <v>100</v>
      </c>
      <c r="L382" t="str">
        <f>精英副本!L492</f>
        <v>map/map_001.png</v>
      </c>
      <c r="M382" t="str">
        <f>精英副本!M492</f>
        <v>1-3</v>
      </c>
      <c r="N382">
        <f>精英副本!N492</f>
        <v>920</v>
      </c>
      <c r="O382">
        <f>精英副本!O492</f>
        <v>120</v>
      </c>
      <c r="P382">
        <f>精英副本!P492</f>
        <v>10</v>
      </c>
      <c r="Q382">
        <f>精英副本!Q492</f>
        <v>10</v>
      </c>
      <c r="R382">
        <f>精英副本!R492</f>
        <v>0</v>
      </c>
      <c r="S382">
        <f>精英副本!S492</f>
        <v>3</v>
      </c>
      <c r="T382">
        <f>精英副本!T492</f>
        <v>56</v>
      </c>
      <c r="U382">
        <f>精英副本客户端!F326</f>
        <v>0</v>
      </c>
    </row>
    <row r="383" spans="1:21">
      <c r="A383">
        <f>精英副本!A493</f>
        <v>306002</v>
      </c>
      <c r="B383" t="str">
        <f>精英副本!Y493</f>
        <v>智慧试炼（60）</v>
      </c>
      <c r="C383">
        <f>精英副本!C493</f>
        <v>0</v>
      </c>
      <c r="D383">
        <f>精英副本!D493</f>
        <v>0</v>
      </c>
      <c r="E383" t="str">
        <f>[1]map.xml!$E383</f>
        <v>3060021_1</v>
      </c>
      <c r="F383" t="str">
        <f>[1]map.xml!F383</f>
        <v>1_10000,2_0,3_0</v>
      </c>
      <c r="G383" t="str">
        <f>[1]map.xml!G383</f>
        <v>40000_50650025_1_615,40000_50602065_1_1450,4000460_0_1_6875,4000460_0_1_6875,4000460_0_1_6875,30000_90003_1_10000,30000_90004_1_1250</v>
      </c>
      <c r="H383">
        <f>[1]map.xml!H383</f>
        <v>0</v>
      </c>
      <c r="I383" t="str">
        <f>[1]map.xml!I383</f>
        <v>30000_90005_1_10000,4000460_0_1_6875,4000460_0_1_6875,4000460_0_1_6875</v>
      </c>
      <c r="J383">
        <f>[1]map.xml!J383</f>
        <v>0</v>
      </c>
      <c r="K383">
        <f>精英副本!K493</f>
        <v>100</v>
      </c>
      <c r="L383" t="str">
        <f>精英副本!L493</f>
        <v>map/map_001.png</v>
      </c>
      <c r="M383" t="str">
        <f>精英副本!M493</f>
        <v>1-3</v>
      </c>
      <c r="N383">
        <f>精英副本!N493</f>
        <v>920</v>
      </c>
      <c r="O383">
        <f>精英副本!O493</f>
        <v>120</v>
      </c>
      <c r="P383">
        <f>精英副本!P493</f>
        <v>10</v>
      </c>
      <c r="Q383">
        <f>精英副本!Q493</f>
        <v>10</v>
      </c>
      <c r="R383">
        <f>精英副本!R493</f>
        <v>0</v>
      </c>
      <c r="S383">
        <f>精英副本!S493</f>
        <v>3</v>
      </c>
      <c r="T383">
        <f>精英副本!T493</f>
        <v>56</v>
      </c>
      <c r="U383">
        <f>精英副本客户端!F327</f>
        <v>306001</v>
      </c>
    </row>
    <row r="384" spans="1:21">
      <c r="A384">
        <f>精英副本!A494</f>
        <v>306003</v>
      </c>
      <c r="B384" t="str">
        <f>精英副本!Y494</f>
        <v>智慧试炼（60）</v>
      </c>
      <c r="C384">
        <f>精英副本!C494</f>
        <v>0</v>
      </c>
      <c r="D384">
        <f>精英副本!D494</f>
        <v>0</v>
      </c>
      <c r="E384" t="str">
        <f>[1]map.xml!$E384</f>
        <v>3060031_1</v>
      </c>
      <c r="F384" t="str">
        <f>[1]map.xml!F384</f>
        <v>1_10000,2_0,3_0</v>
      </c>
      <c r="G384" t="str">
        <f>[1]map.xml!G384</f>
        <v>40000_50650085_1_608,40000_50601055_1_1440,4000460_0_1_6900,4000460_0_1_6900,4000460_0_1_6900,30000_90003_1_10000,30000_90004_1_2500</v>
      </c>
      <c r="H384">
        <f>[1]map.xml!H384</f>
        <v>0</v>
      </c>
      <c r="I384" t="str">
        <f>[1]map.xml!I384</f>
        <v>30000_90005_1_10000,4000460_0_1_6900,4000460_0_1_6900,4000460_0_1_6900</v>
      </c>
      <c r="J384">
        <f>[1]map.xml!J384</f>
        <v>0</v>
      </c>
      <c r="K384">
        <f>精英副本!K494</f>
        <v>100</v>
      </c>
      <c r="L384" t="str">
        <f>精英副本!L494</f>
        <v>map/map_001.png</v>
      </c>
      <c r="M384" t="str">
        <f>精英副本!M494</f>
        <v>1-3</v>
      </c>
      <c r="N384">
        <f>精英副本!N494</f>
        <v>920</v>
      </c>
      <c r="O384">
        <f>精英副本!O494</f>
        <v>120</v>
      </c>
      <c r="P384">
        <f>精英副本!P494</f>
        <v>10</v>
      </c>
      <c r="Q384">
        <f>精英副本!Q494</f>
        <v>10</v>
      </c>
      <c r="R384">
        <f>精英副本!R494</f>
        <v>0</v>
      </c>
      <c r="S384">
        <f>精英副本!S494</f>
        <v>3</v>
      </c>
      <c r="T384">
        <f>精英副本!T494</f>
        <v>56</v>
      </c>
      <c r="U384">
        <f>精英副本客户端!F328</f>
        <v>306002</v>
      </c>
    </row>
    <row r="385" spans="1:21">
      <c r="A385">
        <f>精英副本!A495</f>
        <v>306004</v>
      </c>
      <c r="B385" t="str">
        <f>精英副本!Y495</f>
        <v>智慧试炼（60）</v>
      </c>
      <c r="C385">
        <f>精英副本!C495</f>
        <v>0</v>
      </c>
      <c r="D385">
        <f>精英副本!D495</f>
        <v>0</v>
      </c>
      <c r="E385" t="str">
        <f>[1]map.xml!$E385</f>
        <v>3060041_1,3060042_1,3060043_1</v>
      </c>
      <c r="F385" t="str">
        <f>[1]map.xml!F385</f>
        <v>1_0,2_0,3_10000</v>
      </c>
      <c r="G385" t="str">
        <f>[1]map.xml!G385</f>
        <v>40000_50650105_1_601,40000_50600015_1_1430,4000460_0_1_6925,4000460_0_1_6925,4000460_0_1_6925,30000_90003_1_10000,30000_90004_1_2500</v>
      </c>
      <c r="H385">
        <f>[1]map.xml!H385</f>
        <v>0</v>
      </c>
      <c r="I385" t="str">
        <f>[1]map.xml!I385</f>
        <v>30000_90005_1_10000,4000460_0_1_6925,4000460_0_1_6925,4000460_0_1_6925</v>
      </c>
      <c r="J385">
        <f>[1]map.xml!J385</f>
        <v>0</v>
      </c>
      <c r="K385">
        <f>精英副本!K495</f>
        <v>100</v>
      </c>
      <c r="L385" t="str">
        <f>精英副本!L495</f>
        <v>map/map_001.png</v>
      </c>
      <c r="M385" t="str">
        <f>精英副本!M495</f>
        <v>1-3</v>
      </c>
      <c r="N385">
        <f>精英副本!N495</f>
        <v>920</v>
      </c>
      <c r="O385">
        <f>精英副本!O495</f>
        <v>120</v>
      </c>
      <c r="P385">
        <f>精英副本!P495</f>
        <v>10</v>
      </c>
      <c r="Q385">
        <f>精英副本!Q495</f>
        <v>10</v>
      </c>
      <c r="R385">
        <f>精英副本!R495</f>
        <v>0</v>
      </c>
      <c r="S385">
        <f>精英副本!S495</f>
        <v>3</v>
      </c>
      <c r="T385">
        <f>精英副本!T495</f>
        <v>56</v>
      </c>
      <c r="U385">
        <f>精英副本客户端!F329</f>
        <v>306003</v>
      </c>
    </row>
    <row r="386" spans="1:21">
      <c r="A386">
        <f>精英副本!A496</f>
        <v>306005</v>
      </c>
      <c r="B386" t="str">
        <f>精英副本!Y496</f>
        <v>智慧试炼（60）</v>
      </c>
      <c r="C386">
        <f>精英副本!C496</f>
        <v>0</v>
      </c>
      <c r="D386">
        <f>精英副本!D496</f>
        <v>0</v>
      </c>
      <c r="E386" t="str">
        <f>[1]map.xml!$E386</f>
        <v>3060051_1</v>
      </c>
      <c r="F386" t="str">
        <f>[1]map.xml!F386</f>
        <v>1_10000,2_0,3_0</v>
      </c>
      <c r="G386" t="str">
        <f>[1]map.xml!G386</f>
        <v>40000_50650045_1_594,40000_50602055_1_1420,4000460_0_1_6950,4000460_0_1_6950,4000460_0_1_6950,30000_90003_1_10000,30000_90004_1_2500</v>
      </c>
      <c r="H386">
        <f>[1]map.xml!H386</f>
        <v>0</v>
      </c>
      <c r="I386" t="str">
        <f>[1]map.xml!I386</f>
        <v>30000_90005_1_10000,4000460_0_1_6950,4000460_0_1_6950,4000460_0_1_6950</v>
      </c>
      <c r="J386">
        <f>[1]map.xml!J386</f>
        <v>0</v>
      </c>
      <c r="K386">
        <f>精英副本!K496</f>
        <v>100</v>
      </c>
      <c r="L386" t="str">
        <f>精英副本!L496</f>
        <v>map/map_001.png</v>
      </c>
      <c r="M386" t="str">
        <f>精英副本!M496</f>
        <v>1-3</v>
      </c>
      <c r="N386">
        <f>精英副本!N496</f>
        <v>920</v>
      </c>
      <c r="O386">
        <f>精英副本!O496</f>
        <v>120</v>
      </c>
      <c r="P386">
        <f>精英副本!P496</f>
        <v>10</v>
      </c>
      <c r="Q386">
        <f>精英副本!Q496</f>
        <v>10</v>
      </c>
      <c r="R386">
        <f>精英副本!R496</f>
        <v>0</v>
      </c>
      <c r="S386">
        <f>精英副本!S496</f>
        <v>3</v>
      </c>
      <c r="T386">
        <f>精英副本!T496</f>
        <v>56</v>
      </c>
      <c r="U386">
        <f>精英副本客户端!F330</f>
        <v>306004</v>
      </c>
    </row>
    <row r="387" spans="1:21">
      <c r="A387">
        <f>精英副本!A497</f>
        <v>306006</v>
      </c>
      <c r="B387" t="str">
        <f>精英副本!Y497</f>
        <v>智慧试炼（60）</v>
      </c>
      <c r="C387">
        <f>精英副本!C497</f>
        <v>0</v>
      </c>
      <c r="D387">
        <f>精英副本!D497</f>
        <v>0</v>
      </c>
      <c r="E387" t="str">
        <f>[1]map.xml!$E387</f>
        <v>3060061_1</v>
      </c>
      <c r="F387" t="str">
        <f>[1]map.xml!F387</f>
        <v>1_10000,2_0,3_0</v>
      </c>
      <c r="G387" t="str">
        <f>[1]map.xml!G387</f>
        <v>40000_50650095_1_587,40000_50601065_1_1410,4000460_0_1_6975,4000460_0_1_6975,4000460_0_1_6975,30000_90003_1_10000,30000_90004_1_3750</v>
      </c>
      <c r="H387">
        <f>[1]map.xml!H387</f>
        <v>0</v>
      </c>
      <c r="I387" t="str">
        <f>[1]map.xml!I387</f>
        <v>30000_90005_1_10000,4000460_0_1_6975,4000460_0_1_6975,4000460_0_1_6975</v>
      </c>
      <c r="J387">
        <f>[1]map.xml!J387</f>
        <v>0</v>
      </c>
      <c r="K387">
        <f>精英副本!K497</f>
        <v>100</v>
      </c>
      <c r="L387" t="str">
        <f>精英副本!L497</f>
        <v>map/map_001.png</v>
      </c>
      <c r="M387" t="str">
        <f>精英副本!M497</f>
        <v>1-3</v>
      </c>
      <c r="N387">
        <f>精英副本!N497</f>
        <v>920</v>
      </c>
      <c r="O387">
        <f>精英副本!O497</f>
        <v>120</v>
      </c>
      <c r="P387">
        <f>精英副本!P497</f>
        <v>10</v>
      </c>
      <c r="Q387">
        <f>精英副本!Q497</f>
        <v>10</v>
      </c>
      <c r="R387">
        <f>精英副本!R497</f>
        <v>0</v>
      </c>
      <c r="S387">
        <f>精英副本!S497</f>
        <v>3</v>
      </c>
      <c r="T387">
        <f>精英副本!T497</f>
        <v>56</v>
      </c>
      <c r="U387">
        <f>精英副本客户端!F331</f>
        <v>306005</v>
      </c>
    </row>
    <row r="388" spans="1:21">
      <c r="A388">
        <f>精英副本!A498</f>
        <v>306007</v>
      </c>
      <c r="B388" t="str">
        <f>精英副本!Y498</f>
        <v>智慧试炼（60）</v>
      </c>
      <c r="C388">
        <f>精英副本!C498</f>
        <v>0</v>
      </c>
      <c r="D388">
        <f>精英副本!D498</f>
        <v>0</v>
      </c>
      <c r="E388" t="str">
        <f>[1]map.xml!$E388</f>
        <v>3060071_1</v>
      </c>
      <c r="F388" t="str">
        <f>[1]map.xml!F388</f>
        <v>1_10000,2_0,3_0</v>
      </c>
      <c r="G388" t="str">
        <f>[1]map.xml!G388</f>
        <v>40000_50650015_1_580,40000_50603065_1_1400,4000460_0_1_7000,4000460_0_1_7000,4000460_0_1_7000,30000_90003_1_10000,30000_90004_1_3750</v>
      </c>
      <c r="H388">
        <f>[1]map.xml!H388</f>
        <v>0</v>
      </c>
      <c r="I388" t="str">
        <f>[1]map.xml!I388</f>
        <v>30000_90005_1_10000,4000460_0_1_7000,4000460_0_1_7000,4000460_0_1_7000</v>
      </c>
      <c r="J388">
        <f>[1]map.xml!J388</f>
        <v>0</v>
      </c>
      <c r="K388">
        <f>精英副本!K498</f>
        <v>100</v>
      </c>
      <c r="L388" t="str">
        <f>精英副本!L498</f>
        <v>map/map_001.png</v>
      </c>
      <c r="M388" t="str">
        <f>精英副本!M498</f>
        <v>1-3</v>
      </c>
      <c r="N388">
        <f>精英副本!N498</f>
        <v>920</v>
      </c>
      <c r="O388">
        <f>精英副本!O498</f>
        <v>120</v>
      </c>
      <c r="P388">
        <f>精英副本!P498</f>
        <v>10</v>
      </c>
      <c r="Q388">
        <f>精英副本!Q498</f>
        <v>10</v>
      </c>
      <c r="R388">
        <f>精英副本!R498</f>
        <v>0</v>
      </c>
      <c r="S388">
        <f>精英副本!S498</f>
        <v>3</v>
      </c>
      <c r="T388">
        <f>精英副本!T498</f>
        <v>56</v>
      </c>
      <c r="U388">
        <f>精英副本客户端!F332</f>
        <v>306006</v>
      </c>
    </row>
    <row r="389" spans="1:21">
      <c r="A389">
        <f>精英副本!A499</f>
        <v>306008</v>
      </c>
      <c r="B389" t="str">
        <f>精英副本!Y499</f>
        <v>智慧试炼（60）</v>
      </c>
      <c r="C389">
        <f>精英副本!C499</f>
        <v>0</v>
      </c>
      <c r="D389">
        <f>精英副本!D499</f>
        <v>0</v>
      </c>
      <c r="E389" t="str">
        <f>[1]map.xml!$E389</f>
        <v>3060081_1</v>
      </c>
      <c r="F389" t="str">
        <f>[1]map.xml!F389</f>
        <v>1_10000,2_0,3_0</v>
      </c>
      <c r="G389" t="str">
        <f>[1]map.xml!G389</f>
        <v>40000_50650075_1_573,40000_50653065_1_1390,4000460_0_1_7025,4000460_0_1_7025,4000460_0_1_7025,30000_90003_1_10000,30000_90004_1_3750</v>
      </c>
      <c r="H389">
        <f>[1]map.xml!H389</f>
        <v>0</v>
      </c>
      <c r="I389" t="str">
        <f>[1]map.xml!I389</f>
        <v>30000_90005_1_10000,4000460_0_1_7025,4000460_0_1_7025,4000460_0_1_7025</v>
      </c>
      <c r="J389">
        <f>[1]map.xml!J389</f>
        <v>0</v>
      </c>
      <c r="K389">
        <f>精英副本!K499</f>
        <v>100</v>
      </c>
      <c r="L389" t="str">
        <f>精英副本!L499</f>
        <v>map/map_001.png</v>
      </c>
      <c r="M389" t="str">
        <f>精英副本!M499</f>
        <v>1-3</v>
      </c>
      <c r="N389">
        <f>精英副本!N499</f>
        <v>920</v>
      </c>
      <c r="O389">
        <f>精英副本!O499</f>
        <v>120</v>
      </c>
      <c r="P389">
        <f>精英副本!P499</f>
        <v>10</v>
      </c>
      <c r="Q389">
        <f>精英副本!Q499</f>
        <v>10</v>
      </c>
      <c r="R389">
        <f>精英副本!R499</f>
        <v>0</v>
      </c>
      <c r="S389">
        <f>精英副本!S499</f>
        <v>3</v>
      </c>
      <c r="T389">
        <f>精英副本!T499</f>
        <v>56</v>
      </c>
      <c r="U389">
        <f>精英副本客户端!F333</f>
        <v>306007</v>
      </c>
    </row>
    <row r="390" spans="1:21">
      <c r="A390">
        <f>精英副本!A500</f>
        <v>306009</v>
      </c>
      <c r="B390" t="str">
        <f>精英副本!Y500</f>
        <v>智慧试炼（60）</v>
      </c>
      <c r="C390">
        <f>精英副本!C500</f>
        <v>0</v>
      </c>
      <c r="D390">
        <f>精英副本!D500</f>
        <v>0</v>
      </c>
      <c r="E390" t="str">
        <f>[1]map.xml!$E390</f>
        <v>3060091_1</v>
      </c>
      <c r="F390" t="str">
        <f>[1]map.xml!F390</f>
        <v>1_10000,2_0,3_0</v>
      </c>
      <c r="G390" t="str">
        <f>[1]map.xml!G390</f>
        <v>40000_50653055_1_566,40000_50600035_1_1380,4000460_0_1_7050,4000460_0_1_7050,4000460_0_1_7050,30000_90003_1_10000,30000_90004_1_5000</v>
      </c>
      <c r="H390">
        <f>[1]map.xml!H390</f>
        <v>0</v>
      </c>
      <c r="I390" t="str">
        <f>[1]map.xml!I390</f>
        <v>30000_90005_1_10000,4000460_0_1_7050,4000460_0_1_7050,4000460_0_1_7050</v>
      </c>
      <c r="J390">
        <f>[1]map.xml!J390</f>
        <v>0</v>
      </c>
      <c r="K390">
        <f>精英副本!K500</f>
        <v>100</v>
      </c>
      <c r="L390" t="str">
        <f>精英副本!L500</f>
        <v>map/map_001.png</v>
      </c>
      <c r="M390" t="str">
        <f>精英副本!M500</f>
        <v>1-3</v>
      </c>
      <c r="N390">
        <f>精英副本!N500</f>
        <v>920</v>
      </c>
      <c r="O390">
        <f>精英副本!O500</f>
        <v>120</v>
      </c>
      <c r="P390">
        <f>精英副本!P500</f>
        <v>10</v>
      </c>
      <c r="Q390">
        <f>精英副本!Q500</f>
        <v>10</v>
      </c>
      <c r="R390">
        <f>精英副本!R500</f>
        <v>0</v>
      </c>
      <c r="S390">
        <f>精英副本!S500</f>
        <v>3</v>
      </c>
      <c r="T390">
        <f>精英副本!T500</f>
        <v>56</v>
      </c>
      <c r="U390">
        <f>精英副本客户端!F334</f>
        <v>306008</v>
      </c>
    </row>
    <row r="391" spans="1:21">
      <c r="A391">
        <f>精英副本!A501</f>
        <v>306501</v>
      </c>
      <c r="B391" t="str">
        <f>精英副本!Y501</f>
        <v>智慧试炼（65）</v>
      </c>
      <c r="C391">
        <f>精英副本!C501</f>
        <v>0</v>
      </c>
      <c r="D391">
        <f>精英副本!D501</f>
        <v>0</v>
      </c>
      <c r="E391" t="str">
        <f>[1]map.xml!$E391</f>
        <v>3065011_1</v>
      </c>
      <c r="F391" t="str">
        <f>[1]map.xml!F391</f>
        <v>1_10000,2_0,3_0</v>
      </c>
      <c r="G391" t="str">
        <f>[1]map.xml!G391</f>
        <v>40000_50700105_1_559,40000_50650015_1_1370,4000465_0_1_7075,4000465_0_1_7075,4000465_0_1_7075,30000_90003_1_10000,30000_90004_1_2500</v>
      </c>
      <c r="H391">
        <f>[1]map.xml!H391</f>
        <v>0</v>
      </c>
      <c r="I391" t="str">
        <f>[1]map.xml!I391</f>
        <v>30000_90005_1_10000,4000465_0_1_7075,4000465_0_1_7075,4000465_0_1_7075</v>
      </c>
      <c r="J391">
        <f>[1]map.xml!J391</f>
        <v>0</v>
      </c>
      <c r="K391">
        <f>精英副本!K501</f>
        <v>100</v>
      </c>
      <c r="L391" t="str">
        <f>精英副本!L501</f>
        <v>map/map_001.png</v>
      </c>
      <c r="M391" t="str">
        <f>精英副本!M501</f>
        <v>1-3</v>
      </c>
      <c r="N391">
        <f>精英副本!N501</f>
        <v>920</v>
      </c>
      <c r="O391">
        <f>精英副本!O501</f>
        <v>120</v>
      </c>
      <c r="P391">
        <f>精英副本!P501</f>
        <v>10</v>
      </c>
      <c r="Q391">
        <f>精英副本!Q501</f>
        <v>10</v>
      </c>
      <c r="R391">
        <f>精英副本!R501</f>
        <v>0</v>
      </c>
      <c r="S391">
        <f>精英副本!S501</f>
        <v>3</v>
      </c>
      <c r="T391">
        <f>精英副本!T501</f>
        <v>61</v>
      </c>
      <c r="U391">
        <f>精英副本客户端!F335</f>
        <v>0</v>
      </c>
    </row>
    <row r="392" spans="1:21">
      <c r="A392">
        <f>精英副本!A502</f>
        <v>306502</v>
      </c>
      <c r="B392" t="str">
        <f>精英副本!Y502</f>
        <v>智慧试炼（65）</v>
      </c>
      <c r="C392">
        <f>精英副本!C502</f>
        <v>0</v>
      </c>
      <c r="D392">
        <f>精英副本!D502</f>
        <v>0</v>
      </c>
      <c r="E392" t="str">
        <f>[1]map.xml!$E392</f>
        <v>3065021_1</v>
      </c>
      <c r="F392" t="str">
        <f>[1]map.xml!F392</f>
        <v>1_10000,2_0,3_0</v>
      </c>
      <c r="G392" t="str">
        <f>[1]map.xml!G392</f>
        <v>40000_50700095_1_552,40000_50651065_1_1360,4000465_0_1_7100,4000465_0_1_7100,4000465_0_1_7100,30000_90003_1_10000,30000_90004_1_2500</v>
      </c>
      <c r="H392">
        <f>[1]map.xml!H392</f>
        <v>0</v>
      </c>
      <c r="I392" t="str">
        <f>[1]map.xml!I392</f>
        <v>30000_90005_1_10000,4000465_0_1_7100,4000465_0_1_7100,4000465_0_1_7100</v>
      </c>
      <c r="J392">
        <f>[1]map.xml!J392</f>
        <v>0</v>
      </c>
      <c r="K392">
        <f>精英副本!K502</f>
        <v>100</v>
      </c>
      <c r="L392" t="str">
        <f>精英副本!L502</f>
        <v>map/map_001.png</v>
      </c>
      <c r="M392" t="str">
        <f>精英副本!M502</f>
        <v>1-3</v>
      </c>
      <c r="N392">
        <f>精英副本!N502</f>
        <v>920</v>
      </c>
      <c r="O392">
        <f>精英副本!O502</f>
        <v>120</v>
      </c>
      <c r="P392">
        <f>精英副本!P502</f>
        <v>10</v>
      </c>
      <c r="Q392">
        <f>精英副本!Q502</f>
        <v>10</v>
      </c>
      <c r="R392">
        <f>精英副本!R502</f>
        <v>0</v>
      </c>
      <c r="S392">
        <f>精英副本!S502</f>
        <v>3</v>
      </c>
      <c r="T392">
        <f>精英副本!T502</f>
        <v>61</v>
      </c>
      <c r="U392">
        <f>精英副本客户端!F336</f>
        <v>306501</v>
      </c>
    </row>
    <row r="393" spans="1:21">
      <c r="A393">
        <f>精英副本!A503</f>
        <v>306503</v>
      </c>
      <c r="B393" t="str">
        <f>精英副本!Y503</f>
        <v>智慧试炼（65）</v>
      </c>
      <c r="C393">
        <f>精英副本!C503</f>
        <v>0</v>
      </c>
      <c r="D393">
        <f>精英副本!D503</f>
        <v>0</v>
      </c>
      <c r="E393" t="str">
        <f>[1]map.xml!$E393</f>
        <v>3065031_1</v>
      </c>
      <c r="F393" t="str">
        <f>[1]map.xml!F393</f>
        <v>1_10000,2_0,3_0</v>
      </c>
      <c r="G393" t="str">
        <f>[1]map.xml!G393</f>
        <v>40000_50700075_1_545,40000_50703065_1_1350,4000465_0_1_7125,4000465_0_1_7125,4000465_0_1_7125,30000_90003_1_10000,30000_90004_1_3750</v>
      </c>
      <c r="H393">
        <f>[1]map.xml!H393</f>
        <v>0</v>
      </c>
      <c r="I393" t="str">
        <f>[1]map.xml!I393</f>
        <v>30000_90005_1_10000,4000465_0_1_7125,4000465_0_1_7125,4000465_0_1_7125</v>
      </c>
      <c r="J393">
        <f>[1]map.xml!J393</f>
        <v>0</v>
      </c>
      <c r="K393">
        <f>精英副本!K503</f>
        <v>100</v>
      </c>
      <c r="L393" t="str">
        <f>精英副本!L503</f>
        <v>map/map_001.png</v>
      </c>
      <c r="M393" t="str">
        <f>精英副本!M503</f>
        <v>1-3</v>
      </c>
      <c r="N393">
        <f>精英副本!N503</f>
        <v>920</v>
      </c>
      <c r="O393">
        <f>精英副本!O503</f>
        <v>120</v>
      </c>
      <c r="P393">
        <f>精英副本!P503</f>
        <v>10</v>
      </c>
      <c r="Q393">
        <f>精英副本!Q503</f>
        <v>10</v>
      </c>
      <c r="R393">
        <f>精英副本!R503</f>
        <v>0</v>
      </c>
      <c r="S393">
        <f>精英副本!S503</f>
        <v>3</v>
      </c>
      <c r="T393">
        <f>精英副本!T503</f>
        <v>61</v>
      </c>
      <c r="U393">
        <f>精英副本客户端!F337</f>
        <v>306502</v>
      </c>
    </row>
    <row r="394" spans="1:21">
      <c r="A394">
        <f>精英副本!A504</f>
        <v>306504</v>
      </c>
      <c r="B394" t="str">
        <f>精英副本!Y504</f>
        <v>智慧试炼（65）</v>
      </c>
      <c r="C394">
        <f>精英副本!C504</f>
        <v>0</v>
      </c>
      <c r="D394">
        <f>精英副本!D504</f>
        <v>0</v>
      </c>
      <c r="E394" t="str">
        <f>[1]map.xml!$E394</f>
        <v>3065041_1,3065042_1,3065043_1</v>
      </c>
      <c r="F394" t="str">
        <f>[1]map.xml!F394</f>
        <v>1_0,2_0,3_10000</v>
      </c>
      <c r="G394" t="str">
        <f>[1]map.xml!G394</f>
        <v>40000_50700085_1_538,40000_50653065_1_1340,4000465_0_1_7150,4000465_0_1_7150,4000465_0_1_7150,30000_90003_1_10000,30000_90004_1_3750</v>
      </c>
      <c r="H394">
        <f>[1]map.xml!H394</f>
        <v>0</v>
      </c>
      <c r="I394" t="str">
        <f>[1]map.xml!I394</f>
        <v>30000_90005_1_10000,4000465_0_1_7150,4000465_0_1_7150,4000465_0_1_7150</v>
      </c>
      <c r="J394">
        <f>[1]map.xml!J394</f>
        <v>0</v>
      </c>
      <c r="K394">
        <f>精英副本!K504</f>
        <v>100</v>
      </c>
      <c r="L394" t="str">
        <f>精英副本!L504</f>
        <v>map/map_001.png</v>
      </c>
      <c r="M394" t="str">
        <f>精英副本!M504</f>
        <v>1-3</v>
      </c>
      <c r="N394">
        <f>精英副本!N504</f>
        <v>920</v>
      </c>
      <c r="O394">
        <f>精英副本!O504</f>
        <v>120</v>
      </c>
      <c r="P394">
        <f>精英副本!P504</f>
        <v>10</v>
      </c>
      <c r="Q394">
        <f>精英副本!Q504</f>
        <v>10</v>
      </c>
      <c r="R394">
        <f>精英副本!R504</f>
        <v>0</v>
      </c>
      <c r="S394">
        <f>精英副本!S504</f>
        <v>3</v>
      </c>
      <c r="T394">
        <f>精英副本!T504</f>
        <v>61</v>
      </c>
      <c r="U394">
        <f>精英副本客户端!F338</f>
        <v>306503</v>
      </c>
    </row>
    <row r="395" spans="1:21">
      <c r="A395">
        <f>精英副本!A505</f>
        <v>306505</v>
      </c>
      <c r="B395" t="str">
        <f>精英副本!Y505</f>
        <v>智慧试炼（65）</v>
      </c>
      <c r="C395">
        <f>精英副本!C505</f>
        <v>0</v>
      </c>
      <c r="D395">
        <f>精英副本!D505</f>
        <v>0</v>
      </c>
      <c r="E395" t="str">
        <f>[1]map.xml!$E395</f>
        <v>3065051_1</v>
      </c>
      <c r="F395" t="str">
        <f>[1]map.xml!F395</f>
        <v>1_10000,2_0,3_0</v>
      </c>
      <c r="G395" t="str">
        <f>[1]map.xml!G395</f>
        <v>40000_50700045_1_531,40000_50653055_1_1330,4000465_0_1_7175,4000465_0_1_7175,4000465_0_1_7175,30000_90003_1_10000,30000_90004_1_3750</v>
      </c>
      <c r="H395">
        <f>[1]map.xml!H395</f>
        <v>0</v>
      </c>
      <c r="I395" t="str">
        <f>[1]map.xml!I395</f>
        <v>30000_90005_1_10000,4000465_0_1_7175,4000465_0_1_7175,4000465_0_1_7175</v>
      </c>
      <c r="J395">
        <f>[1]map.xml!J395</f>
        <v>0</v>
      </c>
      <c r="K395">
        <f>精英副本!K505</f>
        <v>100</v>
      </c>
      <c r="L395" t="str">
        <f>精英副本!L505</f>
        <v>map/map_001.png</v>
      </c>
      <c r="M395" t="str">
        <f>精英副本!M505</f>
        <v>1-3</v>
      </c>
      <c r="N395">
        <f>精英副本!N505</f>
        <v>920</v>
      </c>
      <c r="O395">
        <f>精英副本!O505</f>
        <v>120</v>
      </c>
      <c r="P395">
        <f>精英副本!P505</f>
        <v>10</v>
      </c>
      <c r="Q395">
        <f>精英副本!Q505</f>
        <v>10</v>
      </c>
      <c r="R395">
        <f>精英副本!R505</f>
        <v>0</v>
      </c>
      <c r="S395">
        <f>精英副本!S505</f>
        <v>3</v>
      </c>
      <c r="T395">
        <f>精英副本!T505</f>
        <v>61</v>
      </c>
      <c r="U395">
        <f>精英副本客户端!F339</f>
        <v>306504</v>
      </c>
    </row>
    <row r="396" spans="1:21">
      <c r="A396">
        <f>精英副本!A506</f>
        <v>306506</v>
      </c>
      <c r="B396" t="str">
        <f>精英副本!Y506</f>
        <v>智慧试炼（65）</v>
      </c>
      <c r="C396">
        <f>精英副本!C506</f>
        <v>0</v>
      </c>
      <c r="D396">
        <f>精英副本!D506</f>
        <v>0</v>
      </c>
      <c r="E396" t="str">
        <f>[1]map.xml!$E396</f>
        <v>3065061_1</v>
      </c>
      <c r="F396" t="str">
        <f>[1]map.xml!F396</f>
        <v>1_10000,2_0,3_0</v>
      </c>
      <c r="G396" t="str">
        <f>[1]map.xml!G396</f>
        <v>40000_50700015_1_524,40000_50652065_1_1320,4000465_0_1_7200,4000465_0_1_7200,4000465_0_1_7200,30000_90003_1_10000,30000_90004_1_5000</v>
      </c>
      <c r="H396">
        <f>[1]map.xml!H396</f>
        <v>0</v>
      </c>
      <c r="I396" t="str">
        <f>[1]map.xml!I396</f>
        <v>30000_90005_1_10000,4000465_0_1_7200,4000465_0_1_7200,4000465_0_1_7200</v>
      </c>
      <c r="J396">
        <f>[1]map.xml!J396</f>
        <v>0</v>
      </c>
      <c r="K396">
        <f>精英副本!K506</f>
        <v>100</v>
      </c>
      <c r="L396" t="str">
        <f>精英副本!L506</f>
        <v>map/map_001.png</v>
      </c>
      <c r="M396" t="str">
        <f>精英副本!M506</f>
        <v>1-3</v>
      </c>
      <c r="N396">
        <f>精英副本!N506</f>
        <v>920</v>
      </c>
      <c r="O396">
        <f>精英副本!O506</f>
        <v>120</v>
      </c>
      <c r="P396">
        <f>精英副本!P506</f>
        <v>10</v>
      </c>
      <c r="Q396">
        <f>精英副本!Q506</f>
        <v>10</v>
      </c>
      <c r="R396">
        <f>精英副本!R506</f>
        <v>0</v>
      </c>
      <c r="S396">
        <f>精英副本!S506</f>
        <v>3</v>
      </c>
      <c r="T396">
        <f>精英副本!T506</f>
        <v>61</v>
      </c>
      <c r="U396">
        <f>精英副本客户端!F340</f>
        <v>306505</v>
      </c>
    </row>
    <row r="397" spans="1:21">
      <c r="A397">
        <f>精英副本!A507</f>
        <v>306507</v>
      </c>
      <c r="B397" t="str">
        <f>精英副本!Y507</f>
        <v>智慧试炼（65）</v>
      </c>
      <c r="C397">
        <f>精英副本!C507</f>
        <v>0</v>
      </c>
      <c r="D397">
        <f>精英副本!D507</f>
        <v>0</v>
      </c>
      <c r="E397" t="str">
        <f>[1]map.xml!$E397</f>
        <v>3065071_1</v>
      </c>
      <c r="F397" t="str">
        <f>[1]map.xml!F397</f>
        <v>1_10000,2_0,3_0</v>
      </c>
      <c r="G397" t="str">
        <f>[1]map.xml!G397</f>
        <v>40000_50700025_1_517,40000_50652055_1_1310,4000465_0_1_7225,4000465_0_1_7225,4000465_0_1_7225,30000_90003_1_10000,30000_90004_1_5000</v>
      </c>
      <c r="H397">
        <f>[1]map.xml!H397</f>
        <v>0</v>
      </c>
      <c r="I397" t="str">
        <f>[1]map.xml!I397</f>
        <v>30000_90005_1_10000,4000465_0_1_7225,4000465_0_1_7225,4000465_0_1_7225</v>
      </c>
      <c r="J397">
        <f>[1]map.xml!J397</f>
        <v>0</v>
      </c>
      <c r="K397">
        <f>精英副本!K507</f>
        <v>100</v>
      </c>
      <c r="L397" t="str">
        <f>精英副本!L507</f>
        <v>map/map_001.png</v>
      </c>
      <c r="M397" t="str">
        <f>精英副本!M507</f>
        <v>1-3</v>
      </c>
      <c r="N397">
        <f>精英副本!N507</f>
        <v>920</v>
      </c>
      <c r="O397">
        <f>精英副本!O507</f>
        <v>120</v>
      </c>
      <c r="P397">
        <f>精英副本!P507</f>
        <v>10</v>
      </c>
      <c r="Q397">
        <f>精英副本!Q507</f>
        <v>10</v>
      </c>
      <c r="R397">
        <f>精英副本!R507</f>
        <v>0</v>
      </c>
      <c r="S397">
        <f>精英副本!S507</f>
        <v>3</v>
      </c>
      <c r="T397">
        <f>精英副本!T507</f>
        <v>61</v>
      </c>
      <c r="U397">
        <f>精英副本客户端!F341</f>
        <v>306506</v>
      </c>
    </row>
    <row r="398" spans="1:21">
      <c r="A398">
        <f>精英副本!A508</f>
        <v>306508</v>
      </c>
      <c r="B398" t="str">
        <f>精英副本!Y508</f>
        <v>智慧试炼（65）</v>
      </c>
      <c r="C398">
        <f>精英副本!C508</f>
        <v>0</v>
      </c>
      <c r="D398">
        <f>精英副本!D508</f>
        <v>0</v>
      </c>
      <c r="E398" t="str">
        <f>[1]map.xml!$E398</f>
        <v>3065081_1</v>
      </c>
      <c r="F398" t="str">
        <f>[1]map.xml!F398</f>
        <v>1_10000,2_0,3_0</v>
      </c>
      <c r="G398" t="str">
        <f>[1]map.xml!G398</f>
        <v>40000_50700035_1_510,40000_50650035_1_1300,4000465_0_1_7250,4000465_0_1_7250,4000465_0_1_7250,30000_90003_1_10000,30000_90004_1_5000</v>
      </c>
      <c r="H398">
        <f>[1]map.xml!H398</f>
        <v>0</v>
      </c>
      <c r="I398" t="str">
        <f>[1]map.xml!I398</f>
        <v>30000_90005_1_10000,4000465_0_1_7250,4000465_0_1_7250,4000465_0_1_7250</v>
      </c>
      <c r="J398">
        <f>[1]map.xml!J398</f>
        <v>0</v>
      </c>
      <c r="K398">
        <f>精英副本!K508</f>
        <v>100</v>
      </c>
      <c r="L398" t="str">
        <f>精英副本!L508</f>
        <v>map/map_001.png</v>
      </c>
      <c r="M398" t="str">
        <f>精英副本!M508</f>
        <v>1-3</v>
      </c>
      <c r="N398">
        <f>精英副本!N508</f>
        <v>920</v>
      </c>
      <c r="O398">
        <f>精英副本!O508</f>
        <v>120</v>
      </c>
      <c r="P398">
        <f>精英副本!P508</f>
        <v>10</v>
      </c>
      <c r="Q398">
        <f>精英副本!Q508</f>
        <v>10</v>
      </c>
      <c r="R398">
        <f>精英副本!R508</f>
        <v>0</v>
      </c>
      <c r="S398">
        <f>精英副本!S508</f>
        <v>3</v>
      </c>
      <c r="T398">
        <f>精英副本!T508</f>
        <v>61</v>
      </c>
      <c r="U398">
        <f>精英副本客户端!F342</f>
        <v>306507</v>
      </c>
    </row>
    <row r="399" spans="1:21">
      <c r="A399">
        <f>精英副本!A509</f>
        <v>306509</v>
      </c>
      <c r="B399" t="str">
        <f>精英副本!Y509</f>
        <v>智慧试炼（65）</v>
      </c>
      <c r="C399">
        <f>精英副本!C509</f>
        <v>0</v>
      </c>
      <c r="D399">
        <f>精英副本!D509</f>
        <v>0</v>
      </c>
      <c r="E399" t="str">
        <f>[1]map.xml!$E399</f>
        <v>3065091_1</v>
      </c>
      <c r="F399" t="str">
        <f>[1]map.xml!F399</f>
        <v>1_10000,2_0,3_0</v>
      </c>
      <c r="G399" t="str">
        <f>[1]map.xml!G399</f>
        <v>40000_50703055_1_503,40000_50651055_1_1290,4000465_0_1_7275,4000465_0_1_7275,4000465_0_1_7275,30000_90003_1_10000,30000_90004_1_6250</v>
      </c>
      <c r="H399">
        <f>[1]map.xml!H399</f>
        <v>0</v>
      </c>
      <c r="I399" t="str">
        <f>[1]map.xml!I399</f>
        <v>30000_90005_1_10000,4000465_0_1_7275,4000465_0_1_7275,4000465_0_1_7275</v>
      </c>
      <c r="J399">
        <f>[1]map.xml!J399</f>
        <v>0</v>
      </c>
      <c r="K399">
        <f>精英副本!K509</f>
        <v>100</v>
      </c>
      <c r="L399" t="str">
        <f>精英副本!L509</f>
        <v>map/map_001.png</v>
      </c>
      <c r="M399" t="str">
        <f>精英副本!M509</f>
        <v>1-3</v>
      </c>
      <c r="N399">
        <f>精英副本!N509</f>
        <v>920</v>
      </c>
      <c r="O399">
        <f>精英副本!O509</f>
        <v>120</v>
      </c>
      <c r="P399">
        <f>精英副本!P509</f>
        <v>10</v>
      </c>
      <c r="Q399">
        <f>精英副本!Q509</f>
        <v>10</v>
      </c>
      <c r="R399">
        <f>精英副本!R509</f>
        <v>0</v>
      </c>
      <c r="S399">
        <f>精英副本!S509</f>
        <v>3</v>
      </c>
      <c r="T399">
        <f>精英副本!T509</f>
        <v>61</v>
      </c>
      <c r="U399">
        <f>精英副本客户端!F343</f>
        <v>306508</v>
      </c>
    </row>
    <row r="400" spans="1:21">
      <c r="A400">
        <f>精英副本!A510</f>
        <v>307001</v>
      </c>
      <c r="B400" t="str">
        <f>精英副本!Y510</f>
        <v>智慧试炼（70）</v>
      </c>
      <c r="C400">
        <f>精英副本!C510</f>
        <v>0</v>
      </c>
      <c r="D400">
        <f>精英副本!D510</f>
        <v>0</v>
      </c>
      <c r="E400" t="str">
        <f>[1]map.xml!$E400</f>
        <v>3070011_1</v>
      </c>
      <c r="F400" t="str">
        <f>[1]map.xml!F400</f>
        <v>1_10000,2_0,3_0</v>
      </c>
      <c r="G400" t="str">
        <f>[1]map.xml!G400</f>
        <v>40000_50750045_1_496,40000_50700015_1_1280,4000470_0_1_7300,4000470_0_1_7300,4000470_0_1_7300,30000_90003_1_10000,30000_90004_1_3750</v>
      </c>
      <c r="H400">
        <f>[1]map.xml!H400</f>
        <v>0</v>
      </c>
      <c r="I400" t="str">
        <f>[1]map.xml!I400</f>
        <v>30000_90005_1_10000,4000470_0_1_7300,4000470_0_1_7300,4000470_0_1_7300</v>
      </c>
      <c r="J400">
        <f>[1]map.xml!J400</f>
        <v>0</v>
      </c>
      <c r="K400">
        <f>精英副本!K510</f>
        <v>100</v>
      </c>
      <c r="L400" t="str">
        <f>精英副本!L510</f>
        <v>map/map_001.png</v>
      </c>
      <c r="M400" t="str">
        <f>精英副本!M510</f>
        <v>1-3</v>
      </c>
      <c r="N400">
        <f>精英副本!N510</f>
        <v>920</v>
      </c>
      <c r="O400">
        <f>精英副本!O510</f>
        <v>120</v>
      </c>
      <c r="P400">
        <f>精英副本!P510</f>
        <v>10</v>
      </c>
      <c r="Q400">
        <f>精英副本!Q510</f>
        <v>10</v>
      </c>
      <c r="R400">
        <f>精英副本!R510</f>
        <v>0</v>
      </c>
      <c r="S400">
        <f>精英副本!S510</f>
        <v>3</v>
      </c>
      <c r="T400">
        <f>精英副本!T510</f>
        <v>66</v>
      </c>
      <c r="U400">
        <f>精英副本客户端!F344</f>
        <v>0</v>
      </c>
    </row>
    <row r="401" spans="1:21">
      <c r="A401">
        <f>精英副本!A511</f>
        <v>307002</v>
      </c>
      <c r="B401" t="str">
        <f>精英副本!Y511</f>
        <v>智慧试炼（70）</v>
      </c>
      <c r="C401">
        <f>精英副本!C511</f>
        <v>0</v>
      </c>
      <c r="D401">
        <f>精英副本!D511</f>
        <v>0</v>
      </c>
      <c r="E401" t="str">
        <f>[1]map.xml!$E401</f>
        <v>3070021_1</v>
      </c>
      <c r="F401" t="str">
        <f>[1]map.xml!F401</f>
        <v>1_10000,2_0,3_0</v>
      </c>
      <c r="G401" t="str">
        <f>[1]map.xml!G401</f>
        <v>40000_50750025_1_489,40000_50701065_1_1270,4000470_0_1_7325,4000470_0_1_7325,4000470_0_1_7325,30000_90003_1_10000,30000_90004_1_3750</v>
      </c>
      <c r="H401">
        <f>[1]map.xml!H401</f>
        <v>0</v>
      </c>
      <c r="I401" t="str">
        <f>[1]map.xml!I401</f>
        <v>30000_90005_1_10000,4000470_0_1_7325,4000470_0_1_7325,4000470_0_1_7325</v>
      </c>
      <c r="J401">
        <f>[1]map.xml!J401</f>
        <v>0</v>
      </c>
      <c r="K401">
        <f>精英副本!K511</f>
        <v>100</v>
      </c>
      <c r="L401" t="str">
        <f>精英副本!L511</f>
        <v>map/map_001.png</v>
      </c>
      <c r="M401" t="str">
        <f>精英副本!M511</f>
        <v>1-3</v>
      </c>
      <c r="N401">
        <f>精英副本!N511</f>
        <v>920</v>
      </c>
      <c r="O401">
        <f>精英副本!O511</f>
        <v>120</v>
      </c>
      <c r="P401">
        <f>精英副本!P511</f>
        <v>10</v>
      </c>
      <c r="Q401">
        <f>精英副本!Q511</f>
        <v>10</v>
      </c>
      <c r="R401">
        <f>精英副本!R511</f>
        <v>0</v>
      </c>
      <c r="S401">
        <f>精英副本!S511</f>
        <v>3</v>
      </c>
      <c r="T401">
        <f>精英副本!T511</f>
        <v>66</v>
      </c>
      <c r="U401">
        <f>精英副本客户端!F345</f>
        <v>307001</v>
      </c>
    </row>
    <row r="402" spans="1:21">
      <c r="A402">
        <f>精英副本!A512</f>
        <v>307003</v>
      </c>
      <c r="B402" t="str">
        <f>精英副本!Y512</f>
        <v>智慧试炼（70）</v>
      </c>
      <c r="C402">
        <f>精英副本!C512</f>
        <v>0</v>
      </c>
      <c r="D402">
        <f>精英副本!D512</f>
        <v>0</v>
      </c>
      <c r="E402" t="str">
        <f>[1]map.xml!$E402</f>
        <v>3070031_1</v>
      </c>
      <c r="F402" t="str">
        <f>[1]map.xml!F402</f>
        <v>1_10000,2_0,3_0</v>
      </c>
      <c r="G402" t="str">
        <f>[1]map.xml!G402</f>
        <v>40000_50750095_1_482,40000_50702055_1_1260,4000470_0_1_7350,4000470_0_1_7350,4000470_0_1_7350,30000_90003_1_10000,30000_90004_1_5000</v>
      </c>
      <c r="H402">
        <f>[1]map.xml!H402</f>
        <v>0</v>
      </c>
      <c r="I402" t="str">
        <f>[1]map.xml!I402</f>
        <v>30000_90005_1_10000,4000470_0_1_7350,4000470_0_1_7350,4000470_0_1_7350</v>
      </c>
      <c r="J402">
        <f>[1]map.xml!J402</f>
        <v>0</v>
      </c>
      <c r="K402">
        <f>精英副本!K512</f>
        <v>100</v>
      </c>
      <c r="L402" t="str">
        <f>精英副本!L512</f>
        <v>map/map_001.png</v>
      </c>
      <c r="M402" t="str">
        <f>精英副本!M512</f>
        <v>1-3</v>
      </c>
      <c r="N402">
        <f>精英副本!N512</f>
        <v>920</v>
      </c>
      <c r="O402">
        <f>精英副本!O512</f>
        <v>120</v>
      </c>
      <c r="P402">
        <f>精英副本!P512</f>
        <v>10</v>
      </c>
      <c r="Q402">
        <f>精英副本!Q512</f>
        <v>10</v>
      </c>
      <c r="R402">
        <f>精英副本!R512</f>
        <v>0</v>
      </c>
      <c r="S402">
        <f>精英副本!S512</f>
        <v>3</v>
      </c>
      <c r="T402">
        <f>精英副本!T512</f>
        <v>66</v>
      </c>
      <c r="U402">
        <f>精英副本客户端!F346</f>
        <v>307002</v>
      </c>
    </row>
    <row r="403" spans="1:21">
      <c r="A403">
        <f>精英副本!A513</f>
        <v>307004</v>
      </c>
      <c r="B403" t="str">
        <f>精英副本!Y513</f>
        <v>智慧试炼（70）</v>
      </c>
      <c r="C403">
        <f>精英副本!C513</f>
        <v>0</v>
      </c>
      <c r="D403">
        <f>精英副本!D513</f>
        <v>0</v>
      </c>
      <c r="E403" t="str">
        <f>[1]map.xml!$E403</f>
        <v>3070041_1,3070042_1,3070043_1</v>
      </c>
      <c r="F403" t="str">
        <f>[1]map.xml!F403</f>
        <v>1_0,2_0,3_10000</v>
      </c>
      <c r="G403" t="str">
        <f>[1]map.xml!G403</f>
        <v>40000_50750035_1_475,40000_50753066_1_1250,4000470_0_1_7375,4000470_0_1_7375,4000470_0_1_7375,30000_90003_1_10000,30000_90004_1_5000</v>
      </c>
      <c r="H403">
        <f>[1]map.xml!H403</f>
        <v>0</v>
      </c>
      <c r="I403" t="str">
        <f>[1]map.xml!I403</f>
        <v>30000_90005_1_10000,4000470_0_1_7375,4000470_0_1_7375,4000470_0_1_7375</v>
      </c>
      <c r="J403">
        <f>[1]map.xml!J403</f>
        <v>0</v>
      </c>
      <c r="K403">
        <f>精英副本!K513</f>
        <v>100</v>
      </c>
      <c r="L403" t="str">
        <f>精英副本!L513</f>
        <v>map/map_001.png</v>
      </c>
      <c r="M403" t="str">
        <f>精英副本!M513</f>
        <v>1-3</v>
      </c>
      <c r="N403">
        <f>精英副本!N513</f>
        <v>920</v>
      </c>
      <c r="O403">
        <f>精英副本!O513</f>
        <v>120</v>
      </c>
      <c r="P403">
        <f>精英副本!P513</f>
        <v>10</v>
      </c>
      <c r="Q403">
        <f>精英副本!Q513</f>
        <v>10</v>
      </c>
      <c r="R403">
        <f>精英副本!R513</f>
        <v>0</v>
      </c>
      <c r="S403">
        <f>精英副本!S513</f>
        <v>3</v>
      </c>
      <c r="T403">
        <f>精英副本!T513</f>
        <v>66</v>
      </c>
      <c r="U403">
        <f>精英副本客户端!F347</f>
        <v>307003</v>
      </c>
    </row>
    <row r="404" spans="1:21">
      <c r="A404">
        <f>精英副本!A514</f>
        <v>307005</v>
      </c>
      <c r="B404" t="str">
        <f>精英副本!Y514</f>
        <v>智慧试炼（70）</v>
      </c>
      <c r="C404">
        <f>精英副本!C514</f>
        <v>0</v>
      </c>
      <c r="D404">
        <f>精英副本!D514</f>
        <v>0</v>
      </c>
      <c r="E404" t="str">
        <f>[1]map.xml!$E404</f>
        <v>3070051_1</v>
      </c>
      <c r="F404" t="str">
        <f>[1]map.xml!F404</f>
        <v>1_10000,2_0,3_0</v>
      </c>
      <c r="G404" t="str">
        <f>[1]map.xml!G404</f>
        <v>40000_50750085_1_468,40000_50703065_1_1240,4000470_0_1_7400,4000470_0_1_7400,4000470_0_1_7400,30000_90003_1_10000,30000_90004_1_5000</v>
      </c>
      <c r="H404">
        <f>[1]map.xml!H404</f>
        <v>0</v>
      </c>
      <c r="I404" t="str">
        <f>[1]map.xml!I404</f>
        <v>30000_90005_1_10000,4000470_0_1_7400,4000470_0_1_7400,4000470_0_1_7400</v>
      </c>
      <c r="J404">
        <f>[1]map.xml!J404</f>
        <v>0</v>
      </c>
      <c r="K404">
        <f>精英副本!K514</f>
        <v>100</v>
      </c>
      <c r="L404" t="str">
        <f>精英副本!L514</f>
        <v>map/map_001.png</v>
      </c>
      <c r="M404" t="str">
        <f>精英副本!M514</f>
        <v>1-3</v>
      </c>
      <c r="N404">
        <f>精英副本!N514</f>
        <v>920</v>
      </c>
      <c r="O404">
        <f>精英副本!O514</f>
        <v>120</v>
      </c>
      <c r="P404">
        <f>精英副本!P514</f>
        <v>10</v>
      </c>
      <c r="Q404">
        <f>精英副本!Q514</f>
        <v>10</v>
      </c>
      <c r="R404">
        <f>精英副本!R514</f>
        <v>0</v>
      </c>
      <c r="S404">
        <f>精英副本!S514</f>
        <v>3</v>
      </c>
      <c r="T404">
        <f>精英副本!T514</f>
        <v>66</v>
      </c>
      <c r="U404">
        <f>精英副本客户端!F348</f>
        <v>307004</v>
      </c>
    </row>
    <row r="405" spans="1:21">
      <c r="A405">
        <f>精英副本!A515</f>
        <v>307006</v>
      </c>
      <c r="B405" t="str">
        <f>精英副本!Y515</f>
        <v>智慧试炼（70）</v>
      </c>
      <c r="C405">
        <f>精英副本!C515</f>
        <v>0</v>
      </c>
      <c r="D405">
        <f>精英副本!D515</f>
        <v>0</v>
      </c>
      <c r="E405" t="str">
        <f>[1]map.xml!$E405</f>
        <v>3070061_1</v>
      </c>
      <c r="F405" t="str">
        <f>[1]map.xml!F405</f>
        <v>1_10000,2_0,3_0</v>
      </c>
      <c r="G405" t="str">
        <f>[1]map.xml!G405</f>
        <v>40000_50750105_1_461,40000_50702065_1_1230,4000470_0_1_7425,4000470_0_1_7425,4000470_0_1_7425,30000_90003_1_10000,30000_90004_1_6250</v>
      </c>
      <c r="H405">
        <f>[1]map.xml!H405</f>
        <v>0</v>
      </c>
      <c r="I405" t="str">
        <f>[1]map.xml!I405</f>
        <v>30000_90005_1_10000,4000470_0_1_7425,4000470_0_1_7425,4000470_0_1_7425</v>
      </c>
      <c r="J405">
        <f>[1]map.xml!J405</f>
        <v>0</v>
      </c>
      <c r="K405">
        <f>精英副本!K515</f>
        <v>100</v>
      </c>
      <c r="L405" t="str">
        <f>精英副本!L515</f>
        <v>map/map_001.png</v>
      </c>
      <c r="M405" t="str">
        <f>精英副本!M515</f>
        <v>1-3</v>
      </c>
      <c r="N405">
        <f>精英副本!N515</f>
        <v>920</v>
      </c>
      <c r="O405">
        <f>精英副本!O515</f>
        <v>120</v>
      </c>
      <c r="P405">
        <f>精英副本!P515</f>
        <v>10</v>
      </c>
      <c r="Q405">
        <f>精英副本!Q515</f>
        <v>10</v>
      </c>
      <c r="R405">
        <f>精英副本!R515</f>
        <v>0</v>
      </c>
      <c r="S405">
        <f>精英副本!S515</f>
        <v>3</v>
      </c>
      <c r="T405">
        <f>精英副本!T515</f>
        <v>66</v>
      </c>
      <c r="U405">
        <f>精英副本客户端!F349</f>
        <v>307005</v>
      </c>
    </row>
    <row r="406" spans="1:21">
      <c r="A406">
        <f>精英副本!A516</f>
        <v>307007</v>
      </c>
      <c r="B406" t="str">
        <f>精英副本!Y516</f>
        <v>智慧试炼（70）</v>
      </c>
      <c r="C406">
        <f>精英副本!C516</f>
        <v>0</v>
      </c>
      <c r="D406">
        <f>精英副本!D516</f>
        <v>0</v>
      </c>
      <c r="E406" t="str">
        <f>[1]map.xml!$E406</f>
        <v>3070071_1</v>
      </c>
      <c r="F406" t="str">
        <f>[1]map.xml!F406</f>
        <v>1_10000,2_0,3_0</v>
      </c>
      <c r="G406" t="str">
        <f>[1]map.xml!G406</f>
        <v>40000_50750015_1_454,40000_50700035_1_1220,4000470_0_1_7450,4000470_0_1_7450,4000470_0_1_7450,30000_90003_1_10000,30000_90004_1_6250</v>
      </c>
      <c r="H406">
        <f>[1]map.xml!H406</f>
        <v>0</v>
      </c>
      <c r="I406" t="str">
        <f>[1]map.xml!I406</f>
        <v>30000_90005_1_10000,4000470_0_1_7450,4000470_0_1_7450,4000470_0_1_7450</v>
      </c>
      <c r="J406">
        <f>[1]map.xml!J406</f>
        <v>0</v>
      </c>
      <c r="K406">
        <f>精英副本!K516</f>
        <v>100</v>
      </c>
      <c r="L406" t="str">
        <f>精英副本!L516</f>
        <v>map/map_001.png</v>
      </c>
      <c r="M406" t="str">
        <f>精英副本!M516</f>
        <v>1-3</v>
      </c>
      <c r="N406">
        <f>精英副本!N516</f>
        <v>920</v>
      </c>
      <c r="O406">
        <f>精英副本!O516</f>
        <v>120</v>
      </c>
      <c r="P406">
        <f>精英副本!P516</f>
        <v>10</v>
      </c>
      <c r="Q406">
        <f>精英副本!Q516</f>
        <v>10</v>
      </c>
      <c r="R406">
        <f>精英副本!R516</f>
        <v>0</v>
      </c>
      <c r="S406">
        <f>精英副本!S516</f>
        <v>3</v>
      </c>
      <c r="T406">
        <f>精英副本!T516</f>
        <v>66</v>
      </c>
      <c r="U406">
        <f>精英副本客户端!F350</f>
        <v>307006</v>
      </c>
    </row>
    <row r="407" spans="1:21">
      <c r="A407">
        <f>精英副本!A517</f>
        <v>307008</v>
      </c>
      <c r="B407" t="str">
        <f>精英副本!Y517</f>
        <v>智慧试炼（70）</v>
      </c>
      <c r="C407">
        <f>精英副本!C517</f>
        <v>0</v>
      </c>
      <c r="D407">
        <f>精英副本!D517</f>
        <v>0</v>
      </c>
      <c r="E407" t="str">
        <f>[1]map.xml!$E407</f>
        <v>3070081_1</v>
      </c>
      <c r="F407" t="str">
        <f>[1]map.xml!F407</f>
        <v>1_10000,2_0,3_0</v>
      </c>
      <c r="G407" t="str">
        <f>[1]map.xml!G407</f>
        <v>40000_50750035_1_447,40000_50703055_1_1210,4000470_0_1_7475,4000470_0_1_7475,4000470_0_1_7475,30000_90003_1_10000,30000_90004_1_6250</v>
      </c>
      <c r="H407">
        <f>[1]map.xml!H407</f>
        <v>0</v>
      </c>
      <c r="I407" t="str">
        <f>[1]map.xml!I407</f>
        <v>30000_90005_1_10000,4000470_0_1_7475,4000470_0_1_7475,4000470_0_1_7475</v>
      </c>
      <c r="J407">
        <f>[1]map.xml!J407</f>
        <v>0</v>
      </c>
      <c r="K407">
        <f>精英副本!K517</f>
        <v>100</v>
      </c>
      <c r="L407" t="str">
        <f>精英副本!L517</f>
        <v>map/map_001.png</v>
      </c>
      <c r="M407" t="str">
        <f>精英副本!M517</f>
        <v>1-3</v>
      </c>
      <c r="N407">
        <f>精英副本!N517</f>
        <v>920</v>
      </c>
      <c r="O407">
        <f>精英副本!O517</f>
        <v>120</v>
      </c>
      <c r="P407">
        <f>精英副本!P517</f>
        <v>10</v>
      </c>
      <c r="Q407">
        <f>精英副本!Q517</f>
        <v>10</v>
      </c>
      <c r="R407">
        <f>精英副本!R517</f>
        <v>0</v>
      </c>
      <c r="S407">
        <f>精英副本!S517</f>
        <v>3</v>
      </c>
      <c r="T407">
        <f>精英副本!T517</f>
        <v>66</v>
      </c>
      <c r="U407">
        <f>精英副本客户端!F351</f>
        <v>307007</v>
      </c>
    </row>
    <row r="408" spans="1:21">
      <c r="A408">
        <f>精英副本!A518</f>
        <v>307009</v>
      </c>
      <c r="B408" t="str">
        <f>精英副本!Y518</f>
        <v>智慧试炼（70）</v>
      </c>
      <c r="C408">
        <f>精英副本!C518</f>
        <v>0</v>
      </c>
      <c r="D408">
        <f>精英副本!D518</f>
        <v>0</v>
      </c>
      <c r="E408" t="str">
        <f>[1]map.xml!$E408</f>
        <v>3070091_1</v>
      </c>
      <c r="F408" t="str">
        <f>[1]map.xml!F408</f>
        <v>1_10000,2_0,3_0</v>
      </c>
      <c r="G408" t="str">
        <f>[1]map.xml!G408</f>
        <v>40000_50753056_1_440,40000_50701055_1_1200,4000470_0_1_7500,4000470_0_1_7500,4000470_0_1_7500,30000_90003_1_10000,30000_90004_1_7500</v>
      </c>
      <c r="H408">
        <f>[1]map.xml!H408</f>
        <v>0</v>
      </c>
      <c r="I408" t="str">
        <f>[1]map.xml!I408</f>
        <v>30000_90005_1_10000,4000470_0_1_7500,4000470_0_1_7500,4000470_0_1_7500</v>
      </c>
      <c r="J408">
        <f>[1]map.xml!J408</f>
        <v>0</v>
      </c>
      <c r="K408">
        <f>精英副本!K518</f>
        <v>100</v>
      </c>
      <c r="L408" t="str">
        <f>精英副本!L518</f>
        <v>map/map_001.png</v>
      </c>
      <c r="M408" t="str">
        <f>精英副本!M518</f>
        <v>1-3</v>
      </c>
      <c r="N408">
        <f>精英副本!N518</f>
        <v>920</v>
      </c>
      <c r="O408">
        <f>精英副本!O518</f>
        <v>120</v>
      </c>
      <c r="P408">
        <f>精英副本!P518</f>
        <v>10</v>
      </c>
      <c r="Q408">
        <f>精英副本!Q518</f>
        <v>10</v>
      </c>
      <c r="R408">
        <f>精英副本!R518</f>
        <v>0</v>
      </c>
      <c r="S408">
        <f>精英副本!S518</f>
        <v>3</v>
      </c>
      <c r="T408">
        <f>精英副本!T518</f>
        <v>66</v>
      </c>
      <c r="U408">
        <f>精英副本客户端!F352</f>
        <v>307008</v>
      </c>
    </row>
    <row r="409" spans="1:21">
      <c r="A409">
        <f>精英副本!A519</f>
        <v>307501</v>
      </c>
      <c r="B409" t="str">
        <f>精英副本!Y519</f>
        <v>智慧试炼（75）</v>
      </c>
      <c r="C409">
        <f>精英副本!C519</f>
        <v>0</v>
      </c>
      <c r="D409">
        <f>精英副本!D519</f>
        <v>0</v>
      </c>
      <c r="E409" t="str">
        <f>[1]map.xml!$E409</f>
        <v>3075011_1</v>
      </c>
      <c r="F409" t="str">
        <f>[1]map.xml!F409</f>
        <v>1_10000,2_0,3_0</v>
      </c>
      <c r="G409" t="str">
        <f>[1]map.xml!G409</f>
        <v>40000_50800105_1_433,40000_50752055_1_1190,4004074_0_1_7525,4004074_0_1_7525,4004074_0_1_7525,30000_90003_1_10000,30000_90004_1_5000</v>
      </c>
      <c r="H409">
        <f>[1]map.xml!H409</f>
        <v>0</v>
      </c>
      <c r="I409" t="str">
        <f>[1]map.xml!I409</f>
        <v>30000_90005_1_10000,4004074_0_1_7525,4004074_0_1_7525,4004074_0_1_7525</v>
      </c>
      <c r="J409">
        <f>[1]map.xml!J409</f>
        <v>0</v>
      </c>
      <c r="K409">
        <f>精英副本!K519</f>
        <v>100</v>
      </c>
      <c r="L409" t="str">
        <f>精英副本!L519</f>
        <v>map/map_001.png</v>
      </c>
      <c r="M409" t="str">
        <f>精英副本!M519</f>
        <v>1-3</v>
      </c>
      <c r="N409">
        <f>精英副本!N519</f>
        <v>920</v>
      </c>
      <c r="O409">
        <f>精英副本!O519</f>
        <v>120</v>
      </c>
      <c r="P409">
        <f>精英副本!P519</f>
        <v>10</v>
      </c>
      <c r="Q409">
        <f>精英副本!Q519</f>
        <v>10</v>
      </c>
      <c r="R409">
        <f>精英副本!R519</f>
        <v>0</v>
      </c>
      <c r="S409">
        <f>精英副本!S519</f>
        <v>3</v>
      </c>
      <c r="T409">
        <f>精英副本!T519</f>
        <v>71</v>
      </c>
      <c r="U409">
        <f>精英副本客户端!F353</f>
        <v>0</v>
      </c>
    </row>
    <row r="410" spans="1:21">
      <c r="A410">
        <f>精英副本!A520</f>
        <v>307502</v>
      </c>
      <c r="B410" t="str">
        <f>精英副本!Y520</f>
        <v>智慧试炼（75）</v>
      </c>
      <c r="C410">
        <f>精英副本!C520</f>
        <v>0</v>
      </c>
      <c r="D410">
        <f>精英副本!D520</f>
        <v>0</v>
      </c>
      <c r="E410" t="str">
        <f>[1]map.xml!$E410</f>
        <v>3075021_1</v>
      </c>
      <c r="F410" t="str">
        <f>[1]map.xml!F410</f>
        <v>1_10000,2_0,3_0</v>
      </c>
      <c r="G410" t="str">
        <f>[1]map.xml!G410</f>
        <v>40000_50800085_1_426,40000_50803066_1_1180,4004074_0_1_7550,4004074_0_1_7550,4004074_0_1_7550,30000_90003_1_10000,30000_90004_1_5000</v>
      </c>
      <c r="H410">
        <f>[1]map.xml!H410</f>
        <v>0</v>
      </c>
      <c r="I410" t="str">
        <f>[1]map.xml!I410</f>
        <v>30000_90005_1_10000,4004074_0_1_7550,4004074_0_1_7550,4004074_0_1_7550</v>
      </c>
      <c r="J410">
        <f>[1]map.xml!J410</f>
        <v>0</v>
      </c>
      <c r="K410">
        <f>精英副本!K520</f>
        <v>100</v>
      </c>
      <c r="L410" t="str">
        <f>精英副本!L520</f>
        <v>map/map_001.png</v>
      </c>
      <c r="M410" t="str">
        <f>精英副本!M520</f>
        <v>1-3</v>
      </c>
      <c r="N410">
        <f>精英副本!N520</f>
        <v>920</v>
      </c>
      <c r="O410">
        <f>精英副本!O520</f>
        <v>120</v>
      </c>
      <c r="P410">
        <f>精英副本!P520</f>
        <v>10</v>
      </c>
      <c r="Q410">
        <f>精英副本!Q520</f>
        <v>10</v>
      </c>
      <c r="R410">
        <f>精英副本!R520</f>
        <v>0</v>
      </c>
      <c r="S410">
        <f>精英副本!S520</f>
        <v>3</v>
      </c>
      <c r="T410">
        <f>精英副本!T520</f>
        <v>71</v>
      </c>
      <c r="U410">
        <f>精英副本客户端!F354</f>
        <v>307501</v>
      </c>
    </row>
    <row r="411" spans="1:21">
      <c r="A411">
        <f>精英副本!A521</f>
        <v>307503</v>
      </c>
      <c r="B411" t="str">
        <f>精英副本!Y521</f>
        <v>智慧试炼（75）</v>
      </c>
      <c r="C411">
        <f>精英副本!C521</f>
        <v>0</v>
      </c>
      <c r="D411">
        <f>精英副本!D521</f>
        <v>0</v>
      </c>
      <c r="E411" t="str">
        <f>[1]map.xml!$E411</f>
        <v>3075031_1</v>
      </c>
      <c r="F411" t="str">
        <f>[1]map.xml!F411</f>
        <v>1_10000,2_0,3_0</v>
      </c>
      <c r="G411" t="str">
        <f>[1]map.xml!G411</f>
        <v>40000_50800095_1_419,40000_50751065_1_1170,4004074_0_1_7575,4004074_0_1_7575,4004074_0_1_7575,30000_90003_1_10000,30000_90004_1_6250</v>
      </c>
      <c r="H411">
        <f>[1]map.xml!H411</f>
        <v>0</v>
      </c>
      <c r="I411" t="str">
        <f>[1]map.xml!I411</f>
        <v>30000_90005_1_10000,4004074_0_1_7575,4004074_0_1_7575,4004074_0_1_7575</v>
      </c>
      <c r="J411">
        <f>[1]map.xml!J411</f>
        <v>0</v>
      </c>
      <c r="K411">
        <f>精英副本!K521</f>
        <v>100</v>
      </c>
      <c r="L411" t="str">
        <f>精英副本!L521</f>
        <v>map/map_001.png</v>
      </c>
      <c r="M411" t="str">
        <f>精英副本!M521</f>
        <v>1-3</v>
      </c>
      <c r="N411">
        <f>精英副本!N521</f>
        <v>920</v>
      </c>
      <c r="O411">
        <f>精英副本!O521</f>
        <v>120</v>
      </c>
      <c r="P411">
        <f>精英副本!P521</f>
        <v>10</v>
      </c>
      <c r="Q411">
        <f>精英副本!Q521</f>
        <v>10</v>
      </c>
      <c r="R411">
        <f>精英副本!R521</f>
        <v>0</v>
      </c>
      <c r="S411">
        <f>精英副本!S521</f>
        <v>3</v>
      </c>
      <c r="T411">
        <f>精英副本!T521</f>
        <v>71</v>
      </c>
      <c r="U411">
        <f>精英副本客户端!F355</f>
        <v>307502</v>
      </c>
    </row>
    <row r="412" spans="1:21">
      <c r="A412">
        <f>精英副本!A522</f>
        <v>307504</v>
      </c>
      <c r="B412" t="str">
        <f>精英副本!Y522</f>
        <v>智慧试炼（75）</v>
      </c>
      <c r="C412">
        <f>精英副本!C522</f>
        <v>0</v>
      </c>
      <c r="D412">
        <f>精英副本!D522</f>
        <v>0</v>
      </c>
      <c r="E412" t="str">
        <f>[1]map.xml!$E412</f>
        <v>3075041_1,3075042_1,3075043_1</v>
      </c>
      <c r="F412" t="str">
        <f>[1]map.xml!F412</f>
        <v>1_0,2_0,3_10000</v>
      </c>
      <c r="G412" t="str">
        <f>[1]map.xml!G412</f>
        <v>40000_50800075_1_412,40000_50750035_1_1160,4004074_0_1_7600,4004074_0_1_7600,4004074_0_1_7600,30000_90003_1_10000,30000_90004_1_6250</v>
      </c>
      <c r="H412">
        <f>[1]map.xml!H412</f>
        <v>0</v>
      </c>
      <c r="I412" t="str">
        <f>[1]map.xml!I412</f>
        <v>30000_90005_1_10000,4004074_0_1_7600,4004074_0_1_7600,4004074_0_1_7600</v>
      </c>
      <c r="J412">
        <f>[1]map.xml!J412</f>
        <v>0</v>
      </c>
      <c r="K412">
        <f>精英副本!K522</f>
        <v>100</v>
      </c>
      <c r="L412" t="str">
        <f>精英副本!L522</f>
        <v>map/map_001.png</v>
      </c>
      <c r="M412" t="str">
        <f>精英副本!M522</f>
        <v>1-3</v>
      </c>
      <c r="N412">
        <f>精英副本!N522</f>
        <v>920</v>
      </c>
      <c r="O412">
        <f>精英副本!O522</f>
        <v>120</v>
      </c>
      <c r="P412">
        <f>精英副本!P522</f>
        <v>10</v>
      </c>
      <c r="Q412">
        <f>精英副本!Q522</f>
        <v>10</v>
      </c>
      <c r="R412">
        <f>精英副本!R522</f>
        <v>0</v>
      </c>
      <c r="S412">
        <f>精英副本!S522</f>
        <v>3</v>
      </c>
      <c r="T412">
        <f>精英副本!T522</f>
        <v>71</v>
      </c>
      <c r="U412">
        <f>精英副本客户端!F356</f>
        <v>307503</v>
      </c>
    </row>
    <row r="413" spans="1:21">
      <c r="A413">
        <f>精英副本!A523</f>
        <v>307505</v>
      </c>
      <c r="B413" t="str">
        <f>精英副本!Y523</f>
        <v>智慧试炼（75）</v>
      </c>
      <c r="C413">
        <f>精英副本!C523</f>
        <v>0</v>
      </c>
      <c r="D413">
        <f>精英副本!D523</f>
        <v>0</v>
      </c>
      <c r="E413" t="str">
        <f>[1]map.xml!$E413</f>
        <v>3075051_1</v>
      </c>
      <c r="F413" t="str">
        <f>[1]map.xml!F413</f>
        <v>1_10000,2_0,3_0</v>
      </c>
      <c r="G413" t="str">
        <f>[1]map.xml!G413</f>
        <v>40000_50800025_1_405,40000_50753065_1_1150,4004074_0_1_7625,4004074_0_1_7625,4004074_0_1_7625,30000_90003_1_10000,30000_90004_1_6250</v>
      </c>
      <c r="H413">
        <f>[1]map.xml!H413</f>
        <v>0</v>
      </c>
      <c r="I413" t="str">
        <f>[1]map.xml!I413</f>
        <v>30000_90005_1_10000,4004074_0_1_7625,4004074_0_1_7625,4004074_0_1_7625</v>
      </c>
      <c r="J413">
        <f>[1]map.xml!J413</f>
        <v>0</v>
      </c>
      <c r="K413">
        <f>精英副本!K523</f>
        <v>100</v>
      </c>
      <c r="L413" t="str">
        <f>精英副本!L523</f>
        <v>map/map_001.png</v>
      </c>
      <c r="M413" t="str">
        <f>精英副本!M523</f>
        <v>1-3</v>
      </c>
      <c r="N413">
        <f>精英副本!N523</f>
        <v>920</v>
      </c>
      <c r="O413">
        <f>精英副本!O523</f>
        <v>120</v>
      </c>
      <c r="P413">
        <f>精英副本!P523</f>
        <v>10</v>
      </c>
      <c r="Q413">
        <f>精英副本!Q523</f>
        <v>10</v>
      </c>
      <c r="R413">
        <f>精英副本!R523</f>
        <v>0</v>
      </c>
      <c r="S413">
        <f>精英副本!S523</f>
        <v>3</v>
      </c>
      <c r="T413">
        <f>精英副本!T523</f>
        <v>71</v>
      </c>
      <c r="U413">
        <f>精英副本客户端!F357</f>
        <v>307504</v>
      </c>
    </row>
    <row r="414" spans="1:21">
      <c r="A414">
        <f>精英副本!A524</f>
        <v>307506</v>
      </c>
      <c r="B414" t="str">
        <f>精英副本!Y524</f>
        <v>智慧试炼（75）</v>
      </c>
      <c r="C414">
        <f>精英副本!C524</f>
        <v>0</v>
      </c>
      <c r="D414">
        <f>精英副本!D524</f>
        <v>0</v>
      </c>
      <c r="E414" t="str">
        <f>[1]map.xml!$E414</f>
        <v>3075061_1</v>
      </c>
      <c r="F414" t="str">
        <f>[1]map.xml!F414</f>
        <v>1_10000,2_0,3_0</v>
      </c>
      <c r="G414" t="str">
        <f>[1]map.xml!G414</f>
        <v>40000_50800045_1_398,40000_50752065_1_1140,4004074_0_1_7650,4004074_0_1_7650,4004074_0_1_7650,30000_90003_1_10000,30000_90004_1_7500</v>
      </c>
      <c r="H414">
        <f>[1]map.xml!H414</f>
        <v>0</v>
      </c>
      <c r="I414" t="str">
        <f>[1]map.xml!I414</f>
        <v>30000_90005_1_10000,4004074_0_1_7650,4004074_0_1_7650,4004074_0_1_7650</v>
      </c>
      <c r="J414">
        <f>[1]map.xml!J414</f>
        <v>0</v>
      </c>
      <c r="K414">
        <f>精英副本!K524</f>
        <v>100</v>
      </c>
      <c r="L414" t="str">
        <f>精英副本!L524</f>
        <v>map/map_001.png</v>
      </c>
      <c r="M414" t="str">
        <f>精英副本!M524</f>
        <v>1-3</v>
      </c>
      <c r="N414">
        <f>精英副本!N524</f>
        <v>920</v>
      </c>
      <c r="O414">
        <f>精英副本!O524</f>
        <v>120</v>
      </c>
      <c r="P414">
        <f>精英副本!P524</f>
        <v>10</v>
      </c>
      <c r="Q414">
        <f>精英副本!Q524</f>
        <v>10</v>
      </c>
      <c r="R414">
        <f>精英副本!R524</f>
        <v>0</v>
      </c>
      <c r="S414">
        <f>精英副本!S524</f>
        <v>3</v>
      </c>
      <c r="T414">
        <f>精英副本!T524</f>
        <v>71</v>
      </c>
      <c r="U414">
        <f>精英副本客户端!F358</f>
        <v>307505</v>
      </c>
    </row>
    <row r="415" spans="1:21">
      <c r="A415">
        <f>精英副本!A525</f>
        <v>307507</v>
      </c>
      <c r="B415" t="str">
        <f>精英副本!Y525</f>
        <v>智慧试炼（75）</v>
      </c>
      <c r="C415">
        <f>精英副本!C525</f>
        <v>0</v>
      </c>
      <c r="D415">
        <f>精英副本!D525</f>
        <v>0</v>
      </c>
      <c r="E415" t="str">
        <f>[1]map.xml!$E415</f>
        <v>3075071_1</v>
      </c>
      <c r="F415" t="str">
        <f>[1]map.xml!F415</f>
        <v>1_10000,2_0,3_0</v>
      </c>
      <c r="G415" t="str">
        <f>[1]map.xml!G415</f>
        <v>40000_50800035_1_391,40000_50753055_1_1130,4004074_0_1_7675,4004074_0_1_7675,4004074_0_1_7675,30000_90003_1_10000,30000_90004_1_7500</v>
      </c>
      <c r="H415">
        <f>[1]map.xml!H415</f>
        <v>0</v>
      </c>
      <c r="I415" t="str">
        <f>[1]map.xml!I415</f>
        <v>30000_90005_1_10000,4004074_0_1_7675,4004074_0_1_7675,4004074_0_1_7675</v>
      </c>
      <c r="J415">
        <f>[1]map.xml!J415</f>
        <v>0</v>
      </c>
      <c r="K415">
        <f>精英副本!K525</f>
        <v>100</v>
      </c>
      <c r="L415" t="str">
        <f>精英副本!L525</f>
        <v>map/map_001.png</v>
      </c>
      <c r="M415" t="str">
        <f>精英副本!M525</f>
        <v>1-3</v>
      </c>
      <c r="N415">
        <f>精英副本!N525</f>
        <v>920</v>
      </c>
      <c r="O415">
        <f>精英副本!O525</f>
        <v>120</v>
      </c>
      <c r="P415">
        <f>精英副本!P525</f>
        <v>10</v>
      </c>
      <c r="Q415">
        <f>精英副本!Q525</f>
        <v>10</v>
      </c>
      <c r="R415">
        <f>精英副本!R525</f>
        <v>0</v>
      </c>
      <c r="S415">
        <f>精英副本!S525</f>
        <v>3</v>
      </c>
      <c r="T415">
        <f>精英副本!T525</f>
        <v>71</v>
      </c>
      <c r="U415">
        <f>精英副本客户端!F359</f>
        <v>307506</v>
      </c>
    </row>
    <row r="416" spans="1:21">
      <c r="A416">
        <f>精英副本!A526</f>
        <v>307508</v>
      </c>
      <c r="B416" t="str">
        <f>精英副本!Y526</f>
        <v>智慧试炼（75）</v>
      </c>
      <c r="C416">
        <f>精英副本!C526</f>
        <v>0</v>
      </c>
      <c r="D416">
        <f>精英副本!D526</f>
        <v>0</v>
      </c>
      <c r="E416" t="str">
        <f>[1]map.xml!$E416</f>
        <v>3075081_1</v>
      </c>
      <c r="F416" t="str">
        <f>[1]map.xml!F416</f>
        <v>1_10000,2_0,3_0</v>
      </c>
      <c r="G416" t="str">
        <f>[1]map.xml!G416</f>
        <v>40000_50800015_1_384,40000_50751055_1_1120,4004074_0_1_7700,4004074_0_1_7700,4004074_0_1_7700,30000_90003_1_10000,30000_90004_1_7500</v>
      </c>
      <c r="H416">
        <f>[1]map.xml!H416</f>
        <v>0</v>
      </c>
      <c r="I416" t="str">
        <f>[1]map.xml!I416</f>
        <v>30000_90005_1_10000,4004074_0_1_7700,4004074_0_1_7700,4004074_0_1_7700</v>
      </c>
      <c r="J416">
        <f>[1]map.xml!J416</f>
        <v>0</v>
      </c>
      <c r="K416">
        <f>精英副本!K526</f>
        <v>100</v>
      </c>
      <c r="L416" t="str">
        <f>精英副本!L526</f>
        <v>map/map_001.png</v>
      </c>
      <c r="M416" t="str">
        <f>精英副本!M526</f>
        <v>1-3</v>
      </c>
      <c r="N416">
        <f>精英副本!N526</f>
        <v>920</v>
      </c>
      <c r="O416">
        <f>精英副本!O526</f>
        <v>120</v>
      </c>
      <c r="P416">
        <f>精英副本!P526</f>
        <v>10</v>
      </c>
      <c r="Q416">
        <f>精英副本!Q526</f>
        <v>10</v>
      </c>
      <c r="R416">
        <f>精英副本!R526</f>
        <v>0</v>
      </c>
      <c r="S416">
        <f>精英副本!S526</f>
        <v>3</v>
      </c>
      <c r="T416">
        <f>精英副本!T526</f>
        <v>71</v>
      </c>
      <c r="U416">
        <f>精英副本客户端!F360</f>
        <v>307507</v>
      </c>
    </row>
    <row r="417" spans="1:21">
      <c r="A417">
        <f>精英副本!A527</f>
        <v>307509</v>
      </c>
      <c r="B417" t="str">
        <f>精英副本!Y527</f>
        <v>智慧试炼（75）</v>
      </c>
      <c r="C417">
        <f>精英副本!C527</f>
        <v>0</v>
      </c>
      <c r="D417">
        <f>精英副本!D527</f>
        <v>0</v>
      </c>
      <c r="E417" t="str">
        <f>[1]map.xml!$E417</f>
        <v>3075091_1</v>
      </c>
      <c r="F417" t="str">
        <f>[1]map.xml!F417</f>
        <v>1_10000,2_0,3_0</v>
      </c>
      <c r="G417" t="str">
        <f>[1]map.xml!G417</f>
        <v>40000_50803056_1_377,40000_50750015_1_1110,4004074_0_1_7725,4004074_0_1_7725,4004074_0_1_7725,30000_90003_1_10000,30000_90004_1_8750</v>
      </c>
      <c r="H417">
        <f>[1]map.xml!H417</f>
        <v>0</v>
      </c>
      <c r="I417" t="str">
        <f>[1]map.xml!I417</f>
        <v>30000_90005_1_10000,4004074_0_1_7725,4004074_0_1_7725,4004074_0_1_7725</v>
      </c>
      <c r="J417">
        <f>[1]map.xml!J417</f>
        <v>0</v>
      </c>
      <c r="K417">
        <f>精英副本!K527</f>
        <v>100</v>
      </c>
      <c r="L417" t="str">
        <f>精英副本!L527</f>
        <v>map/map_001.png</v>
      </c>
      <c r="M417" t="str">
        <f>精英副本!M527</f>
        <v>1-3</v>
      </c>
      <c r="N417">
        <f>精英副本!N527</f>
        <v>920</v>
      </c>
      <c r="O417">
        <f>精英副本!O527</f>
        <v>120</v>
      </c>
      <c r="P417">
        <f>精英副本!P527</f>
        <v>10</v>
      </c>
      <c r="Q417">
        <f>精英副本!Q527</f>
        <v>10</v>
      </c>
      <c r="R417">
        <f>精英副本!R527</f>
        <v>0</v>
      </c>
      <c r="S417">
        <f>精英副本!S527</f>
        <v>3</v>
      </c>
      <c r="T417">
        <f>精英副本!T527</f>
        <v>71</v>
      </c>
      <c r="U417">
        <f>精英副本客户端!F361</f>
        <v>307508</v>
      </c>
    </row>
    <row r="418" spans="1:21">
      <c r="A418">
        <f>精英副本!A528</f>
        <v>308001</v>
      </c>
      <c r="B418" t="str">
        <f>精英副本!Y528</f>
        <v>智慧试炼（80）</v>
      </c>
      <c r="C418">
        <f>精英副本!C528</f>
        <v>0</v>
      </c>
      <c r="D418">
        <f>精英副本!D528</f>
        <v>0</v>
      </c>
      <c r="E418" t="str">
        <f>[1]map.xml!$E418</f>
        <v>3080011_1</v>
      </c>
      <c r="F418" t="str">
        <f>[1]map.xml!F418</f>
        <v>1_10000,2_0,3_0</v>
      </c>
      <c r="G418" t="str">
        <f>[1]map.xml!G418</f>
        <v>40000_50850105_1_370,40000_50802065_1_1100,4004078_0_1_7750,4004078_0_1_7750,4004078_0_1_7750,30000_90003_1_10000,30000_90004_1_6250</v>
      </c>
      <c r="H418">
        <f>[1]map.xml!H418</f>
        <v>0</v>
      </c>
      <c r="I418" t="str">
        <f>[1]map.xml!I418</f>
        <v>30000_90005_1_10000,4004078_0_1_7750,4004078_0_1_7750,4004078_0_1_7750</v>
      </c>
      <c r="J418">
        <f>[1]map.xml!J418</f>
        <v>0</v>
      </c>
      <c r="K418">
        <f>精英副本!K528</f>
        <v>100</v>
      </c>
      <c r="L418" t="str">
        <f>精英副本!L528</f>
        <v>map/map_001.png</v>
      </c>
      <c r="M418" t="str">
        <f>精英副本!M528</f>
        <v>1-3</v>
      </c>
      <c r="N418">
        <f>精英副本!N528</f>
        <v>920</v>
      </c>
      <c r="O418">
        <f>精英副本!O528</f>
        <v>120</v>
      </c>
      <c r="P418">
        <f>精英副本!P528</f>
        <v>10</v>
      </c>
      <c r="Q418">
        <f>精英副本!Q528</f>
        <v>10</v>
      </c>
      <c r="R418">
        <f>精英副本!R528</f>
        <v>0</v>
      </c>
      <c r="S418">
        <f>精英副本!S528</f>
        <v>3</v>
      </c>
      <c r="T418">
        <f>精英副本!T528</f>
        <v>76</v>
      </c>
      <c r="U418">
        <f>精英副本客户端!F362</f>
        <v>0</v>
      </c>
    </row>
    <row r="419" spans="1:21">
      <c r="A419">
        <f>精英副本!A529</f>
        <v>308002</v>
      </c>
      <c r="B419" t="str">
        <f>精英副本!Y529</f>
        <v>智慧试炼（80）</v>
      </c>
      <c r="C419">
        <f>精英副本!C529</f>
        <v>0</v>
      </c>
      <c r="D419">
        <f>精英副本!D529</f>
        <v>0</v>
      </c>
      <c r="E419" t="str">
        <f>[1]map.xml!$E419</f>
        <v>3080021_1</v>
      </c>
      <c r="F419" t="str">
        <f>[1]map.xml!F419</f>
        <v>1_10000,2_0,3_0</v>
      </c>
      <c r="G419" t="str">
        <f>[1]map.xml!G419</f>
        <v>40000_50850085_1_363,40000_50802055_1_1090,4004078_0_1_7775,4004078_0_1_7775,4004078_0_1_7775,30000_90003_1_10000,30000_90004_1_6250</v>
      </c>
      <c r="H419">
        <f>[1]map.xml!H419</f>
        <v>0</v>
      </c>
      <c r="I419" t="str">
        <f>[1]map.xml!I419</f>
        <v>30000_90005_1_10000,4004078_0_1_7775,4004078_0_1_7775,4004078_0_1_7775</v>
      </c>
      <c r="J419">
        <f>[1]map.xml!J419</f>
        <v>0</v>
      </c>
      <c r="K419">
        <f>精英副本!K529</f>
        <v>100</v>
      </c>
      <c r="L419" t="str">
        <f>精英副本!L529</f>
        <v>map/map_001.png</v>
      </c>
      <c r="M419" t="str">
        <f>精英副本!M529</f>
        <v>1-3</v>
      </c>
      <c r="N419">
        <f>精英副本!N529</f>
        <v>920</v>
      </c>
      <c r="O419">
        <f>精英副本!O529</f>
        <v>120</v>
      </c>
      <c r="P419">
        <f>精英副本!P529</f>
        <v>10</v>
      </c>
      <c r="Q419">
        <f>精英副本!Q529</f>
        <v>10</v>
      </c>
      <c r="R419">
        <f>精英副本!R529</f>
        <v>0</v>
      </c>
      <c r="S419">
        <f>精英副本!S529</f>
        <v>3</v>
      </c>
      <c r="T419">
        <f>精英副本!T529</f>
        <v>76</v>
      </c>
      <c r="U419">
        <f>精英副本客户端!F363</f>
        <v>308001</v>
      </c>
    </row>
    <row r="420" spans="1:21">
      <c r="A420">
        <f>精英副本!A530</f>
        <v>308003</v>
      </c>
      <c r="B420" t="str">
        <f>精英副本!Y530</f>
        <v>智慧试炼（80）</v>
      </c>
      <c r="C420">
        <f>精英副本!C530</f>
        <v>0</v>
      </c>
      <c r="D420">
        <f>精英副本!D530</f>
        <v>0</v>
      </c>
      <c r="E420" t="str">
        <f>[1]map.xml!$E420</f>
        <v>3080031_1</v>
      </c>
      <c r="F420" t="str">
        <f>[1]map.xml!F420</f>
        <v>1_10000,2_0,3_0</v>
      </c>
      <c r="G420" t="str">
        <f>[1]map.xml!G420</f>
        <v>40000_50850045_1_356,40000_50800015_1_1080,4004078_0_1_7800,4004078_0_1_7800,4004078_0_1_7800,30000_90003_1_10000,30000_90004_1_7500</v>
      </c>
      <c r="H420">
        <f>[1]map.xml!H420</f>
        <v>0</v>
      </c>
      <c r="I420" t="str">
        <f>[1]map.xml!I420</f>
        <v>30000_90005_1_10000,4004078_0_1_7800,4004078_0_1_7800,4004078_0_1_7800</v>
      </c>
      <c r="J420">
        <f>[1]map.xml!J420</f>
        <v>0</v>
      </c>
      <c r="K420">
        <f>精英副本!K530</f>
        <v>100</v>
      </c>
      <c r="L420" t="str">
        <f>精英副本!L530</f>
        <v>map/map_001.png</v>
      </c>
      <c r="M420" t="str">
        <f>精英副本!M530</f>
        <v>1-3</v>
      </c>
      <c r="N420">
        <f>精英副本!N530</f>
        <v>920</v>
      </c>
      <c r="O420">
        <f>精英副本!O530</f>
        <v>120</v>
      </c>
      <c r="P420">
        <f>精英副本!P530</f>
        <v>10</v>
      </c>
      <c r="Q420">
        <f>精英副本!Q530</f>
        <v>10</v>
      </c>
      <c r="R420">
        <f>精英副本!R530</f>
        <v>0</v>
      </c>
      <c r="S420">
        <f>精英副本!S530</f>
        <v>3</v>
      </c>
      <c r="T420">
        <f>精英副本!T530</f>
        <v>76</v>
      </c>
      <c r="U420">
        <f>精英副本客户端!F364</f>
        <v>308002</v>
      </c>
    </row>
    <row r="421" spans="1:21">
      <c r="A421">
        <f>精英副本!A531</f>
        <v>308004</v>
      </c>
      <c r="B421" t="str">
        <f>精英副本!Y531</f>
        <v>智慧试炼（80）</v>
      </c>
      <c r="C421">
        <f>精英副本!C531</f>
        <v>0</v>
      </c>
      <c r="D421">
        <f>精英副本!D531</f>
        <v>0</v>
      </c>
      <c r="E421" t="str">
        <f>[1]map.xml!$E421</f>
        <v>3080041_1,3080042_1,3080043_1</v>
      </c>
      <c r="F421" t="str">
        <f>[1]map.xml!F421</f>
        <v>1_0,2_0,3_10000</v>
      </c>
      <c r="G421" t="str">
        <f>[1]map.xml!G421</f>
        <v>40000_50850025_1_349,40000_50801055_1_1070,4004078_0_1_7825,4004078_0_1_7825,4004078_0_1_7825,30000_90003_1_10000,30000_90004_1_7500</v>
      </c>
      <c r="H421">
        <f>[1]map.xml!H421</f>
        <v>0</v>
      </c>
      <c r="I421" t="str">
        <f>[1]map.xml!I421</f>
        <v>30000_90005_1_10000,4004078_0_1_7825,4004078_0_1_7825,4004078_0_1_7825</v>
      </c>
      <c r="J421">
        <f>[1]map.xml!J421</f>
        <v>0</v>
      </c>
      <c r="K421">
        <f>精英副本!K531</f>
        <v>100</v>
      </c>
      <c r="L421" t="str">
        <f>精英副本!L531</f>
        <v>map/map_001.png</v>
      </c>
      <c r="M421" t="str">
        <f>精英副本!M531</f>
        <v>1-3</v>
      </c>
      <c r="N421">
        <f>精英副本!N531</f>
        <v>920</v>
      </c>
      <c r="O421">
        <f>精英副本!O531</f>
        <v>120</v>
      </c>
      <c r="P421">
        <f>精英副本!P531</f>
        <v>10</v>
      </c>
      <c r="Q421">
        <f>精英副本!Q531</f>
        <v>10</v>
      </c>
      <c r="R421">
        <f>精英副本!R531</f>
        <v>0</v>
      </c>
      <c r="S421">
        <f>精英副本!S531</f>
        <v>3</v>
      </c>
      <c r="T421">
        <f>精英副本!T531</f>
        <v>76</v>
      </c>
      <c r="U421">
        <f>精英副本客户端!F365</f>
        <v>308003</v>
      </c>
    </row>
    <row r="422" spans="1:21">
      <c r="A422">
        <f>精英副本!A532</f>
        <v>308005</v>
      </c>
      <c r="B422" t="str">
        <f>精英副本!Y532</f>
        <v>智慧试炼（80）</v>
      </c>
      <c r="C422">
        <f>精英副本!C532</f>
        <v>0</v>
      </c>
      <c r="D422">
        <f>精英副本!D532</f>
        <v>0</v>
      </c>
      <c r="E422" t="str">
        <f>[1]map.xml!$E422</f>
        <v>3080051_1</v>
      </c>
      <c r="F422" t="str">
        <f>[1]map.xml!F422</f>
        <v>1_10000,2_0,3_0</v>
      </c>
      <c r="G422" t="str">
        <f>[1]map.xml!G422</f>
        <v>40000_50850075_1_342,40000_50801065_1_1060,4004078_0_1_7850,4004078_0_1_7850,4004078_0_1_7850,30000_90003_1_10000,30000_90004_1_7500</v>
      </c>
      <c r="H422">
        <f>[1]map.xml!H422</f>
        <v>0</v>
      </c>
      <c r="I422" t="str">
        <f>[1]map.xml!I422</f>
        <v>30000_90005_1_10000,4004078_0_1_7850,4004078_0_1_7850,4004078_0_1_7850</v>
      </c>
      <c r="J422">
        <f>[1]map.xml!J422</f>
        <v>0</v>
      </c>
      <c r="K422">
        <f>精英副本!K532</f>
        <v>100</v>
      </c>
      <c r="L422" t="str">
        <f>精英副本!L532</f>
        <v>map/map_001.png</v>
      </c>
      <c r="M422" t="str">
        <f>精英副本!M532</f>
        <v>1-3</v>
      </c>
      <c r="N422">
        <f>精英副本!N532</f>
        <v>920</v>
      </c>
      <c r="O422">
        <f>精英副本!O532</f>
        <v>120</v>
      </c>
      <c r="P422">
        <f>精英副本!P532</f>
        <v>10</v>
      </c>
      <c r="Q422">
        <f>精英副本!Q532</f>
        <v>10</v>
      </c>
      <c r="R422">
        <f>精英副本!R532</f>
        <v>0</v>
      </c>
      <c r="S422">
        <f>精英副本!S532</f>
        <v>3</v>
      </c>
      <c r="T422">
        <f>精英副本!T532</f>
        <v>76</v>
      </c>
      <c r="U422">
        <f>精英副本客户端!F366</f>
        <v>308004</v>
      </c>
    </row>
    <row r="423" spans="1:21">
      <c r="A423">
        <f>精英副本!A533</f>
        <v>308006</v>
      </c>
      <c r="B423" t="str">
        <f>精英副本!Y533</f>
        <v>智慧试炼（80）</v>
      </c>
      <c r="C423">
        <f>精英副本!C533</f>
        <v>0</v>
      </c>
      <c r="D423">
        <f>精英副本!D533</f>
        <v>0</v>
      </c>
      <c r="E423" t="str">
        <f>[1]map.xml!$E423</f>
        <v>3080061_1</v>
      </c>
      <c r="F423" t="str">
        <f>[1]map.xml!F423</f>
        <v>1_10000,2_0,3_0</v>
      </c>
      <c r="G423" t="str">
        <f>[1]map.xml!G423</f>
        <v>40000_50850095_1_335,40000_50803055_1_1050,4004078_0_1_7875,4004078_0_1_7875,4004078_0_1_7875,30000_90003_1_10000,30000_90004_1_8750</v>
      </c>
      <c r="H423">
        <f>[1]map.xml!H423</f>
        <v>0</v>
      </c>
      <c r="I423" t="str">
        <f>[1]map.xml!I423</f>
        <v>30000_90005_1_10000,4004078_0_1_7875,4004078_0_1_7875,4004078_0_1_7875</v>
      </c>
      <c r="J423">
        <f>[1]map.xml!J423</f>
        <v>0</v>
      </c>
      <c r="K423">
        <f>精英副本!K533</f>
        <v>100</v>
      </c>
      <c r="L423" t="str">
        <f>精英副本!L533</f>
        <v>map/map_001.png</v>
      </c>
      <c r="M423" t="str">
        <f>精英副本!M533</f>
        <v>1-3</v>
      </c>
      <c r="N423">
        <f>精英副本!N533</f>
        <v>920</v>
      </c>
      <c r="O423">
        <f>精英副本!O533</f>
        <v>120</v>
      </c>
      <c r="P423">
        <f>精英副本!P533</f>
        <v>10</v>
      </c>
      <c r="Q423">
        <f>精英副本!Q533</f>
        <v>10</v>
      </c>
      <c r="R423">
        <f>精英副本!R533</f>
        <v>0</v>
      </c>
      <c r="S423">
        <f>精英副本!S533</f>
        <v>3</v>
      </c>
      <c r="T423">
        <f>精英副本!T533</f>
        <v>76</v>
      </c>
      <c r="U423">
        <f>精英副本客户端!F367</f>
        <v>308005</v>
      </c>
    </row>
    <row r="424" spans="1:21">
      <c r="A424">
        <f>精英副本!A534</f>
        <v>308007</v>
      </c>
      <c r="B424" t="str">
        <f>精英副本!Y534</f>
        <v>智慧试炼（80）</v>
      </c>
      <c r="C424">
        <f>精英副本!C534</f>
        <v>0</v>
      </c>
      <c r="D424">
        <f>精英副本!D534</f>
        <v>0</v>
      </c>
      <c r="E424" t="str">
        <f>[1]map.xml!$E424</f>
        <v>3080071_1</v>
      </c>
      <c r="F424" t="str">
        <f>[1]map.xml!F424</f>
        <v>1_10000,2_0,3_0</v>
      </c>
      <c r="G424" t="str">
        <f>[1]map.xml!G424</f>
        <v>40000_50850015_1_328,40000_50803065_1_1040,4004078_0_1_7900,4004078_0_1_7900,4004078_0_1_7900,30000_90003_1_10000,30000_90004_1_8750</v>
      </c>
      <c r="H424">
        <f>[1]map.xml!H424</f>
        <v>0</v>
      </c>
      <c r="I424" t="str">
        <f>[1]map.xml!I424</f>
        <v>30000_90005_1_10000,4004078_0_1_7900,4004078_0_1_7900,4004078_0_1_7900</v>
      </c>
      <c r="J424">
        <f>[1]map.xml!J424</f>
        <v>0</v>
      </c>
      <c r="K424">
        <f>精英副本!K534</f>
        <v>100</v>
      </c>
      <c r="L424" t="str">
        <f>精英副本!L534</f>
        <v>map/map_001.png</v>
      </c>
      <c r="M424" t="str">
        <f>精英副本!M534</f>
        <v>1-3</v>
      </c>
      <c r="N424">
        <f>精英副本!N534</f>
        <v>920</v>
      </c>
      <c r="O424">
        <f>精英副本!O534</f>
        <v>120</v>
      </c>
      <c r="P424">
        <f>精英副本!P534</f>
        <v>10</v>
      </c>
      <c r="Q424">
        <f>精英副本!Q534</f>
        <v>10</v>
      </c>
      <c r="R424">
        <f>精英副本!R534</f>
        <v>0</v>
      </c>
      <c r="S424">
        <f>精英副本!S534</f>
        <v>3</v>
      </c>
      <c r="T424">
        <f>精英副本!T534</f>
        <v>76</v>
      </c>
      <c r="U424">
        <f>精英副本客户端!F368</f>
        <v>308006</v>
      </c>
    </row>
    <row r="425" spans="1:21">
      <c r="A425">
        <f>精英副本!A535</f>
        <v>308008</v>
      </c>
      <c r="B425" t="str">
        <f>精英副本!Y535</f>
        <v>智慧试炼（80）</v>
      </c>
      <c r="C425">
        <f>精英副本!C535</f>
        <v>0</v>
      </c>
      <c r="D425">
        <f>精英副本!D535</f>
        <v>0</v>
      </c>
      <c r="E425" t="str">
        <f>[1]map.xml!$E425</f>
        <v>3080081_1</v>
      </c>
      <c r="F425" t="str">
        <f>[1]map.xml!F425</f>
        <v>1_10000,2_0,3_0</v>
      </c>
      <c r="G425" t="str">
        <f>[1]map.xml!G425</f>
        <v>40000_50850035_1_321,40000_50800035_1_1030,4004078_0_1_7925,4004078_0_1_7925,4004078_0_1_7925,30000_90003_1_10000,30000_90004_1_8750</v>
      </c>
      <c r="H425">
        <f>[1]map.xml!H425</f>
        <v>0</v>
      </c>
      <c r="I425" t="str">
        <f>[1]map.xml!I425</f>
        <v>30000_90005_1_10000,4004078_0_1_7925,4004078_0_1_7925,4004078_0_1_7925</v>
      </c>
      <c r="J425">
        <f>[1]map.xml!J425</f>
        <v>0</v>
      </c>
      <c r="K425">
        <f>精英副本!K535</f>
        <v>100</v>
      </c>
      <c r="L425" t="str">
        <f>精英副本!L535</f>
        <v>map/map_001.png</v>
      </c>
      <c r="M425" t="str">
        <f>精英副本!M535</f>
        <v>1-3</v>
      </c>
      <c r="N425">
        <f>精英副本!N535</f>
        <v>920</v>
      </c>
      <c r="O425">
        <f>精英副本!O535</f>
        <v>120</v>
      </c>
      <c r="P425">
        <f>精英副本!P535</f>
        <v>10</v>
      </c>
      <c r="Q425">
        <f>精英副本!Q535</f>
        <v>10</v>
      </c>
      <c r="R425">
        <f>精英副本!R535</f>
        <v>0</v>
      </c>
      <c r="S425">
        <f>精英副本!S535</f>
        <v>3</v>
      </c>
      <c r="T425">
        <f>精英副本!T535</f>
        <v>76</v>
      </c>
      <c r="U425">
        <f>精英副本客户端!F369</f>
        <v>308007</v>
      </c>
    </row>
    <row r="426" spans="1:21">
      <c r="A426">
        <f>精英副本!A536</f>
        <v>308009</v>
      </c>
      <c r="B426" t="str">
        <f>精英副本!Y536</f>
        <v>智慧试炼（80）</v>
      </c>
      <c r="C426">
        <f>精英副本!C536</f>
        <v>0</v>
      </c>
      <c r="D426">
        <f>精英副本!D536</f>
        <v>0</v>
      </c>
      <c r="E426" t="str">
        <f>[1]map.xml!$E426</f>
        <v>3080091_1</v>
      </c>
      <c r="F426" t="str">
        <f>[1]map.xml!F426</f>
        <v>1_10000,2_0,3_0</v>
      </c>
      <c r="G426" t="str">
        <f>[1]map.xml!G426</f>
        <v>40000_50853056_1_314,40000_50853066_1_1020,4004078_0_1_7950,4004078_0_1_7950,4004078_0_1_7950,30000_90003_1_10000,30000_90004_1_10000</v>
      </c>
      <c r="H426">
        <f>[1]map.xml!H426</f>
        <v>0</v>
      </c>
      <c r="I426" t="str">
        <f>[1]map.xml!I426</f>
        <v>30000_90005_1_10000,4004078_0_1_7950,4004078_0_1_7950,4004078_0_1_7950</v>
      </c>
      <c r="J426">
        <f>[1]map.xml!J426</f>
        <v>0</v>
      </c>
      <c r="K426">
        <f>精英副本!K536</f>
        <v>100</v>
      </c>
      <c r="L426" t="str">
        <f>精英副本!L536</f>
        <v>map/map_001.png</v>
      </c>
      <c r="M426" t="str">
        <f>精英副本!M536</f>
        <v>1-3</v>
      </c>
      <c r="N426">
        <f>精英副本!N536</f>
        <v>920</v>
      </c>
      <c r="O426">
        <f>精英副本!O536</f>
        <v>120</v>
      </c>
      <c r="P426">
        <f>精英副本!P536</f>
        <v>10</v>
      </c>
      <c r="Q426">
        <f>精英副本!Q536</f>
        <v>10</v>
      </c>
      <c r="R426">
        <f>精英副本!R536</f>
        <v>0</v>
      </c>
      <c r="S426">
        <f>精英副本!S536</f>
        <v>3</v>
      </c>
      <c r="T426">
        <f>精英副本!T536</f>
        <v>76</v>
      </c>
      <c r="U426">
        <f>精英副本客户端!F370</f>
        <v>308008</v>
      </c>
    </row>
    <row r="427" spans="1:21">
      <c r="A427">
        <f>精英副本!A537</f>
        <v>308501</v>
      </c>
      <c r="B427" t="str">
        <f>精英副本!Y537</f>
        <v>启迪试炼（85）</v>
      </c>
      <c r="C427">
        <f>精英副本!C537</f>
        <v>0</v>
      </c>
      <c r="D427">
        <f>精英副本!D537</f>
        <v>0</v>
      </c>
      <c r="E427" t="str">
        <f>[1]map.xml!$E427</f>
        <v>3085011_1</v>
      </c>
      <c r="F427" t="str">
        <f>[1]map.xml!F427</f>
        <v>1_10000,2_0,3_0</v>
      </c>
      <c r="G427" t="str">
        <f>[1]map.xml!G427</f>
        <v>40000_50900105_1_307,40000_50852065_1_1010,4004082_0_1_7975,4004082_0_1_7975,4004082_0_1_7975,30000_90004_1_10000,30000_90005_1_1400</v>
      </c>
      <c r="H427">
        <f>[1]map.xml!H427</f>
        <v>0</v>
      </c>
      <c r="I427" t="str">
        <f>[1]map.xml!I427</f>
        <v>30000_90006_1_10000,4004082_0_1_7975,4004082_0_1_7975,4004082_0_1_7975</v>
      </c>
      <c r="J427">
        <f>[1]map.xml!J427</f>
        <v>0</v>
      </c>
      <c r="K427">
        <f>精英副本!K537</f>
        <v>100</v>
      </c>
      <c r="L427" t="str">
        <f>精英副本!L537</f>
        <v>map/map_001.png</v>
      </c>
      <c r="M427" t="str">
        <f>精英副本!M537</f>
        <v>1-3</v>
      </c>
      <c r="N427">
        <f>精英副本!N537</f>
        <v>920</v>
      </c>
      <c r="O427">
        <f>精英副本!O537</f>
        <v>120</v>
      </c>
      <c r="P427">
        <f>精英副本!P537</f>
        <v>10</v>
      </c>
      <c r="Q427">
        <f>精英副本!Q537</f>
        <v>10</v>
      </c>
      <c r="R427">
        <f>精英副本!R537</f>
        <v>0</v>
      </c>
      <c r="S427">
        <f>精英副本!S537</f>
        <v>3</v>
      </c>
      <c r="T427">
        <f>精英副本!T537</f>
        <v>81</v>
      </c>
      <c r="U427">
        <f>精英副本客户端!F371</f>
        <v>0</v>
      </c>
    </row>
    <row r="428" spans="1:21">
      <c r="A428">
        <f>精英副本!A538</f>
        <v>308502</v>
      </c>
      <c r="B428" t="str">
        <f>精英副本!Y538</f>
        <v>启迪试炼（85）</v>
      </c>
      <c r="C428">
        <f>精英副本!C538</f>
        <v>0</v>
      </c>
      <c r="D428">
        <f>精英副本!D538</f>
        <v>0</v>
      </c>
      <c r="E428" t="str">
        <f>[1]map.xml!$E428</f>
        <v>3085021_1</v>
      </c>
      <c r="F428" t="str">
        <f>[1]map.xml!F428</f>
        <v>1_10000,2_0,3_0</v>
      </c>
      <c r="G428" t="str">
        <f>[1]map.xml!G428</f>
        <v>40000_50900025_1_300,40000_50853065_1_1000,4004082_0_1_8000,4004082_0_1_8000,4004082_0_1_8000,30000_90004_1_10000,30000_90005_1_1400</v>
      </c>
      <c r="H428">
        <f>[1]map.xml!H428</f>
        <v>0</v>
      </c>
      <c r="I428" t="str">
        <f>[1]map.xml!I428</f>
        <v>30000_90006_1_10000,4004082_0_1_8000,4004082_0_1_8000,4004082_0_1_8000</v>
      </c>
      <c r="J428">
        <f>[1]map.xml!J428</f>
        <v>0</v>
      </c>
      <c r="K428">
        <f>精英副本!K538</f>
        <v>100</v>
      </c>
      <c r="L428" t="str">
        <f>精英副本!L538</f>
        <v>map/map_001.png</v>
      </c>
      <c r="M428" t="str">
        <f>精英副本!M538</f>
        <v>1-3</v>
      </c>
      <c r="N428">
        <f>精英副本!N538</f>
        <v>920</v>
      </c>
      <c r="O428">
        <f>精英副本!O538</f>
        <v>120</v>
      </c>
      <c r="P428">
        <f>精英副本!P538</f>
        <v>10</v>
      </c>
      <c r="Q428">
        <f>精英副本!Q538</f>
        <v>10</v>
      </c>
      <c r="R428">
        <f>精英副本!R538</f>
        <v>0</v>
      </c>
      <c r="S428">
        <f>精英副本!S538</f>
        <v>3</v>
      </c>
      <c r="T428">
        <f>精英副本!T538</f>
        <v>81</v>
      </c>
      <c r="U428">
        <f>精英副本客户端!F372</f>
        <v>308501</v>
      </c>
    </row>
    <row r="429" spans="1:21">
      <c r="A429">
        <f>精英副本!A539</f>
        <v>308503</v>
      </c>
      <c r="B429" t="str">
        <f>精英副本!Y539</f>
        <v>启迪试炼（85）</v>
      </c>
      <c r="C429">
        <f>精英副本!C539</f>
        <v>0</v>
      </c>
      <c r="D429">
        <f>精英副本!D539</f>
        <v>0</v>
      </c>
      <c r="E429" t="str">
        <f>[1]map.xml!$E429</f>
        <v>3085031_1</v>
      </c>
      <c r="F429" t="str">
        <f>[1]map.xml!F429</f>
        <v>1_10000,2_0,3_0</v>
      </c>
      <c r="G429" t="str">
        <f>[1]map.xml!G429</f>
        <v>40000_50900045_1_293,40000_50851055_1_990,4004082_0_1_8025,4004082_0_1_8025,4004082_0_1_8025,30000_90004_1_10000,30000_90005_1_2800</v>
      </c>
      <c r="H429">
        <f>[1]map.xml!H429</f>
        <v>0</v>
      </c>
      <c r="I429" t="str">
        <f>[1]map.xml!I429</f>
        <v>30000_90006_1_10000,4004082_0_1_8025,4004082_0_1_8025,4004082_0_1_8025</v>
      </c>
      <c r="J429">
        <f>[1]map.xml!J429</f>
        <v>0</v>
      </c>
      <c r="K429">
        <f>精英副本!K539</f>
        <v>100</v>
      </c>
      <c r="L429" t="str">
        <f>精英副本!L539</f>
        <v>map/map_001.png</v>
      </c>
      <c r="M429" t="str">
        <f>精英副本!M539</f>
        <v>1-3</v>
      </c>
      <c r="N429">
        <f>精英副本!N539</f>
        <v>920</v>
      </c>
      <c r="O429">
        <f>精英副本!O539</f>
        <v>120</v>
      </c>
      <c r="P429">
        <f>精英副本!P539</f>
        <v>10</v>
      </c>
      <c r="Q429">
        <f>精英副本!Q539</f>
        <v>10</v>
      </c>
      <c r="R429">
        <f>精英副本!R539</f>
        <v>0</v>
      </c>
      <c r="S429">
        <f>精英副本!S539</f>
        <v>3</v>
      </c>
      <c r="T429">
        <f>精英副本!T539</f>
        <v>81</v>
      </c>
      <c r="U429">
        <f>精英副本客户端!F373</f>
        <v>308502</v>
      </c>
    </row>
    <row r="430" spans="1:21">
      <c r="A430">
        <f>精英副本!A540</f>
        <v>308504</v>
      </c>
      <c r="B430" t="str">
        <f>精英副本!Y540</f>
        <v>启迪试炼（85）</v>
      </c>
      <c r="C430">
        <f>精英副本!C540</f>
        <v>0</v>
      </c>
      <c r="D430">
        <f>精英副本!D540</f>
        <v>0</v>
      </c>
      <c r="E430" t="str">
        <f>[1]map.xml!$E430</f>
        <v>3085041_1</v>
      </c>
      <c r="F430" t="str">
        <f>[1]map.xml!F430</f>
        <v>1_10000,2_0,3_0</v>
      </c>
      <c r="G430" t="str">
        <f>[1]map.xml!G430</f>
        <v>40000_50900075_1_286,40000_50851065_1_980,4004082_0_1_8050,4004082_0_1_8050,4004082_0_1_8050,30000_90004_1_10000,30000_90005_1_2800</v>
      </c>
      <c r="H430">
        <f>[1]map.xml!H430</f>
        <v>0</v>
      </c>
      <c r="I430" t="str">
        <f>[1]map.xml!I430</f>
        <v>30000_90006_1_10000,4004082_0_1_8050,4004082_0_1_8050,4004082_0_1_8050</v>
      </c>
      <c r="J430">
        <f>[1]map.xml!J430</f>
        <v>0</v>
      </c>
      <c r="K430">
        <f>精英副本!K540</f>
        <v>100</v>
      </c>
      <c r="L430" t="str">
        <f>精英副本!L540</f>
        <v>map/map_001.png</v>
      </c>
      <c r="M430" t="str">
        <f>精英副本!M540</f>
        <v>1-3</v>
      </c>
      <c r="N430">
        <f>精英副本!N540</f>
        <v>920</v>
      </c>
      <c r="O430">
        <f>精英副本!O540</f>
        <v>120</v>
      </c>
      <c r="P430">
        <f>精英副本!P540</f>
        <v>10</v>
      </c>
      <c r="Q430">
        <f>精英副本!Q540</f>
        <v>10</v>
      </c>
      <c r="R430">
        <f>精英副本!R540</f>
        <v>0</v>
      </c>
      <c r="S430">
        <f>精英副本!S540</f>
        <v>3</v>
      </c>
      <c r="T430">
        <f>精英副本!T540</f>
        <v>81</v>
      </c>
      <c r="U430">
        <f>精英副本客户端!F374</f>
        <v>308503</v>
      </c>
    </row>
    <row r="431" spans="1:21">
      <c r="A431">
        <f>精英副本!A541</f>
        <v>308505</v>
      </c>
      <c r="B431" t="str">
        <f>精英副本!Y541</f>
        <v>启迪试炼（85）</v>
      </c>
      <c r="C431">
        <f>精英副本!C541</f>
        <v>0</v>
      </c>
      <c r="D431">
        <f>精英副本!D541</f>
        <v>0</v>
      </c>
      <c r="E431" t="str">
        <f>[1]map.xml!$E431</f>
        <v>3085051_1,3085052_1,3085053_1</v>
      </c>
      <c r="F431" t="str">
        <f>[1]map.xml!F431</f>
        <v>1_0,2_0,3_10000</v>
      </c>
      <c r="G431" t="str">
        <f>[1]map.xml!G431</f>
        <v>40000_50900085_1_279,40000_50850035_1_970,4004082_0_1_8075,4004082_0_1_8075,4004082_0_1_8075,30000_90004_1_10000,30000_90005_1_2800</v>
      </c>
      <c r="H431">
        <f>[1]map.xml!H431</f>
        <v>0</v>
      </c>
      <c r="I431" t="str">
        <f>[1]map.xml!I431</f>
        <v>30000_90006_1_10000,4004082_0_1_8075,4004082_0_1_8075,4004082_0_1_8075</v>
      </c>
      <c r="J431">
        <f>[1]map.xml!J431</f>
        <v>0</v>
      </c>
      <c r="K431">
        <f>精英副本!K541</f>
        <v>100</v>
      </c>
      <c r="L431" t="str">
        <f>精英副本!L541</f>
        <v>map/map_001.png</v>
      </c>
      <c r="M431" t="str">
        <f>精英副本!M541</f>
        <v>1-3</v>
      </c>
      <c r="N431">
        <f>精英副本!N541</f>
        <v>920</v>
      </c>
      <c r="O431">
        <f>精英副本!O541</f>
        <v>120</v>
      </c>
      <c r="P431">
        <f>精英副本!P541</f>
        <v>10</v>
      </c>
      <c r="Q431">
        <f>精英副本!Q541</f>
        <v>10</v>
      </c>
      <c r="R431">
        <f>精英副本!R541</f>
        <v>0</v>
      </c>
      <c r="S431">
        <f>精英副本!S541</f>
        <v>3</v>
      </c>
      <c r="T431">
        <f>精英副本!T541</f>
        <v>81</v>
      </c>
      <c r="U431">
        <f>精英副本客户端!F375</f>
        <v>308504</v>
      </c>
    </row>
    <row r="432" spans="1:21">
      <c r="A432">
        <f>精英副本!A542</f>
        <v>308506</v>
      </c>
      <c r="B432" t="str">
        <f>精英副本!Y542</f>
        <v>启迪试炼（85）</v>
      </c>
      <c r="C432">
        <f>精英副本!C542</f>
        <v>0</v>
      </c>
      <c r="D432">
        <f>精英副本!D542</f>
        <v>0</v>
      </c>
      <c r="E432" t="str">
        <f>[1]map.xml!$E432</f>
        <v>3085061_1</v>
      </c>
      <c r="F432" t="str">
        <f>[1]map.xml!F432</f>
        <v>1_10000,2_0,3_0</v>
      </c>
      <c r="G432" t="str">
        <f>[1]map.xml!G432</f>
        <v>40000_50900095_1_272,40000_50850015_1_960,4004082_0_1_8100,4004082_0_1_8100,4004082_0_1_8100,30000_90004_1_10000,30000_90005_1_4200</v>
      </c>
      <c r="H432">
        <f>[1]map.xml!H432</f>
        <v>0</v>
      </c>
      <c r="I432" t="str">
        <f>[1]map.xml!I432</f>
        <v>30000_90006_1_10000,4004082_0_1_8100,4004082_0_1_8100,4004082_0_1_8100</v>
      </c>
      <c r="J432">
        <f>[1]map.xml!J432</f>
        <v>0</v>
      </c>
      <c r="K432">
        <f>精英副本!K542</f>
        <v>100</v>
      </c>
      <c r="L432" t="str">
        <f>精英副本!L542</f>
        <v>map/map_001.png</v>
      </c>
      <c r="M432" t="str">
        <f>精英副本!M542</f>
        <v>1-3</v>
      </c>
      <c r="N432">
        <f>精英副本!N542</f>
        <v>920</v>
      </c>
      <c r="O432">
        <f>精英副本!O542</f>
        <v>120</v>
      </c>
      <c r="P432">
        <f>精英副本!P542</f>
        <v>10</v>
      </c>
      <c r="Q432">
        <f>精英副本!Q542</f>
        <v>10</v>
      </c>
      <c r="R432">
        <f>精英副本!R542</f>
        <v>0</v>
      </c>
      <c r="S432">
        <f>精英副本!S542</f>
        <v>3</v>
      </c>
      <c r="T432">
        <f>精英副本!T542</f>
        <v>81</v>
      </c>
      <c r="U432">
        <f>精英副本客户端!F376</f>
        <v>308505</v>
      </c>
    </row>
    <row r="433" spans="1:21">
      <c r="A433">
        <f>精英副本!A543</f>
        <v>308507</v>
      </c>
      <c r="B433" t="str">
        <f>精英副本!Y543</f>
        <v>启迪试炼（85）</v>
      </c>
      <c r="C433">
        <f>精英副本!C543</f>
        <v>0</v>
      </c>
      <c r="D433">
        <f>精英副本!D543</f>
        <v>0</v>
      </c>
      <c r="E433" t="str">
        <f>[1]map.xml!$E433</f>
        <v>3085071_1</v>
      </c>
      <c r="F433" t="str">
        <f>[1]map.xml!F433</f>
        <v>1_10000,2_0,3_0</v>
      </c>
      <c r="G433" t="str">
        <f>[1]map.xml!G433</f>
        <v>40000_50900015_1_265,40000_50853055_1_950,4004082_0_1_8125,4004082_0_1_8125,4004082_0_1_8125,30000_90004_1_10000,30000_90005_1_4200</v>
      </c>
      <c r="H433">
        <f>[1]map.xml!H433</f>
        <v>0</v>
      </c>
      <c r="I433" t="str">
        <f>[1]map.xml!I433</f>
        <v>30000_90006_1_10000,4004082_0_1_8125,4004082_0_1_8125,4004082_0_1_8125</v>
      </c>
      <c r="J433">
        <f>[1]map.xml!J433</f>
        <v>0</v>
      </c>
      <c r="K433">
        <f>精英副本!K543</f>
        <v>100</v>
      </c>
      <c r="L433" t="str">
        <f>精英副本!L543</f>
        <v>map/map_001.png</v>
      </c>
      <c r="M433" t="str">
        <f>精英副本!M543</f>
        <v>1-3</v>
      </c>
      <c r="N433">
        <f>精英副本!N543</f>
        <v>920</v>
      </c>
      <c r="O433">
        <f>精英副本!O543</f>
        <v>120</v>
      </c>
      <c r="P433">
        <f>精英副本!P543</f>
        <v>10</v>
      </c>
      <c r="Q433">
        <f>精英副本!Q543</f>
        <v>10</v>
      </c>
      <c r="R433">
        <f>精英副本!R543</f>
        <v>0</v>
      </c>
      <c r="S433">
        <f>精英副本!S543</f>
        <v>3</v>
      </c>
      <c r="T433">
        <f>精英副本!T543</f>
        <v>81</v>
      </c>
      <c r="U433">
        <f>精英副本客户端!F377</f>
        <v>308506</v>
      </c>
    </row>
    <row r="434" spans="1:21">
      <c r="A434">
        <f>精英副本!A544</f>
        <v>308508</v>
      </c>
      <c r="B434" t="str">
        <f>精英副本!Y544</f>
        <v>启迪试炼（85）</v>
      </c>
      <c r="C434">
        <f>精英副本!C544</f>
        <v>0</v>
      </c>
      <c r="D434">
        <f>精英副本!D544</f>
        <v>0</v>
      </c>
      <c r="E434" t="str">
        <f>[1]map.xml!$E434</f>
        <v>3085081_1</v>
      </c>
      <c r="F434" t="str">
        <f>[1]map.xml!F434</f>
        <v>1_10000,2_0,3_0</v>
      </c>
      <c r="G434" t="str">
        <f>[1]map.xml!G434</f>
        <v>40000_50900035_1_258,40000_50852055_1_940,4004082_0_1_8150,4004082_0_1_8150,4004082_0_1_8150,30000_90004_1_10000,30000_90005_1_4200</v>
      </c>
      <c r="H434">
        <f>[1]map.xml!H434</f>
        <v>0</v>
      </c>
      <c r="I434" t="str">
        <f>[1]map.xml!I434</f>
        <v>30000_90006_1_10000,4004082_0_1_8150,4004082_0_1_8150,4004082_0_1_8150</v>
      </c>
      <c r="J434">
        <f>[1]map.xml!J434</f>
        <v>0</v>
      </c>
      <c r="K434">
        <f>精英副本!K544</f>
        <v>100</v>
      </c>
      <c r="L434" t="str">
        <f>精英副本!L544</f>
        <v>map/map_001.png</v>
      </c>
      <c r="M434" t="str">
        <f>精英副本!M544</f>
        <v>1-3</v>
      </c>
      <c r="N434">
        <f>精英副本!N544</f>
        <v>920</v>
      </c>
      <c r="O434">
        <f>精英副本!O544</f>
        <v>120</v>
      </c>
      <c r="P434">
        <f>精英副本!P544</f>
        <v>10</v>
      </c>
      <c r="Q434">
        <f>精英副本!Q544</f>
        <v>10</v>
      </c>
      <c r="R434">
        <f>精英副本!R544</f>
        <v>0</v>
      </c>
      <c r="S434">
        <f>精英副本!S544</f>
        <v>3</v>
      </c>
      <c r="T434">
        <f>精英副本!T544</f>
        <v>81</v>
      </c>
      <c r="U434">
        <f>精英副本客户端!F378</f>
        <v>308507</v>
      </c>
    </row>
    <row r="435" spans="1:21">
      <c r="A435">
        <f>精英副本!A545</f>
        <v>308509</v>
      </c>
      <c r="B435" t="str">
        <f>精英副本!Y545</f>
        <v>启迪试炼（85）</v>
      </c>
      <c r="C435">
        <f>精英副本!C545</f>
        <v>0</v>
      </c>
      <c r="D435">
        <f>精英副本!D545</f>
        <v>0</v>
      </c>
      <c r="E435" t="str">
        <f>[1]map.xml!$E435</f>
        <v>3085091_1</v>
      </c>
      <c r="F435" t="str">
        <f>[1]map.xml!F435</f>
        <v>1_10000,2_0,3_0</v>
      </c>
      <c r="G435" t="str">
        <f>[1]map.xml!G435</f>
        <v>40000_50903055_1_251,40000_50903066_1_930,4004082_0_1_8175,4004082_0_1_8175,4004082_0_1_8175,30000_90004_1_10000,30000_90005_1_5600</v>
      </c>
      <c r="H435">
        <f>[1]map.xml!H435</f>
        <v>0</v>
      </c>
      <c r="I435" t="str">
        <f>[1]map.xml!I435</f>
        <v>30000_90006_1_10000,4004082_0_1_8175,4004082_0_1_8175,4004082_0_1_8175</v>
      </c>
      <c r="J435">
        <f>[1]map.xml!J435</f>
        <v>0</v>
      </c>
      <c r="K435">
        <f>精英副本!K545</f>
        <v>100</v>
      </c>
      <c r="L435" t="str">
        <f>精英副本!L545</f>
        <v>map/map_001.png</v>
      </c>
      <c r="M435" t="str">
        <f>精英副本!M545</f>
        <v>1-3</v>
      </c>
      <c r="N435">
        <f>精英副本!N545</f>
        <v>920</v>
      </c>
      <c r="O435">
        <f>精英副本!O545</f>
        <v>120</v>
      </c>
      <c r="P435">
        <f>精英副本!P545</f>
        <v>10</v>
      </c>
      <c r="Q435">
        <f>精英副本!Q545</f>
        <v>10</v>
      </c>
      <c r="R435">
        <f>精英副本!R545</f>
        <v>0</v>
      </c>
      <c r="S435">
        <f>精英副本!S545</f>
        <v>3</v>
      </c>
      <c r="T435">
        <f>精英副本!T545</f>
        <v>81</v>
      </c>
      <c r="U435">
        <f>精英副本客户端!F379</f>
        <v>308508</v>
      </c>
    </row>
    <row r="436" spans="1:21">
      <c r="A436">
        <f>精英副本!A546</f>
        <v>309001</v>
      </c>
      <c r="B436" t="str">
        <f>精英副本!Y546</f>
        <v>启迪试炼（90）</v>
      </c>
      <c r="C436">
        <f>精英副本!C546</f>
        <v>0</v>
      </c>
      <c r="D436">
        <f>精英副本!D546</f>
        <v>0</v>
      </c>
      <c r="E436" t="str">
        <f>[1]map.xml!$E436</f>
        <v>3090011_1</v>
      </c>
      <c r="F436" t="str">
        <f>[1]map.xml!F436</f>
        <v>1_10000,2_0,3_0</v>
      </c>
      <c r="G436" t="str">
        <f>[1]map.xml!G436</f>
        <v>40000_50900105_1_244,40000_50902055_1_920,4004086_0_1_8200,4004086_0_1_8200,4004086_0_1_8200,30000_90004_1_10000,30000_90005_1_2800</v>
      </c>
      <c r="H436">
        <f>[1]map.xml!H436</f>
        <v>0</v>
      </c>
      <c r="I436" t="str">
        <f>[1]map.xml!I436</f>
        <v>30000_90006_1_10000,4004086_0_1_8200,4004086_0_1_8200,4004086_0_1_8200</v>
      </c>
      <c r="J436">
        <f>[1]map.xml!J436</f>
        <v>0</v>
      </c>
      <c r="K436">
        <f>精英副本!K546</f>
        <v>100</v>
      </c>
      <c r="L436" t="str">
        <f>精英副本!L546</f>
        <v>map/map_001.png</v>
      </c>
      <c r="M436" t="str">
        <f>精英副本!M546</f>
        <v>1-3</v>
      </c>
      <c r="N436">
        <f>精英副本!N546</f>
        <v>920</v>
      </c>
      <c r="O436">
        <f>精英副本!O546</f>
        <v>120</v>
      </c>
      <c r="P436">
        <f>精英副本!P546</f>
        <v>10</v>
      </c>
      <c r="Q436">
        <f>精英副本!Q546</f>
        <v>10</v>
      </c>
      <c r="R436">
        <f>精英副本!R546</f>
        <v>0</v>
      </c>
      <c r="S436">
        <f>精英副本!S546</f>
        <v>3</v>
      </c>
      <c r="T436">
        <f>精英副本!T546</f>
        <v>86</v>
      </c>
      <c r="U436">
        <f>精英副本客户端!F380</f>
        <v>0</v>
      </c>
    </row>
    <row r="437" spans="1:21">
      <c r="A437">
        <f>精英副本!A547</f>
        <v>309002</v>
      </c>
      <c r="B437" t="str">
        <f>精英副本!Y547</f>
        <v>启迪试炼（90）</v>
      </c>
      <c r="C437">
        <f>精英副本!C547</f>
        <v>0</v>
      </c>
      <c r="D437">
        <f>精英副本!D547</f>
        <v>0</v>
      </c>
      <c r="E437" t="str">
        <f>[1]map.xml!$E437</f>
        <v>3090021_1</v>
      </c>
      <c r="F437" t="str">
        <f>[1]map.xml!F437</f>
        <v>1_10000,2_0,3_0</v>
      </c>
      <c r="G437" t="str">
        <f>[1]map.xml!G437</f>
        <v>40000_50900025_1_237,40000_50900035_1_910,4004086_0_1_8225,4004086_0_1_8225,4004086_0_1_8225,30000_90004_1_10000,30000_90005_1_2800</v>
      </c>
      <c r="H437">
        <f>[1]map.xml!H437</f>
        <v>0</v>
      </c>
      <c r="I437" t="str">
        <f>[1]map.xml!I437</f>
        <v>30000_90006_1_10000,4004086_0_1_8225,4004086_0_1_8225,4004086_0_1_8225</v>
      </c>
      <c r="J437">
        <f>[1]map.xml!J437</f>
        <v>0</v>
      </c>
      <c r="K437">
        <f>精英副本!K547</f>
        <v>100</v>
      </c>
      <c r="L437" t="str">
        <f>精英副本!L547</f>
        <v>map/map_001.png</v>
      </c>
      <c r="M437" t="str">
        <f>精英副本!M547</f>
        <v>1-3</v>
      </c>
      <c r="N437">
        <f>精英副本!N547</f>
        <v>920</v>
      </c>
      <c r="O437">
        <f>精英副本!O547</f>
        <v>120</v>
      </c>
      <c r="P437">
        <f>精英副本!P547</f>
        <v>10</v>
      </c>
      <c r="Q437">
        <f>精英副本!Q547</f>
        <v>10</v>
      </c>
      <c r="R437">
        <f>精英副本!R547</f>
        <v>0</v>
      </c>
      <c r="S437">
        <f>精英副本!S547</f>
        <v>3</v>
      </c>
      <c r="T437">
        <f>精英副本!T547</f>
        <v>86</v>
      </c>
      <c r="U437">
        <f>精英副本客户端!F381</f>
        <v>309001</v>
      </c>
    </row>
    <row r="438" spans="1:21">
      <c r="A438">
        <f>精英副本!A548</f>
        <v>309003</v>
      </c>
      <c r="B438" t="str">
        <f>精英副本!Y548</f>
        <v>启迪试炼（90）</v>
      </c>
      <c r="C438">
        <f>精英副本!C548</f>
        <v>0</v>
      </c>
      <c r="D438">
        <f>精英副本!D548</f>
        <v>0</v>
      </c>
      <c r="E438" t="str">
        <f>[1]map.xml!$E438</f>
        <v>3090031_1</v>
      </c>
      <c r="F438" t="str">
        <f>[1]map.xml!F438</f>
        <v>1_10000,2_0,3_0</v>
      </c>
      <c r="G438" t="str">
        <f>[1]map.xml!G438</f>
        <v>40000_50900046_1_230,40000_50902065_1_900,4004086_0_1_8250,4004086_0_1_8250,4004086_0_1_8250,30000_90004_1_10000,30000_90005_1_4200</v>
      </c>
      <c r="H438">
        <f>[1]map.xml!H438</f>
        <v>0</v>
      </c>
      <c r="I438" t="str">
        <f>[1]map.xml!I438</f>
        <v>30000_90006_1_10000,4004086_0_1_8250,4004086_0_1_8250,4004086_0_1_8250</v>
      </c>
      <c r="J438">
        <f>[1]map.xml!J438</f>
        <v>0</v>
      </c>
      <c r="K438">
        <f>精英副本!K548</f>
        <v>100</v>
      </c>
      <c r="L438" t="str">
        <f>精英副本!L548</f>
        <v>map/map_001.png</v>
      </c>
      <c r="M438" t="str">
        <f>精英副本!M548</f>
        <v>1-3</v>
      </c>
      <c r="N438">
        <f>精英副本!N548</f>
        <v>920</v>
      </c>
      <c r="O438">
        <f>精英副本!O548</f>
        <v>120</v>
      </c>
      <c r="P438">
        <f>精英副本!P548</f>
        <v>10</v>
      </c>
      <c r="Q438">
        <f>精英副本!Q548</f>
        <v>10</v>
      </c>
      <c r="R438">
        <f>精英副本!R548</f>
        <v>0</v>
      </c>
      <c r="S438">
        <f>精英副本!S548</f>
        <v>3</v>
      </c>
      <c r="T438">
        <f>精英副本!T548</f>
        <v>86</v>
      </c>
      <c r="U438">
        <f>精英副本客户端!F382</f>
        <v>309002</v>
      </c>
    </row>
    <row r="439" spans="1:21">
      <c r="A439">
        <f>精英副本!A549</f>
        <v>309004</v>
      </c>
      <c r="B439" t="str">
        <f>精英副本!Y549</f>
        <v>启迪试炼（90）</v>
      </c>
      <c r="C439">
        <f>精英副本!C549</f>
        <v>0</v>
      </c>
      <c r="D439">
        <f>精英副本!D549</f>
        <v>0</v>
      </c>
      <c r="E439" t="str">
        <f>[1]map.xml!$E439</f>
        <v>3090041_1</v>
      </c>
      <c r="F439" t="str">
        <f>[1]map.xml!F439</f>
        <v>1_10000,2_0,3_0</v>
      </c>
      <c r="G439" t="str">
        <f>[1]map.xml!G439</f>
        <v>40000_50900076_1_223,40000_50901055_1_890,4004086_0_1_8275,4004086_0_1_8275,4004086_0_1_8275,30000_90004_1_10000,30000_90005_1_4200</v>
      </c>
      <c r="H439">
        <f>[1]map.xml!H439</f>
        <v>0</v>
      </c>
      <c r="I439" t="str">
        <f>[1]map.xml!I439</f>
        <v>30000_90006_1_10000,4004086_0_1_8275,4004086_0_1_8275,4004086_0_1_8275</v>
      </c>
      <c r="J439">
        <f>[1]map.xml!J439</f>
        <v>0</v>
      </c>
      <c r="K439">
        <f>精英副本!K549</f>
        <v>100</v>
      </c>
      <c r="L439" t="str">
        <f>精英副本!L549</f>
        <v>map/map_001.png</v>
      </c>
      <c r="M439" t="str">
        <f>精英副本!M549</f>
        <v>1-3</v>
      </c>
      <c r="N439">
        <f>精英副本!N549</f>
        <v>920</v>
      </c>
      <c r="O439">
        <f>精英副本!O549</f>
        <v>120</v>
      </c>
      <c r="P439">
        <f>精英副本!P549</f>
        <v>10</v>
      </c>
      <c r="Q439">
        <f>精英副本!Q549</f>
        <v>10</v>
      </c>
      <c r="R439">
        <f>精英副本!R549</f>
        <v>0</v>
      </c>
      <c r="S439">
        <f>精英副本!S549</f>
        <v>3</v>
      </c>
      <c r="T439">
        <f>精英副本!T549</f>
        <v>86</v>
      </c>
      <c r="U439">
        <f>精英副本客户端!F383</f>
        <v>309003</v>
      </c>
    </row>
    <row r="440" spans="1:21">
      <c r="A440">
        <f>精英副本!A550</f>
        <v>309005</v>
      </c>
      <c r="B440" t="str">
        <f>精英副本!Y550</f>
        <v>启迪试炼（90）</v>
      </c>
      <c r="C440">
        <f>精英副本!C550</f>
        <v>0</v>
      </c>
      <c r="D440">
        <f>精英副本!D550</f>
        <v>0</v>
      </c>
      <c r="E440" t="str">
        <f>[1]map.xml!$E440</f>
        <v>3090051_1,3090052_1,3090053_1</v>
      </c>
      <c r="F440" t="str">
        <f>[1]map.xml!F440</f>
        <v>1_0,2_0,3_10000</v>
      </c>
      <c r="G440" t="str">
        <f>[1]map.xml!G440</f>
        <v>40000_50900085_1_216,40000_50901065_1_880,4004086_0_1_8300,4004086_0_1_8300,4004086_0_1_8300,30000_90004_1_10000,30000_90005_1_4200</v>
      </c>
      <c r="H440">
        <f>[1]map.xml!H440</f>
        <v>0</v>
      </c>
      <c r="I440" t="str">
        <f>[1]map.xml!I440</f>
        <v>30000_90006_1_10000,4004086_0_1_8300,4004086_0_1_8300,4004086_0_1_8300</v>
      </c>
      <c r="J440">
        <f>[1]map.xml!J440</f>
        <v>0</v>
      </c>
      <c r="K440">
        <f>精英副本!K550</f>
        <v>100</v>
      </c>
      <c r="L440" t="str">
        <f>精英副本!L550</f>
        <v>map/map_001.png</v>
      </c>
      <c r="M440" t="str">
        <f>精英副本!M550</f>
        <v>1-3</v>
      </c>
      <c r="N440">
        <f>精英副本!N550</f>
        <v>920</v>
      </c>
      <c r="O440">
        <f>精英副本!O550</f>
        <v>120</v>
      </c>
      <c r="P440">
        <f>精英副本!P550</f>
        <v>10</v>
      </c>
      <c r="Q440">
        <f>精英副本!Q550</f>
        <v>10</v>
      </c>
      <c r="R440">
        <f>精英副本!R550</f>
        <v>0</v>
      </c>
      <c r="S440">
        <f>精英副本!S550</f>
        <v>3</v>
      </c>
      <c r="T440">
        <f>精英副本!T550</f>
        <v>86</v>
      </c>
      <c r="U440">
        <f>精英副本客户端!F384</f>
        <v>309004</v>
      </c>
    </row>
    <row r="441" spans="1:21">
      <c r="A441">
        <f>精英副本!A551</f>
        <v>309006</v>
      </c>
      <c r="B441" t="str">
        <f>精英副本!Y551</f>
        <v>启迪试炼（90）</v>
      </c>
      <c r="C441">
        <f>精英副本!C551</f>
        <v>0</v>
      </c>
      <c r="D441">
        <f>精英副本!D551</f>
        <v>0</v>
      </c>
      <c r="E441" t="str">
        <f>[1]map.xml!$E441</f>
        <v>3090061_1</v>
      </c>
      <c r="F441" t="str">
        <f>[1]map.xml!F441</f>
        <v>1_10000,2_0,3_0</v>
      </c>
      <c r="G441" t="str">
        <f>[1]map.xml!G441</f>
        <v>40000_50900095_1_209,40000_50900015_1_870,4004086_0_1_8325,4004086_0_1_8325,4004086_0_1_8325,30000_90004_1_10000,30000_90005_1_5600</v>
      </c>
      <c r="H441">
        <f>[1]map.xml!H441</f>
        <v>0</v>
      </c>
      <c r="I441" t="str">
        <f>[1]map.xml!I441</f>
        <v>30000_90006_1_10000,4004086_0_1_8325,4004086_0_1_8325,4004086_0_1_8325</v>
      </c>
      <c r="J441">
        <f>[1]map.xml!J441</f>
        <v>0</v>
      </c>
      <c r="K441">
        <f>精英副本!K551</f>
        <v>100</v>
      </c>
      <c r="L441" t="str">
        <f>精英副本!L551</f>
        <v>map/map_001.png</v>
      </c>
      <c r="M441" t="str">
        <f>精英副本!M551</f>
        <v>1-3</v>
      </c>
      <c r="N441">
        <f>精英副本!N551</f>
        <v>920</v>
      </c>
      <c r="O441">
        <f>精英副本!O551</f>
        <v>120</v>
      </c>
      <c r="P441">
        <f>精英副本!P551</f>
        <v>10</v>
      </c>
      <c r="Q441">
        <f>精英副本!Q551</f>
        <v>10</v>
      </c>
      <c r="R441">
        <f>精英副本!R551</f>
        <v>0</v>
      </c>
      <c r="S441">
        <f>精英副本!S551</f>
        <v>3</v>
      </c>
      <c r="T441">
        <f>精英副本!T551</f>
        <v>86</v>
      </c>
      <c r="U441">
        <f>精英副本客户端!F385</f>
        <v>309005</v>
      </c>
    </row>
    <row r="442" spans="1:21">
      <c r="A442">
        <f>精英副本!A552</f>
        <v>309007</v>
      </c>
      <c r="B442" t="str">
        <f>精英副本!Y552</f>
        <v>启迪试炼（90）</v>
      </c>
      <c r="C442">
        <f>精英副本!C552</f>
        <v>0</v>
      </c>
      <c r="D442">
        <f>精英副本!D552</f>
        <v>0</v>
      </c>
      <c r="E442" t="str">
        <f>[1]map.xml!$E442</f>
        <v>3090071_1</v>
      </c>
      <c r="F442" t="str">
        <f>[1]map.xml!F442</f>
        <v>1_10000,2_0,3_0</v>
      </c>
      <c r="G442" t="str">
        <f>[1]map.xml!G442</f>
        <v>40000_50900015_1_202,40000_50903065_1_860,4004086_0_1_8350,4004086_0_1_8350,4004086_0_1_8350,30000_90004_1_10000,30000_90005_1_5600</v>
      </c>
      <c r="H442">
        <f>[1]map.xml!H442</f>
        <v>0</v>
      </c>
      <c r="I442" t="str">
        <f>[1]map.xml!I442</f>
        <v>30000_90006_1_10000,4004086_0_1_8350,4004086_0_1_8350,4004086_0_1_8350</v>
      </c>
      <c r="J442">
        <f>[1]map.xml!J442</f>
        <v>0</v>
      </c>
      <c r="K442">
        <f>精英副本!K552</f>
        <v>100</v>
      </c>
      <c r="L442" t="str">
        <f>精英副本!L552</f>
        <v>map/map_001.png</v>
      </c>
      <c r="M442" t="str">
        <f>精英副本!M552</f>
        <v>1-3</v>
      </c>
      <c r="N442">
        <f>精英副本!N552</f>
        <v>920</v>
      </c>
      <c r="O442">
        <f>精英副本!O552</f>
        <v>120</v>
      </c>
      <c r="P442">
        <f>精英副本!P552</f>
        <v>10</v>
      </c>
      <c r="Q442">
        <f>精英副本!Q552</f>
        <v>10</v>
      </c>
      <c r="R442">
        <f>精英副本!R552</f>
        <v>0</v>
      </c>
      <c r="S442">
        <f>精英副本!S552</f>
        <v>3</v>
      </c>
      <c r="T442">
        <f>精英副本!T552</f>
        <v>86</v>
      </c>
      <c r="U442">
        <f>精英副本客户端!F386</f>
        <v>309006</v>
      </c>
    </row>
    <row r="443" spans="1:21">
      <c r="A443">
        <f>精英副本!A553</f>
        <v>309008</v>
      </c>
      <c r="B443" t="str">
        <f>精英副本!Y553</f>
        <v>启迪试炼（90）</v>
      </c>
      <c r="C443">
        <f>精英副本!C553</f>
        <v>0</v>
      </c>
      <c r="D443">
        <f>精英副本!D553</f>
        <v>0</v>
      </c>
      <c r="E443" t="str">
        <f>[1]map.xml!$E443</f>
        <v>3090081_1</v>
      </c>
      <c r="F443" t="str">
        <f>[1]map.xml!F443</f>
        <v>1_10000,2_0,3_0</v>
      </c>
      <c r="G443" t="str">
        <f>[1]map.xml!G443</f>
        <v>40000_50900035_1_195,40000_50903055_1_850,4004086_0_1_8375,4004086_0_1_8375,4004086_0_1_8375,30000_90004_1_10000,30000_90005_1_5600</v>
      </c>
      <c r="H443">
        <f>[1]map.xml!H443</f>
        <v>0</v>
      </c>
      <c r="I443" t="str">
        <f>[1]map.xml!I443</f>
        <v>30000_90006_1_10000,4004086_0_1_8375,4004086_0_1_8375,4004086_0_1_8375</v>
      </c>
      <c r="J443">
        <f>[1]map.xml!J443</f>
        <v>0</v>
      </c>
      <c r="K443">
        <f>精英副本!K553</f>
        <v>100</v>
      </c>
      <c r="L443" t="str">
        <f>精英副本!L553</f>
        <v>map/map_001.png</v>
      </c>
      <c r="M443" t="str">
        <f>精英副本!M553</f>
        <v>1-3</v>
      </c>
      <c r="N443">
        <f>精英副本!N553</f>
        <v>920</v>
      </c>
      <c r="O443">
        <f>精英副本!O553</f>
        <v>120</v>
      </c>
      <c r="P443">
        <f>精英副本!P553</f>
        <v>10</v>
      </c>
      <c r="Q443">
        <f>精英副本!Q553</f>
        <v>10</v>
      </c>
      <c r="R443">
        <f>精英副本!R553</f>
        <v>0</v>
      </c>
      <c r="S443">
        <f>精英副本!S553</f>
        <v>3</v>
      </c>
      <c r="T443">
        <f>精英副本!T553</f>
        <v>86</v>
      </c>
      <c r="U443">
        <f>精英副本客户端!F387</f>
        <v>309007</v>
      </c>
    </row>
    <row r="444" spans="1:21">
      <c r="A444">
        <f>精英副本!A554</f>
        <v>309009</v>
      </c>
      <c r="B444" t="str">
        <f>精英副本!Y554</f>
        <v>启迪试炼（90）</v>
      </c>
      <c r="C444">
        <f>精英副本!C554</f>
        <v>0</v>
      </c>
      <c r="D444">
        <f>精英副本!D554</f>
        <v>0</v>
      </c>
      <c r="E444" t="str">
        <f>[1]map.xml!$E444</f>
        <v>3090091_1</v>
      </c>
      <c r="F444" t="str">
        <f>[1]map.xml!F444</f>
        <v>1_10000,2_0,3_0</v>
      </c>
      <c r="G444" t="str">
        <f>[1]map.xml!G444</f>
        <v>40000_50903056_1_188,40000_50903065_1_840,4004086_0_1_8400,4004086_0_1_8400,4004086_0_1_8400,30000_90004_1_10000,30000_90005_1_7000</v>
      </c>
      <c r="H444">
        <f>[1]map.xml!H444</f>
        <v>0</v>
      </c>
      <c r="I444" t="str">
        <f>[1]map.xml!I444</f>
        <v>30000_90006_1_10000,4004086_0_1_8400,4004086_0_1_8400,4004086_0_1_8400</v>
      </c>
      <c r="J444">
        <f>[1]map.xml!J444</f>
        <v>0</v>
      </c>
      <c r="K444">
        <f>精英副本!K554</f>
        <v>100</v>
      </c>
      <c r="L444" t="str">
        <f>精英副本!L554</f>
        <v>map/map_001.png</v>
      </c>
      <c r="M444" t="str">
        <f>精英副本!M554</f>
        <v>1-3</v>
      </c>
      <c r="N444">
        <f>精英副本!N554</f>
        <v>920</v>
      </c>
      <c r="O444">
        <f>精英副本!O554</f>
        <v>120</v>
      </c>
      <c r="P444">
        <f>精英副本!P554</f>
        <v>10</v>
      </c>
      <c r="Q444">
        <f>精英副本!Q554</f>
        <v>10</v>
      </c>
      <c r="R444">
        <f>精英副本!R554</f>
        <v>0</v>
      </c>
      <c r="S444">
        <f>精英副本!S554</f>
        <v>3</v>
      </c>
      <c r="T444">
        <f>精英副本!T554</f>
        <v>86</v>
      </c>
      <c r="U444">
        <f>精英副本客户端!F388</f>
        <v>309008</v>
      </c>
    </row>
    <row r="445" spans="1:21">
      <c r="A445">
        <f>精英副本!A555</f>
        <v>309501</v>
      </c>
      <c r="B445" t="str">
        <f>精英副本!Y555</f>
        <v>启迪试炼（95）</v>
      </c>
      <c r="C445">
        <f>精英副本!C555</f>
        <v>0</v>
      </c>
      <c r="D445">
        <f>精英副本!D555</f>
        <v>0</v>
      </c>
      <c r="E445" t="str">
        <f>[1]map.xml!$E445</f>
        <v>3095011_1</v>
      </c>
      <c r="F445" t="str">
        <f>[1]map.xml!F445</f>
        <v>1_10000,2_0,3_0</v>
      </c>
      <c r="G445" t="str">
        <f>[1]map.xml!G445</f>
        <v>40000_50950105_1_0,40000_50950015_1_0,4004090_0_1_8425,4004090_0_1_8425,4004090_0_1_8425,30000_90004_1_10000,30000_90005_1_4200</v>
      </c>
      <c r="H445">
        <f>[1]map.xml!H445</f>
        <v>0</v>
      </c>
      <c r="I445" t="str">
        <f>[1]map.xml!I445</f>
        <v>30000_90006_1_10000,4004090_0_1_8425,4004090_0_1_8425,4004090_0_1_8425</v>
      </c>
      <c r="J445">
        <f>[1]map.xml!J445</f>
        <v>0</v>
      </c>
      <c r="K445">
        <f>精英副本!K555</f>
        <v>100</v>
      </c>
      <c r="L445" t="str">
        <f>精英副本!L555</f>
        <v>map/map_001.png</v>
      </c>
      <c r="M445" t="str">
        <f>精英副本!M555</f>
        <v>1-3</v>
      </c>
      <c r="N445">
        <f>精英副本!N555</f>
        <v>920</v>
      </c>
      <c r="O445">
        <f>精英副本!O555</f>
        <v>120</v>
      </c>
      <c r="P445">
        <f>精英副本!P555</f>
        <v>10</v>
      </c>
      <c r="Q445">
        <f>精英副本!Q555</f>
        <v>10</v>
      </c>
      <c r="R445">
        <f>精英副本!R555</f>
        <v>0</v>
      </c>
      <c r="S445">
        <f>精英副本!S555</f>
        <v>3</v>
      </c>
      <c r="T445">
        <f>精英副本!T555</f>
        <v>91</v>
      </c>
      <c r="U445">
        <f>精英副本客户端!F389</f>
        <v>0</v>
      </c>
    </row>
    <row r="446" spans="1:21">
      <c r="A446">
        <f>精英副本!A556</f>
        <v>309502</v>
      </c>
      <c r="B446" t="str">
        <f>精英副本!Y556</f>
        <v>启迪试炼（95）</v>
      </c>
      <c r="C446">
        <f>精英副本!C556</f>
        <v>0</v>
      </c>
      <c r="D446">
        <f>精英副本!D556</f>
        <v>0</v>
      </c>
      <c r="E446" t="str">
        <f>[1]map.xml!$E446</f>
        <v>3095021_1</v>
      </c>
      <c r="F446" t="str">
        <f>[1]map.xml!F446</f>
        <v>1_10000,2_0,3_0</v>
      </c>
      <c r="G446" t="str">
        <f>[1]map.xml!G446</f>
        <v>40000_50950025_1_0,40000_50952055_1_0,4004090_0_1_8450,4004090_0_1_8450,4004090_0_1_8450,30000_90004_1_10000,30000_90005_1_4200</v>
      </c>
      <c r="H446">
        <f>[1]map.xml!H446</f>
        <v>0</v>
      </c>
      <c r="I446" t="str">
        <f>[1]map.xml!I446</f>
        <v>30000_90006_1_10000,4004090_0_1_8450,4004090_0_1_8450,4004090_0_1_8450</v>
      </c>
      <c r="J446">
        <f>[1]map.xml!J446</f>
        <v>0</v>
      </c>
      <c r="K446">
        <f>精英副本!K556</f>
        <v>100</v>
      </c>
      <c r="L446" t="str">
        <f>精英副本!L556</f>
        <v>map/map_001.png</v>
      </c>
      <c r="M446" t="str">
        <f>精英副本!M556</f>
        <v>1-3</v>
      </c>
      <c r="N446">
        <f>精英副本!N556</f>
        <v>920</v>
      </c>
      <c r="O446">
        <f>精英副本!O556</f>
        <v>120</v>
      </c>
      <c r="P446">
        <f>精英副本!P556</f>
        <v>10</v>
      </c>
      <c r="Q446">
        <f>精英副本!Q556</f>
        <v>10</v>
      </c>
      <c r="R446">
        <f>精英副本!R556</f>
        <v>0</v>
      </c>
      <c r="S446">
        <f>精英副本!S556</f>
        <v>3</v>
      </c>
      <c r="T446">
        <f>精英副本!T556</f>
        <v>91</v>
      </c>
      <c r="U446">
        <f>精英副本客户端!F390</f>
        <v>309501</v>
      </c>
    </row>
    <row r="447" spans="1:21">
      <c r="A447">
        <f>精英副本!A557</f>
        <v>309503</v>
      </c>
      <c r="B447" t="str">
        <f>精英副本!Y557</f>
        <v>启迪试炼（95）</v>
      </c>
      <c r="C447">
        <f>精英副本!C557</f>
        <v>0</v>
      </c>
      <c r="D447">
        <f>精英副本!D557</f>
        <v>0</v>
      </c>
      <c r="E447" t="str">
        <f>[1]map.xml!$E447</f>
        <v>3095031_1</v>
      </c>
      <c r="F447" t="str">
        <f>[1]map.xml!F447</f>
        <v>1_10000,2_0,3_0</v>
      </c>
      <c r="G447" t="str">
        <f>[1]map.xml!G447</f>
        <v>40000_50950046_1_0,40000_50952065_1_0,4004090_0_1_8475,4004090_0_1_8475,4004090_0_1_8475,30000_90004_1_10000,30000_90005_1_5600</v>
      </c>
      <c r="H447">
        <f>[1]map.xml!H447</f>
        <v>0</v>
      </c>
      <c r="I447" t="str">
        <f>[1]map.xml!I447</f>
        <v>30000_90006_1_10000,4004090_0_1_8475,4004090_0_1_8475,4004090_0_1_8475</v>
      </c>
      <c r="J447">
        <f>[1]map.xml!J447</f>
        <v>0</v>
      </c>
      <c r="K447">
        <f>精英副本!K557</f>
        <v>100</v>
      </c>
      <c r="L447" t="str">
        <f>精英副本!L557</f>
        <v>map/map_001.png</v>
      </c>
      <c r="M447" t="str">
        <f>精英副本!M557</f>
        <v>1-3</v>
      </c>
      <c r="N447">
        <f>精英副本!N557</f>
        <v>920</v>
      </c>
      <c r="O447">
        <f>精英副本!O557</f>
        <v>120</v>
      </c>
      <c r="P447">
        <f>精英副本!P557</f>
        <v>10</v>
      </c>
      <c r="Q447">
        <f>精英副本!Q557</f>
        <v>10</v>
      </c>
      <c r="R447">
        <f>精英副本!R557</f>
        <v>0</v>
      </c>
      <c r="S447">
        <f>精英副本!S557</f>
        <v>3</v>
      </c>
      <c r="T447">
        <f>精英副本!T557</f>
        <v>91</v>
      </c>
      <c r="U447">
        <f>精英副本客户端!F391</f>
        <v>309502</v>
      </c>
    </row>
    <row r="448" spans="1:21">
      <c r="A448">
        <f>精英副本!A558</f>
        <v>309504</v>
      </c>
      <c r="B448" t="str">
        <f>精英副本!Y558</f>
        <v>启迪试炼（95）</v>
      </c>
      <c r="C448">
        <f>精英副本!C558</f>
        <v>0</v>
      </c>
      <c r="D448">
        <f>精英副本!D558</f>
        <v>0</v>
      </c>
      <c r="E448" t="str">
        <f>[1]map.xml!$E448</f>
        <v>3095041_1</v>
      </c>
      <c r="F448" t="str">
        <f>[1]map.xml!F448</f>
        <v>1_10000,2_0,3_0</v>
      </c>
      <c r="G448" t="str">
        <f>[1]map.xml!G448</f>
        <v>40000_50950076_1_0,40000_50950035_1_0,4004090_0_1_8500,4004090_0_1_8500,4004090_0_1_8500,30000_90004_1_10000,30000_90005_1_5600</v>
      </c>
      <c r="H448">
        <f>[1]map.xml!H448</f>
        <v>0</v>
      </c>
      <c r="I448" t="str">
        <f>[1]map.xml!I448</f>
        <v>30000_90006_1_10000,4004090_0_1_8500,4004090_0_1_8500,4004090_0_1_8500</v>
      </c>
      <c r="J448">
        <f>[1]map.xml!J448</f>
        <v>0</v>
      </c>
      <c r="K448">
        <f>精英副本!K558</f>
        <v>100</v>
      </c>
      <c r="L448" t="str">
        <f>精英副本!L558</f>
        <v>map/map_001.png</v>
      </c>
      <c r="M448" t="str">
        <f>精英副本!M558</f>
        <v>1-3</v>
      </c>
      <c r="N448">
        <f>精英副本!N558</f>
        <v>920</v>
      </c>
      <c r="O448">
        <f>精英副本!O558</f>
        <v>120</v>
      </c>
      <c r="P448">
        <f>精英副本!P558</f>
        <v>10</v>
      </c>
      <c r="Q448">
        <f>精英副本!Q558</f>
        <v>10</v>
      </c>
      <c r="R448">
        <f>精英副本!R558</f>
        <v>0</v>
      </c>
      <c r="S448">
        <f>精英副本!S558</f>
        <v>3</v>
      </c>
      <c r="T448">
        <f>精英副本!T558</f>
        <v>91</v>
      </c>
      <c r="U448">
        <f>精英副本客户端!F392</f>
        <v>309503</v>
      </c>
    </row>
    <row r="449" spans="1:21">
      <c r="A449">
        <f>精英副本!A559</f>
        <v>309505</v>
      </c>
      <c r="B449" t="str">
        <f>精英副本!Y559</f>
        <v>启迪试炼（95）</v>
      </c>
      <c r="C449">
        <f>精英副本!C559</f>
        <v>0</v>
      </c>
      <c r="D449">
        <f>精英副本!D559</f>
        <v>0</v>
      </c>
      <c r="E449" t="str">
        <f>[1]map.xml!$E449</f>
        <v>3095051_1,3095052_1,3095053_1</v>
      </c>
      <c r="F449" t="str">
        <f>[1]map.xml!F449</f>
        <v>1_0,2_0,3_10000</v>
      </c>
      <c r="G449" t="str">
        <f>[1]map.xml!G449</f>
        <v>40000_50950085_1_0,40000_50953065_1_0,4004090_0_1_8525,4004090_0_1_8525,4004090_0_1_8525,30000_90004_1_10000,30000_90005_1_5600</v>
      </c>
      <c r="H449">
        <f>[1]map.xml!H449</f>
        <v>0</v>
      </c>
      <c r="I449" t="str">
        <f>[1]map.xml!I449</f>
        <v>30000_90006_1_10000,4004090_0_1_8525,4004090_0_1_8525,4004090_0_1_8525</v>
      </c>
      <c r="J449">
        <f>[1]map.xml!J449</f>
        <v>0</v>
      </c>
      <c r="K449">
        <f>精英副本!K559</f>
        <v>100</v>
      </c>
      <c r="L449" t="str">
        <f>精英副本!L559</f>
        <v>map/map_001.png</v>
      </c>
      <c r="M449" t="str">
        <f>精英副本!M559</f>
        <v>1-3</v>
      </c>
      <c r="N449">
        <f>精英副本!N559</f>
        <v>920</v>
      </c>
      <c r="O449">
        <f>精英副本!O559</f>
        <v>120</v>
      </c>
      <c r="P449">
        <f>精英副本!P559</f>
        <v>10</v>
      </c>
      <c r="Q449">
        <f>精英副本!Q559</f>
        <v>10</v>
      </c>
      <c r="R449">
        <f>精英副本!R559</f>
        <v>0</v>
      </c>
      <c r="S449">
        <f>精英副本!S559</f>
        <v>3</v>
      </c>
      <c r="T449">
        <f>精英副本!T559</f>
        <v>91</v>
      </c>
      <c r="U449">
        <f>精英副本客户端!F393</f>
        <v>309504</v>
      </c>
    </row>
    <row r="450" spans="1:21">
      <c r="A450">
        <f>精英副本!A560</f>
        <v>309506</v>
      </c>
      <c r="B450" t="str">
        <f>精英副本!Y560</f>
        <v>启迪试炼（95）</v>
      </c>
      <c r="C450">
        <f>精英副本!C560</f>
        <v>0</v>
      </c>
      <c r="D450">
        <f>精英副本!D560</f>
        <v>0</v>
      </c>
      <c r="E450" t="str">
        <f>[1]map.xml!$E450</f>
        <v>3095061_1</v>
      </c>
      <c r="F450" t="str">
        <f>[1]map.xml!F450</f>
        <v>1_10000,2_0,3_0</v>
      </c>
      <c r="G450" t="str">
        <f>[1]map.xml!G450</f>
        <v>40000_50950095_1_0,40000_50951055_1_0,4004090_0_1_8550,4004090_0_1_8550,4004090_0_1_8550,30000_90004_1_10000,30000_90005_1_7000</v>
      </c>
      <c r="H450">
        <f>[1]map.xml!H450</f>
        <v>0</v>
      </c>
      <c r="I450" t="str">
        <f>[1]map.xml!I450</f>
        <v>30000_90006_1_10000,4004090_0_1_8550,4004090_0_1_8550,4004090_0_1_8550</v>
      </c>
      <c r="J450">
        <f>[1]map.xml!J450</f>
        <v>0</v>
      </c>
      <c r="K450">
        <f>精英副本!K560</f>
        <v>100</v>
      </c>
      <c r="L450" t="str">
        <f>精英副本!L560</f>
        <v>map/map_001.png</v>
      </c>
      <c r="M450" t="str">
        <f>精英副本!M560</f>
        <v>1-3</v>
      </c>
      <c r="N450">
        <f>精英副本!N560</f>
        <v>920</v>
      </c>
      <c r="O450">
        <f>精英副本!O560</f>
        <v>120</v>
      </c>
      <c r="P450">
        <f>精英副本!P560</f>
        <v>10</v>
      </c>
      <c r="Q450">
        <f>精英副本!Q560</f>
        <v>10</v>
      </c>
      <c r="R450">
        <f>精英副本!R560</f>
        <v>0</v>
      </c>
      <c r="S450">
        <f>精英副本!S560</f>
        <v>3</v>
      </c>
      <c r="T450">
        <f>精英副本!T560</f>
        <v>91</v>
      </c>
      <c r="U450">
        <f>精英副本客户端!F394</f>
        <v>309505</v>
      </c>
    </row>
    <row r="451" spans="1:21">
      <c r="A451">
        <f>精英副本!A561</f>
        <v>309507</v>
      </c>
      <c r="B451" t="str">
        <f>精英副本!Y561</f>
        <v>启迪试炼（95）</v>
      </c>
      <c r="C451">
        <f>精英副本!C561</f>
        <v>0</v>
      </c>
      <c r="D451">
        <f>精英副本!D561</f>
        <v>0</v>
      </c>
      <c r="E451" t="str">
        <f>[1]map.xml!$E451</f>
        <v>3095071_1</v>
      </c>
      <c r="F451" t="str">
        <f>[1]map.xml!F451</f>
        <v>1_10000,2_0,3_0</v>
      </c>
      <c r="G451" t="str">
        <f>[1]map.xml!G451</f>
        <v>40000_50950015_1_0,40000_50953065_1_0,4004090_0_1_8575,4004090_0_1_8575,4004090_0_1_8575,30000_90004_1_10000,30000_90005_1_7000</v>
      </c>
      <c r="H451">
        <f>[1]map.xml!H451</f>
        <v>0</v>
      </c>
      <c r="I451" t="str">
        <f>[1]map.xml!I451</f>
        <v>30000_90006_1_10000,4004090_0_1_8575,4004090_0_1_8575,4004090_0_1_8575</v>
      </c>
      <c r="J451">
        <f>[1]map.xml!J451</f>
        <v>0</v>
      </c>
      <c r="K451">
        <f>精英副本!K561</f>
        <v>100</v>
      </c>
      <c r="L451" t="str">
        <f>精英副本!L561</f>
        <v>map/map_001.png</v>
      </c>
      <c r="M451" t="str">
        <f>精英副本!M561</f>
        <v>1-3</v>
      </c>
      <c r="N451">
        <f>精英副本!N561</f>
        <v>920</v>
      </c>
      <c r="O451">
        <f>精英副本!O561</f>
        <v>120</v>
      </c>
      <c r="P451">
        <f>精英副本!P561</f>
        <v>10</v>
      </c>
      <c r="Q451">
        <f>精英副本!Q561</f>
        <v>10</v>
      </c>
      <c r="R451">
        <f>精英副本!R561</f>
        <v>0</v>
      </c>
      <c r="S451">
        <f>精英副本!S561</f>
        <v>3</v>
      </c>
      <c r="T451">
        <f>精英副本!T561</f>
        <v>91</v>
      </c>
      <c r="U451">
        <f>精英副本客户端!F395</f>
        <v>309506</v>
      </c>
    </row>
    <row r="452" spans="1:21">
      <c r="A452">
        <f>精英副本!A562</f>
        <v>309508</v>
      </c>
      <c r="B452" t="str">
        <f>精英副本!Y562</f>
        <v>启迪试炼（95）</v>
      </c>
      <c r="C452">
        <f>精英副本!C562</f>
        <v>0</v>
      </c>
      <c r="D452">
        <f>精英副本!D562</f>
        <v>0</v>
      </c>
      <c r="E452" t="str">
        <f>[1]map.xml!$E452</f>
        <v>3095081_1</v>
      </c>
      <c r="F452" t="str">
        <f>[1]map.xml!F452</f>
        <v>1_10000,2_0,3_0</v>
      </c>
      <c r="G452" t="str">
        <f>[1]map.xml!G452</f>
        <v>40000_50950035_1_0,40000_50953055_1_0,4004090_0_1_8600,4004090_0_1_8600,4004090_0_1_8600,30000_90004_1_10000,30000_90005_1_7000</v>
      </c>
      <c r="H452">
        <f>[1]map.xml!H452</f>
        <v>0</v>
      </c>
      <c r="I452" t="str">
        <f>[1]map.xml!I452</f>
        <v>30000_90006_1_10000,4004090_0_1_8600,4004090_0_1_8600,4004090_0_1_8600</v>
      </c>
      <c r="J452">
        <f>[1]map.xml!J452</f>
        <v>0</v>
      </c>
      <c r="K452">
        <f>精英副本!K562</f>
        <v>100</v>
      </c>
      <c r="L452" t="str">
        <f>精英副本!L562</f>
        <v>map/map_001.png</v>
      </c>
      <c r="M452" t="str">
        <f>精英副本!M562</f>
        <v>1-3</v>
      </c>
      <c r="N452">
        <f>精英副本!N562</f>
        <v>920</v>
      </c>
      <c r="O452">
        <f>精英副本!O562</f>
        <v>120</v>
      </c>
      <c r="P452">
        <f>精英副本!P562</f>
        <v>10</v>
      </c>
      <c r="Q452">
        <f>精英副本!Q562</f>
        <v>10</v>
      </c>
      <c r="R452">
        <f>精英副本!R562</f>
        <v>0</v>
      </c>
      <c r="S452">
        <f>精英副本!S562</f>
        <v>3</v>
      </c>
      <c r="T452">
        <f>精英副本!T562</f>
        <v>91</v>
      </c>
      <c r="U452">
        <f>精英副本客户端!F396</f>
        <v>309507</v>
      </c>
    </row>
    <row r="453" spans="1:21">
      <c r="A453">
        <f>精英副本!A563</f>
        <v>309509</v>
      </c>
      <c r="B453" t="str">
        <f>精英副本!Y563</f>
        <v>启迪试炼（95）</v>
      </c>
      <c r="C453">
        <f>精英副本!C563</f>
        <v>0</v>
      </c>
      <c r="D453">
        <f>精英副本!D563</f>
        <v>0</v>
      </c>
      <c r="E453" t="str">
        <f>[1]map.xml!$E453</f>
        <v>3095091_1</v>
      </c>
      <c r="F453" t="str">
        <f>[1]map.xml!F453</f>
        <v>1_10000,2_0,3_0</v>
      </c>
      <c r="G453" t="str">
        <f>[1]map.xml!G453</f>
        <v>40000_50953056_1_0,40000_50953065_1_0,4004090_0_1_8625,4004090_0_1_8625,4004090_0_1_8625,30000_90004_1_10000,30000_90005_1_8400</v>
      </c>
      <c r="H453">
        <f>[1]map.xml!H453</f>
        <v>0</v>
      </c>
      <c r="I453" t="str">
        <f>[1]map.xml!I453</f>
        <v>30000_90006_1_10000,4004090_0_1_8625,4004090_0_1_8625,4004090_0_1_8625</v>
      </c>
      <c r="J453">
        <f>[1]map.xml!J453</f>
        <v>0</v>
      </c>
      <c r="K453">
        <f>精英副本!K563</f>
        <v>100</v>
      </c>
      <c r="L453" t="str">
        <f>精英副本!L563</f>
        <v>map/map_001.png</v>
      </c>
      <c r="M453" t="str">
        <f>精英副本!M563</f>
        <v>1-3</v>
      </c>
      <c r="N453">
        <f>精英副本!N563</f>
        <v>920</v>
      </c>
      <c r="O453">
        <f>精英副本!O563</f>
        <v>120</v>
      </c>
      <c r="P453">
        <f>精英副本!P563</f>
        <v>10</v>
      </c>
      <c r="Q453">
        <f>精英副本!Q563</f>
        <v>10</v>
      </c>
      <c r="R453">
        <f>精英副本!R563</f>
        <v>0</v>
      </c>
      <c r="S453">
        <f>精英副本!S563</f>
        <v>3</v>
      </c>
      <c r="T453">
        <f>精英副本!T563</f>
        <v>91</v>
      </c>
      <c r="U453">
        <f>精英副本客户端!F397</f>
        <v>309508</v>
      </c>
    </row>
    <row r="454" spans="1:21">
      <c r="A454">
        <f>精英副本!A564</f>
        <v>310001</v>
      </c>
      <c r="B454" t="str">
        <f>精英副本!Y564</f>
        <v>启迪试炼（100）</v>
      </c>
      <c r="C454">
        <f>精英副本!C564</f>
        <v>0</v>
      </c>
      <c r="D454">
        <f>精英副本!D564</f>
        <v>0</v>
      </c>
      <c r="E454" t="str">
        <f>[1]map.xml!$E454</f>
        <v>3100011_1</v>
      </c>
      <c r="F454" t="str">
        <f>[1]map.xml!F454</f>
        <v>1_10000,2_0,3_0</v>
      </c>
      <c r="G454" t="str">
        <f>[1]map.xml!G454</f>
        <v>40000_51000105_1_0,40000_51000015_1_0,4004094_0_1_8650,4004094_0_1_8650,4004094_0_1_8650,30000_90004_1_10000,30000_90005_1_5600</v>
      </c>
      <c r="H454">
        <f>[1]map.xml!H454</f>
        <v>0</v>
      </c>
      <c r="I454" t="str">
        <f>[1]map.xml!I454</f>
        <v>30000_90006_1_10000,4004094_0_1_8650,4004094_0_1_8650,4004094_0_1_8650</v>
      </c>
      <c r="J454">
        <f>[1]map.xml!J454</f>
        <v>0</v>
      </c>
      <c r="K454">
        <f>精英副本!K564</f>
        <v>100</v>
      </c>
      <c r="L454" t="str">
        <f>精英副本!L564</f>
        <v>map/map_001.png</v>
      </c>
      <c r="M454" t="str">
        <f>精英副本!M564</f>
        <v>1-3</v>
      </c>
      <c r="N454">
        <f>精英副本!N564</f>
        <v>920</v>
      </c>
      <c r="O454">
        <f>精英副本!O564</f>
        <v>120</v>
      </c>
      <c r="P454">
        <f>精英副本!P564</f>
        <v>10</v>
      </c>
      <c r="Q454">
        <f>精英副本!Q564</f>
        <v>10</v>
      </c>
      <c r="R454">
        <f>精英副本!R564</f>
        <v>0</v>
      </c>
      <c r="S454">
        <f>精英副本!S564</f>
        <v>3</v>
      </c>
      <c r="T454">
        <f>精英副本!T564</f>
        <v>96</v>
      </c>
      <c r="U454">
        <f>精英副本客户端!F398</f>
        <v>0</v>
      </c>
    </row>
    <row r="455" spans="1:21">
      <c r="A455">
        <f>精英副本!A565</f>
        <v>310002</v>
      </c>
      <c r="B455" t="str">
        <f>精英副本!Y565</f>
        <v>启迪试炼（100）</v>
      </c>
      <c r="C455">
        <f>精英副本!C565</f>
        <v>0</v>
      </c>
      <c r="D455">
        <f>精英副本!D565</f>
        <v>0</v>
      </c>
      <c r="E455" t="str">
        <f>[1]map.xml!$E455</f>
        <v>3100021_1</v>
      </c>
      <c r="F455" t="str">
        <f>[1]map.xml!F455</f>
        <v>1_10000,2_0,3_0</v>
      </c>
      <c r="G455" t="str">
        <f>[1]map.xml!G455</f>
        <v>40000_51000025_1_0,40000_51002055_1_0,4004094_0_1_8675,4004094_0_1_8675,4004094_0_1_8675,30000_90004_1_10000,30000_90005_1_5600</v>
      </c>
      <c r="H455">
        <f>[1]map.xml!H455</f>
        <v>0</v>
      </c>
      <c r="I455" t="str">
        <f>[1]map.xml!I455</f>
        <v>30000_90006_1_10000,4004094_0_1_8675,4004094_0_1_8675,4004094_0_1_8675</v>
      </c>
      <c r="J455">
        <f>[1]map.xml!J455</f>
        <v>0</v>
      </c>
      <c r="K455">
        <f>精英副本!K565</f>
        <v>100</v>
      </c>
      <c r="L455" t="str">
        <f>精英副本!L565</f>
        <v>map/map_001.png</v>
      </c>
      <c r="M455" t="str">
        <f>精英副本!M565</f>
        <v>1-3</v>
      </c>
      <c r="N455">
        <f>精英副本!N565</f>
        <v>920</v>
      </c>
      <c r="O455">
        <f>精英副本!O565</f>
        <v>120</v>
      </c>
      <c r="P455">
        <f>精英副本!P565</f>
        <v>10</v>
      </c>
      <c r="Q455">
        <f>精英副本!Q565</f>
        <v>10</v>
      </c>
      <c r="R455">
        <f>精英副本!R565</f>
        <v>0</v>
      </c>
      <c r="S455">
        <f>精英副本!S565</f>
        <v>3</v>
      </c>
      <c r="T455">
        <f>精英副本!T565</f>
        <v>96</v>
      </c>
      <c r="U455">
        <f>精英副本客户端!F399</f>
        <v>310001</v>
      </c>
    </row>
    <row r="456" spans="1:21">
      <c r="A456">
        <f>精英副本!A566</f>
        <v>310003</v>
      </c>
      <c r="B456" t="str">
        <f>精英副本!Y566</f>
        <v>启迪试炼（100）</v>
      </c>
      <c r="C456">
        <f>精英副本!C566</f>
        <v>0</v>
      </c>
      <c r="D456">
        <f>精英副本!D566</f>
        <v>0</v>
      </c>
      <c r="E456" t="str">
        <f>[1]map.xml!$E456</f>
        <v>3100031_1</v>
      </c>
      <c r="F456" t="str">
        <f>[1]map.xml!F456</f>
        <v>1_10000,2_0,3_0</v>
      </c>
      <c r="G456" t="str">
        <f>[1]map.xml!G456</f>
        <v>40000_51000046_1_0,40000_51002065_1_0,4004094_0_1_8700,4004094_0_1_8700,4004094_0_1_8700,30000_90004_1_10000,30000_90005_1_7000</v>
      </c>
      <c r="H456">
        <f>[1]map.xml!H456</f>
        <v>0</v>
      </c>
      <c r="I456" t="str">
        <f>[1]map.xml!I456</f>
        <v>30000_90006_1_10000,4004094_0_1_8700,4004094_0_1_8700,4004094_0_1_8700</v>
      </c>
      <c r="J456">
        <f>[1]map.xml!J456</f>
        <v>0</v>
      </c>
      <c r="K456">
        <f>精英副本!K566</f>
        <v>100</v>
      </c>
      <c r="L456" t="str">
        <f>精英副本!L566</f>
        <v>map/map_001.png</v>
      </c>
      <c r="M456" t="str">
        <f>精英副本!M566</f>
        <v>1-3</v>
      </c>
      <c r="N456">
        <f>精英副本!N566</f>
        <v>920</v>
      </c>
      <c r="O456">
        <f>精英副本!O566</f>
        <v>120</v>
      </c>
      <c r="P456">
        <f>精英副本!P566</f>
        <v>10</v>
      </c>
      <c r="Q456">
        <f>精英副本!Q566</f>
        <v>10</v>
      </c>
      <c r="R456">
        <f>精英副本!R566</f>
        <v>0</v>
      </c>
      <c r="S456">
        <f>精英副本!S566</f>
        <v>3</v>
      </c>
      <c r="T456">
        <f>精英副本!T566</f>
        <v>96</v>
      </c>
      <c r="U456">
        <f>精英副本客户端!F400</f>
        <v>310002</v>
      </c>
    </row>
    <row r="457" spans="1:21">
      <c r="A457">
        <f>精英副本!A567</f>
        <v>310004</v>
      </c>
      <c r="B457" t="str">
        <f>精英副本!Y567</f>
        <v>启迪试炼（100）</v>
      </c>
      <c r="C457">
        <f>精英副本!C567</f>
        <v>0</v>
      </c>
      <c r="D457">
        <f>精英副本!D567</f>
        <v>0</v>
      </c>
      <c r="E457" t="str">
        <f>[1]map.xml!$E457</f>
        <v>3100041_1</v>
      </c>
      <c r="F457" t="str">
        <f>[1]map.xml!F457</f>
        <v>1_10000,2_0,3_0</v>
      </c>
      <c r="G457" t="str">
        <f>[1]map.xml!G457</f>
        <v>40000_51000076_1_0,40000_51000035_1_0,4004094_0_1_8725,4004094_0_1_8725,4004094_0_1_8725,30000_90004_1_10000,30000_90005_1_7000</v>
      </c>
      <c r="H457">
        <f>[1]map.xml!H457</f>
        <v>0</v>
      </c>
      <c r="I457" t="str">
        <f>[1]map.xml!I457</f>
        <v>30000_90006_1_10000,4004094_0_1_8725,4004094_0_1_8725,4004094_0_1_8725</v>
      </c>
      <c r="J457">
        <f>[1]map.xml!J457</f>
        <v>0</v>
      </c>
      <c r="K457">
        <f>精英副本!K567</f>
        <v>100</v>
      </c>
      <c r="L457" t="str">
        <f>精英副本!L567</f>
        <v>map/map_001.png</v>
      </c>
      <c r="M457" t="str">
        <f>精英副本!M567</f>
        <v>1-3</v>
      </c>
      <c r="N457">
        <f>精英副本!N567</f>
        <v>920</v>
      </c>
      <c r="O457">
        <f>精英副本!O567</f>
        <v>120</v>
      </c>
      <c r="P457">
        <f>精英副本!P567</f>
        <v>10</v>
      </c>
      <c r="Q457">
        <f>精英副本!Q567</f>
        <v>10</v>
      </c>
      <c r="R457">
        <f>精英副本!R567</f>
        <v>0</v>
      </c>
      <c r="S457">
        <f>精英副本!S567</f>
        <v>3</v>
      </c>
      <c r="T457">
        <f>精英副本!T567</f>
        <v>96</v>
      </c>
      <c r="U457">
        <f>精英副本客户端!F401</f>
        <v>310003</v>
      </c>
    </row>
    <row r="458" spans="1:21">
      <c r="A458">
        <f>精英副本!A568</f>
        <v>310005</v>
      </c>
      <c r="B458" t="str">
        <f>精英副本!Y568</f>
        <v>启迪试炼（100）</v>
      </c>
      <c r="C458">
        <f>精英副本!C568</f>
        <v>0</v>
      </c>
      <c r="D458">
        <f>精英副本!D568</f>
        <v>0</v>
      </c>
      <c r="E458" t="str">
        <f>[1]map.xml!$E458</f>
        <v>3100051_1,3100052_1,3100053_1</v>
      </c>
      <c r="F458" t="str">
        <f>[1]map.xml!F458</f>
        <v>1_0,2_0,3_10000</v>
      </c>
      <c r="G458" t="str">
        <f>[1]map.xml!G458</f>
        <v>40000_51000085_1_0,40000_51003065_1_0,4004094_0_1_8750,4004094_0_1_8750,4004094_0_1_8750,30000_90004_1_10000,30000_90005_1_7000</v>
      </c>
      <c r="H458">
        <f>[1]map.xml!H458</f>
        <v>0</v>
      </c>
      <c r="I458" t="str">
        <f>[1]map.xml!I458</f>
        <v>30000_90006_1_10000,4004094_0_1_8750,4004094_0_1_8750,4004094_0_1_8750</v>
      </c>
      <c r="J458">
        <f>[1]map.xml!J458</f>
        <v>0</v>
      </c>
      <c r="K458">
        <f>精英副本!K568</f>
        <v>100</v>
      </c>
      <c r="L458" t="str">
        <f>精英副本!L568</f>
        <v>map/map_001.png</v>
      </c>
      <c r="M458" t="str">
        <f>精英副本!M568</f>
        <v>1-3</v>
      </c>
      <c r="N458">
        <f>精英副本!N568</f>
        <v>920</v>
      </c>
      <c r="O458">
        <f>精英副本!O568</f>
        <v>120</v>
      </c>
      <c r="P458">
        <f>精英副本!P568</f>
        <v>10</v>
      </c>
      <c r="Q458">
        <f>精英副本!Q568</f>
        <v>10</v>
      </c>
      <c r="R458">
        <f>精英副本!R568</f>
        <v>0</v>
      </c>
      <c r="S458">
        <f>精英副本!S568</f>
        <v>3</v>
      </c>
      <c r="T458">
        <f>精英副本!T568</f>
        <v>96</v>
      </c>
      <c r="U458">
        <f>精英副本客户端!F402</f>
        <v>310004</v>
      </c>
    </row>
    <row r="459" spans="1:21">
      <c r="A459">
        <f>精英副本!A569</f>
        <v>310006</v>
      </c>
      <c r="B459" t="str">
        <f>精英副本!Y569</f>
        <v>启迪试炼（100）</v>
      </c>
      <c r="C459">
        <f>精英副本!C569</f>
        <v>0</v>
      </c>
      <c r="D459">
        <f>精英副本!D569</f>
        <v>0</v>
      </c>
      <c r="E459" t="str">
        <f>[1]map.xml!$E459</f>
        <v>3100061_1</v>
      </c>
      <c r="F459" t="str">
        <f>[1]map.xml!F459</f>
        <v>1_10000,2_0,3_0</v>
      </c>
      <c r="G459" t="str">
        <f>[1]map.xml!G459</f>
        <v>40000_51000095_1_0,40000_51001055_1_0,4004094_0_1_8775,4004094_0_1_8775,4004094_0_1_8775,30000_90004_1_10000,30000_90005_1_8400</v>
      </c>
      <c r="H459">
        <f>[1]map.xml!H459</f>
        <v>0</v>
      </c>
      <c r="I459" t="str">
        <f>[1]map.xml!I459</f>
        <v>30000_90006_1_10000,4004094_0_1_8775,4004094_0_1_8775,4004094_0_1_8775</v>
      </c>
      <c r="J459">
        <f>[1]map.xml!J459</f>
        <v>0</v>
      </c>
      <c r="K459">
        <f>精英副本!K569</f>
        <v>100</v>
      </c>
      <c r="L459" t="str">
        <f>精英副本!L569</f>
        <v>map/map_001.png</v>
      </c>
      <c r="M459" t="str">
        <f>精英副本!M569</f>
        <v>1-3</v>
      </c>
      <c r="N459">
        <f>精英副本!N569</f>
        <v>920</v>
      </c>
      <c r="O459">
        <f>精英副本!O569</f>
        <v>120</v>
      </c>
      <c r="P459">
        <f>精英副本!P569</f>
        <v>10</v>
      </c>
      <c r="Q459">
        <f>精英副本!Q569</f>
        <v>10</v>
      </c>
      <c r="R459">
        <f>精英副本!R569</f>
        <v>0</v>
      </c>
      <c r="S459">
        <f>精英副本!S569</f>
        <v>3</v>
      </c>
      <c r="T459">
        <f>精英副本!T569</f>
        <v>96</v>
      </c>
      <c r="U459">
        <f>精英副本客户端!F403</f>
        <v>310005</v>
      </c>
    </row>
    <row r="460" spans="1:21">
      <c r="A460">
        <f>精英副本!A570</f>
        <v>310007</v>
      </c>
      <c r="B460" t="str">
        <f>精英副本!Y570</f>
        <v>启迪试炼（100）</v>
      </c>
      <c r="C460">
        <f>精英副本!C570</f>
        <v>0</v>
      </c>
      <c r="D460">
        <f>精英副本!D570</f>
        <v>0</v>
      </c>
      <c r="E460" t="str">
        <f>[1]map.xml!$E460</f>
        <v>3100071_1</v>
      </c>
      <c r="F460" t="str">
        <f>[1]map.xml!F460</f>
        <v>1_10000,2_0,3_0</v>
      </c>
      <c r="G460" t="str">
        <f>[1]map.xml!G460</f>
        <v>40000_51000015_1_0,40000_51001065_1_0,4004094_0_1_8800,4004094_0_1_8800,4004094_0_1_8800,30000_90004_1_10000,30000_90005_1_8400</v>
      </c>
      <c r="H460">
        <f>[1]map.xml!H460</f>
        <v>0</v>
      </c>
      <c r="I460" t="str">
        <f>[1]map.xml!I460</f>
        <v>30000_90006_1_10000,4004094_0_1_8800,4004094_0_1_8800,4004094_0_1_8800</v>
      </c>
      <c r="J460">
        <f>[1]map.xml!J460</f>
        <v>0</v>
      </c>
      <c r="K460">
        <f>精英副本!K570</f>
        <v>100</v>
      </c>
      <c r="L460" t="str">
        <f>精英副本!L570</f>
        <v>map/map_001.png</v>
      </c>
      <c r="M460" t="str">
        <f>精英副本!M570</f>
        <v>1-3</v>
      </c>
      <c r="N460">
        <f>精英副本!N570</f>
        <v>920</v>
      </c>
      <c r="O460">
        <f>精英副本!O570</f>
        <v>120</v>
      </c>
      <c r="P460">
        <f>精英副本!P570</f>
        <v>10</v>
      </c>
      <c r="Q460">
        <f>精英副本!Q570</f>
        <v>10</v>
      </c>
      <c r="R460">
        <f>精英副本!R570</f>
        <v>0</v>
      </c>
      <c r="S460">
        <f>精英副本!S570</f>
        <v>3</v>
      </c>
      <c r="T460">
        <f>精英副本!T570</f>
        <v>96</v>
      </c>
      <c r="U460">
        <f>精英副本客户端!F404</f>
        <v>310006</v>
      </c>
    </row>
    <row r="461" spans="1:21">
      <c r="A461">
        <f>精英副本!A571</f>
        <v>310008</v>
      </c>
      <c r="B461" t="str">
        <f>精英副本!Y571</f>
        <v>启迪试炼（100）</v>
      </c>
      <c r="C461">
        <f>精英副本!C571</f>
        <v>0</v>
      </c>
      <c r="D461">
        <f>精英副本!D571</f>
        <v>0</v>
      </c>
      <c r="E461" t="str">
        <f>[1]map.xml!$E461</f>
        <v>3100081_1</v>
      </c>
      <c r="F461" t="str">
        <f>[1]map.xml!F461</f>
        <v>1_10000,2_0,3_0</v>
      </c>
      <c r="G461" t="str">
        <f>[1]map.xml!G461</f>
        <v>40000_51000035_1_0,40000_51003055_1_0,4004094_0_1_8825,4004094_0_1_8825,4004094_0_1_8825,30000_90004_1_10000,30000_90005_1_8400</v>
      </c>
      <c r="H461">
        <f>[1]map.xml!H461</f>
        <v>0</v>
      </c>
      <c r="I461" t="str">
        <f>[1]map.xml!I461</f>
        <v>30000_90006_1_10000,4004094_0_1_8825,4004094_0_1_8825,4004094_0_1_8825</v>
      </c>
      <c r="J461">
        <f>[1]map.xml!J461</f>
        <v>0</v>
      </c>
      <c r="K461">
        <f>精英副本!K571</f>
        <v>100</v>
      </c>
      <c r="L461" t="str">
        <f>精英副本!L571</f>
        <v>map/map_001.png</v>
      </c>
      <c r="M461" t="str">
        <f>精英副本!M571</f>
        <v>1-3</v>
      </c>
      <c r="N461">
        <f>精英副本!N571</f>
        <v>920</v>
      </c>
      <c r="O461">
        <f>精英副本!O571</f>
        <v>120</v>
      </c>
      <c r="P461">
        <f>精英副本!P571</f>
        <v>10</v>
      </c>
      <c r="Q461">
        <f>精英副本!Q571</f>
        <v>10</v>
      </c>
      <c r="R461">
        <f>精英副本!R571</f>
        <v>0</v>
      </c>
      <c r="S461">
        <f>精英副本!S571</f>
        <v>3</v>
      </c>
      <c r="T461">
        <f>精英副本!T571</f>
        <v>96</v>
      </c>
      <c r="U461">
        <f>精英副本客户端!F405</f>
        <v>310007</v>
      </c>
    </row>
    <row r="462" spans="1:21">
      <c r="A462">
        <f>精英副本!A572</f>
        <v>310009</v>
      </c>
      <c r="B462" t="str">
        <f>精英副本!Y572</f>
        <v>启迪试炼（100）</v>
      </c>
      <c r="C462">
        <f>精英副本!C572</f>
        <v>0</v>
      </c>
      <c r="D462">
        <f>精英副本!D572</f>
        <v>0</v>
      </c>
      <c r="E462" t="str">
        <f>[1]map.xml!$E462</f>
        <v>3100091_1</v>
      </c>
      <c r="F462" t="str">
        <f>[1]map.xml!F462</f>
        <v>1_10000,2_0,3_0</v>
      </c>
      <c r="G462" t="str">
        <f>[1]map.xml!G462</f>
        <v>40000_51003056_1_0,40000_51003065_1_0,4004094_0_1_8850,4004094_0_1_8850,4004094_0_1_8850,30000_90004_1_10000,30000_90005_1_9800</v>
      </c>
      <c r="H462">
        <f>[1]map.xml!H462</f>
        <v>0</v>
      </c>
      <c r="I462" t="str">
        <f>[1]map.xml!I462</f>
        <v>30000_90006_1_10000,4004094_0_1_8850,4004094_0_1_8850,4004094_0_1_8850</v>
      </c>
      <c r="J462">
        <f>[1]map.xml!J462</f>
        <v>0</v>
      </c>
      <c r="K462">
        <f>精英副本!K572</f>
        <v>100</v>
      </c>
      <c r="L462" t="str">
        <f>精英副本!L572</f>
        <v>map/map_001.png</v>
      </c>
      <c r="M462" t="str">
        <f>精英副本!M572</f>
        <v>1-3</v>
      </c>
      <c r="N462">
        <f>精英副本!N572</f>
        <v>920</v>
      </c>
      <c r="O462">
        <f>精英副本!O572</f>
        <v>120</v>
      </c>
      <c r="P462">
        <f>精英副本!P572</f>
        <v>10</v>
      </c>
      <c r="Q462">
        <f>精英副本!Q572</f>
        <v>10</v>
      </c>
      <c r="R462">
        <f>精英副本!R572</f>
        <v>0</v>
      </c>
      <c r="S462">
        <f>精英副本!S572</f>
        <v>3</v>
      </c>
      <c r="T462">
        <f>精英副本!T572</f>
        <v>96</v>
      </c>
      <c r="U462">
        <f>精英副本客户端!F406</f>
        <v>310008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620"/>
  <sheetViews>
    <sheetView workbookViewId="0">
      <selection activeCell="M36" sqref="M36"/>
    </sheetView>
  </sheetViews>
  <sheetFormatPr defaultColWidth="9" defaultRowHeight="13.5"/>
  <cols>
    <col min="4" max="4" width="11.625" customWidth="1"/>
    <col min="5" max="5" width="14" customWidth="1"/>
  </cols>
  <sheetData>
    <row r="1" spans="1:7">
      <c r="A1" t="s">
        <v>0</v>
      </c>
      <c r="B1" t="s">
        <v>234</v>
      </c>
      <c r="C1" t="s">
        <v>2</v>
      </c>
      <c r="D1" t="s">
        <v>10</v>
      </c>
      <c r="E1" t="s">
        <v>11</v>
      </c>
      <c r="F1" t="s">
        <v>21</v>
      </c>
      <c r="G1" t="s">
        <v>741</v>
      </c>
    </row>
    <row r="2" spans="1:7">
      <c r="A2">
        <f>mapActivity.xml!A6</f>
        <v>1</v>
      </c>
      <c r="B2" t="str">
        <f>mapActivity.xml!B6</f>
        <v>试炼谷</v>
      </c>
      <c r="C2">
        <f>mapActivity.xml!D6</f>
        <v>1001</v>
      </c>
      <c r="D2" t="str">
        <f>mapActivity.xml!L6</f>
        <v>map/map_001.png</v>
      </c>
      <c r="E2" t="str">
        <f>mapActivity.xml!M6</f>
        <v>1-3</v>
      </c>
      <c r="F2">
        <f>mapActivity.xml!N6</f>
        <v>920</v>
      </c>
      <c r="G2">
        <f>mapActivity.xml!S6</f>
        <v>0</v>
      </c>
    </row>
    <row r="3" spans="1:7">
      <c r="A3">
        <f>mapActivity.xml!A7</f>
        <v>2</v>
      </c>
      <c r="B3" t="str">
        <f>mapActivity.xml!B7</f>
        <v>北境古堡</v>
      </c>
      <c r="C3">
        <f>mapActivity.xml!D7</f>
        <v>1002</v>
      </c>
      <c r="D3" t="str">
        <f>mapActivity.xml!L7</f>
        <v>map/map_002.png</v>
      </c>
      <c r="E3" t="str">
        <f>mapActivity.xml!M7</f>
        <v>2-4</v>
      </c>
      <c r="F3">
        <f>mapActivity.xml!N7</f>
        <v>920</v>
      </c>
      <c r="G3">
        <f>mapActivity.xml!S7</f>
        <v>0</v>
      </c>
    </row>
    <row r="4" spans="1:7">
      <c r="A4">
        <f>mapActivity.xml!A8</f>
        <v>3</v>
      </c>
      <c r="B4" t="str">
        <f>mapActivity.xml!B8</f>
        <v>日光森林</v>
      </c>
      <c r="C4">
        <f>mapActivity.xml!D8</f>
        <v>1003</v>
      </c>
      <c r="D4" t="str">
        <f>mapActivity.xml!L8</f>
        <v>map/map_003.png</v>
      </c>
      <c r="E4" t="str">
        <f>mapActivity.xml!M8</f>
        <v>3-6</v>
      </c>
      <c r="F4">
        <f>mapActivity.xml!N8</f>
        <v>920</v>
      </c>
      <c r="G4">
        <f>mapActivity.xml!S8</f>
        <v>0</v>
      </c>
    </row>
    <row r="5" spans="1:7">
      <c r="A5">
        <f>mapActivity.xml!A9</f>
        <v>4</v>
      </c>
      <c r="B5" t="str">
        <f>mapActivity.xml!B9</f>
        <v>暮光湖</v>
      </c>
      <c r="C5">
        <f>mapActivity.xml!D9</f>
        <v>1004</v>
      </c>
      <c r="D5" t="str">
        <f>mapActivity.xml!L9</f>
        <v>map/map_004.png</v>
      </c>
      <c r="E5" t="str">
        <f>mapActivity.xml!M9</f>
        <v>5-8</v>
      </c>
      <c r="F5">
        <f>mapActivity.xml!N9</f>
        <v>920</v>
      </c>
      <c r="G5">
        <f>mapActivity.xml!S9</f>
        <v>0</v>
      </c>
    </row>
    <row r="6" spans="1:7">
      <c r="A6">
        <f>mapActivity.xml!A10</f>
        <v>5</v>
      </c>
      <c r="B6" t="str">
        <f>mapActivity.xml!B10</f>
        <v>嚎叫深渊</v>
      </c>
      <c r="C6">
        <f>mapActivity.xml!D10</f>
        <v>1005</v>
      </c>
      <c r="D6" t="str">
        <f>mapActivity.xml!L10</f>
        <v>map/map_005.png</v>
      </c>
      <c r="E6" t="str">
        <f>mapActivity.xml!M10</f>
        <v>7-10</v>
      </c>
      <c r="F6">
        <f>mapActivity.xml!N10</f>
        <v>1127</v>
      </c>
      <c r="G6">
        <f>mapActivity.xml!S10</f>
        <v>0</v>
      </c>
    </row>
    <row r="7" spans="1:7">
      <c r="A7">
        <f>mapActivity.xml!A11</f>
        <v>6</v>
      </c>
      <c r="B7" t="str">
        <f>mapActivity.xml!B11</f>
        <v>南风堡</v>
      </c>
      <c r="C7">
        <f>mapActivity.xml!D11</f>
        <v>1006</v>
      </c>
      <c r="D7" t="str">
        <f>mapActivity.xml!L11</f>
        <v>map/map_006.png</v>
      </c>
      <c r="E7" t="str">
        <f>mapActivity.xml!M11</f>
        <v>9-12</v>
      </c>
      <c r="F7">
        <f>mapActivity.xml!N11</f>
        <v>1127</v>
      </c>
      <c r="G7">
        <f>mapActivity.xml!S11</f>
        <v>0</v>
      </c>
    </row>
    <row r="8" spans="1:7">
      <c r="A8">
        <f>mapActivity.xml!A12</f>
        <v>7</v>
      </c>
      <c r="B8" t="str">
        <f>mapActivity.xml!B12</f>
        <v>圣光教堂</v>
      </c>
      <c r="C8">
        <f>mapActivity.xml!D12</f>
        <v>1007</v>
      </c>
      <c r="D8" t="str">
        <f>mapActivity.xml!L12</f>
        <v>map/map_007.png</v>
      </c>
      <c r="E8" t="str">
        <f>mapActivity.xml!M12</f>
        <v>11-14</v>
      </c>
      <c r="F8">
        <f>mapActivity.xml!N12</f>
        <v>1127</v>
      </c>
      <c r="G8">
        <f>mapActivity.xml!S12</f>
        <v>0</v>
      </c>
    </row>
    <row r="9" spans="1:7">
      <c r="A9">
        <f>mapActivity.xml!A13</f>
        <v>8</v>
      </c>
      <c r="B9" t="str">
        <f>mapActivity.xml!B13</f>
        <v>美酒地窖</v>
      </c>
      <c r="C9">
        <f>mapActivity.xml!D13</f>
        <v>1008</v>
      </c>
      <c r="D9" t="str">
        <f>mapActivity.xml!L13</f>
        <v>map/map_008.png</v>
      </c>
      <c r="E9" t="str">
        <f>mapActivity.xml!M13</f>
        <v>13-16</v>
      </c>
      <c r="F9">
        <f>mapActivity.xml!N13</f>
        <v>1160</v>
      </c>
      <c r="G9">
        <f>mapActivity.xml!S13</f>
        <v>0</v>
      </c>
    </row>
    <row r="10" spans="1:7">
      <c r="A10">
        <f>mapActivity.xml!A14</f>
        <v>9</v>
      </c>
      <c r="B10" t="str">
        <f>mapActivity.xml!B14</f>
        <v>钢铁之门</v>
      </c>
      <c r="C10">
        <f>mapActivity.xml!D14</f>
        <v>1009</v>
      </c>
      <c r="D10" t="str">
        <f>mapActivity.xml!L14</f>
        <v>map/map_009.png</v>
      </c>
      <c r="E10" t="str">
        <f>mapActivity.xml!M14</f>
        <v>15-18</v>
      </c>
      <c r="F10">
        <f>mapActivity.xml!N14</f>
        <v>1192</v>
      </c>
      <c r="G10">
        <f>mapActivity.xml!S14</f>
        <v>0</v>
      </c>
    </row>
    <row r="11" spans="1:7">
      <c r="A11">
        <f>mapActivity.xml!A15</f>
        <v>10</v>
      </c>
      <c r="B11" t="str">
        <f>mapActivity.xml!B15</f>
        <v>红龙巢穴</v>
      </c>
      <c r="C11">
        <f>mapActivity.xml!D15</f>
        <v>1010</v>
      </c>
      <c r="D11" t="str">
        <f>mapActivity.xml!L15</f>
        <v>map/map_010.png</v>
      </c>
      <c r="E11" t="str">
        <f>mapActivity.xml!M15</f>
        <v>17-20</v>
      </c>
      <c r="F11">
        <f>mapActivity.xml!N15</f>
        <v>1224</v>
      </c>
      <c r="G11">
        <f>mapActivity.xml!S15</f>
        <v>0</v>
      </c>
    </row>
    <row r="12" spans="1:7">
      <c r="A12">
        <f>mapActivity.xml!A16</f>
        <v>11</v>
      </c>
      <c r="B12" t="str">
        <f>mapActivity.xml!B16</f>
        <v>双龙窟</v>
      </c>
      <c r="C12">
        <f>mapActivity.xml!D16</f>
        <v>1011</v>
      </c>
      <c r="D12" t="str">
        <f>mapActivity.xml!L16</f>
        <v>map/map_011.png</v>
      </c>
      <c r="E12" t="str">
        <f>mapActivity.xml!M16</f>
        <v>19-22</v>
      </c>
      <c r="F12">
        <f>mapActivity.xml!N16</f>
        <v>1217</v>
      </c>
      <c r="G12">
        <f>mapActivity.xml!S16</f>
        <v>0</v>
      </c>
    </row>
    <row r="13" spans="1:7">
      <c r="A13">
        <f>mapActivity.xml!A17</f>
        <v>12</v>
      </c>
      <c r="B13" t="str">
        <f>mapActivity.xml!B17</f>
        <v>血色熔炉</v>
      </c>
      <c r="C13">
        <f>mapActivity.xml!D17</f>
        <v>1012</v>
      </c>
      <c r="D13" t="str">
        <f>mapActivity.xml!L17</f>
        <v>map/map_012.png</v>
      </c>
      <c r="E13" t="str">
        <f>mapActivity.xml!M17</f>
        <v>21-24</v>
      </c>
      <c r="F13">
        <f>mapActivity.xml!N17</f>
        <v>1248</v>
      </c>
      <c r="G13">
        <f>mapActivity.xml!S17</f>
        <v>0</v>
      </c>
    </row>
    <row r="14" spans="1:7">
      <c r="A14">
        <f>mapActivity.xml!A18</f>
        <v>13</v>
      </c>
      <c r="B14" t="str">
        <f>mapActivity.xml!B18</f>
        <v>绝望镇</v>
      </c>
      <c r="C14">
        <f>mapActivity.xml!D18</f>
        <v>1013</v>
      </c>
      <c r="D14" t="str">
        <f>mapActivity.xml!L18</f>
        <v>map/map_013.png</v>
      </c>
      <c r="E14" t="str">
        <f>mapActivity.xml!M18</f>
        <v>23-26</v>
      </c>
      <c r="F14">
        <f>mapActivity.xml!N18</f>
        <v>1620</v>
      </c>
      <c r="G14">
        <f>mapActivity.xml!S18</f>
        <v>0</v>
      </c>
    </row>
    <row r="15" spans="1:7">
      <c r="A15">
        <f>mapActivity.xml!A19</f>
        <v>14</v>
      </c>
      <c r="B15" t="str">
        <f>mapActivity.xml!B19</f>
        <v>艾达溶洞</v>
      </c>
      <c r="C15">
        <f>mapActivity.xml!D19</f>
        <v>1014</v>
      </c>
      <c r="D15" t="str">
        <f>mapActivity.xml!L19</f>
        <v>map/map_014.png</v>
      </c>
      <c r="E15" t="str">
        <f>mapActivity.xml!M19</f>
        <v>25-28</v>
      </c>
      <c r="F15">
        <f>mapActivity.xml!N19</f>
        <v>1610</v>
      </c>
      <c r="G15">
        <f>mapActivity.xml!S19</f>
        <v>0</v>
      </c>
    </row>
    <row r="16" spans="1:7">
      <c r="A16">
        <f>mapActivity.xml!A20</f>
        <v>15</v>
      </c>
      <c r="B16" t="str">
        <f>mapActivity.xml!B20</f>
        <v>城墙大门</v>
      </c>
      <c r="C16">
        <f>mapActivity.xml!D20</f>
        <v>1015</v>
      </c>
      <c r="D16" t="str">
        <f>mapActivity.xml!L20</f>
        <v>map/map_015.png</v>
      </c>
      <c r="E16" t="str">
        <f>mapActivity.xml!M20</f>
        <v>27-30</v>
      </c>
      <c r="F16">
        <f>mapActivity.xml!N20</f>
        <v>1600</v>
      </c>
      <c r="G16">
        <f>mapActivity.xml!S20</f>
        <v>0</v>
      </c>
    </row>
    <row r="17" spans="1:7">
      <c r="A17">
        <f>mapActivity.xml!A21</f>
        <v>16</v>
      </c>
      <c r="B17" t="str">
        <f>mapActivity.xml!B21</f>
        <v>城墙中部</v>
      </c>
      <c r="C17">
        <f>mapActivity.xml!D21</f>
        <v>1016</v>
      </c>
      <c r="D17" t="str">
        <f>mapActivity.xml!L21</f>
        <v>map/map_016.png</v>
      </c>
      <c r="E17" t="str">
        <f>mapActivity.xml!M21</f>
        <v>29-32</v>
      </c>
      <c r="F17">
        <f>mapActivity.xml!N21</f>
        <v>1739</v>
      </c>
      <c r="G17">
        <f>mapActivity.xml!S21</f>
        <v>0</v>
      </c>
    </row>
    <row r="18" spans="1:7">
      <c r="A18">
        <f>mapActivity.xml!A22</f>
        <v>17</v>
      </c>
      <c r="B18" t="str">
        <f>mapActivity.xml!B22</f>
        <v>凛风城</v>
      </c>
      <c r="C18">
        <f>mapActivity.xml!D22</f>
        <v>1017</v>
      </c>
      <c r="D18" t="str">
        <f>mapActivity.xml!L22</f>
        <v>map/map_017.png</v>
      </c>
      <c r="E18" t="str">
        <f>mapActivity.xml!M22</f>
        <v>31-34</v>
      </c>
      <c r="F18">
        <f>mapActivity.xml!N22</f>
        <v>1765</v>
      </c>
      <c r="G18">
        <f>mapActivity.xml!S22</f>
        <v>0</v>
      </c>
    </row>
    <row r="19" spans="1:7">
      <c r="A19">
        <f>mapActivity.xml!A23</f>
        <v>18</v>
      </c>
      <c r="B19" t="str">
        <f>mapActivity.xml!B23</f>
        <v>古达姆</v>
      </c>
      <c r="C19">
        <f>mapActivity.xml!D23</f>
        <v>1018</v>
      </c>
      <c r="D19" t="str">
        <f>mapActivity.xml!L23</f>
        <v>map/map_018.png</v>
      </c>
      <c r="E19" t="str">
        <f>mapActivity.xml!M23</f>
        <v>33-36</v>
      </c>
      <c r="F19">
        <f>mapActivity.xml!N23</f>
        <v>1791</v>
      </c>
      <c r="G19">
        <f>mapActivity.xml!S23</f>
        <v>0</v>
      </c>
    </row>
    <row r="20" spans="1:7">
      <c r="A20">
        <f>mapActivity.xml!A24</f>
        <v>19</v>
      </c>
      <c r="B20" t="str">
        <f>mapActivity.xml!B24</f>
        <v>密林实验室</v>
      </c>
      <c r="C20">
        <f>mapActivity.xml!D24</f>
        <v>1019</v>
      </c>
      <c r="D20" t="str">
        <f>mapActivity.xml!L24</f>
        <v>map/map_019.png</v>
      </c>
      <c r="E20" t="str">
        <f>mapActivity.xml!M24</f>
        <v>35-38</v>
      </c>
      <c r="F20">
        <f>mapActivity.xml!N24</f>
        <v>1816</v>
      </c>
      <c r="G20">
        <f>mapActivity.xml!S24</f>
        <v>0</v>
      </c>
    </row>
    <row r="21" spans="1:7">
      <c r="A21">
        <f>mapActivity.xml!A25</f>
        <v>20</v>
      </c>
      <c r="B21" t="str">
        <f>mapActivity.xml!B25</f>
        <v>北海圣坛</v>
      </c>
      <c r="C21">
        <f>mapActivity.xml!D25</f>
        <v>1020</v>
      </c>
      <c r="D21" t="str">
        <f>mapActivity.xml!L25</f>
        <v>map/map_020.png</v>
      </c>
      <c r="E21" t="str">
        <f>mapActivity.xml!M25</f>
        <v>37-40</v>
      </c>
      <c r="F21">
        <f>mapActivity.xml!N25</f>
        <v>1840</v>
      </c>
      <c r="G21">
        <f>mapActivity.xml!S25</f>
        <v>0</v>
      </c>
    </row>
    <row r="22" spans="1:7">
      <c r="A22">
        <f>mapActivity.xml!A26</f>
        <v>21</v>
      </c>
      <c r="B22" t="str">
        <f>mapActivity.xml!B26</f>
        <v>怒牙要塞</v>
      </c>
      <c r="C22">
        <f>mapActivity.xml!D26</f>
        <v>1021</v>
      </c>
      <c r="D22" t="str">
        <f>mapActivity.xml!L26</f>
        <v>map/map_021.png</v>
      </c>
      <c r="E22" t="str">
        <f>mapActivity.xml!M26</f>
        <v>39-42</v>
      </c>
      <c r="F22">
        <f>mapActivity.xml!N26</f>
        <v>1864</v>
      </c>
      <c r="G22">
        <f>mapActivity.xml!S26</f>
        <v>0</v>
      </c>
    </row>
    <row r="23" spans="1:7">
      <c r="A23">
        <f>mapActivity.xml!A27</f>
        <v>22</v>
      </c>
      <c r="B23" t="str">
        <f>mapActivity.xml!B27</f>
        <v>尘沙堡</v>
      </c>
      <c r="C23">
        <f>mapActivity.xml!D27</f>
        <v>1022</v>
      </c>
      <c r="D23" t="str">
        <f>mapActivity.xml!L27</f>
        <v>map/map_022.png</v>
      </c>
      <c r="E23" t="str">
        <f>mapActivity.xml!M27</f>
        <v>41-44</v>
      </c>
      <c r="F23">
        <f>mapActivity.xml!N27</f>
        <v>1888</v>
      </c>
      <c r="G23">
        <f>mapActivity.xml!S27</f>
        <v>0</v>
      </c>
    </row>
    <row r="24" spans="1:7">
      <c r="A24">
        <f>mapActivity.xml!A28</f>
        <v>23</v>
      </c>
      <c r="B24" t="str">
        <f>mapActivity.xml!B28</f>
        <v>潮汐遗迹</v>
      </c>
      <c r="C24">
        <f>mapActivity.xml!D28</f>
        <v>1023</v>
      </c>
      <c r="D24" t="str">
        <f>mapActivity.xml!L28</f>
        <v>map/map_023.png</v>
      </c>
      <c r="E24" t="str">
        <f>mapActivity.xml!M28</f>
        <v>43-46</v>
      </c>
      <c r="F24">
        <f>mapActivity.xml!N28</f>
        <v>1946</v>
      </c>
      <c r="G24">
        <f>mapActivity.xml!S28</f>
        <v>0</v>
      </c>
    </row>
    <row r="25" spans="1:7">
      <c r="A25">
        <f>mapActivity.xml!A29</f>
        <v>24</v>
      </c>
      <c r="B25" t="str">
        <f>mapActivity.xml!B29</f>
        <v>沐星城</v>
      </c>
      <c r="C25">
        <f>mapActivity.xml!D29</f>
        <v>1024</v>
      </c>
      <c r="D25" t="str">
        <f>mapActivity.xml!L29</f>
        <v>map/map_024.png</v>
      </c>
      <c r="E25" t="str">
        <f>mapActivity.xml!M29</f>
        <v>45-48</v>
      </c>
      <c r="F25">
        <f>mapActivity.xml!N29</f>
        <v>2004</v>
      </c>
      <c r="G25">
        <f>mapActivity.xml!S29</f>
        <v>0</v>
      </c>
    </row>
    <row r="26" spans="1:7">
      <c r="A26">
        <f>mapActivity.xml!A30</f>
        <v>25</v>
      </c>
      <c r="B26" t="str">
        <f>mapActivity.xml!B30</f>
        <v>猛犸之墓</v>
      </c>
      <c r="C26">
        <f>mapActivity.xml!D30</f>
        <v>1025</v>
      </c>
      <c r="D26" t="str">
        <f>mapActivity.xml!L30</f>
        <v>map/map_025.png</v>
      </c>
      <c r="E26" t="str">
        <f>mapActivity.xml!M30</f>
        <v>47-50</v>
      </c>
      <c r="F26">
        <f>mapActivity.xml!N30</f>
        <v>2004</v>
      </c>
      <c r="G26">
        <f>mapActivity.xml!S30</f>
        <v>0</v>
      </c>
    </row>
    <row r="27" spans="1:7">
      <c r="A27">
        <f>mapActivity.xml!A31</f>
        <v>26</v>
      </c>
      <c r="B27" t="str">
        <f>mapActivity.xml!B31</f>
        <v>霜狼十字</v>
      </c>
      <c r="C27">
        <f>mapActivity.xml!D31</f>
        <v>1026</v>
      </c>
      <c r="D27" t="str">
        <f>mapActivity.xml!L31</f>
        <v>map/map_026.png</v>
      </c>
      <c r="E27" t="str">
        <f>mapActivity.xml!M31</f>
        <v>49-52</v>
      </c>
      <c r="F27">
        <f>mapActivity.xml!N31</f>
        <v>2004</v>
      </c>
      <c r="G27">
        <f>mapActivity.xml!S31</f>
        <v>0</v>
      </c>
    </row>
    <row r="28" spans="1:7">
      <c r="A28">
        <f>mapActivity.xml!A32</f>
        <v>27</v>
      </c>
      <c r="B28" t="str">
        <f>mapActivity.xml!B32</f>
        <v>时光壁炉</v>
      </c>
      <c r="C28">
        <f>mapActivity.xml!D32</f>
        <v>1027</v>
      </c>
      <c r="D28" t="str">
        <f>mapActivity.xml!L32</f>
        <v>map/map_027.png</v>
      </c>
      <c r="E28" t="str">
        <f>mapActivity.xml!M32</f>
        <v>51-54</v>
      </c>
      <c r="F28">
        <f>mapActivity.xml!N32</f>
        <v>2054</v>
      </c>
      <c r="G28">
        <f>mapActivity.xml!S32</f>
        <v>0</v>
      </c>
    </row>
    <row r="29" spans="1:7">
      <c r="A29">
        <f>mapActivity.xml!A33</f>
        <v>28</v>
      </c>
      <c r="B29" t="str">
        <f>mapActivity.xml!B33</f>
        <v>折月城堡</v>
      </c>
      <c r="C29">
        <f>mapActivity.xml!D33</f>
        <v>1028</v>
      </c>
      <c r="D29" t="str">
        <f>mapActivity.xml!L33</f>
        <v>map/map_028.png</v>
      </c>
      <c r="E29" t="str">
        <f>mapActivity.xml!M33</f>
        <v>53-56</v>
      </c>
      <c r="F29">
        <f>mapActivity.xml!N33</f>
        <v>2054</v>
      </c>
      <c r="G29">
        <f>mapActivity.xml!S33</f>
        <v>0</v>
      </c>
    </row>
    <row r="30" spans="1:7">
      <c r="A30">
        <f>mapActivity.xml!A34</f>
        <v>29</v>
      </c>
      <c r="B30" t="str">
        <f>mapActivity.xml!B34</f>
        <v>暗魔塔</v>
      </c>
      <c r="C30">
        <f>mapActivity.xml!D34</f>
        <v>1029</v>
      </c>
      <c r="D30" t="str">
        <f>mapActivity.xml!L34</f>
        <v>map/map_029.png</v>
      </c>
      <c r="E30" t="str">
        <f>mapActivity.xml!M34</f>
        <v>55_58</v>
      </c>
      <c r="F30">
        <f>mapActivity.xml!N34</f>
        <v>2054</v>
      </c>
      <c r="G30">
        <f>mapActivity.xml!S34</f>
        <v>0</v>
      </c>
    </row>
    <row r="31" spans="1:7">
      <c r="A31">
        <f>mapActivity.xml!A35</f>
        <v>30</v>
      </c>
      <c r="B31" t="str">
        <f>mapActivity.xml!B35</f>
        <v>流金大厅</v>
      </c>
      <c r="C31">
        <f>mapActivity.xml!D35</f>
        <v>1030</v>
      </c>
      <c r="D31" t="str">
        <f>mapActivity.xml!L35</f>
        <v>map/map_030.png</v>
      </c>
      <c r="E31" t="str">
        <f>mapActivity.xml!M35</f>
        <v>57-60</v>
      </c>
      <c r="F31">
        <f>mapActivity.xml!N35</f>
        <v>2054</v>
      </c>
      <c r="G31">
        <f>mapActivity.xml!S35</f>
        <v>0</v>
      </c>
    </row>
    <row r="32" spans="1:7">
      <c r="A32">
        <f>mapActivity.xml!A36</f>
        <v>31</v>
      </c>
      <c r="B32" t="str">
        <f>mapActivity.xml!B36</f>
        <v>塔姆丛林</v>
      </c>
      <c r="C32">
        <f>mapActivity.xml!D36</f>
        <v>1031</v>
      </c>
      <c r="D32" t="str">
        <f>mapActivity.xml!L36</f>
        <v>map/map_031.png</v>
      </c>
      <c r="E32" t="str">
        <f>mapActivity.xml!M36</f>
        <v>59-62</v>
      </c>
      <c r="F32">
        <f>mapActivity.xml!N36</f>
        <v>2054</v>
      </c>
      <c r="G32">
        <f>mapActivity.xml!S36</f>
        <v>0</v>
      </c>
    </row>
    <row r="33" spans="1:7">
      <c r="A33">
        <f>mapActivity.xml!A37</f>
        <v>32</v>
      </c>
      <c r="B33" t="str">
        <f>mapActivity.xml!B37</f>
        <v>十三王陵</v>
      </c>
      <c r="C33">
        <f>mapActivity.xml!D37</f>
        <v>1032</v>
      </c>
      <c r="D33" t="str">
        <f>mapActivity.xml!L37</f>
        <v>map/map_032.png</v>
      </c>
      <c r="E33" t="str">
        <f>mapActivity.xml!M37</f>
        <v>61-64</v>
      </c>
      <c r="F33">
        <f>mapActivity.xml!N37</f>
        <v>2054</v>
      </c>
      <c r="G33">
        <f>mapActivity.xml!S37</f>
        <v>0</v>
      </c>
    </row>
    <row r="34" spans="1:7">
      <c r="A34">
        <f>mapActivity.xml!A38</f>
        <v>33</v>
      </c>
      <c r="B34" t="str">
        <f>mapActivity.xml!B38</f>
        <v>巨木之森</v>
      </c>
      <c r="C34">
        <f>mapActivity.xml!D38</f>
        <v>1033</v>
      </c>
      <c r="D34" t="str">
        <f>mapActivity.xml!L38</f>
        <v>map/map_033.png</v>
      </c>
      <c r="E34" t="str">
        <f>mapActivity.xml!M38</f>
        <v>63-66</v>
      </c>
      <c r="F34">
        <f>mapActivity.xml!N38</f>
        <v>2054</v>
      </c>
      <c r="G34">
        <f>mapActivity.xml!S38</f>
        <v>0</v>
      </c>
    </row>
    <row r="35" spans="1:7">
      <c r="A35">
        <f>mapActivity.xml!A39</f>
        <v>34</v>
      </c>
      <c r="B35" t="str">
        <f>mapActivity.xml!B39</f>
        <v>红魔监狱</v>
      </c>
      <c r="C35">
        <f>mapActivity.xml!D39</f>
        <v>1034</v>
      </c>
      <c r="D35" t="str">
        <f>mapActivity.xml!L39</f>
        <v>map/map_034.png</v>
      </c>
      <c r="E35" t="str">
        <f>mapActivity.xml!M39</f>
        <v>65-68</v>
      </c>
      <c r="F35">
        <f>mapActivity.xml!N39</f>
        <v>2054</v>
      </c>
      <c r="G35">
        <f>mapActivity.xml!S39</f>
        <v>0</v>
      </c>
    </row>
    <row r="36" spans="1:7">
      <c r="A36">
        <f>mapActivity.xml!A40</f>
        <v>35</v>
      </c>
      <c r="B36" t="str">
        <f>mapActivity.xml!B40</f>
        <v>金砂堡</v>
      </c>
      <c r="C36">
        <f>mapActivity.xml!D40</f>
        <v>1035</v>
      </c>
      <c r="D36" t="str">
        <f>mapActivity.xml!L40</f>
        <v>map/map_035.png</v>
      </c>
      <c r="E36" t="str">
        <f>mapActivity.xml!M40</f>
        <v>67-70</v>
      </c>
      <c r="F36">
        <f>mapActivity.xml!N40</f>
        <v>2054</v>
      </c>
      <c r="G36">
        <f>mapActivity.xml!S40</f>
        <v>0</v>
      </c>
    </row>
    <row r="37" spans="1:7">
      <c r="A37">
        <f>mapActivity.xml!A41</f>
        <v>36</v>
      </c>
      <c r="B37" t="str">
        <f>mapActivity.xml!B41</f>
        <v>达雅之核</v>
      </c>
      <c r="C37">
        <f>mapActivity.xml!D41</f>
        <v>1036</v>
      </c>
      <c r="D37" t="str">
        <f>mapActivity.xml!L41</f>
        <v>map/map_036.png</v>
      </c>
      <c r="E37" t="str">
        <f>mapActivity.xml!M41</f>
        <v>69-72</v>
      </c>
      <c r="F37">
        <f>mapActivity.xml!N41</f>
        <v>2054</v>
      </c>
      <c r="G37">
        <f>mapActivity.xml!S41</f>
        <v>0</v>
      </c>
    </row>
    <row r="38" spans="1:7">
      <c r="A38">
        <f>mapActivity.xml!A42</f>
        <v>37</v>
      </c>
      <c r="B38" t="str">
        <f>mapActivity.xml!B42</f>
        <v>红谷绞肉机</v>
      </c>
      <c r="C38">
        <f>mapActivity.xml!D42</f>
        <v>1037</v>
      </c>
      <c r="D38" t="str">
        <f>mapActivity.xml!L42</f>
        <v>map/map_037.png</v>
      </c>
      <c r="E38" t="str">
        <f>mapActivity.xml!M42</f>
        <v>71-74</v>
      </c>
      <c r="F38">
        <f>mapActivity.xml!N42</f>
        <v>2150</v>
      </c>
      <c r="G38">
        <f>mapActivity.xml!S42</f>
        <v>0</v>
      </c>
    </row>
    <row r="39" spans="1:7">
      <c r="A39">
        <f>mapActivity.xml!A43</f>
        <v>38</v>
      </c>
      <c r="B39" t="str">
        <f>mapActivity.xml!B43</f>
        <v>埋骨地</v>
      </c>
      <c r="C39">
        <f>mapActivity.xml!D43</f>
        <v>1038</v>
      </c>
      <c r="D39" t="str">
        <f>mapActivity.xml!L43</f>
        <v>map/map_038.png</v>
      </c>
      <c r="E39" t="str">
        <f>mapActivity.xml!M43</f>
        <v>73-76</v>
      </c>
      <c r="F39">
        <f>mapActivity.xml!N43</f>
        <v>2170</v>
      </c>
      <c r="G39">
        <f>mapActivity.xml!S43</f>
        <v>0</v>
      </c>
    </row>
    <row r="40" spans="1:7">
      <c r="A40">
        <f>mapActivity.xml!A44</f>
        <v>39</v>
      </c>
      <c r="B40" t="str">
        <f>mapActivity.xml!B44</f>
        <v>流云古城</v>
      </c>
      <c r="C40">
        <f>mapActivity.xml!D44</f>
        <v>1039</v>
      </c>
      <c r="D40" t="str">
        <f>mapActivity.xml!L44</f>
        <v>map/map_039.png</v>
      </c>
      <c r="E40" t="str">
        <f>mapActivity.xml!M44</f>
        <v>75-78</v>
      </c>
      <c r="F40">
        <f>mapActivity.xml!N44</f>
        <v>2190</v>
      </c>
      <c r="G40">
        <f>mapActivity.xml!S44</f>
        <v>0</v>
      </c>
    </row>
    <row r="41" spans="1:7">
      <c r="A41">
        <f>mapActivity.xml!A45</f>
        <v>40</v>
      </c>
      <c r="B41" t="str">
        <f>mapActivity.xml!B45</f>
        <v>饮光崖</v>
      </c>
      <c r="C41">
        <f>mapActivity.xml!D45</f>
        <v>1040</v>
      </c>
      <c r="D41" t="str">
        <f>mapActivity.xml!L45</f>
        <v>map/map_040.png</v>
      </c>
      <c r="E41" t="str">
        <f>mapActivity.xml!M45</f>
        <v>77-80</v>
      </c>
      <c r="F41">
        <f>mapActivity.xml!N45</f>
        <v>2210</v>
      </c>
      <c r="G41">
        <f>mapActivity.xml!S45</f>
        <v>0</v>
      </c>
    </row>
    <row r="42" spans="1:7">
      <c r="A42">
        <f>mapActivity.xml!A46</f>
        <v>41</v>
      </c>
      <c r="B42" t="str">
        <f>mapActivity.xml!B46</f>
        <v>黑风要塞</v>
      </c>
      <c r="C42">
        <f>mapActivity.xml!D46</f>
        <v>1041</v>
      </c>
      <c r="D42" t="str">
        <f>mapActivity.xml!L46</f>
        <v>map/map_041.png</v>
      </c>
      <c r="E42" t="str">
        <f>mapActivity.xml!M46</f>
        <v>79-82</v>
      </c>
      <c r="F42">
        <f>mapActivity.xml!N46</f>
        <v>2230</v>
      </c>
      <c r="G42">
        <f>mapActivity.xml!S46</f>
        <v>0</v>
      </c>
    </row>
    <row r="43" spans="1:7">
      <c r="A43">
        <f>mapActivity.xml!A47</f>
        <v>42</v>
      </c>
      <c r="B43" t="str">
        <f>mapActivity.xml!B47</f>
        <v>努玛遗迹</v>
      </c>
      <c r="C43">
        <f>mapActivity.xml!D47</f>
        <v>1042</v>
      </c>
      <c r="D43" t="str">
        <f>mapActivity.xml!L47</f>
        <v>map/map_042.png</v>
      </c>
      <c r="E43" t="str">
        <f>mapActivity.xml!M47</f>
        <v>81-84</v>
      </c>
      <c r="F43">
        <f>mapActivity.xml!N47</f>
        <v>2250</v>
      </c>
      <c r="G43">
        <f>mapActivity.xml!S47</f>
        <v>0</v>
      </c>
    </row>
    <row r="44" spans="1:7">
      <c r="A44">
        <f>mapActivity.xml!A48</f>
        <v>43</v>
      </c>
      <c r="B44" t="str">
        <f>mapActivity.xml!B48</f>
        <v>幽灵大厅</v>
      </c>
      <c r="C44">
        <f>mapActivity.xml!D48</f>
        <v>1043</v>
      </c>
      <c r="D44" t="str">
        <f>mapActivity.xml!L48</f>
        <v>map/map_043.png</v>
      </c>
      <c r="E44" t="str">
        <f>mapActivity.xml!M48</f>
        <v>83-86</v>
      </c>
      <c r="F44">
        <f>mapActivity.xml!N48</f>
        <v>2270</v>
      </c>
      <c r="G44">
        <f>mapActivity.xml!S48</f>
        <v>0</v>
      </c>
    </row>
    <row r="45" spans="1:7">
      <c r="A45">
        <f>mapActivity.xml!A49</f>
        <v>44</v>
      </c>
      <c r="B45" t="str">
        <f>mapActivity.xml!B49</f>
        <v>寒古山脉</v>
      </c>
      <c r="C45">
        <f>mapActivity.xml!D49</f>
        <v>1044</v>
      </c>
      <c r="D45" t="str">
        <f>mapActivity.xml!L49</f>
        <v>map/map_044.png</v>
      </c>
      <c r="E45" t="str">
        <f>mapActivity.xml!M49</f>
        <v>85-88</v>
      </c>
      <c r="F45">
        <f>mapActivity.xml!N49</f>
        <v>2290</v>
      </c>
      <c r="G45">
        <f>mapActivity.xml!S49</f>
        <v>0</v>
      </c>
    </row>
    <row r="46" spans="1:7">
      <c r="A46">
        <f>mapActivity.xml!A50</f>
        <v>45</v>
      </c>
      <c r="B46" t="str">
        <f>mapActivity.xml!B50</f>
        <v>铁卫雕像</v>
      </c>
      <c r="C46">
        <f>mapActivity.xml!D50</f>
        <v>1045</v>
      </c>
      <c r="D46" t="str">
        <f>mapActivity.xml!L50</f>
        <v>map/map_045.png</v>
      </c>
      <c r="E46" t="str">
        <f>mapActivity.xml!M50</f>
        <v>87-90</v>
      </c>
      <c r="F46">
        <f>mapActivity.xml!N50</f>
        <v>2310</v>
      </c>
      <c r="G46">
        <f>mapActivity.xml!S50</f>
        <v>0</v>
      </c>
    </row>
    <row r="47" spans="1:7">
      <c r="A47">
        <f>mapActivity.xml!A51</f>
        <v>46</v>
      </c>
      <c r="B47" t="str">
        <f>mapActivity.xml!B51</f>
        <v>喋血之门</v>
      </c>
      <c r="C47">
        <f>mapActivity.xml!D51</f>
        <v>1046</v>
      </c>
      <c r="D47" t="str">
        <f>mapActivity.xml!L51</f>
        <v>map/map_046.png</v>
      </c>
      <c r="E47" t="str">
        <f>mapActivity.xml!M51</f>
        <v>89-92</v>
      </c>
      <c r="F47">
        <f>mapActivity.xml!N51</f>
        <v>2330</v>
      </c>
      <c r="G47">
        <f>mapActivity.xml!S51</f>
        <v>0</v>
      </c>
    </row>
    <row r="48" spans="1:7">
      <c r="A48">
        <f>mapActivity.xml!A52</f>
        <v>47</v>
      </c>
      <c r="B48" t="str">
        <f>mapActivity.xml!B52</f>
        <v>苦塔</v>
      </c>
      <c r="C48">
        <f>mapActivity.xml!D52</f>
        <v>1047</v>
      </c>
      <c r="D48" t="str">
        <f>mapActivity.xml!L52</f>
        <v>map/map_047.png</v>
      </c>
      <c r="E48" t="str">
        <f>mapActivity.xml!M52</f>
        <v>91-94</v>
      </c>
      <c r="F48">
        <f>mapActivity.xml!N52</f>
        <v>2350</v>
      </c>
      <c r="G48">
        <f>mapActivity.xml!S52</f>
        <v>0</v>
      </c>
    </row>
    <row r="49" spans="1:7">
      <c r="A49">
        <f>mapActivity.xml!A53</f>
        <v>48</v>
      </c>
      <c r="B49" t="str">
        <f>mapActivity.xml!B53</f>
        <v>雪路之庭</v>
      </c>
      <c r="C49">
        <f>mapActivity.xml!D53</f>
        <v>1048</v>
      </c>
      <c r="D49" t="str">
        <f>mapActivity.xml!L53</f>
        <v>map/map_048.png</v>
      </c>
      <c r="E49" t="str">
        <f>mapActivity.xml!M53</f>
        <v>93-96</v>
      </c>
      <c r="F49">
        <f>mapActivity.xml!N53</f>
        <v>2370</v>
      </c>
      <c r="G49">
        <f>mapActivity.xml!S53</f>
        <v>0</v>
      </c>
    </row>
    <row r="50" spans="1:7">
      <c r="A50">
        <f>mapActivity.xml!A54</f>
        <v>49</v>
      </c>
      <c r="B50" t="str">
        <f>mapActivity.xml!B54</f>
        <v>幽魂小径</v>
      </c>
      <c r="C50">
        <f>mapActivity.xml!D54</f>
        <v>1049</v>
      </c>
      <c r="D50" t="str">
        <f>mapActivity.xml!L54</f>
        <v>map/map_049.png</v>
      </c>
      <c r="E50" t="str">
        <f>mapActivity.xml!M54</f>
        <v>95-98</v>
      </c>
      <c r="F50">
        <f>mapActivity.xml!N54</f>
        <v>2390</v>
      </c>
      <c r="G50">
        <f>mapActivity.xml!S54</f>
        <v>0</v>
      </c>
    </row>
    <row r="51" spans="1:7">
      <c r="A51">
        <f>mapActivity.xml!A55</f>
        <v>50</v>
      </c>
      <c r="B51" t="str">
        <f>mapActivity.xml!B55</f>
        <v>地狱之门</v>
      </c>
      <c r="C51">
        <f>mapActivity.xml!D55</f>
        <v>1050</v>
      </c>
      <c r="D51" t="str">
        <f>mapActivity.xml!L55</f>
        <v>map/map_050.png</v>
      </c>
      <c r="E51" t="str">
        <f>mapActivity.xml!M55</f>
        <v>97-100</v>
      </c>
      <c r="F51">
        <f>mapActivity.xml!N55</f>
        <v>2410</v>
      </c>
      <c r="G51">
        <f>mapActivity.xml!S55</f>
        <v>0</v>
      </c>
    </row>
    <row r="52" spans="1:7">
      <c r="A52">
        <f>mapActivity.xml!A56</f>
        <v>51</v>
      </c>
      <c r="B52" t="str">
        <f>mapActivity.xml!B56</f>
        <v>安塔恶魔之城</v>
      </c>
      <c r="C52">
        <f>mapActivity.xml!D56</f>
        <v>1051</v>
      </c>
      <c r="D52" t="str">
        <f>mapActivity.xml!L56</f>
        <v>map/map_051.png</v>
      </c>
      <c r="E52" t="str">
        <f>mapActivity.xml!M56</f>
        <v>98-101</v>
      </c>
      <c r="F52">
        <f>mapActivity.xml!N56</f>
        <v>2430</v>
      </c>
      <c r="G52">
        <f>mapActivity.xml!S56</f>
        <v>0</v>
      </c>
    </row>
    <row r="53" spans="1:7">
      <c r="A53">
        <f>mapActivity.xml!A57</f>
        <v>52</v>
      </c>
      <c r="B53" t="str">
        <f>mapActivity.xml!B57</f>
        <v>通天塔</v>
      </c>
      <c r="C53">
        <f>mapActivity.xml!D57</f>
        <v>1052</v>
      </c>
      <c r="D53" t="str">
        <f>mapActivity.xml!L57</f>
        <v>map/map_052.png</v>
      </c>
      <c r="E53" t="str">
        <f>mapActivity.xml!M57</f>
        <v>99-102</v>
      </c>
      <c r="F53">
        <f>mapActivity.xml!N57</f>
        <v>2450</v>
      </c>
      <c r="G53">
        <f>mapActivity.xml!S57</f>
        <v>0</v>
      </c>
    </row>
    <row r="54" spans="1:7">
      <c r="A54">
        <f>mapActivity.xml!A58</f>
        <v>103001</v>
      </c>
      <c r="B54" t="str">
        <f>mapActivity.xml!B58</f>
        <v>力量试炼（30）</v>
      </c>
      <c r="C54">
        <f>mapActivity.xml!D58</f>
        <v>0</v>
      </c>
      <c r="D54" t="str">
        <f>mapActivity.xml!L58</f>
        <v>map/map_001.png</v>
      </c>
      <c r="E54" t="str">
        <f>mapActivity.xml!M58</f>
        <v>1-3</v>
      </c>
      <c r="F54">
        <f>mapActivity.xml!N58</f>
        <v>920</v>
      </c>
      <c r="G54">
        <f>mapActivity.xml!S58</f>
        <v>1</v>
      </c>
    </row>
    <row r="55" spans="1:7">
      <c r="A55">
        <f>mapActivity.xml!A59</f>
        <v>103002</v>
      </c>
      <c r="B55" t="str">
        <f>mapActivity.xml!B59</f>
        <v>力量试炼（30）</v>
      </c>
      <c r="C55">
        <f>mapActivity.xml!D59</f>
        <v>0</v>
      </c>
      <c r="D55" t="str">
        <f>mapActivity.xml!L59</f>
        <v>map/map_001.png</v>
      </c>
      <c r="E55" t="str">
        <f>mapActivity.xml!M59</f>
        <v>1-3</v>
      </c>
      <c r="F55">
        <f>mapActivity.xml!N59</f>
        <v>920</v>
      </c>
      <c r="G55">
        <f>mapActivity.xml!S59</f>
        <v>1</v>
      </c>
    </row>
    <row r="56" spans="1:7">
      <c r="A56">
        <f>mapActivity.xml!A60</f>
        <v>103003</v>
      </c>
      <c r="B56" t="str">
        <f>mapActivity.xml!B60</f>
        <v>力量试炼（30）</v>
      </c>
      <c r="C56">
        <f>mapActivity.xml!D60</f>
        <v>0</v>
      </c>
      <c r="D56" t="str">
        <f>mapActivity.xml!L60</f>
        <v>map/map_001.png</v>
      </c>
      <c r="E56" t="str">
        <f>mapActivity.xml!M60</f>
        <v>1-3</v>
      </c>
      <c r="F56">
        <f>mapActivity.xml!N60</f>
        <v>920</v>
      </c>
      <c r="G56">
        <f>mapActivity.xml!S60</f>
        <v>1</v>
      </c>
    </row>
    <row r="57" spans="1:7">
      <c r="A57">
        <f>mapActivity.xml!A61</f>
        <v>103004</v>
      </c>
      <c r="B57" t="str">
        <f>mapActivity.xml!B61</f>
        <v>力量试炼（30）</v>
      </c>
      <c r="C57">
        <f>mapActivity.xml!D61</f>
        <v>0</v>
      </c>
      <c r="D57" t="str">
        <f>mapActivity.xml!L61</f>
        <v>map/map_001.png</v>
      </c>
      <c r="E57" t="str">
        <f>mapActivity.xml!M61</f>
        <v>1-3</v>
      </c>
      <c r="F57">
        <f>mapActivity.xml!N61</f>
        <v>920</v>
      </c>
      <c r="G57">
        <f>mapActivity.xml!S61</f>
        <v>1</v>
      </c>
    </row>
    <row r="58" spans="1:7">
      <c r="A58">
        <f>mapActivity.xml!A62</f>
        <v>103005</v>
      </c>
      <c r="B58" t="str">
        <f>mapActivity.xml!B62</f>
        <v>力量试炼（30）</v>
      </c>
      <c r="C58">
        <f>mapActivity.xml!D62</f>
        <v>0</v>
      </c>
      <c r="D58" t="str">
        <f>mapActivity.xml!L62</f>
        <v>map/map_001.png</v>
      </c>
      <c r="E58" t="str">
        <f>mapActivity.xml!M62</f>
        <v>1-3</v>
      </c>
      <c r="F58">
        <f>mapActivity.xml!N62</f>
        <v>920</v>
      </c>
      <c r="G58">
        <f>mapActivity.xml!S62</f>
        <v>1</v>
      </c>
    </row>
    <row r="59" spans="1:7">
      <c r="A59">
        <f>mapActivity.xml!A63</f>
        <v>103006</v>
      </c>
      <c r="B59" t="str">
        <f>mapActivity.xml!B63</f>
        <v>力量试炼（30）</v>
      </c>
      <c r="C59">
        <f>mapActivity.xml!D63</f>
        <v>0</v>
      </c>
      <c r="D59" t="str">
        <f>mapActivity.xml!L63</f>
        <v>map/map_001.png</v>
      </c>
      <c r="E59" t="str">
        <f>mapActivity.xml!M63</f>
        <v>1-3</v>
      </c>
      <c r="F59">
        <f>mapActivity.xml!N63</f>
        <v>920</v>
      </c>
      <c r="G59">
        <f>mapActivity.xml!S63</f>
        <v>1</v>
      </c>
    </row>
    <row r="60" spans="1:7">
      <c r="A60">
        <f>mapActivity.xml!A64</f>
        <v>103007</v>
      </c>
      <c r="B60" t="str">
        <f>mapActivity.xml!B64</f>
        <v>力量试炼（30）</v>
      </c>
      <c r="C60">
        <f>mapActivity.xml!D64</f>
        <v>0</v>
      </c>
      <c r="D60" t="str">
        <f>mapActivity.xml!L64</f>
        <v>map/map_001.png</v>
      </c>
      <c r="E60" t="str">
        <f>mapActivity.xml!M64</f>
        <v>1-3</v>
      </c>
      <c r="F60">
        <f>mapActivity.xml!N64</f>
        <v>920</v>
      </c>
      <c r="G60">
        <f>mapActivity.xml!S64</f>
        <v>1</v>
      </c>
    </row>
    <row r="61" spans="1:7">
      <c r="A61">
        <f>mapActivity.xml!A65</f>
        <v>103008</v>
      </c>
      <c r="B61" t="str">
        <f>mapActivity.xml!B65</f>
        <v>力量试炼（30）</v>
      </c>
      <c r="C61">
        <f>mapActivity.xml!D65</f>
        <v>0</v>
      </c>
      <c r="D61" t="str">
        <f>mapActivity.xml!L65</f>
        <v>map/map_001.png</v>
      </c>
      <c r="E61" t="str">
        <f>mapActivity.xml!M65</f>
        <v>1-3</v>
      </c>
      <c r="F61">
        <f>mapActivity.xml!N65</f>
        <v>920</v>
      </c>
      <c r="G61">
        <f>mapActivity.xml!S65</f>
        <v>1</v>
      </c>
    </row>
    <row r="62" spans="1:7">
      <c r="A62">
        <f>mapActivity.xml!A66</f>
        <v>103009</v>
      </c>
      <c r="B62" t="str">
        <f>mapActivity.xml!B66</f>
        <v>力量试炼（30）</v>
      </c>
      <c r="C62">
        <f>mapActivity.xml!D66</f>
        <v>0</v>
      </c>
      <c r="D62" t="str">
        <f>mapActivity.xml!L66</f>
        <v>map/map_001.png</v>
      </c>
      <c r="E62" t="str">
        <f>mapActivity.xml!M66</f>
        <v>1-3</v>
      </c>
      <c r="F62">
        <f>mapActivity.xml!N66</f>
        <v>920</v>
      </c>
      <c r="G62">
        <f>mapActivity.xml!S66</f>
        <v>1</v>
      </c>
    </row>
    <row r="63" spans="1:7">
      <c r="A63">
        <f>mapActivity.xml!A67</f>
        <v>103501</v>
      </c>
      <c r="B63" t="str">
        <f>mapActivity.xml!B67</f>
        <v>力量试炼（35）</v>
      </c>
      <c r="C63">
        <f>mapActivity.xml!D67</f>
        <v>0</v>
      </c>
      <c r="D63" t="str">
        <f>mapActivity.xml!L67</f>
        <v>map/map_001.png</v>
      </c>
      <c r="E63" t="str">
        <f>mapActivity.xml!M67</f>
        <v>1-3</v>
      </c>
      <c r="F63">
        <f>mapActivity.xml!N67</f>
        <v>920</v>
      </c>
      <c r="G63">
        <f>mapActivity.xml!S67</f>
        <v>1</v>
      </c>
    </row>
    <row r="64" spans="1:7">
      <c r="A64">
        <f>mapActivity.xml!A68</f>
        <v>103502</v>
      </c>
      <c r="B64" t="str">
        <f>mapActivity.xml!B68</f>
        <v>力量试炼（35）</v>
      </c>
      <c r="C64">
        <f>mapActivity.xml!D68</f>
        <v>0</v>
      </c>
      <c r="D64" t="str">
        <f>mapActivity.xml!L68</f>
        <v>map/map_001.png</v>
      </c>
      <c r="E64" t="str">
        <f>mapActivity.xml!M68</f>
        <v>1-3</v>
      </c>
      <c r="F64">
        <f>mapActivity.xml!N68</f>
        <v>920</v>
      </c>
      <c r="G64">
        <f>mapActivity.xml!S68</f>
        <v>1</v>
      </c>
    </row>
    <row r="65" spans="1:7">
      <c r="A65">
        <f>mapActivity.xml!A69</f>
        <v>103503</v>
      </c>
      <c r="B65" t="str">
        <f>mapActivity.xml!B69</f>
        <v>力量试炼（35）</v>
      </c>
      <c r="C65">
        <f>mapActivity.xml!D69</f>
        <v>0</v>
      </c>
      <c r="D65" t="str">
        <f>mapActivity.xml!L69</f>
        <v>map/map_001.png</v>
      </c>
      <c r="E65" t="str">
        <f>mapActivity.xml!M69</f>
        <v>1-3</v>
      </c>
      <c r="F65">
        <f>mapActivity.xml!N69</f>
        <v>920</v>
      </c>
      <c r="G65">
        <f>mapActivity.xml!S69</f>
        <v>1</v>
      </c>
    </row>
    <row r="66" spans="1:7">
      <c r="A66">
        <f>mapActivity.xml!A70</f>
        <v>103504</v>
      </c>
      <c r="B66" t="str">
        <f>mapActivity.xml!B70</f>
        <v>力量试炼（35）</v>
      </c>
      <c r="C66">
        <f>mapActivity.xml!D70</f>
        <v>0</v>
      </c>
      <c r="D66" t="str">
        <f>mapActivity.xml!L70</f>
        <v>map/map_001.png</v>
      </c>
      <c r="E66" t="str">
        <f>mapActivity.xml!M70</f>
        <v>1-3</v>
      </c>
      <c r="F66">
        <f>mapActivity.xml!N70</f>
        <v>920</v>
      </c>
      <c r="G66">
        <f>mapActivity.xml!S70</f>
        <v>1</v>
      </c>
    </row>
    <row r="67" spans="1:7">
      <c r="A67">
        <f>mapActivity.xml!A71</f>
        <v>103505</v>
      </c>
      <c r="B67" t="str">
        <f>mapActivity.xml!B71</f>
        <v>力量试炼（35）</v>
      </c>
      <c r="C67">
        <f>mapActivity.xml!D71</f>
        <v>0</v>
      </c>
      <c r="D67" t="str">
        <f>mapActivity.xml!L71</f>
        <v>map/map_001.png</v>
      </c>
      <c r="E67" t="str">
        <f>mapActivity.xml!M71</f>
        <v>1-3</v>
      </c>
      <c r="F67">
        <f>mapActivity.xml!N71</f>
        <v>920</v>
      </c>
      <c r="G67">
        <f>mapActivity.xml!S71</f>
        <v>1</v>
      </c>
    </row>
    <row r="68" spans="1:7">
      <c r="A68">
        <f>mapActivity.xml!A72</f>
        <v>103506</v>
      </c>
      <c r="B68" t="str">
        <f>mapActivity.xml!B72</f>
        <v>力量试炼（35）</v>
      </c>
      <c r="C68">
        <f>mapActivity.xml!D72</f>
        <v>0</v>
      </c>
      <c r="D68" t="str">
        <f>mapActivity.xml!L72</f>
        <v>map/map_001.png</v>
      </c>
      <c r="E68" t="str">
        <f>mapActivity.xml!M72</f>
        <v>1-3</v>
      </c>
      <c r="F68">
        <f>mapActivity.xml!N72</f>
        <v>920</v>
      </c>
      <c r="G68">
        <f>mapActivity.xml!S72</f>
        <v>1</v>
      </c>
    </row>
    <row r="69" spans="1:7">
      <c r="A69">
        <f>mapActivity.xml!A73</f>
        <v>103507</v>
      </c>
      <c r="B69" t="str">
        <f>mapActivity.xml!B73</f>
        <v>力量试炼（35）</v>
      </c>
      <c r="C69">
        <f>mapActivity.xml!D73</f>
        <v>0</v>
      </c>
      <c r="D69" t="str">
        <f>mapActivity.xml!L73</f>
        <v>map/map_001.png</v>
      </c>
      <c r="E69" t="str">
        <f>mapActivity.xml!M73</f>
        <v>1-3</v>
      </c>
      <c r="F69">
        <f>mapActivity.xml!N73</f>
        <v>920</v>
      </c>
      <c r="G69">
        <f>mapActivity.xml!S73</f>
        <v>1</v>
      </c>
    </row>
    <row r="70" spans="1:7">
      <c r="A70">
        <f>mapActivity.xml!A74</f>
        <v>103508</v>
      </c>
      <c r="B70" t="str">
        <f>mapActivity.xml!B74</f>
        <v>力量试炼（35）</v>
      </c>
      <c r="C70">
        <f>mapActivity.xml!D74</f>
        <v>0</v>
      </c>
      <c r="D70" t="str">
        <f>mapActivity.xml!L74</f>
        <v>map/map_001.png</v>
      </c>
      <c r="E70" t="str">
        <f>mapActivity.xml!M74</f>
        <v>1-3</v>
      </c>
      <c r="F70">
        <f>mapActivity.xml!N74</f>
        <v>920</v>
      </c>
      <c r="G70">
        <f>mapActivity.xml!S74</f>
        <v>1</v>
      </c>
    </row>
    <row r="71" spans="1:7">
      <c r="A71">
        <f>mapActivity.xml!A75</f>
        <v>103509</v>
      </c>
      <c r="B71" t="str">
        <f>mapActivity.xml!B75</f>
        <v>力量试炼（35）</v>
      </c>
      <c r="C71">
        <f>mapActivity.xml!D75</f>
        <v>0</v>
      </c>
      <c r="D71" t="str">
        <f>mapActivity.xml!L75</f>
        <v>map/map_001.png</v>
      </c>
      <c r="E71" t="str">
        <f>mapActivity.xml!M75</f>
        <v>1-3</v>
      </c>
      <c r="F71">
        <f>mapActivity.xml!N75</f>
        <v>920</v>
      </c>
      <c r="G71">
        <f>mapActivity.xml!S75</f>
        <v>1</v>
      </c>
    </row>
    <row r="72" spans="1:7">
      <c r="A72">
        <f>mapActivity.xml!A76</f>
        <v>104001</v>
      </c>
      <c r="B72" t="str">
        <f>mapActivity.xml!B76</f>
        <v>力量试炼（40）</v>
      </c>
      <c r="C72">
        <f>mapActivity.xml!D76</f>
        <v>0</v>
      </c>
      <c r="D72" t="str">
        <f>mapActivity.xml!L76</f>
        <v>map/map_001.png</v>
      </c>
      <c r="E72" t="str">
        <f>mapActivity.xml!M76</f>
        <v>1-3</v>
      </c>
      <c r="F72">
        <f>mapActivity.xml!N76</f>
        <v>920</v>
      </c>
      <c r="G72">
        <f>mapActivity.xml!S76</f>
        <v>1</v>
      </c>
    </row>
    <row r="73" spans="1:7">
      <c r="A73">
        <f>mapActivity.xml!A77</f>
        <v>104002</v>
      </c>
      <c r="B73" t="str">
        <f>mapActivity.xml!B77</f>
        <v>力量试炼（40）</v>
      </c>
      <c r="C73">
        <f>mapActivity.xml!D77</f>
        <v>0</v>
      </c>
      <c r="D73" t="str">
        <f>mapActivity.xml!L77</f>
        <v>map/map_001.png</v>
      </c>
      <c r="E73" t="str">
        <f>mapActivity.xml!M77</f>
        <v>1-3</v>
      </c>
      <c r="F73">
        <f>mapActivity.xml!N77</f>
        <v>920</v>
      </c>
      <c r="G73">
        <f>mapActivity.xml!S77</f>
        <v>1</v>
      </c>
    </row>
    <row r="74" spans="1:7">
      <c r="A74">
        <f>mapActivity.xml!A78</f>
        <v>104003</v>
      </c>
      <c r="B74" t="str">
        <f>mapActivity.xml!B78</f>
        <v>力量试炼（40）</v>
      </c>
      <c r="C74">
        <f>mapActivity.xml!D78</f>
        <v>0</v>
      </c>
      <c r="D74" t="str">
        <f>mapActivity.xml!L78</f>
        <v>map/map_001.png</v>
      </c>
      <c r="E74" t="str">
        <f>mapActivity.xml!M78</f>
        <v>1-3</v>
      </c>
      <c r="F74">
        <f>mapActivity.xml!N78</f>
        <v>920</v>
      </c>
      <c r="G74">
        <f>mapActivity.xml!S78</f>
        <v>1</v>
      </c>
    </row>
    <row r="75" spans="1:7">
      <c r="A75">
        <f>mapActivity.xml!A79</f>
        <v>104004</v>
      </c>
      <c r="B75" t="str">
        <f>mapActivity.xml!B79</f>
        <v>力量试炼（40）</v>
      </c>
      <c r="C75">
        <f>mapActivity.xml!D79</f>
        <v>0</v>
      </c>
      <c r="D75" t="str">
        <f>mapActivity.xml!L79</f>
        <v>map/map_001.png</v>
      </c>
      <c r="E75" t="str">
        <f>mapActivity.xml!M79</f>
        <v>1-3</v>
      </c>
      <c r="F75">
        <f>mapActivity.xml!N79</f>
        <v>920</v>
      </c>
      <c r="G75">
        <f>mapActivity.xml!S79</f>
        <v>1</v>
      </c>
    </row>
    <row r="76" spans="1:7">
      <c r="A76">
        <f>mapActivity.xml!A80</f>
        <v>104005</v>
      </c>
      <c r="B76" t="str">
        <f>mapActivity.xml!B80</f>
        <v>力量试炼（40）</v>
      </c>
      <c r="C76">
        <f>mapActivity.xml!D80</f>
        <v>0</v>
      </c>
      <c r="D76" t="str">
        <f>mapActivity.xml!L80</f>
        <v>map/map_001.png</v>
      </c>
      <c r="E76" t="str">
        <f>mapActivity.xml!M80</f>
        <v>1-3</v>
      </c>
      <c r="F76">
        <f>mapActivity.xml!N80</f>
        <v>920</v>
      </c>
      <c r="G76">
        <f>mapActivity.xml!S80</f>
        <v>1</v>
      </c>
    </row>
    <row r="77" spans="1:7">
      <c r="A77">
        <f>mapActivity.xml!A81</f>
        <v>104006</v>
      </c>
      <c r="B77" t="str">
        <f>mapActivity.xml!B81</f>
        <v>力量试炼（40）</v>
      </c>
      <c r="C77">
        <f>mapActivity.xml!D81</f>
        <v>0</v>
      </c>
      <c r="D77" t="str">
        <f>mapActivity.xml!L81</f>
        <v>map/map_001.png</v>
      </c>
      <c r="E77" t="str">
        <f>mapActivity.xml!M81</f>
        <v>1-3</v>
      </c>
      <c r="F77">
        <f>mapActivity.xml!N81</f>
        <v>920</v>
      </c>
      <c r="G77">
        <f>mapActivity.xml!S81</f>
        <v>1</v>
      </c>
    </row>
    <row r="78" spans="1:7">
      <c r="A78">
        <f>mapActivity.xml!A82</f>
        <v>104007</v>
      </c>
      <c r="B78" t="str">
        <f>mapActivity.xml!B82</f>
        <v>力量试炼（40）</v>
      </c>
      <c r="C78">
        <f>mapActivity.xml!D82</f>
        <v>0</v>
      </c>
      <c r="D78" t="str">
        <f>mapActivity.xml!L82</f>
        <v>map/map_001.png</v>
      </c>
      <c r="E78" t="str">
        <f>mapActivity.xml!M82</f>
        <v>1-3</v>
      </c>
      <c r="F78">
        <f>mapActivity.xml!N82</f>
        <v>920</v>
      </c>
      <c r="G78">
        <f>mapActivity.xml!S82</f>
        <v>1</v>
      </c>
    </row>
    <row r="79" spans="1:7">
      <c r="A79">
        <f>mapActivity.xml!A83</f>
        <v>104008</v>
      </c>
      <c r="B79" t="str">
        <f>mapActivity.xml!B83</f>
        <v>力量试炼（40）</v>
      </c>
      <c r="C79">
        <f>mapActivity.xml!D83</f>
        <v>0</v>
      </c>
      <c r="D79" t="str">
        <f>mapActivity.xml!L83</f>
        <v>map/map_001.png</v>
      </c>
      <c r="E79" t="str">
        <f>mapActivity.xml!M83</f>
        <v>1-3</v>
      </c>
      <c r="F79">
        <f>mapActivity.xml!N83</f>
        <v>920</v>
      </c>
      <c r="G79">
        <f>mapActivity.xml!S83</f>
        <v>1</v>
      </c>
    </row>
    <row r="80" spans="1:7">
      <c r="A80">
        <f>mapActivity.xml!A84</f>
        <v>104009</v>
      </c>
      <c r="B80" t="str">
        <f>mapActivity.xml!B84</f>
        <v>力量试炼（40）</v>
      </c>
      <c r="C80">
        <f>mapActivity.xml!D84</f>
        <v>0</v>
      </c>
      <c r="D80" t="str">
        <f>mapActivity.xml!L84</f>
        <v>map/map_001.png</v>
      </c>
      <c r="E80" t="str">
        <f>mapActivity.xml!M84</f>
        <v>1-3</v>
      </c>
      <c r="F80">
        <f>mapActivity.xml!N84</f>
        <v>920</v>
      </c>
      <c r="G80">
        <f>mapActivity.xml!S84</f>
        <v>1</v>
      </c>
    </row>
    <row r="81" spans="1:7">
      <c r="A81">
        <f>mapActivity.xml!A85</f>
        <v>104501</v>
      </c>
      <c r="B81" t="str">
        <f>mapActivity.xml!B85</f>
        <v>力量试炼（45）</v>
      </c>
      <c r="C81">
        <f>mapActivity.xml!D85</f>
        <v>0</v>
      </c>
      <c r="D81" t="str">
        <f>mapActivity.xml!L85</f>
        <v>map/map_001.png</v>
      </c>
      <c r="E81" t="str">
        <f>mapActivity.xml!M85</f>
        <v>1-3</v>
      </c>
      <c r="F81">
        <f>mapActivity.xml!N85</f>
        <v>920</v>
      </c>
      <c r="G81">
        <f>mapActivity.xml!S85</f>
        <v>1</v>
      </c>
    </row>
    <row r="82" spans="1:7">
      <c r="A82">
        <f>mapActivity.xml!A86</f>
        <v>104502</v>
      </c>
      <c r="B82" t="str">
        <f>mapActivity.xml!B86</f>
        <v>力量试炼（45）</v>
      </c>
      <c r="C82">
        <f>mapActivity.xml!D86</f>
        <v>0</v>
      </c>
      <c r="D82" t="str">
        <f>mapActivity.xml!L86</f>
        <v>map/map_001.png</v>
      </c>
      <c r="E82" t="str">
        <f>mapActivity.xml!M86</f>
        <v>1-3</v>
      </c>
      <c r="F82">
        <f>mapActivity.xml!N86</f>
        <v>920</v>
      </c>
      <c r="G82">
        <f>mapActivity.xml!S86</f>
        <v>1</v>
      </c>
    </row>
    <row r="83" spans="1:7">
      <c r="A83">
        <f>mapActivity.xml!A87</f>
        <v>104503</v>
      </c>
      <c r="B83" t="str">
        <f>mapActivity.xml!B87</f>
        <v>力量试炼（45）</v>
      </c>
      <c r="C83">
        <f>mapActivity.xml!D87</f>
        <v>0</v>
      </c>
      <c r="D83" t="str">
        <f>mapActivity.xml!L87</f>
        <v>map/map_001.png</v>
      </c>
      <c r="E83" t="str">
        <f>mapActivity.xml!M87</f>
        <v>1-3</v>
      </c>
      <c r="F83">
        <f>mapActivity.xml!N87</f>
        <v>920</v>
      </c>
      <c r="G83">
        <f>mapActivity.xml!S87</f>
        <v>1</v>
      </c>
    </row>
    <row r="84" spans="1:7">
      <c r="A84">
        <f>mapActivity.xml!A88</f>
        <v>104504</v>
      </c>
      <c r="B84" t="str">
        <f>mapActivity.xml!B88</f>
        <v>力量试炼（45）</v>
      </c>
      <c r="C84">
        <f>mapActivity.xml!D88</f>
        <v>0</v>
      </c>
      <c r="D84" t="str">
        <f>mapActivity.xml!L88</f>
        <v>map/map_001.png</v>
      </c>
      <c r="E84" t="str">
        <f>mapActivity.xml!M88</f>
        <v>1-3</v>
      </c>
      <c r="F84">
        <f>mapActivity.xml!N88</f>
        <v>920</v>
      </c>
      <c r="G84">
        <f>mapActivity.xml!S88</f>
        <v>1</v>
      </c>
    </row>
    <row r="85" spans="1:7">
      <c r="A85">
        <f>mapActivity.xml!A89</f>
        <v>104505</v>
      </c>
      <c r="B85" t="str">
        <f>mapActivity.xml!B89</f>
        <v>力量试炼（45）</v>
      </c>
      <c r="C85">
        <f>mapActivity.xml!D89</f>
        <v>0</v>
      </c>
      <c r="D85" t="str">
        <f>mapActivity.xml!L89</f>
        <v>map/map_001.png</v>
      </c>
      <c r="E85" t="str">
        <f>mapActivity.xml!M89</f>
        <v>1-3</v>
      </c>
      <c r="F85">
        <f>mapActivity.xml!N89</f>
        <v>920</v>
      </c>
      <c r="G85">
        <f>mapActivity.xml!S89</f>
        <v>1</v>
      </c>
    </row>
    <row r="86" spans="1:7">
      <c r="A86">
        <f>mapActivity.xml!A90</f>
        <v>104506</v>
      </c>
      <c r="B86" t="str">
        <f>mapActivity.xml!B90</f>
        <v>力量试炼（45）</v>
      </c>
      <c r="C86">
        <f>mapActivity.xml!D90</f>
        <v>0</v>
      </c>
      <c r="D86" t="str">
        <f>mapActivity.xml!L90</f>
        <v>map/map_001.png</v>
      </c>
      <c r="E86" t="str">
        <f>mapActivity.xml!M90</f>
        <v>1-3</v>
      </c>
      <c r="F86">
        <f>mapActivity.xml!N90</f>
        <v>920</v>
      </c>
      <c r="G86">
        <f>mapActivity.xml!S90</f>
        <v>1</v>
      </c>
    </row>
    <row r="87" spans="1:7">
      <c r="A87">
        <f>mapActivity.xml!A91</f>
        <v>104507</v>
      </c>
      <c r="B87" t="str">
        <f>mapActivity.xml!B91</f>
        <v>力量试炼（45）</v>
      </c>
      <c r="C87">
        <f>mapActivity.xml!D91</f>
        <v>0</v>
      </c>
      <c r="D87" t="str">
        <f>mapActivity.xml!L91</f>
        <v>map/map_001.png</v>
      </c>
      <c r="E87" t="str">
        <f>mapActivity.xml!M91</f>
        <v>1-3</v>
      </c>
      <c r="F87">
        <f>mapActivity.xml!N91</f>
        <v>920</v>
      </c>
      <c r="G87">
        <f>mapActivity.xml!S91</f>
        <v>1</v>
      </c>
    </row>
    <row r="88" spans="1:7">
      <c r="A88">
        <f>mapActivity.xml!A92</f>
        <v>104508</v>
      </c>
      <c r="B88" t="str">
        <f>mapActivity.xml!B92</f>
        <v>力量试炼（45）</v>
      </c>
      <c r="C88">
        <f>mapActivity.xml!D92</f>
        <v>0</v>
      </c>
      <c r="D88" t="str">
        <f>mapActivity.xml!L92</f>
        <v>map/map_001.png</v>
      </c>
      <c r="E88" t="str">
        <f>mapActivity.xml!M92</f>
        <v>1-3</v>
      </c>
      <c r="F88">
        <f>mapActivity.xml!N92</f>
        <v>920</v>
      </c>
      <c r="G88">
        <f>mapActivity.xml!S92</f>
        <v>1</v>
      </c>
    </row>
    <row r="89" spans="1:7">
      <c r="A89">
        <f>mapActivity.xml!A93</f>
        <v>104509</v>
      </c>
      <c r="B89" t="str">
        <f>mapActivity.xml!B93</f>
        <v>力量试炼（45）</v>
      </c>
      <c r="C89">
        <f>mapActivity.xml!D93</f>
        <v>0</v>
      </c>
      <c r="D89" t="str">
        <f>mapActivity.xml!L93</f>
        <v>map/map_001.png</v>
      </c>
      <c r="E89" t="str">
        <f>mapActivity.xml!M93</f>
        <v>1-3</v>
      </c>
      <c r="F89">
        <f>mapActivity.xml!N93</f>
        <v>920</v>
      </c>
      <c r="G89">
        <f>mapActivity.xml!S93</f>
        <v>1</v>
      </c>
    </row>
    <row r="90" spans="1:7">
      <c r="A90">
        <f>mapActivity.xml!A94</f>
        <v>105001</v>
      </c>
      <c r="B90" t="str">
        <f>mapActivity.xml!B94</f>
        <v>力量试炼（50）</v>
      </c>
      <c r="C90">
        <f>mapActivity.xml!D94</f>
        <v>0</v>
      </c>
      <c r="D90" t="str">
        <f>mapActivity.xml!L94</f>
        <v>map/map_001.png</v>
      </c>
      <c r="E90" t="str">
        <f>mapActivity.xml!M94</f>
        <v>1-3</v>
      </c>
      <c r="F90">
        <f>mapActivity.xml!N94</f>
        <v>920</v>
      </c>
      <c r="G90">
        <f>mapActivity.xml!S94</f>
        <v>1</v>
      </c>
    </row>
    <row r="91" spans="1:7">
      <c r="A91">
        <f>mapActivity.xml!A95</f>
        <v>105002</v>
      </c>
      <c r="B91" t="str">
        <f>mapActivity.xml!B95</f>
        <v>力量试炼（50）</v>
      </c>
      <c r="C91">
        <f>mapActivity.xml!D95</f>
        <v>0</v>
      </c>
      <c r="D91" t="str">
        <f>mapActivity.xml!L95</f>
        <v>map/map_001.png</v>
      </c>
      <c r="E91" t="str">
        <f>mapActivity.xml!M95</f>
        <v>1-3</v>
      </c>
      <c r="F91">
        <f>mapActivity.xml!N95</f>
        <v>920</v>
      </c>
      <c r="G91">
        <f>mapActivity.xml!S95</f>
        <v>1</v>
      </c>
    </row>
    <row r="92" spans="1:7">
      <c r="A92">
        <f>mapActivity.xml!A96</f>
        <v>105003</v>
      </c>
      <c r="B92" t="str">
        <f>mapActivity.xml!B96</f>
        <v>力量试炼（50）</v>
      </c>
      <c r="C92">
        <f>mapActivity.xml!D96</f>
        <v>0</v>
      </c>
      <c r="D92" t="str">
        <f>mapActivity.xml!L96</f>
        <v>map/map_001.png</v>
      </c>
      <c r="E92" t="str">
        <f>mapActivity.xml!M96</f>
        <v>1-3</v>
      </c>
      <c r="F92">
        <f>mapActivity.xml!N96</f>
        <v>920</v>
      </c>
      <c r="G92">
        <f>mapActivity.xml!S96</f>
        <v>1</v>
      </c>
    </row>
    <row r="93" spans="1:7">
      <c r="A93">
        <f>mapActivity.xml!A97</f>
        <v>105004</v>
      </c>
      <c r="B93" t="str">
        <f>mapActivity.xml!B97</f>
        <v>力量试炼（50）</v>
      </c>
      <c r="C93">
        <f>mapActivity.xml!D97</f>
        <v>0</v>
      </c>
      <c r="D93" t="str">
        <f>mapActivity.xml!L97</f>
        <v>map/map_001.png</v>
      </c>
      <c r="E93" t="str">
        <f>mapActivity.xml!M97</f>
        <v>1-3</v>
      </c>
      <c r="F93">
        <f>mapActivity.xml!N97</f>
        <v>920</v>
      </c>
      <c r="G93">
        <f>mapActivity.xml!S97</f>
        <v>1</v>
      </c>
    </row>
    <row r="94" spans="1:7">
      <c r="A94">
        <f>mapActivity.xml!A98</f>
        <v>105005</v>
      </c>
      <c r="B94" t="str">
        <f>mapActivity.xml!B98</f>
        <v>力量试炼（50）</v>
      </c>
      <c r="C94">
        <f>mapActivity.xml!D98</f>
        <v>0</v>
      </c>
      <c r="D94" t="str">
        <f>mapActivity.xml!L98</f>
        <v>map/map_001.png</v>
      </c>
      <c r="E94" t="str">
        <f>mapActivity.xml!M98</f>
        <v>1-3</v>
      </c>
      <c r="F94">
        <f>mapActivity.xml!N98</f>
        <v>920</v>
      </c>
      <c r="G94">
        <f>mapActivity.xml!S98</f>
        <v>1</v>
      </c>
    </row>
    <row r="95" spans="1:7">
      <c r="A95">
        <f>mapActivity.xml!A99</f>
        <v>105006</v>
      </c>
      <c r="B95" t="str">
        <f>mapActivity.xml!B99</f>
        <v>力量试炼（50）</v>
      </c>
      <c r="C95">
        <f>mapActivity.xml!D99</f>
        <v>0</v>
      </c>
      <c r="D95" t="str">
        <f>mapActivity.xml!L99</f>
        <v>map/map_001.png</v>
      </c>
      <c r="E95" t="str">
        <f>mapActivity.xml!M99</f>
        <v>1-3</v>
      </c>
      <c r="F95">
        <f>mapActivity.xml!N99</f>
        <v>920</v>
      </c>
      <c r="G95">
        <f>mapActivity.xml!S99</f>
        <v>1</v>
      </c>
    </row>
    <row r="96" spans="1:7">
      <c r="A96">
        <f>mapActivity.xml!A100</f>
        <v>105007</v>
      </c>
      <c r="B96" t="str">
        <f>mapActivity.xml!B100</f>
        <v>力量试炼（50）</v>
      </c>
      <c r="C96">
        <f>mapActivity.xml!D100</f>
        <v>0</v>
      </c>
      <c r="D96" t="str">
        <f>mapActivity.xml!L100</f>
        <v>map/map_001.png</v>
      </c>
      <c r="E96" t="str">
        <f>mapActivity.xml!M100</f>
        <v>1-3</v>
      </c>
      <c r="F96">
        <f>mapActivity.xml!N100</f>
        <v>920</v>
      </c>
      <c r="G96">
        <f>mapActivity.xml!S100</f>
        <v>1</v>
      </c>
    </row>
    <row r="97" spans="1:7">
      <c r="A97">
        <f>mapActivity.xml!A101</f>
        <v>105008</v>
      </c>
      <c r="B97" t="str">
        <f>mapActivity.xml!B101</f>
        <v>力量试炼（50）</v>
      </c>
      <c r="C97">
        <f>mapActivity.xml!D101</f>
        <v>0</v>
      </c>
      <c r="D97" t="str">
        <f>mapActivity.xml!L101</f>
        <v>map/map_001.png</v>
      </c>
      <c r="E97" t="str">
        <f>mapActivity.xml!M101</f>
        <v>1-3</v>
      </c>
      <c r="F97">
        <f>mapActivity.xml!N101</f>
        <v>920</v>
      </c>
      <c r="G97">
        <f>mapActivity.xml!S101</f>
        <v>1</v>
      </c>
    </row>
    <row r="98" spans="1:7">
      <c r="A98">
        <f>mapActivity.xml!A102</f>
        <v>105009</v>
      </c>
      <c r="B98" t="str">
        <f>mapActivity.xml!B102</f>
        <v>力量试炼（50）</v>
      </c>
      <c r="C98">
        <f>mapActivity.xml!D102</f>
        <v>0</v>
      </c>
      <c r="D98" t="str">
        <f>mapActivity.xml!L102</f>
        <v>map/map_001.png</v>
      </c>
      <c r="E98" t="str">
        <f>mapActivity.xml!M102</f>
        <v>1-3</v>
      </c>
      <c r="F98">
        <f>mapActivity.xml!N102</f>
        <v>920</v>
      </c>
      <c r="G98">
        <f>mapActivity.xml!S102</f>
        <v>1</v>
      </c>
    </row>
    <row r="99" spans="1:7">
      <c r="A99">
        <f>mapActivity.xml!A103</f>
        <v>105501</v>
      </c>
      <c r="B99" t="str">
        <f>mapActivity.xml!B103</f>
        <v>力量试炼（55）</v>
      </c>
      <c r="C99">
        <f>mapActivity.xml!D103</f>
        <v>0</v>
      </c>
      <c r="D99" t="str">
        <f>mapActivity.xml!L103</f>
        <v>map/map_001.png</v>
      </c>
      <c r="E99" t="str">
        <f>mapActivity.xml!M103</f>
        <v>1-3</v>
      </c>
      <c r="F99">
        <f>mapActivity.xml!N103</f>
        <v>920</v>
      </c>
      <c r="G99">
        <f>mapActivity.xml!S103</f>
        <v>1</v>
      </c>
    </row>
    <row r="100" spans="1:7">
      <c r="A100">
        <f>mapActivity.xml!A104</f>
        <v>105502</v>
      </c>
      <c r="B100" t="str">
        <f>mapActivity.xml!B104</f>
        <v>力量试炼（55）</v>
      </c>
      <c r="C100">
        <f>mapActivity.xml!D104</f>
        <v>0</v>
      </c>
      <c r="D100" t="str">
        <f>mapActivity.xml!L104</f>
        <v>map/map_001.png</v>
      </c>
      <c r="E100" t="str">
        <f>mapActivity.xml!M104</f>
        <v>1-3</v>
      </c>
      <c r="F100">
        <f>mapActivity.xml!N104</f>
        <v>920</v>
      </c>
      <c r="G100">
        <f>mapActivity.xml!S104</f>
        <v>1</v>
      </c>
    </row>
    <row r="101" spans="1:7">
      <c r="A101">
        <f>mapActivity.xml!A105</f>
        <v>105503</v>
      </c>
      <c r="B101" t="str">
        <f>mapActivity.xml!B105</f>
        <v>力量试炼（55）</v>
      </c>
      <c r="C101">
        <f>mapActivity.xml!D105</f>
        <v>0</v>
      </c>
      <c r="D101" t="str">
        <f>mapActivity.xml!L105</f>
        <v>map/map_001.png</v>
      </c>
      <c r="E101" t="str">
        <f>mapActivity.xml!M105</f>
        <v>1-3</v>
      </c>
      <c r="F101">
        <f>mapActivity.xml!N105</f>
        <v>920</v>
      </c>
      <c r="G101">
        <f>mapActivity.xml!S105</f>
        <v>1</v>
      </c>
    </row>
    <row r="102" spans="1:7">
      <c r="A102">
        <f>mapActivity.xml!A106</f>
        <v>105504</v>
      </c>
      <c r="B102" t="str">
        <f>mapActivity.xml!B106</f>
        <v>力量试炼（55）</v>
      </c>
      <c r="C102">
        <f>mapActivity.xml!D106</f>
        <v>0</v>
      </c>
      <c r="D102" t="str">
        <f>mapActivity.xml!L106</f>
        <v>map/map_001.png</v>
      </c>
      <c r="E102" t="str">
        <f>mapActivity.xml!M106</f>
        <v>1-3</v>
      </c>
      <c r="F102">
        <f>mapActivity.xml!N106</f>
        <v>920</v>
      </c>
      <c r="G102">
        <f>mapActivity.xml!S106</f>
        <v>1</v>
      </c>
    </row>
    <row r="103" spans="1:7">
      <c r="A103">
        <f>mapActivity.xml!A107</f>
        <v>105505</v>
      </c>
      <c r="B103" t="str">
        <f>mapActivity.xml!B107</f>
        <v>力量试炼（55）</v>
      </c>
      <c r="C103">
        <f>mapActivity.xml!D107</f>
        <v>0</v>
      </c>
      <c r="D103" t="str">
        <f>mapActivity.xml!L107</f>
        <v>map/map_001.png</v>
      </c>
      <c r="E103" t="str">
        <f>mapActivity.xml!M107</f>
        <v>1-3</v>
      </c>
      <c r="F103">
        <f>mapActivity.xml!N107</f>
        <v>920</v>
      </c>
      <c r="G103">
        <f>mapActivity.xml!S107</f>
        <v>1</v>
      </c>
    </row>
    <row r="104" spans="1:7">
      <c r="A104">
        <f>mapActivity.xml!A108</f>
        <v>105506</v>
      </c>
      <c r="B104" t="str">
        <f>mapActivity.xml!B108</f>
        <v>力量试炼（55）</v>
      </c>
      <c r="C104">
        <f>mapActivity.xml!D108</f>
        <v>0</v>
      </c>
      <c r="D104" t="str">
        <f>mapActivity.xml!L108</f>
        <v>map/map_001.png</v>
      </c>
      <c r="E104" t="str">
        <f>mapActivity.xml!M108</f>
        <v>1-3</v>
      </c>
      <c r="F104">
        <f>mapActivity.xml!N108</f>
        <v>920</v>
      </c>
      <c r="G104">
        <f>mapActivity.xml!S108</f>
        <v>1</v>
      </c>
    </row>
    <row r="105" spans="1:7">
      <c r="A105">
        <f>mapActivity.xml!A109</f>
        <v>105507</v>
      </c>
      <c r="B105" t="str">
        <f>mapActivity.xml!B109</f>
        <v>力量试炼（55）</v>
      </c>
      <c r="C105">
        <f>mapActivity.xml!D109</f>
        <v>0</v>
      </c>
      <c r="D105" t="str">
        <f>mapActivity.xml!L109</f>
        <v>map/map_001.png</v>
      </c>
      <c r="E105" t="str">
        <f>mapActivity.xml!M109</f>
        <v>1-3</v>
      </c>
      <c r="F105">
        <f>mapActivity.xml!N109</f>
        <v>920</v>
      </c>
      <c r="G105">
        <f>mapActivity.xml!S109</f>
        <v>1</v>
      </c>
    </row>
    <row r="106" spans="1:7">
      <c r="A106">
        <f>mapActivity.xml!A110</f>
        <v>105508</v>
      </c>
      <c r="B106" t="str">
        <f>mapActivity.xml!B110</f>
        <v>力量试炼（55）</v>
      </c>
      <c r="C106">
        <f>mapActivity.xml!D110</f>
        <v>0</v>
      </c>
      <c r="D106" t="str">
        <f>mapActivity.xml!L110</f>
        <v>map/map_001.png</v>
      </c>
      <c r="E106" t="str">
        <f>mapActivity.xml!M110</f>
        <v>1-3</v>
      </c>
      <c r="F106">
        <f>mapActivity.xml!N110</f>
        <v>920</v>
      </c>
      <c r="G106">
        <f>mapActivity.xml!S110</f>
        <v>1</v>
      </c>
    </row>
    <row r="107" spans="1:7">
      <c r="A107">
        <f>mapActivity.xml!A111</f>
        <v>105509</v>
      </c>
      <c r="B107" t="str">
        <f>mapActivity.xml!B111</f>
        <v>力量试炼（55）</v>
      </c>
      <c r="C107">
        <f>mapActivity.xml!D111</f>
        <v>0</v>
      </c>
      <c r="D107" t="str">
        <f>mapActivity.xml!L111</f>
        <v>map/map_001.png</v>
      </c>
      <c r="E107" t="str">
        <f>mapActivity.xml!M111</f>
        <v>1-3</v>
      </c>
      <c r="F107">
        <f>mapActivity.xml!N111</f>
        <v>920</v>
      </c>
      <c r="G107">
        <f>mapActivity.xml!S111</f>
        <v>1</v>
      </c>
    </row>
    <row r="108" spans="1:7">
      <c r="A108">
        <f>mapActivity.xml!A112</f>
        <v>106001</v>
      </c>
      <c r="B108" t="str">
        <f>mapActivity.xml!B112</f>
        <v>勇气试炼（60）</v>
      </c>
      <c r="C108">
        <f>mapActivity.xml!D112</f>
        <v>0</v>
      </c>
      <c r="D108" t="str">
        <f>mapActivity.xml!L112</f>
        <v>map/map_001.png</v>
      </c>
      <c r="E108" t="str">
        <f>mapActivity.xml!M112</f>
        <v>1-3</v>
      </c>
      <c r="F108">
        <f>mapActivity.xml!N112</f>
        <v>920</v>
      </c>
      <c r="G108">
        <f>mapActivity.xml!S112</f>
        <v>1</v>
      </c>
    </row>
    <row r="109" spans="1:7">
      <c r="A109">
        <f>mapActivity.xml!A113</f>
        <v>106002</v>
      </c>
      <c r="B109" t="str">
        <f>mapActivity.xml!B113</f>
        <v>勇气试炼（60）</v>
      </c>
      <c r="C109">
        <f>mapActivity.xml!D113</f>
        <v>0</v>
      </c>
      <c r="D109" t="str">
        <f>mapActivity.xml!L113</f>
        <v>map/map_001.png</v>
      </c>
      <c r="E109" t="str">
        <f>mapActivity.xml!M113</f>
        <v>1-3</v>
      </c>
      <c r="F109">
        <f>mapActivity.xml!N113</f>
        <v>920</v>
      </c>
      <c r="G109">
        <f>mapActivity.xml!S113</f>
        <v>1</v>
      </c>
    </row>
    <row r="110" spans="1:7">
      <c r="A110">
        <f>mapActivity.xml!A114</f>
        <v>106003</v>
      </c>
      <c r="B110" t="str">
        <f>mapActivity.xml!B114</f>
        <v>勇气试炼（60）</v>
      </c>
      <c r="C110">
        <f>mapActivity.xml!D114</f>
        <v>0</v>
      </c>
      <c r="D110" t="str">
        <f>mapActivity.xml!L114</f>
        <v>map/map_001.png</v>
      </c>
      <c r="E110" t="str">
        <f>mapActivity.xml!M114</f>
        <v>1-3</v>
      </c>
      <c r="F110">
        <f>mapActivity.xml!N114</f>
        <v>920</v>
      </c>
      <c r="G110">
        <f>mapActivity.xml!S114</f>
        <v>1</v>
      </c>
    </row>
    <row r="111" spans="1:7">
      <c r="A111">
        <f>mapActivity.xml!A115</f>
        <v>106004</v>
      </c>
      <c r="B111" t="str">
        <f>mapActivity.xml!B115</f>
        <v>勇气试炼（60）</v>
      </c>
      <c r="C111">
        <f>mapActivity.xml!D115</f>
        <v>0</v>
      </c>
      <c r="D111" t="str">
        <f>mapActivity.xml!L115</f>
        <v>map/map_001.png</v>
      </c>
      <c r="E111" t="str">
        <f>mapActivity.xml!M115</f>
        <v>1-3</v>
      </c>
      <c r="F111">
        <f>mapActivity.xml!N115</f>
        <v>920</v>
      </c>
      <c r="G111">
        <f>mapActivity.xml!S115</f>
        <v>1</v>
      </c>
    </row>
    <row r="112" spans="1:7">
      <c r="A112">
        <f>mapActivity.xml!A116</f>
        <v>106005</v>
      </c>
      <c r="B112" t="str">
        <f>mapActivity.xml!B116</f>
        <v>勇气试炼（60）</v>
      </c>
      <c r="C112">
        <f>mapActivity.xml!D116</f>
        <v>0</v>
      </c>
      <c r="D112" t="str">
        <f>mapActivity.xml!L116</f>
        <v>map/map_001.png</v>
      </c>
      <c r="E112" t="str">
        <f>mapActivity.xml!M116</f>
        <v>1-3</v>
      </c>
      <c r="F112">
        <f>mapActivity.xml!N116</f>
        <v>920</v>
      </c>
      <c r="G112">
        <f>mapActivity.xml!S116</f>
        <v>1</v>
      </c>
    </row>
    <row r="113" spans="1:7">
      <c r="A113">
        <f>mapActivity.xml!A117</f>
        <v>106006</v>
      </c>
      <c r="B113" t="str">
        <f>mapActivity.xml!B117</f>
        <v>勇气试炼（60）</v>
      </c>
      <c r="C113">
        <f>mapActivity.xml!D117</f>
        <v>0</v>
      </c>
      <c r="D113" t="str">
        <f>mapActivity.xml!L117</f>
        <v>map/map_001.png</v>
      </c>
      <c r="E113" t="str">
        <f>mapActivity.xml!M117</f>
        <v>1-3</v>
      </c>
      <c r="F113">
        <f>mapActivity.xml!N117</f>
        <v>920</v>
      </c>
      <c r="G113">
        <f>mapActivity.xml!S117</f>
        <v>1</v>
      </c>
    </row>
    <row r="114" spans="1:7">
      <c r="A114">
        <f>mapActivity.xml!A118</f>
        <v>106007</v>
      </c>
      <c r="B114" t="str">
        <f>mapActivity.xml!B118</f>
        <v>勇气试炼（60）</v>
      </c>
      <c r="C114">
        <f>mapActivity.xml!D118</f>
        <v>0</v>
      </c>
      <c r="D114" t="str">
        <f>mapActivity.xml!L118</f>
        <v>map/map_001.png</v>
      </c>
      <c r="E114" t="str">
        <f>mapActivity.xml!M118</f>
        <v>1-3</v>
      </c>
      <c r="F114">
        <f>mapActivity.xml!N118</f>
        <v>920</v>
      </c>
      <c r="G114">
        <f>mapActivity.xml!S118</f>
        <v>1</v>
      </c>
    </row>
    <row r="115" spans="1:7">
      <c r="A115">
        <f>mapActivity.xml!A119</f>
        <v>106008</v>
      </c>
      <c r="B115" t="str">
        <f>mapActivity.xml!B119</f>
        <v>勇气试炼（60）</v>
      </c>
      <c r="C115">
        <f>mapActivity.xml!D119</f>
        <v>0</v>
      </c>
      <c r="D115" t="str">
        <f>mapActivity.xml!L119</f>
        <v>map/map_001.png</v>
      </c>
      <c r="E115" t="str">
        <f>mapActivity.xml!M119</f>
        <v>1-3</v>
      </c>
      <c r="F115">
        <f>mapActivity.xml!N119</f>
        <v>920</v>
      </c>
      <c r="G115">
        <f>mapActivity.xml!S119</f>
        <v>1</v>
      </c>
    </row>
    <row r="116" spans="1:7">
      <c r="A116">
        <f>mapActivity.xml!A120</f>
        <v>106009</v>
      </c>
      <c r="B116" t="str">
        <f>mapActivity.xml!B120</f>
        <v>勇气试炼（60）</v>
      </c>
      <c r="C116">
        <f>mapActivity.xml!D120</f>
        <v>0</v>
      </c>
      <c r="D116" t="str">
        <f>mapActivity.xml!L120</f>
        <v>map/map_001.png</v>
      </c>
      <c r="E116" t="str">
        <f>mapActivity.xml!M120</f>
        <v>1-3</v>
      </c>
      <c r="F116">
        <f>mapActivity.xml!N120</f>
        <v>920</v>
      </c>
      <c r="G116">
        <f>mapActivity.xml!S120</f>
        <v>1</v>
      </c>
    </row>
    <row r="117" spans="1:7">
      <c r="A117">
        <f>mapActivity.xml!A121</f>
        <v>106501</v>
      </c>
      <c r="B117" t="str">
        <f>mapActivity.xml!B121</f>
        <v>勇气试炼（65）</v>
      </c>
      <c r="C117">
        <f>mapActivity.xml!D121</f>
        <v>0</v>
      </c>
      <c r="D117" t="str">
        <f>mapActivity.xml!L121</f>
        <v>map/map_001.png</v>
      </c>
      <c r="E117" t="str">
        <f>mapActivity.xml!M121</f>
        <v>1-3</v>
      </c>
      <c r="F117">
        <f>mapActivity.xml!N121</f>
        <v>920</v>
      </c>
      <c r="G117">
        <f>mapActivity.xml!S121</f>
        <v>1</v>
      </c>
    </row>
    <row r="118" spans="1:7">
      <c r="A118">
        <f>mapActivity.xml!A122</f>
        <v>106502</v>
      </c>
      <c r="B118" t="str">
        <f>mapActivity.xml!B122</f>
        <v>勇气试炼（65）</v>
      </c>
      <c r="C118">
        <f>mapActivity.xml!D122</f>
        <v>0</v>
      </c>
      <c r="D118" t="str">
        <f>mapActivity.xml!L122</f>
        <v>map/map_001.png</v>
      </c>
      <c r="E118" t="str">
        <f>mapActivity.xml!M122</f>
        <v>1-3</v>
      </c>
      <c r="F118">
        <f>mapActivity.xml!N122</f>
        <v>920</v>
      </c>
      <c r="G118">
        <f>mapActivity.xml!S122</f>
        <v>1</v>
      </c>
    </row>
    <row r="119" spans="1:7">
      <c r="A119">
        <f>mapActivity.xml!A123</f>
        <v>106503</v>
      </c>
      <c r="B119" t="str">
        <f>mapActivity.xml!B123</f>
        <v>勇气试炼（65）</v>
      </c>
      <c r="C119">
        <f>mapActivity.xml!D123</f>
        <v>0</v>
      </c>
      <c r="D119" t="str">
        <f>mapActivity.xml!L123</f>
        <v>map/map_001.png</v>
      </c>
      <c r="E119" t="str">
        <f>mapActivity.xml!M123</f>
        <v>1-3</v>
      </c>
      <c r="F119">
        <f>mapActivity.xml!N123</f>
        <v>920</v>
      </c>
      <c r="G119">
        <f>mapActivity.xml!S123</f>
        <v>1</v>
      </c>
    </row>
    <row r="120" spans="1:7">
      <c r="A120">
        <f>mapActivity.xml!A124</f>
        <v>106504</v>
      </c>
      <c r="B120" t="str">
        <f>mapActivity.xml!B124</f>
        <v>勇气试炼（65）</v>
      </c>
      <c r="C120">
        <f>mapActivity.xml!D124</f>
        <v>0</v>
      </c>
      <c r="D120" t="str">
        <f>mapActivity.xml!L124</f>
        <v>map/map_001.png</v>
      </c>
      <c r="E120" t="str">
        <f>mapActivity.xml!M124</f>
        <v>1-3</v>
      </c>
      <c r="F120">
        <f>mapActivity.xml!N124</f>
        <v>920</v>
      </c>
      <c r="G120">
        <f>mapActivity.xml!S124</f>
        <v>1</v>
      </c>
    </row>
    <row r="121" spans="1:7">
      <c r="A121">
        <f>mapActivity.xml!A125</f>
        <v>106505</v>
      </c>
      <c r="B121" t="str">
        <f>mapActivity.xml!B125</f>
        <v>勇气试炼（65）</v>
      </c>
      <c r="C121">
        <f>mapActivity.xml!D125</f>
        <v>0</v>
      </c>
      <c r="D121" t="str">
        <f>mapActivity.xml!L125</f>
        <v>map/map_001.png</v>
      </c>
      <c r="E121" t="str">
        <f>mapActivity.xml!M125</f>
        <v>1-3</v>
      </c>
      <c r="F121">
        <f>mapActivity.xml!N125</f>
        <v>920</v>
      </c>
      <c r="G121">
        <f>mapActivity.xml!S125</f>
        <v>1</v>
      </c>
    </row>
    <row r="122" spans="1:7">
      <c r="A122">
        <f>mapActivity.xml!A126</f>
        <v>106506</v>
      </c>
      <c r="B122" t="str">
        <f>mapActivity.xml!B126</f>
        <v>勇气试炼（65）</v>
      </c>
      <c r="C122">
        <f>mapActivity.xml!D126</f>
        <v>0</v>
      </c>
      <c r="D122" t="str">
        <f>mapActivity.xml!L126</f>
        <v>map/map_001.png</v>
      </c>
      <c r="E122" t="str">
        <f>mapActivity.xml!M126</f>
        <v>1-3</v>
      </c>
      <c r="F122">
        <f>mapActivity.xml!N126</f>
        <v>920</v>
      </c>
      <c r="G122">
        <f>mapActivity.xml!S126</f>
        <v>1</v>
      </c>
    </row>
    <row r="123" spans="1:7">
      <c r="A123">
        <f>mapActivity.xml!A127</f>
        <v>106507</v>
      </c>
      <c r="B123" t="str">
        <f>mapActivity.xml!B127</f>
        <v>勇气试炼（65）</v>
      </c>
      <c r="C123">
        <f>mapActivity.xml!D127</f>
        <v>0</v>
      </c>
      <c r="D123" t="str">
        <f>mapActivity.xml!L127</f>
        <v>map/map_001.png</v>
      </c>
      <c r="E123" t="str">
        <f>mapActivity.xml!M127</f>
        <v>1-3</v>
      </c>
      <c r="F123">
        <f>mapActivity.xml!N127</f>
        <v>920</v>
      </c>
      <c r="G123">
        <f>mapActivity.xml!S127</f>
        <v>1</v>
      </c>
    </row>
    <row r="124" spans="1:7">
      <c r="A124">
        <f>mapActivity.xml!A128</f>
        <v>106508</v>
      </c>
      <c r="B124" t="str">
        <f>mapActivity.xml!B128</f>
        <v>勇气试炼（65）</v>
      </c>
      <c r="C124">
        <f>mapActivity.xml!D128</f>
        <v>0</v>
      </c>
      <c r="D124" t="str">
        <f>mapActivity.xml!L128</f>
        <v>map/map_001.png</v>
      </c>
      <c r="E124" t="str">
        <f>mapActivity.xml!M128</f>
        <v>1-3</v>
      </c>
      <c r="F124">
        <f>mapActivity.xml!N128</f>
        <v>920</v>
      </c>
      <c r="G124">
        <f>mapActivity.xml!S128</f>
        <v>1</v>
      </c>
    </row>
    <row r="125" spans="1:7">
      <c r="A125">
        <f>mapActivity.xml!A129</f>
        <v>106509</v>
      </c>
      <c r="B125" t="str">
        <f>mapActivity.xml!B129</f>
        <v>勇气试炼（65）</v>
      </c>
      <c r="C125">
        <f>mapActivity.xml!D129</f>
        <v>0</v>
      </c>
      <c r="D125" t="str">
        <f>mapActivity.xml!L129</f>
        <v>map/map_001.png</v>
      </c>
      <c r="E125" t="str">
        <f>mapActivity.xml!M129</f>
        <v>1-3</v>
      </c>
      <c r="F125">
        <f>mapActivity.xml!N129</f>
        <v>920</v>
      </c>
      <c r="G125">
        <f>mapActivity.xml!S129</f>
        <v>1</v>
      </c>
    </row>
    <row r="126" spans="1:7">
      <c r="A126">
        <f>mapActivity.xml!A130</f>
        <v>107001</v>
      </c>
      <c r="B126" t="str">
        <f>mapActivity.xml!B130</f>
        <v>勇气试炼（70）</v>
      </c>
      <c r="C126">
        <f>mapActivity.xml!D130</f>
        <v>0</v>
      </c>
      <c r="D126" t="str">
        <f>mapActivity.xml!L130</f>
        <v>map/map_001.png</v>
      </c>
      <c r="E126" t="str">
        <f>mapActivity.xml!M130</f>
        <v>1-3</v>
      </c>
      <c r="F126">
        <f>mapActivity.xml!N130</f>
        <v>920</v>
      </c>
      <c r="G126">
        <f>mapActivity.xml!S130</f>
        <v>1</v>
      </c>
    </row>
    <row r="127" spans="1:7">
      <c r="A127">
        <f>mapActivity.xml!A131</f>
        <v>107002</v>
      </c>
      <c r="B127" t="str">
        <f>mapActivity.xml!B131</f>
        <v>勇气试炼（70）</v>
      </c>
      <c r="C127">
        <f>mapActivity.xml!D131</f>
        <v>0</v>
      </c>
      <c r="D127" t="str">
        <f>mapActivity.xml!L131</f>
        <v>map/map_001.png</v>
      </c>
      <c r="E127" t="str">
        <f>mapActivity.xml!M131</f>
        <v>1-3</v>
      </c>
      <c r="F127">
        <f>mapActivity.xml!N131</f>
        <v>920</v>
      </c>
      <c r="G127">
        <f>mapActivity.xml!S131</f>
        <v>1</v>
      </c>
    </row>
    <row r="128" spans="1:7">
      <c r="A128">
        <f>mapActivity.xml!A132</f>
        <v>107003</v>
      </c>
      <c r="B128" t="str">
        <f>mapActivity.xml!B132</f>
        <v>勇气试炼（70）</v>
      </c>
      <c r="C128">
        <f>mapActivity.xml!D132</f>
        <v>0</v>
      </c>
      <c r="D128" t="str">
        <f>mapActivity.xml!L132</f>
        <v>map/map_001.png</v>
      </c>
      <c r="E128" t="str">
        <f>mapActivity.xml!M132</f>
        <v>1-3</v>
      </c>
      <c r="F128">
        <f>mapActivity.xml!N132</f>
        <v>920</v>
      </c>
      <c r="G128">
        <f>mapActivity.xml!S132</f>
        <v>1</v>
      </c>
    </row>
    <row r="129" spans="1:7">
      <c r="A129">
        <f>mapActivity.xml!A133</f>
        <v>107004</v>
      </c>
      <c r="B129" t="str">
        <f>mapActivity.xml!B133</f>
        <v>勇气试炼（70）</v>
      </c>
      <c r="C129">
        <f>mapActivity.xml!D133</f>
        <v>0</v>
      </c>
      <c r="D129" t="str">
        <f>mapActivity.xml!L133</f>
        <v>map/map_001.png</v>
      </c>
      <c r="E129" t="str">
        <f>mapActivity.xml!M133</f>
        <v>1-3</v>
      </c>
      <c r="F129">
        <f>mapActivity.xml!N133</f>
        <v>920</v>
      </c>
      <c r="G129">
        <f>mapActivity.xml!S133</f>
        <v>1</v>
      </c>
    </row>
    <row r="130" spans="1:7">
      <c r="A130">
        <f>mapActivity.xml!A134</f>
        <v>107005</v>
      </c>
      <c r="B130" t="str">
        <f>mapActivity.xml!B134</f>
        <v>勇气试炼（70）</v>
      </c>
      <c r="C130">
        <f>mapActivity.xml!D134</f>
        <v>0</v>
      </c>
      <c r="D130" t="str">
        <f>mapActivity.xml!L134</f>
        <v>map/map_001.png</v>
      </c>
      <c r="E130" t="str">
        <f>mapActivity.xml!M134</f>
        <v>1-3</v>
      </c>
      <c r="F130">
        <f>mapActivity.xml!N134</f>
        <v>920</v>
      </c>
      <c r="G130">
        <f>mapActivity.xml!S134</f>
        <v>1</v>
      </c>
    </row>
    <row r="131" spans="1:7">
      <c r="A131">
        <f>mapActivity.xml!A135</f>
        <v>107006</v>
      </c>
      <c r="B131" t="str">
        <f>mapActivity.xml!B135</f>
        <v>勇气试炼（70）</v>
      </c>
      <c r="C131">
        <f>mapActivity.xml!D135</f>
        <v>0</v>
      </c>
      <c r="D131" t="str">
        <f>mapActivity.xml!L135</f>
        <v>map/map_001.png</v>
      </c>
      <c r="E131" t="str">
        <f>mapActivity.xml!M135</f>
        <v>1-3</v>
      </c>
      <c r="F131">
        <f>mapActivity.xml!N135</f>
        <v>920</v>
      </c>
      <c r="G131">
        <f>mapActivity.xml!S135</f>
        <v>1</v>
      </c>
    </row>
    <row r="132" spans="1:7">
      <c r="A132">
        <f>mapActivity.xml!A136</f>
        <v>107007</v>
      </c>
      <c r="B132" t="str">
        <f>mapActivity.xml!B136</f>
        <v>勇气试炼（70）</v>
      </c>
      <c r="C132">
        <f>mapActivity.xml!D136</f>
        <v>0</v>
      </c>
      <c r="D132" t="str">
        <f>mapActivity.xml!L136</f>
        <v>map/map_001.png</v>
      </c>
      <c r="E132" t="str">
        <f>mapActivity.xml!M136</f>
        <v>1-3</v>
      </c>
      <c r="F132">
        <f>mapActivity.xml!N136</f>
        <v>920</v>
      </c>
      <c r="G132">
        <f>mapActivity.xml!S136</f>
        <v>1</v>
      </c>
    </row>
    <row r="133" spans="1:7">
      <c r="A133">
        <f>mapActivity.xml!A137</f>
        <v>107008</v>
      </c>
      <c r="B133" t="str">
        <f>mapActivity.xml!B137</f>
        <v>勇气试炼（70）</v>
      </c>
      <c r="C133">
        <f>mapActivity.xml!D137</f>
        <v>0</v>
      </c>
      <c r="D133" t="str">
        <f>mapActivity.xml!L137</f>
        <v>map/map_001.png</v>
      </c>
      <c r="E133" t="str">
        <f>mapActivity.xml!M137</f>
        <v>1-3</v>
      </c>
      <c r="F133">
        <f>mapActivity.xml!N137</f>
        <v>920</v>
      </c>
      <c r="G133">
        <f>mapActivity.xml!S137</f>
        <v>1</v>
      </c>
    </row>
    <row r="134" spans="1:7">
      <c r="A134">
        <f>mapActivity.xml!A138</f>
        <v>107009</v>
      </c>
      <c r="B134" t="str">
        <f>mapActivity.xml!B138</f>
        <v>勇气试炼（70）</v>
      </c>
      <c r="C134">
        <f>mapActivity.xml!D138</f>
        <v>0</v>
      </c>
      <c r="D134" t="str">
        <f>mapActivity.xml!L138</f>
        <v>map/map_001.png</v>
      </c>
      <c r="E134" t="str">
        <f>mapActivity.xml!M138</f>
        <v>1-3</v>
      </c>
      <c r="F134">
        <f>mapActivity.xml!N138</f>
        <v>920</v>
      </c>
      <c r="G134">
        <f>mapActivity.xml!S138</f>
        <v>1</v>
      </c>
    </row>
    <row r="135" spans="1:7">
      <c r="A135">
        <f>mapActivity.xml!A139</f>
        <v>107501</v>
      </c>
      <c r="B135" t="str">
        <f>mapActivity.xml!B139</f>
        <v>勇气试炼（75）</v>
      </c>
      <c r="C135">
        <f>mapActivity.xml!D139</f>
        <v>0</v>
      </c>
      <c r="D135" t="str">
        <f>mapActivity.xml!L139</f>
        <v>map/map_001.png</v>
      </c>
      <c r="E135" t="str">
        <f>mapActivity.xml!M139</f>
        <v>1-3</v>
      </c>
      <c r="F135">
        <f>mapActivity.xml!N139</f>
        <v>920</v>
      </c>
      <c r="G135">
        <f>mapActivity.xml!S139</f>
        <v>1</v>
      </c>
    </row>
    <row r="136" spans="1:7">
      <c r="A136">
        <f>mapActivity.xml!A140</f>
        <v>107502</v>
      </c>
      <c r="B136" t="str">
        <f>mapActivity.xml!B140</f>
        <v>勇气试炼（75）</v>
      </c>
      <c r="C136">
        <f>mapActivity.xml!D140</f>
        <v>0</v>
      </c>
      <c r="D136" t="str">
        <f>mapActivity.xml!L140</f>
        <v>map/map_001.png</v>
      </c>
      <c r="E136" t="str">
        <f>mapActivity.xml!M140</f>
        <v>1-3</v>
      </c>
      <c r="F136">
        <f>mapActivity.xml!N140</f>
        <v>920</v>
      </c>
      <c r="G136">
        <f>mapActivity.xml!S140</f>
        <v>1</v>
      </c>
    </row>
    <row r="137" spans="1:7">
      <c r="A137">
        <f>mapActivity.xml!A141</f>
        <v>107503</v>
      </c>
      <c r="B137" t="str">
        <f>mapActivity.xml!B141</f>
        <v>勇气试炼（75）</v>
      </c>
      <c r="C137">
        <f>mapActivity.xml!D141</f>
        <v>0</v>
      </c>
      <c r="D137" t="str">
        <f>mapActivity.xml!L141</f>
        <v>map/map_001.png</v>
      </c>
      <c r="E137" t="str">
        <f>mapActivity.xml!M141</f>
        <v>1-3</v>
      </c>
      <c r="F137">
        <f>mapActivity.xml!N141</f>
        <v>920</v>
      </c>
      <c r="G137">
        <f>mapActivity.xml!S141</f>
        <v>1</v>
      </c>
    </row>
    <row r="138" spans="1:7">
      <c r="A138">
        <f>mapActivity.xml!A142</f>
        <v>107504</v>
      </c>
      <c r="B138" t="str">
        <f>mapActivity.xml!B142</f>
        <v>勇气试炼（75）</v>
      </c>
      <c r="C138">
        <f>mapActivity.xml!D142</f>
        <v>0</v>
      </c>
      <c r="D138" t="str">
        <f>mapActivity.xml!L142</f>
        <v>map/map_001.png</v>
      </c>
      <c r="E138" t="str">
        <f>mapActivity.xml!M142</f>
        <v>1-3</v>
      </c>
      <c r="F138">
        <f>mapActivity.xml!N142</f>
        <v>920</v>
      </c>
      <c r="G138">
        <f>mapActivity.xml!S142</f>
        <v>1</v>
      </c>
    </row>
    <row r="139" spans="1:7">
      <c r="A139">
        <f>mapActivity.xml!A143</f>
        <v>107505</v>
      </c>
      <c r="B139" t="str">
        <f>mapActivity.xml!B143</f>
        <v>勇气试炼（75）</v>
      </c>
      <c r="C139">
        <f>mapActivity.xml!D143</f>
        <v>0</v>
      </c>
      <c r="D139" t="str">
        <f>mapActivity.xml!L143</f>
        <v>map/map_001.png</v>
      </c>
      <c r="E139" t="str">
        <f>mapActivity.xml!M143</f>
        <v>1-3</v>
      </c>
      <c r="F139">
        <f>mapActivity.xml!N143</f>
        <v>920</v>
      </c>
      <c r="G139">
        <f>mapActivity.xml!S143</f>
        <v>1</v>
      </c>
    </row>
    <row r="140" spans="1:7">
      <c r="A140">
        <f>mapActivity.xml!A144</f>
        <v>107506</v>
      </c>
      <c r="B140" t="str">
        <f>mapActivity.xml!B144</f>
        <v>勇气试炼（75）</v>
      </c>
      <c r="C140">
        <f>mapActivity.xml!D144</f>
        <v>0</v>
      </c>
      <c r="D140" t="str">
        <f>mapActivity.xml!L144</f>
        <v>map/map_001.png</v>
      </c>
      <c r="E140" t="str">
        <f>mapActivity.xml!M144</f>
        <v>1-3</v>
      </c>
      <c r="F140">
        <f>mapActivity.xml!N144</f>
        <v>920</v>
      </c>
      <c r="G140">
        <f>mapActivity.xml!S144</f>
        <v>1</v>
      </c>
    </row>
    <row r="141" spans="1:7">
      <c r="A141">
        <f>mapActivity.xml!A145</f>
        <v>107507</v>
      </c>
      <c r="B141" t="str">
        <f>mapActivity.xml!B145</f>
        <v>勇气试炼（75）</v>
      </c>
      <c r="C141">
        <f>mapActivity.xml!D145</f>
        <v>0</v>
      </c>
      <c r="D141" t="str">
        <f>mapActivity.xml!L145</f>
        <v>map/map_001.png</v>
      </c>
      <c r="E141" t="str">
        <f>mapActivity.xml!M145</f>
        <v>1-3</v>
      </c>
      <c r="F141">
        <f>mapActivity.xml!N145</f>
        <v>920</v>
      </c>
      <c r="G141">
        <f>mapActivity.xml!S145</f>
        <v>1</v>
      </c>
    </row>
    <row r="142" spans="1:7">
      <c r="A142">
        <f>mapActivity.xml!A146</f>
        <v>107508</v>
      </c>
      <c r="B142" t="str">
        <f>mapActivity.xml!B146</f>
        <v>勇气试炼（75）</v>
      </c>
      <c r="C142">
        <f>mapActivity.xml!D146</f>
        <v>0</v>
      </c>
      <c r="D142" t="str">
        <f>mapActivity.xml!L146</f>
        <v>map/map_001.png</v>
      </c>
      <c r="E142" t="str">
        <f>mapActivity.xml!M146</f>
        <v>1-3</v>
      </c>
      <c r="F142">
        <f>mapActivity.xml!N146</f>
        <v>920</v>
      </c>
      <c r="G142">
        <f>mapActivity.xml!S146</f>
        <v>1</v>
      </c>
    </row>
    <row r="143" spans="1:7">
      <c r="A143">
        <f>mapActivity.xml!A147</f>
        <v>107509</v>
      </c>
      <c r="B143" t="str">
        <f>mapActivity.xml!B147</f>
        <v>勇气试炼（75）</v>
      </c>
      <c r="C143">
        <f>mapActivity.xml!D147</f>
        <v>0</v>
      </c>
      <c r="D143" t="str">
        <f>mapActivity.xml!L147</f>
        <v>map/map_001.png</v>
      </c>
      <c r="E143" t="str">
        <f>mapActivity.xml!M147</f>
        <v>1-3</v>
      </c>
      <c r="F143">
        <f>mapActivity.xml!N147</f>
        <v>920</v>
      </c>
      <c r="G143">
        <f>mapActivity.xml!S147</f>
        <v>1</v>
      </c>
    </row>
    <row r="144" spans="1:7">
      <c r="A144">
        <f>mapActivity.xml!A148</f>
        <v>108001</v>
      </c>
      <c r="B144" t="str">
        <f>mapActivity.xml!B148</f>
        <v>勇气试炼（80）</v>
      </c>
      <c r="C144">
        <f>mapActivity.xml!D148</f>
        <v>0</v>
      </c>
      <c r="D144" t="str">
        <f>mapActivity.xml!L148</f>
        <v>map/map_001.png</v>
      </c>
      <c r="E144" t="str">
        <f>mapActivity.xml!M148</f>
        <v>1-3</v>
      </c>
      <c r="F144">
        <f>mapActivity.xml!N148</f>
        <v>920</v>
      </c>
      <c r="G144">
        <f>mapActivity.xml!S148</f>
        <v>1</v>
      </c>
    </row>
    <row r="145" spans="1:7">
      <c r="A145">
        <f>mapActivity.xml!A149</f>
        <v>108002</v>
      </c>
      <c r="B145" t="str">
        <f>mapActivity.xml!B149</f>
        <v>勇气试炼（80）</v>
      </c>
      <c r="C145">
        <f>mapActivity.xml!D149</f>
        <v>0</v>
      </c>
      <c r="D145" t="str">
        <f>mapActivity.xml!L149</f>
        <v>map/map_001.png</v>
      </c>
      <c r="E145" t="str">
        <f>mapActivity.xml!M149</f>
        <v>1-3</v>
      </c>
      <c r="F145">
        <f>mapActivity.xml!N149</f>
        <v>920</v>
      </c>
      <c r="G145">
        <f>mapActivity.xml!S149</f>
        <v>1</v>
      </c>
    </row>
    <row r="146" spans="1:7">
      <c r="A146">
        <f>mapActivity.xml!A150</f>
        <v>108003</v>
      </c>
      <c r="B146" t="str">
        <f>mapActivity.xml!B150</f>
        <v>勇气试炼（80）</v>
      </c>
      <c r="C146">
        <f>mapActivity.xml!D150</f>
        <v>0</v>
      </c>
      <c r="D146" t="str">
        <f>mapActivity.xml!L150</f>
        <v>map/map_001.png</v>
      </c>
      <c r="E146" t="str">
        <f>mapActivity.xml!M150</f>
        <v>1-3</v>
      </c>
      <c r="F146">
        <f>mapActivity.xml!N150</f>
        <v>920</v>
      </c>
      <c r="G146">
        <f>mapActivity.xml!S150</f>
        <v>1</v>
      </c>
    </row>
    <row r="147" spans="1:7">
      <c r="A147">
        <f>mapActivity.xml!A151</f>
        <v>108004</v>
      </c>
      <c r="B147" t="str">
        <f>mapActivity.xml!B151</f>
        <v>勇气试炼（80）</v>
      </c>
      <c r="C147">
        <f>mapActivity.xml!D151</f>
        <v>0</v>
      </c>
      <c r="D147" t="str">
        <f>mapActivity.xml!L151</f>
        <v>map/map_001.png</v>
      </c>
      <c r="E147" t="str">
        <f>mapActivity.xml!M151</f>
        <v>1-3</v>
      </c>
      <c r="F147">
        <f>mapActivity.xml!N151</f>
        <v>920</v>
      </c>
      <c r="G147">
        <f>mapActivity.xml!S151</f>
        <v>1</v>
      </c>
    </row>
    <row r="148" spans="1:7">
      <c r="A148">
        <f>mapActivity.xml!A152</f>
        <v>108005</v>
      </c>
      <c r="B148" t="str">
        <f>mapActivity.xml!B152</f>
        <v>勇气试炼（80）</v>
      </c>
      <c r="C148">
        <f>mapActivity.xml!D152</f>
        <v>0</v>
      </c>
      <c r="D148" t="str">
        <f>mapActivity.xml!L152</f>
        <v>map/map_001.png</v>
      </c>
      <c r="E148" t="str">
        <f>mapActivity.xml!M152</f>
        <v>1-3</v>
      </c>
      <c r="F148">
        <f>mapActivity.xml!N152</f>
        <v>920</v>
      </c>
      <c r="G148">
        <f>mapActivity.xml!S152</f>
        <v>1</v>
      </c>
    </row>
    <row r="149" spans="1:7">
      <c r="A149">
        <f>mapActivity.xml!A153</f>
        <v>108006</v>
      </c>
      <c r="B149" t="str">
        <f>mapActivity.xml!B153</f>
        <v>勇气试炼（80）</v>
      </c>
      <c r="C149">
        <f>mapActivity.xml!D153</f>
        <v>0</v>
      </c>
      <c r="D149" t="str">
        <f>mapActivity.xml!L153</f>
        <v>map/map_001.png</v>
      </c>
      <c r="E149" t="str">
        <f>mapActivity.xml!M153</f>
        <v>1-3</v>
      </c>
      <c r="F149">
        <f>mapActivity.xml!N153</f>
        <v>920</v>
      </c>
      <c r="G149">
        <f>mapActivity.xml!S153</f>
        <v>1</v>
      </c>
    </row>
    <row r="150" spans="1:7">
      <c r="A150">
        <f>mapActivity.xml!A154</f>
        <v>108007</v>
      </c>
      <c r="B150" t="str">
        <f>mapActivity.xml!B154</f>
        <v>勇气试炼（80）</v>
      </c>
      <c r="C150">
        <f>mapActivity.xml!D154</f>
        <v>0</v>
      </c>
      <c r="D150" t="str">
        <f>mapActivity.xml!L154</f>
        <v>map/map_001.png</v>
      </c>
      <c r="E150" t="str">
        <f>mapActivity.xml!M154</f>
        <v>1-3</v>
      </c>
      <c r="F150">
        <f>mapActivity.xml!N154</f>
        <v>920</v>
      </c>
      <c r="G150">
        <f>mapActivity.xml!S154</f>
        <v>1</v>
      </c>
    </row>
    <row r="151" spans="1:7">
      <c r="A151">
        <f>mapActivity.xml!A155</f>
        <v>108008</v>
      </c>
      <c r="B151" t="str">
        <f>mapActivity.xml!B155</f>
        <v>勇气试炼（80）</v>
      </c>
      <c r="C151">
        <f>mapActivity.xml!D155</f>
        <v>0</v>
      </c>
      <c r="D151" t="str">
        <f>mapActivity.xml!L155</f>
        <v>map/map_001.png</v>
      </c>
      <c r="E151" t="str">
        <f>mapActivity.xml!M155</f>
        <v>1-3</v>
      </c>
      <c r="F151">
        <f>mapActivity.xml!N155</f>
        <v>920</v>
      </c>
      <c r="G151">
        <f>mapActivity.xml!S155</f>
        <v>1</v>
      </c>
    </row>
    <row r="152" spans="1:7">
      <c r="A152">
        <f>mapActivity.xml!A156</f>
        <v>108009</v>
      </c>
      <c r="B152" t="str">
        <f>mapActivity.xml!B156</f>
        <v>勇气试炼（80）</v>
      </c>
      <c r="C152">
        <f>mapActivity.xml!D156</f>
        <v>0</v>
      </c>
      <c r="D152" t="str">
        <f>mapActivity.xml!L156</f>
        <v>map/map_001.png</v>
      </c>
      <c r="E152" t="str">
        <f>mapActivity.xml!M156</f>
        <v>1-3</v>
      </c>
      <c r="F152">
        <f>mapActivity.xml!N156</f>
        <v>920</v>
      </c>
      <c r="G152">
        <f>mapActivity.xml!S156</f>
        <v>1</v>
      </c>
    </row>
    <row r="153" spans="1:7">
      <c r="A153">
        <f>mapActivity.xml!A157</f>
        <v>108501</v>
      </c>
      <c r="B153" t="str">
        <f>mapActivity.xml!B157</f>
        <v>无畏试炼（85）</v>
      </c>
      <c r="C153">
        <f>mapActivity.xml!D157</f>
        <v>0</v>
      </c>
      <c r="D153" t="str">
        <f>mapActivity.xml!L157</f>
        <v>map/map_001.png</v>
      </c>
      <c r="E153" t="str">
        <f>mapActivity.xml!M157</f>
        <v>1-3</v>
      </c>
      <c r="F153">
        <f>mapActivity.xml!N157</f>
        <v>920</v>
      </c>
      <c r="G153">
        <f>mapActivity.xml!S157</f>
        <v>1</v>
      </c>
    </row>
    <row r="154" spans="1:7">
      <c r="A154">
        <f>mapActivity.xml!A158</f>
        <v>108502</v>
      </c>
      <c r="B154" t="str">
        <f>mapActivity.xml!B158</f>
        <v>无畏试炼（85）</v>
      </c>
      <c r="C154">
        <f>mapActivity.xml!D158</f>
        <v>0</v>
      </c>
      <c r="D154" t="str">
        <f>mapActivity.xml!L158</f>
        <v>map/map_001.png</v>
      </c>
      <c r="E154" t="str">
        <f>mapActivity.xml!M158</f>
        <v>1-3</v>
      </c>
      <c r="F154">
        <f>mapActivity.xml!N158</f>
        <v>920</v>
      </c>
      <c r="G154">
        <f>mapActivity.xml!S158</f>
        <v>1</v>
      </c>
    </row>
    <row r="155" spans="1:7">
      <c r="A155">
        <f>mapActivity.xml!A159</f>
        <v>108503</v>
      </c>
      <c r="B155" t="str">
        <f>mapActivity.xml!B159</f>
        <v>无畏试炼（85）</v>
      </c>
      <c r="C155">
        <f>mapActivity.xml!D159</f>
        <v>0</v>
      </c>
      <c r="D155" t="str">
        <f>mapActivity.xml!L159</f>
        <v>map/map_001.png</v>
      </c>
      <c r="E155" t="str">
        <f>mapActivity.xml!M159</f>
        <v>1-3</v>
      </c>
      <c r="F155">
        <f>mapActivity.xml!N159</f>
        <v>920</v>
      </c>
      <c r="G155">
        <f>mapActivity.xml!S159</f>
        <v>1</v>
      </c>
    </row>
    <row r="156" spans="1:7">
      <c r="A156">
        <f>mapActivity.xml!A160</f>
        <v>108504</v>
      </c>
      <c r="B156" t="str">
        <f>mapActivity.xml!B160</f>
        <v>无畏试炼（85）</v>
      </c>
      <c r="C156">
        <f>mapActivity.xml!D160</f>
        <v>0</v>
      </c>
      <c r="D156" t="str">
        <f>mapActivity.xml!L160</f>
        <v>map/map_001.png</v>
      </c>
      <c r="E156" t="str">
        <f>mapActivity.xml!M160</f>
        <v>1-3</v>
      </c>
      <c r="F156">
        <f>mapActivity.xml!N160</f>
        <v>920</v>
      </c>
      <c r="G156">
        <f>mapActivity.xml!S160</f>
        <v>1</v>
      </c>
    </row>
    <row r="157" spans="1:7">
      <c r="A157">
        <f>mapActivity.xml!A161</f>
        <v>108505</v>
      </c>
      <c r="B157" t="str">
        <f>mapActivity.xml!B161</f>
        <v>无畏试炼（85）</v>
      </c>
      <c r="C157">
        <f>mapActivity.xml!D161</f>
        <v>0</v>
      </c>
      <c r="D157" t="str">
        <f>mapActivity.xml!L161</f>
        <v>map/map_001.png</v>
      </c>
      <c r="E157" t="str">
        <f>mapActivity.xml!M161</f>
        <v>1-3</v>
      </c>
      <c r="F157">
        <f>mapActivity.xml!N161</f>
        <v>920</v>
      </c>
      <c r="G157">
        <f>mapActivity.xml!S161</f>
        <v>1</v>
      </c>
    </row>
    <row r="158" spans="1:7">
      <c r="A158">
        <f>mapActivity.xml!A162</f>
        <v>108506</v>
      </c>
      <c r="B158" t="str">
        <f>mapActivity.xml!B162</f>
        <v>无畏试炼（85）</v>
      </c>
      <c r="C158">
        <f>mapActivity.xml!D162</f>
        <v>0</v>
      </c>
      <c r="D158" t="str">
        <f>mapActivity.xml!L162</f>
        <v>map/map_001.png</v>
      </c>
      <c r="E158" t="str">
        <f>mapActivity.xml!M162</f>
        <v>1-3</v>
      </c>
      <c r="F158">
        <f>mapActivity.xml!N162</f>
        <v>920</v>
      </c>
      <c r="G158">
        <f>mapActivity.xml!S162</f>
        <v>1</v>
      </c>
    </row>
    <row r="159" spans="1:7">
      <c r="A159">
        <f>mapActivity.xml!A163</f>
        <v>108507</v>
      </c>
      <c r="B159" t="str">
        <f>mapActivity.xml!B163</f>
        <v>无畏试炼（85）</v>
      </c>
      <c r="C159">
        <f>mapActivity.xml!D163</f>
        <v>0</v>
      </c>
      <c r="D159" t="str">
        <f>mapActivity.xml!L163</f>
        <v>map/map_001.png</v>
      </c>
      <c r="E159" t="str">
        <f>mapActivity.xml!M163</f>
        <v>1-3</v>
      </c>
      <c r="F159">
        <f>mapActivity.xml!N163</f>
        <v>920</v>
      </c>
      <c r="G159">
        <f>mapActivity.xml!S163</f>
        <v>1</v>
      </c>
    </row>
    <row r="160" spans="1:7">
      <c r="A160">
        <f>mapActivity.xml!A164</f>
        <v>108508</v>
      </c>
      <c r="B160" t="str">
        <f>mapActivity.xml!B164</f>
        <v>无畏试炼（85）</v>
      </c>
      <c r="C160">
        <f>mapActivity.xml!D164</f>
        <v>0</v>
      </c>
      <c r="D160" t="str">
        <f>mapActivity.xml!L164</f>
        <v>map/map_001.png</v>
      </c>
      <c r="E160" t="str">
        <f>mapActivity.xml!M164</f>
        <v>1-3</v>
      </c>
      <c r="F160">
        <f>mapActivity.xml!N164</f>
        <v>920</v>
      </c>
      <c r="G160">
        <f>mapActivity.xml!S164</f>
        <v>1</v>
      </c>
    </row>
    <row r="161" spans="1:7">
      <c r="A161">
        <f>mapActivity.xml!A165</f>
        <v>108509</v>
      </c>
      <c r="B161" t="str">
        <f>mapActivity.xml!B165</f>
        <v>无畏试炼（85）</v>
      </c>
      <c r="C161">
        <f>mapActivity.xml!D165</f>
        <v>0</v>
      </c>
      <c r="D161" t="str">
        <f>mapActivity.xml!L165</f>
        <v>map/map_001.png</v>
      </c>
      <c r="E161" t="str">
        <f>mapActivity.xml!M165</f>
        <v>1-3</v>
      </c>
      <c r="F161">
        <f>mapActivity.xml!N165</f>
        <v>920</v>
      </c>
      <c r="G161">
        <f>mapActivity.xml!S165</f>
        <v>1</v>
      </c>
    </row>
    <row r="162" spans="1:7">
      <c r="A162">
        <f>mapActivity.xml!A166</f>
        <v>109001</v>
      </c>
      <c r="B162" t="str">
        <f>mapActivity.xml!B166</f>
        <v>无畏试炼（90）</v>
      </c>
      <c r="C162">
        <f>mapActivity.xml!D166</f>
        <v>0</v>
      </c>
      <c r="D162" t="str">
        <f>mapActivity.xml!L166</f>
        <v>map/map_001.png</v>
      </c>
      <c r="E162" t="str">
        <f>mapActivity.xml!M166</f>
        <v>1-3</v>
      </c>
      <c r="F162">
        <f>mapActivity.xml!N166</f>
        <v>920</v>
      </c>
      <c r="G162">
        <f>mapActivity.xml!S166</f>
        <v>1</v>
      </c>
    </row>
    <row r="163" spans="1:7">
      <c r="A163">
        <f>mapActivity.xml!A167</f>
        <v>109002</v>
      </c>
      <c r="B163" t="str">
        <f>mapActivity.xml!B167</f>
        <v>无畏试炼（90）</v>
      </c>
      <c r="C163">
        <f>mapActivity.xml!D167</f>
        <v>0</v>
      </c>
      <c r="D163" t="str">
        <f>mapActivity.xml!L167</f>
        <v>map/map_001.png</v>
      </c>
      <c r="E163" t="str">
        <f>mapActivity.xml!M167</f>
        <v>1-3</v>
      </c>
      <c r="F163">
        <f>mapActivity.xml!N167</f>
        <v>920</v>
      </c>
      <c r="G163">
        <f>mapActivity.xml!S167</f>
        <v>1</v>
      </c>
    </row>
    <row r="164" spans="1:7">
      <c r="A164">
        <f>mapActivity.xml!A168</f>
        <v>109003</v>
      </c>
      <c r="B164" t="str">
        <f>mapActivity.xml!B168</f>
        <v>无畏试炼（90）</v>
      </c>
      <c r="C164">
        <f>mapActivity.xml!D168</f>
        <v>0</v>
      </c>
      <c r="D164" t="str">
        <f>mapActivity.xml!L168</f>
        <v>map/map_001.png</v>
      </c>
      <c r="E164" t="str">
        <f>mapActivity.xml!M168</f>
        <v>1-3</v>
      </c>
      <c r="F164">
        <f>mapActivity.xml!N168</f>
        <v>920</v>
      </c>
      <c r="G164">
        <f>mapActivity.xml!S168</f>
        <v>1</v>
      </c>
    </row>
    <row r="165" spans="1:7">
      <c r="A165">
        <f>mapActivity.xml!A169</f>
        <v>109004</v>
      </c>
      <c r="B165" t="str">
        <f>mapActivity.xml!B169</f>
        <v>无畏试炼（90）</v>
      </c>
      <c r="C165">
        <f>mapActivity.xml!D169</f>
        <v>0</v>
      </c>
      <c r="D165" t="str">
        <f>mapActivity.xml!L169</f>
        <v>map/map_001.png</v>
      </c>
      <c r="E165" t="str">
        <f>mapActivity.xml!M169</f>
        <v>1-3</v>
      </c>
      <c r="F165">
        <f>mapActivity.xml!N169</f>
        <v>920</v>
      </c>
      <c r="G165">
        <f>mapActivity.xml!S169</f>
        <v>1</v>
      </c>
    </row>
    <row r="166" spans="1:7">
      <c r="A166">
        <f>mapActivity.xml!A170</f>
        <v>109005</v>
      </c>
      <c r="B166" t="str">
        <f>mapActivity.xml!B170</f>
        <v>无畏试炼（90）</v>
      </c>
      <c r="C166">
        <f>mapActivity.xml!D170</f>
        <v>0</v>
      </c>
      <c r="D166" t="str">
        <f>mapActivity.xml!L170</f>
        <v>map/map_001.png</v>
      </c>
      <c r="E166" t="str">
        <f>mapActivity.xml!M170</f>
        <v>1-3</v>
      </c>
      <c r="F166">
        <f>mapActivity.xml!N170</f>
        <v>920</v>
      </c>
      <c r="G166">
        <f>mapActivity.xml!S170</f>
        <v>1</v>
      </c>
    </row>
    <row r="167" spans="1:7">
      <c r="A167">
        <f>mapActivity.xml!A171</f>
        <v>109006</v>
      </c>
      <c r="B167" t="str">
        <f>mapActivity.xml!B171</f>
        <v>无畏试炼（90）</v>
      </c>
      <c r="C167">
        <f>mapActivity.xml!D171</f>
        <v>0</v>
      </c>
      <c r="D167" t="str">
        <f>mapActivity.xml!L171</f>
        <v>map/map_001.png</v>
      </c>
      <c r="E167" t="str">
        <f>mapActivity.xml!M171</f>
        <v>1-3</v>
      </c>
      <c r="F167">
        <f>mapActivity.xml!N171</f>
        <v>920</v>
      </c>
      <c r="G167">
        <f>mapActivity.xml!S171</f>
        <v>1</v>
      </c>
    </row>
    <row r="168" spans="1:7">
      <c r="A168">
        <f>mapActivity.xml!A172</f>
        <v>109007</v>
      </c>
      <c r="B168" t="str">
        <f>mapActivity.xml!B172</f>
        <v>无畏试炼（90）</v>
      </c>
      <c r="C168">
        <f>mapActivity.xml!D172</f>
        <v>0</v>
      </c>
      <c r="D168" t="str">
        <f>mapActivity.xml!L172</f>
        <v>map/map_001.png</v>
      </c>
      <c r="E168" t="str">
        <f>mapActivity.xml!M172</f>
        <v>1-3</v>
      </c>
      <c r="F168">
        <f>mapActivity.xml!N172</f>
        <v>920</v>
      </c>
      <c r="G168">
        <f>mapActivity.xml!S172</f>
        <v>1</v>
      </c>
    </row>
    <row r="169" spans="1:7">
      <c r="A169">
        <f>mapActivity.xml!A173</f>
        <v>109008</v>
      </c>
      <c r="B169" t="str">
        <f>mapActivity.xml!B173</f>
        <v>无畏试炼（90）</v>
      </c>
      <c r="C169">
        <f>mapActivity.xml!D173</f>
        <v>0</v>
      </c>
      <c r="D169" t="str">
        <f>mapActivity.xml!L173</f>
        <v>map/map_001.png</v>
      </c>
      <c r="E169" t="str">
        <f>mapActivity.xml!M173</f>
        <v>1-3</v>
      </c>
      <c r="F169">
        <f>mapActivity.xml!N173</f>
        <v>920</v>
      </c>
      <c r="G169">
        <f>mapActivity.xml!S173</f>
        <v>1</v>
      </c>
    </row>
    <row r="170" spans="1:7">
      <c r="A170">
        <f>mapActivity.xml!A174</f>
        <v>109009</v>
      </c>
      <c r="B170" t="str">
        <f>mapActivity.xml!B174</f>
        <v>无畏试炼（90）</v>
      </c>
      <c r="C170">
        <f>mapActivity.xml!D174</f>
        <v>0</v>
      </c>
      <c r="D170" t="str">
        <f>mapActivity.xml!L174</f>
        <v>map/map_001.png</v>
      </c>
      <c r="E170" t="str">
        <f>mapActivity.xml!M174</f>
        <v>1-3</v>
      </c>
      <c r="F170">
        <f>mapActivity.xml!N174</f>
        <v>920</v>
      </c>
      <c r="G170">
        <f>mapActivity.xml!S174</f>
        <v>1</v>
      </c>
    </row>
    <row r="171" spans="1:7">
      <c r="A171">
        <f>mapActivity.xml!A175</f>
        <v>109501</v>
      </c>
      <c r="B171" t="str">
        <f>mapActivity.xml!B175</f>
        <v>无畏试炼（95）</v>
      </c>
      <c r="C171">
        <f>mapActivity.xml!D175</f>
        <v>0</v>
      </c>
      <c r="D171" t="str">
        <f>mapActivity.xml!L175</f>
        <v>map/map_001.png</v>
      </c>
      <c r="E171" t="str">
        <f>mapActivity.xml!M175</f>
        <v>1-3</v>
      </c>
      <c r="F171">
        <f>mapActivity.xml!N175</f>
        <v>920</v>
      </c>
      <c r="G171">
        <f>mapActivity.xml!S175</f>
        <v>1</v>
      </c>
    </row>
    <row r="172" spans="1:7">
      <c r="A172">
        <f>mapActivity.xml!A176</f>
        <v>109502</v>
      </c>
      <c r="B172" t="str">
        <f>mapActivity.xml!B176</f>
        <v>无畏试炼（95）</v>
      </c>
      <c r="C172">
        <f>mapActivity.xml!D176</f>
        <v>0</v>
      </c>
      <c r="D172" t="str">
        <f>mapActivity.xml!L176</f>
        <v>map/map_001.png</v>
      </c>
      <c r="E172" t="str">
        <f>mapActivity.xml!M176</f>
        <v>1-3</v>
      </c>
      <c r="F172">
        <f>mapActivity.xml!N176</f>
        <v>920</v>
      </c>
      <c r="G172">
        <f>mapActivity.xml!S176</f>
        <v>1</v>
      </c>
    </row>
    <row r="173" spans="1:7">
      <c r="A173">
        <f>mapActivity.xml!A177</f>
        <v>109503</v>
      </c>
      <c r="B173" t="str">
        <f>mapActivity.xml!B177</f>
        <v>无畏试炼（95）</v>
      </c>
      <c r="C173">
        <f>mapActivity.xml!D177</f>
        <v>0</v>
      </c>
      <c r="D173" t="str">
        <f>mapActivity.xml!L177</f>
        <v>map/map_001.png</v>
      </c>
      <c r="E173" t="str">
        <f>mapActivity.xml!M177</f>
        <v>1-3</v>
      </c>
      <c r="F173">
        <f>mapActivity.xml!N177</f>
        <v>920</v>
      </c>
      <c r="G173">
        <f>mapActivity.xml!S177</f>
        <v>1</v>
      </c>
    </row>
    <row r="174" spans="1:7">
      <c r="A174">
        <f>mapActivity.xml!A178</f>
        <v>109504</v>
      </c>
      <c r="B174" t="str">
        <f>mapActivity.xml!B178</f>
        <v>无畏试炼（95）</v>
      </c>
      <c r="C174">
        <f>mapActivity.xml!D178</f>
        <v>0</v>
      </c>
      <c r="D174" t="str">
        <f>mapActivity.xml!L178</f>
        <v>map/map_001.png</v>
      </c>
      <c r="E174" t="str">
        <f>mapActivity.xml!M178</f>
        <v>1-3</v>
      </c>
      <c r="F174">
        <f>mapActivity.xml!N178</f>
        <v>920</v>
      </c>
      <c r="G174">
        <f>mapActivity.xml!S178</f>
        <v>1</v>
      </c>
    </row>
    <row r="175" spans="1:7">
      <c r="A175">
        <f>mapActivity.xml!A179</f>
        <v>109505</v>
      </c>
      <c r="B175" t="str">
        <f>mapActivity.xml!B179</f>
        <v>无畏试炼（95）</v>
      </c>
      <c r="C175">
        <f>mapActivity.xml!D179</f>
        <v>0</v>
      </c>
      <c r="D175" t="str">
        <f>mapActivity.xml!L179</f>
        <v>map/map_001.png</v>
      </c>
      <c r="E175" t="str">
        <f>mapActivity.xml!M179</f>
        <v>1-3</v>
      </c>
      <c r="F175">
        <f>mapActivity.xml!N179</f>
        <v>920</v>
      </c>
      <c r="G175">
        <f>mapActivity.xml!S179</f>
        <v>1</v>
      </c>
    </row>
    <row r="176" spans="1:7">
      <c r="A176">
        <f>mapActivity.xml!A180</f>
        <v>109506</v>
      </c>
      <c r="B176" t="str">
        <f>mapActivity.xml!B180</f>
        <v>无畏试炼（95）</v>
      </c>
      <c r="C176">
        <f>mapActivity.xml!D180</f>
        <v>0</v>
      </c>
      <c r="D176" t="str">
        <f>mapActivity.xml!L180</f>
        <v>map/map_001.png</v>
      </c>
      <c r="E176" t="str">
        <f>mapActivity.xml!M180</f>
        <v>1-3</v>
      </c>
      <c r="F176">
        <f>mapActivity.xml!N180</f>
        <v>920</v>
      </c>
      <c r="G176">
        <f>mapActivity.xml!S180</f>
        <v>1</v>
      </c>
    </row>
    <row r="177" spans="1:7">
      <c r="A177">
        <f>mapActivity.xml!A181</f>
        <v>109507</v>
      </c>
      <c r="B177" t="str">
        <f>mapActivity.xml!B181</f>
        <v>无畏试炼（95）</v>
      </c>
      <c r="C177">
        <f>mapActivity.xml!D181</f>
        <v>0</v>
      </c>
      <c r="D177" t="str">
        <f>mapActivity.xml!L181</f>
        <v>map/map_001.png</v>
      </c>
      <c r="E177" t="str">
        <f>mapActivity.xml!M181</f>
        <v>1-3</v>
      </c>
      <c r="F177">
        <f>mapActivity.xml!N181</f>
        <v>920</v>
      </c>
      <c r="G177">
        <f>mapActivity.xml!S181</f>
        <v>1</v>
      </c>
    </row>
    <row r="178" spans="1:7">
      <c r="A178">
        <f>mapActivity.xml!A182</f>
        <v>109508</v>
      </c>
      <c r="B178" t="str">
        <f>mapActivity.xml!B182</f>
        <v>无畏试炼（95）</v>
      </c>
      <c r="C178">
        <f>mapActivity.xml!D182</f>
        <v>0</v>
      </c>
      <c r="D178" t="str">
        <f>mapActivity.xml!L182</f>
        <v>map/map_001.png</v>
      </c>
      <c r="E178" t="str">
        <f>mapActivity.xml!M182</f>
        <v>1-3</v>
      </c>
      <c r="F178">
        <f>mapActivity.xml!N182</f>
        <v>920</v>
      </c>
      <c r="G178">
        <f>mapActivity.xml!S182</f>
        <v>1</v>
      </c>
    </row>
    <row r="179" spans="1:7">
      <c r="A179">
        <f>mapActivity.xml!A183</f>
        <v>109509</v>
      </c>
      <c r="B179" t="str">
        <f>mapActivity.xml!B183</f>
        <v>无畏试炼（95）</v>
      </c>
      <c r="C179">
        <f>mapActivity.xml!D183</f>
        <v>0</v>
      </c>
      <c r="D179" t="str">
        <f>mapActivity.xml!L183</f>
        <v>map/map_001.png</v>
      </c>
      <c r="E179" t="str">
        <f>mapActivity.xml!M183</f>
        <v>1-3</v>
      </c>
      <c r="F179">
        <f>mapActivity.xml!N183</f>
        <v>920</v>
      </c>
      <c r="G179">
        <f>mapActivity.xml!S183</f>
        <v>1</v>
      </c>
    </row>
    <row r="180" spans="1:7">
      <c r="A180">
        <f>mapActivity.xml!A184</f>
        <v>110001</v>
      </c>
      <c r="B180" t="str">
        <f>mapActivity.xml!B184</f>
        <v>无畏试炼（100）</v>
      </c>
      <c r="C180">
        <f>mapActivity.xml!D184</f>
        <v>0</v>
      </c>
      <c r="D180" t="str">
        <f>mapActivity.xml!L184</f>
        <v>map/map_001.png</v>
      </c>
      <c r="E180" t="str">
        <f>mapActivity.xml!M184</f>
        <v>1-3</v>
      </c>
      <c r="F180">
        <f>mapActivity.xml!N184</f>
        <v>920</v>
      </c>
      <c r="G180">
        <f>mapActivity.xml!S184</f>
        <v>1</v>
      </c>
    </row>
    <row r="181" spans="1:7">
      <c r="A181">
        <f>mapActivity.xml!A185</f>
        <v>110002</v>
      </c>
      <c r="B181" t="str">
        <f>mapActivity.xml!B185</f>
        <v>无畏试炼（100）</v>
      </c>
      <c r="C181">
        <f>mapActivity.xml!D185</f>
        <v>0</v>
      </c>
      <c r="D181" t="str">
        <f>mapActivity.xml!L185</f>
        <v>map/map_001.png</v>
      </c>
      <c r="E181" t="str">
        <f>mapActivity.xml!M185</f>
        <v>1-3</v>
      </c>
      <c r="F181">
        <f>mapActivity.xml!N185</f>
        <v>920</v>
      </c>
      <c r="G181">
        <f>mapActivity.xml!S185</f>
        <v>1</v>
      </c>
    </row>
    <row r="182" spans="1:7">
      <c r="A182">
        <f>mapActivity.xml!A186</f>
        <v>110003</v>
      </c>
      <c r="B182" t="str">
        <f>mapActivity.xml!B186</f>
        <v>无畏试炼（100）</v>
      </c>
      <c r="C182">
        <f>mapActivity.xml!D186</f>
        <v>0</v>
      </c>
      <c r="D182" t="str">
        <f>mapActivity.xml!L186</f>
        <v>map/map_001.png</v>
      </c>
      <c r="E182" t="str">
        <f>mapActivity.xml!M186</f>
        <v>1-3</v>
      </c>
      <c r="F182">
        <f>mapActivity.xml!N186</f>
        <v>920</v>
      </c>
      <c r="G182">
        <f>mapActivity.xml!S186</f>
        <v>1</v>
      </c>
    </row>
    <row r="183" spans="1:7">
      <c r="A183">
        <f>mapActivity.xml!A187</f>
        <v>110004</v>
      </c>
      <c r="B183" t="str">
        <f>mapActivity.xml!B187</f>
        <v>无畏试炼（100）</v>
      </c>
      <c r="C183">
        <f>mapActivity.xml!D187</f>
        <v>0</v>
      </c>
      <c r="D183" t="str">
        <f>mapActivity.xml!L187</f>
        <v>map/map_001.png</v>
      </c>
      <c r="E183" t="str">
        <f>mapActivity.xml!M187</f>
        <v>1-3</v>
      </c>
      <c r="F183">
        <f>mapActivity.xml!N187</f>
        <v>920</v>
      </c>
      <c r="G183">
        <f>mapActivity.xml!S187</f>
        <v>1</v>
      </c>
    </row>
    <row r="184" spans="1:7">
      <c r="A184">
        <f>mapActivity.xml!A188</f>
        <v>110005</v>
      </c>
      <c r="B184" t="str">
        <f>mapActivity.xml!B188</f>
        <v>无畏试炼（100）</v>
      </c>
      <c r="C184">
        <f>mapActivity.xml!D188</f>
        <v>0</v>
      </c>
      <c r="D184" t="str">
        <f>mapActivity.xml!L188</f>
        <v>map/map_001.png</v>
      </c>
      <c r="E184" t="str">
        <f>mapActivity.xml!M188</f>
        <v>1-3</v>
      </c>
      <c r="F184">
        <f>mapActivity.xml!N188</f>
        <v>920</v>
      </c>
      <c r="G184">
        <f>mapActivity.xml!S188</f>
        <v>1</v>
      </c>
    </row>
    <row r="185" spans="1:7">
      <c r="A185">
        <f>mapActivity.xml!A189</f>
        <v>110006</v>
      </c>
      <c r="B185" t="str">
        <f>mapActivity.xml!B189</f>
        <v>无畏试炼（100）</v>
      </c>
      <c r="C185">
        <f>mapActivity.xml!D189</f>
        <v>0</v>
      </c>
      <c r="D185" t="str">
        <f>mapActivity.xml!L189</f>
        <v>map/map_001.png</v>
      </c>
      <c r="E185" t="str">
        <f>mapActivity.xml!M189</f>
        <v>1-3</v>
      </c>
      <c r="F185">
        <f>mapActivity.xml!N189</f>
        <v>920</v>
      </c>
      <c r="G185">
        <f>mapActivity.xml!S189</f>
        <v>1</v>
      </c>
    </row>
    <row r="186" spans="1:7">
      <c r="A186">
        <f>mapActivity.xml!A190</f>
        <v>110007</v>
      </c>
      <c r="B186" t="str">
        <f>mapActivity.xml!B190</f>
        <v>无畏试炼（100）</v>
      </c>
      <c r="C186">
        <f>mapActivity.xml!D190</f>
        <v>0</v>
      </c>
      <c r="D186" t="str">
        <f>mapActivity.xml!L190</f>
        <v>map/map_001.png</v>
      </c>
      <c r="E186" t="str">
        <f>mapActivity.xml!M190</f>
        <v>1-3</v>
      </c>
      <c r="F186">
        <f>mapActivity.xml!N190</f>
        <v>920</v>
      </c>
      <c r="G186">
        <f>mapActivity.xml!S190</f>
        <v>1</v>
      </c>
    </row>
    <row r="187" spans="1:7">
      <c r="A187">
        <f>mapActivity.xml!A191</f>
        <v>110008</v>
      </c>
      <c r="B187" t="str">
        <f>mapActivity.xml!B191</f>
        <v>无畏试炼（100）</v>
      </c>
      <c r="C187">
        <f>mapActivity.xml!D191</f>
        <v>0</v>
      </c>
      <c r="D187" t="str">
        <f>mapActivity.xml!L191</f>
        <v>map/map_001.png</v>
      </c>
      <c r="E187" t="str">
        <f>mapActivity.xml!M191</f>
        <v>1-3</v>
      </c>
      <c r="F187">
        <f>mapActivity.xml!N191</f>
        <v>920</v>
      </c>
      <c r="G187">
        <f>mapActivity.xml!S191</f>
        <v>1</v>
      </c>
    </row>
    <row r="188" spans="1:7">
      <c r="A188">
        <f>mapActivity.xml!A192</f>
        <v>110009</v>
      </c>
      <c r="B188" t="str">
        <f>mapActivity.xml!B192</f>
        <v>无畏试炼（100）</v>
      </c>
      <c r="C188">
        <f>mapActivity.xml!D192</f>
        <v>0</v>
      </c>
      <c r="D188" t="str">
        <f>mapActivity.xml!L192</f>
        <v>map/map_001.png</v>
      </c>
      <c r="E188" t="str">
        <f>mapActivity.xml!M192</f>
        <v>1-3</v>
      </c>
      <c r="F188">
        <f>mapActivity.xml!N192</f>
        <v>920</v>
      </c>
      <c r="G188">
        <f>mapActivity.xml!S192</f>
        <v>1</v>
      </c>
    </row>
    <row r="189" spans="1:7">
      <c r="A189">
        <f>mapActivity.xml!A193</f>
        <v>203001</v>
      </c>
      <c r="B189" t="str">
        <f>mapActivity.xml!B193</f>
        <v>敏捷试炼（30）</v>
      </c>
      <c r="C189">
        <f>mapActivity.xml!D193</f>
        <v>0</v>
      </c>
      <c r="D189" t="str">
        <f>mapActivity.xml!L193</f>
        <v>map/map_001.png</v>
      </c>
      <c r="E189" t="str">
        <f>mapActivity.xml!M193</f>
        <v>1-3</v>
      </c>
      <c r="F189">
        <f>mapActivity.xml!N193</f>
        <v>920</v>
      </c>
      <c r="G189">
        <f>mapActivity.xml!S193</f>
        <v>2</v>
      </c>
    </row>
    <row r="190" spans="1:7">
      <c r="A190">
        <f>mapActivity.xml!A194</f>
        <v>203002</v>
      </c>
      <c r="B190" t="str">
        <f>mapActivity.xml!B194</f>
        <v>敏捷试炼（30）</v>
      </c>
      <c r="C190">
        <f>mapActivity.xml!D194</f>
        <v>0</v>
      </c>
      <c r="D190" t="str">
        <f>mapActivity.xml!L194</f>
        <v>map/map_001.png</v>
      </c>
      <c r="E190" t="str">
        <f>mapActivity.xml!M194</f>
        <v>1-3</v>
      </c>
      <c r="F190">
        <f>mapActivity.xml!N194</f>
        <v>920</v>
      </c>
      <c r="G190">
        <f>mapActivity.xml!S194</f>
        <v>2</v>
      </c>
    </row>
    <row r="191" spans="1:7">
      <c r="A191">
        <f>mapActivity.xml!A195</f>
        <v>203003</v>
      </c>
      <c r="B191" t="str">
        <f>mapActivity.xml!B195</f>
        <v>敏捷试炼（30）</v>
      </c>
      <c r="C191">
        <f>mapActivity.xml!D195</f>
        <v>0</v>
      </c>
      <c r="D191" t="str">
        <f>mapActivity.xml!L195</f>
        <v>map/map_001.png</v>
      </c>
      <c r="E191" t="str">
        <f>mapActivity.xml!M195</f>
        <v>1-3</v>
      </c>
      <c r="F191">
        <f>mapActivity.xml!N195</f>
        <v>920</v>
      </c>
      <c r="G191">
        <f>mapActivity.xml!S195</f>
        <v>2</v>
      </c>
    </row>
    <row r="192" spans="1:7">
      <c r="A192">
        <f>mapActivity.xml!A196</f>
        <v>203004</v>
      </c>
      <c r="B192" t="str">
        <f>mapActivity.xml!B196</f>
        <v>敏捷试炼（30）</v>
      </c>
      <c r="C192">
        <f>mapActivity.xml!D196</f>
        <v>0</v>
      </c>
      <c r="D192" t="str">
        <f>mapActivity.xml!L196</f>
        <v>map/map_001.png</v>
      </c>
      <c r="E192" t="str">
        <f>mapActivity.xml!M196</f>
        <v>1-3</v>
      </c>
      <c r="F192">
        <f>mapActivity.xml!N196</f>
        <v>920</v>
      </c>
      <c r="G192">
        <f>mapActivity.xml!S196</f>
        <v>2</v>
      </c>
    </row>
    <row r="193" spans="1:7">
      <c r="A193">
        <f>mapActivity.xml!A197</f>
        <v>203005</v>
      </c>
      <c r="B193" t="str">
        <f>mapActivity.xml!B197</f>
        <v>敏捷试炼（30）</v>
      </c>
      <c r="C193">
        <f>mapActivity.xml!D197</f>
        <v>0</v>
      </c>
      <c r="D193" t="str">
        <f>mapActivity.xml!L197</f>
        <v>map/map_001.png</v>
      </c>
      <c r="E193" t="str">
        <f>mapActivity.xml!M197</f>
        <v>1-3</v>
      </c>
      <c r="F193">
        <f>mapActivity.xml!N197</f>
        <v>920</v>
      </c>
      <c r="G193">
        <f>mapActivity.xml!S197</f>
        <v>2</v>
      </c>
    </row>
    <row r="194" spans="1:7">
      <c r="A194">
        <f>mapActivity.xml!A198</f>
        <v>203006</v>
      </c>
      <c r="B194" t="str">
        <f>mapActivity.xml!B198</f>
        <v>敏捷试炼（30）</v>
      </c>
      <c r="C194">
        <f>mapActivity.xml!D198</f>
        <v>0</v>
      </c>
      <c r="D194" t="str">
        <f>mapActivity.xml!L198</f>
        <v>map/map_001.png</v>
      </c>
      <c r="E194" t="str">
        <f>mapActivity.xml!M198</f>
        <v>1-3</v>
      </c>
      <c r="F194">
        <f>mapActivity.xml!N198</f>
        <v>920</v>
      </c>
      <c r="G194">
        <f>mapActivity.xml!S198</f>
        <v>2</v>
      </c>
    </row>
    <row r="195" spans="1:7">
      <c r="A195">
        <f>mapActivity.xml!A199</f>
        <v>203007</v>
      </c>
      <c r="B195" t="str">
        <f>mapActivity.xml!B199</f>
        <v>敏捷试炼（30）</v>
      </c>
      <c r="C195">
        <f>mapActivity.xml!D199</f>
        <v>0</v>
      </c>
      <c r="D195" t="str">
        <f>mapActivity.xml!L199</f>
        <v>map/map_001.png</v>
      </c>
      <c r="E195" t="str">
        <f>mapActivity.xml!M199</f>
        <v>1-3</v>
      </c>
      <c r="F195">
        <f>mapActivity.xml!N199</f>
        <v>920</v>
      </c>
      <c r="G195">
        <f>mapActivity.xml!S199</f>
        <v>2</v>
      </c>
    </row>
    <row r="196" spans="1:7">
      <c r="A196">
        <f>mapActivity.xml!A200</f>
        <v>203008</v>
      </c>
      <c r="B196" t="str">
        <f>mapActivity.xml!B200</f>
        <v>敏捷试炼（30）</v>
      </c>
      <c r="C196">
        <f>mapActivity.xml!D200</f>
        <v>0</v>
      </c>
      <c r="D196" t="str">
        <f>mapActivity.xml!L200</f>
        <v>map/map_001.png</v>
      </c>
      <c r="E196" t="str">
        <f>mapActivity.xml!M200</f>
        <v>1-3</v>
      </c>
      <c r="F196">
        <f>mapActivity.xml!N200</f>
        <v>920</v>
      </c>
      <c r="G196">
        <f>mapActivity.xml!S200</f>
        <v>2</v>
      </c>
    </row>
    <row r="197" spans="1:7">
      <c r="A197">
        <f>mapActivity.xml!A201</f>
        <v>203009</v>
      </c>
      <c r="B197" t="str">
        <f>mapActivity.xml!B201</f>
        <v>敏捷试炼（30）</v>
      </c>
      <c r="C197">
        <f>mapActivity.xml!D201</f>
        <v>0</v>
      </c>
      <c r="D197" t="str">
        <f>mapActivity.xml!L201</f>
        <v>map/map_001.png</v>
      </c>
      <c r="E197" t="str">
        <f>mapActivity.xml!M201</f>
        <v>1-3</v>
      </c>
      <c r="F197">
        <f>mapActivity.xml!N201</f>
        <v>920</v>
      </c>
      <c r="G197">
        <f>mapActivity.xml!S201</f>
        <v>2</v>
      </c>
    </row>
    <row r="198" spans="1:7">
      <c r="A198">
        <f>mapActivity.xml!A202</f>
        <v>203501</v>
      </c>
      <c r="B198" t="str">
        <f>mapActivity.xml!B202</f>
        <v>敏捷试炼（35）</v>
      </c>
      <c r="C198">
        <f>mapActivity.xml!D202</f>
        <v>0</v>
      </c>
      <c r="D198" t="str">
        <f>mapActivity.xml!L202</f>
        <v>map/map_001.png</v>
      </c>
      <c r="E198" t="str">
        <f>mapActivity.xml!M202</f>
        <v>1-3</v>
      </c>
      <c r="F198">
        <f>mapActivity.xml!N202</f>
        <v>920</v>
      </c>
      <c r="G198">
        <f>mapActivity.xml!S202</f>
        <v>2</v>
      </c>
    </row>
    <row r="199" spans="1:7">
      <c r="A199">
        <f>mapActivity.xml!A203</f>
        <v>203502</v>
      </c>
      <c r="B199" t="str">
        <f>mapActivity.xml!B203</f>
        <v>敏捷试炼（35）</v>
      </c>
      <c r="C199">
        <f>mapActivity.xml!D203</f>
        <v>0</v>
      </c>
      <c r="D199" t="str">
        <f>mapActivity.xml!L203</f>
        <v>map/map_001.png</v>
      </c>
      <c r="E199" t="str">
        <f>mapActivity.xml!M203</f>
        <v>1-3</v>
      </c>
      <c r="F199">
        <f>mapActivity.xml!N203</f>
        <v>920</v>
      </c>
      <c r="G199">
        <f>mapActivity.xml!S203</f>
        <v>2</v>
      </c>
    </row>
    <row r="200" spans="1:7">
      <c r="A200">
        <f>mapActivity.xml!A204</f>
        <v>203503</v>
      </c>
      <c r="B200" t="str">
        <f>mapActivity.xml!B204</f>
        <v>敏捷试炼（35）</v>
      </c>
      <c r="C200">
        <f>mapActivity.xml!D204</f>
        <v>0</v>
      </c>
      <c r="D200" t="str">
        <f>mapActivity.xml!L204</f>
        <v>map/map_001.png</v>
      </c>
      <c r="E200" t="str">
        <f>mapActivity.xml!M204</f>
        <v>1-3</v>
      </c>
      <c r="F200">
        <f>mapActivity.xml!N204</f>
        <v>920</v>
      </c>
      <c r="G200">
        <f>mapActivity.xml!S204</f>
        <v>2</v>
      </c>
    </row>
    <row r="201" spans="1:7">
      <c r="A201">
        <f>mapActivity.xml!A205</f>
        <v>203504</v>
      </c>
      <c r="B201" t="str">
        <f>mapActivity.xml!B205</f>
        <v>敏捷试炼（35）</v>
      </c>
      <c r="C201">
        <f>mapActivity.xml!D205</f>
        <v>0</v>
      </c>
      <c r="D201" t="str">
        <f>mapActivity.xml!L205</f>
        <v>map/map_001.png</v>
      </c>
      <c r="E201" t="str">
        <f>mapActivity.xml!M205</f>
        <v>1-3</v>
      </c>
      <c r="F201">
        <f>mapActivity.xml!N205</f>
        <v>920</v>
      </c>
      <c r="G201">
        <f>mapActivity.xml!S205</f>
        <v>2</v>
      </c>
    </row>
    <row r="202" spans="1:7">
      <c r="A202">
        <f>mapActivity.xml!A206</f>
        <v>203505</v>
      </c>
      <c r="B202" t="str">
        <f>mapActivity.xml!B206</f>
        <v>敏捷试炼（35）</v>
      </c>
      <c r="C202">
        <f>mapActivity.xml!D206</f>
        <v>0</v>
      </c>
      <c r="D202" t="str">
        <f>mapActivity.xml!L206</f>
        <v>map/map_001.png</v>
      </c>
      <c r="E202" t="str">
        <f>mapActivity.xml!M206</f>
        <v>1-3</v>
      </c>
      <c r="F202">
        <f>mapActivity.xml!N206</f>
        <v>920</v>
      </c>
      <c r="G202">
        <f>mapActivity.xml!S206</f>
        <v>2</v>
      </c>
    </row>
    <row r="203" spans="1:7">
      <c r="A203">
        <f>mapActivity.xml!A207</f>
        <v>203506</v>
      </c>
      <c r="B203" t="str">
        <f>mapActivity.xml!B207</f>
        <v>敏捷试炼（35）</v>
      </c>
      <c r="C203">
        <f>mapActivity.xml!D207</f>
        <v>0</v>
      </c>
      <c r="D203" t="str">
        <f>mapActivity.xml!L207</f>
        <v>map/map_001.png</v>
      </c>
      <c r="E203" t="str">
        <f>mapActivity.xml!M207</f>
        <v>1-3</v>
      </c>
      <c r="F203">
        <f>mapActivity.xml!N207</f>
        <v>920</v>
      </c>
      <c r="G203">
        <f>mapActivity.xml!S207</f>
        <v>2</v>
      </c>
    </row>
    <row r="204" spans="1:7">
      <c r="A204">
        <f>mapActivity.xml!A208</f>
        <v>203507</v>
      </c>
      <c r="B204" t="str">
        <f>mapActivity.xml!B208</f>
        <v>敏捷试炼（35）</v>
      </c>
      <c r="C204">
        <f>mapActivity.xml!D208</f>
        <v>0</v>
      </c>
      <c r="D204" t="str">
        <f>mapActivity.xml!L208</f>
        <v>map/map_001.png</v>
      </c>
      <c r="E204" t="str">
        <f>mapActivity.xml!M208</f>
        <v>1-3</v>
      </c>
      <c r="F204">
        <f>mapActivity.xml!N208</f>
        <v>920</v>
      </c>
      <c r="G204">
        <f>mapActivity.xml!S208</f>
        <v>2</v>
      </c>
    </row>
    <row r="205" spans="1:7">
      <c r="A205">
        <f>mapActivity.xml!A209</f>
        <v>203508</v>
      </c>
      <c r="B205" t="str">
        <f>mapActivity.xml!B209</f>
        <v>敏捷试炼（35）</v>
      </c>
      <c r="C205">
        <f>mapActivity.xml!D209</f>
        <v>0</v>
      </c>
      <c r="D205" t="str">
        <f>mapActivity.xml!L209</f>
        <v>map/map_001.png</v>
      </c>
      <c r="E205" t="str">
        <f>mapActivity.xml!M209</f>
        <v>1-3</v>
      </c>
      <c r="F205">
        <f>mapActivity.xml!N209</f>
        <v>920</v>
      </c>
      <c r="G205">
        <f>mapActivity.xml!S209</f>
        <v>2</v>
      </c>
    </row>
    <row r="206" spans="1:7">
      <c r="A206">
        <f>mapActivity.xml!A210</f>
        <v>203509</v>
      </c>
      <c r="B206" t="str">
        <f>mapActivity.xml!B210</f>
        <v>敏捷试炼（35）</v>
      </c>
      <c r="C206">
        <f>mapActivity.xml!D210</f>
        <v>0</v>
      </c>
      <c r="D206" t="str">
        <f>mapActivity.xml!L210</f>
        <v>map/map_001.png</v>
      </c>
      <c r="E206" t="str">
        <f>mapActivity.xml!M210</f>
        <v>1-3</v>
      </c>
      <c r="F206">
        <f>mapActivity.xml!N210</f>
        <v>920</v>
      </c>
      <c r="G206">
        <f>mapActivity.xml!S210</f>
        <v>2</v>
      </c>
    </row>
    <row r="207" spans="1:7">
      <c r="A207">
        <f>mapActivity.xml!A211</f>
        <v>204001</v>
      </c>
      <c r="B207" t="str">
        <f>mapActivity.xml!B211</f>
        <v>敏捷试炼（40）</v>
      </c>
      <c r="C207">
        <f>mapActivity.xml!D211</f>
        <v>0</v>
      </c>
      <c r="D207" t="str">
        <f>mapActivity.xml!L211</f>
        <v>map/map_001.png</v>
      </c>
      <c r="E207" t="str">
        <f>mapActivity.xml!M211</f>
        <v>1-3</v>
      </c>
      <c r="F207">
        <f>mapActivity.xml!N211</f>
        <v>920</v>
      </c>
      <c r="G207">
        <f>mapActivity.xml!S211</f>
        <v>2</v>
      </c>
    </row>
    <row r="208" spans="1:7">
      <c r="A208">
        <f>mapActivity.xml!A212</f>
        <v>204002</v>
      </c>
      <c r="B208" t="str">
        <f>mapActivity.xml!B212</f>
        <v>敏捷试炼（40）</v>
      </c>
      <c r="C208">
        <f>mapActivity.xml!D212</f>
        <v>0</v>
      </c>
      <c r="D208" t="str">
        <f>mapActivity.xml!L212</f>
        <v>map/map_001.png</v>
      </c>
      <c r="E208" t="str">
        <f>mapActivity.xml!M212</f>
        <v>1-3</v>
      </c>
      <c r="F208">
        <f>mapActivity.xml!N212</f>
        <v>920</v>
      </c>
      <c r="G208">
        <f>mapActivity.xml!S212</f>
        <v>2</v>
      </c>
    </row>
    <row r="209" spans="1:7">
      <c r="A209">
        <f>mapActivity.xml!A213</f>
        <v>204003</v>
      </c>
      <c r="B209" t="str">
        <f>mapActivity.xml!B213</f>
        <v>敏捷试炼（40）</v>
      </c>
      <c r="C209">
        <f>mapActivity.xml!D213</f>
        <v>0</v>
      </c>
      <c r="D209" t="str">
        <f>mapActivity.xml!L213</f>
        <v>map/map_001.png</v>
      </c>
      <c r="E209" t="str">
        <f>mapActivity.xml!M213</f>
        <v>1-3</v>
      </c>
      <c r="F209">
        <f>mapActivity.xml!N213</f>
        <v>920</v>
      </c>
      <c r="G209">
        <f>mapActivity.xml!S213</f>
        <v>2</v>
      </c>
    </row>
    <row r="210" spans="1:7">
      <c r="A210">
        <f>mapActivity.xml!A214</f>
        <v>204004</v>
      </c>
      <c r="B210" t="str">
        <f>mapActivity.xml!B214</f>
        <v>敏捷试炼（40）</v>
      </c>
      <c r="C210">
        <f>mapActivity.xml!D214</f>
        <v>0</v>
      </c>
      <c r="D210" t="str">
        <f>mapActivity.xml!L214</f>
        <v>map/map_001.png</v>
      </c>
      <c r="E210" t="str">
        <f>mapActivity.xml!M214</f>
        <v>1-3</v>
      </c>
      <c r="F210">
        <f>mapActivity.xml!N214</f>
        <v>920</v>
      </c>
      <c r="G210">
        <f>mapActivity.xml!S214</f>
        <v>2</v>
      </c>
    </row>
    <row r="211" spans="1:7">
      <c r="A211">
        <f>mapActivity.xml!A215</f>
        <v>204005</v>
      </c>
      <c r="B211" t="str">
        <f>mapActivity.xml!B215</f>
        <v>敏捷试炼（40）</v>
      </c>
      <c r="C211">
        <f>mapActivity.xml!D215</f>
        <v>0</v>
      </c>
      <c r="D211" t="str">
        <f>mapActivity.xml!L215</f>
        <v>map/map_001.png</v>
      </c>
      <c r="E211" t="str">
        <f>mapActivity.xml!M215</f>
        <v>1-3</v>
      </c>
      <c r="F211">
        <f>mapActivity.xml!N215</f>
        <v>920</v>
      </c>
      <c r="G211">
        <f>mapActivity.xml!S215</f>
        <v>2</v>
      </c>
    </row>
    <row r="212" spans="1:7">
      <c r="A212">
        <f>mapActivity.xml!A216</f>
        <v>204006</v>
      </c>
      <c r="B212" t="str">
        <f>mapActivity.xml!B216</f>
        <v>敏捷试炼（40）</v>
      </c>
      <c r="C212">
        <f>mapActivity.xml!D216</f>
        <v>0</v>
      </c>
      <c r="D212" t="str">
        <f>mapActivity.xml!L216</f>
        <v>map/map_001.png</v>
      </c>
      <c r="E212" t="str">
        <f>mapActivity.xml!M216</f>
        <v>1-3</v>
      </c>
      <c r="F212">
        <f>mapActivity.xml!N216</f>
        <v>920</v>
      </c>
      <c r="G212">
        <f>mapActivity.xml!S216</f>
        <v>2</v>
      </c>
    </row>
    <row r="213" spans="1:7">
      <c r="A213">
        <f>mapActivity.xml!A217</f>
        <v>204007</v>
      </c>
      <c r="B213" t="str">
        <f>mapActivity.xml!B217</f>
        <v>敏捷试炼（40）</v>
      </c>
      <c r="C213">
        <f>mapActivity.xml!D217</f>
        <v>0</v>
      </c>
      <c r="D213" t="str">
        <f>mapActivity.xml!L217</f>
        <v>map/map_001.png</v>
      </c>
      <c r="E213" t="str">
        <f>mapActivity.xml!M217</f>
        <v>1-3</v>
      </c>
      <c r="F213">
        <f>mapActivity.xml!N217</f>
        <v>920</v>
      </c>
      <c r="G213">
        <f>mapActivity.xml!S217</f>
        <v>2</v>
      </c>
    </row>
    <row r="214" spans="1:7">
      <c r="A214">
        <f>mapActivity.xml!A218</f>
        <v>204008</v>
      </c>
      <c r="B214" t="str">
        <f>mapActivity.xml!B218</f>
        <v>敏捷试炼（40）</v>
      </c>
      <c r="C214">
        <f>mapActivity.xml!D218</f>
        <v>0</v>
      </c>
      <c r="D214" t="str">
        <f>mapActivity.xml!L218</f>
        <v>map/map_001.png</v>
      </c>
      <c r="E214" t="str">
        <f>mapActivity.xml!M218</f>
        <v>1-3</v>
      </c>
      <c r="F214">
        <f>mapActivity.xml!N218</f>
        <v>920</v>
      </c>
      <c r="G214">
        <f>mapActivity.xml!S218</f>
        <v>2</v>
      </c>
    </row>
    <row r="215" spans="1:7">
      <c r="A215">
        <f>mapActivity.xml!A219</f>
        <v>204009</v>
      </c>
      <c r="B215" t="str">
        <f>mapActivity.xml!B219</f>
        <v>敏捷试炼（40）</v>
      </c>
      <c r="C215">
        <f>mapActivity.xml!D219</f>
        <v>0</v>
      </c>
      <c r="D215" t="str">
        <f>mapActivity.xml!L219</f>
        <v>map/map_001.png</v>
      </c>
      <c r="E215" t="str">
        <f>mapActivity.xml!M219</f>
        <v>1-3</v>
      </c>
      <c r="F215">
        <f>mapActivity.xml!N219</f>
        <v>920</v>
      </c>
      <c r="G215">
        <f>mapActivity.xml!S219</f>
        <v>2</v>
      </c>
    </row>
    <row r="216" spans="1:7">
      <c r="A216">
        <f>mapActivity.xml!A220</f>
        <v>204501</v>
      </c>
      <c r="B216" t="str">
        <f>mapActivity.xml!B220</f>
        <v>敏捷试炼（45）</v>
      </c>
      <c r="C216">
        <f>mapActivity.xml!D220</f>
        <v>0</v>
      </c>
      <c r="D216" t="str">
        <f>mapActivity.xml!L220</f>
        <v>map/map_001.png</v>
      </c>
      <c r="E216" t="str">
        <f>mapActivity.xml!M220</f>
        <v>1-3</v>
      </c>
      <c r="F216">
        <f>mapActivity.xml!N220</f>
        <v>920</v>
      </c>
      <c r="G216">
        <f>mapActivity.xml!S220</f>
        <v>2</v>
      </c>
    </row>
    <row r="217" spans="1:7">
      <c r="A217">
        <f>mapActivity.xml!A221</f>
        <v>204502</v>
      </c>
      <c r="B217" t="str">
        <f>mapActivity.xml!B221</f>
        <v>敏捷试炼（45）</v>
      </c>
      <c r="C217">
        <f>mapActivity.xml!D221</f>
        <v>0</v>
      </c>
      <c r="D217" t="str">
        <f>mapActivity.xml!L221</f>
        <v>map/map_001.png</v>
      </c>
      <c r="E217" t="str">
        <f>mapActivity.xml!M221</f>
        <v>1-3</v>
      </c>
      <c r="F217">
        <f>mapActivity.xml!N221</f>
        <v>920</v>
      </c>
      <c r="G217">
        <f>mapActivity.xml!S221</f>
        <v>2</v>
      </c>
    </row>
    <row r="218" spans="1:7">
      <c r="A218">
        <f>mapActivity.xml!A222</f>
        <v>204503</v>
      </c>
      <c r="B218" t="str">
        <f>mapActivity.xml!B222</f>
        <v>敏捷试炼（45）</v>
      </c>
      <c r="C218">
        <f>mapActivity.xml!D222</f>
        <v>0</v>
      </c>
      <c r="D218" t="str">
        <f>mapActivity.xml!L222</f>
        <v>map/map_001.png</v>
      </c>
      <c r="E218" t="str">
        <f>mapActivity.xml!M222</f>
        <v>1-3</v>
      </c>
      <c r="F218">
        <f>mapActivity.xml!N222</f>
        <v>920</v>
      </c>
      <c r="G218">
        <f>mapActivity.xml!S222</f>
        <v>2</v>
      </c>
    </row>
    <row r="219" spans="1:7">
      <c r="A219">
        <f>mapActivity.xml!A223</f>
        <v>204504</v>
      </c>
      <c r="B219" t="str">
        <f>mapActivity.xml!B223</f>
        <v>敏捷试炼（45）</v>
      </c>
      <c r="C219">
        <f>mapActivity.xml!D223</f>
        <v>0</v>
      </c>
      <c r="D219" t="str">
        <f>mapActivity.xml!L223</f>
        <v>map/map_001.png</v>
      </c>
      <c r="E219" t="str">
        <f>mapActivity.xml!M223</f>
        <v>1-3</v>
      </c>
      <c r="F219">
        <f>mapActivity.xml!N223</f>
        <v>920</v>
      </c>
      <c r="G219">
        <f>mapActivity.xml!S223</f>
        <v>2</v>
      </c>
    </row>
    <row r="220" spans="1:7">
      <c r="A220">
        <f>mapActivity.xml!A224</f>
        <v>204505</v>
      </c>
      <c r="B220" t="str">
        <f>mapActivity.xml!B224</f>
        <v>敏捷试炼（45）</v>
      </c>
      <c r="C220">
        <f>mapActivity.xml!D224</f>
        <v>0</v>
      </c>
      <c r="D220" t="str">
        <f>mapActivity.xml!L224</f>
        <v>map/map_001.png</v>
      </c>
      <c r="E220" t="str">
        <f>mapActivity.xml!M224</f>
        <v>1-3</v>
      </c>
      <c r="F220">
        <f>mapActivity.xml!N224</f>
        <v>920</v>
      </c>
      <c r="G220">
        <f>mapActivity.xml!S224</f>
        <v>2</v>
      </c>
    </row>
    <row r="221" spans="1:7">
      <c r="A221">
        <f>mapActivity.xml!A225</f>
        <v>204506</v>
      </c>
      <c r="B221" t="str">
        <f>mapActivity.xml!B225</f>
        <v>敏捷试炼（45）</v>
      </c>
      <c r="C221">
        <f>mapActivity.xml!D225</f>
        <v>0</v>
      </c>
      <c r="D221" t="str">
        <f>mapActivity.xml!L225</f>
        <v>map/map_001.png</v>
      </c>
      <c r="E221" t="str">
        <f>mapActivity.xml!M225</f>
        <v>1-3</v>
      </c>
      <c r="F221">
        <f>mapActivity.xml!N225</f>
        <v>920</v>
      </c>
      <c r="G221">
        <f>mapActivity.xml!S225</f>
        <v>2</v>
      </c>
    </row>
    <row r="222" spans="1:7">
      <c r="A222">
        <f>mapActivity.xml!A226</f>
        <v>204507</v>
      </c>
      <c r="B222" t="str">
        <f>mapActivity.xml!B226</f>
        <v>敏捷试炼（45）</v>
      </c>
      <c r="C222">
        <f>mapActivity.xml!D226</f>
        <v>0</v>
      </c>
      <c r="D222" t="str">
        <f>mapActivity.xml!L226</f>
        <v>map/map_001.png</v>
      </c>
      <c r="E222" t="str">
        <f>mapActivity.xml!M226</f>
        <v>1-3</v>
      </c>
      <c r="F222">
        <f>mapActivity.xml!N226</f>
        <v>920</v>
      </c>
      <c r="G222">
        <f>mapActivity.xml!S226</f>
        <v>2</v>
      </c>
    </row>
    <row r="223" spans="1:7">
      <c r="A223">
        <f>mapActivity.xml!A227</f>
        <v>204508</v>
      </c>
      <c r="B223" t="str">
        <f>mapActivity.xml!B227</f>
        <v>敏捷试炼（45）</v>
      </c>
      <c r="C223">
        <f>mapActivity.xml!D227</f>
        <v>0</v>
      </c>
      <c r="D223" t="str">
        <f>mapActivity.xml!L227</f>
        <v>map/map_001.png</v>
      </c>
      <c r="E223" t="str">
        <f>mapActivity.xml!M227</f>
        <v>1-3</v>
      </c>
      <c r="F223">
        <f>mapActivity.xml!N227</f>
        <v>920</v>
      </c>
      <c r="G223">
        <f>mapActivity.xml!S227</f>
        <v>2</v>
      </c>
    </row>
    <row r="224" spans="1:7">
      <c r="A224">
        <f>mapActivity.xml!A228</f>
        <v>204509</v>
      </c>
      <c r="B224" t="str">
        <f>mapActivity.xml!B228</f>
        <v>敏捷试炼（45）</v>
      </c>
      <c r="C224">
        <f>mapActivity.xml!D228</f>
        <v>0</v>
      </c>
      <c r="D224" t="str">
        <f>mapActivity.xml!L228</f>
        <v>map/map_001.png</v>
      </c>
      <c r="E224" t="str">
        <f>mapActivity.xml!M228</f>
        <v>1-3</v>
      </c>
      <c r="F224">
        <f>mapActivity.xml!N228</f>
        <v>920</v>
      </c>
      <c r="G224">
        <f>mapActivity.xml!S228</f>
        <v>2</v>
      </c>
    </row>
    <row r="225" spans="1:7">
      <c r="A225">
        <f>mapActivity.xml!A229</f>
        <v>205001</v>
      </c>
      <c r="B225" t="str">
        <f>mapActivity.xml!B229</f>
        <v>敏捷试炼（50）</v>
      </c>
      <c r="C225">
        <f>mapActivity.xml!D229</f>
        <v>0</v>
      </c>
      <c r="D225" t="str">
        <f>mapActivity.xml!L229</f>
        <v>map/map_001.png</v>
      </c>
      <c r="E225" t="str">
        <f>mapActivity.xml!M229</f>
        <v>1-3</v>
      </c>
      <c r="F225">
        <f>mapActivity.xml!N229</f>
        <v>920</v>
      </c>
      <c r="G225">
        <f>mapActivity.xml!S229</f>
        <v>2</v>
      </c>
    </row>
    <row r="226" spans="1:7">
      <c r="A226">
        <f>mapActivity.xml!A230</f>
        <v>205002</v>
      </c>
      <c r="B226" t="str">
        <f>mapActivity.xml!B230</f>
        <v>敏捷试炼（50）</v>
      </c>
      <c r="C226">
        <f>mapActivity.xml!D230</f>
        <v>0</v>
      </c>
      <c r="D226" t="str">
        <f>mapActivity.xml!L230</f>
        <v>map/map_001.png</v>
      </c>
      <c r="E226" t="str">
        <f>mapActivity.xml!M230</f>
        <v>1-3</v>
      </c>
      <c r="F226">
        <f>mapActivity.xml!N230</f>
        <v>920</v>
      </c>
      <c r="G226">
        <f>mapActivity.xml!S230</f>
        <v>2</v>
      </c>
    </row>
    <row r="227" spans="1:7">
      <c r="A227">
        <f>mapActivity.xml!A231</f>
        <v>205003</v>
      </c>
      <c r="B227" t="str">
        <f>mapActivity.xml!B231</f>
        <v>敏捷试炼（50）</v>
      </c>
      <c r="C227">
        <f>mapActivity.xml!D231</f>
        <v>0</v>
      </c>
      <c r="D227" t="str">
        <f>mapActivity.xml!L231</f>
        <v>map/map_001.png</v>
      </c>
      <c r="E227" t="str">
        <f>mapActivity.xml!M231</f>
        <v>1-3</v>
      </c>
      <c r="F227">
        <f>mapActivity.xml!N231</f>
        <v>920</v>
      </c>
      <c r="G227">
        <f>mapActivity.xml!S231</f>
        <v>2</v>
      </c>
    </row>
    <row r="228" spans="1:7">
      <c r="A228">
        <f>mapActivity.xml!A232</f>
        <v>205004</v>
      </c>
      <c r="B228" t="str">
        <f>mapActivity.xml!B232</f>
        <v>敏捷试炼（50）</v>
      </c>
      <c r="C228">
        <f>mapActivity.xml!D232</f>
        <v>0</v>
      </c>
      <c r="D228" t="str">
        <f>mapActivity.xml!L232</f>
        <v>map/map_001.png</v>
      </c>
      <c r="E228" t="str">
        <f>mapActivity.xml!M232</f>
        <v>1-3</v>
      </c>
      <c r="F228">
        <f>mapActivity.xml!N232</f>
        <v>920</v>
      </c>
      <c r="G228">
        <f>mapActivity.xml!S232</f>
        <v>2</v>
      </c>
    </row>
    <row r="229" spans="1:7">
      <c r="A229">
        <f>mapActivity.xml!A233</f>
        <v>205005</v>
      </c>
      <c r="B229" t="str">
        <f>mapActivity.xml!B233</f>
        <v>敏捷试炼（50）</v>
      </c>
      <c r="C229">
        <f>mapActivity.xml!D233</f>
        <v>0</v>
      </c>
      <c r="D229" t="str">
        <f>mapActivity.xml!L233</f>
        <v>map/map_001.png</v>
      </c>
      <c r="E229" t="str">
        <f>mapActivity.xml!M233</f>
        <v>1-3</v>
      </c>
      <c r="F229">
        <f>mapActivity.xml!N233</f>
        <v>920</v>
      </c>
      <c r="G229">
        <f>mapActivity.xml!S233</f>
        <v>2</v>
      </c>
    </row>
    <row r="230" spans="1:7">
      <c r="A230">
        <f>mapActivity.xml!A234</f>
        <v>205006</v>
      </c>
      <c r="B230" t="str">
        <f>mapActivity.xml!B234</f>
        <v>敏捷试炼（50）</v>
      </c>
      <c r="C230">
        <f>mapActivity.xml!D234</f>
        <v>0</v>
      </c>
      <c r="D230" t="str">
        <f>mapActivity.xml!L234</f>
        <v>map/map_001.png</v>
      </c>
      <c r="E230" t="str">
        <f>mapActivity.xml!M234</f>
        <v>1-3</v>
      </c>
      <c r="F230">
        <f>mapActivity.xml!N234</f>
        <v>920</v>
      </c>
      <c r="G230">
        <f>mapActivity.xml!S234</f>
        <v>2</v>
      </c>
    </row>
    <row r="231" spans="1:7">
      <c r="A231">
        <f>mapActivity.xml!A235</f>
        <v>205007</v>
      </c>
      <c r="B231" t="str">
        <f>mapActivity.xml!B235</f>
        <v>敏捷试炼（50）</v>
      </c>
      <c r="C231">
        <f>mapActivity.xml!D235</f>
        <v>0</v>
      </c>
      <c r="D231" t="str">
        <f>mapActivity.xml!L235</f>
        <v>map/map_001.png</v>
      </c>
      <c r="E231" t="str">
        <f>mapActivity.xml!M235</f>
        <v>1-3</v>
      </c>
      <c r="F231">
        <f>mapActivity.xml!N235</f>
        <v>920</v>
      </c>
      <c r="G231">
        <f>mapActivity.xml!S235</f>
        <v>2</v>
      </c>
    </row>
    <row r="232" spans="1:7">
      <c r="A232">
        <f>mapActivity.xml!A236</f>
        <v>205008</v>
      </c>
      <c r="B232" t="str">
        <f>mapActivity.xml!B236</f>
        <v>敏捷试炼（50）</v>
      </c>
      <c r="C232">
        <f>mapActivity.xml!D236</f>
        <v>0</v>
      </c>
      <c r="D232" t="str">
        <f>mapActivity.xml!L236</f>
        <v>map/map_001.png</v>
      </c>
      <c r="E232" t="str">
        <f>mapActivity.xml!M236</f>
        <v>1-3</v>
      </c>
      <c r="F232">
        <f>mapActivity.xml!N236</f>
        <v>920</v>
      </c>
      <c r="G232">
        <f>mapActivity.xml!S236</f>
        <v>2</v>
      </c>
    </row>
    <row r="233" spans="1:7">
      <c r="A233">
        <f>mapActivity.xml!A237</f>
        <v>205009</v>
      </c>
      <c r="B233" t="str">
        <f>mapActivity.xml!B237</f>
        <v>敏捷试炼（50）</v>
      </c>
      <c r="C233">
        <f>mapActivity.xml!D237</f>
        <v>0</v>
      </c>
      <c r="D233" t="str">
        <f>mapActivity.xml!L237</f>
        <v>map/map_001.png</v>
      </c>
      <c r="E233" t="str">
        <f>mapActivity.xml!M237</f>
        <v>1-3</v>
      </c>
      <c r="F233">
        <f>mapActivity.xml!N237</f>
        <v>920</v>
      </c>
      <c r="G233">
        <f>mapActivity.xml!S237</f>
        <v>2</v>
      </c>
    </row>
    <row r="234" spans="1:7">
      <c r="A234">
        <f>mapActivity.xml!A238</f>
        <v>205501</v>
      </c>
      <c r="B234" t="str">
        <f>mapActivity.xml!B238</f>
        <v>敏捷试炼（55）</v>
      </c>
      <c r="C234">
        <f>mapActivity.xml!D238</f>
        <v>0</v>
      </c>
      <c r="D234" t="str">
        <f>mapActivity.xml!L238</f>
        <v>map/map_001.png</v>
      </c>
      <c r="E234" t="str">
        <f>mapActivity.xml!M238</f>
        <v>1-3</v>
      </c>
      <c r="F234">
        <f>mapActivity.xml!N238</f>
        <v>920</v>
      </c>
      <c r="G234">
        <f>mapActivity.xml!S238</f>
        <v>2</v>
      </c>
    </row>
    <row r="235" spans="1:7">
      <c r="A235">
        <f>mapActivity.xml!A239</f>
        <v>205502</v>
      </c>
      <c r="B235" t="str">
        <f>mapActivity.xml!B239</f>
        <v>敏捷试炼（55）</v>
      </c>
      <c r="C235">
        <f>mapActivity.xml!D239</f>
        <v>0</v>
      </c>
      <c r="D235" t="str">
        <f>mapActivity.xml!L239</f>
        <v>map/map_001.png</v>
      </c>
      <c r="E235" t="str">
        <f>mapActivity.xml!M239</f>
        <v>1-3</v>
      </c>
      <c r="F235">
        <f>mapActivity.xml!N239</f>
        <v>920</v>
      </c>
      <c r="G235">
        <f>mapActivity.xml!S239</f>
        <v>2</v>
      </c>
    </row>
    <row r="236" spans="1:7">
      <c r="A236">
        <f>mapActivity.xml!A240</f>
        <v>205503</v>
      </c>
      <c r="B236" t="str">
        <f>mapActivity.xml!B240</f>
        <v>敏捷试炼（55）</v>
      </c>
      <c r="C236">
        <f>mapActivity.xml!D240</f>
        <v>0</v>
      </c>
      <c r="D236" t="str">
        <f>mapActivity.xml!L240</f>
        <v>map/map_001.png</v>
      </c>
      <c r="E236" t="str">
        <f>mapActivity.xml!M240</f>
        <v>1-3</v>
      </c>
      <c r="F236">
        <f>mapActivity.xml!N240</f>
        <v>920</v>
      </c>
      <c r="G236">
        <f>mapActivity.xml!S240</f>
        <v>2</v>
      </c>
    </row>
    <row r="237" spans="1:7">
      <c r="A237">
        <f>mapActivity.xml!A241</f>
        <v>205504</v>
      </c>
      <c r="B237" t="str">
        <f>mapActivity.xml!B241</f>
        <v>敏捷试炼（55）</v>
      </c>
      <c r="C237">
        <f>mapActivity.xml!D241</f>
        <v>0</v>
      </c>
      <c r="D237" t="str">
        <f>mapActivity.xml!L241</f>
        <v>map/map_001.png</v>
      </c>
      <c r="E237" t="str">
        <f>mapActivity.xml!M241</f>
        <v>1-3</v>
      </c>
      <c r="F237">
        <f>mapActivity.xml!N241</f>
        <v>920</v>
      </c>
      <c r="G237">
        <f>mapActivity.xml!S241</f>
        <v>2</v>
      </c>
    </row>
    <row r="238" spans="1:7">
      <c r="A238">
        <f>mapActivity.xml!A242</f>
        <v>205505</v>
      </c>
      <c r="B238" t="str">
        <f>mapActivity.xml!B242</f>
        <v>敏捷试炼（55）</v>
      </c>
      <c r="C238">
        <f>mapActivity.xml!D242</f>
        <v>0</v>
      </c>
      <c r="D238" t="str">
        <f>mapActivity.xml!L242</f>
        <v>map/map_001.png</v>
      </c>
      <c r="E238" t="str">
        <f>mapActivity.xml!M242</f>
        <v>1-3</v>
      </c>
      <c r="F238">
        <f>mapActivity.xml!N242</f>
        <v>920</v>
      </c>
      <c r="G238">
        <f>mapActivity.xml!S242</f>
        <v>2</v>
      </c>
    </row>
    <row r="239" spans="1:7">
      <c r="A239">
        <f>mapActivity.xml!A243</f>
        <v>205506</v>
      </c>
      <c r="B239" t="str">
        <f>mapActivity.xml!B243</f>
        <v>敏捷试炼（55）</v>
      </c>
      <c r="C239">
        <f>mapActivity.xml!D243</f>
        <v>0</v>
      </c>
      <c r="D239" t="str">
        <f>mapActivity.xml!L243</f>
        <v>map/map_001.png</v>
      </c>
      <c r="E239" t="str">
        <f>mapActivity.xml!M243</f>
        <v>1-3</v>
      </c>
      <c r="F239">
        <f>mapActivity.xml!N243</f>
        <v>920</v>
      </c>
      <c r="G239">
        <f>mapActivity.xml!S243</f>
        <v>2</v>
      </c>
    </row>
    <row r="240" spans="1:7">
      <c r="A240">
        <f>mapActivity.xml!A244</f>
        <v>205507</v>
      </c>
      <c r="B240" t="str">
        <f>mapActivity.xml!B244</f>
        <v>敏捷试炼（55）</v>
      </c>
      <c r="C240">
        <f>mapActivity.xml!D244</f>
        <v>0</v>
      </c>
      <c r="D240" t="str">
        <f>mapActivity.xml!L244</f>
        <v>map/map_001.png</v>
      </c>
      <c r="E240" t="str">
        <f>mapActivity.xml!M244</f>
        <v>1-3</v>
      </c>
      <c r="F240">
        <f>mapActivity.xml!N244</f>
        <v>920</v>
      </c>
      <c r="G240">
        <f>mapActivity.xml!S244</f>
        <v>2</v>
      </c>
    </row>
    <row r="241" spans="1:7">
      <c r="A241">
        <f>mapActivity.xml!A245</f>
        <v>205508</v>
      </c>
      <c r="B241" t="str">
        <f>mapActivity.xml!B245</f>
        <v>敏捷试炼（55）</v>
      </c>
      <c r="C241">
        <f>mapActivity.xml!D245</f>
        <v>0</v>
      </c>
      <c r="D241" t="str">
        <f>mapActivity.xml!L245</f>
        <v>map/map_001.png</v>
      </c>
      <c r="E241" t="str">
        <f>mapActivity.xml!M245</f>
        <v>1-3</v>
      </c>
      <c r="F241">
        <f>mapActivity.xml!N245</f>
        <v>920</v>
      </c>
      <c r="G241">
        <f>mapActivity.xml!S245</f>
        <v>2</v>
      </c>
    </row>
    <row r="242" spans="1:7">
      <c r="A242">
        <f>mapActivity.xml!A246</f>
        <v>205509</v>
      </c>
      <c r="B242" t="str">
        <f>mapActivity.xml!B246</f>
        <v>敏捷试炼（55）</v>
      </c>
      <c r="C242">
        <f>mapActivity.xml!D246</f>
        <v>0</v>
      </c>
      <c r="D242" t="str">
        <f>mapActivity.xml!L246</f>
        <v>map/map_001.png</v>
      </c>
      <c r="E242" t="str">
        <f>mapActivity.xml!M246</f>
        <v>1-3</v>
      </c>
      <c r="F242">
        <f>mapActivity.xml!N246</f>
        <v>920</v>
      </c>
      <c r="G242">
        <f>mapActivity.xml!S246</f>
        <v>2</v>
      </c>
    </row>
    <row r="243" spans="1:7">
      <c r="A243">
        <f>mapActivity.xml!A247</f>
        <v>206001</v>
      </c>
      <c r="B243" t="str">
        <f>mapActivity.xml!B247</f>
        <v>技巧试炼（60）</v>
      </c>
      <c r="C243">
        <f>mapActivity.xml!D247</f>
        <v>0</v>
      </c>
      <c r="D243" t="str">
        <f>mapActivity.xml!L247</f>
        <v>map/map_001.png</v>
      </c>
      <c r="E243" t="str">
        <f>mapActivity.xml!M247</f>
        <v>1-3</v>
      </c>
      <c r="F243">
        <f>mapActivity.xml!N247</f>
        <v>920</v>
      </c>
      <c r="G243">
        <f>mapActivity.xml!S247</f>
        <v>2</v>
      </c>
    </row>
    <row r="244" spans="1:7">
      <c r="A244">
        <f>mapActivity.xml!A248</f>
        <v>206002</v>
      </c>
      <c r="B244" t="str">
        <f>mapActivity.xml!B248</f>
        <v>技巧试炼（60）</v>
      </c>
      <c r="C244">
        <f>mapActivity.xml!D248</f>
        <v>0</v>
      </c>
      <c r="D244" t="str">
        <f>mapActivity.xml!L248</f>
        <v>map/map_001.png</v>
      </c>
      <c r="E244" t="str">
        <f>mapActivity.xml!M248</f>
        <v>1-3</v>
      </c>
      <c r="F244">
        <f>mapActivity.xml!N248</f>
        <v>920</v>
      </c>
      <c r="G244">
        <f>mapActivity.xml!S248</f>
        <v>2</v>
      </c>
    </row>
    <row r="245" spans="1:7">
      <c r="A245">
        <f>mapActivity.xml!A249</f>
        <v>206003</v>
      </c>
      <c r="B245" t="str">
        <f>mapActivity.xml!B249</f>
        <v>技巧试炼（60）</v>
      </c>
      <c r="C245">
        <f>mapActivity.xml!D249</f>
        <v>0</v>
      </c>
      <c r="D245" t="str">
        <f>mapActivity.xml!L249</f>
        <v>map/map_001.png</v>
      </c>
      <c r="E245" t="str">
        <f>mapActivity.xml!M249</f>
        <v>1-3</v>
      </c>
      <c r="F245">
        <f>mapActivity.xml!N249</f>
        <v>920</v>
      </c>
      <c r="G245">
        <f>mapActivity.xml!S249</f>
        <v>2</v>
      </c>
    </row>
    <row r="246" spans="1:7">
      <c r="A246">
        <f>mapActivity.xml!A250</f>
        <v>206004</v>
      </c>
      <c r="B246" t="str">
        <f>mapActivity.xml!B250</f>
        <v>技巧试炼（60）</v>
      </c>
      <c r="C246">
        <f>mapActivity.xml!D250</f>
        <v>0</v>
      </c>
      <c r="D246" t="str">
        <f>mapActivity.xml!L250</f>
        <v>map/map_001.png</v>
      </c>
      <c r="E246" t="str">
        <f>mapActivity.xml!M250</f>
        <v>1-3</v>
      </c>
      <c r="F246">
        <f>mapActivity.xml!N250</f>
        <v>920</v>
      </c>
      <c r="G246">
        <f>mapActivity.xml!S250</f>
        <v>2</v>
      </c>
    </row>
    <row r="247" spans="1:7">
      <c r="A247">
        <f>mapActivity.xml!A251</f>
        <v>206005</v>
      </c>
      <c r="B247" t="str">
        <f>mapActivity.xml!B251</f>
        <v>技巧试炼（60）</v>
      </c>
      <c r="C247">
        <f>mapActivity.xml!D251</f>
        <v>0</v>
      </c>
      <c r="D247" t="str">
        <f>mapActivity.xml!L251</f>
        <v>map/map_001.png</v>
      </c>
      <c r="E247" t="str">
        <f>mapActivity.xml!M251</f>
        <v>1-3</v>
      </c>
      <c r="F247">
        <f>mapActivity.xml!N251</f>
        <v>920</v>
      </c>
      <c r="G247">
        <f>mapActivity.xml!S251</f>
        <v>2</v>
      </c>
    </row>
    <row r="248" spans="1:7">
      <c r="A248">
        <f>mapActivity.xml!A252</f>
        <v>206006</v>
      </c>
      <c r="B248" t="str">
        <f>mapActivity.xml!B252</f>
        <v>技巧试炼（60）</v>
      </c>
      <c r="C248">
        <f>mapActivity.xml!D252</f>
        <v>0</v>
      </c>
      <c r="D248" t="str">
        <f>mapActivity.xml!L252</f>
        <v>map/map_001.png</v>
      </c>
      <c r="E248" t="str">
        <f>mapActivity.xml!M252</f>
        <v>1-3</v>
      </c>
      <c r="F248">
        <f>mapActivity.xml!N252</f>
        <v>920</v>
      </c>
      <c r="G248">
        <f>mapActivity.xml!S252</f>
        <v>2</v>
      </c>
    </row>
    <row r="249" spans="1:7">
      <c r="A249">
        <f>mapActivity.xml!A253</f>
        <v>206007</v>
      </c>
      <c r="B249" t="str">
        <f>mapActivity.xml!B253</f>
        <v>技巧试炼（60）</v>
      </c>
      <c r="C249">
        <f>mapActivity.xml!D253</f>
        <v>0</v>
      </c>
      <c r="D249" t="str">
        <f>mapActivity.xml!L253</f>
        <v>map/map_001.png</v>
      </c>
      <c r="E249" t="str">
        <f>mapActivity.xml!M253</f>
        <v>1-3</v>
      </c>
      <c r="F249">
        <f>mapActivity.xml!N253</f>
        <v>920</v>
      </c>
      <c r="G249">
        <f>mapActivity.xml!S253</f>
        <v>2</v>
      </c>
    </row>
    <row r="250" spans="1:7">
      <c r="A250">
        <f>mapActivity.xml!A254</f>
        <v>206008</v>
      </c>
      <c r="B250" t="str">
        <f>mapActivity.xml!B254</f>
        <v>技巧试炼（60）</v>
      </c>
      <c r="C250">
        <f>mapActivity.xml!D254</f>
        <v>0</v>
      </c>
      <c r="D250" t="str">
        <f>mapActivity.xml!L254</f>
        <v>map/map_001.png</v>
      </c>
      <c r="E250" t="str">
        <f>mapActivity.xml!M254</f>
        <v>1-3</v>
      </c>
      <c r="F250">
        <f>mapActivity.xml!N254</f>
        <v>920</v>
      </c>
      <c r="G250">
        <f>mapActivity.xml!S254</f>
        <v>2</v>
      </c>
    </row>
    <row r="251" spans="1:7">
      <c r="A251">
        <f>mapActivity.xml!A255</f>
        <v>206009</v>
      </c>
      <c r="B251" t="str">
        <f>mapActivity.xml!B255</f>
        <v>技巧试炼（60）</v>
      </c>
      <c r="C251">
        <f>mapActivity.xml!D255</f>
        <v>0</v>
      </c>
      <c r="D251" t="str">
        <f>mapActivity.xml!L255</f>
        <v>map/map_001.png</v>
      </c>
      <c r="E251" t="str">
        <f>mapActivity.xml!M255</f>
        <v>1-3</v>
      </c>
      <c r="F251">
        <f>mapActivity.xml!N255</f>
        <v>920</v>
      </c>
      <c r="G251">
        <f>mapActivity.xml!S255</f>
        <v>2</v>
      </c>
    </row>
    <row r="252" spans="1:7">
      <c r="A252">
        <f>mapActivity.xml!A256</f>
        <v>206501</v>
      </c>
      <c r="B252" t="str">
        <f>mapActivity.xml!B256</f>
        <v>技巧试炼（65）</v>
      </c>
      <c r="C252">
        <f>mapActivity.xml!D256</f>
        <v>0</v>
      </c>
      <c r="D252" t="str">
        <f>mapActivity.xml!L256</f>
        <v>map/map_001.png</v>
      </c>
      <c r="E252" t="str">
        <f>mapActivity.xml!M256</f>
        <v>1-3</v>
      </c>
      <c r="F252">
        <f>mapActivity.xml!N256</f>
        <v>920</v>
      </c>
      <c r="G252">
        <f>mapActivity.xml!S256</f>
        <v>2</v>
      </c>
    </row>
    <row r="253" spans="1:7">
      <c r="A253">
        <f>mapActivity.xml!A257</f>
        <v>206502</v>
      </c>
      <c r="B253" t="str">
        <f>mapActivity.xml!B257</f>
        <v>技巧试炼（65）</v>
      </c>
      <c r="C253">
        <f>mapActivity.xml!D257</f>
        <v>0</v>
      </c>
      <c r="D253" t="str">
        <f>mapActivity.xml!L257</f>
        <v>map/map_001.png</v>
      </c>
      <c r="E253" t="str">
        <f>mapActivity.xml!M257</f>
        <v>1-3</v>
      </c>
      <c r="F253">
        <f>mapActivity.xml!N257</f>
        <v>920</v>
      </c>
      <c r="G253">
        <f>mapActivity.xml!S257</f>
        <v>2</v>
      </c>
    </row>
    <row r="254" spans="1:7">
      <c r="A254">
        <f>mapActivity.xml!A258</f>
        <v>206503</v>
      </c>
      <c r="B254" t="str">
        <f>mapActivity.xml!B258</f>
        <v>技巧试炼（65）</v>
      </c>
      <c r="C254">
        <f>mapActivity.xml!D258</f>
        <v>0</v>
      </c>
      <c r="D254" t="str">
        <f>mapActivity.xml!L258</f>
        <v>map/map_001.png</v>
      </c>
      <c r="E254" t="str">
        <f>mapActivity.xml!M258</f>
        <v>1-3</v>
      </c>
      <c r="F254">
        <f>mapActivity.xml!N258</f>
        <v>920</v>
      </c>
      <c r="G254">
        <f>mapActivity.xml!S258</f>
        <v>2</v>
      </c>
    </row>
    <row r="255" spans="1:7">
      <c r="A255">
        <f>mapActivity.xml!A259</f>
        <v>206504</v>
      </c>
      <c r="B255" t="str">
        <f>mapActivity.xml!B259</f>
        <v>技巧试炼（65）</v>
      </c>
      <c r="C255">
        <f>mapActivity.xml!D259</f>
        <v>0</v>
      </c>
      <c r="D255" t="str">
        <f>mapActivity.xml!L259</f>
        <v>map/map_001.png</v>
      </c>
      <c r="E255" t="str">
        <f>mapActivity.xml!M259</f>
        <v>1-3</v>
      </c>
      <c r="F255">
        <f>mapActivity.xml!N259</f>
        <v>920</v>
      </c>
      <c r="G255">
        <f>mapActivity.xml!S259</f>
        <v>2</v>
      </c>
    </row>
    <row r="256" spans="1:7">
      <c r="A256">
        <f>mapActivity.xml!A260</f>
        <v>206505</v>
      </c>
      <c r="B256" t="str">
        <f>mapActivity.xml!B260</f>
        <v>技巧试炼（65）</v>
      </c>
      <c r="C256">
        <f>mapActivity.xml!D260</f>
        <v>0</v>
      </c>
      <c r="D256" t="str">
        <f>mapActivity.xml!L260</f>
        <v>map/map_001.png</v>
      </c>
      <c r="E256" t="str">
        <f>mapActivity.xml!M260</f>
        <v>1-3</v>
      </c>
      <c r="F256">
        <f>mapActivity.xml!N260</f>
        <v>920</v>
      </c>
      <c r="G256">
        <f>mapActivity.xml!S260</f>
        <v>2</v>
      </c>
    </row>
    <row r="257" spans="1:7">
      <c r="A257">
        <f>mapActivity.xml!A261</f>
        <v>206506</v>
      </c>
      <c r="B257" t="str">
        <f>mapActivity.xml!B261</f>
        <v>技巧试炼（65）</v>
      </c>
      <c r="C257">
        <f>mapActivity.xml!D261</f>
        <v>0</v>
      </c>
      <c r="D257" t="str">
        <f>mapActivity.xml!L261</f>
        <v>map/map_001.png</v>
      </c>
      <c r="E257" t="str">
        <f>mapActivity.xml!M261</f>
        <v>1-3</v>
      </c>
      <c r="F257">
        <f>mapActivity.xml!N261</f>
        <v>920</v>
      </c>
      <c r="G257">
        <f>mapActivity.xml!S261</f>
        <v>2</v>
      </c>
    </row>
    <row r="258" spans="1:7">
      <c r="A258">
        <f>mapActivity.xml!A262</f>
        <v>206507</v>
      </c>
      <c r="B258" t="str">
        <f>mapActivity.xml!B262</f>
        <v>技巧试炼（65）</v>
      </c>
      <c r="C258">
        <f>mapActivity.xml!D262</f>
        <v>0</v>
      </c>
      <c r="D258" t="str">
        <f>mapActivity.xml!L262</f>
        <v>map/map_001.png</v>
      </c>
      <c r="E258" t="str">
        <f>mapActivity.xml!M262</f>
        <v>1-3</v>
      </c>
      <c r="F258">
        <f>mapActivity.xml!N262</f>
        <v>920</v>
      </c>
      <c r="G258">
        <f>mapActivity.xml!S262</f>
        <v>2</v>
      </c>
    </row>
    <row r="259" spans="1:7">
      <c r="A259">
        <f>mapActivity.xml!A263</f>
        <v>206508</v>
      </c>
      <c r="B259" t="str">
        <f>mapActivity.xml!B263</f>
        <v>技巧试炼（65）</v>
      </c>
      <c r="C259">
        <f>mapActivity.xml!D263</f>
        <v>0</v>
      </c>
      <c r="D259" t="str">
        <f>mapActivity.xml!L263</f>
        <v>map/map_001.png</v>
      </c>
      <c r="E259" t="str">
        <f>mapActivity.xml!M263</f>
        <v>1-3</v>
      </c>
      <c r="F259">
        <f>mapActivity.xml!N263</f>
        <v>920</v>
      </c>
      <c r="G259">
        <f>mapActivity.xml!S263</f>
        <v>2</v>
      </c>
    </row>
    <row r="260" spans="1:7">
      <c r="A260">
        <f>mapActivity.xml!A264</f>
        <v>206509</v>
      </c>
      <c r="B260" t="str">
        <f>mapActivity.xml!B264</f>
        <v>技巧试炼（65）</v>
      </c>
      <c r="C260">
        <f>mapActivity.xml!D264</f>
        <v>0</v>
      </c>
      <c r="D260" t="str">
        <f>mapActivity.xml!L264</f>
        <v>map/map_001.png</v>
      </c>
      <c r="E260" t="str">
        <f>mapActivity.xml!M264</f>
        <v>1-3</v>
      </c>
      <c r="F260">
        <f>mapActivity.xml!N264</f>
        <v>920</v>
      </c>
      <c r="G260">
        <f>mapActivity.xml!S264</f>
        <v>2</v>
      </c>
    </row>
    <row r="261" spans="1:7">
      <c r="A261">
        <f>mapActivity.xml!A265</f>
        <v>207001</v>
      </c>
      <c r="B261" t="str">
        <f>mapActivity.xml!B265</f>
        <v>技巧试炼（70）</v>
      </c>
      <c r="C261">
        <f>mapActivity.xml!D265</f>
        <v>0</v>
      </c>
      <c r="D261" t="str">
        <f>mapActivity.xml!L265</f>
        <v>map/map_001.png</v>
      </c>
      <c r="E261" t="str">
        <f>mapActivity.xml!M265</f>
        <v>1-3</v>
      </c>
      <c r="F261">
        <f>mapActivity.xml!N265</f>
        <v>920</v>
      </c>
      <c r="G261">
        <f>mapActivity.xml!S265</f>
        <v>2</v>
      </c>
    </row>
    <row r="262" spans="1:7">
      <c r="A262">
        <f>mapActivity.xml!A266</f>
        <v>207002</v>
      </c>
      <c r="B262" t="str">
        <f>mapActivity.xml!B266</f>
        <v>技巧试炼（70）</v>
      </c>
      <c r="C262">
        <f>mapActivity.xml!D266</f>
        <v>0</v>
      </c>
      <c r="D262" t="str">
        <f>mapActivity.xml!L266</f>
        <v>map/map_001.png</v>
      </c>
      <c r="E262" t="str">
        <f>mapActivity.xml!M266</f>
        <v>1-3</v>
      </c>
      <c r="F262">
        <f>mapActivity.xml!N266</f>
        <v>920</v>
      </c>
      <c r="G262">
        <f>mapActivity.xml!S266</f>
        <v>2</v>
      </c>
    </row>
    <row r="263" spans="1:7">
      <c r="A263">
        <f>mapActivity.xml!A267</f>
        <v>207003</v>
      </c>
      <c r="B263" t="str">
        <f>mapActivity.xml!B267</f>
        <v>技巧试炼（70）</v>
      </c>
      <c r="C263">
        <f>mapActivity.xml!D267</f>
        <v>0</v>
      </c>
      <c r="D263" t="str">
        <f>mapActivity.xml!L267</f>
        <v>map/map_001.png</v>
      </c>
      <c r="E263" t="str">
        <f>mapActivity.xml!M267</f>
        <v>1-3</v>
      </c>
      <c r="F263">
        <f>mapActivity.xml!N267</f>
        <v>920</v>
      </c>
      <c r="G263">
        <f>mapActivity.xml!S267</f>
        <v>2</v>
      </c>
    </row>
    <row r="264" spans="1:7">
      <c r="A264">
        <f>mapActivity.xml!A268</f>
        <v>207004</v>
      </c>
      <c r="B264" t="str">
        <f>mapActivity.xml!B268</f>
        <v>技巧试炼（70）</v>
      </c>
      <c r="C264">
        <f>mapActivity.xml!D268</f>
        <v>0</v>
      </c>
      <c r="D264" t="str">
        <f>mapActivity.xml!L268</f>
        <v>map/map_001.png</v>
      </c>
      <c r="E264" t="str">
        <f>mapActivity.xml!M268</f>
        <v>1-3</v>
      </c>
      <c r="F264">
        <f>mapActivity.xml!N268</f>
        <v>920</v>
      </c>
      <c r="G264">
        <f>mapActivity.xml!S268</f>
        <v>2</v>
      </c>
    </row>
    <row r="265" spans="1:7">
      <c r="A265">
        <f>mapActivity.xml!A269</f>
        <v>207005</v>
      </c>
      <c r="B265" t="str">
        <f>mapActivity.xml!B269</f>
        <v>技巧试炼（70）</v>
      </c>
      <c r="C265">
        <f>mapActivity.xml!D269</f>
        <v>0</v>
      </c>
      <c r="D265" t="str">
        <f>mapActivity.xml!L269</f>
        <v>map/map_001.png</v>
      </c>
      <c r="E265" t="str">
        <f>mapActivity.xml!M269</f>
        <v>1-3</v>
      </c>
      <c r="F265">
        <f>mapActivity.xml!N269</f>
        <v>920</v>
      </c>
      <c r="G265">
        <f>mapActivity.xml!S269</f>
        <v>2</v>
      </c>
    </row>
    <row r="266" spans="1:7">
      <c r="A266">
        <f>mapActivity.xml!A270</f>
        <v>207006</v>
      </c>
      <c r="B266" t="str">
        <f>mapActivity.xml!B270</f>
        <v>技巧试炼（70）</v>
      </c>
      <c r="C266">
        <f>mapActivity.xml!D270</f>
        <v>0</v>
      </c>
      <c r="D266" t="str">
        <f>mapActivity.xml!L270</f>
        <v>map/map_001.png</v>
      </c>
      <c r="E266" t="str">
        <f>mapActivity.xml!M270</f>
        <v>1-3</v>
      </c>
      <c r="F266">
        <f>mapActivity.xml!N270</f>
        <v>920</v>
      </c>
      <c r="G266">
        <f>mapActivity.xml!S270</f>
        <v>2</v>
      </c>
    </row>
    <row r="267" spans="1:7">
      <c r="A267">
        <f>mapActivity.xml!A271</f>
        <v>207007</v>
      </c>
      <c r="B267" t="str">
        <f>mapActivity.xml!B271</f>
        <v>技巧试炼（70）</v>
      </c>
      <c r="C267">
        <f>mapActivity.xml!D271</f>
        <v>0</v>
      </c>
      <c r="D267" t="str">
        <f>mapActivity.xml!L271</f>
        <v>map/map_001.png</v>
      </c>
      <c r="E267" t="str">
        <f>mapActivity.xml!M271</f>
        <v>1-3</v>
      </c>
      <c r="F267">
        <f>mapActivity.xml!N271</f>
        <v>920</v>
      </c>
      <c r="G267">
        <f>mapActivity.xml!S271</f>
        <v>2</v>
      </c>
    </row>
    <row r="268" spans="1:7">
      <c r="A268">
        <f>mapActivity.xml!A272</f>
        <v>207008</v>
      </c>
      <c r="B268" t="str">
        <f>mapActivity.xml!B272</f>
        <v>技巧试炼（70）</v>
      </c>
      <c r="C268">
        <f>mapActivity.xml!D272</f>
        <v>0</v>
      </c>
      <c r="D268" t="str">
        <f>mapActivity.xml!L272</f>
        <v>map/map_001.png</v>
      </c>
      <c r="E268" t="str">
        <f>mapActivity.xml!M272</f>
        <v>1-3</v>
      </c>
      <c r="F268">
        <f>mapActivity.xml!N272</f>
        <v>920</v>
      </c>
      <c r="G268">
        <f>mapActivity.xml!S272</f>
        <v>2</v>
      </c>
    </row>
    <row r="269" spans="1:7">
      <c r="A269">
        <f>mapActivity.xml!A273</f>
        <v>207009</v>
      </c>
      <c r="B269" t="str">
        <f>mapActivity.xml!B273</f>
        <v>技巧试炼（70）</v>
      </c>
      <c r="C269">
        <f>mapActivity.xml!D273</f>
        <v>0</v>
      </c>
      <c r="D269" t="str">
        <f>mapActivity.xml!L273</f>
        <v>map/map_001.png</v>
      </c>
      <c r="E269" t="str">
        <f>mapActivity.xml!M273</f>
        <v>1-3</v>
      </c>
      <c r="F269">
        <f>mapActivity.xml!N273</f>
        <v>920</v>
      </c>
      <c r="G269">
        <f>mapActivity.xml!S273</f>
        <v>2</v>
      </c>
    </row>
    <row r="270" spans="1:7">
      <c r="A270">
        <f>mapActivity.xml!A274</f>
        <v>207501</v>
      </c>
      <c r="B270" t="str">
        <f>mapActivity.xml!B274</f>
        <v>技巧试炼（75）</v>
      </c>
      <c r="C270">
        <f>mapActivity.xml!D274</f>
        <v>0</v>
      </c>
      <c r="D270" t="str">
        <f>mapActivity.xml!L274</f>
        <v>map/map_001.png</v>
      </c>
      <c r="E270" t="str">
        <f>mapActivity.xml!M274</f>
        <v>1-3</v>
      </c>
      <c r="F270">
        <f>mapActivity.xml!N274</f>
        <v>920</v>
      </c>
      <c r="G270">
        <f>mapActivity.xml!S274</f>
        <v>2</v>
      </c>
    </row>
    <row r="271" spans="1:7">
      <c r="A271">
        <f>mapActivity.xml!A275</f>
        <v>207502</v>
      </c>
      <c r="B271" t="str">
        <f>mapActivity.xml!B275</f>
        <v>技巧试炼（75）</v>
      </c>
      <c r="C271">
        <f>mapActivity.xml!D275</f>
        <v>0</v>
      </c>
      <c r="D271" t="str">
        <f>mapActivity.xml!L275</f>
        <v>map/map_001.png</v>
      </c>
      <c r="E271" t="str">
        <f>mapActivity.xml!M275</f>
        <v>1-3</v>
      </c>
      <c r="F271">
        <f>mapActivity.xml!N275</f>
        <v>920</v>
      </c>
      <c r="G271">
        <f>mapActivity.xml!S275</f>
        <v>2</v>
      </c>
    </row>
    <row r="272" spans="1:7">
      <c r="A272">
        <f>mapActivity.xml!A276</f>
        <v>207503</v>
      </c>
      <c r="B272" t="str">
        <f>mapActivity.xml!B276</f>
        <v>技巧试炼（75）</v>
      </c>
      <c r="C272">
        <f>mapActivity.xml!D276</f>
        <v>0</v>
      </c>
      <c r="D272" t="str">
        <f>mapActivity.xml!L276</f>
        <v>map/map_001.png</v>
      </c>
      <c r="E272" t="str">
        <f>mapActivity.xml!M276</f>
        <v>1-3</v>
      </c>
      <c r="F272">
        <f>mapActivity.xml!N276</f>
        <v>920</v>
      </c>
      <c r="G272">
        <f>mapActivity.xml!S276</f>
        <v>2</v>
      </c>
    </row>
    <row r="273" spans="1:7">
      <c r="A273">
        <f>mapActivity.xml!A277</f>
        <v>207504</v>
      </c>
      <c r="B273" t="str">
        <f>mapActivity.xml!B277</f>
        <v>技巧试炼（75）</v>
      </c>
      <c r="C273">
        <f>mapActivity.xml!D277</f>
        <v>0</v>
      </c>
      <c r="D273" t="str">
        <f>mapActivity.xml!L277</f>
        <v>map/map_001.png</v>
      </c>
      <c r="E273" t="str">
        <f>mapActivity.xml!M277</f>
        <v>1-3</v>
      </c>
      <c r="F273">
        <f>mapActivity.xml!N277</f>
        <v>920</v>
      </c>
      <c r="G273">
        <f>mapActivity.xml!S277</f>
        <v>2</v>
      </c>
    </row>
    <row r="274" spans="1:7">
      <c r="A274">
        <f>mapActivity.xml!A278</f>
        <v>207505</v>
      </c>
      <c r="B274" t="str">
        <f>mapActivity.xml!B278</f>
        <v>技巧试炼（75）</v>
      </c>
      <c r="C274">
        <f>mapActivity.xml!D278</f>
        <v>0</v>
      </c>
      <c r="D274" t="str">
        <f>mapActivity.xml!L278</f>
        <v>map/map_001.png</v>
      </c>
      <c r="E274" t="str">
        <f>mapActivity.xml!M278</f>
        <v>1-3</v>
      </c>
      <c r="F274">
        <f>mapActivity.xml!N278</f>
        <v>920</v>
      </c>
      <c r="G274">
        <f>mapActivity.xml!S278</f>
        <v>2</v>
      </c>
    </row>
    <row r="275" spans="1:7">
      <c r="A275">
        <f>mapActivity.xml!A279</f>
        <v>207506</v>
      </c>
      <c r="B275" t="str">
        <f>mapActivity.xml!B279</f>
        <v>技巧试炼（75）</v>
      </c>
      <c r="C275">
        <f>mapActivity.xml!D279</f>
        <v>0</v>
      </c>
      <c r="D275" t="str">
        <f>mapActivity.xml!L279</f>
        <v>map/map_001.png</v>
      </c>
      <c r="E275" t="str">
        <f>mapActivity.xml!M279</f>
        <v>1-3</v>
      </c>
      <c r="F275">
        <f>mapActivity.xml!N279</f>
        <v>920</v>
      </c>
      <c r="G275">
        <f>mapActivity.xml!S279</f>
        <v>2</v>
      </c>
    </row>
    <row r="276" spans="1:7">
      <c r="A276">
        <f>mapActivity.xml!A280</f>
        <v>207507</v>
      </c>
      <c r="B276" t="str">
        <f>mapActivity.xml!B280</f>
        <v>技巧试炼（75）</v>
      </c>
      <c r="C276">
        <f>mapActivity.xml!D280</f>
        <v>0</v>
      </c>
      <c r="D276" t="str">
        <f>mapActivity.xml!L280</f>
        <v>map/map_001.png</v>
      </c>
      <c r="E276" t="str">
        <f>mapActivity.xml!M280</f>
        <v>1-3</v>
      </c>
      <c r="F276">
        <f>mapActivity.xml!N280</f>
        <v>920</v>
      </c>
      <c r="G276">
        <f>mapActivity.xml!S280</f>
        <v>2</v>
      </c>
    </row>
    <row r="277" spans="1:7">
      <c r="A277">
        <f>mapActivity.xml!A281</f>
        <v>207508</v>
      </c>
      <c r="B277" t="str">
        <f>mapActivity.xml!B281</f>
        <v>技巧试炼（75）</v>
      </c>
      <c r="C277">
        <f>mapActivity.xml!D281</f>
        <v>0</v>
      </c>
      <c r="D277" t="str">
        <f>mapActivity.xml!L281</f>
        <v>map/map_001.png</v>
      </c>
      <c r="E277" t="str">
        <f>mapActivity.xml!M281</f>
        <v>1-3</v>
      </c>
      <c r="F277">
        <f>mapActivity.xml!N281</f>
        <v>920</v>
      </c>
      <c r="G277">
        <f>mapActivity.xml!S281</f>
        <v>2</v>
      </c>
    </row>
    <row r="278" spans="1:7">
      <c r="A278">
        <f>mapActivity.xml!A282</f>
        <v>207509</v>
      </c>
      <c r="B278" t="str">
        <f>mapActivity.xml!B282</f>
        <v>技巧试炼（75）</v>
      </c>
      <c r="C278">
        <f>mapActivity.xml!D282</f>
        <v>0</v>
      </c>
      <c r="D278" t="str">
        <f>mapActivity.xml!L282</f>
        <v>map/map_001.png</v>
      </c>
      <c r="E278" t="str">
        <f>mapActivity.xml!M282</f>
        <v>1-3</v>
      </c>
      <c r="F278">
        <f>mapActivity.xml!N282</f>
        <v>920</v>
      </c>
      <c r="G278">
        <f>mapActivity.xml!S282</f>
        <v>2</v>
      </c>
    </row>
    <row r="279" spans="1:7">
      <c r="A279">
        <f>mapActivity.xml!A283</f>
        <v>208001</v>
      </c>
      <c r="B279" t="str">
        <f>mapActivity.xml!B283</f>
        <v>技巧试炼（80）</v>
      </c>
      <c r="C279">
        <f>mapActivity.xml!D283</f>
        <v>0</v>
      </c>
      <c r="D279" t="str">
        <f>mapActivity.xml!L283</f>
        <v>map/map_001.png</v>
      </c>
      <c r="E279" t="str">
        <f>mapActivity.xml!M283</f>
        <v>1-3</v>
      </c>
      <c r="F279">
        <f>mapActivity.xml!N283</f>
        <v>920</v>
      </c>
      <c r="G279">
        <f>mapActivity.xml!S283</f>
        <v>2</v>
      </c>
    </row>
    <row r="280" spans="1:7">
      <c r="A280">
        <f>mapActivity.xml!A284</f>
        <v>208002</v>
      </c>
      <c r="B280" t="str">
        <f>mapActivity.xml!B284</f>
        <v>技巧试炼（80）</v>
      </c>
      <c r="C280">
        <f>mapActivity.xml!D284</f>
        <v>0</v>
      </c>
      <c r="D280" t="str">
        <f>mapActivity.xml!L284</f>
        <v>map/map_001.png</v>
      </c>
      <c r="E280" t="str">
        <f>mapActivity.xml!M284</f>
        <v>1-3</v>
      </c>
      <c r="F280">
        <f>mapActivity.xml!N284</f>
        <v>920</v>
      </c>
      <c r="G280">
        <f>mapActivity.xml!S284</f>
        <v>2</v>
      </c>
    </row>
    <row r="281" spans="1:7">
      <c r="A281">
        <f>mapActivity.xml!A285</f>
        <v>208003</v>
      </c>
      <c r="B281" t="str">
        <f>mapActivity.xml!B285</f>
        <v>技巧试炼（80）</v>
      </c>
      <c r="C281">
        <f>mapActivity.xml!D285</f>
        <v>0</v>
      </c>
      <c r="D281" t="str">
        <f>mapActivity.xml!L285</f>
        <v>map/map_001.png</v>
      </c>
      <c r="E281" t="str">
        <f>mapActivity.xml!M285</f>
        <v>1-3</v>
      </c>
      <c r="F281">
        <f>mapActivity.xml!N285</f>
        <v>920</v>
      </c>
      <c r="G281">
        <f>mapActivity.xml!S285</f>
        <v>2</v>
      </c>
    </row>
    <row r="282" spans="1:7">
      <c r="A282">
        <f>mapActivity.xml!A286</f>
        <v>208004</v>
      </c>
      <c r="B282" t="str">
        <f>mapActivity.xml!B286</f>
        <v>技巧试炼（80）</v>
      </c>
      <c r="C282">
        <f>mapActivity.xml!D286</f>
        <v>0</v>
      </c>
      <c r="D282" t="str">
        <f>mapActivity.xml!L286</f>
        <v>map/map_001.png</v>
      </c>
      <c r="E282" t="str">
        <f>mapActivity.xml!M286</f>
        <v>1-3</v>
      </c>
      <c r="F282">
        <f>mapActivity.xml!N286</f>
        <v>920</v>
      </c>
      <c r="G282">
        <f>mapActivity.xml!S286</f>
        <v>2</v>
      </c>
    </row>
    <row r="283" spans="1:7">
      <c r="A283">
        <f>mapActivity.xml!A287</f>
        <v>208005</v>
      </c>
      <c r="B283" t="str">
        <f>mapActivity.xml!B287</f>
        <v>技巧试炼（80）</v>
      </c>
      <c r="C283">
        <f>mapActivity.xml!D287</f>
        <v>0</v>
      </c>
      <c r="D283" t="str">
        <f>mapActivity.xml!L287</f>
        <v>map/map_001.png</v>
      </c>
      <c r="E283" t="str">
        <f>mapActivity.xml!M287</f>
        <v>1-3</v>
      </c>
      <c r="F283">
        <f>mapActivity.xml!N287</f>
        <v>920</v>
      </c>
      <c r="G283">
        <f>mapActivity.xml!S287</f>
        <v>2</v>
      </c>
    </row>
    <row r="284" spans="1:7">
      <c r="A284">
        <f>mapActivity.xml!A288</f>
        <v>208006</v>
      </c>
      <c r="B284" t="str">
        <f>mapActivity.xml!B288</f>
        <v>技巧试炼（80）</v>
      </c>
      <c r="C284">
        <f>mapActivity.xml!D288</f>
        <v>0</v>
      </c>
      <c r="D284" t="str">
        <f>mapActivity.xml!L288</f>
        <v>map/map_001.png</v>
      </c>
      <c r="E284" t="str">
        <f>mapActivity.xml!M288</f>
        <v>1-3</v>
      </c>
      <c r="F284">
        <f>mapActivity.xml!N288</f>
        <v>920</v>
      </c>
      <c r="G284">
        <f>mapActivity.xml!S288</f>
        <v>2</v>
      </c>
    </row>
    <row r="285" spans="1:7">
      <c r="A285">
        <f>mapActivity.xml!A289</f>
        <v>208007</v>
      </c>
      <c r="B285" t="str">
        <f>mapActivity.xml!B289</f>
        <v>技巧试炼（80）</v>
      </c>
      <c r="C285">
        <f>mapActivity.xml!D289</f>
        <v>0</v>
      </c>
      <c r="D285" t="str">
        <f>mapActivity.xml!L289</f>
        <v>map/map_001.png</v>
      </c>
      <c r="E285" t="str">
        <f>mapActivity.xml!M289</f>
        <v>1-3</v>
      </c>
      <c r="F285">
        <f>mapActivity.xml!N289</f>
        <v>920</v>
      </c>
      <c r="G285">
        <f>mapActivity.xml!S289</f>
        <v>2</v>
      </c>
    </row>
    <row r="286" spans="1:7">
      <c r="A286">
        <f>mapActivity.xml!A290</f>
        <v>208008</v>
      </c>
      <c r="B286" t="str">
        <f>mapActivity.xml!B290</f>
        <v>技巧试炼（80）</v>
      </c>
      <c r="C286">
        <f>mapActivity.xml!D290</f>
        <v>0</v>
      </c>
      <c r="D286" t="str">
        <f>mapActivity.xml!L290</f>
        <v>map/map_001.png</v>
      </c>
      <c r="E286" t="str">
        <f>mapActivity.xml!M290</f>
        <v>1-3</v>
      </c>
      <c r="F286">
        <f>mapActivity.xml!N290</f>
        <v>920</v>
      </c>
      <c r="G286">
        <f>mapActivity.xml!S290</f>
        <v>2</v>
      </c>
    </row>
    <row r="287" spans="1:7">
      <c r="A287">
        <f>mapActivity.xml!A291</f>
        <v>208009</v>
      </c>
      <c r="B287" t="str">
        <f>mapActivity.xml!B291</f>
        <v>技巧试炼（80）</v>
      </c>
      <c r="C287">
        <f>mapActivity.xml!D291</f>
        <v>0</v>
      </c>
      <c r="D287" t="str">
        <f>mapActivity.xml!L291</f>
        <v>map/map_001.png</v>
      </c>
      <c r="E287" t="str">
        <f>mapActivity.xml!M291</f>
        <v>1-3</v>
      </c>
      <c r="F287">
        <f>mapActivity.xml!N291</f>
        <v>920</v>
      </c>
      <c r="G287">
        <f>mapActivity.xml!S291</f>
        <v>2</v>
      </c>
    </row>
    <row r="288" spans="1:7">
      <c r="A288">
        <f>mapActivity.xml!A292</f>
        <v>208501</v>
      </c>
      <c r="B288" t="str">
        <f>mapActivity.xml!B292</f>
        <v>沉着试炼（85）</v>
      </c>
      <c r="C288">
        <f>mapActivity.xml!D292</f>
        <v>0</v>
      </c>
      <c r="D288" t="str">
        <f>mapActivity.xml!L292</f>
        <v>map/map_001.png</v>
      </c>
      <c r="E288" t="str">
        <f>mapActivity.xml!M292</f>
        <v>1-3</v>
      </c>
      <c r="F288">
        <f>mapActivity.xml!N292</f>
        <v>920</v>
      </c>
      <c r="G288">
        <f>mapActivity.xml!S292</f>
        <v>2</v>
      </c>
    </row>
    <row r="289" spans="1:7">
      <c r="A289">
        <f>mapActivity.xml!A293</f>
        <v>208502</v>
      </c>
      <c r="B289" t="str">
        <f>mapActivity.xml!B293</f>
        <v>沉着试炼（85）</v>
      </c>
      <c r="C289">
        <f>mapActivity.xml!D293</f>
        <v>0</v>
      </c>
      <c r="D289" t="str">
        <f>mapActivity.xml!L293</f>
        <v>map/map_001.png</v>
      </c>
      <c r="E289" t="str">
        <f>mapActivity.xml!M293</f>
        <v>1-3</v>
      </c>
      <c r="F289">
        <f>mapActivity.xml!N293</f>
        <v>920</v>
      </c>
      <c r="G289">
        <f>mapActivity.xml!S293</f>
        <v>2</v>
      </c>
    </row>
    <row r="290" spans="1:7">
      <c r="A290">
        <f>mapActivity.xml!A294</f>
        <v>208503</v>
      </c>
      <c r="B290" t="str">
        <f>mapActivity.xml!B294</f>
        <v>沉着试炼（85）</v>
      </c>
      <c r="C290">
        <f>mapActivity.xml!D294</f>
        <v>0</v>
      </c>
      <c r="D290" t="str">
        <f>mapActivity.xml!L294</f>
        <v>map/map_001.png</v>
      </c>
      <c r="E290" t="str">
        <f>mapActivity.xml!M294</f>
        <v>1-3</v>
      </c>
      <c r="F290">
        <f>mapActivity.xml!N294</f>
        <v>920</v>
      </c>
      <c r="G290">
        <f>mapActivity.xml!S294</f>
        <v>2</v>
      </c>
    </row>
    <row r="291" spans="1:7">
      <c r="A291">
        <f>mapActivity.xml!A295</f>
        <v>208504</v>
      </c>
      <c r="B291" t="str">
        <f>mapActivity.xml!B295</f>
        <v>沉着试炼（85）</v>
      </c>
      <c r="C291">
        <f>mapActivity.xml!D295</f>
        <v>0</v>
      </c>
      <c r="D291" t="str">
        <f>mapActivity.xml!L295</f>
        <v>map/map_001.png</v>
      </c>
      <c r="E291" t="str">
        <f>mapActivity.xml!M295</f>
        <v>1-3</v>
      </c>
      <c r="F291">
        <f>mapActivity.xml!N295</f>
        <v>920</v>
      </c>
      <c r="G291">
        <f>mapActivity.xml!S295</f>
        <v>2</v>
      </c>
    </row>
    <row r="292" spans="1:7">
      <c r="A292">
        <f>mapActivity.xml!A296</f>
        <v>208505</v>
      </c>
      <c r="B292" t="str">
        <f>mapActivity.xml!B296</f>
        <v>沉着试炼（85）</v>
      </c>
      <c r="C292">
        <f>mapActivity.xml!D296</f>
        <v>0</v>
      </c>
      <c r="D292" t="str">
        <f>mapActivity.xml!L296</f>
        <v>map/map_001.png</v>
      </c>
      <c r="E292" t="str">
        <f>mapActivity.xml!M296</f>
        <v>1-3</v>
      </c>
      <c r="F292">
        <f>mapActivity.xml!N296</f>
        <v>920</v>
      </c>
      <c r="G292">
        <f>mapActivity.xml!S296</f>
        <v>2</v>
      </c>
    </row>
    <row r="293" spans="1:7">
      <c r="A293">
        <f>mapActivity.xml!A297</f>
        <v>208506</v>
      </c>
      <c r="B293" t="str">
        <f>mapActivity.xml!B297</f>
        <v>沉着试炼（85）</v>
      </c>
      <c r="C293">
        <f>mapActivity.xml!D297</f>
        <v>0</v>
      </c>
      <c r="D293" t="str">
        <f>mapActivity.xml!L297</f>
        <v>map/map_001.png</v>
      </c>
      <c r="E293" t="str">
        <f>mapActivity.xml!M297</f>
        <v>1-3</v>
      </c>
      <c r="F293">
        <f>mapActivity.xml!N297</f>
        <v>920</v>
      </c>
      <c r="G293">
        <f>mapActivity.xml!S297</f>
        <v>2</v>
      </c>
    </row>
    <row r="294" spans="1:7">
      <c r="A294">
        <f>mapActivity.xml!A298</f>
        <v>208507</v>
      </c>
      <c r="B294" t="str">
        <f>mapActivity.xml!B298</f>
        <v>沉着试炼（85）</v>
      </c>
      <c r="C294">
        <f>mapActivity.xml!D298</f>
        <v>0</v>
      </c>
      <c r="D294" t="str">
        <f>mapActivity.xml!L298</f>
        <v>map/map_001.png</v>
      </c>
      <c r="E294" t="str">
        <f>mapActivity.xml!M298</f>
        <v>1-3</v>
      </c>
      <c r="F294">
        <f>mapActivity.xml!N298</f>
        <v>920</v>
      </c>
      <c r="G294">
        <f>mapActivity.xml!S298</f>
        <v>2</v>
      </c>
    </row>
    <row r="295" spans="1:7">
      <c r="A295">
        <f>mapActivity.xml!A299</f>
        <v>208508</v>
      </c>
      <c r="B295" t="str">
        <f>mapActivity.xml!B299</f>
        <v>沉着试炼（85）</v>
      </c>
      <c r="C295">
        <f>mapActivity.xml!D299</f>
        <v>0</v>
      </c>
      <c r="D295" t="str">
        <f>mapActivity.xml!L299</f>
        <v>map/map_001.png</v>
      </c>
      <c r="E295" t="str">
        <f>mapActivity.xml!M299</f>
        <v>1-3</v>
      </c>
      <c r="F295">
        <f>mapActivity.xml!N299</f>
        <v>920</v>
      </c>
      <c r="G295">
        <f>mapActivity.xml!S299</f>
        <v>2</v>
      </c>
    </row>
    <row r="296" spans="1:7">
      <c r="A296">
        <f>mapActivity.xml!A300</f>
        <v>208509</v>
      </c>
      <c r="B296" t="str">
        <f>mapActivity.xml!B300</f>
        <v>沉着试炼（85）</v>
      </c>
      <c r="C296">
        <f>mapActivity.xml!D300</f>
        <v>0</v>
      </c>
      <c r="D296" t="str">
        <f>mapActivity.xml!L300</f>
        <v>map/map_001.png</v>
      </c>
      <c r="E296" t="str">
        <f>mapActivity.xml!M300</f>
        <v>1-3</v>
      </c>
      <c r="F296">
        <f>mapActivity.xml!N300</f>
        <v>920</v>
      </c>
      <c r="G296">
        <f>mapActivity.xml!S300</f>
        <v>2</v>
      </c>
    </row>
    <row r="297" spans="1:7">
      <c r="A297">
        <f>mapActivity.xml!A301</f>
        <v>209001</v>
      </c>
      <c r="B297" t="str">
        <f>mapActivity.xml!B301</f>
        <v>沉着试炼（90）</v>
      </c>
      <c r="C297">
        <f>mapActivity.xml!D301</f>
        <v>0</v>
      </c>
      <c r="D297" t="str">
        <f>mapActivity.xml!L301</f>
        <v>map/map_001.png</v>
      </c>
      <c r="E297" t="str">
        <f>mapActivity.xml!M301</f>
        <v>1-3</v>
      </c>
      <c r="F297">
        <f>mapActivity.xml!N301</f>
        <v>920</v>
      </c>
      <c r="G297">
        <f>mapActivity.xml!S301</f>
        <v>2</v>
      </c>
    </row>
    <row r="298" spans="1:7">
      <c r="A298">
        <f>mapActivity.xml!A302</f>
        <v>209002</v>
      </c>
      <c r="B298" t="str">
        <f>mapActivity.xml!B302</f>
        <v>沉着试炼（90）</v>
      </c>
      <c r="C298">
        <f>mapActivity.xml!D302</f>
        <v>0</v>
      </c>
      <c r="D298" t="str">
        <f>mapActivity.xml!L302</f>
        <v>map/map_001.png</v>
      </c>
      <c r="E298" t="str">
        <f>mapActivity.xml!M302</f>
        <v>1-3</v>
      </c>
      <c r="F298">
        <f>mapActivity.xml!N302</f>
        <v>920</v>
      </c>
      <c r="G298">
        <f>mapActivity.xml!S302</f>
        <v>2</v>
      </c>
    </row>
    <row r="299" spans="1:7">
      <c r="A299">
        <f>mapActivity.xml!A303</f>
        <v>209003</v>
      </c>
      <c r="B299" t="str">
        <f>mapActivity.xml!B303</f>
        <v>沉着试炼（90）</v>
      </c>
      <c r="C299">
        <f>mapActivity.xml!D303</f>
        <v>0</v>
      </c>
      <c r="D299" t="str">
        <f>mapActivity.xml!L303</f>
        <v>map/map_001.png</v>
      </c>
      <c r="E299" t="str">
        <f>mapActivity.xml!M303</f>
        <v>1-3</v>
      </c>
      <c r="F299">
        <f>mapActivity.xml!N303</f>
        <v>920</v>
      </c>
      <c r="G299">
        <f>mapActivity.xml!S303</f>
        <v>2</v>
      </c>
    </row>
    <row r="300" spans="1:7">
      <c r="A300">
        <f>mapActivity.xml!A304</f>
        <v>209004</v>
      </c>
      <c r="B300" t="str">
        <f>mapActivity.xml!B304</f>
        <v>沉着试炼（90）</v>
      </c>
      <c r="C300">
        <f>mapActivity.xml!D304</f>
        <v>0</v>
      </c>
      <c r="D300" t="str">
        <f>mapActivity.xml!L304</f>
        <v>map/map_001.png</v>
      </c>
      <c r="E300" t="str">
        <f>mapActivity.xml!M304</f>
        <v>1-3</v>
      </c>
      <c r="F300">
        <f>mapActivity.xml!N304</f>
        <v>920</v>
      </c>
      <c r="G300">
        <f>mapActivity.xml!S304</f>
        <v>2</v>
      </c>
    </row>
    <row r="301" spans="1:7">
      <c r="A301">
        <f>mapActivity.xml!A305</f>
        <v>209005</v>
      </c>
      <c r="B301" t="str">
        <f>mapActivity.xml!B305</f>
        <v>沉着试炼（90）</v>
      </c>
      <c r="C301">
        <f>mapActivity.xml!D305</f>
        <v>0</v>
      </c>
      <c r="D301" t="str">
        <f>mapActivity.xml!L305</f>
        <v>map/map_001.png</v>
      </c>
      <c r="E301" t="str">
        <f>mapActivity.xml!M305</f>
        <v>1-3</v>
      </c>
      <c r="F301">
        <f>mapActivity.xml!N305</f>
        <v>920</v>
      </c>
      <c r="G301">
        <f>mapActivity.xml!S305</f>
        <v>2</v>
      </c>
    </row>
    <row r="302" spans="1:7">
      <c r="A302">
        <f>mapActivity.xml!A306</f>
        <v>209006</v>
      </c>
      <c r="B302" t="str">
        <f>mapActivity.xml!B306</f>
        <v>沉着试炼（90）</v>
      </c>
      <c r="C302">
        <f>mapActivity.xml!D306</f>
        <v>0</v>
      </c>
      <c r="D302" t="str">
        <f>mapActivity.xml!L306</f>
        <v>map/map_001.png</v>
      </c>
      <c r="E302" t="str">
        <f>mapActivity.xml!M306</f>
        <v>1-3</v>
      </c>
      <c r="F302">
        <f>mapActivity.xml!N306</f>
        <v>920</v>
      </c>
      <c r="G302">
        <f>mapActivity.xml!S306</f>
        <v>2</v>
      </c>
    </row>
    <row r="303" spans="1:7">
      <c r="A303">
        <f>mapActivity.xml!A307</f>
        <v>209007</v>
      </c>
      <c r="B303" t="str">
        <f>mapActivity.xml!B307</f>
        <v>沉着试炼（90）</v>
      </c>
      <c r="C303">
        <f>mapActivity.xml!D307</f>
        <v>0</v>
      </c>
      <c r="D303" t="str">
        <f>mapActivity.xml!L307</f>
        <v>map/map_001.png</v>
      </c>
      <c r="E303" t="str">
        <f>mapActivity.xml!M307</f>
        <v>1-3</v>
      </c>
      <c r="F303">
        <f>mapActivity.xml!N307</f>
        <v>920</v>
      </c>
      <c r="G303">
        <f>mapActivity.xml!S307</f>
        <v>2</v>
      </c>
    </row>
    <row r="304" spans="1:7">
      <c r="A304">
        <f>mapActivity.xml!A308</f>
        <v>209008</v>
      </c>
      <c r="B304" t="str">
        <f>mapActivity.xml!B308</f>
        <v>沉着试炼（90）</v>
      </c>
      <c r="C304">
        <f>mapActivity.xml!D308</f>
        <v>0</v>
      </c>
      <c r="D304" t="str">
        <f>mapActivity.xml!L308</f>
        <v>map/map_001.png</v>
      </c>
      <c r="E304" t="str">
        <f>mapActivity.xml!M308</f>
        <v>1-3</v>
      </c>
      <c r="F304">
        <f>mapActivity.xml!N308</f>
        <v>920</v>
      </c>
      <c r="G304">
        <f>mapActivity.xml!S308</f>
        <v>2</v>
      </c>
    </row>
    <row r="305" spans="1:7">
      <c r="A305">
        <f>mapActivity.xml!A309</f>
        <v>209009</v>
      </c>
      <c r="B305" t="str">
        <f>mapActivity.xml!B309</f>
        <v>沉着试炼（90）</v>
      </c>
      <c r="C305">
        <f>mapActivity.xml!D309</f>
        <v>0</v>
      </c>
      <c r="D305" t="str">
        <f>mapActivity.xml!L309</f>
        <v>map/map_001.png</v>
      </c>
      <c r="E305" t="str">
        <f>mapActivity.xml!M309</f>
        <v>1-3</v>
      </c>
      <c r="F305">
        <f>mapActivity.xml!N309</f>
        <v>920</v>
      </c>
      <c r="G305">
        <f>mapActivity.xml!S309</f>
        <v>2</v>
      </c>
    </row>
    <row r="306" spans="1:7">
      <c r="A306">
        <f>mapActivity.xml!A310</f>
        <v>209501</v>
      </c>
      <c r="B306" t="str">
        <f>mapActivity.xml!B310</f>
        <v>沉着试炼（95）</v>
      </c>
      <c r="C306">
        <f>mapActivity.xml!D310</f>
        <v>0</v>
      </c>
      <c r="D306" t="str">
        <f>mapActivity.xml!L310</f>
        <v>map/map_001.png</v>
      </c>
      <c r="E306" t="str">
        <f>mapActivity.xml!M310</f>
        <v>1-3</v>
      </c>
      <c r="F306">
        <f>mapActivity.xml!N310</f>
        <v>920</v>
      </c>
      <c r="G306">
        <f>mapActivity.xml!S310</f>
        <v>2</v>
      </c>
    </row>
    <row r="307" spans="1:7">
      <c r="A307">
        <f>mapActivity.xml!A311</f>
        <v>209502</v>
      </c>
      <c r="B307" t="str">
        <f>mapActivity.xml!B311</f>
        <v>沉着试炼（95）</v>
      </c>
      <c r="C307">
        <f>mapActivity.xml!D311</f>
        <v>0</v>
      </c>
      <c r="D307" t="str">
        <f>mapActivity.xml!L311</f>
        <v>map/map_001.png</v>
      </c>
      <c r="E307" t="str">
        <f>mapActivity.xml!M311</f>
        <v>1-3</v>
      </c>
      <c r="F307">
        <f>mapActivity.xml!N311</f>
        <v>920</v>
      </c>
      <c r="G307">
        <f>mapActivity.xml!S311</f>
        <v>2</v>
      </c>
    </row>
    <row r="308" spans="1:7">
      <c r="A308">
        <f>mapActivity.xml!A312</f>
        <v>209503</v>
      </c>
      <c r="B308" t="str">
        <f>mapActivity.xml!B312</f>
        <v>沉着试炼（95）</v>
      </c>
      <c r="C308">
        <f>mapActivity.xml!D312</f>
        <v>0</v>
      </c>
      <c r="D308" t="str">
        <f>mapActivity.xml!L312</f>
        <v>map/map_001.png</v>
      </c>
      <c r="E308" t="str">
        <f>mapActivity.xml!M312</f>
        <v>1-3</v>
      </c>
      <c r="F308">
        <f>mapActivity.xml!N312</f>
        <v>920</v>
      </c>
      <c r="G308">
        <f>mapActivity.xml!S312</f>
        <v>2</v>
      </c>
    </row>
    <row r="309" spans="1:7">
      <c r="A309">
        <f>mapActivity.xml!A313</f>
        <v>209504</v>
      </c>
      <c r="B309" t="str">
        <f>mapActivity.xml!B313</f>
        <v>沉着试炼（95）</v>
      </c>
      <c r="C309">
        <f>mapActivity.xml!D313</f>
        <v>0</v>
      </c>
      <c r="D309" t="str">
        <f>mapActivity.xml!L313</f>
        <v>map/map_001.png</v>
      </c>
      <c r="E309" t="str">
        <f>mapActivity.xml!M313</f>
        <v>1-3</v>
      </c>
      <c r="F309">
        <f>mapActivity.xml!N313</f>
        <v>920</v>
      </c>
      <c r="G309">
        <f>mapActivity.xml!S313</f>
        <v>2</v>
      </c>
    </row>
    <row r="310" spans="1:7">
      <c r="A310">
        <f>mapActivity.xml!A314</f>
        <v>209505</v>
      </c>
      <c r="B310" t="str">
        <f>mapActivity.xml!B314</f>
        <v>沉着试炼（95）</v>
      </c>
      <c r="C310">
        <f>mapActivity.xml!D314</f>
        <v>0</v>
      </c>
      <c r="D310" t="str">
        <f>mapActivity.xml!L314</f>
        <v>map/map_001.png</v>
      </c>
      <c r="E310" t="str">
        <f>mapActivity.xml!M314</f>
        <v>1-3</v>
      </c>
      <c r="F310">
        <f>mapActivity.xml!N314</f>
        <v>920</v>
      </c>
      <c r="G310">
        <f>mapActivity.xml!S314</f>
        <v>2</v>
      </c>
    </row>
    <row r="311" spans="1:7">
      <c r="A311">
        <f>mapActivity.xml!A315</f>
        <v>209506</v>
      </c>
      <c r="B311" t="str">
        <f>mapActivity.xml!B315</f>
        <v>沉着试炼（95）</v>
      </c>
      <c r="C311">
        <f>mapActivity.xml!D315</f>
        <v>0</v>
      </c>
      <c r="D311" t="str">
        <f>mapActivity.xml!L315</f>
        <v>map/map_001.png</v>
      </c>
      <c r="E311" t="str">
        <f>mapActivity.xml!M315</f>
        <v>1-3</v>
      </c>
      <c r="F311">
        <f>mapActivity.xml!N315</f>
        <v>920</v>
      </c>
      <c r="G311">
        <f>mapActivity.xml!S315</f>
        <v>2</v>
      </c>
    </row>
    <row r="312" spans="1:7">
      <c r="A312">
        <f>mapActivity.xml!A316</f>
        <v>209507</v>
      </c>
      <c r="B312" t="str">
        <f>mapActivity.xml!B316</f>
        <v>沉着试炼（95）</v>
      </c>
      <c r="C312">
        <f>mapActivity.xml!D316</f>
        <v>0</v>
      </c>
      <c r="D312" t="str">
        <f>mapActivity.xml!L316</f>
        <v>map/map_001.png</v>
      </c>
      <c r="E312" t="str">
        <f>mapActivity.xml!M316</f>
        <v>1-3</v>
      </c>
      <c r="F312">
        <f>mapActivity.xml!N316</f>
        <v>920</v>
      </c>
      <c r="G312">
        <f>mapActivity.xml!S316</f>
        <v>2</v>
      </c>
    </row>
    <row r="313" spans="1:7">
      <c r="A313">
        <f>mapActivity.xml!A317</f>
        <v>209508</v>
      </c>
      <c r="B313" t="str">
        <f>mapActivity.xml!B317</f>
        <v>沉着试炼（95）</v>
      </c>
      <c r="C313">
        <f>mapActivity.xml!D317</f>
        <v>0</v>
      </c>
      <c r="D313" t="str">
        <f>mapActivity.xml!L317</f>
        <v>map/map_001.png</v>
      </c>
      <c r="E313" t="str">
        <f>mapActivity.xml!M317</f>
        <v>1-3</v>
      </c>
      <c r="F313">
        <f>mapActivity.xml!N317</f>
        <v>920</v>
      </c>
      <c r="G313">
        <f>mapActivity.xml!S317</f>
        <v>2</v>
      </c>
    </row>
    <row r="314" spans="1:7">
      <c r="A314">
        <f>mapActivity.xml!A318</f>
        <v>209509</v>
      </c>
      <c r="B314" t="str">
        <f>mapActivity.xml!B318</f>
        <v>沉着试炼（95）</v>
      </c>
      <c r="C314">
        <f>mapActivity.xml!D318</f>
        <v>0</v>
      </c>
      <c r="D314" t="str">
        <f>mapActivity.xml!L318</f>
        <v>map/map_001.png</v>
      </c>
      <c r="E314" t="str">
        <f>mapActivity.xml!M318</f>
        <v>1-3</v>
      </c>
      <c r="F314">
        <f>mapActivity.xml!N318</f>
        <v>920</v>
      </c>
      <c r="G314">
        <f>mapActivity.xml!S318</f>
        <v>2</v>
      </c>
    </row>
    <row r="315" spans="1:7">
      <c r="A315">
        <f>mapActivity.xml!A319</f>
        <v>210001</v>
      </c>
      <c r="B315" t="str">
        <f>mapActivity.xml!B319</f>
        <v>沉着试炼（100）</v>
      </c>
      <c r="C315">
        <f>mapActivity.xml!D319</f>
        <v>0</v>
      </c>
      <c r="D315" t="str">
        <f>mapActivity.xml!L319</f>
        <v>map/map_001.png</v>
      </c>
      <c r="E315" t="str">
        <f>mapActivity.xml!M319</f>
        <v>1-3</v>
      </c>
      <c r="F315">
        <f>mapActivity.xml!N319</f>
        <v>920</v>
      </c>
      <c r="G315">
        <f>mapActivity.xml!S319</f>
        <v>2</v>
      </c>
    </row>
    <row r="316" spans="1:7">
      <c r="A316">
        <f>mapActivity.xml!A320</f>
        <v>210002</v>
      </c>
      <c r="B316" t="str">
        <f>mapActivity.xml!B320</f>
        <v>沉着试炼（100）</v>
      </c>
      <c r="C316">
        <f>mapActivity.xml!D320</f>
        <v>0</v>
      </c>
      <c r="D316" t="str">
        <f>mapActivity.xml!L320</f>
        <v>map/map_001.png</v>
      </c>
      <c r="E316" t="str">
        <f>mapActivity.xml!M320</f>
        <v>1-3</v>
      </c>
      <c r="F316">
        <f>mapActivity.xml!N320</f>
        <v>920</v>
      </c>
      <c r="G316">
        <f>mapActivity.xml!S320</f>
        <v>2</v>
      </c>
    </row>
    <row r="317" spans="1:7">
      <c r="A317">
        <f>mapActivity.xml!A321</f>
        <v>210003</v>
      </c>
      <c r="B317" t="str">
        <f>mapActivity.xml!B321</f>
        <v>沉着试炼（100）</v>
      </c>
      <c r="C317">
        <f>mapActivity.xml!D321</f>
        <v>0</v>
      </c>
      <c r="D317" t="str">
        <f>mapActivity.xml!L321</f>
        <v>map/map_001.png</v>
      </c>
      <c r="E317" t="str">
        <f>mapActivity.xml!M321</f>
        <v>1-3</v>
      </c>
      <c r="F317">
        <f>mapActivity.xml!N321</f>
        <v>920</v>
      </c>
      <c r="G317">
        <f>mapActivity.xml!S321</f>
        <v>2</v>
      </c>
    </row>
    <row r="318" spans="1:7">
      <c r="A318">
        <f>mapActivity.xml!A322</f>
        <v>210004</v>
      </c>
      <c r="B318" t="str">
        <f>mapActivity.xml!B322</f>
        <v>沉着试炼（100）</v>
      </c>
      <c r="C318">
        <f>mapActivity.xml!D322</f>
        <v>0</v>
      </c>
      <c r="D318" t="str">
        <f>mapActivity.xml!L322</f>
        <v>map/map_001.png</v>
      </c>
      <c r="E318" t="str">
        <f>mapActivity.xml!M322</f>
        <v>1-3</v>
      </c>
      <c r="F318">
        <f>mapActivity.xml!N322</f>
        <v>920</v>
      </c>
      <c r="G318">
        <f>mapActivity.xml!S322</f>
        <v>2</v>
      </c>
    </row>
    <row r="319" spans="1:7">
      <c r="A319">
        <f>mapActivity.xml!A323</f>
        <v>210005</v>
      </c>
      <c r="B319" t="str">
        <f>mapActivity.xml!B323</f>
        <v>沉着试炼（100）</v>
      </c>
      <c r="C319">
        <f>mapActivity.xml!D323</f>
        <v>0</v>
      </c>
      <c r="D319" t="str">
        <f>mapActivity.xml!L323</f>
        <v>map/map_001.png</v>
      </c>
      <c r="E319" t="str">
        <f>mapActivity.xml!M323</f>
        <v>1-3</v>
      </c>
      <c r="F319">
        <f>mapActivity.xml!N323</f>
        <v>920</v>
      </c>
      <c r="G319">
        <f>mapActivity.xml!S323</f>
        <v>2</v>
      </c>
    </row>
    <row r="320" spans="1:7">
      <c r="A320">
        <f>mapActivity.xml!A324</f>
        <v>210006</v>
      </c>
      <c r="B320" t="str">
        <f>mapActivity.xml!B324</f>
        <v>沉着试炼（100）</v>
      </c>
      <c r="C320">
        <f>mapActivity.xml!D324</f>
        <v>0</v>
      </c>
      <c r="D320" t="str">
        <f>mapActivity.xml!L324</f>
        <v>map/map_001.png</v>
      </c>
      <c r="E320" t="str">
        <f>mapActivity.xml!M324</f>
        <v>1-3</v>
      </c>
      <c r="F320">
        <f>mapActivity.xml!N324</f>
        <v>920</v>
      </c>
      <c r="G320">
        <f>mapActivity.xml!S324</f>
        <v>2</v>
      </c>
    </row>
    <row r="321" spans="1:7">
      <c r="A321">
        <f>mapActivity.xml!A325</f>
        <v>210007</v>
      </c>
      <c r="B321" t="str">
        <f>mapActivity.xml!B325</f>
        <v>沉着试炼（100）</v>
      </c>
      <c r="C321">
        <f>mapActivity.xml!D325</f>
        <v>0</v>
      </c>
      <c r="D321" t="str">
        <f>mapActivity.xml!L325</f>
        <v>map/map_001.png</v>
      </c>
      <c r="E321" t="str">
        <f>mapActivity.xml!M325</f>
        <v>1-3</v>
      </c>
      <c r="F321">
        <f>mapActivity.xml!N325</f>
        <v>920</v>
      </c>
      <c r="G321">
        <f>mapActivity.xml!S325</f>
        <v>2</v>
      </c>
    </row>
    <row r="322" spans="1:7">
      <c r="A322">
        <f>mapActivity.xml!A326</f>
        <v>210008</v>
      </c>
      <c r="B322" t="str">
        <f>mapActivity.xml!B326</f>
        <v>沉着试炼（100）</v>
      </c>
      <c r="C322">
        <f>mapActivity.xml!D326</f>
        <v>0</v>
      </c>
      <c r="D322" t="str">
        <f>mapActivity.xml!L326</f>
        <v>map/map_001.png</v>
      </c>
      <c r="E322" t="str">
        <f>mapActivity.xml!M326</f>
        <v>1-3</v>
      </c>
      <c r="F322">
        <f>mapActivity.xml!N326</f>
        <v>920</v>
      </c>
      <c r="G322">
        <f>mapActivity.xml!S326</f>
        <v>2</v>
      </c>
    </row>
    <row r="323" spans="1:7">
      <c r="A323">
        <f>mapActivity.xml!A327</f>
        <v>210009</v>
      </c>
      <c r="B323" t="str">
        <f>mapActivity.xml!B327</f>
        <v>沉着试炼（100）</v>
      </c>
      <c r="C323">
        <f>mapActivity.xml!D327</f>
        <v>0</v>
      </c>
      <c r="D323" t="str">
        <f>mapActivity.xml!L327</f>
        <v>map/map_001.png</v>
      </c>
      <c r="E323" t="str">
        <f>mapActivity.xml!M327</f>
        <v>1-3</v>
      </c>
      <c r="F323">
        <f>mapActivity.xml!N327</f>
        <v>920</v>
      </c>
      <c r="G323">
        <f>mapActivity.xml!S327</f>
        <v>2</v>
      </c>
    </row>
    <row r="324" spans="1:7">
      <c r="A324" t="e">
        <f>mapActivity.xml!#REF!</f>
        <v>#REF!</v>
      </c>
      <c r="B324" t="e">
        <f>mapActivity.xml!#REF!</f>
        <v>#REF!</v>
      </c>
      <c r="C324" t="e">
        <f>mapActivity.xml!#REF!</f>
        <v>#REF!</v>
      </c>
      <c r="D324" t="e">
        <f>mapActivity.xml!#REF!</f>
        <v>#REF!</v>
      </c>
      <c r="E324" t="e">
        <f>mapActivity.xml!#REF!</f>
        <v>#REF!</v>
      </c>
      <c r="F324" t="e">
        <f>mapActivity.xml!#REF!</f>
        <v>#REF!</v>
      </c>
      <c r="G324" t="e">
        <f>mapActivity.xml!#REF!</f>
        <v>#REF!</v>
      </c>
    </row>
    <row r="325" spans="1:7">
      <c r="A325" t="e">
        <f>mapActivity.xml!#REF!</f>
        <v>#REF!</v>
      </c>
      <c r="B325" t="e">
        <f>mapActivity.xml!#REF!</f>
        <v>#REF!</v>
      </c>
      <c r="C325" t="e">
        <f>mapActivity.xml!#REF!</f>
        <v>#REF!</v>
      </c>
      <c r="D325" t="e">
        <f>mapActivity.xml!#REF!</f>
        <v>#REF!</v>
      </c>
      <c r="E325" t="e">
        <f>mapActivity.xml!#REF!</f>
        <v>#REF!</v>
      </c>
      <c r="F325" t="e">
        <f>mapActivity.xml!#REF!</f>
        <v>#REF!</v>
      </c>
      <c r="G325" t="e">
        <f>mapActivity.xml!#REF!</f>
        <v>#REF!</v>
      </c>
    </row>
    <row r="326" spans="1:7">
      <c r="A326" t="e">
        <f>mapActivity.xml!#REF!</f>
        <v>#REF!</v>
      </c>
      <c r="B326" t="e">
        <f>mapActivity.xml!#REF!</f>
        <v>#REF!</v>
      </c>
      <c r="C326" t="e">
        <f>mapActivity.xml!#REF!</f>
        <v>#REF!</v>
      </c>
      <c r="D326" t="e">
        <f>mapActivity.xml!#REF!</f>
        <v>#REF!</v>
      </c>
      <c r="E326" t="e">
        <f>mapActivity.xml!#REF!</f>
        <v>#REF!</v>
      </c>
      <c r="F326" t="e">
        <f>mapActivity.xml!#REF!</f>
        <v>#REF!</v>
      </c>
      <c r="G326" t="e">
        <f>mapActivity.xml!#REF!</f>
        <v>#REF!</v>
      </c>
    </row>
    <row r="327" spans="1:7">
      <c r="A327" t="e">
        <f>mapActivity.xml!#REF!</f>
        <v>#REF!</v>
      </c>
      <c r="B327" t="e">
        <f>mapActivity.xml!#REF!</f>
        <v>#REF!</v>
      </c>
      <c r="C327" t="e">
        <f>mapActivity.xml!#REF!</f>
        <v>#REF!</v>
      </c>
      <c r="D327" t="e">
        <f>mapActivity.xml!#REF!</f>
        <v>#REF!</v>
      </c>
      <c r="E327" t="e">
        <f>mapActivity.xml!#REF!</f>
        <v>#REF!</v>
      </c>
      <c r="F327" t="e">
        <f>mapActivity.xml!#REF!</f>
        <v>#REF!</v>
      </c>
      <c r="G327" t="e">
        <f>mapActivity.xml!#REF!</f>
        <v>#REF!</v>
      </c>
    </row>
    <row r="328" spans="1:7">
      <c r="A328" t="e">
        <f>mapActivity.xml!#REF!</f>
        <v>#REF!</v>
      </c>
      <c r="B328" t="e">
        <f>mapActivity.xml!#REF!</f>
        <v>#REF!</v>
      </c>
      <c r="C328" t="e">
        <f>mapActivity.xml!#REF!</f>
        <v>#REF!</v>
      </c>
      <c r="D328" t="e">
        <f>mapActivity.xml!#REF!</f>
        <v>#REF!</v>
      </c>
      <c r="E328" t="e">
        <f>mapActivity.xml!#REF!</f>
        <v>#REF!</v>
      </c>
      <c r="F328" t="e">
        <f>mapActivity.xml!#REF!</f>
        <v>#REF!</v>
      </c>
      <c r="G328" t="e">
        <f>mapActivity.xml!#REF!</f>
        <v>#REF!</v>
      </c>
    </row>
    <row r="329" spans="1:7">
      <c r="A329" t="e">
        <f>mapActivity.xml!#REF!</f>
        <v>#REF!</v>
      </c>
      <c r="B329" t="e">
        <f>mapActivity.xml!#REF!</f>
        <v>#REF!</v>
      </c>
      <c r="C329" t="e">
        <f>mapActivity.xml!#REF!</f>
        <v>#REF!</v>
      </c>
      <c r="D329" t="e">
        <f>mapActivity.xml!#REF!</f>
        <v>#REF!</v>
      </c>
      <c r="E329" t="e">
        <f>mapActivity.xml!#REF!</f>
        <v>#REF!</v>
      </c>
      <c r="F329" t="e">
        <f>mapActivity.xml!#REF!</f>
        <v>#REF!</v>
      </c>
      <c r="G329" t="e">
        <f>mapActivity.xml!#REF!</f>
        <v>#REF!</v>
      </c>
    </row>
    <row r="330" spans="1:7">
      <c r="A330" t="e">
        <f>mapActivity.xml!#REF!</f>
        <v>#REF!</v>
      </c>
      <c r="B330" t="e">
        <f>mapActivity.xml!#REF!</f>
        <v>#REF!</v>
      </c>
      <c r="C330" t="e">
        <f>mapActivity.xml!#REF!</f>
        <v>#REF!</v>
      </c>
      <c r="D330" t="e">
        <f>mapActivity.xml!#REF!</f>
        <v>#REF!</v>
      </c>
      <c r="E330" t="e">
        <f>mapActivity.xml!#REF!</f>
        <v>#REF!</v>
      </c>
      <c r="F330" t="e">
        <f>mapActivity.xml!#REF!</f>
        <v>#REF!</v>
      </c>
      <c r="G330" t="e">
        <f>mapActivity.xml!#REF!</f>
        <v>#REF!</v>
      </c>
    </row>
    <row r="331" spans="1:7">
      <c r="A331" t="e">
        <f>mapActivity.xml!#REF!</f>
        <v>#REF!</v>
      </c>
      <c r="B331" t="e">
        <f>mapActivity.xml!#REF!</f>
        <v>#REF!</v>
      </c>
      <c r="C331" t="e">
        <f>mapActivity.xml!#REF!</f>
        <v>#REF!</v>
      </c>
      <c r="D331" t="e">
        <f>mapActivity.xml!#REF!</f>
        <v>#REF!</v>
      </c>
      <c r="E331" t="e">
        <f>mapActivity.xml!#REF!</f>
        <v>#REF!</v>
      </c>
      <c r="F331" t="e">
        <f>mapActivity.xml!#REF!</f>
        <v>#REF!</v>
      </c>
      <c r="G331" t="e">
        <f>mapActivity.xml!#REF!</f>
        <v>#REF!</v>
      </c>
    </row>
    <row r="332" spans="1:7">
      <c r="A332" t="e">
        <f>mapActivity.xml!#REF!</f>
        <v>#REF!</v>
      </c>
      <c r="B332" t="e">
        <f>mapActivity.xml!#REF!</f>
        <v>#REF!</v>
      </c>
      <c r="C332" t="e">
        <f>mapActivity.xml!#REF!</f>
        <v>#REF!</v>
      </c>
      <c r="D332" t="e">
        <f>mapActivity.xml!#REF!</f>
        <v>#REF!</v>
      </c>
      <c r="E332" t="e">
        <f>mapActivity.xml!#REF!</f>
        <v>#REF!</v>
      </c>
      <c r="F332" t="e">
        <f>mapActivity.xml!#REF!</f>
        <v>#REF!</v>
      </c>
      <c r="G332" t="e">
        <f>mapActivity.xml!#REF!</f>
        <v>#REF!</v>
      </c>
    </row>
    <row r="333" spans="1:7">
      <c r="A333" t="e">
        <f>mapActivity.xml!#REF!</f>
        <v>#REF!</v>
      </c>
      <c r="B333" t="e">
        <f>mapActivity.xml!#REF!</f>
        <v>#REF!</v>
      </c>
      <c r="C333" t="e">
        <f>mapActivity.xml!#REF!</f>
        <v>#REF!</v>
      </c>
      <c r="D333" t="e">
        <f>mapActivity.xml!#REF!</f>
        <v>#REF!</v>
      </c>
      <c r="E333" t="e">
        <f>mapActivity.xml!#REF!</f>
        <v>#REF!</v>
      </c>
      <c r="F333" t="e">
        <f>mapActivity.xml!#REF!</f>
        <v>#REF!</v>
      </c>
      <c r="G333" t="e">
        <f>mapActivity.xml!#REF!</f>
        <v>#REF!</v>
      </c>
    </row>
    <row r="334" spans="1:7">
      <c r="A334" t="e">
        <f>mapActivity.xml!#REF!</f>
        <v>#REF!</v>
      </c>
      <c r="B334" t="e">
        <f>mapActivity.xml!#REF!</f>
        <v>#REF!</v>
      </c>
      <c r="C334" t="e">
        <f>mapActivity.xml!#REF!</f>
        <v>#REF!</v>
      </c>
      <c r="D334" t="e">
        <f>mapActivity.xml!#REF!</f>
        <v>#REF!</v>
      </c>
      <c r="E334" t="e">
        <f>mapActivity.xml!#REF!</f>
        <v>#REF!</v>
      </c>
      <c r="F334" t="e">
        <f>mapActivity.xml!#REF!</f>
        <v>#REF!</v>
      </c>
      <c r="G334" t="e">
        <f>mapActivity.xml!#REF!</f>
        <v>#REF!</v>
      </c>
    </row>
    <row r="335" spans="1:7">
      <c r="A335" t="e">
        <f>mapActivity.xml!#REF!</f>
        <v>#REF!</v>
      </c>
      <c r="B335" t="e">
        <f>mapActivity.xml!#REF!</f>
        <v>#REF!</v>
      </c>
      <c r="C335" t="e">
        <f>mapActivity.xml!#REF!</f>
        <v>#REF!</v>
      </c>
      <c r="D335" t="e">
        <f>mapActivity.xml!#REF!</f>
        <v>#REF!</v>
      </c>
      <c r="E335" t="e">
        <f>mapActivity.xml!#REF!</f>
        <v>#REF!</v>
      </c>
      <c r="F335" t="e">
        <f>mapActivity.xml!#REF!</f>
        <v>#REF!</v>
      </c>
      <c r="G335" t="e">
        <f>mapActivity.xml!#REF!</f>
        <v>#REF!</v>
      </c>
    </row>
    <row r="336" spans="1:7">
      <c r="A336" t="e">
        <f>mapActivity.xml!#REF!</f>
        <v>#REF!</v>
      </c>
      <c r="B336" t="e">
        <f>mapActivity.xml!#REF!</f>
        <v>#REF!</v>
      </c>
      <c r="C336" t="e">
        <f>mapActivity.xml!#REF!</f>
        <v>#REF!</v>
      </c>
      <c r="D336" t="e">
        <f>mapActivity.xml!#REF!</f>
        <v>#REF!</v>
      </c>
      <c r="E336" t="e">
        <f>mapActivity.xml!#REF!</f>
        <v>#REF!</v>
      </c>
      <c r="F336" t="e">
        <f>mapActivity.xml!#REF!</f>
        <v>#REF!</v>
      </c>
      <c r="G336" t="e">
        <f>mapActivity.xml!#REF!</f>
        <v>#REF!</v>
      </c>
    </row>
    <row r="337" spans="1:7">
      <c r="A337" t="e">
        <f>mapActivity.xml!#REF!</f>
        <v>#REF!</v>
      </c>
      <c r="B337" t="e">
        <f>mapActivity.xml!#REF!</f>
        <v>#REF!</v>
      </c>
      <c r="C337" t="e">
        <f>mapActivity.xml!#REF!</f>
        <v>#REF!</v>
      </c>
      <c r="D337" t="e">
        <f>mapActivity.xml!#REF!</f>
        <v>#REF!</v>
      </c>
      <c r="E337" t="e">
        <f>mapActivity.xml!#REF!</f>
        <v>#REF!</v>
      </c>
      <c r="F337" t="e">
        <f>mapActivity.xml!#REF!</f>
        <v>#REF!</v>
      </c>
      <c r="G337" t="e">
        <f>mapActivity.xml!#REF!</f>
        <v>#REF!</v>
      </c>
    </row>
    <row r="338" spans="1:7">
      <c r="A338" t="e">
        <f>mapActivity.xml!#REF!</f>
        <v>#REF!</v>
      </c>
      <c r="B338" t="e">
        <f>mapActivity.xml!#REF!</f>
        <v>#REF!</v>
      </c>
      <c r="C338" t="e">
        <f>mapActivity.xml!#REF!</f>
        <v>#REF!</v>
      </c>
      <c r="D338" t="e">
        <f>mapActivity.xml!#REF!</f>
        <v>#REF!</v>
      </c>
      <c r="E338" t="e">
        <f>mapActivity.xml!#REF!</f>
        <v>#REF!</v>
      </c>
      <c r="F338" t="e">
        <f>mapActivity.xml!#REF!</f>
        <v>#REF!</v>
      </c>
      <c r="G338" t="e">
        <f>mapActivity.xml!#REF!</f>
        <v>#REF!</v>
      </c>
    </row>
    <row r="339" spans="1:7">
      <c r="A339" t="e">
        <f>mapActivity.xml!#REF!</f>
        <v>#REF!</v>
      </c>
      <c r="B339" t="e">
        <f>mapActivity.xml!#REF!</f>
        <v>#REF!</v>
      </c>
      <c r="C339" t="e">
        <f>mapActivity.xml!#REF!</f>
        <v>#REF!</v>
      </c>
      <c r="D339" t="e">
        <f>mapActivity.xml!#REF!</f>
        <v>#REF!</v>
      </c>
      <c r="E339" t="e">
        <f>mapActivity.xml!#REF!</f>
        <v>#REF!</v>
      </c>
      <c r="F339" t="e">
        <f>mapActivity.xml!#REF!</f>
        <v>#REF!</v>
      </c>
      <c r="G339" t="e">
        <f>mapActivity.xml!#REF!</f>
        <v>#REF!</v>
      </c>
    </row>
    <row r="340" spans="1:7">
      <c r="A340" t="e">
        <f>mapActivity.xml!#REF!</f>
        <v>#REF!</v>
      </c>
      <c r="B340" t="e">
        <f>mapActivity.xml!#REF!</f>
        <v>#REF!</v>
      </c>
      <c r="C340" t="e">
        <f>mapActivity.xml!#REF!</f>
        <v>#REF!</v>
      </c>
      <c r="D340" t="e">
        <f>mapActivity.xml!#REF!</f>
        <v>#REF!</v>
      </c>
      <c r="E340" t="e">
        <f>mapActivity.xml!#REF!</f>
        <v>#REF!</v>
      </c>
      <c r="F340" t="e">
        <f>mapActivity.xml!#REF!</f>
        <v>#REF!</v>
      </c>
      <c r="G340" t="e">
        <f>mapActivity.xml!#REF!</f>
        <v>#REF!</v>
      </c>
    </row>
    <row r="341" spans="1:7">
      <c r="A341" t="e">
        <f>mapActivity.xml!#REF!</f>
        <v>#REF!</v>
      </c>
      <c r="B341" t="e">
        <f>mapActivity.xml!#REF!</f>
        <v>#REF!</v>
      </c>
      <c r="C341" t="e">
        <f>mapActivity.xml!#REF!</f>
        <v>#REF!</v>
      </c>
      <c r="D341" t="e">
        <f>mapActivity.xml!#REF!</f>
        <v>#REF!</v>
      </c>
      <c r="E341" t="e">
        <f>mapActivity.xml!#REF!</f>
        <v>#REF!</v>
      </c>
      <c r="F341" t="e">
        <f>mapActivity.xml!#REF!</f>
        <v>#REF!</v>
      </c>
      <c r="G341" t="e">
        <f>mapActivity.xml!#REF!</f>
        <v>#REF!</v>
      </c>
    </row>
    <row r="342" spans="1:7">
      <c r="A342" t="e">
        <f>mapActivity.xml!#REF!</f>
        <v>#REF!</v>
      </c>
      <c r="B342" t="e">
        <f>mapActivity.xml!#REF!</f>
        <v>#REF!</v>
      </c>
      <c r="C342" t="e">
        <f>mapActivity.xml!#REF!</f>
        <v>#REF!</v>
      </c>
      <c r="D342" t="e">
        <f>mapActivity.xml!#REF!</f>
        <v>#REF!</v>
      </c>
      <c r="E342" t="e">
        <f>mapActivity.xml!#REF!</f>
        <v>#REF!</v>
      </c>
      <c r="F342" t="e">
        <f>mapActivity.xml!#REF!</f>
        <v>#REF!</v>
      </c>
      <c r="G342" t="e">
        <f>mapActivity.xml!#REF!</f>
        <v>#REF!</v>
      </c>
    </row>
    <row r="343" spans="1:7">
      <c r="A343" t="e">
        <f>mapActivity.xml!#REF!</f>
        <v>#REF!</v>
      </c>
      <c r="B343" t="e">
        <f>mapActivity.xml!#REF!</f>
        <v>#REF!</v>
      </c>
      <c r="C343" t="e">
        <f>mapActivity.xml!#REF!</f>
        <v>#REF!</v>
      </c>
      <c r="D343" t="e">
        <f>mapActivity.xml!#REF!</f>
        <v>#REF!</v>
      </c>
      <c r="E343" t="e">
        <f>mapActivity.xml!#REF!</f>
        <v>#REF!</v>
      </c>
      <c r="F343" t="e">
        <f>mapActivity.xml!#REF!</f>
        <v>#REF!</v>
      </c>
      <c r="G343" t="e">
        <f>mapActivity.xml!#REF!</f>
        <v>#REF!</v>
      </c>
    </row>
    <row r="344" spans="1:7">
      <c r="A344" t="e">
        <f>mapActivity.xml!#REF!</f>
        <v>#REF!</v>
      </c>
      <c r="B344" t="e">
        <f>mapActivity.xml!#REF!</f>
        <v>#REF!</v>
      </c>
      <c r="C344" t="e">
        <f>mapActivity.xml!#REF!</f>
        <v>#REF!</v>
      </c>
      <c r="D344" t="e">
        <f>mapActivity.xml!#REF!</f>
        <v>#REF!</v>
      </c>
      <c r="E344" t="e">
        <f>mapActivity.xml!#REF!</f>
        <v>#REF!</v>
      </c>
      <c r="F344" t="e">
        <f>mapActivity.xml!#REF!</f>
        <v>#REF!</v>
      </c>
      <c r="G344" t="e">
        <f>mapActivity.xml!#REF!</f>
        <v>#REF!</v>
      </c>
    </row>
    <row r="345" spans="1:7">
      <c r="A345" t="e">
        <f>mapActivity.xml!#REF!</f>
        <v>#REF!</v>
      </c>
      <c r="B345" t="e">
        <f>mapActivity.xml!#REF!</f>
        <v>#REF!</v>
      </c>
      <c r="C345" t="e">
        <f>mapActivity.xml!#REF!</f>
        <v>#REF!</v>
      </c>
      <c r="D345" t="e">
        <f>mapActivity.xml!#REF!</f>
        <v>#REF!</v>
      </c>
      <c r="E345" t="e">
        <f>mapActivity.xml!#REF!</f>
        <v>#REF!</v>
      </c>
      <c r="F345" t="e">
        <f>mapActivity.xml!#REF!</f>
        <v>#REF!</v>
      </c>
      <c r="G345" t="e">
        <f>mapActivity.xml!#REF!</f>
        <v>#REF!</v>
      </c>
    </row>
    <row r="346" spans="1:7">
      <c r="A346" t="e">
        <f>mapActivity.xml!#REF!</f>
        <v>#REF!</v>
      </c>
      <c r="B346" t="e">
        <f>mapActivity.xml!#REF!</f>
        <v>#REF!</v>
      </c>
      <c r="C346" t="e">
        <f>mapActivity.xml!#REF!</f>
        <v>#REF!</v>
      </c>
      <c r="D346" t="e">
        <f>mapActivity.xml!#REF!</f>
        <v>#REF!</v>
      </c>
      <c r="E346" t="e">
        <f>mapActivity.xml!#REF!</f>
        <v>#REF!</v>
      </c>
      <c r="F346" t="e">
        <f>mapActivity.xml!#REF!</f>
        <v>#REF!</v>
      </c>
      <c r="G346" t="e">
        <f>mapActivity.xml!#REF!</f>
        <v>#REF!</v>
      </c>
    </row>
    <row r="347" spans="1:7">
      <c r="A347" t="e">
        <f>mapActivity.xml!#REF!</f>
        <v>#REF!</v>
      </c>
      <c r="B347" t="e">
        <f>mapActivity.xml!#REF!</f>
        <v>#REF!</v>
      </c>
      <c r="C347" t="e">
        <f>mapActivity.xml!#REF!</f>
        <v>#REF!</v>
      </c>
      <c r="D347" t="e">
        <f>mapActivity.xml!#REF!</f>
        <v>#REF!</v>
      </c>
      <c r="E347" t="e">
        <f>mapActivity.xml!#REF!</f>
        <v>#REF!</v>
      </c>
      <c r="F347" t="e">
        <f>mapActivity.xml!#REF!</f>
        <v>#REF!</v>
      </c>
      <c r="G347" t="e">
        <f>mapActivity.xml!#REF!</f>
        <v>#REF!</v>
      </c>
    </row>
    <row r="348" spans="1:7">
      <c r="A348" t="e">
        <f>mapActivity.xml!#REF!</f>
        <v>#REF!</v>
      </c>
      <c r="B348" t="e">
        <f>mapActivity.xml!#REF!</f>
        <v>#REF!</v>
      </c>
      <c r="C348" t="e">
        <f>mapActivity.xml!#REF!</f>
        <v>#REF!</v>
      </c>
      <c r="D348" t="e">
        <f>mapActivity.xml!#REF!</f>
        <v>#REF!</v>
      </c>
      <c r="E348" t="e">
        <f>mapActivity.xml!#REF!</f>
        <v>#REF!</v>
      </c>
      <c r="F348" t="e">
        <f>mapActivity.xml!#REF!</f>
        <v>#REF!</v>
      </c>
      <c r="G348" t="e">
        <f>mapActivity.xml!#REF!</f>
        <v>#REF!</v>
      </c>
    </row>
    <row r="349" spans="1:7">
      <c r="A349" t="e">
        <f>mapActivity.xml!#REF!</f>
        <v>#REF!</v>
      </c>
      <c r="B349" t="e">
        <f>mapActivity.xml!#REF!</f>
        <v>#REF!</v>
      </c>
      <c r="C349" t="e">
        <f>mapActivity.xml!#REF!</f>
        <v>#REF!</v>
      </c>
      <c r="D349" t="e">
        <f>mapActivity.xml!#REF!</f>
        <v>#REF!</v>
      </c>
      <c r="E349" t="e">
        <f>mapActivity.xml!#REF!</f>
        <v>#REF!</v>
      </c>
      <c r="F349" t="e">
        <f>mapActivity.xml!#REF!</f>
        <v>#REF!</v>
      </c>
      <c r="G349" t="e">
        <f>mapActivity.xml!#REF!</f>
        <v>#REF!</v>
      </c>
    </row>
    <row r="350" spans="1:7">
      <c r="A350" t="e">
        <f>mapActivity.xml!#REF!</f>
        <v>#REF!</v>
      </c>
      <c r="B350" t="e">
        <f>mapActivity.xml!#REF!</f>
        <v>#REF!</v>
      </c>
      <c r="C350" t="e">
        <f>mapActivity.xml!#REF!</f>
        <v>#REF!</v>
      </c>
      <c r="D350" t="e">
        <f>mapActivity.xml!#REF!</f>
        <v>#REF!</v>
      </c>
      <c r="E350" t="e">
        <f>mapActivity.xml!#REF!</f>
        <v>#REF!</v>
      </c>
      <c r="F350" t="e">
        <f>mapActivity.xml!#REF!</f>
        <v>#REF!</v>
      </c>
      <c r="G350" t="e">
        <f>mapActivity.xml!#REF!</f>
        <v>#REF!</v>
      </c>
    </row>
    <row r="351" spans="1:7">
      <c r="A351" t="e">
        <f>mapActivity.xml!#REF!</f>
        <v>#REF!</v>
      </c>
      <c r="B351" t="e">
        <f>mapActivity.xml!#REF!</f>
        <v>#REF!</v>
      </c>
      <c r="C351" t="e">
        <f>mapActivity.xml!#REF!</f>
        <v>#REF!</v>
      </c>
      <c r="D351" t="e">
        <f>mapActivity.xml!#REF!</f>
        <v>#REF!</v>
      </c>
      <c r="E351" t="e">
        <f>mapActivity.xml!#REF!</f>
        <v>#REF!</v>
      </c>
      <c r="F351" t="e">
        <f>mapActivity.xml!#REF!</f>
        <v>#REF!</v>
      </c>
      <c r="G351" t="e">
        <f>mapActivity.xml!#REF!</f>
        <v>#REF!</v>
      </c>
    </row>
    <row r="352" spans="1:7">
      <c r="A352" t="e">
        <f>mapActivity.xml!#REF!</f>
        <v>#REF!</v>
      </c>
      <c r="B352" t="e">
        <f>mapActivity.xml!#REF!</f>
        <v>#REF!</v>
      </c>
      <c r="C352" t="e">
        <f>mapActivity.xml!#REF!</f>
        <v>#REF!</v>
      </c>
      <c r="D352" t="e">
        <f>mapActivity.xml!#REF!</f>
        <v>#REF!</v>
      </c>
      <c r="E352" t="e">
        <f>mapActivity.xml!#REF!</f>
        <v>#REF!</v>
      </c>
      <c r="F352" t="e">
        <f>mapActivity.xml!#REF!</f>
        <v>#REF!</v>
      </c>
      <c r="G352" t="e">
        <f>mapActivity.xml!#REF!</f>
        <v>#REF!</v>
      </c>
    </row>
    <row r="353" spans="1:7">
      <c r="A353" t="e">
        <f>mapActivity.xml!#REF!</f>
        <v>#REF!</v>
      </c>
      <c r="B353" t="e">
        <f>mapActivity.xml!#REF!</f>
        <v>#REF!</v>
      </c>
      <c r="C353" t="e">
        <f>mapActivity.xml!#REF!</f>
        <v>#REF!</v>
      </c>
      <c r="D353" t="e">
        <f>mapActivity.xml!#REF!</f>
        <v>#REF!</v>
      </c>
      <c r="E353" t="e">
        <f>mapActivity.xml!#REF!</f>
        <v>#REF!</v>
      </c>
      <c r="F353" t="e">
        <f>mapActivity.xml!#REF!</f>
        <v>#REF!</v>
      </c>
      <c r="G353" t="e">
        <f>mapActivity.xml!#REF!</f>
        <v>#REF!</v>
      </c>
    </row>
    <row r="354" spans="1:7">
      <c r="A354" t="e">
        <f>mapActivity.xml!#REF!</f>
        <v>#REF!</v>
      </c>
      <c r="B354" t="e">
        <f>mapActivity.xml!#REF!</f>
        <v>#REF!</v>
      </c>
      <c r="C354" t="e">
        <f>mapActivity.xml!#REF!</f>
        <v>#REF!</v>
      </c>
      <c r="D354" t="e">
        <f>mapActivity.xml!#REF!</f>
        <v>#REF!</v>
      </c>
      <c r="E354" t="e">
        <f>mapActivity.xml!#REF!</f>
        <v>#REF!</v>
      </c>
      <c r="F354" t="e">
        <f>mapActivity.xml!#REF!</f>
        <v>#REF!</v>
      </c>
      <c r="G354" t="e">
        <f>mapActivity.xml!#REF!</f>
        <v>#REF!</v>
      </c>
    </row>
    <row r="355" spans="1:7">
      <c r="A355" t="e">
        <f>mapActivity.xml!#REF!</f>
        <v>#REF!</v>
      </c>
      <c r="B355" t="e">
        <f>mapActivity.xml!#REF!</f>
        <v>#REF!</v>
      </c>
      <c r="C355" t="e">
        <f>mapActivity.xml!#REF!</f>
        <v>#REF!</v>
      </c>
      <c r="D355" t="e">
        <f>mapActivity.xml!#REF!</f>
        <v>#REF!</v>
      </c>
      <c r="E355" t="e">
        <f>mapActivity.xml!#REF!</f>
        <v>#REF!</v>
      </c>
      <c r="F355" t="e">
        <f>mapActivity.xml!#REF!</f>
        <v>#REF!</v>
      </c>
      <c r="G355" t="e">
        <f>mapActivity.xml!#REF!</f>
        <v>#REF!</v>
      </c>
    </row>
    <row r="356" spans="1:7">
      <c r="A356" t="e">
        <f>mapActivity.xml!#REF!</f>
        <v>#REF!</v>
      </c>
      <c r="B356" t="e">
        <f>mapActivity.xml!#REF!</f>
        <v>#REF!</v>
      </c>
      <c r="C356" t="e">
        <f>mapActivity.xml!#REF!</f>
        <v>#REF!</v>
      </c>
      <c r="D356" t="e">
        <f>mapActivity.xml!#REF!</f>
        <v>#REF!</v>
      </c>
      <c r="E356" t="e">
        <f>mapActivity.xml!#REF!</f>
        <v>#REF!</v>
      </c>
      <c r="F356" t="e">
        <f>mapActivity.xml!#REF!</f>
        <v>#REF!</v>
      </c>
      <c r="G356" t="e">
        <f>mapActivity.xml!#REF!</f>
        <v>#REF!</v>
      </c>
    </row>
    <row r="357" spans="1:7">
      <c r="A357" t="e">
        <f>mapActivity.xml!#REF!</f>
        <v>#REF!</v>
      </c>
      <c r="B357" t="e">
        <f>mapActivity.xml!#REF!</f>
        <v>#REF!</v>
      </c>
      <c r="C357" t="e">
        <f>mapActivity.xml!#REF!</f>
        <v>#REF!</v>
      </c>
      <c r="D357" t="e">
        <f>mapActivity.xml!#REF!</f>
        <v>#REF!</v>
      </c>
      <c r="E357" t="e">
        <f>mapActivity.xml!#REF!</f>
        <v>#REF!</v>
      </c>
      <c r="F357" t="e">
        <f>mapActivity.xml!#REF!</f>
        <v>#REF!</v>
      </c>
      <c r="G357" t="e">
        <f>mapActivity.xml!#REF!</f>
        <v>#REF!</v>
      </c>
    </row>
    <row r="358" spans="1:7">
      <c r="A358" t="e">
        <f>mapActivity.xml!#REF!</f>
        <v>#REF!</v>
      </c>
      <c r="B358" t="e">
        <f>mapActivity.xml!#REF!</f>
        <v>#REF!</v>
      </c>
      <c r="C358" t="e">
        <f>mapActivity.xml!#REF!</f>
        <v>#REF!</v>
      </c>
      <c r="D358" t="e">
        <f>mapActivity.xml!#REF!</f>
        <v>#REF!</v>
      </c>
      <c r="E358" t="e">
        <f>mapActivity.xml!#REF!</f>
        <v>#REF!</v>
      </c>
      <c r="F358" t="e">
        <f>mapActivity.xml!#REF!</f>
        <v>#REF!</v>
      </c>
      <c r="G358" t="e">
        <f>mapActivity.xml!#REF!</f>
        <v>#REF!</v>
      </c>
    </row>
    <row r="359" spans="1:7">
      <c r="A359" t="e">
        <f>mapActivity.xml!#REF!</f>
        <v>#REF!</v>
      </c>
      <c r="B359" t="e">
        <f>mapActivity.xml!#REF!</f>
        <v>#REF!</v>
      </c>
      <c r="C359" t="e">
        <f>mapActivity.xml!#REF!</f>
        <v>#REF!</v>
      </c>
      <c r="D359" t="e">
        <f>mapActivity.xml!#REF!</f>
        <v>#REF!</v>
      </c>
      <c r="E359" t="e">
        <f>mapActivity.xml!#REF!</f>
        <v>#REF!</v>
      </c>
      <c r="F359" t="e">
        <f>mapActivity.xml!#REF!</f>
        <v>#REF!</v>
      </c>
      <c r="G359" t="e">
        <f>mapActivity.xml!#REF!</f>
        <v>#REF!</v>
      </c>
    </row>
    <row r="360" spans="1:7">
      <c r="A360" t="e">
        <f>mapActivity.xml!#REF!</f>
        <v>#REF!</v>
      </c>
      <c r="B360" t="e">
        <f>mapActivity.xml!#REF!</f>
        <v>#REF!</v>
      </c>
      <c r="C360" t="e">
        <f>mapActivity.xml!#REF!</f>
        <v>#REF!</v>
      </c>
      <c r="D360" t="e">
        <f>mapActivity.xml!#REF!</f>
        <v>#REF!</v>
      </c>
      <c r="E360" t="e">
        <f>mapActivity.xml!#REF!</f>
        <v>#REF!</v>
      </c>
      <c r="F360" t="e">
        <f>mapActivity.xml!#REF!</f>
        <v>#REF!</v>
      </c>
      <c r="G360" t="e">
        <f>mapActivity.xml!#REF!</f>
        <v>#REF!</v>
      </c>
    </row>
    <row r="361" spans="1:7">
      <c r="A361" t="e">
        <f>mapActivity.xml!#REF!</f>
        <v>#REF!</v>
      </c>
      <c r="B361" t="e">
        <f>mapActivity.xml!#REF!</f>
        <v>#REF!</v>
      </c>
      <c r="C361" t="e">
        <f>mapActivity.xml!#REF!</f>
        <v>#REF!</v>
      </c>
      <c r="D361" t="e">
        <f>mapActivity.xml!#REF!</f>
        <v>#REF!</v>
      </c>
      <c r="E361" t="e">
        <f>mapActivity.xml!#REF!</f>
        <v>#REF!</v>
      </c>
      <c r="F361" t="e">
        <f>mapActivity.xml!#REF!</f>
        <v>#REF!</v>
      </c>
      <c r="G361" t="e">
        <f>mapActivity.xml!#REF!</f>
        <v>#REF!</v>
      </c>
    </row>
    <row r="362" spans="1:7">
      <c r="A362" t="e">
        <f>mapActivity.xml!#REF!</f>
        <v>#REF!</v>
      </c>
      <c r="B362" t="e">
        <f>mapActivity.xml!#REF!</f>
        <v>#REF!</v>
      </c>
      <c r="C362" t="e">
        <f>mapActivity.xml!#REF!</f>
        <v>#REF!</v>
      </c>
      <c r="D362" t="e">
        <f>mapActivity.xml!#REF!</f>
        <v>#REF!</v>
      </c>
      <c r="E362" t="e">
        <f>mapActivity.xml!#REF!</f>
        <v>#REF!</v>
      </c>
      <c r="F362" t="e">
        <f>mapActivity.xml!#REF!</f>
        <v>#REF!</v>
      </c>
      <c r="G362" t="e">
        <f>mapActivity.xml!#REF!</f>
        <v>#REF!</v>
      </c>
    </row>
    <row r="363" spans="1:7">
      <c r="A363" t="e">
        <f>mapActivity.xml!#REF!</f>
        <v>#REF!</v>
      </c>
      <c r="B363" t="e">
        <f>mapActivity.xml!#REF!</f>
        <v>#REF!</v>
      </c>
      <c r="C363" t="e">
        <f>mapActivity.xml!#REF!</f>
        <v>#REF!</v>
      </c>
      <c r="D363" t="e">
        <f>mapActivity.xml!#REF!</f>
        <v>#REF!</v>
      </c>
      <c r="E363" t="e">
        <f>mapActivity.xml!#REF!</f>
        <v>#REF!</v>
      </c>
      <c r="F363" t="e">
        <f>mapActivity.xml!#REF!</f>
        <v>#REF!</v>
      </c>
      <c r="G363" t="e">
        <f>mapActivity.xml!#REF!</f>
        <v>#REF!</v>
      </c>
    </row>
    <row r="364" spans="1:7">
      <c r="A364" t="e">
        <f>mapActivity.xml!#REF!</f>
        <v>#REF!</v>
      </c>
      <c r="B364" t="e">
        <f>mapActivity.xml!#REF!</f>
        <v>#REF!</v>
      </c>
      <c r="C364" t="e">
        <f>mapActivity.xml!#REF!</f>
        <v>#REF!</v>
      </c>
      <c r="D364" t="e">
        <f>mapActivity.xml!#REF!</f>
        <v>#REF!</v>
      </c>
      <c r="E364" t="e">
        <f>mapActivity.xml!#REF!</f>
        <v>#REF!</v>
      </c>
      <c r="F364" t="e">
        <f>mapActivity.xml!#REF!</f>
        <v>#REF!</v>
      </c>
      <c r="G364" t="e">
        <f>mapActivity.xml!#REF!</f>
        <v>#REF!</v>
      </c>
    </row>
    <row r="365" spans="1:7">
      <c r="A365" t="e">
        <f>mapActivity.xml!#REF!</f>
        <v>#REF!</v>
      </c>
      <c r="B365" t="e">
        <f>mapActivity.xml!#REF!</f>
        <v>#REF!</v>
      </c>
      <c r="C365" t="e">
        <f>mapActivity.xml!#REF!</f>
        <v>#REF!</v>
      </c>
      <c r="D365" t="e">
        <f>mapActivity.xml!#REF!</f>
        <v>#REF!</v>
      </c>
      <c r="E365" t="e">
        <f>mapActivity.xml!#REF!</f>
        <v>#REF!</v>
      </c>
      <c r="F365" t="e">
        <f>mapActivity.xml!#REF!</f>
        <v>#REF!</v>
      </c>
      <c r="G365" t="e">
        <f>mapActivity.xml!#REF!</f>
        <v>#REF!</v>
      </c>
    </row>
    <row r="366" spans="1:7">
      <c r="A366" t="e">
        <f>mapActivity.xml!#REF!</f>
        <v>#REF!</v>
      </c>
      <c r="B366" t="e">
        <f>mapActivity.xml!#REF!</f>
        <v>#REF!</v>
      </c>
      <c r="C366" t="e">
        <f>mapActivity.xml!#REF!</f>
        <v>#REF!</v>
      </c>
      <c r="D366" t="e">
        <f>mapActivity.xml!#REF!</f>
        <v>#REF!</v>
      </c>
      <c r="E366" t="e">
        <f>mapActivity.xml!#REF!</f>
        <v>#REF!</v>
      </c>
      <c r="F366" t="e">
        <f>mapActivity.xml!#REF!</f>
        <v>#REF!</v>
      </c>
      <c r="G366" t="e">
        <f>mapActivity.xml!#REF!</f>
        <v>#REF!</v>
      </c>
    </row>
    <row r="367" spans="1:7">
      <c r="A367" t="e">
        <f>mapActivity.xml!#REF!</f>
        <v>#REF!</v>
      </c>
      <c r="B367" t="e">
        <f>mapActivity.xml!#REF!</f>
        <v>#REF!</v>
      </c>
      <c r="C367" t="e">
        <f>mapActivity.xml!#REF!</f>
        <v>#REF!</v>
      </c>
      <c r="D367" t="e">
        <f>mapActivity.xml!#REF!</f>
        <v>#REF!</v>
      </c>
      <c r="E367" t="e">
        <f>mapActivity.xml!#REF!</f>
        <v>#REF!</v>
      </c>
      <c r="F367" t="e">
        <f>mapActivity.xml!#REF!</f>
        <v>#REF!</v>
      </c>
      <c r="G367" t="e">
        <f>mapActivity.xml!#REF!</f>
        <v>#REF!</v>
      </c>
    </row>
    <row r="368" spans="1:7">
      <c r="A368" t="e">
        <f>mapActivity.xml!#REF!</f>
        <v>#REF!</v>
      </c>
      <c r="B368" t="e">
        <f>mapActivity.xml!#REF!</f>
        <v>#REF!</v>
      </c>
      <c r="C368" t="e">
        <f>mapActivity.xml!#REF!</f>
        <v>#REF!</v>
      </c>
      <c r="D368" t="e">
        <f>mapActivity.xml!#REF!</f>
        <v>#REF!</v>
      </c>
      <c r="E368" t="e">
        <f>mapActivity.xml!#REF!</f>
        <v>#REF!</v>
      </c>
      <c r="F368" t="e">
        <f>mapActivity.xml!#REF!</f>
        <v>#REF!</v>
      </c>
      <c r="G368" t="e">
        <f>mapActivity.xml!#REF!</f>
        <v>#REF!</v>
      </c>
    </row>
    <row r="369" spans="1:7">
      <c r="A369" t="e">
        <f>mapActivity.xml!#REF!</f>
        <v>#REF!</v>
      </c>
      <c r="B369" t="e">
        <f>mapActivity.xml!#REF!</f>
        <v>#REF!</v>
      </c>
      <c r="C369" t="e">
        <f>mapActivity.xml!#REF!</f>
        <v>#REF!</v>
      </c>
      <c r="D369" t="e">
        <f>mapActivity.xml!#REF!</f>
        <v>#REF!</v>
      </c>
      <c r="E369" t="e">
        <f>mapActivity.xml!#REF!</f>
        <v>#REF!</v>
      </c>
      <c r="F369" t="e">
        <f>mapActivity.xml!#REF!</f>
        <v>#REF!</v>
      </c>
      <c r="G369" t="e">
        <f>mapActivity.xml!#REF!</f>
        <v>#REF!</v>
      </c>
    </row>
    <row r="370" spans="1:7">
      <c r="A370" t="e">
        <f>mapActivity.xml!#REF!</f>
        <v>#REF!</v>
      </c>
      <c r="B370" t="e">
        <f>mapActivity.xml!#REF!</f>
        <v>#REF!</v>
      </c>
      <c r="C370" t="e">
        <f>mapActivity.xml!#REF!</f>
        <v>#REF!</v>
      </c>
      <c r="D370" t="e">
        <f>mapActivity.xml!#REF!</f>
        <v>#REF!</v>
      </c>
      <c r="E370" t="e">
        <f>mapActivity.xml!#REF!</f>
        <v>#REF!</v>
      </c>
      <c r="F370" t="e">
        <f>mapActivity.xml!#REF!</f>
        <v>#REF!</v>
      </c>
      <c r="G370" t="e">
        <f>mapActivity.xml!#REF!</f>
        <v>#REF!</v>
      </c>
    </row>
    <row r="371" spans="1:7">
      <c r="A371" t="e">
        <f>mapActivity.xml!#REF!</f>
        <v>#REF!</v>
      </c>
      <c r="B371" t="e">
        <f>mapActivity.xml!#REF!</f>
        <v>#REF!</v>
      </c>
      <c r="C371" t="e">
        <f>mapActivity.xml!#REF!</f>
        <v>#REF!</v>
      </c>
      <c r="D371" t="e">
        <f>mapActivity.xml!#REF!</f>
        <v>#REF!</v>
      </c>
      <c r="E371" t="e">
        <f>mapActivity.xml!#REF!</f>
        <v>#REF!</v>
      </c>
      <c r="F371" t="e">
        <f>mapActivity.xml!#REF!</f>
        <v>#REF!</v>
      </c>
      <c r="G371" t="e">
        <f>mapActivity.xml!#REF!</f>
        <v>#REF!</v>
      </c>
    </row>
    <row r="372" spans="1:7">
      <c r="A372" t="e">
        <f>mapActivity.xml!#REF!</f>
        <v>#REF!</v>
      </c>
      <c r="B372" t="e">
        <f>mapActivity.xml!#REF!</f>
        <v>#REF!</v>
      </c>
      <c r="C372" t="e">
        <f>mapActivity.xml!#REF!</f>
        <v>#REF!</v>
      </c>
      <c r="D372" t="e">
        <f>mapActivity.xml!#REF!</f>
        <v>#REF!</v>
      </c>
      <c r="E372" t="e">
        <f>mapActivity.xml!#REF!</f>
        <v>#REF!</v>
      </c>
      <c r="F372" t="e">
        <f>mapActivity.xml!#REF!</f>
        <v>#REF!</v>
      </c>
      <c r="G372" t="e">
        <f>mapActivity.xml!#REF!</f>
        <v>#REF!</v>
      </c>
    </row>
    <row r="373" spans="1:7">
      <c r="A373" t="e">
        <f>mapActivity.xml!#REF!</f>
        <v>#REF!</v>
      </c>
      <c r="B373" t="e">
        <f>mapActivity.xml!#REF!</f>
        <v>#REF!</v>
      </c>
      <c r="C373" t="e">
        <f>mapActivity.xml!#REF!</f>
        <v>#REF!</v>
      </c>
      <c r="D373" t="e">
        <f>mapActivity.xml!#REF!</f>
        <v>#REF!</v>
      </c>
      <c r="E373" t="e">
        <f>mapActivity.xml!#REF!</f>
        <v>#REF!</v>
      </c>
      <c r="F373" t="e">
        <f>mapActivity.xml!#REF!</f>
        <v>#REF!</v>
      </c>
      <c r="G373" t="e">
        <f>mapActivity.xml!#REF!</f>
        <v>#REF!</v>
      </c>
    </row>
    <row r="374" spans="1:7">
      <c r="A374" t="e">
        <f>mapActivity.xml!#REF!</f>
        <v>#REF!</v>
      </c>
      <c r="B374" t="e">
        <f>mapActivity.xml!#REF!</f>
        <v>#REF!</v>
      </c>
      <c r="C374" t="e">
        <f>mapActivity.xml!#REF!</f>
        <v>#REF!</v>
      </c>
      <c r="D374" t="e">
        <f>mapActivity.xml!#REF!</f>
        <v>#REF!</v>
      </c>
      <c r="E374" t="e">
        <f>mapActivity.xml!#REF!</f>
        <v>#REF!</v>
      </c>
      <c r="F374" t="e">
        <f>mapActivity.xml!#REF!</f>
        <v>#REF!</v>
      </c>
      <c r="G374" t="e">
        <f>mapActivity.xml!#REF!</f>
        <v>#REF!</v>
      </c>
    </row>
    <row r="375" spans="1:7">
      <c r="A375" t="e">
        <f>mapActivity.xml!#REF!</f>
        <v>#REF!</v>
      </c>
      <c r="B375" t="e">
        <f>mapActivity.xml!#REF!</f>
        <v>#REF!</v>
      </c>
      <c r="C375" t="e">
        <f>mapActivity.xml!#REF!</f>
        <v>#REF!</v>
      </c>
      <c r="D375" t="e">
        <f>mapActivity.xml!#REF!</f>
        <v>#REF!</v>
      </c>
      <c r="E375" t="e">
        <f>mapActivity.xml!#REF!</f>
        <v>#REF!</v>
      </c>
      <c r="F375" t="e">
        <f>mapActivity.xml!#REF!</f>
        <v>#REF!</v>
      </c>
      <c r="G375" t="e">
        <f>mapActivity.xml!#REF!</f>
        <v>#REF!</v>
      </c>
    </row>
    <row r="376" spans="1:7">
      <c r="A376" t="e">
        <f>mapActivity.xml!#REF!</f>
        <v>#REF!</v>
      </c>
      <c r="B376" t="e">
        <f>mapActivity.xml!#REF!</f>
        <v>#REF!</v>
      </c>
      <c r="C376" t="e">
        <f>mapActivity.xml!#REF!</f>
        <v>#REF!</v>
      </c>
      <c r="D376" t="e">
        <f>mapActivity.xml!#REF!</f>
        <v>#REF!</v>
      </c>
      <c r="E376" t="e">
        <f>mapActivity.xml!#REF!</f>
        <v>#REF!</v>
      </c>
      <c r="F376" t="e">
        <f>mapActivity.xml!#REF!</f>
        <v>#REF!</v>
      </c>
      <c r="G376" t="e">
        <f>mapActivity.xml!#REF!</f>
        <v>#REF!</v>
      </c>
    </row>
    <row r="377" spans="1:7">
      <c r="A377" t="e">
        <f>mapActivity.xml!#REF!</f>
        <v>#REF!</v>
      </c>
      <c r="B377" t="e">
        <f>mapActivity.xml!#REF!</f>
        <v>#REF!</v>
      </c>
      <c r="C377" t="e">
        <f>mapActivity.xml!#REF!</f>
        <v>#REF!</v>
      </c>
      <c r="D377" t="e">
        <f>mapActivity.xml!#REF!</f>
        <v>#REF!</v>
      </c>
      <c r="E377" t="e">
        <f>mapActivity.xml!#REF!</f>
        <v>#REF!</v>
      </c>
      <c r="F377" t="e">
        <f>mapActivity.xml!#REF!</f>
        <v>#REF!</v>
      </c>
      <c r="G377" t="e">
        <f>mapActivity.xml!#REF!</f>
        <v>#REF!</v>
      </c>
    </row>
    <row r="378" spans="1:7">
      <c r="A378">
        <f>mapActivity.xml!A328</f>
        <v>303001</v>
      </c>
      <c r="B378" t="str">
        <f>mapActivity.xml!B328</f>
        <v>知识试炼（30）</v>
      </c>
      <c r="C378">
        <f>mapActivity.xml!D328</f>
        <v>0</v>
      </c>
      <c r="D378" t="str">
        <f>mapActivity.xml!L328</f>
        <v>map/map_001.png</v>
      </c>
      <c r="E378" t="str">
        <f>mapActivity.xml!M328</f>
        <v>1-3</v>
      </c>
      <c r="F378">
        <f>mapActivity.xml!N328</f>
        <v>920</v>
      </c>
      <c r="G378">
        <f>mapActivity.xml!S328</f>
        <v>3</v>
      </c>
    </row>
    <row r="379" spans="1:7">
      <c r="A379">
        <f>mapActivity.xml!A329</f>
        <v>303002</v>
      </c>
      <c r="B379" t="str">
        <f>mapActivity.xml!B329</f>
        <v>知识试炼（30）</v>
      </c>
      <c r="C379">
        <f>mapActivity.xml!D329</f>
        <v>0</v>
      </c>
      <c r="D379" t="str">
        <f>mapActivity.xml!L329</f>
        <v>map/map_001.png</v>
      </c>
      <c r="E379" t="str">
        <f>mapActivity.xml!M329</f>
        <v>1-3</v>
      </c>
      <c r="F379">
        <f>mapActivity.xml!N329</f>
        <v>920</v>
      </c>
      <c r="G379">
        <f>mapActivity.xml!S329</f>
        <v>3</v>
      </c>
    </row>
    <row r="380" spans="1:7">
      <c r="A380">
        <f>mapActivity.xml!A330</f>
        <v>303003</v>
      </c>
      <c r="B380" t="str">
        <f>mapActivity.xml!B330</f>
        <v>知识试炼（30）</v>
      </c>
      <c r="C380">
        <f>mapActivity.xml!D330</f>
        <v>0</v>
      </c>
      <c r="D380" t="str">
        <f>mapActivity.xml!L330</f>
        <v>map/map_001.png</v>
      </c>
      <c r="E380" t="str">
        <f>mapActivity.xml!M330</f>
        <v>1-3</v>
      </c>
      <c r="F380">
        <f>mapActivity.xml!N330</f>
        <v>920</v>
      </c>
      <c r="G380">
        <f>mapActivity.xml!S330</f>
        <v>3</v>
      </c>
    </row>
    <row r="381" spans="1:7">
      <c r="A381">
        <f>mapActivity.xml!A331</f>
        <v>303004</v>
      </c>
      <c r="B381" t="str">
        <f>mapActivity.xml!B331</f>
        <v>知识试炼（30）</v>
      </c>
      <c r="C381">
        <f>mapActivity.xml!D331</f>
        <v>0</v>
      </c>
      <c r="D381" t="str">
        <f>mapActivity.xml!L331</f>
        <v>map/map_001.png</v>
      </c>
      <c r="E381" t="str">
        <f>mapActivity.xml!M331</f>
        <v>1-3</v>
      </c>
      <c r="F381">
        <f>mapActivity.xml!N331</f>
        <v>920</v>
      </c>
      <c r="G381">
        <f>mapActivity.xml!S331</f>
        <v>3</v>
      </c>
    </row>
    <row r="382" spans="1:7">
      <c r="A382">
        <f>mapActivity.xml!A332</f>
        <v>303005</v>
      </c>
      <c r="B382" t="str">
        <f>mapActivity.xml!B332</f>
        <v>知识试炼（30）</v>
      </c>
      <c r="C382">
        <f>mapActivity.xml!D332</f>
        <v>0</v>
      </c>
      <c r="D382" t="str">
        <f>mapActivity.xml!L332</f>
        <v>map/map_001.png</v>
      </c>
      <c r="E382" t="str">
        <f>mapActivity.xml!M332</f>
        <v>1-3</v>
      </c>
      <c r="F382">
        <f>mapActivity.xml!N332</f>
        <v>920</v>
      </c>
      <c r="G382">
        <f>mapActivity.xml!S332</f>
        <v>3</v>
      </c>
    </row>
    <row r="383" spans="1:7">
      <c r="A383">
        <f>mapActivity.xml!A333</f>
        <v>303006</v>
      </c>
      <c r="B383" t="str">
        <f>mapActivity.xml!B333</f>
        <v>知识试炼（30）</v>
      </c>
      <c r="C383">
        <f>mapActivity.xml!D333</f>
        <v>0</v>
      </c>
      <c r="D383" t="str">
        <f>mapActivity.xml!L333</f>
        <v>map/map_001.png</v>
      </c>
      <c r="E383" t="str">
        <f>mapActivity.xml!M333</f>
        <v>1-3</v>
      </c>
      <c r="F383">
        <f>mapActivity.xml!N333</f>
        <v>920</v>
      </c>
      <c r="G383">
        <f>mapActivity.xml!S333</f>
        <v>3</v>
      </c>
    </row>
    <row r="384" spans="1:7">
      <c r="A384">
        <f>mapActivity.xml!A334</f>
        <v>303007</v>
      </c>
      <c r="B384" t="str">
        <f>mapActivity.xml!B334</f>
        <v>知识试炼（30）</v>
      </c>
      <c r="C384">
        <f>mapActivity.xml!D334</f>
        <v>0</v>
      </c>
      <c r="D384" t="str">
        <f>mapActivity.xml!L334</f>
        <v>map/map_001.png</v>
      </c>
      <c r="E384" t="str">
        <f>mapActivity.xml!M334</f>
        <v>1-3</v>
      </c>
      <c r="F384">
        <f>mapActivity.xml!N334</f>
        <v>920</v>
      </c>
      <c r="G384">
        <f>mapActivity.xml!S334</f>
        <v>3</v>
      </c>
    </row>
    <row r="385" spans="1:7">
      <c r="A385">
        <f>mapActivity.xml!A335</f>
        <v>303008</v>
      </c>
      <c r="B385" t="str">
        <f>mapActivity.xml!B335</f>
        <v>知识试炼（30）</v>
      </c>
      <c r="C385">
        <f>mapActivity.xml!D335</f>
        <v>0</v>
      </c>
      <c r="D385" t="str">
        <f>mapActivity.xml!L335</f>
        <v>map/map_001.png</v>
      </c>
      <c r="E385" t="str">
        <f>mapActivity.xml!M335</f>
        <v>1-3</v>
      </c>
      <c r="F385">
        <f>mapActivity.xml!N335</f>
        <v>920</v>
      </c>
      <c r="G385">
        <f>mapActivity.xml!S335</f>
        <v>3</v>
      </c>
    </row>
    <row r="386" spans="1:7">
      <c r="A386">
        <f>mapActivity.xml!A336</f>
        <v>303009</v>
      </c>
      <c r="B386" t="str">
        <f>mapActivity.xml!B336</f>
        <v>知识试炼（30）</v>
      </c>
      <c r="C386">
        <f>mapActivity.xml!D336</f>
        <v>0</v>
      </c>
      <c r="D386" t="str">
        <f>mapActivity.xml!L336</f>
        <v>map/map_001.png</v>
      </c>
      <c r="E386" t="str">
        <f>mapActivity.xml!M336</f>
        <v>1-3</v>
      </c>
      <c r="F386">
        <f>mapActivity.xml!N336</f>
        <v>920</v>
      </c>
      <c r="G386">
        <f>mapActivity.xml!S336</f>
        <v>3</v>
      </c>
    </row>
    <row r="387" spans="1:7">
      <c r="A387">
        <f>mapActivity.xml!A337</f>
        <v>303501</v>
      </c>
      <c r="B387" t="str">
        <f>mapActivity.xml!B337</f>
        <v>知识试炼（35）</v>
      </c>
      <c r="C387">
        <f>mapActivity.xml!D337</f>
        <v>0</v>
      </c>
      <c r="D387" t="str">
        <f>mapActivity.xml!L337</f>
        <v>map/map_001.png</v>
      </c>
      <c r="E387" t="str">
        <f>mapActivity.xml!M337</f>
        <v>1-3</v>
      </c>
      <c r="F387">
        <f>mapActivity.xml!N337</f>
        <v>920</v>
      </c>
      <c r="G387">
        <f>mapActivity.xml!S337</f>
        <v>3</v>
      </c>
    </row>
    <row r="388" spans="1:7">
      <c r="A388">
        <f>mapActivity.xml!A338</f>
        <v>303502</v>
      </c>
      <c r="B388" t="str">
        <f>mapActivity.xml!B338</f>
        <v>知识试炼（35）</v>
      </c>
      <c r="C388">
        <f>mapActivity.xml!D338</f>
        <v>0</v>
      </c>
      <c r="D388" t="str">
        <f>mapActivity.xml!L338</f>
        <v>map/map_001.png</v>
      </c>
      <c r="E388" t="str">
        <f>mapActivity.xml!M338</f>
        <v>1-3</v>
      </c>
      <c r="F388">
        <f>mapActivity.xml!N338</f>
        <v>920</v>
      </c>
      <c r="G388">
        <f>mapActivity.xml!S338</f>
        <v>3</v>
      </c>
    </row>
    <row r="389" spans="1:7">
      <c r="A389">
        <f>mapActivity.xml!A339</f>
        <v>303503</v>
      </c>
      <c r="B389" t="str">
        <f>mapActivity.xml!B339</f>
        <v>知识试炼（35）</v>
      </c>
      <c r="C389">
        <f>mapActivity.xml!D339</f>
        <v>0</v>
      </c>
      <c r="D389" t="str">
        <f>mapActivity.xml!L339</f>
        <v>map/map_001.png</v>
      </c>
      <c r="E389" t="str">
        <f>mapActivity.xml!M339</f>
        <v>1-3</v>
      </c>
      <c r="F389">
        <f>mapActivity.xml!N339</f>
        <v>920</v>
      </c>
      <c r="G389">
        <f>mapActivity.xml!S339</f>
        <v>3</v>
      </c>
    </row>
    <row r="390" spans="1:7">
      <c r="A390">
        <f>mapActivity.xml!A340</f>
        <v>303504</v>
      </c>
      <c r="B390" t="str">
        <f>mapActivity.xml!B340</f>
        <v>知识试炼（35）</v>
      </c>
      <c r="C390">
        <f>mapActivity.xml!D340</f>
        <v>0</v>
      </c>
      <c r="D390" t="str">
        <f>mapActivity.xml!L340</f>
        <v>map/map_001.png</v>
      </c>
      <c r="E390" t="str">
        <f>mapActivity.xml!M340</f>
        <v>1-3</v>
      </c>
      <c r="F390">
        <f>mapActivity.xml!N340</f>
        <v>920</v>
      </c>
      <c r="G390">
        <f>mapActivity.xml!S340</f>
        <v>3</v>
      </c>
    </row>
    <row r="391" spans="1:7">
      <c r="A391">
        <f>mapActivity.xml!A341</f>
        <v>303505</v>
      </c>
      <c r="B391" t="str">
        <f>mapActivity.xml!B341</f>
        <v>知识试炼（35）</v>
      </c>
      <c r="C391">
        <f>mapActivity.xml!D341</f>
        <v>0</v>
      </c>
      <c r="D391" t="str">
        <f>mapActivity.xml!L341</f>
        <v>map/map_001.png</v>
      </c>
      <c r="E391" t="str">
        <f>mapActivity.xml!M341</f>
        <v>1-3</v>
      </c>
      <c r="F391">
        <f>mapActivity.xml!N341</f>
        <v>920</v>
      </c>
      <c r="G391">
        <f>mapActivity.xml!S341</f>
        <v>3</v>
      </c>
    </row>
    <row r="392" spans="1:7">
      <c r="A392">
        <f>mapActivity.xml!A342</f>
        <v>303506</v>
      </c>
      <c r="B392" t="str">
        <f>mapActivity.xml!B342</f>
        <v>知识试炼（35）</v>
      </c>
      <c r="C392">
        <f>mapActivity.xml!D342</f>
        <v>0</v>
      </c>
      <c r="D392" t="str">
        <f>mapActivity.xml!L342</f>
        <v>map/map_001.png</v>
      </c>
      <c r="E392" t="str">
        <f>mapActivity.xml!M342</f>
        <v>1-3</v>
      </c>
      <c r="F392">
        <f>mapActivity.xml!N342</f>
        <v>920</v>
      </c>
      <c r="G392">
        <f>mapActivity.xml!S342</f>
        <v>3</v>
      </c>
    </row>
    <row r="393" spans="1:7">
      <c r="A393">
        <f>mapActivity.xml!A343</f>
        <v>303507</v>
      </c>
      <c r="B393" t="str">
        <f>mapActivity.xml!B343</f>
        <v>知识试炼（35）</v>
      </c>
      <c r="C393">
        <f>mapActivity.xml!D343</f>
        <v>0</v>
      </c>
      <c r="D393" t="str">
        <f>mapActivity.xml!L343</f>
        <v>map/map_001.png</v>
      </c>
      <c r="E393" t="str">
        <f>mapActivity.xml!M343</f>
        <v>1-3</v>
      </c>
      <c r="F393">
        <f>mapActivity.xml!N343</f>
        <v>920</v>
      </c>
      <c r="G393">
        <f>mapActivity.xml!S343</f>
        <v>3</v>
      </c>
    </row>
    <row r="394" spans="1:7">
      <c r="A394">
        <f>mapActivity.xml!A344</f>
        <v>303508</v>
      </c>
      <c r="B394" t="str">
        <f>mapActivity.xml!B344</f>
        <v>知识试炼（35）</v>
      </c>
      <c r="C394">
        <f>mapActivity.xml!D344</f>
        <v>0</v>
      </c>
      <c r="D394" t="str">
        <f>mapActivity.xml!L344</f>
        <v>map/map_001.png</v>
      </c>
      <c r="E394" t="str">
        <f>mapActivity.xml!M344</f>
        <v>1-3</v>
      </c>
      <c r="F394">
        <f>mapActivity.xml!N344</f>
        <v>920</v>
      </c>
      <c r="G394">
        <f>mapActivity.xml!S344</f>
        <v>3</v>
      </c>
    </row>
    <row r="395" spans="1:7">
      <c r="A395">
        <f>mapActivity.xml!A345</f>
        <v>303509</v>
      </c>
      <c r="B395" t="str">
        <f>mapActivity.xml!B345</f>
        <v>知识试炼（35）</v>
      </c>
      <c r="C395">
        <f>mapActivity.xml!D345</f>
        <v>0</v>
      </c>
      <c r="D395" t="str">
        <f>mapActivity.xml!L345</f>
        <v>map/map_001.png</v>
      </c>
      <c r="E395" t="str">
        <f>mapActivity.xml!M345</f>
        <v>1-3</v>
      </c>
      <c r="F395">
        <f>mapActivity.xml!N345</f>
        <v>920</v>
      </c>
      <c r="G395">
        <f>mapActivity.xml!S345</f>
        <v>3</v>
      </c>
    </row>
    <row r="396" spans="1:7">
      <c r="A396">
        <f>mapActivity.xml!A346</f>
        <v>304001</v>
      </c>
      <c r="B396" t="str">
        <f>mapActivity.xml!B346</f>
        <v>知识试炼（40）</v>
      </c>
      <c r="C396">
        <f>mapActivity.xml!D346</f>
        <v>0</v>
      </c>
      <c r="D396" t="str">
        <f>mapActivity.xml!L346</f>
        <v>map/map_001.png</v>
      </c>
      <c r="E396" t="str">
        <f>mapActivity.xml!M346</f>
        <v>1-3</v>
      </c>
      <c r="F396">
        <f>mapActivity.xml!N346</f>
        <v>920</v>
      </c>
      <c r="G396">
        <f>mapActivity.xml!S346</f>
        <v>3</v>
      </c>
    </row>
    <row r="397" spans="1:7">
      <c r="A397">
        <f>mapActivity.xml!A347</f>
        <v>304002</v>
      </c>
      <c r="B397" t="str">
        <f>mapActivity.xml!B347</f>
        <v>知识试炼（40）</v>
      </c>
      <c r="C397">
        <f>mapActivity.xml!D347</f>
        <v>0</v>
      </c>
      <c r="D397" t="str">
        <f>mapActivity.xml!L347</f>
        <v>map/map_001.png</v>
      </c>
      <c r="E397" t="str">
        <f>mapActivity.xml!M347</f>
        <v>1-3</v>
      </c>
      <c r="F397">
        <f>mapActivity.xml!N347</f>
        <v>920</v>
      </c>
      <c r="G397">
        <f>mapActivity.xml!S347</f>
        <v>3</v>
      </c>
    </row>
    <row r="398" spans="1:7">
      <c r="A398">
        <f>mapActivity.xml!A348</f>
        <v>304003</v>
      </c>
      <c r="B398" t="str">
        <f>mapActivity.xml!B348</f>
        <v>知识试炼（40）</v>
      </c>
      <c r="C398">
        <f>mapActivity.xml!D348</f>
        <v>0</v>
      </c>
      <c r="D398" t="str">
        <f>mapActivity.xml!L348</f>
        <v>map/map_001.png</v>
      </c>
      <c r="E398" t="str">
        <f>mapActivity.xml!M348</f>
        <v>1-3</v>
      </c>
      <c r="F398">
        <f>mapActivity.xml!N348</f>
        <v>920</v>
      </c>
      <c r="G398">
        <f>mapActivity.xml!S348</f>
        <v>3</v>
      </c>
    </row>
    <row r="399" spans="1:7">
      <c r="A399">
        <f>mapActivity.xml!A349</f>
        <v>304004</v>
      </c>
      <c r="B399" t="str">
        <f>mapActivity.xml!B349</f>
        <v>知识试炼（40）</v>
      </c>
      <c r="C399">
        <f>mapActivity.xml!D349</f>
        <v>0</v>
      </c>
      <c r="D399" t="str">
        <f>mapActivity.xml!L349</f>
        <v>map/map_001.png</v>
      </c>
      <c r="E399" t="str">
        <f>mapActivity.xml!M349</f>
        <v>1-3</v>
      </c>
      <c r="F399">
        <f>mapActivity.xml!N349</f>
        <v>920</v>
      </c>
      <c r="G399">
        <f>mapActivity.xml!S349</f>
        <v>3</v>
      </c>
    </row>
    <row r="400" spans="1:7">
      <c r="A400">
        <f>mapActivity.xml!A350</f>
        <v>304005</v>
      </c>
      <c r="B400" t="str">
        <f>mapActivity.xml!B350</f>
        <v>知识试炼（40）</v>
      </c>
      <c r="C400">
        <f>mapActivity.xml!D350</f>
        <v>0</v>
      </c>
      <c r="D400" t="str">
        <f>mapActivity.xml!L350</f>
        <v>map/map_001.png</v>
      </c>
      <c r="E400" t="str">
        <f>mapActivity.xml!M350</f>
        <v>1-3</v>
      </c>
      <c r="F400">
        <f>mapActivity.xml!N350</f>
        <v>920</v>
      </c>
      <c r="G400">
        <f>mapActivity.xml!S350</f>
        <v>3</v>
      </c>
    </row>
    <row r="401" spans="1:7">
      <c r="A401">
        <f>mapActivity.xml!A351</f>
        <v>304006</v>
      </c>
      <c r="B401" t="str">
        <f>mapActivity.xml!B351</f>
        <v>知识试炼（40）</v>
      </c>
      <c r="C401">
        <f>mapActivity.xml!D351</f>
        <v>0</v>
      </c>
      <c r="D401" t="str">
        <f>mapActivity.xml!L351</f>
        <v>map/map_001.png</v>
      </c>
      <c r="E401" t="str">
        <f>mapActivity.xml!M351</f>
        <v>1-3</v>
      </c>
      <c r="F401">
        <f>mapActivity.xml!N351</f>
        <v>920</v>
      </c>
      <c r="G401">
        <f>mapActivity.xml!S351</f>
        <v>3</v>
      </c>
    </row>
    <row r="402" spans="1:7">
      <c r="A402">
        <f>mapActivity.xml!A352</f>
        <v>304007</v>
      </c>
      <c r="B402" t="str">
        <f>mapActivity.xml!B352</f>
        <v>知识试炼（40）</v>
      </c>
      <c r="C402">
        <f>mapActivity.xml!D352</f>
        <v>0</v>
      </c>
      <c r="D402" t="str">
        <f>mapActivity.xml!L352</f>
        <v>map/map_001.png</v>
      </c>
      <c r="E402" t="str">
        <f>mapActivity.xml!M352</f>
        <v>1-3</v>
      </c>
      <c r="F402">
        <f>mapActivity.xml!N352</f>
        <v>920</v>
      </c>
      <c r="G402">
        <f>mapActivity.xml!S352</f>
        <v>3</v>
      </c>
    </row>
    <row r="403" spans="1:7">
      <c r="A403">
        <f>mapActivity.xml!A353</f>
        <v>304008</v>
      </c>
      <c r="B403" t="str">
        <f>mapActivity.xml!B353</f>
        <v>知识试炼（40）</v>
      </c>
      <c r="C403">
        <f>mapActivity.xml!D353</f>
        <v>0</v>
      </c>
      <c r="D403" t="str">
        <f>mapActivity.xml!L353</f>
        <v>map/map_001.png</v>
      </c>
      <c r="E403" t="str">
        <f>mapActivity.xml!M353</f>
        <v>1-3</v>
      </c>
      <c r="F403">
        <f>mapActivity.xml!N353</f>
        <v>920</v>
      </c>
      <c r="G403">
        <f>mapActivity.xml!S353</f>
        <v>3</v>
      </c>
    </row>
    <row r="404" spans="1:7">
      <c r="A404">
        <f>mapActivity.xml!A354</f>
        <v>304009</v>
      </c>
      <c r="B404" t="str">
        <f>mapActivity.xml!B354</f>
        <v>知识试炼（40）</v>
      </c>
      <c r="C404">
        <f>mapActivity.xml!D354</f>
        <v>0</v>
      </c>
      <c r="D404" t="str">
        <f>mapActivity.xml!L354</f>
        <v>map/map_001.png</v>
      </c>
      <c r="E404" t="str">
        <f>mapActivity.xml!M354</f>
        <v>1-3</v>
      </c>
      <c r="F404">
        <f>mapActivity.xml!N354</f>
        <v>920</v>
      </c>
      <c r="G404">
        <f>mapActivity.xml!S354</f>
        <v>3</v>
      </c>
    </row>
    <row r="405" spans="1:7">
      <c r="A405">
        <f>mapActivity.xml!A355</f>
        <v>304501</v>
      </c>
      <c r="B405" t="str">
        <f>mapActivity.xml!B355</f>
        <v>知识试炼（45）</v>
      </c>
      <c r="C405">
        <f>mapActivity.xml!D355</f>
        <v>0</v>
      </c>
      <c r="D405" t="str">
        <f>mapActivity.xml!L355</f>
        <v>map/map_001.png</v>
      </c>
      <c r="E405" t="str">
        <f>mapActivity.xml!M355</f>
        <v>1-3</v>
      </c>
      <c r="F405">
        <f>mapActivity.xml!N355</f>
        <v>920</v>
      </c>
      <c r="G405">
        <f>mapActivity.xml!S355</f>
        <v>3</v>
      </c>
    </row>
    <row r="406" spans="1:7">
      <c r="A406">
        <f>mapActivity.xml!A356</f>
        <v>304502</v>
      </c>
      <c r="B406" t="str">
        <f>mapActivity.xml!B356</f>
        <v>知识试炼（45）</v>
      </c>
      <c r="C406">
        <f>mapActivity.xml!D356</f>
        <v>0</v>
      </c>
      <c r="D406" t="str">
        <f>mapActivity.xml!L356</f>
        <v>map/map_001.png</v>
      </c>
      <c r="E406" t="str">
        <f>mapActivity.xml!M356</f>
        <v>1-3</v>
      </c>
      <c r="F406">
        <f>mapActivity.xml!N356</f>
        <v>920</v>
      </c>
      <c r="G406">
        <f>mapActivity.xml!S356</f>
        <v>3</v>
      </c>
    </row>
    <row r="407" spans="1:7">
      <c r="A407">
        <f>mapActivity.xml!A357</f>
        <v>304503</v>
      </c>
      <c r="B407" t="str">
        <f>mapActivity.xml!B357</f>
        <v>知识试炼（45）</v>
      </c>
      <c r="C407">
        <f>mapActivity.xml!D357</f>
        <v>0</v>
      </c>
      <c r="D407" t="str">
        <f>mapActivity.xml!L357</f>
        <v>map/map_001.png</v>
      </c>
      <c r="E407" t="str">
        <f>mapActivity.xml!M357</f>
        <v>1-3</v>
      </c>
      <c r="F407">
        <f>mapActivity.xml!N357</f>
        <v>920</v>
      </c>
      <c r="G407">
        <f>mapActivity.xml!S357</f>
        <v>3</v>
      </c>
    </row>
    <row r="408" spans="1:7">
      <c r="A408">
        <f>mapActivity.xml!A358</f>
        <v>304504</v>
      </c>
      <c r="B408" t="str">
        <f>mapActivity.xml!B358</f>
        <v>知识试炼（45）</v>
      </c>
      <c r="C408">
        <f>mapActivity.xml!D358</f>
        <v>0</v>
      </c>
      <c r="D408" t="str">
        <f>mapActivity.xml!L358</f>
        <v>map/map_001.png</v>
      </c>
      <c r="E408" t="str">
        <f>mapActivity.xml!M358</f>
        <v>1-3</v>
      </c>
      <c r="F408">
        <f>mapActivity.xml!N358</f>
        <v>920</v>
      </c>
      <c r="G408">
        <f>mapActivity.xml!S358</f>
        <v>3</v>
      </c>
    </row>
    <row r="409" spans="1:7">
      <c r="A409">
        <f>mapActivity.xml!A359</f>
        <v>304505</v>
      </c>
      <c r="B409" t="str">
        <f>mapActivity.xml!B359</f>
        <v>知识试炼（45）</v>
      </c>
      <c r="C409">
        <f>mapActivity.xml!D359</f>
        <v>0</v>
      </c>
      <c r="D409" t="str">
        <f>mapActivity.xml!L359</f>
        <v>map/map_001.png</v>
      </c>
      <c r="E409" t="str">
        <f>mapActivity.xml!M359</f>
        <v>1-3</v>
      </c>
      <c r="F409">
        <f>mapActivity.xml!N359</f>
        <v>920</v>
      </c>
      <c r="G409">
        <f>mapActivity.xml!S359</f>
        <v>3</v>
      </c>
    </row>
    <row r="410" spans="1:7">
      <c r="A410">
        <f>mapActivity.xml!A360</f>
        <v>304506</v>
      </c>
      <c r="B410" t="str">
        <f>mapActivity.xml!B360</f>
        <v>知识试炼（45）</v>
      </c>
      <c r="C410">
        <f>mapActivity.xml!D360</f>
        <v>0</v>
      </c>
      <c r="D410" t="str">
        <f>mapActivity.xml!L360</f>
        <v>map/map_001.png</v>
      </c>
      <c r="E410" t="str">
        <f>mapActivity.xml!M360</f>
        <v>1-3</v>
      </c>
      <c r="F410">
        <f>mapActivity.xml!N360</f>
        <v>920</v>
      </c>
      <c r="G410">
        <f>mapActivity.xml!S360</f>
        <v>3</v>
      </c>
    </row>
    <row r="411" spans="1:7">
      <c r="A411">
        <f>mapActivity.xml!A361</f>
        <v>304507</v>
      </c>
      <c r="B411" t="str">
        <f>mapActivity.xml!B361</f>
        <v>知识试炼（45）</v>
      </c>
      <c r="C411">
        <f>mapActivity.xml!D361</f>
        <v>0</v>
      </c>
      <c r="D411" t="str">
        <f>mapActivity.xml!L361</f>
        <v>map/map_001.png</v>
      </c>
      <c r="E411" t="str">
        <f>mapActivity.xml!M361</f>
        <v>1-3</v>
      </c>
      <c r="F411">
        <f>mapActivity.xml!N361</f>
        <v>920</v>
      </c>
      <c r="G411">
        <f>mapActivity.xml!S361</f>
        <v>3</v>
      </c>
    </row>
    <row r="412" spans="1:7">
      <c r="A412">
        <f>mapActivity.xml!A362</f>
        <v>304508</v>
      </c>
      <c r="B412" t="str">
        <f>mapActivity.xml!B362</f>
        <v>知识试炼（45）</v>
      </c>
      <c r="C412">
        <f>mapActivity.xml!D362</f>
        <v>0</v>
      </c>
      <c r="D412" t="str">
        <f>mapActivity.xml!L362</f>
        <v>map/map_001.png</v>
      </c>
      <c r="E412" t="str">
        <f>mapActivity.xml!M362</f>
        <v>1-3</v>
      </c>
      <c r="F412">
        <f>mapActivity.xml!N362</f>
        <v>920</v>
      </c>
      <c r="G412">
        <f>mapActivity.xml!S362</f>
        <v>3</v>
      </c>
    </row>
    <row r="413" spans="1:7">
      <c r="A413">
        <f>mapActivity.xml!A363</f>
        <v>304509</v>
      </c>
      <c r="B413" t="str">
        <f>mapActivity.xml!B363</f>
        <v>知识试炼（45）</v>
      </c>
      <c r="C413">
        <f>mapActivity.xml!D363</f>
        <v>0</v>
      </c>
      <c r="D413" t="str">
        <f>mapActivity.xml!L363</f>
        <v>map/map_001.png</v>
      </c>
      <c r="E413" t="str">
        <f>mapActivity.xml!M363</f>
        <v>1-3</v>
      </c>
      <c r="F413">
        <f>mapActivity.xml!N363</f>
        <v>920</v>
      </c>
      <c r="G413">
        <f>mapActivity.xml!S363</f>
        <v>3</v>
      </c>
    </row>
    <row r="414" spans="1:7">
      <c r="A414">
        <f>mapActivity.xml!A364</f>
        <v>305001</v>
      </c>
      <c r="B414" t="str">
        <f>mapActivity.xml!B364</f>
        <v>知识试炼（50）</v>
      </c>
      <c r="C414">
        <f>mapActivity.xml!D364</f>
        <v>0</v>
      </c>
      <c r="D414" t="str">
        <f>mapActivity.xml!L364</f>
        <v>map/map_001.png</v>
      </c>
      <c r="E414" t="str">
        <f>mapActivity.xml!M364</f>
        <v>1-3</v>
      </c>
      <c r="F414">
        <f>mapActivity.xml!N364</f>
        <v>920</v>
      </c>
      <c r="G414">
        <f>mapActivity.xml!S364</f>
        <v>3</v>
      </c>
    </row>
    <row r="415" spans="1:7">
      <c r="A415">
        <f>mapActivity.xml!A365</f>
        <v>305002</v>
      </c>
      <c r="B415" t="str">
        <f>mapActivity.xml!B365</f>
        <v>知识试炼（50）</v>
      </c>
      <c r="C415">
        <f>mapActivity.xml!D365</f>
        <v>0</v>
      </c>
      <c r="D415" t="str">
        <f>mapActivity.xml!L365</f>
        <v>map/map_001.png</v>
      </c>
      <c r="E415" t="str">
        <f>mapActivity.xml!M365</f>
        <v>1-3</v>
      </c>
      <c r="F415">
        <f>mapActivity.xml!N365</f>
        <v>920</v>
      </c>
      <c r="G415">
        <f>mapActivity.xml!S365</f>
        <v>3</v>
      </c>
    </row>
    <row r="416" spans="1:7">
      <c r="A416">
        <f>mapActivity.xml!A366</f>
        <v>305003</v>
      </c>
      <c r="B416" t="str">
        <f>mapActivity.xml!B366</f>
        <v>知识试炼（50）</v>
      </c>
      <c r="C416">
        <f>mapActivity.xml!D366</f>
        <v>0</v>
      </c>
      <c r="D416" t="str">
        <f>mapActivity.xml!L366</f>
        <v>map/map_001.png</v>
      </c>
      <c r="E416" t="str">
        <f>mapActivity.xml!M366</f>
        <v>1-3</v>
      </c>
      <c r="F416">
        <f>mapActivity.xml!N366</f>
        <v>920</v>
      </c>
      <c r="G416">
        <f>mapActivity.xml!S366</f>
        <v>3</v>
      </c>
    </row>
    <row r="417" spans="1:7">
      <c r="A417">
        <f>mapActivity.xml!A367</f>
        <v>305004</v>
      </c>
      <c r="B417" t="str">
        <f>mapActivity.xml!B367</f>
        <v>知识试炼（50）</v>
      </c>
      <c r="C417">
        <f>mapActivity.xml!D367</f>
        <v>0</v>
      </c>
      <c r="D417" t="str">
        <f>mapActivity.xml!L367</f>
        <v>map/map_001.png</v>
      </c>
      <c r="E417" t="str">
        <f>mapActivity.xml!M367</f>
        <v>1-3</v>
      </c>
      <c r="F417">
        <f>mapActivity.xml!N367</f>
        <v>920</v>
      </c>
      <c r="G417">
        <f>mapActivity.xml!S367</f>
        <v>3</v>
      </c>
    </row>
    <row r="418" spans="1:7">
      <c r="A418">
        <f>mapActivity.xml!A368</f>
        <v>305005</v>
      </c>
      <c r="B418" t="str">
        <f>mapActivity.xml!B368</f>
        <v>知识试炼（50）</v>
      </c>
      <c r="C418">
        <f>mapActivity.xml!D368</f>
        <v>0</v>
      </c>
      <c r="D418" t="str">
        <f>mapActivity.xml!L368</f>
        <v>map/map_001.png</v>
      </c>
      <c r="E418" t="str">
        <f>mapActivity.xml!M368</f>
        <v>1-3</v>
      </c>
      <c r="F418">
        <f>mapActivity.xml!N368</f>
        <v>920</v>
      </c>
      <c r="G418">
        <f>mapActivity.xml!S368</f>
        <v>3</v>
      </c>
    </row>
    <row r="419" spans="1:7">
      <c r="A419">
        <f>mapActivity.xml!A369</f>
        <v>305006</v>
      </c>
      <c r="B419" t="str">
        <f>mapActivity.xml!B369</f>
        <v>知识试炼（50）</v>
      </c>
      <c r="C419">
        <f>mapActivity.xml!D369</f>
        <v>0</v>
      </c>
      <c r="D419" t="str">
        <f>mapActivity.xml!L369</f>
        <v>map/map_001.png</v>
      </c>
      <c r="E419" t="str">
        <f>mapActivity.xml!M369</f>
        <v>1-3</v>
      </c>
      <c r="F419">
        <f>mapActivity.xml!N369</f>
        <v>920</v>
      </c>
      <c r="G419">
        <f>mapActivity.xml!S369</f>
        <v>3</v>
      </c>
    </row>
    <row r="420" spans="1:7">
      <c r="A420">
        <f>mapActivity.xml!A370</f>
        <v>305007</v>
      </c>
      <c r="B420" t="str">
        <f>mapActivity.xml!B370</f>
        <v>知识试炼（50）</v>
      </c>
      <c r="C420">
        <f>mapActivity.xml!D370</f>
        <v>0</v>
      </c>
      <c r="D420" t="str">
        <f>mapActivity.xml!L370</f>
        <v>map/map_001.png</v>
      </c>
      <c r="E420" t="str">
        <f>mapActivity.xml!M370</f>
        <v>1-3</v>
      </c>
      <c r="F420">
        <f>mapActivity.xml!N370</f>
        <v>920</v>
      </c>
      <c r="G420">
        <f>mapActivity.xml!S370</f>
        <v>3</v>
      </c>
    </row>
    <row r="421" spans="1:7">
      <c r="A421">
        <f>mapActivity.xml!A371</f>
        <v>305008</v>
      </c>
      <c r="B421" t="str">
        <f>mapActivity.xml!B371</f>
        <v>知识试炼（50）</v>
      </c>
      <c r="C421">
        <f>mapActivity.xml!D371</f>
        <v>0</v>
      </c>
      <c r="D421" t="str">
        <f>mapActivity.xml!L371</f>
        <v>map/map_001.png</v>
      </c>
      <c r="E421" t="str">
        <f>mapActivity.xml!M371</f>
        <v>1-3</v>
      </c>
      <c r="F421">
        <f>mapActivity.xml!N371</f>
        <v>920</v>
      </c>
      <c r="G421">
        <f>mapActivity.xml!S371</f>
        <v>3</v>
      </c>
    </row>
    <row r="422" spans="1:7">
      <c r="A422">
        <f>mapActivity.xml!A372</f>
        <v>305009</v>
      </c>
      <c r="B422" t="str">
        <f>mapActivity.xml!B372</f>
        <v>知识试炼（50）</v>
      </c>
      <c r="C422">
        <f>mapActivity.xml!D372</f>
        <v>0</v>
      </c>
      <c r="D422" t="str">
        <f>mapActivity.xml!L372</f>
        <v>map/map_001.png</v>
      </c>
      <c r="E422" t="str">
        <f>mapActivity.xml!M372</f>
        <v>1-3</v>
      </c>
      <c r="F422">
        <f>mapActivity.xml!N372</f>
        <v>920</v>
      </c>
      <c r="G422">
        <f>mapActivity.xml!S372</f>
        <v>3</v>
      </c>
    </row>
    <row r="423" spans="1:7">
      <c r="A423">
        <f>mapActivity.xml!A373</f>
        <v>305501</v>
      </c>
      <c r="B423" t="str">
        <f>mapActivity.xml!B373</f>
        <v>知识试炼（55）</v>
      </c>
      <c r="C423">
        <f>mapActivity.xml!D373</f>
        <v>0</v>
      </c>
      <c r="D423" t="str">
        <f>mapActivity.xml!L373</f>
        <v>map/map_001.png</v>
      </c>
      <c r="E423" t="str">
        <f>mapActivity.xml!M373</f>
        <v>1-3</v>
      </c>
      <c r="F423">
        <f>mapActivity.xml!N373</f>
        <v>920</v>
      </c>
      <c r="G423">
        <f>mapActivity.xml!S373</f>
        <v>3</v>
      </c>
    </row>
    <row r="424" spans="1:7">
      <c r="A424">
        <f>mapActivity.xml!A374</f>
        <v>305502</v>
      </c>
      <c r="B424" t="str">
        <f>mapActivity.xml!B374</f>
        <v>知识试炼（55）</v>
      </c>
      <c r="C424">
        <f>mapActivity.xml!D374</f>
        <v>0</v>
      </c>
      <c r="D424" t="str">
        <f>mapActivity.xml!L374</f>
        <v>map/map_001.png</v>
      </c>
      <c r="E424" t="str">
        <f>mapActivity.xml!M374</f>
        <v>1-3</v>
      </c>
      <c r="F424">
        <f>mapActivity.xml!N374</f>
        <v>920</v>
      </c>
      <c r="G424">
        <f>mapActivity.xml!S374</f>
        <v>3</v>
      </c>
    </row>
    <row r="425" spans="1:7">
      <c r="A425">
        <f>mapActivity.xml!A375</f>
        <v>305503</v>
      </c>
      <c r="B425" t="str">
        <f>mapActivity.xml!B375</f>
        <v>知识试炼（55）</v>
      </c>
      <c r="C425">
        <f>mapActivity.xml!D375</f>
        <v>0</v>
      </c>
      <c r="D425" t="str">
        <f>mapActivity.xml!L375</f>
        <v>map/map_001.png</v>
      </c>
      <c r="E425" t="str">
        <f>mapActivity.xml!M375</f>
        <v>1-3</v>
      </c>
      <c r="F425">
        <f>mapActivity.xml!N375</f>
        <v>920</v>
      </c>
      <c r="G425">
        <f>mapActivity.xml!S375</f>
        <v>3</v>
      </c>
    </row>
    <row r="426" spans="1:7">
      <c r="A426">
        <f>mapActivity.xml!A376</f>
        <v>305504</v>
      </c>
      <c r="B426" t="str">
        <f>mapActivity.xml!B376</f>
        <v>知识试炼（55）</v>
      </c>
      <c r="C426">
        <f>mapActivity.xml!D376</f>
        <v>0</v>
      </c>
      <c r="D426" t="str">
        <f>mapActivity.xml!L376</f>
        <v>map/map_001.png</v>
      </c>
      <c r="E426" t="str">
        <f>mapActivity.xml!M376</f>
        <v>1-3</v>
      </c>
      <c r="F426">
        <f>mapActivity.xml!N376</f>
        <v>920</v>
      </c>
      <c r="G426">
        <f>mapActivity.xml!S376</f>
        <v>3</v>
      </c>
    </row>
    <row r="427" spans="1:7">
      <c r="A427">
        <f>mapActivity.xml!A377</f>
        <v>305505</v>
      </c>
      <c r="B427" t="str">
        <f>mapActivity.xml!B377</f>
        <v>知识试炼（55）</v>
      </c>
      <c r="C427">
        <f>mapActivity.xml!D377</f>
        <v>0</v>
      </c>
      <c r="D427" t="str">
        <f>mapActivity.xml!L377</f>
        <v>map/map_001.png</v>
      </c>
      <c r="E427" t="str">
        <f>mapActivity.xml!M377</f>
        <v>1-3</v>
      </c>
      <c r="F427">
        <f>mapActivity.xml!N377</f>
        <v>920</v>
      </c>
      <c r="G427">
        <f>mapActivity.xml!S377</f>
        <v>3</v>
      </c>
    </row>
    <row r="428" spans="1:7">
      <c r="A428">
        <f>mapActivity.xml!A378</f>
        <v>305506</v>
      </c>
      <c r="B428" t="str">
        <f>mapActivity.xml!B378</f>
        <v>知识试炼（55）</v>
      </c>
      <c r="C428">
        <f>mapActivity.xml!D378</f>
        <v>0</v>
      </c>
      <c r="D428" t="str">
        <f>mapActivity.xml!L378</f>
        <v>map/map_001.png</v>
      </c>
      <c r="E428" t="str">
        <f>mapActivity.xml!M378</f>
        <v>1-3</v>
      </c>
      <c r="F428">
        <f>mapActivity.xml!N378</f>
        <v>920</v>
      </c>
      <c r="G428">
        <f>mapActivity.xml!S378</f>
        <v>3</v>
      </c>
    </row>
    <row r="429" spans="1:7">
      <c r="A429">
        <f>mapActivity.xml!A379</f>
        <v>305507</v>
      </c>
      <c r="B429" t="str">
        <f>mapActivity.xml!B379</f>
        <v>知识试炼（55）</v>
      </c>
      <c r="C429">
        <f>mapActivity.xml!D379</f>
        <v>0</v>
      </c>
      <c r="D429" t="str">
        <f>mapActivity.xml!L379</f>
        <v>map/map_001.png</v>
      </c>
      <c r="E429" t="str">
        <f>mapActivity.xml!M379</f>
        <v>1-3</v>
      </c>
      <c r="F429">
        <f>mapActivity.xml!N379</f>
        <v>920</v>
      </c>
      <c r="G429">
        <f>mapActivity.xml!S379</f>
        <v>3</v>
      </c>
    </row>
    <row r="430" spans="1:7">
      <c r="A430">
        <f>mapActivity.xml!A380</f>
        <v>305508</v>
      </c>
      <c r="B430" t="str">
        <f>mapActivity.xml!B380</f>
        <v>知识试炼（55）</v>
      </c>
      <c r="C430">
        <f>mapActivity.xml!D380</f>
        <v>0</v>
      </c>
      <c r="D430" t="str">
        <f>mapActivity.xml!L380</f>
        <v>map/map_001.png</v>
      </c>
      <c r="E430" t="str">
        <f>mapActivity.xml!M380</f>
        <v>1-3</v>
      </c>
      <c r="F430">
        <f>mapActivity.xml!N380</f>
        <v>920</v>
      </c>
      <c r="G430">
        <f>mapActivity.xml!S380</f>
        <v>3</v>
      </c>
    </row>
    <row r="431" spans="1:7">
      <c r="A431">
        <f>mapActivity.xml!A381</f>
        <v>305509</v>
      </c>
      <c r="B431" t="str">
        <f>mapActivity.xml!B381</f>
        <v>知识试炼（55）</v>
      </c>
      <c r="C431">
        <f>mapActivity.xml!D381</f>
        <v>0</v>
      </c>
      <c r="D431" t="str">
        <f>mapActivity.xml!L381</f>
        <v>map/map_001.png</v>
      </c>
      <c r="E431" t="str">
        <f>mapActivity.xml!M381</f>
        <v>1-3</v>
      </c>
      <c r="F431">
        <f>mapActivity.xml!N381</f>
        <v>920</v>
      </c>
      <c r="G431">
        <f>mapActivity.xml!S381</f>
        <v>3</v>
      </c>
    </row>
    <row r="432" spans="1:7">
      <c r="A432">
        <f>mapActivity.xml!A382</f>
        <v>306001</v>
      </c>
      <c r="B432" t="str">
        <f>mapActivity.xml!B382</f>
        <v>智慧试炼（60）</v>
      </c>
      <c r="C432">
        <f>mapActivity.xml!D382</f>
        <v>0</v>
      </c>
      <c r="D432" t="str">
        <f>mapActivity.xml!L382</f>
        <v>map/map_001.png</v>
      </c>
      <c r="E432" t="str">
        <f>mapActivity.xml!M382</f>
        <v>1-3</v>
      </c>
      <c r="F432">
        <f>mapActivity.xml!N382</f>
        <v>920</v>
      </c>
      <c r="G432">
        <f>mapActivity.xml!S382</f>
        <v>3</v>
      </c>
    </row>
    <row r="433" spans="1:7">
      <c r="A433">
        <f>mapActivity.xml!A383</f>
        <v>306002</v>
      </c>
      <c r="B433" t="str">
        <f>mapActivity.xml!B383</f>
        <v>智慧试炼（60）</v>
      </c>
      <c r="C433">
        <f>mapActivity.xml!D383</f>
        <v>0</v>
      </c>
      <c r="D433" t="str">
        <f>mapActivity.xml!L383</f>
        <v>map/map_001.png</v>
      </c>
      <c r="E433" t="str">
        <f>mapActivity.xml!M383</f>
        <v>1-3</v>
      </c>
      <c r="F433">
        <f>mapActivity.xml!N383</f>
        <v>920</v>
      </c>
      <c r="G433">
        <f>mapActivity.xml!S383</f>
        <v>3</v>
      </c>
    </row>
    <row r="434" spans="1:7">
      <c r="A434">
        <f>mapActivity.xml!A384</f>
        <v>306003</v>
      </c>
      <c r="B434" t="str">
        <f>mapActivity.xml!B384</f>
        <v>智慧试炼（60）</v>
      </c>
      <c r="C434">
        <f>mapActivity.xml!D384</f>
        <v>0</v>
      </c>
      <c r="D434" t="str">
        <f>mapActivity.xml!L384</f>
        <v>map/map_001.png</v>
      </c>
      <c r="E434" t="str">
        <f>mapActivity.xml!M384</f>
        <v>1-3</v>
      </c>
      <c r="F434">
        <f>mapActivity.xml!N384</f>
        <v>920</v>
      </c>
      <c r="G434">
        <f>mapActivity.xml!S384</f>
        <v>3</v>
      </c>
    </row>
    <row r="435" spans="1:7">
      <c r="A435">
        <f>mapActivity.xml!A385</f>
        <v>306004</v>
      </c>
      <c r="B435" t="str">
        <f>mapActivity.xml!B385</f>
        <v>智慧试炼（60）</v>
      </c>
      <c r="C435">
        <f>mapActivity.xml!D385</f>
        <v>0</v>
      </c>
      <c r="D435" t="str">
        <f>mapActivity.xml!L385</f>
        <v>map/map_001.png</v>
      </c>
      <c r="E435" t="str">
        <f>mapActivity.xml!M385</f>
        <v>1-3</v>
      </c>
      <c r="F435">
        <f>mapActivity.xml!N385</f>
        <v>920</v>
      </c>
      <c r="G435">
        <f>mapActivity.xml!S385</f>
        <v>3</v>
      </c>
    </row>
    <row r="436" spans="1:7">
      <c r="A436">
        <f>mapActivity.xml!A386</f>
        <v>306005</v>
      </c>
      <c r="B436" t="str">
        <f>mapActivity.xml!B386</f>
        <v>智慧试炼（60）</v>
      </c>
      <c r="C436">
        <f>mapActivity.xml!D386</f>
        <v>0</v>
      </c>
      <c r="D436" t="str">
        <f>mapActivity.xml!L386</f>
        <v>map/map_001.png</v>
      </c>
      <c r="E436" t="str">
        <f>mapActivity.xml!M386</f>
        <v>1-3</v>
      </c>
      <c r="F436">
        <f>mapActivity.xml!N386</f>
        <v>920</v>
      </c>
      <c r="G436">
        <f>mapActivity.xml!S386</f>
        <v>3</v>
      </c>
    </row>
    <row r="437" spans="1:7">
      <c r="A437">
        <f>mapActivity.xml!A387</f>
        <v>306006</v>
      </c>
      <c r="B437" t="str">
        <f>mapActivity.xml!B387</f>
        <v>智慧试炼（60）</v>
      </c>
      <c r="C437">
        <f>mapActivity.xml!D387</f>
        <v>0</v>
      </c>
      <c r="D437" t="str">
        <f>mapActivity.xml!L387</f>
        <v>map/map_001.png</v>
      </c>
      <c r="E437" t="str">
        <f>mapActivity.xml!M387</f>
        <v>1-3</v>
      </c>
      <c r="F437">
        <f>mapActivity.xml!N387</f>
        <v>920</v>
      </c>
      <c r="G437">
        <f>mapActivity.xml!S387</f>
        <v>3</v>
      </c>
    </row>
    <row r="438" spans="1:7">
      <c r="A438">
        <f>mapActivity.xml!A388</f>
        <v>306007</v>
      </c>
      <c r="B438" t="str">
        <f>mapActivity.xml!B388</f>
        <v>智慧试炼（60）</v>
      </c>
      <c r="C438">
        <f>mapActivity.xml!D388</f>
        <v>0</v>
      </c>
      <c r="D438" t="str">
        <f>mapActivity.xml!L388</f>
        <v>map/map_001.png</v>
      </c>
      <c r="E438" t="str">
        <f>mapActivity.xml!M388</f>
        <v>1-3</v>
      </c>
      <c r="F438">
        <f>mapActivity.xml!N388</f>
        <v>920</v>
      </c>
      <c r="G438">
        <f>mapActivity.xml!S388</f>
        <v>3</v>
      </c>
    </row>
    <row r="439" spans="1:7">
      <c r="A439">
        <f>mapActivity.xml!A389</f>
        <v>306008</v>
      </c>
      <c r="B439" t="str">
        <f>mapActivity.xml!B389</f>
        <v>智慧试炼（60）</v>
      </c>
      <c r="C439">
        <f>mapActivity.xml!D389</f>
        <v>0</v>
      </c>
      <c r="D439" t="str">
        <f>mapActivity.xml!L389</f>
        <v>map/map_001.png</v>
      </c>
      <c r="E439" t="str">
        <f>mapActivity.xml!M389</f>
        <v>1-3</v>
      </c>
      <c r="F439">
        <f>mapActivity.xml!N389</f>
        <v>920</v>
      </c>
      <c r="G439">
        <f>mapActivity.xml!S389</f>
        <v>3</v>
      </c>
    </row>
    <row r="440" spans="1:7">
      <c r="A440">
        <f>mapActivity.xml!A390</f>
        <v>306009</v>
      </c>
      <c r="B440" t="str">
        <f>mapActivity.xml!B390</f>
        <v>智慧试炼（60）</v>
      </c>
      <c r="C440">
        <f>mapActivity.xml!D390</f>
        <v>0</v>
      </c>
      <c r="D440" t="str">
        <f>mapActivity.xml!L390</f>
        <v>map/map_001.png</v>
      </c>
      <c r="E440" t="str">
        <f>mapActivity.xml!M390</f>
        <v>1-3</v>
      </c>
      <c r="F440">
        <f>mapActivity.xml!N390</f>
        <v>920</v>
      </c>
      <c r="G440">
        <f>mapActivity.xml!S390</f>
        <v>3</v>
      </c>
    </row>
    <row r="441" spans="1:7">
      <c r="A441">
        <f>mapActivity.xml!A391</f>
        <v>306501</v>
      </c>
      <c r="B441" t="str">
        <f>mapActivity.xml!B391</f>
        <v>智慧试炼（65）</v>
      </c>
      <c r="C441">
        <f>mapActivity.xml!D391</f>
        <v>0</v>
      </c>
      <c r="D441" t="str">
        <f>mapActivity.xml!L391</f>
        <v>map/map_001.png</v>
      </c>
      <c r="E441" t="str">
        <f>mapActivity.xml!M391</f>
        <v>1-3</v>
      </c>
      <c r="F441">
        <f>mapActivity.xml!N391</f>
        <v>920</v>
      </c>
      <c r="G441">
        <f>mapActivity.xml!S391</f>
        <v>3</v>
      </c>
    </row>
    <row r="442" spans="1:7">
      <c r="A442">
        <f>mapActivity.xml!A392</f>
        <v>306502</v>
      </c>
      <c r="B442" t="str">
        <f>mapActivity.xml!B392</f>
        <v>智慧试炼（65）</v>
      </c>
      <c r="C442">
        <f>mapActivity.xml!D392</f>
        <v>0</v>
      </c>
      <c r="D442" t="str">
        <f>mapActivity.xml!L392</f>
        <v>map/map_001.png</v>
      </c>
      <c r="E442" t="str">
        <f>mapActivity.xml!M392</f>
        <v>1-3</v>
      </c>
      <c r="F442">
        <f>mapActivity.xml!N392</f>
        <v>920</v>
      </c>
      <c r="G442">
        <f>mapActivity.xml!S392</f>
        <v>3</v>
      </c>
    </row>
    <row r="443" spans="1:7">
      <c r="A443">
        <f>mapActivity.xml!A393</f>
        <v>306503</v>
      </c>
      <c r="B443" t="str">
        <f>mapActivity.xml!B393</f>
        <v>智慧试炼（65）</v>
      </c>
      <c r="C443">
        <f>mapActivity.xml!D393</f>
        <v>0</v>
      </c>
      <c r="D443" t="str">
        <f>mapActivity.xml!L393</f>
        <v>map/map_001.png</v>
      </c>
      <c r="E443" t="str">
        <f>mapActivity.xml!M393</f>
        <v>1-3</v>
      </c>
      <c r="F443">
        <f>mapActivity.xml!N393</f>
        <v>920</v>
      </c>
      <c r="G443">
        <f>mapActivity.xml!S393</f>
        <v>3</v>
      </c>
    </row>
    <row r="444" spans="1:7">
      <c r="A444">
        <f>mapActivity.xml!A394</f>
        <v>306504</v>
      </c>
      <c r="B444" t="str">
        <f>mapActivity.xml!B394</f>
        <v>智慧试炼（65）</v>
      </c>
      <c r="C444">
        <f>mapActivity.xml!D394</f>
        <v>0</v>
      </c>
      <c r="D444" t="str">
        <f>mapActivity.xml!L394</f>
        <v>map/map_001.png</v>
      </c>
      <c r="E444" t="str">
        <f>mapActivity.xml!M394</f>
        <v>1-3</v>
      </c>
      <c r="F444">
        <f>mapActivity.xml!N394</f>
        <v>920</v>
      </c>
      <c r="G444">
        <f>mapActivity.xml!S394</f>
        <v>3</v>
      </c>
    </row>
    <row r="445" spans="1:7">
      <c r="A445">
        <f>mapActivity.xml!A395</f>
        <v>306505</v>
      </c>
      <c r="B445" t="str">
        <f>mapActivity.xml!B395</f>
        <v>智慧试炼（65）</v>
      </c>
      <c r="C445">
        <f>mapActivity.xml!D395</f>
        <v>0</v>
      </c>
      <c r="D445" t="str">
        <f>mapActivity.xml!L395</f>
        <v>map/map_001.png</v>
      </c>
      <c r="E445" t="str">
        <f>mapActivity.xml!M395</f>
        <v>1-3</v>
      </c>
      <c r="F445">
        <f>mapActivity.xml!N395</f>
        <v>920</v>
      </c>
      <c r="G445">
        <f>mapActivity.xml!S395</f>
        <v>3</v>
      </c>
    </row>
    <row r="446" spans="1:7">
      <c r="A446">
        <f>mapActivity.xml!A396</f>
        <v>306506</v>
      </c>
      <c r="B446" t="str">
        <f>mapActivity.xml!B396</f>
        <v>智慧试炼（65）</v>
      </c>
      <c r="C446">
        <f>mapActivity.xml!D396</f>
        <v>0</v>
      </c>
      <c r="D446" t="str">
        <f>mapActivity.xml!L396</f>
        <v>map/map_001.png</v>
      </c>
      <c r="E446" t="str">
        <f>mapActivity.xml!M396</f>
        <v>1-3</v>
      </c>
      <c r="F446">
        <f>mapActivity.xml!N396</f>
        <v>920</v>
      </c>
      <c r="G446">
        <f>mapActivity.xml!S396</f>
        <v>3</v>
      </c>
    </row>
    <row r="447" spans="1:7">
      <c r="A447">
        <f>mapActivity.xml!A397</f>
        <v>306507</v>
      </c>
      <c r="B447" t="str">
        <f>mapActivity.xml!B397</f>
        <v>智慧试炼（65）</v>
      </c>
      <c r="C447">
        <f>mapActivity.xml!D397</f>
        <v>0</v>
      </c>
      <c r="D447" t="str">
        <f>mapActivity.xml!L397</f>
        <v>map/map_001.png</v>
      </c>
      <c r="E447" t="str">
        <f>mapActivity.xml!M397</f>
        <v>1-3</v>
      </c>
      <c r="F447">
        <f>mapActivity.xml!N397</f>
        <v>920</v>
      </c>
      <c r="G447">
        <f>mapActivity.xml!S397</f>
        <v>3</v>
      </c>
    </row>
    <row r="448" spans="1:7">
      <c r="A448">
        <f>mapActivity.xml!A398</f>
        <v>306508</v>
      </c>
      <c r="B448" t="str">
        <f>mapActivity.xml!B398</f>
        <v>智慧试炼（65）</v>
      </c>
      <c r="C448">
        <f>mapActivity.xml!D398</f>
        <v>0</v>
      </c>
      <c r="D448" t="str">
        <f>mapActivity.xml!L398</f>
        <v>map/map_001.png</v>
      </c>
      <c r="E448" t="str">
        <f>mapActivity.xml!M398</f>
        <v>1-3</v>
      </c>
      <c r="F448">
        <f>mapActivity.xml!N398</f>
        <v>920</v>
      </c>
      <c r="G448">
        <f>mapActivity.xml!S398</f>
        <v>3</v>
      </c>
    </row>
    <row r="449" spans="1:7">
      <c r="A449">
        <f>mapActivity.xml!A399</f>
        <v>306509</v>
      </c>
      <c r="B449" t="str">
        <f>mapActivity.xml!B399</f>
        <v>智慧试炼（65）</v>
      </c>
      <c r="C449">
        <f>mapActivity.xml!D399</f>
        <v>0</v>
      </c>
      <c r="D449" t="str">
        <f>mapActivity.xml!L399</f>
        <v>map/map_001.png</v>
      </c>
      <c r="E449" t="str">
        <f>mapActivity.xml!M399</f>
        <v>1-3</v>
      </c>
      <c r="F449">
        <f>mapActivity.xml!N399</f>
        <v>920</v>
      </c>
      <c r="G449">
        <f>mapActivity.xml!S399</f>
        <v>3</v>
      </c>
    </row>
    <row r="450" spans="1:7">
      <c r="A450">
        <f>mapActivity.xml!A400</f>
        <v>307001</v>
      </c>
      <c r="B450" t="str">
        <f>mapActivity.xml!B400</f>
        <v>智慧试炼（70）</v>
      </c>
      <c r="C450">
        <f>mapActivity.xml!D400</f>
        <v>0</v>
      </c>
      <c r="D450" t="str">
        <f>mapActivity.xml!L400</f>
        <v>map/map_001.png</v>
      </c>
      <c r="E450" t="str">
        <f>mapActivity.xml!M400</f>
        <v>1-3</v>
      </c>
      <c r="F450">
        <f>mapActivity.xml!N400</f>
        <v>920</v>
      </c>
      <c r="G450">
        <f>mapActivity.xml!S400</f>
        <v>3</v>
      </c>
    </row>
    <row r="451" spans="1:7">
      <c r="A451">
        <f>mapActivity.xml!A401</f>
        <v>307002</v>
      </c>
      <c r="B451" t="str">
        <f>mapActivity.xml!B401</f>
        <v>智慧试炼（70）</v>
      </c>
      <c r="C451">
        <f>mapActivity.xml!D401</f>
        <v>0</v>
      </c>
      <c r="D451" t="str">
        <f>mapActivity.xml!L401</f>
        <v>map/map_001.png</v>
      </c>
      <c r="E451" t="str">
        <f>mapActivity.xml!M401</f>
        <v>1-3</v>
      </c>
      <c r="F451">
        <f>mapActivity.xml!N401</f>
        <v>920</v>
      </c>
      <c r="G451">
        <f>mapActivity.xml!S401</f>
        <v>3</v>
      </c>
    </row>
    <row r="452" spans="1:7">
      <c r="A452">
        <f>mapActivity.xml!A402</f>
        <v>307003</v>
      </c>
      <c r="B452" t="str">
        <f>mapActivity.xml!B402</f>
        <v>智慧试炼（70）</v>
      </c>
      <c r="C452">
        <f>mapActivity.xml!D402</f>
        <v>0</v>
      </c>
      <c r="D452" t="str">
        <f>mapActivity.xml!L402</f>
        <v>map/map_001.png</v>
      </c>
      <c r="E452" t="str">
        <f>mapActivity.xml!M402</f>
        <v>1-3</v>
      </c>
      <c r="F452">
        <f>mapActivity.xml!N402</f>
        <v>920</v>
      </c>
      <c r="G452">
        <f>mapActivity.xml!S402</f>
        <v>3</v>
      </c>
    </row>
    <row r="453" spans="1:7">
      <c r="A453">
        <f>mapActivity.xml!A403</f>
        <v>307004</v>
      </c>
      <c r="B453" t="str">
        <f>mapActivity.xml!B403</f>
        <v>智慧试炼（70）</v>
      </c>
      <c r="C453">
        <f>mapActivity.xml!D403</f>
        <v>0</v>
      </c>
      <c r="D453" t="str">
        <f>mapActivity.xml!L403</f>
        <v>map/map_001.png</v>
      </c>
      <c r="E453" t="str">
        <f>mapActivity.xml!M403</f>
        <v>1-3</v>
      </c>
      <c r="F453">
        <f>mapActivity.xml!N403</f>
        <v>920</v>
      </c>
      <c r="G453">
        <f>mapActivity.xml!S403</f>
        <v>3</v>
      </c>
    </row>
    <row r="454" spans="1:7">
      <c r="A454">
        <f>mapActivity.xml!A404</f>
        <v>307005</v>
      </c>
      <c r="B454" t="str">
        <f>mapActivity.xml!B404</f>
        <v>智慧试炼（70）</v>
      </c>
      <c r="C454">
        <f>mapActivity.xml!D404</f>
        <v>0</v>
      </c>
      <c r="D454" t="str">
        <f>mapActivity.xml!L404</f>
        <v>map/map_001.png</v>
      </c>
      <c r="E454" t="str">
        <f>mapActivity.xml!M404</f>
        <v>1-3</v>
      </c>
      <c r="F454">
        <f>mapActivity.xml!N404</f>
        <v>920</v>
      </c>
      <c r="G454">
        <f>mapActivity.xml!S404</f>
        <v>3</v>
      </c>
    </row>
    <row r="455" spans="1:7">
      <c r="A455">
        <f>mapActivity.xml!A405</f>
        <v>307006</v>
      </c>
      <c r="B455" t="str">
        <f>mapActivity.xml!B405</f>
        <v>智慧试炼（70）</v>
      </c>
      <c r="C455">
        <f>mapActivity.xml!D405</f>
        <v>0</v>
      </c>
      <c r="D455" t="str">
        <f>mapActivity.xml!L405</f>
        <v>map/map_001.png</v>
      </c>
      <c r="E455" t="str">
        <f>mapActivity.xml!M405</f>
        <v>1-3</v>
      </c>
      <c r="F455">
        <f>mapActivity.xml!N405</f>
        <v>920</v>
      </c>
      <c r="G455">
        <f>mapActivity.xml!S405</f>
        <v>3</v>
      </c>
    </row>
    <row r="456" spans="1:7">
      <c r="A456">
        <f>mapActivity.xml!A406</f>
        <v>307007</v>
      </c>
      <c r="B456" t="str">
        <f>mapActivity.xml!B406</f>
        <v>智慧试炼（70）</v>
      </c>
      <c r="C456">
        <f>mapActivity.xml!D406</f>
        <v>0</v>
      </c>
      <c r="D456" t="str">
        <f>mapActivity.xml!L406</f>
        <v>map/map_001.png</v>
      </c>
      <c r="E456" t="str">
        <f>mapActivity.xml!M406</f>
        <v>1-3</v>
      </c>
      <c r="F456">
        <f>mapActivity.xml!N406</f>
        <v>920</v>
      </c>
      <c r="G456">
        <f>mapActivity.xml!S406</f>
        <v>3</v>
      </c>
    </row>
    <row r="457" spans="1:7">
      <c r="A457">
        <f>mapActivity.xml!A407</f>
        <v>307008</v>
      </c>
      <c r="B457" t="str">
        <f>mapActivity.xml!B407</f>
        <v>智慧试炼（70）</v>
      </c>
      <c r="C457">
        <f>mapActivity.xml!D407</f>
        <v>0</v>
      </c>
      <c r="D457" t="str">
        <f>mapActivity.xml!L407</f>
        <v>map/map_001.png</v>
      </c>
      <c r="E457" t="str">
        <f>mapActivity.xml!M407</f>
        <v>1-3</v>
      </c>
      <c r="F457">
        <f>mapActivity.xml!N407</f>
        <v>920</v>
      </c>
      <c r="G457">
        <f>mapActivity.xml!S407</f>
        <v>3</v>
      </c>
    </row>
    <row r="458" spans="1:7">
      <c r="A458">
        <f>mapActivity.xml!A408</f>
        <v>307009</v>
      </c>
      <c r="B458" t="str">
        <f>mapActivity.xml!B408</f>
        <v>智慧试炼（70）</v>
      </c>
      <c r="C458">
        <f>mapActivity.xml!D408</f>
        <v>0</v>
      </c>
      <c r="D458" t="str">
        <f>mapActivity.xml!L408</f>
        <v>map/map_001.png</v>
      </c>
      <c r="E458" t="str">
        <f>mapActivity.xml!M408</f>
        <v>1-3</v>
      </c>
      <c r="F458">
        <f>mapActivity.xml!N408</f>
        <v>920</v>
      </c>
      <c r="G458">
        <f>mapActivity.xml!S408</f>
        <v>3</v>
      </c>
    </row>
    <row r="459" spans="1:7">
      <c r="A459">
        <f>mapActivity.xml!A409</f>
        <v>307501</v>
      </c>
      <c r="B459" t="str">
        <f>mapActivity.xml!B409</f>
        <v>智慧试炼（75）</v>
      </c>
      <c r="C459">
        <f>mapActivity.xml!D409</f>
        <v>0</v>
      </c>
      <c r="D459" t="str">
        <f>mapActivity.xml!L409</f>
        <v>map/map_001.png</v>
      </c>
      <c r="E459" t="str">
        <f>mapActivity.xml!M409</f>
        <v>1-3</v>
      </c>
      <c r="F459">
        <f>mapActivity.xml!N409</f>
        <v>920</v>
      </c>
      <c r="G459">
        <f>mapActivity.xml!S409</f>
        <v>3</v>
      </c>
    </row>
    <row r="460" spans="1:7">
      <c r="A460">
        <f>mapActivity.xml!A410</f>
        <v>307502</v>
      </c>
      <c r="B460" t="str">
        <f>mapActivity.xml!B410</f>
        <v>智慧试炼（75）</v>
      </c>
      <c r="C460">
        <f>mapActivity.xml!D410</f>
        <v>0</v>
      </c>
      <c r="D460" t="str">
        <f>mapActivity.xml!L410</f>
        <v>map/map_001.png</v>
      </c>
      <c r="E460" t="str">
        <f>mapActivity.xml!M410</f>
        <v>1-3</v>
      </c>
      <c r="F460">
        <f>mapActivity.xml!N410</f>
        <v>920</v>
      </c>
      <c r="G460">
        <f>mapActivity.xml!S410</f>
        <v>3</v>
      </c>
    </row>
    <row r="461" spans="1:7">
      <c r="A461">
        <f>mapActivity.xml!A411</f>
        <v>307503</v>
      </c>
      <c r="B461" t="str">
        <f>mapActivity.xml!B411</f>
        <v>智慧试炼（75）</v>
      </c>
      <c r="C461">
        <f>mapActivity.xml!D411</f>
        <v>0</v>
      </c>
      <c r="D461" t="str">
        <f>mapActivity.xml!L411</f>
        <v>map/map_001.png</v>
      </c>
      <c r="E461" t="str">
        <f>mapActivity.xml!M411</f>
        <v>1-3</v>
      </c>
      <c r="F461">
        <f>mapActivity.xml!N411</f>
        <v>920</v>
      </c>
      <c r="G461">
        <f>mapActivity.xml!S411</f>
        <v>3</v>
      </c>
    </row>
    <row r="462" spans="1:7">
      <c r="A462">
        <f>mapActivity.xml!A412</f>
        <v>307504</v>
      </c>
      <c r="B462" t="str">
        <f>mapActivity.xml!B412</f>
        <v>智慧试炼（75）</v>
      </c>
      <c r="C462">
        <f>mapActivity.xml!D412</f>
        <v>0</v>
      </c>
      <c r="D462" t="str">
        <f>mapActivity.xml!L412</f>
        <v>map/map_001.png</v>
      </c>
      <c r="E462" t="str">
        <f>mapActivity.xml!M412</f>
        <v>1-3</v>
      </c>
      <c r="F462">
        <f>mapActivity.xml!N412</f>
        <v>920</v>
      </c>
      <c r="G462">
        <f>mapActivity.xml!S412</f>
        <v>3</v>
      </c>
    </row>
    <row r="463" spans="1:7">
      <c r="A463">
        <f>mapActivity.xml!A413</f>
        <v>307505</v>
      </c>
      <c r="B463" t="str">
        <f>mapActivity.xml!B413</f>
        <v>智慧试炼（75）</v>
      </c>
      <c r="C463">
        <f>mapActivity.xml!D413</f>
        <v>0</v>
      </c>
      <c r="D463" t="str">
        <f>mapActivity.xml!L413</f>
        <v>map/map_001.png</v>
      </c>
      <c r="E463" t="str">
        <f>mapActivity.xml!M413</f>
        <v>1-3</v>
      </c>
      <c r="F463">
        <f>mapActivity.xml!N413</f>
        <v>920</v>
      </c>
      <c r="G463">
        <f>mapActivity.xml!S413</f>
        <v>3</v>
      </c>
    </row>
    <row r="464" spans="1:7">
      <c r="A464">
        <f>mapActivity.xml!A414</f>
        <v>307506</v>
      </c>
      <c r="B464" t="str">
        <f>mapActivity.xml!B414</f>
        <v>智慧试炼（75）</v>
      </c>
      <c r="C464">
        <f>mapActivity.xml!D414</f>
        <v>0</v>
      </c>
      <c r="D464" t="str">
        <f>mapActivity.xml!L414</f>
        <v>map/map_001.png</v>
      </c>
      <c r="E464" t="str">
        <f>mapActivity.xml!M414</f>
        <v>1-3</v>
      </c>
      <c r="F464">
        <f>mapActivity.xml!N414</f>
        <v>920</v>
      </c>
      <c r="G464">
        <f>mapActivity.xml!S414</f>
        <v>3</v>
      </c>
    </row>
    <row r="465" spans="1:7">
      <c r="A465">
        <f>mapActivity.xml!A415</f>
        <v>307507</v>
      </c>
      <c r="B465" t="str">
        <f>mapActivity.xml!B415</f>
        <v>智慧试炼（75）</v>
      </c>
      <c r="C465">
        <f>mapActivity.xml!D415</f>
        <v>0</v>
      </c>
      <c r="D465" t="str">
        <f>mapActivity.xml!L415</f>
        <v>map/map_001.png</v>
      </c>
      <c r="E465" t="str">
        <f>mapActivity.xml!M415</f>
        <v>1-3</v>
      </c>
      <c r="F465">
        <f>mapActivity.xml!N415</f>
        <v>920</v>
      </c>
      <c r="G465">
        <f>mapActivity.xml!S415</f>
        <v>3</v>
      </c>
    </row>
    <row r="466" spans="1:7">
      <c r="A466">
        <f>mapActivity.xml!A416</f>
        <v>307508</v>
      </c>
      <c r="B466" t="str">
        <f>mapActivity.xml!B416</f>
        <v>智慧试炼（75）</v>
      </c>
      <c r="C466">
        <f>mapActivity.xml!D416</f>
        <v>0</v>
      </c>
      <c r="D466" t="str">
        <f>mapActivity.xml!L416</f>
        <v>map/map_001.png</v>
      </c>
      <c r="E466" t="str">
        <f>mapActivity.xml!M416</f>
        <v>1-3</v>
      </c>
      <c r="F466">
        <f>mapActivity.xml!N416</f>
        <v>920</v>
      </c>
      <c r="G466">
        <f>mapActivity.xml!S416</f>
        <v>3</v>
      </c>
    </row>
    <row r="467" spans="1:7">
      <c r="A467">
        <f>mapActivity.xml!A417</f>
        <v>307509</v>
      </c>
      <c r="B467" t="str">
        <f>mapActivity.xml!B417</f>
        <v>智慧试炼（75）</v>
      </c>
      <c r="C467">
        <f>mapActivity.xml!D417</f>
        <v>0</v>
      </c>
      <c r="D467" t="str">
        <f>mapActivity.xml!L417</f>
        <v>map/map_001.png</v>
      </c>
      <c r="E467" t="str">
        <f>mapActivity.xml!M417</f>
        <v>1-3</v>
      </c>
      <c r="F467">
        <f>mapActivity.xml!N417</f>
        <v>920</v>
      </c>
      <c r="G467">
        <f>mapActivity.xml!S417</f>
        <v>3</v>
      </c>
    </row>
    <row r="468" spans="1:7">
      <c r="A468">
        <f>mapActivity.xml!A418</f>
        <v>308001</v>
      </c>
      <c r="B468" t="str">
        <f>mapActivity.xml!B418</f>
        <v>智慧试炼（80）</v>
      </c>
      <c r="C468">
        <f>mapActivity.xml!D418</f>
        <v>0</v>
      </c>
      <c r="D468" t="str">
        <f>mapActivity.xml!L418</f>
        <v>map/map_001.png</v>
      </c>
      <c r="E468" t="str">
        <f>mapActivity.xml!M418</f>
        <v>1-3</v>
      </c>
      <c r="F468">
        <f>mapActivity.xml!N418</f>
        <v>920</v>
      </c>
      <c r="G468">
        <f>mapActivity.xml!S418</f>
        <v>3</v>
      </c>
    </row>
    <row r="469" spans="1:7">
      <c r="A469">
        <f>mapActivity.xml!A419</f>
        <v>308002</v>
      </c>
      <c r="B469" t="str">
        <f>mapActivity.xml!B419</f>
        <v>智慧试炼（80）</v>
      </c>
      <c r="C469">
        <f>mapActivity.xml!D419</f>
        <v>0</v>
      </c>
      <c r="D469" t="str">
        <f>mapActivity.xml!L419</f>
        <v>map/map_001.png</v>
      </c>
      <c r="E469" t="str">
        <f>mapActivity.xml!M419</f>
        <v>1-3</v>
      </c>
      <c r="F469">
        <f>mapActivity.xml!N419</f>
        <v>920</v>
      </c>
      <c r="G469">
        <f>mapActivity.xml!S419</f>
        <v>3</v>
      </c>
    </row>
    <row r="470" spans="1:7">
      <c r="A470">
        <f>mapActivity.xml!A420</f>
        <v>308003</v>
      </c>
      <c r="B470" t="str">
        <f>mapActivity.xml!B420</f>
        <v>智慧试炼（80）</v>
      </c>
      <c r="C470">
        <f>mapActivity.xml!D420</f>
        <v>0</v>
      </c>
      <c r="D470" t="str">
        <f>mapActivity.xml!L420</f>
        <v>map/map_001.png</v>
      </c>
      <c r="E470" t="str">
        <f>mapActivity.xml!M420</f>
        <v>1-3</v>
      </c>
      <c r="F470">
        <f>mapActivity.xml!N420</f>
        <v>920</v>
      </c>
      <c r="G470">
        <f>mapActivity.xml!S420</f>
        <v>3</v>
      </c>
    </row>
    <row r="471" spans="1:7">
      <c r="A471">
        <f>mapActivity.xml!A421</f>
        <v>308004</v>
      </c>
      <c r="B471" t="str">
        <f>mapActivity.xml!B421</f>
        <v>智慧试炼（80）</v>
      </c>
      <c r="C471">
        <f>mapActivity.xml!D421</f>
        <v>0</v>
      </c>
      <c r="D471" t="str">
        <f>mapActivity.xml!L421</f>
        <v>map/map_001.png</v>
      </c>
      <c r="E471" t="str">
        <f>mapActivity.xml!M421</f>
        <v>1-3</v>
      </c>
      <c r="F471">
        <f>mapActivity.xml!N421</f>
        <v>920</v>
      </c>
      <c r="G471">
        <f>mapActivity.xml!S421</f>
        <v>3</v>
      </c>
    </row>
    <row r="472" spans="1:7">
      <c r="A472">
        <f>mapActivity.xml!A422</f>
        <v>308005</v>
      </c>
      <c r="B472" t="str">
        <f>mapActivity.xml!B422</f>
        <v>智慧试炼（80）</v>
      </c>
      <c r="C472">
        <f>mapActivity.xml!D422</f>
        <v>0</v>
      </c>
      <c r="D472" t="str">
        <f>mapActivity.xml!L422</f>
        <v>map/map_001.png</v>
      </c>
      <c r="E472" t="str">
        <f>mapActivity.xml!M422</f>
        <v>1-3</v>
      </c>
      <c r="F472">
        <f>mapActivity.xml!N422</f>
        <v>920</v>
      </c>
      <c r="G472">
        <f>mapActivity.xml!S422</f>
        <v>3</v>
      </c>
    </row>
    <row r="473" spans="1:7">
      <c r="A473">
        <f>mapActivity.xml!A423</f>
        <v>308006</v>
      </c>
      <c r="B473" t="str">
        <f>mapActivity.xml!B423</f>
        <v>智慧试炼（80）</v>
      </c>
      <c r="C473">
        <f>mapActivity.xml!D423</f>
        <v>0</v>
      </c>
      <c r="D473" t="str">
        <f>mapActivity.xml!L423</f>
        <v>map/map_001.png</v>
      </c>
      <c r="E473" t="str">
        <f>mapActivity.xml!M423</f>
        <v>1-3</v>
      </c>
      <c r="F473">
        <f>mapActivity.xml!N423</f>
        <v>920</v>
      </c>
      <c r="G473">
        <f>mapActivity.xml!S423</f>
        <v>3</v>
      </c>
    </row>
    <row r="474" spans="1:7">
      <c r="A474">
        <f>mapActivity.xml!A424</f>
        <v>308007</v>
      </c>
      <c r="B474" t="str">
        <f>mapActivity.xml!B424</f>
        <v>智慧试炼（80）</v>
      </c>
      <c r="C474">
        <f>mapActivity.xml!D424</f>
        <v>0</v>
      </c>
      <c r="D474" t="str">
        <f>mapActivity.xml!L424</f>
        <v>map/map_001.png</v>
      </c>
      <c r="E474" t="str">
        <f>mapActivity.xml!M424</f>
        <v>1-3</v>
      </c>
      <c r="F474">
        <f>mapActivity.xml!N424</f>
        <v>920</v>
      </c>
      <c r="G474">
        <f>mapActivity.xml!S424</f>
        <v>3</v>
      </c>
    </row>
    <row r="475" spans="1:7">
      <c r="A475">
        <f>mapActivity.xml!A425</f>
        <v>308008</v>
      </c>
      <c r="B475" t="str">
        <f>mapActivity.xml!B425</f>
        <v>智慧试炼（80）</v>
      </c>
      <c r="C475">
        <f>mapActivity.xml!D425</f>
        <v>0</v>
      </c>
      <c r="D475" t="str">
        <f>mapActivity.xml!L425</f>
        <v>map/map_001.png</v>
      </c>
      <c r="E475" t="str">
        <f>mapActivity.xml!M425</f>
        <v>1-3</v>
      </c>
      <c r="F475">
        <f>mapActivity.xml!N425</f>
        <v>920</v>
      </c>
      <c r="G475">
        <f>mapActivity.xml!S425</f>
        <v>3</v>
      </c>
    </row>
    <row r="476" spans="1:7">
      <c r="A476">
        <f>mapActivity.xml!A426</f>
        <v>308009</v>
      </c>
      <c r="B476" t="str">
        <f>mapActivity.xml!B426</f>
        <v>智慧试炼（80）</v>
      </c>
      <c r="C476">
        <f>mapActivity.xml!D426</f>
        <v>0</v>
      </c>
      <c r="D476" t="str">
        <f>mapActivity.xml!L426</f>
        <v>map/map_001.png</v>
      </c>
      <c r="E476" t="str">
        <f>mapActivity.xml!M426</f>
        <v>1-3</v>
      </c>
      <c r="F476">
        <f>mapActivity.xml!N426</f>
        <v>920</v>
      </c>
      <c r="G476">
        <f>mapActivity.xml!S426</f>
        <v>3</v>
      </c>
    </row>
    <row r="477" spans="1:7">
      <c r="A477">
        <f>mapActivity.xml!A427</f>
        <v>308501</v>
      </c>
      <c r="B477" t="str">
        <f>mapActivity.xml!B427</f>
        <v>启迪试炼（85）</v>
      </c>
      <c r="C477">
        <f>mapActivity.xml!D427</f>
        <v>0</v>
      </c>
      <c r="D477" t="str">
        <f>mapActivity.xml!L427</f>
        <v>map/map_001.png</v>
      </c>
      <c r="E477" t="str">
        <f>mapActivity.xml!M427</f>
        <v>1-3</v>
      </c>
      <c r="F477">
        <f>mapActivity.xml!N427</f>
        <v>920</v>
      </c>
      <c r="G477">
        <f>mapActivity.xml!S427</f>
        <v>3</v>
      </c>
    </row>
    <row r="478" spans="1:7">
      <c r="A478">
        <f>mapActivity.xml!A428</f>
        <v>308502</v>
      </c>
      <c r="B478" t="str">
        <f>mapActivity.xml!B428</f>
        <v>启迪试炼（85）</v>
      </c>
      <c r="C478">
        <f>mapActivity.xml!D428</f>
        <v>0</v>
      </c>
      <c r="D478" t="str">
        <f>mapActivity.xml!L428</f>
        <v>map/map_001.png</v>
      </c>
      <c r="E478" t="str">
        <f>mapActivity.xml!M428</f>
        <v>1-3</v>
      </c>
      <c r="F478">
        <f>mapActivity.xml!N428</f>
        <v>920</v>
      </c>
      <c r="G478">
        <f>mapActivity.xml!S428</f>
        <v>3</v>
      </c>
    </row>
    <row r="479" spans="1:7">
      <c r="A479">
        <f>mapActivity.xml!A429</f>
        <v>308503</v>
      </c>
      <c r="B479" t="str">
        <f>mapActivity.xml!B429</f>
        <v>启迪试炼（85）</v>
      </c>
      <c r="C479">
        <f>mapActivity.xml!D429</f>
        <v>0</v>
      </c>
      <c r="D479" t="str">
        <f>mapActivity.xml!L429</f>
        <v>map/map_001.png</v>
      </c>
      <c r="E479" t="str">
        <f>mapActivity.xml!M429</f>
        <v>1-3</v>
      </c>
      <c r="F479">
        <f>mapActivity.xml!N429</f>
        <v>920</v>
      </c>
      <c r="G479">
        <f>mapActivity.xml!S429</f>
        <v>3</v>
      </c>
    </row>
    <row r="480" spans="1:7">
      <c r="A480">
        <f>mapActivity.xml!A430</f>
        <v>308504</v>
      </c>
      <c r="B480" t="str">
        <f>mapActivity.xml!B430</f>
        <v>启迪试炼（85）</v>
      </c>
      <c r="C480">
        <f>mapActivity.xml!D430</f>
        <v>0</v>
      </c>
      <c r="D480" t="str">
        <f>mapActivity.xml!L430</f>
        <v>map/map_001.png</v>
      </c>
      <c r="E480" t="str">
        <f>mapActivity.xml!M430</f>
        <v>1-3</v>
      </c>
      <c r="F480">
        <f>mapActivity.xml!N430</f>
        <v>920</v>
      </c>
      <c r="G480">
        <f>mapActivity.xml!S430</f>
        <v>3</v>
      </c>
    </row>
    <row r="481" spans="1:7">
      <c r="A481">
        <f>mapActivity.xml!A431</f>
        <v>308505</v>
      </c>
      <c r="B481" t="str">
        <f>mapActivity.xml!B431</f>
        <v>启迪试炼（85）</v>
      </c>
      <c r="C481">
        <f>mapActivity.xml!D431</f>
        <v>0</v>
      </c>
      <c r="D481" t="str">
        <f>mapActivity.xml!L431</f>
        <v>map/map_001.png</v>
      </c>
      <c r="E481" t="str">
        <f>mapActivity.xml!M431</f>
        <v>1-3</v>
      </c>
      <c r="F481">
        <f>mapActivity.xml!N431</f>
        <v>920</v>
      </c>
      <c r="G481">
        <f>mapActivity.xml!S431</f>
        <v>3</v>
      </c>
    </row>
    <row r="482" spans="1:7">
      <c r="A482">
        <f>mapActivity.xml!A432</f>
        <v>308506</v>
      </c>
      <c r="B482" t="str">
        <f>mapActivity.xml!B432</f>
        <v>启迪试炼（85）</v>
      </c>
      <c r="C482">
        <f>mapActivity.xml!D432</f>
        <v>0</v>
      </c>
      <c r="D482" t="str">
        <f>mapActivity.xml!L432</f>
        <v>map/map_001.png</v>
      </c>
      <c r="E482" t="str">
        <f>mapActivity.xml!M432</f>
        <v>1-3</v>
      </c>
      <c r="F482">
        <f>mapActivity.xml!N432</f>
        <v>920</v>
      </c>
      <c r="G482">
        <f>mapActivity.xml!S432</f>
        <v>3</v>
      </c>
    </row>
    <row r="483" spans="1:7">
      <c r="A483">
        <f>mapActivity.xml!A433</f>
        <v>308507</v>
      </c>
      <c r="B483" t="str">
        <f>mapActivity.xml!B433</f>
        <v>启迪试炼（85）</v>
      </c>
      <c r="C483">
        <f>mapActivity.xml!D433</f>
        <v>0</v>
      </c>
      <c r="D483" t="str">
        <f>mapActivity.xml!L433</f>
        <v>map/map_001.png</v>
      </c>
      <c r="E483" t="str">
        <f>mapActivity.xml!M433</f>
        <v>1-3</v>
      </c>
      <c r="F483">
        <f>mapActivity.xml!N433</f>
        <v>920</v>
      </c>
      <c r="G483">
        <f>mapActivity.xml!S433</f>
        <v>3</v>
      </c>
    </row>
    <row r="484" spans="1:7">
      <c r="A484">
        <f>mapActivity.xml!A434</f>
        <v>308508</v>
      </c>
      <c r="B484" t="str">
        <f>mapActivity.xml!B434</f>
        <v>启迪试炼（85）</v>
      </c>
      <c r="C484">
        <f>mapActivity.xml!D434</f>
        <v>0</v>
      </c>
      <c r="D484" t="str">
        <f>mapActivity.xml!L434</f>
        <v>map/map_001.png</v>
      </c>
      <c r="E484" t="str">
        <f>mapActivity.xml!M434</f>
        <v>1-3</v>
      </c>
      <c r="F484">
        <f>mapActivity.xml!N434</f>
        <v>920</v>
      </c>
      <c r="G484">
        <f>mapActivity.xml!S434</f>
        <v>3</v>
      </c>
    </row>
    <row r="485" spans="1:7">
      <c r="A485">
        <f>mapActivity.xml!A435</f>
        <v>308509</v>
      </c>
      <c r="B485" t="str">
        <f>mapActivity.xml!B435</f>
        <v>启迪试炼（85）</v>
      </c>
      <c r="C485">
        <f>mapActivity.xml!D435</f>
        <v>0</v>
      </c>
      <c r="D485" t="str">
        <f>mapActivity.xml!L435</f>
        <v>map/map_001.png</v>
      </c>
      <c r="E485" t="str">
        <f>mapActivity.xml!M435</f>
        <v>1-3</v>
      </c>
      <c r="F485">
        <f>mapActivity.xml!N435</f>
        <v>920</v>
      </c>
      <c r="G485">
        <f>mapActivity.xml!S435</f>
        <v>3</v>
      </c>
    </row>
    <row r="486" spans="1:7">
      <c r="A486">
        <f>mapActivity.xml!A436</f>
        <v>309001</v>
      </c>
      <c r="B486" t="str">
        <f>mapActivity.xml!B436</f>
        <v>启迪试炼（90）</v>
      </c>
      <c r="C486">
        <f>mapActivity.xml!D436</f>
        <v>0</v>
      </c>
      <c r="D486" t="str">
        <f>mapActivity.xml!L436</f>
        <v>map/map_001.png</v>
      </c>
      <c r="E486" t="str">
        <f>mapActivity.xml!M436</f>
        <v>1-3</v>
      </c>
      <c r="F486">
        <f>mapActivity.xml!N436</f>
        <v>920</v>
      </c>
      <c r="G486">
        <f>mapActivity.xml!S436</f>
        <v>3</v>
      </c>
    </row>
    <row r="487" spans="1:7">
      <c r="A487">
        <f>mapActivity.xml!A437</f>
        <v>309002</v>
      </c>
      <c r="B487" t="str">
        <f>mapActivity.xml!B437</f>
        <v>启迪试炼（90）</v>
      </c>
      <c r="C487">
        <f>mapActivity.xml!D437</f>
        <v>0</v>
      </c>
      <c r="D487" t="str">
        <f>mapActivity.xml!L437</f>
        <v>map/map_001.png</v>
      </c>
      <c r="E487" t="str">
        <f>mapActivity.xml!M437</f>
        <v>1-3</v>
      </c>
      <c r="F487">
        <f>mapActivity.xml!N437</f>
        <v>920</v>
      </c>
      <c r="G487">
        <f>mapActivity.xml!S437</f>
        <v>3</v>
      </c>
    </row>
    <row r="488" spans="1:7">
      <c r="A488">
        <f>mapActivity.xml!A438</f>
        <v>309003</v>
      </c>
      <c r="B488" t="str">
        <f>mapActivity.xml!B438</f>
        <v>启迪试炼（90）</v>
      </c>
      <c r="C488">
        <f>mapActivity.xml!D438</f>
        <v>0</v>
      </c>
      <c r="D488" t="str">
        <f>mapActivity.xml!L438</f>
        <v>map/map_001.png</v>
      </c>
      <c r="E488" t="str">
        <f>mapActivity.xml!M438</f>
        <v>1-3</v>
      </c>
      <c r="F488">
        <f>mapActivity.xml!N438</f>
        <v>920</v>
      </c>
      <c r="G488">
        <f>mapActivity.xml!S438</f>
        <v>3</v>
      </c>
    </row>
    <row r="489" spans="1:7">
      <c r="A489">
        <f>mapActivity.xml!A439</f>
        <v>309004</v>
      </c>
      <c r="B489" t="str">
        <f>mapActivity.xml!B439</f>
        <v>启迪试炼（90）</v>
      </c>
      <c r="C489">
        <f>mapActivity.xml!D439</f>
        <v>0</v>
      </c>
      <c r="D489" t="str">
        <f>mapActivity.xml!L439</f>
        <v>map/map_001.png</v>
      </c>
      <c r="E489" t="str">
        <f>mapActivity.xml!M439</f>
        <v>1-3</v>
      </c>
      <c r="F489">
        <f>mapActivity.xml!N439</f>
        <v>920</v>
      </c>
      <c r="G489">
        <f>mapActivity.xml!S439</f>
        <v>3</v>
      </c>
    </row>
    <row r="490" spans="1:7">
      <c r="A490">
        <f>mapActivity.xml!A440</f>
        <v>309005</v>
      </c>
      <c r="B490" t="str">
        <f>mapActivity.xml!B440</f>
        <v>启迪试炼（90）</v>
      </c>
      <c r="C490">
        <f>mapActivity.xml!D440</f>
        <v>0</v>
      </c>
      <c r="D490" t="str">
        <f>mapActivity.xml!L440</f>
        <v>map/map_001.png</v>
      </c>
      <c r="E490" t="str">
        <f>mapActivity.xml!M440</f>
        <v>1-3</v>
      </c>
      <c r="F490">
        <f>mapActivity.xml!N440</f>
        <v>920</v>
      </c>
      <c r="G490">
        <f>mapActivity.xml!S440</f>
        <v>3</v>
      </c>
    </row>
    <row r="491" spans="1:7">
      <c r="A491">
        <f>mapActivity.xml!A441</f>
        <v>309006</v>
      </c>
      <c r="B491" t="str">
        <f>mapActivity.xml!B441</f>
        <v>启迪试炼（90）</v>
      </c>
      <c r="C491">
        <f>mapActivity.xml!D441</f>
        <v>0</v>
      </c>
      <c r="D491" t="str">
        <f>mapActivity.xml!L441</f>
        <v>map/map_001.png</v>
      </c>
      <c r="E491" t="str">
        <f>mapActivity.xml!M441</f>
        <v>1-3</v>
      </c>
      <c r="F491">
        <f>mapActivity.xml!N441</f>
        <v>920</v>
      </c>
      <c r="G491">
        <f>mapActivity.xml!S441</f>
        <v>3</v>
      </c>
    </row>
    <row r="492" spans="1:7">
      <c r="A492">
        <f>mapActivity.xml!A442</f>
        <v>309007</v>
      </c>
      <c r="B492" t="str">
        <f>mapActivity.xml!B442</f>
        <v>启迪试炼（90）</v>
      </c>
      <c r="C492">
        <f>mapActivity.xml!D442</f>
        <v>0</v>
      </c>
      <c r="D492" t="str">
        <f>mapActivity.xml!L442</f>
        <v>map/map_001.png</v>
      </c>
      <c r="E492" t="str">
        <f>mapActivity.xml!M442</f>
        <v>1-3</v>
      </c>
      <c r="F492">
        <f>mapActivity.xml!N442</f>
        <v>920</v>
      </c>
      <c r="G492">
        <f>mapActivity.xml!S442</f>
        <v>3</v>
      </c>
    </row>
    <row r="493" spans="1:7">
      <c r="A493">
        <f>mapActivity.xml!A443</f>
        <v>309008</v>
      </c>
      <c r="B493" t="str">
        <f>mapActivity.xml!B443</f>
        <v>启迪试炼（90）</v>
      </c>
      <c r="C493">
        <f>mapActivity.xml!D443</f>
        <v>0</v>
      </c>
      <c r="D493" t="str">
        <f>mapActivity.xml!L443</f>
        <v>map/map_001.png</v>
      </c>
      <c r="E493" t="str">
        <f>mapActivity.xml!M443</f>
        <v>1-3</v>
      </c>
      <c r="F493">
        <f>mapActivity.xml!N443</f>
        <v>920</v>
      </c>
      <c r="G493">
        <f>mapActivity.xml!S443</f>
        <v>3</v>
      </c>
    </row>
    <row r="494" spans="1:7">
      <c r="A494">
        <f>mapActivity.xml!A444</f>
        <v>309009</v>
      </c>
      <c r="B494" t="str">
        <f>mapActivity.xml!B444</f>
        <v>启迪试炼（90）</v>
      </c>
      <c r="C494">
        <f>mapActivity.xml!D444</f>
        <v>0</v>
      </c>
      <c r="D494" t="str">
        <f>mapActivity.xml!L444</f>
        <v>map/map_001.png</v>
      </c>
      <c r="E494" t="str">
        <f>mapActivity.xml!M444</f>
        <v>1-3</v>
      </c>
      <c r="F494">
        <f>mapActivity.xml!N444</f>
        <v>920</v>
      </c>
      <c r="G494">
        <f>mapActivity.xml!S444</f>
        <v>3</v>
      </c>
    </row>
    <row r="495" spans="1:7">
      <c r="A495">
        <f>mapActivity.xml!A445</f>
        <v>309501</v>
      </c>
      <c r="B495" t="str">
        <f>mapActivity.xml!B445</f>
        <v>启迪试炼（95）</v>
      </c>
      <c r="C495">
        <f>mapActivity.xml!D445</f>
        <v>0</v>
      </c>
      <c r="D495" t="str">
        <f>mapActivity.xml!L445</f>
        <v>map/map_001.png</v>
      </c>
      <c r="E495" t="str">
        <f>mapActivity.xml!M445</f>
        <v>1-3</v>
      </c>
      <c r="F495">
        <f>mapActivity.xml!N445</f>
        <v>920</v>
      </c>
      <c r="G495">
        <f>mapActivity.xml!S445</f>
        <v>3</v>
      </c>
    </row>
    <row r="496" spans="1:7">
      <c r="A496">
        <f>mapActivity.xml!A446</f>
        <v>309502</v>
      </c>
      <c r="B496" t="str">
        <f>mapActivity.xml!B446</f>
        <v>启迪试炼（95）</v>
      </c>
      <c r="C496">
        <f>mapActivity.xml!D446</f>
        <v>0</v>
      </c>
      <c r="D496" t="str">
        <f>mapActivity.xml!L446</f>
        <v>map/map_001.png</v>
      </c>
      <c r="E496" t="str">
        <f>mapActivity.xml!M446</f>
        <v>1-3</v>
      </c>
      <c r="F496">
        <f>mapActivity.xml!N446</f>
        <v>920</v>
      </c>
      <c r="G496">
        <f>mapActivity.xml!S446</f>
        <v>3</v>
      </c>
    </row>
    <row r="497" spans="1:7">
      <c r="A497">
        <f>mapActivity.xml!A447</f>
        <v>309503</v>
      </c>
      <c r="B497" t="str">
        <f>mapActivity.xml!B447</f>
        <v>启迪试炼（95）</v>
      </c>
      <c r="C497">
        <f>mapActivity.xml!D447</f>
        <v>0</v>
      </c>
      <c r="D497" t="str">
        <f>mapActivity.xml!L447</f>
        <v>map/map_001.png</v>
      </c>
      <c r="E497" t="str">
        <f>mapActivity.xml!M447</f>
        <v>1-3</v>
      </c>
      <c r="F497">
        <f>mapActivity.xml!N447</f>
        <v>920</v>
      </c>
      <c r="G497">
        <f>mapActivity.xml!S447</f>
        <v>3</v>
      </c>
    </row>
    <row r="498" spans="1:7">
      <c r="A498">
        <f>mapActivity.xml!A448</f>
        <v>309504</v>
      </c>
      <c r="B498" t="str">
        <f>mapActivity.xml!B448</f>
        <v>启迪试炼（95）</v>
      </c>
      <c r="C498">
        <f>mapActivity.xml!D448</f>
        <v>0</v>
      </c>
      <c r="D498" t="str">
        <f>mapActivity.xml!L448</f>
        <v>map/map_001.png</v>
      </c>
      <c r="E498" t="str">
        <f>mapActivity.xml!M448</f>
        <v>1-3</v>
      </c>
      <c r="F498">
        <f>mapActivity.xml!N448</f>
        <v>920</v>
      </c>
      <c r="G498">
        <f>mapActivity.xml!S448</f>
        <v>3</v>
      </c>
    </row>
    <row r="499" spans="1:7">
      <c r="A499">
        <f>mapActivity.xml!A449</f>
        <v>309505</v>
      </c>
      <c r="B499" t="str">
        <f>mapActivity.xml!B449</f>
        <v>启迪试炼（95）</v>
      </c>
      <c r="C499">
        <f>mapActivity.xml!D449</f>
        <v>0</v>
      </c>
      <c r="D499" t="str">
        <f>mapActivity.xml!L449</f>
        <v>map/map_001.png</v>
      </c>
      <c r="E499" t="str">
        <f>mapActivity.xml!M449</f>
        <v>1-3</v>
      </c>
      <c r="F499">
        <f>mapActivity.xml!N449</f>
        <v>920</v>
      </c>
      <c r="G499">
        <f>mapActivity.xml!S449</f>
        <v>3</v>
      </c>
    </row>
    <row r="500" spans="1:7">
      <c r="A500">
        <f>mapActivity.xml!A450</f>
        <v>309506</v>
      </c>
      <c r="B500" t="str">
        <f>mapActivity.xml!B450</f>
        <v>启迪试炼（95）</v>
      </c>
      <c r="C500">
        <f>mapActivity.xml!D450</f>
        <v>0</v>
      </c>
      <c r="D500" t="str">
        <f>mapActivity.xml!L450</f>
        <v>map/map_001.png</v>
      </c>
      <c r="E500" t="str">
        <f>mapActivity.xml!M450</f>
        <v>1-3</v>
      </c>
      <c r="F500">
        <f>mapActivity.xml!N450</f>
        <v>920</v>
      </c>
      <c r="G500">
        <f>mapActivity.xml!S450</f>
        <v>3</v>
      </c>
    </row>
    <row r="501" spans="1:7">
      <c r="A501">
        <f>mapActivity.xml!A451</f>
        <v>309507</v>
      </c>
      <c r="B501" t="str">
        <f>mapActivity.xml!B451</f>
        <v>启迪试炼（95）</v>
      </c>
      <c r="C501">
        <f>mapActivity.xml!D451</f>
        <v>0</v>
      </c>
      <c r="D501" t="str">
        <f>mapActivity.xml!L451</f>
        <v>map/map_001.png</v>
      </c>
      <c r="E501" t="str">
        <f>mapActivity.xml!M451</f>
        <v>1-3</v>
      </c>
      <c r="F501">
        <f>mapActivity.xml!N451</f>
        <v>920</v>
      </c>
      <c r="G501">
        <f>mapActivity.xml!S451</f>
        <v>3</v>
      </c>
    </row>
    <row r="502" spans="1:7">
      <c r="A502">
        <f>mapActivity.xml!A452</f>
        <v>309508</v>
      </c>
      <c r="B502" t="str">
        <f>mapActivity.xml!B452</f>
        <v>启迪试炼（95）</v>
      </c>
      <c r="C502">
        <f>mapActivity.xml!D452</f>
        <v>0</v>
      </c>
      <c r="D502" t="str">
        <f>mapActivity.xml!L452</f>
        <v>map/map_001.png</v>
      </c>
      <c r="E502" t="str">
        <f>mapActivity.xml!M452</f>
        <v>1-3</v>
      </c>
      <c r="F502">
        <f>mapActivity.xml!N452</f>
        <v>920</v>
      </c>
      <c r="G502">
        <f>mapActivity.xml!S452</f>
        <v>3</v>
      </c>
    </row>
    <row r="503" spans="1:7">
      <c r="A503">
        <f>mapActivity.xml!A453</f>
        <v>309509</v>
      </c>
      <c r="B503" t="str">
        <f>mapActivity.xml!B453</f>
        <v>启迪试炼（95）</v>
      </c>
      <c r="C503">
        <f>mapActivity.xml!D453</f>
        <v>0</v>
      </c>
      <c r="D503" t="str">
        <f>mapActivity.xml!L453</f>
        <v>map/map_001.png</v>
      </c>
      <c r="E503" t="str">
        <f>mapActivity.xml!M453</f>
        <v>1-3</v>
      </c>
      <c r="F503">
        <f>mapActivity.xml!N453</f>
        <v>920</v>
      </c>
      <c r="G503">
        <f>mapActivity.xml!S453</f>
        <v>3</v>
      </c>
    </row>
    <row r="504" spans="1:7">
      <c r="A504">
        <f>mapActivity.xml!A454</f>
        <v>310001</v>
      </c>
      <c r="B504" t="str">
        <f>mapActivity.xml!B454</f>
        <v>启迪试炼（100）</v>
      </c>
      <c r="C504">
        <f>mapActivity.xml!D454</f>
        <v>0</v>
      </c>
      <c r="D504" t="str">
        <f>mapActivity.xml!L454</f>
        <v>map/map_001.png</v>
      </c>
      <c r="E504" t="str">
        <f>mapActivity.xml!M454</f>
        <v>1-3</v>
      </c>
      <c r="F504">
        <f>mapActivity.xml!N454</f>
        <v>920</v>
      </c>
      <c r="G504">
        <f>mapActivity.xml!S454</f>
        <v>3</v>
      </c>
    </row>
    <row r="505" spans="1:7">
      <c r="A505">
        <f>mapActivity.xml!A455</f>
        <v>310002</v>
      </c>
      <c r="B505" t="str">
        <f>mapActivity.xml!B455</f>
        <v>启迪试炼（100）</v>
      </c>
      <c r="C505">
        <f>mapActivity.xml!D455</f>
        <v>0</v>
      </c>
      <c r="D505" t="str">
        <f>mapActivity.xml!L455</f>
        <v>map/map_001.png</v>
      </c>
      <c r="E505" t="str">
        <f>mapActivity.xml!M455</f>
        <v>1-3</v>
      </c>
      <c r="F505">
        <f>mapActivity.xml!N455</f>
        <v>920</v>
      </c>
      <c r="G505">
        <f>mapActivity.xml!S455</f>
        <v>3</v>
      </c>
    </row>
    <row r="506" spans="1:7">
      <c r="A506">
        <f>mapActivity.xml!A456</f>
        <v>310003</v>
      </c>
      <c r="B506" t="str">
        <f>mapActivity.xml!B456</f>
        <v>启迪试炼（100）</v>
      </c>
      <c r="C506">
        <f>mapActivity.xml!D456</f>
        <v>0</v>
      </c>
      <c r="D506" t="str">
        <f>mapActivity.xml!L456</f>
        <v>map/map_001.png</v>
      </c>
      <c r="E506" t="str">
        <f>mapActivity.xml!M456</f>
        <v>1-3</v>
      </c>
      <c r="F506">
        <f>mapActivity.xml!N456</f>
        <v>920</v>
      </c>
      <c r="G506">
        <f>mapActivity.xml!S456</f>
        <v>3</v>
      </c>
    </row>
    <row r="507" spans="1:7">
      <c r="A507">
        <f>mapActivity.xml!A457</f>
        <v>310004</v>
      </c>
      <c r="B507" t="str">
        <f>mapActivity.xml!B457</f>
        <v>启迪试炼（100）</v>
      </c>
      <c r="C507">
        <f>mapActivity.xml!D457</f>
        <v>0</v>
      </c>
      <c r="D507" t="str">
        <f>mapActivity.xml!L457</f>
        <v>map/map_001.png</v>
      </c>
      <c r="E507" t="str">
        <f>mapActivity.xml!M457</f>
        <v>1-3</v>
      </c>
      <c r="F507">
        <f>mapActivity.xml!N457</f>
        <v>920</v>
      </c>
      <c r="G507">
        <f>mapActivity.xml!S457</f>
        <v>3</v>
      </c>
    </row>
    <row r="508" spans="1:7">
      <c r="A508">
        <f>mapActivity.xml!A458</f>
        <v>310005</v>
      </c>
      <c r="B508" t="str">
        <f>mapActivity.xml!B458</f>
        <v>启迪试炼（100）</v>
      </c>
      <c r="C508">
        <f>mapActivity.xml!D458</f>
        <v>0</v>
      </c>
      <c r="D508" t="str">
        <f>mapActivity.xml!L458</f>
        <v>map/map_001.png</v>
      </c>
      <c r="E508" t="str">
        <f>mapActivity.xml!M458</f>
        <v>1-3</v>
      </c>
      <c r="F508">
        <f>mapActivity.xml!N458</f>
        <v>920</v>
      </c>
      <c r="G508">
        <f>mapActivity.xml!S458</f>
        <v>3</v>
      </c>
    </row>
    <row r="509" spans="1:7">
      <c r="A509">
        <f>mapActivity.xml!A459</f>
        <v>310006</v>
      </c>
      <c r="B509" t="str">
        <f>mapActivity.xml!B459</f>
        <v>启迪试炼（100）</v>
      </c>
      <c r="C509">
        <f>mapActivity.xml!D459</f>
        <v>0</v>
      </c>
      <c r="D509" t="str">
        <f>mapActivity.xml!L459</f>
        <v>map/map_001.png</v>
      </c>
      <c r="E509" t="str">
        <f>mapActivity.xml!M459</f>
        <v>1-3</v>
      </c>
      <c r="F509">
        <f>mapActivity.xml!N459</f>
        <v>920</v>
      </c>
      <c r="G509">
        <f>mapActivity.xml!S459</f>
        <v>3</v>
      </c>
    </row>
    <row r="510" spans="1:7">
      <c r="A510">
        <f>mapActivity.xml!A460</f>
        <v>310007</v>
      </c>
      <c r="B510" t="str">
        <f>mapActivity.xml!B460</f>
        <v>启迪试炼（100）</v>
      </c>
      <c r="C510">
        <f>mapActivity.xml!D460</f>
        <v>0</v>
      </c>
      <c r="D510" t="str">
        <f>mapActivity.xml!L460</f>
        <v>map/map_001.png</v>
      </c>
      <c r="E510" t="str">
        <f>mapActivity.xml!M460</f>
        <v>1-3</v>
      </c>
      <c r="F510">
        <f>mapActivity.xml!N460</f>
        <v>920</v>
      </c>
      <c r="G510">
        <f>mapActivity.xml!S460</f>
        <v>3</v>
      </c>
    </row>
    <row r="511" spans="1:7">
      <c r="A511">
        <f>mapActivity.xml!A461</f>
        <v>310008</v>
      </c>
      <c r="B511" t="str">
        <f>mapActivity.xml!B461</f>
        <v>启迪试炼（100）</v>
      </c>
      <c r="C511">
        <f>mapActivity.xml!D461</f>
        <v>0</v>
      </c>
      <c r="D511" t="str">
        <f>mapActivity.xml!L461</f>
        <v>map/map_001.png</v>
      </c>
      <c r="E511" t="str">
        <f>mapActivity.xml!M461</f>
        <v>1-3</v>
      </c>
      <c r="F511">
        <f>mapActivity.xml!N461</f>
        <v>920</v>
      </c>
      <c r="G511">
        <f>mapActivity.xml!S461</f>
        <v>3</v>
      </c>
    </row>
    <row r="512" spans="1:7">
      <c r="A512">
        <f>mapActivity.xml!A462</f>
        <v>310009</v>
      </c>
      <c r="B512" t="str">
        <f>mapActivity.xml!B462</f>
        <v>启迪试炼（100）</v>
      </c>
      <c r="C512">
        <f>mapActivity.xml!D462</f>
        <v>0</v>
      </c>
      <c r="D512" t="str">
        <f>mapActivity.xml!L462</f>
        <v>map/map_001.png</v>
      </c>
      <c r="E512" t="str">
        <f>mapActivity.xml!M462</f>
        <v>1-3</v>
      </c>
      <c r="F512">
        <f>mapActivity.xml!N462</f>
        <v>920</v>
      </c>
      <c r="G512">
        <f>mapActivity.xml!S462</f>
        <v>3</v>
      </c>
    </row>
    <row r="513" spans="1:7">
      <c r="A513" t="e">
        <f>mapActivity.xml!#REF!</f>
        <v>#REF!</v>
      </c>
      <c r="B513" t="e">
        <f>mapActivity.xml!#REF!</f>
        <v>#REF!</v>
      </c>
      <c r="C513" t="e">
        <f>mapActivity.xml!#REF!</f>
        <v>#REF!</v>
      </c>
      <c r="D513" t="e">
        <f>mapActivity.xml!#REF!</f>
        <v>#REF!</v>
      </c>
      <c r="E513" t="e">
        <f>mapActivity.xml!#REF!</f>
        <v>#REF!</v>
      </c>
      <c r="F513" t="e">
        <f>mapActivity.xml!#REF!</f>
        <v>#REF!</v>
      </c>
      <c r="G513" t="e">
        <f>mapActivity.xml!#REF!</f>
        <v>#REF!</v>
      </c>
    </row>
    <row r="514" spans="1:7">
      <c r="A514" t="e">
        <f>mapActivity.xml!#REF!</f>
        <v>#REF!</v>
      </c>
      <c r="B514" t="e">
        <f>mapActivity.xml!#REF!</f>
        <v>#REF!</v>
      </c>
      <c r="C514" t="e">
        <f>mapActivity.xml!#REF!</f>
        <v>#REF!</v>
      </c>
      <c r="D514" t="e">
        <f>mapActivity.xml!#REF!</f>
        <v>#REF!</v>
      </c>
      <c r="E514" t="e">
        <f>mapActivity.xml!#REF!</f>
        <v>#REF!</v>
      </c>
      <c r="F514" t="e">
        <f>mapActivity.xml!#REF!</f>
        <v>#REF!</v>
      </c>
      <c r="G514" t="e">
        <f>mapActivity.xml!#REF!</f>
        <v>#REF!</v>
      </c>
    </row>
    <row r="515" spans="1:7">
      <c r="A515" t="e">
        <f>mapActivity.xml!#REF!</f>
        <v>#REF!</v>
      </c>
      <c r="B515" t="e">
        <f>mapActivity.xml!#REF!</f>
        <v>#REF!</v>
      </c>
      <c r="C515" t="e">
        <f>mapActivity.xml!#REF!</f>
        <v>#REF!</v>
      </c>
      <c r="D515" t="e">
        <f>mapActivity.xml!#REF!</f>
        <v>#REF!</v>
      </c>
      <c r="E515" t="e">
        <f>mapActivity.xml!#REF!</f>
        <v>#REF!</v>
      </c>
      <c r="F515" t="e">
        <f>mapActivity.xml!#REF!</f>
        <v>#REF!</v>
      </c>
      <c r="G515" t="e">
        <f>mapActivity.xml!#REF!</f>
        <v>#REF!</v>
      </c>
    </row>
    <row r="516" spans="1:7">
      <c r="A516" t="e">
        <f>mapActivity.xml!#REF!</f>
        <v>#REF!</v>
      </c>
      <c r="B516" t="e">
        <f>mapActivity.xml!#REF!</f>
        <v>#REF!</v>
      </c>
      <c r="C516" t="e">
        <f>mapActivity.xml!#REF!</f>
        <v>#REF!</v>
      </c>
      <c r="D516" t="e">
        <f>mapActivity.xml!#REF!</f>
        <v>#REF!</v>
      </c>
      <c r="E516" t="e">
        <f>mapActivity.xml!#REF!</f>
        <v>#REF!</v>
      </c>
      <c r="F516" t="e">
        <f>mapActivity.xml!#REF!</f>
        <v>#REF!</v>
      </c>
      <c r="G516" t="e">
        <f>mapActivity.xml!#REF!</f>
        <v>#REF!</v>
      </c>
    </row>
    <row r="517" spans="1:7">
      <c r="A517" t="e">
        <f>mapActivity.xml!#REF!</f>
        <v>#REF!</v>
      </c>
      <c r="B517" t="e">
        <f>mapActivity.xml!#REF!</f>
        <v>#REF!</v>
      </c>
      <c r="C517" t="e">
        <f>mapActivity.xml!#REF!</f>
        <v>#REF!</v>
      </c>
      <c r="D517" t="e">
        <f>mapActivity.xml!#REF!</f>
        <v>#REF!</v>
      </c>
      <c r="E517" t="e">
        <f>mapActivity.xml!#REF!</f>
        <v>#REF!</v>
      </c>
      <c r="F517" t="e">
        <f>mapActivity.xml!#REF!</f>
        <v>#REF!</v>
      </c>
      <c r="G517" t="e">
        <f>mapActivity.xml!#REF!</f>
        <v>#REF!</v>
      </c>
    </row>
    <row r="518" spans="1:7">
      <c r="A518" t="e">
        <f>mapActivity.xml!#REF!</f>
        <v>#REF!</v>
      </c>
      <c r="B518" t="e">
        <f>mapActivity.xml!#REF!</f>
        <v>#REF!</v>
      </c>
      <c r="C518" t="e">
        <f>mapActivity.xml!#REF!</f>
        <v>#REF!</v>
      </c>
      <c r="D518" t="e">
        <f>mapActivity.xml!#REF!</f>
        <v>#REF!</v>
      </c>
      <c r="E518" t="e">
        <f>mapActivity.xml!#REF!</f>
        <v>#REF!</v>
      </c>
      <c r="F518" t="e">
        <f>mapActivity.xml!#REF!</f>
        <v>#REF!</v>
      </c>
      <c r="G518" t="e">
        <f>mapActivity.xml!#REF!</f>
        <v>#REF!</v>
      </c>
    </row>
    <row r="519" spans="1:7">
      <c r="A519" t="e">
        <f>mapActivity.xml!#REF!</f>
        <v>#REF!</v>
      </c>
      <c r="B519" t="e">
        <f>mapActivity.xml!#REF!</f>
        <v>#REF!</v>
      </c>
      <c r="C519" t="e">
        <f>mapActivity.xml!#REF!</f>
        <v>#REF!</v>
      </c>
      <c r="D519" t="e">
        <f>mapActivity.xml!#REF!</f>
        <v>#REF!</v>
      </c>
      <c r="E519" t="e">
        <f>mapActivity.xml!#REF!</f>
        <v>#REF!</v>
      </c>
      <c r="F519" t="e">
        <f>mapActivity.xml!#REF!</f>
        <v>#REF!</v>
      </c>
      <c r="G519" t="e">
        <f>mapActivity.xml!#REF!</f>
        <v>#REF!</v>
      </c>
    </row>
    <row r="520" spans="1:7">
      <c r="A520" t="e">
        <f>mapActivity.xml!#REF!</f>
        <v>#REF!</v>
      </c>
      <c r="B520" t="e">
        <f>mapActivity.xml!#REF!</f>
        <v>#REF!</v>
      </c>
      <c r="C520" t="e">
        <f>mapActivity.xml!#REF!</f>
        <v>#REF!</v>
      </c>
      <c r="D520" t="e">
        <f>mapActivity.xml!#REF!</f>
        <v>#REF!</v>
      </c>
      <c r="E520" t="e">
        <f>mapActivity.xml!#REF!</f>
        <v>#REF!</v>
      </c>
      <c r="F520" t="e">
        <f>mapActivity.xml!#REF!</f>
        <v>#REF!</v>
      </c>
      <c r="G520" t="e">
        <f>mapActivity.xml!#REF!</f>
        <v>#REF!</v>
      </c>
    </row>
    <row r="521" spans="1:7">
      <c r="A521" t="e">
        <f>mapActivity.xml!#REF!</f>
        <v>#REF!</v>
      </c>
      <c r="B521" t="e">
        <f>mapActivity.xml!#REF!</f>
        <v>#REF!</v>
      </c>
      <c r="C521" t="e">
        <f>mapActivity.xml!#REF!</f>
        <v>#REF!</v>
      </c>
      <c r="D521" t="e">
        <f>mapActivity.xml!#REF!</f>
        <v>#REF!</v>
      </c>
      <c r="E521" t="e">
        <f>mapActivity.xml!#REF!</f>
        <v>#REF!</v>
      </c>
      <c r="F521" t="e">
        <f>mapActivity.xml!#REF!</f>
        <v>#REF!</v>
      </c>
      <c r="G521" t="e">
        <f>mapActivity.xml!#REF!</f>
        <v>#REF!</v>
      </c>
    </row>
    <row r="522" spans="1:7">
      <c r="A522" t="e">
        <f>mapActivity.xml!#REF!</f>
        <v>#REF!</v>
      </c>
      <c r="B522" t="e">
        <f>mapActivity.xml!#REF!</f>
        <v>#REF!</v>
      </c>
      <c r="C522" t="e">
        <f>mapActivity.xml!#REF!</f>
        <v>#REF!</v>
      </c>
      <c r="D522" t="e">
        <f>mapActivity.xml!#REF!</f>
        <v>#REF!</v>
      </c>
      <c r="E522" t="e">
        <f>mapActivity.xml!#REF!</f>
        <v>#REF!</v>
      </c>
      <c r="F522" t="e">
        <f>mapActivity.xml!#REF!</f>
        <v>#REF!</v>
      </c>
      <c r="G522" t="e">
        <f>mapActivity.xml!#REF!</f>
        <v>#REF!</v>
      </c>
    </row>
    <row r="523" spans="1:7">
      <c r="A523" t="e">
        <f>mapActivity.xml!#REF!</f>
        <v>#REF!</v>
      </c>
      <c r="B523" t="e">
        <f>mapActivity.xml!#REF!</f>
        <v>#REF!</v>
      </c>
      <c r="C523" t="e">
        <f>mapActivity.xml!#REF!</f>
        <v>#REF!</v>
      </c>
      <c r="D523" t="e">
        <f>mapActivity.xml!#REF!</f>
        <v>#REF!</v>
      </c>
      <c r="E523" t="e">
        <f>mapActivity.xml!#REF!</f>
        <v>#REF!</v>
      </c>
      <c r="F523" t="e">
        <f>mapActivity.xml!#REF!</f>
        <v>#REF!</v>
      </c>
      <c r="G523" t="e">
        <f>mapActivity.xml!#REF!</f>
        <v>#REF!</v>
      </c>
    </row>
    <row r="524" spans="1:7">
      <c r="A524" t="e">
        <f>mapActivity.xml!#REF!</f>
        <v>#REF!</v>
      </c>
      <c r="B524" t="e">
        <f>mapActivity.xml!#REF!</f>
        <v>#REF!</v>
      </c>
      <c r="C524" t="e">
        <f>mapActivity.xml!#REF!</f>
        <v>#REF!</v>
      </c>
      <c r="D524" t="e">
        <f>mapActivity.xml!#REF!</f>
        <v>#REF!</v>
      </c>
      <c r="E524" t="e">
        <f>mapActivity.xml!#REF!</f>
        <v>#REF!</v>
      </c>
      <c r="F524" t="e">
        <f>mapActivity.xml!#REF!</f>
        <v>#REF!</v>
      </c>
      <c r="G524" t="e">
        <f>mapActivity.xml!#REF!</f>
        <v>#REF!</v>
      </c>
    </row>
    <row r="525" spans="1:7">
      <c r="A525" t="e">
        <f>mapActivity.xml!#REF!</f>
        <v>#REF!</v>
      </c>
      <c r="B525" t="e">
        <f>mapActivity.xml!#REF!</f>
        <v>#REF!</v>
      </c>
      <c r="C525" t="e">
        <f>mapActivity.xml!#REF!</f>
        <v>#REF!</v>
      </c>
      <c r="D525" t="e">
        <f>mapActivity.xml!#REF!</f>
        <v>#REF!</v>
      </c>
      <c r="E525" t="e">
        <f>mapActivity.xml!#REF!</f>
        <v>#REF!</v>
      </c>
      <c r="F525" t="e">
        <f>mapActivity.xml!#REF!</f>
        <v>#REF!</v>
      </c>
      <c r="G525" t="e">
        <f>mapActivity.xml!#REF!</f>
        <v>#REF!</v>
      </c>
    </row>
    <row r="526" spans="1:7">
      <c r="A526" t="e">
        <f>mapActivity.xml!#REF!</f>
        <v>#REF!</v>
      </c>
      <c r="B526" t="e">
        <f>mapActivity.xml!#REF!</f>
        <v>#REF!</v>
      </c>
      <c r="C526" t="e">
        <f>mapActivity.xml!#REF!</f>
        <v>#REF!</v>
      </c>
      <c r="D526" t="e">
        <f>mapActivity.xml!#REF!</f>
        <v>#REF!</v>
      </c>
      <c r="E526" t="e">
        <f>mapActivity.xml!#REF!</f>
        <v>#REF!</v>
      </c>
      <c r="F526" t="e">
        <f>mapActivity.xml!#REF!</f>
        <v>#REF!</v>
      </c>
      <c r="G526" t="e">
        <f>mapActivity.xml!#REF!</f>
        <v>#REF!</v>
      </c>
    </row>
    <row r="527" spans="1:7">
      <c r="A527" t="e">
        <f>mapActivity.xml!#REF!</f>
        <v>#REF!</v>
      </c>
      <c r="B527" t="e">
        <f>mapActivity.xml!#REF!</f>
        <v>#REF!</v>
      </c>
      <c r="C527" t="e">
        <f>mapActivity.xml!#REF!</f>
        <v>#REF!</v>
      </c>
      <c r="D527" t="e">
        <f>mapActivity.xml!#REF!</f>
        <v>#REF!</v>
      </c>
      <c r="E527" t="e">
        <f>mapActivity.xml!#REF!</f>
        <v>#REF!</v>
      </c>
      <c r="F527" t="e">
        <f>mapActivity.xml!#REF!</f>
        <v>#REF!</v>
      </c>
      <c r="G527" t="e">
        <f>mapActivity.xml!#REF!</f>
        <v>#REF!</v>
      </c>
    </row>
    <row r="528" spans="1:7">
      <c r="A528" t="e">
        <f>mapActivity.xml!#REF!</f>
        <v>#REF!</v>
      </c>
      <c r="B528" t="e">
        <f>mapActivity.xml!#REF!</f>
        <v>#REF!</v>
      </c>
      <c r="C528" t="e">
        <f>mapActivity.xml!#REF!</f>
        <v>#REF!</v>
      </c>
      <c r="D528" t="e">
        <f>mapActivity.xml!#REF!</f>
        <v>#REF!</v>
      </c>
      <c r="E528" t="e">
        <f>mapActivity.xml!#REF!</f>
        <v>#REF!</v>
      </c>
      <c r="F528" t="e">
        <f>mapActivity.xml!#REF!</f>
        <v>#REF!</v>
      </c>
      <c r="G528" t="e">
        <f>mapActivity.xml!#REF!</f>
        <v>#REF!</v>
      </c>
    </row>
    <row r="529" spans="1:7">
      <c r="A529" t="e">
        <f>mapActivity.xml!#REF!</f>
        <v>#REF!</v>
      </c>
      <c r="B529" t="e">
        <f>mapActivity.xml!#REF!</f>
        <v>#REF!</v>
      </c>
      <c r="C529" t="e">
        <f>mapActivity.xml!#REF!</f>
        <v>#REF!</v>
      </c>
      <c r="D529" t="e">
        <f>mapActivity.xml!#REF!</f>
        <v>#REF!</v>
      </c>
      <c r="E529" t="e">
        <f>mapActivity.xml!#REF!</f>
        <v>#REF!</v>
      </c>
      <c r="F529" t="e">
        <f>mapActivity.xml!#REF!</f>
        <v>#REF!</v>
      </c>
      <c r="G529" t="e">
        <f>mapActivity.xml!#REF!</f>
        <v>#REF!</v>
      </c>
    </row>
    <row r="530" spans="1:7">
      <c r="A530" t="e">
        <f>mapActivity.xml!#REF!</f>
        <v>#REF!</v>
      </c>
      <c r="B530" t="e">
        <f>mapActivity.xml!#REF!</f>
        <v>#REF!</v>
      </c>
      <c r="C530" t="e">
        <f>mapActivity.xml!#REF!</f>
        <v>#REF!</v>
      </c>
      <c r="D530" t="e">
        <f>mapActivity.xml!#REF!</f>
        <v>#REF!</v>
      </c>
      <c r="E530" t="e">
        <f>mapActivity.xml!#REF!</f>
        <v>#REF!</v>
      </c>
      <c r="F530" t="e">
        <f>mapActivity.xml!#REF!</f>
        <v>#REF!</v>
      </c>
      <c r="G530" t="e">
        <f>mapActivity.xml!#REF!</f>
        <v>#REF!</v>
      </c>
    </row>
    <row r="531" spans="1:7">
      <c r="A531" t="e">
        <f>mapActivity.xml!#REF!</f>
        <v>#REF!</v>
      </c>
      <c r="B531" t="e">
        <f>mapActivity.xml!#REF!</f>
        <v>#REF!</v>
      </c>
      <c r="C531" t="e">
        <f>mapActivity.xml!#REF!</f>
        <v>#REF!</v>
      </c>
      <c r="D531" t="e">
        <f>mapActivity.xml!#REF!</f>
        <v>#REF!</v>
      </c>
      <c r="E531" t="e">
        <f>mapActivity.xml!#REF!</f>
        <v>#REF!</v>
      </c>
      <c r="F531" t="e">
        <f>mapActivity.xml!#REF!</f>
        <v>#REF!</v>
      </c>
      <c r="G531" t="e">
        <f>mapActivity.xml!#REF!</f>
        <v>#REF!</v>
      </c>
    </row>
    <row r="532" spans="1:7">
      <c r="A532" t="e">
        <f>mapActivity.xml!#REF!</f>
        <v>#REF!</v>
      </c>
      <c r="B532" t="e">
        <f>mapActivity.xml!#REF!</f>
        <v>#REF!</v>
      </c>
      <c r="C532" t="e">
        <f>mapActivity.xml!#REF!</f>
        <v>#REF!</v>
      </c>
      <c r="D532" t="e">
        <f>mapActivity.xml!#REF!</f>
        <v>#REF!</v>
      </c>
      <c r="E532" t="e">
        <f>mapActivity.xml!#REF!</f>
        <v>#REF!</v>
      </c>
      <c r="F532" t="e">
        <f>mapActivity.xml!#REF!</f>
        <v>#REF!</v>
      </c>
      <c r="G532" t="e">
        <f>mapActivity.xml!#REF!</f>
        <v>#REF!</v>
      </c>
    </row>
    <row r="533" spans="1:7">
      <c r="A533" t="e">
        <f>mapActivity.xml!#REF!</f>
        <v>#REF!</v>
      </c>
      <c r="B533" t="e">
        <f>mapActivity.xml!#REF!</f>
        <v>#REF!</v>
      </c>
      <c r="C533" t="e">
        <f>mapActivity.xml!#REF!</f>
        <v>#REF!</v>
      </c>
      <c r="D533" t="e">
        <f>mapActivity.xml!#REF!</f>
        <v>#REF!</v>
      </c>
      <c r="E533" t="e">
        <f>mapActivity.xml!#REF!</f>
        <v>#REF!</v>
      </c>
      <c r="F533" t="e">
        <f>mapActivity.xml!#REF!</f>
        <v>#REF!</v>
      </c>
      <c r="G533" t="e">
        <f>mapActivity.xml!#REF!</f>
        <v>#REF!</v>
      </c>
    </row>
    <row r="534" spans="1:7">
      <c r="A534" t="e">
        <f>mapActivity.xml!#REF!</f>
        <v>#REF!</v>
      </c>
      <c r="B534" t="e">
        <f>mapActivity.xml!#REF!</f>
        <v>#REF!</v>
      </c>
      <c r="C534" t="e">
        <f>mapActivity.xml!#REF!</f>
        <v>#REF!</v>
      </c>
      <c r="D534" t="e">
        <f>mapActivity.xml!#REF!</f>
        <v>#REF!</v>
      </c>
      <c r="E534" t="e">
        <f>mapActivity.xml!#REF!</f>
        <v>#REF!</v>
      </c>
      <c r="F534" t="e">
        <f>mapActivity.xml!#REF!</f>
        <v>#REF!</v>
      </c>
      <c r="G534" t="e">
        <f>mapActivity.xml!#REF!</f>
        <v>#REF!</v>
      </c>
    </row>
    <row r="535" spans="1:7">
      <c r="A535" t="e">
        <f>mapActivity.xml!#REF!</f>
        <v>#REF!</v>
      </c>
      <c r="B535" t="e">
        <f>mapActivity.xml!#REF!</f>
        <v>#REF!</v>
      </c>
      <c r="C535" t="e">
        <f>mapActivity.xml!#REF!</f>
        <v>#REF!</v>
      </c>
      <c r="D535" t="e">
        <f>mapActivity.xml!#REF!</f>
        <v>#REF!</v>
      </c>
      <c r="E535" t="e">
        <f>mapActivity.xml!#REF!</f>
        <v>#REF!</v>
      </c>
      <c r="F535" t="e">
        <f>mapActivity.xml!#REF!</f>
        <v>#REF!</v>
      </c>
      <c r="G535" t="e">
        <f>mapActivity.xml!#REF!</f>
        <v>#REF!</v>
      </c>
    </row>
    <row r="536" spans="1:7">
      <c r="A536" t="e">
        <f>mapActivity.xml!#REF!</f>
        <v>#REF!</v>
      </c>
      <c r="B536" t="e">
        <f>mapActivity.xml!#REF!</f>
        <v>#REF!</v>
      </c>
      <c r="C536" t="e">
        <f>mapActivity.xml!#REF!</f>
        <v>#REF!</v>
      </c>
      <c r="D536" t="e">
        <f>mapActivity.xml!#REF!</f>
        <v>#REF!</v>
      </c>
      <c r="E536" t="e">
        <f>mapActivity.xml!#REF!</f>
        <v>#REF!</v>
      </c>
      <c r="F536" t="e">
        <f>mapActivity.xml!#REF!</f>
        <v>#REF!</v>
      </c>
      <c r="G536" t="e">
        <f>mapActivity.xml!#REF!</f>
        <v>#REF!</v>
      </c>
    </row>
    <row r="537" spans="1:7">
      <c r="A537" t="e">
        <f>mapActivity.xml!#REF!</f>
        <v>#REF!</v>
      </c>
      <c r="B537" t="e">
        <f>mapActivity.xml!#REF!</f>
        <v>#REF!</v>
      </c>
      <c r="C537" t="e">
        <f>mapActivity.xml!#REF!</f>
        <v>#REF!</v>
      </c>
      <c r="D537" t="e">
        <f>mapActivity.xml!#REF!</f>
        <v>#REF!</v>
      </c>
      <c r="E537" t="e">
        <f>mapActivity.xml!#REF!</f>
        <v>#REF!</v>
      </c>
      <c r="F537" t="e">
        <f>mapActivity.xml!#REF!</f>
        <v>#REF!</v>
      </c>
      <c r="G537" t="e">
        <f>mapActivity.xml!#REF!</f>
        <v>#REF!</v>
      </c>
    </row>
    <row r="538" spans="1:7">
      <c r="A538" t="e">
        <f>mapActivity.xml!#REF!</f>
        <v>#REF!</v>
      </c>
      <c r="B538" t="e">
        <f>mapActivity.xml!#REF!</f>
        <v>#REF!</v>
      </c>
      <c r="C538" t="e">
        <f>mapActivity.xml!#REF!</f>
        <v>#REF!</v>
      </c>
      <c r="D538" t="e">
        <f>mapActivity.xml!#REF!</f>
        <v>#REF!</v>
      </c>
      <c r="E538" t="e">
        <f>mapActivity.xml!#REF!</f>
        <v>#REF!</v>
      </c>
      <c r="F538" t="e">
        <f>mapActivity.xml!#REF!</f>
        <v>#REF!</v>
      </c>
      <c r="G538" t="e">
        <f>mapActivity.xml!#REF!</f>
        <v>#REF!</v>
      </c>
    </row>
    <row r="539" spans="1:7">
      <c r="A539" t="e">
        <f>mapActivity.xml!#REF!</f>
        <v>#REF!</v>
      </c>
      <c r="B539" t="e">
        <f>mapActivity.xml!#REF!</f>
        <v>#REF!</v>
      </c>
      <c r="C539" t="e">
        <f>mapActivity.xml!#REF!</f>
        <v>#REF!</v>
      </c>
      <c r="D539" t="e">
        <f>mapActivity.xml!#REF!</f>
        <v>#REF!</v>
      </c>
      <c r="E539" t="e">
        <f>mapActivity.xml!#REF!</f>
        <v>#REF!</v>
      </c>
      <c r="F539" t="e">
        <f>mapActivity.xml!#REF!</f>
        <v>#REF!</v>
      </c>
      <c r="G539" t="e">
        <f>mapActivity.xml!#REF!</f>
        <v>#REF!</v>
      </c>
    </row>
    <row r="540" spans="1:7">
      <c r="A540" t="e">
        <f>mapActivity.xml!#REF!</f>
        <v>#REF!</v>
      </c>
      <c r="B540" t="e">
        <f>mapActivity.xml!#REF!</f>
        <v>#REF!</v>
      </c>
      <c r="C540" t="e">
        <f>mapActivity.xml!#REF!</f>
        <v>#REF!</v>
      </c>
      <c r="D540" t="e">
        <f>mapActivity.xml!#REF!</f>
        <v>#REF!</v>
      </c>
      <c r="E540" t="e">
        <f>mapActivity.xml!#REF!</f>
        <v>#REF!</v>
      </c>
      <c r="F540" t="e">
        <f>mapActivity.xml!#REF!</f>
        <v>#REF!</v>
      </c>
      <c r="G540" t="e">
        <f>mapActivity.xml!#REF!</f>
        <v>#REF!</v>
      </c>
    </row>
    <row r="541" spans="1:7">
      <c r="A541" t="e">
        <f>mapActivity.xml!#REF!</f>
        <v>#REF!</v>
      </c>
      <c r="B541" t="e">
        <f>mapActivity.xml!#REF!</f>
        <v>#REF!</v>
      </c>
      <c r="C541" t="e">
        <f>mapActivity.xml!#REF!</f>
        <v>#REF!</v>
      </c>
      <c r="D541" t="e">
        <f>mapActivity.xml!#REF!</f>
        <v>#REF!</v>
      </c>
      <c r="E541" t="e">
        <f>mapActivity.xml!#REF!</f>
        <v>#REF!</v>
      </c>
      <c r="F541" t="e">
        <f>mapActivity.xml!#REF!</f>
        <v>#REF!</v>
      </c>
      <c r="G541" t="e">
        <f>mapActivity.xml!#REF!</f>
        <v>#REF!</v>
      </c>
    </row>
    <row r="542" spans="1:7">
      <c r="A542" t="e">
        <f>mapActivity.xml!#REF!</f>
        <v>#REF!</v>
      </c>
      <c r="B542" t="e">
        <f>mapActivity.xml!#REF!</f>
        <v>#REF!</v>
      </c>
      <c r="C542" t="e">
        <f>mapActivity.xml!#REF!</f>
        <v>#REF!</v>
      </c>
      <c r="D542" t="e">
        <f>mapActivity.xml!#REF!</f>
        <v>#REF!</v>
      </c>
      <c r="E542" t="e">
        <f>mapActivity.xml!#REF!</f>
        <v>#REF!</v>
      </c>
      <c r="F542" t="e">
        <f>mapActivity.xml!#REF!</f>
        <v>#REF!</v>
      </c>
      <c r="G542" t="e">
        <f>mapActivity.xml!#REF!</f>
        <v>#REF!</v>
      </c>
    </row>
    <row r="543" spans="1:7">
      <c r="A543" t="e">
        <f>mapActivity.xml!#REF!</f>
        <v>#REF!</v>
      </c>
      <c r="B543" t="e">
        <f>mapActivity.xml!#REF!</f>
        <v>#REF!</v>
      </c>
      <c r="C543" t="e">
        <f>mapActivity.xml!#REF!</f>
        <v>#REF!</v>
      </c>
      <c r="D543" t="e">
        <f>mapActivity.xml!#REF!</f>
        <v>#REF!</v>
      </c>
      <c r="E543" t="e">
        <f>mapActivity.xml!#REF!</f>
        <v>#REF!</v>
      </c>
      <c r="F543" t="e">
        <f>mapActivity.xml!#REF!</f>
        <v>#REF!</v>
      </c>
      <c r="G543" t="e">
        <f>mapActivity.xml!#REF!</f>
        <v>#REF!</v>
      </c>
    </row>
    <row r="544" spans="1:7">
      <c r="A544" t="e">
        <f>mapActivity.xml!#REF!</f>
        <v>#REF!</v>
      </c>
      <c r="B544" t="e">
        <f>mapActivity.xml!#REF!</f>
        <v>#REF!</v>
      </c>
      <c r="C544" t="e">
        <f>mapActivity.xml!#REF!</f>
        <v>#REF!</v>
      </c>
      <c r="D544" t="e">
        <f>mapActivity.xml!#REF!</f>
        <v>#REF!</v>
      </c>
      <c r="E544" t="e">
        <f>mapActivity.xml!#REF!</f>
        <v>#REF!</v>
      </c>
      <c r="F544" t="e">
        <f>mapActivity.xml!#REF!</f>
        <v>#REF!</v>
      </c>
      <c r="G544" t="e">
        <f>mapActivity.xml!#REF!</f>
        <v>#REF!</v>
      </c>
    </row>
    <row r="545" spans="1:7">
      <c r="A545" t="e">
        <f>mapActivity.xml!#REF!</f>
        <v>#REF!</v>
      </c>
      <c r="B545" t="e">
        <f>mapActivity.xml!#REF!</f>
        <v>#REF!</v>
      </c>
      <c r="C545" t="e">
        <f>mapActivity.xml!#REF!</f>
        <v>#REF!</v>
      </c>
      <c r="D545" t="e">
        <f>mapActivity.xml!#REF!</f>
        <v>#REF!</v>
      </c>
      <c r="E545" t="e">
        <f>mapActivity.xml!#REF!</f>
        <v>#REF!</v>
      </c>
      <c r="F545" t="e">
        <f>mapActivity.xml!#REF!</f>
        <v>#REF!</v>
      </c>
      <c r="G545" t="e">
        <f>mapActivity.xml!#REF!</f>
        <v>#REF!</v>
      </c>
    </row>
    <row r="546" spans="1:7">
      <c r="A546" t="e">
        <f>mapActivity.xml!#REF!</f>
        <v>#REF!</v>
      </c>
      <c r="B546" t="e">
        <f>mapActivity.xml!#REF!</f>
        <v>#REF!</v>
      </c>
      <c r="C546" t="e">
        <f>mapActivity.xml!#REF!</f>
        <v>#REF!</v>
      </c>
      <c r="D546" t="e">
        <f>mapActivity.xml!#REF!</f>
        <v>#REF!</v>
      </c>
      <c r="E546" t="e">
        <f>mapActivity.xml!#REF!</f>
        <v>#REF!</v>
      </c>
      <c r="F546" t="e">
        <f>mapActivity.xml!#REF!</f>
        <v>#REF!</v>
      </c>
      <c r="G546" t="e">
        <f>mapActivity.xml!#REF!</f>
        <v>#REF!</v>
      </c>
    </row>
    <row r="547" spans="1:7">
      <c r="A547" t="e">
        <f>mapActivity.xml!#REF!</f>
        <v>#REF!</v>
      </c>
      <c r="B547" t="e">
        <f>mapActivity.xml!#REF!</f>
        <v>#REF!</v>
      </c>
      <c r="C547" t="e">
        <f>mapActivity.xml!#REF!</f>
        <v>#REF!</v>
      </c>
      <c r="D547" t="e">
        <f>mapActivity.xml!#REF!</f>
        <v>#REF!</v>
      </c>
      <c r="E547" t="e">
        <f>mapActivity.xml!#REF!</f>
        <v>#REF!</v>
      </c>
      <c r="F547" t="e">
        <f>mapActivity.xml!#REF!</f>
        <v>#REF!</v>
      </c>
      <c r="G547" t="e">
        <f>mapActivity.xml!#REF!</f>
        <v>#REF!</v>
      </c>
    </row>
    <row r="548" spans="1:7">
      <c r="A548" t="e">
        <f>mapActivity.xml!#REF!</f>
        <v>#REF!</v>
      </c>
      <c r="B548" t="e">
        <f>mapActivity.xml!#REF!</f>
        <v>#REF!</v>
      </c>
      <c r="C548" t="e">
        <f>mapActivity.xml!#REF!</f>
        <v>#REF!</v>
      </c>
      <c r="D548" t="e">
        <f>mapActivity.xml!#REF!</f>
        <v>#REF!</v>
      </c>
      <c r="E548" t="e">
        <f>mapActivity.xml!#REF!</f>
        <v>#REF!</v>
      </c>
      <c r="F548" t="e">
        <f>mapActivity.xml!#REF!</f>
        <v>#REF!</v>
      </c>
      <c r="G548" t="e">
        <f>mapActivity.xml!#REF!</f>
        <v>#REF!</v>
      </c>
    </row>
    <row r="549" spans="1:7">
      <c r="A549" t="e">
        <f>mapActivity.xml!#REF!</f>
        <v>#REF!</v>
      </c>
      <c r="B549" t="e">
        <f>mapActivity.xml!#REF!</f>
        <v>#REF!</v>
      </c>
      <c r="C549" t="e">
        <f>mapActivity.xml!#REF!</f>
        <v>#REF!</v>
      </c>
      <c r="D549" t="e">
        <f>mapActivity.xml!#REF!</f>
        <v>#REF!</v>
      </c>
      <c r="E549" t="e">
        <f>mapActivity.xml!#REF!</f>
        <v>#REF!</v>
      </c>
      <c r="F549" t="e">
        <f>mapActivity.xml!#REF!</f>
        <v>#REF!</v>
      </c>
      <c r="G549" t="e">
        <f>mapActivity.xml!#REF!</f>
        <v>#REF!</v>
      </c>
    </row>
    <row r="550" spans="1:7">
      <c r="A550" t="e">
        <f>mapActivity.xml!#REF!</f>
        <v>#REF!</v>
      </c>
      <c r="B550" t="e">
        <f>mapActivity.xml!#REF!</f>
        <v>#REF!</v>
      </c>
      <c r="C550" t="e">
        <f>mapActivity.xml!#REF!</f>
        <v>#REF!</v>
      </c>
      <c r="D550" t="e">
        <f>mapActivity.xml!#REF!</f>
        <v>#REF!</v>
      </c>
      <c r="E550" t="e">
        <f>mapActivity.xml!#REF!</f>
        <v>#REF!</v>
      </c>
      <c r="F550" t="e">
        <f>mapActivity.xml!#REF!</f>
        <v>#REF!</v>
      </c>
      <c r="G550" t="e">
        <f>mapActivity.xml!#REF!</f>
        <v>#REF!</v>
      </c>
    </row>
    <row r="551" spans="1:7">
      <c r="A551" t="e">
        <f>mapActivity.xml!#REF!</f>
        <v>#REF!</v>
      </c>
      <c r="B551" t="e">
        <f>mapActivity.xml!#REF!</f>
        <v>#REF!</v>
      </c>
      <c r="C551" t="e">
        <f>mapActivity.xml!#REF!</f>
        <v>#REF!</v>
      </c>
      <c r="D551" t="e">
        <f>mapActivity.xml!#REF!</f>
        <v>#REF!</v>
      </c>
      <c r="E551" t="e">
        <f>mapActivity.xml!#REF!</f>
        <v>#REF!</v>
      </c>
      <c r="F551" t="e">
        <f>mapActivity.xml!#REF!</f>
        <v>#REF!</v>
      </c>
      <c r="G551" t="e">
        <f>mapActivity.xml!#REF!</f>
        <v>#REF!</v>
      </c>
    </row>
    <row r="552" spans="1:7">
      <c r="A552" t="e">
        <f>mapActivity.xml!#REF!</f>
        <v>#REF!</v>
      </c>
      <c r="B552" t="e">
        <f>mapActivity.xml!#REF!</f>
        <v>#REF!</v>
      </c>
      <c r="C552" t="e">
        <f>mapActivity.xml!#REF!</f>
        <v>#REF!</v>
      </c>
      <c r="D552" t="e">
        <f>mapActivity.xml!#REF!</f>
        <v>#REF!</v>
      </c>
      <c r="E552" t="e">
        <f>mapActivity.xml!#REF!</f>
        <v>#REF!</v>
      </c>
      <c r="F552" t="e">
        <f>mapActivity.xml!#REF!</f>
        <v>#REF!</v>
      </c>
      <c r="G552" t="e">
        <f>mapActivity.xml!#REF!</f>
        <v>#REF!</v>
      </c>
    </row>
    <row r="553" spans="1:7">
      <c r="A553" t="e">
        <f>mapActivity.xml!#REF!</f>
        <v>#REF!</v>
      </c>
      <c r="B553" t="e">
        <f>mapActivity.xml!#REF!</f>
        <v>#REF!</v>
      </c>
      <c r="C553" t="e">
        <f>mapActivity.xml!#REF!</f>
        <v>#REF!</v>
      </c>
      <c r="D553" t="e">
        <f>mapActivity.xml!#REF!</f>
        <v>#REF!</v>
      </c>
      <c r="E553" t="e">
        <f>mapActivity.xml!#REF!</f>
        <v>#REF!</v>
      </c>
      <c r="F553" t="e">
        <f>mapActivity.xml!#REF!</f>
        <v>#REF!</v>
      </c>
      <c r="G553" t="e">
        <f>mapActivity.xml!#REF!</f>
        <v>#REF!</v>
      </c>
    </row>
    <row r="554" spans="1:7">
      <c r="A554" t="e">
        <f>mapActivity.xml!#REF!</f>
        <v>#REF!</v>
      </c>
      <c r="B554" t="e">
        <f>mapActivity.xml!#REF!</f>
        <v>#REF!</v>
      </c>
      <c r="C554" t="e">
        <f>mapActivity.xml!#REF!</f>
        <v>#REF!</v>
      </c>
      <c r="D554" t="e">
        <f>mapActivity.xml!#REF!</f>
        <v>#REF!</v>
      </c>
      <c r="E554" t="e">
        <f>mapActivity.xml!#REF!</f>
        <v>#REF!</v>
      </c>
      <c r="F554" t="e">
        <f>mapActivity.xml!#REF!</f>
        <v>#REF!</v>
      </c>
      <c r="G554" t="e">
        <f>mapActivity.xml!#REF!</f>
        <v>#REF!</v>
      </c>
    </row>
    <row r="555" spans="1:7">
      <c r="A555" t="e">
        <f>mapActivity.xml!#REF!</f>
        <v>#REF!</v>
      </c>
      <c r="B555" t="e">
        <f>mapActivity.xml!#REF!</f>
        <v>#REF!</v>
      </c>
      <c r="C555" t="e">
        <f>mapActivity.xml!#REF!</f>
        <v>#REF!</v>
      </c>
      <c r="D555" t="e">
        <f>mapActivity.xml!#REF!</f>
        <v>#REF!</v>
      </c>
      <c r="E555" t="e">
        <f>mapActivity.xml!#REF!</f>
        <v>#REF!</v>
      </c>
      <c r="F555" t="e">
        <f>mapActivity.xml!#REF!</f>
        <v>#REF!</v>
      </c>
      <c r="G555" t="e">
        <f>mapActivity.xml!#REF!</f>
        <v>#REF!</v>
      </c>
    </row>
    <row r="556" spans="1:7">
      <c r="A556" t="e">
        <f>mapActivity.xml!#REF!</f>
        <v>#REF!</v>
      </c>
      <c r="B556" t="e">
        <f>mapActivity.xml!#REF!</f>
        <v>#REF!</v>
      </c>
      <c r="C556" t="e">
        <f>mapActivity.xml!#REF!</f>
        <v>#REF!</v>
      </c>
      <c r="D556" t="e">
        <f>mapActivity.xml!#REF!</f>
        <v>#REF!</v>
      </c>
      <c r="E556" t="e">
        <f>mapActivity.xml!#REF!</f>
        <v>#REF!</v>
      </c>
      <c r="F556" t="e">
        <f>mapActivity.xml!#REF!</f>
        <v>#REF!</v>
      </c>
      <c r="G556" t="e">
        <f>mapActivity.xml!#REF!</f>
        <v>#REF!</v>
      </c>
    </row>
    <row r="557" spans="1:7">
      <c r="A557" t="e">
        <f>mapActivity.xml!#REF!</f>
        <v>#REF!</v>
      </c>
      <c r="B557" t="e">
        <f>mapActivity.xml!#REF!</f>
        <v>#REF!</v>
      </c>
      <c r="C557" t="e">
        <f>mapActivity.xml!#REF!</f>
        <v>#REF!</v>
      </c>
      <c r="D557" t="e">
        <f>mapActivity.xml!#REF!</f>
        <v>#REF!</v>
      </c>
      <c r="E557" t="e">
        <f>mapActivity.xml!#REF!</f>
        <v>#REF!</v>
      </c>
      <c r="F557" t="e">
        <f>mapActivity.xml!#REF!</f>
        <v>#REF!</v>
      </c>
      <c r="G557" t="e">
        <f>mapActivity.xml!#REF!</f>
        <v>#REF!</v>
      </c>
    </row>
    <row r="558" spans="1:7">
      <c r="A558" t="e">
        <f>mapActivity.xml!#REF!</f>
        <v>#REF!</v>
      </c>
      <c r="B558" t="e">
        <f>mapActivity.xml!#REF!</f>
        <v>#REF!</v>
      </c>
      <c r="C558" t="e">
        <f>mapActivity.xml!#REF!</f>
        <v>#REF!</v>
      </c>
      <c r="D558" t="e">
        <f>mapActivity.xml!#REF!</f>
        <v>#REF!</v>
      </c>
      <c r="E558" t="e">
        <f>mapActivity.xml!#REF!</f>
        <v>#REF!</v>
      </c>
      <c r="F558" t="e">
        <f>mapActivity.xml!#REF!</f>
        <v>#REF!</v>
      </c>
      <c r="G558" t="e">
        <f>mapActivity.xml!#REF!</f>
        <v>#REF!</v>
      </c>
    </row>
    <row r="559" spans="1:7">
      <c r="A559" t="e">
        <f>mapActivity.xml!#REF!</f>
        <v>#REF!</v>
      </c>
      <c r="B559" t="e">
        <f>mapActivity.xml!#REF!</f>
        <v>#REF!</v>
      </c>
      <c r="C559" t="e">
        <f>mapActivity.xml!#REF!</f>
        <v>#REF!</v>
      </c>
      <c r="D559" t="e">
        <f>mapActivity.xml!#REF!</f>
        <v>#REF!</v>
      </c>
      <c r="E559" t="e">
        <f>mapActivity.xml!#REF!</f>
        <v>#REF!</v>
      </c>
      <c r="F559" t="e">
        <f>mapActivity.xml!#REF!</f>
        <v>#REF!</v>
      </c>
      <c r="G559" t="e">
        <f>mapActivity.xml!#REF!</f>
        <v>#REF!</v>
      </c>
    </row>
    <row r="560" spans="1:7">
      <c r="A560" t="e">
        <f>mapActivity.xml!#REF!</f>
        <v>#REF!</v>
      </c>
      <c r="B560" t="e">
        <f>mapActivity.xml!#REF!</f>
        <v>#REF!</v>
      </c>
      <c r="C560" t="e">
        <f>mapActivity.xml!#REF!</f>
        <v>#REF!</v>
      </c>
      <c r="D560" t="e">
        <f>mapActivity.xml!#REF!</f>
        <v>#REF!</v>
      </c>
      <c r="E560" t="e">
        <f>mapActivity.xml!#REF!</f>
        <v>#REF!</v>
      </c>
      <c r="F560" t="e">
        <f>mapActivity.xml!#REF!</f>
        <v>#REF!</v>
      </c>
      <c r="G560" t="e">
        <f>mapActivity.xml!#REF!</f>
        <v>#REF!</v>
      </c>
    </row>
    <row r="561" spans="1:7">
      <c r="A561" t="e">
        <f>mapActivity.xml!#REF!</f>
        <v>#REF!</v>
      </c>
      <c r="B561" t="e">
        <f>mapActivity.xml!#REF!</f>
        <v>#REF!</v>
      </c>
      <c r="C561" t="e">
        <f>mapActivity.xml!#REF!</f>
        <v>#REF!</v>
      </c>
      <c r="D561" t="e">
        <f>mapActivity.xml!#REF!</f>
        <v>#REF!</v>
      </c>
      <c r="E561" t="e">
        <f>mapActivity.xml!#REF!</f>
        <v>#REF!</v>
      </c>
      <c r="F561" t="e">
        <f>mapActivity.xml!#REF!</f>
        <v>#REF!</v>
      </c>
      <c r="G561" t="e">
        <f>mapActivity.xml!#REF!</f>
        <v>#REF!</v>
      </c>
    </row>
    <row r="562" spans="1:7">
      <c r="A562" t="e">
        <f>mapActivity.xml!#REF!</f>
        <v>#REF!</v>
      </c>
      <c r="B562" t="e">
        <f>mapActivity.xml!#REF!</f>
        <v>#REF!</v>
      </c>
      <c r="C562" t="e">
        <f>mapActivity.xml!#REF!</f>
        <v>#REF!</v>
      </c>
      <c r="D562" t="e">
        <f>mapActivity.xml!#REF!</f>
        <v>#REF!</v>
      </c>
      <c r="E562" t="e">
        <f>mapActivity.xml!#REF!</f>
        <v>#REF!</v>
      </c>
      <c r="F562" t="e">
        <f>mapActivity.xml!#REF!</f>
        <v>#REF!</v>
      </c>
      <c r="G562" t="e">
        <f>mapActivity.xml!#REF!</f>
        <v>#REF!</v>
      </c>
    </row>
    <row r="563" spans="1:7">
      <c r="A563" t="e">
        <f>mapActivity.xml!#REF!</f>
        <v>#REF!</v>
      </c>
      <c r="B563" t="e">
        <f>mapActivity.xml!#REF!</f>
        <v>#REF!</v>
      </c>
      <c r="C563" t="e">
        <f>mapActivity.xml!#REF!</f>
        <v>#REF!</v>
      </c>
      <c r="D563" t="e">
        <f>mapActivity.xml!#REF!</f>
        <v>#REF!</v>
      </c>
      <c r="E563" t="e">
        <f>mapActivity.xml!#REF!</f>
        <v>#REF!</v>
      </c>
      <c r="F563" t="e">
        <f>mapActivity.xml!#REF!</f>
        <v>#REF!</v>
      </c>
      <c r="G563" t="e">
        <f>mapActivity.xml!#REF!</f>
        <v>#REF!</v>
      </c>
    </row>
    <row r="564" spans="1:7">
      <c r="A564" t="e">
        <f>mapActivity.xml!#REF!</f>
        <v>#REF!</v>
      </c>
      <c r="B564" t="e">
        <f>mapActivity.xml!#REF!</f>
        <v>#REF!</v>
      </c>
      <c r="C564" t="e">
        <f>mapActivity.xml!#REF!</f>
        <v>#REF!</v>
      </c>
      <c r="D564" t="e">
        <f>mapActivity.xml!#REF!</f>
        <v>#REF!</v>
      </c>
      <c r="E564" t="e">
        <f>mapActivity.xml!#REF!</f>
        <v>#REF!</v>
      </c>
      <c r="F564" t="e">
        <f>mapActivity.xml!#REF!</f>
        <v>#REF!</v>
      </c>
      <c r="G564" t="e">
        <f>mapActivity.xml!#REF!</f>
        <v>#REF!</v>
      </c>
    </row>
    <row r="565" spans="1:7">
      <c r="A565" t="e">
        <f>mapActivity.xml!#REF!</f>
        <v>#REF!</v>
      </c>
      <c r="B565" t="e">
        <f>mapActivity.xml!#REF!</f>
        <v>#REF!</v>
      </c>
      <c r="C565" t="e">
        <f>mapActivity.xml!#REF!</f>
        <v>#REF!</v>
      </c>
      <c r="D565" t="e">
        <f>mapActivity.xml!#REF!</f>
        <v>#REF!</v>
      </c>
      <c r="E565" t="e">
        <f>mapActivity.xml!#REF!</f>
        <v>#REF!</v>
      </c>
      <c r="F565" t="e">
        <f>mapActivity.xml!#REF!</f>
        <v>#REF!</v>
      </c>
      <c r="G565" t="e">
        <f>mapActivity.xml!#REF!</f>
        <v>#REF!</v>
      </c>
    </row>
    <row r="566" spans="1:7">
      <c r="A566" t="e">
        <f>mapActivity.xml!#REF!</f>
        <v>#REF!</v>
      </c>
      <c r="B566" t="e">
        <f>mapActivity.xml!#REF!</f>
        <v>#REF!</v>
      </c>
      <c r="C566" t="e">
        <f>mapActivity.xml!#REF!</f>
        <v>#REF!</v>
      </c>
      <c r="D566" t="e">
        <f>mapActivity.xml!#REF!</f>
        <v>#REF!</v>
      </c>
      <c r="E566" t="e">
        <f>mapActivity.xml!#REF!</f>
        <v>#REF!</v>
      </c>
      <c r="F566" t="e">
        <f>mapActivity.xml!#REF!</f>
        <v>#REF!</v>
      </c>
      <c r="G566" t="e">
        <f>mapActivity.xml!#REF!</f>
        <v>#REF!</v>
      </c>
    </row>
    <row r="567" spans="1:7">
      <c r="A567" t="e">
        <f>mapActivity.xml!#REF!</f>
        <v>#REF!</v>
      </c>
      <c r="B567" t="e">
        <f>mapActivity.xml!#REF!</f>
        <v>#REF!</v>
      </c>
      <c r="C567" t="e">
        <f>mapActivity.xml!#REF!</f>
        <v>#REF!</v>
      </c>
      <c r="D567" t="e">
        <f>mapActivity.xml!#REF!</f>
        <v>#REF!</v>
      </c>
      <c r="E567" t="e">
        <f>mapActivity.xml!#REF!</f>
        <v>#REF!</v>
      </c>
      <c r="F567" t="e">
        <f>mapActivity.xml!#REF!</f>
        <v>#REF!</v>
      </c>
      <c r="G567" t="e">
        <f>mapActivity.xml!#REF!</f>
        <v>#REF!</v>
      </c>
    </row>
    <row r="568" spans="1:7">
      <c r="A568" t="e">
        <f>mapActivity.xml!#REF!</f>
        <v>#REF!</v>
      </c>
      <c r="B568" t="e">
        <f>mapActivity.xml!#REF!</f>
        <v>#REF!</v>
      </c>
      <c r="C568" t="e">
        <f>mapActivity.xml!#REF!</f>
        <v>#REF!</v>
      </c>
      <c r="D568" t="e">
        <f>mapActivity.xml!#REF!</f>
        <v>#REF!</v>
      </c>
      <c r="E568" t="e">
        <f>mapActivity.xml!#REF!</f>
        <v>#REF!</v>
      </c>
      <c r="F568" t="e">
        <f>mapActivity.xml!#REF!</f>
        <v>#REF!</v>
      </c>
      <c r="G568" t="e">
        <f>mapActivity.xml!#REF!</f>
        <v>#REF!</v>
      </c>
    </row>
    <row r="569" spans="1:7">
      <c r="A569" t="e">
        <f>mapActivity.xml!#REF!</f>
        <v>#REF!</v>
      </c>
      <c r="B569" t="e">
        <f>mapActivity.xml!#REF!</f>
        <v>#REF!</v>
      </c>
      <c r="C569" t="e">
        <f>mapActivity.xml!#REF!</f>
        <v>#REF!</v>
      </c>
      <c r="D569" t="e">
        <f>mapActivity.xml!#REF!</f>
        <v>#REF!</v>
      </c>
      <c r="E569" t="e">
        <f>mapActivity.xml!#REF!</f>
        <v>#REF!</v>
      </c>
      <c r="F569" t="e">
        <f>mapActivity.xml!#REF!</f>
        <v>#REF!</v>
      </c>
      <c r="G569" t="e">
        <f>mapActivity.xml!#REF!</f>
        <v>#REF!</v>
      </c>
    </row>
    <row r="570" spans="1:7">
      <c r="A570" t="e">
        <f>mapActivity.xml!#REF!</f>
        <v>#REF!</v>
      </c>
      <c r="B570" t="e">
        <f>mapActivity.xml!#REF!</f>
        <v>#REF!</v>
      </c>
      <c r="C570" t="e">
        <f>mapActivity.xml!#REF!</f>
        <v>#REF!</v>
      </c>
      <c r="D570" t="e">
        <f>mapActivity.xml!#REF!</f>
        <v>#REF!</v>
      </c>
      <c r="E570" t="e">
        <f>mapActivity.xml!#REF!</f>
        <v>#REF!</v>
      </c>
      <c r="F570" t="e">
        <f>mapActivity.xml!#REF!</f>
        <v>#REF!</v>
      </c>
      <c r="G570" t="e">
        <f>mapActivity.xml!#REF!</f>
        <v>#REF!</v>
      </c>
    </row>
    <row r="571" spans="1:7">
      <c r="A571" t="e">
        <f>mapActivity.xml!#REF!</f>
        <v>#REF!</v>
      </c>
      <c r="B571" t="e">
        <f>mapActivity.xml!#REF!</f>
        <v>#REF!</v>
      </c>
      <c r="C571" t="e">
        <f>mapActivity.xml!#REF!</f>
        <v>#REF!</v>
      </c>
      <c r="D571" t="e">
        <f>mapActivity.xml!#REF!</f>
        <v>#REF!</v>
      </c>
      <c r="E571" t="e">
        <f>mapActivity.xml!#REF!</f>
        <v>#REF!</v>
      </c>
      <c r="F571" t="e">
        <f>mapActivity.xml!#REF!</f>
        <v>#REF!</v>
      </c>
      <c r="G571" t="e">
        <f>mapActivity.xml!#REF!</f>
        <v>#REF!</v>
      </c>
    </row>
    <row r="572" spans="1:7">
      <c r="A572" t="e">
        <f>mapActivity.xml!#REF!</f>
        <v>#REF!</v>
      </c>
      <c r="B572" t="e">
        <f>mapActivity.xml!#REF!</f>
        <v>#REF!</v>
      </c>
      <c r="C572" t="e">
        <f>mapActivity.xml!#REF!</f>
        <v>#REF!</v>
      </c>
      <c r="D572" t="e">
        <f>mapActivity.xml!#REF!</f>
        <v>#REF!</v>
      </c>
      <c r="E572" t="e">
        <f>mapActivity.xml!#REF!</f>
        <v>#REF!</v>
      </c>
      <c r="F572" t="e">
        <f>mapActivity.xml!#REF!</f>
        <v>#REF!</v>
      </c>
      <c r="G572" t="e">
        <f>mapActivity.xml!#REF!</f>
        <v>#REF!</v>
      </c>
    </row>
    <row r="573" spans="1:7">
      <c r="A573" t="e">
        <f>mapActivity.xml!#REF!</f>
        <v>#REF!</v>
      </c>
      <c r="B573" t="e">
        <f>mapActivity.xml!#REF!</f>
        <v>#REF!</v>
      </c>
      <c r="C573" t="e">
        <f>mapActivity.xml!#REF!</f>
        <v>#REF!</v>
      </c>
      <c r="D573" t="e">
        <f>mapActivity.xml!#REF!</f>
        <v>#REF!</v>
      </c>
      <c r="E573" t="e">
        <f>mapActivity.xml!#REF!</f>
        <v>#REF!</v>
      </c>
      <c r="F573" t="e">
        <f>mapActivity.xml!#REF!</f>
        <v>#REF!</v>
      </c>
      <c r="G573" t="e">
        <f>mapActivity.xml!#REF!</f>
        <v>#REF!</v>
      </c>
    </row>
    <row r="574" spans="1:7">
      <c r="A574" t="e">
        <f>mapActivity.xml!#REF!</f>
        <v>#REF!</v>
      </c>
      <c r="B574" t="e">
        <f>mapActivity.xml!#REF!</f>
        <v>#REF!</v>
      </c>
      <c r="C574" t="e">
        <f>mapActivity.xml!#REF!</f>
        <v>#REF!</v>
      </c>
      <c r="D574" t="e">
        <f>mapActivity.xml!#REF!</f>
        <v>#REF!</v>
      </c>
      <c r="E574" t="e">
        <f>mapActivity.xml!#REF!</f>
        <v>#REF!</v>
      </c>
      <c r="F574" t="e">
        <f>mapActivity.xml!#REF!</f>
        <v>#REF!</v>
      </c>
      <c r="G574" t="e">
        <f>mapActivity.xml!#REF!</f>
        <v>#REF!</v>
      </c>
    </row>
    <row r="575" spans="1:7">
      <c r="A575" t="e">
        <f>mapActivity.xml!#REF!</f>
        <v>#REF!</v>
      </c>
      <c r="B575" t="e">
        <f>mapActivity.xml!#REF!</f>
        <v>#REF!</v>
      </c>
      <c r="C575" t="e">
        <f>mapActivity.xml!#REF!</f>
        <v>#REF!</v>
      </c>
      <c r="D575" t="e">
        <f>mapActivity.xml!#REF!</f>
        <v>#REF!</v>
      </c>
      <c r="E575" t="e">
        <f>mapActivity.xml!#REF!</f>
        <v>#REF!</v>
      </c>
      <c r="F575" t="e">
        <f>mapActivity.xml!#REF!</f>
        <v>#REF!</v>
      </c>
      <c r="G575" t="e">
        <f>mapActivity.xml!#REF!</f>
        <v>#REF!</v>
      </c>
    </row>
    <row r="576" spans="1:7">
      <c r="A576" t="e">
        <f>mapActivity.xml!#REF!</f>
        <v>#REF!</v>
      </c>
      <c r="B576" t="e">
        <f>mapActivity.xml!#REF!</f>
        <v>#REF!</v>
      </c>
      <c r="C576" t="e">
        <f>mapActivity.xml!#REF!</f>
        <v>#REF!</v>
      </c>
      <c r="D576" t="e">
        <f>mapActivity.xml!#REF!</f>
        <v>#REF!</v>
      </c>
      <c r="E576" t="e">
        <f>mapActivity.xml!#REF!</f>
        <v>#REF!</v>
      </c>
      <c r="F576" t="e">
        <f>mapActivity.xml!#REF!</f>
        <v>#REF!</v>
      </c>
      <c r="G576" t="e">
        <f>mapActivity.xml!#REF!</f>
        <v>#REF!</v>
      </c>
    </row>
    <row r="577" spans="1:7">
      <c r="A577" t="e">
        <f>mapActivity.xml!#REF!</f>
        <v>#REF!</v>
      </c>
      <c r="B577" t="e">
        <f>mapActivity.xml!#REF!</f>
        <v>#REF!</v>
      </c>
      <c r="C577" t="e">
        <f>mapActivity.xml!#REF!</f>
        <v>#REF!</v>
      </c>
      <c r="D577" t="e">
        <f>mapActivity.xml!#REF!</f>
        <v>#REF!</v>
      </c>
      <c r="E577" t="e">
        <f>mapActivity.xml!#REF!</f>
        <v>#REF!</v>
      </c>
      <c r="F577" t="e">
        <f>mapActivity.xml!#REF!</f>
        <v>#REF!</v>
      </c>
      <c r="G577" t="e">
        <f>mapActivity.xml!#REF!</f>
        <v>#REF!</v>
      </c>
    </row>
    <row r="578" spans="1:7">
      <c r="A578" t="e">
        <f>mapActivity.xml!#REF!</f>
        <v>#REF!</v>
      </c>
      <c r="B578" t="e">
        <f>mapActivity.xml!#REF!</f>
        <v>#REF!</v>
      </c>
      <c r="C578" t="e">
        <f>mapActivity.xml!#REF!</f>
        <v>#REF!</v>
      </c>
      <c r="D578" t="e">
        <f>mapActivity.xml!#REF!</f>
        <v>#REF!</v>
      </c>
      <c r="E578" t="e">
        <f>mapActivity.xml!#REF!</f>
        <v>#REF!</v>
      </c>
      <c r="F578" t="e">
        <f>mapActivity.xml!#REF!</f>
        <v>#REF!</v>
      </c>
      <c r="G578" t="e">
        <f>mapActivity.xml!#REF!</f>
        <v>#REF!</v>
      </c>
    </row>
    <row r="579" spans="1:7">
      <c r="A579" t="e">
        <f>mapActivity.xml!#REF!</f>
        <v>#REF!</v>
      </c>
      <c r="B579" t="e">
        <f>mapActivity.xml!#REF!</f>
        <v>#REF!</v>
      </c>
      <c r="C579" t="e">
        <f>mapActivity.xml!#REF!</f>
        <v>#REF!</v>
      </c>
      <c r="D579" t="e">
        <f>mapActivity.xml!#REF!</f>
        <v>#REF!</v>
      </c>
      <c r="E579" t="e">
        <f>mapActivity.xml!#REF!</f>
        <v>#REF!</v>
      </c>
      <c r="F579" t="e">
        <f>mapActivity.xml!#REF!</f>
        <v>#REF!</v>
      </c>
      <c r="G579" t="e">
        <f>mapActivity.xml!#REF!</f>
        <v>#REF!</v>
      </c>
    </row>
    <row r="580" spans="1:7">
      <c r="A580" t="e">
        <f>mapActivity.xml!#REF!</f>
        <v>#REF!</v>
      </c>
      <c r="B580" t="e">
        <f>mapActivity.xml!#REF!</f>
        <v>#REF!</v>
      </c>
      <c r="C580" t="e">
        <f>mapActivity.xml!#REF!</f>
        <v>#REF!</v>
      </c>
      <c r="D580" t="e">
        <f>mapActivity.xml!#REF!</f>
        <v>#REF!</v>
      </c>
      <c r="E580" t="e">
        <f>mapActivity.xml!#REF!</f>
        <v>#REF!</v>
      </c>
      <c r="F580" t="e">
        <f>mapActivity.xml!#REF!</f>
        <v>#REF!</v>
      </c>
      <c r="G580" t="e">
        <f>mapActivity.xml!#REF!</f>
        <v>#REF!</v>
      </c>
    </row>
    <row r="581" spans="1:7">
      <c r="A581" t="e">
        <f>mapActivity.xml!#REF!</f>
        <v>#REF!</v>
      </c>
      <c r="B581" t="e">
        <f>mapActivity.xml!#REF!</f>
        <v>#REF!</v>
      </c>
      <c r="C581" t="e">
        <f>mapActivity.xml!#REF!</f>
        <v>#REF!</v>
      </c>
      <c r="D581" t="e">
        <f>mapActivity.xml!#REF!</f>
        <v>#REF!</v>
      </c>
      <c r="E581" t="e">
        <f>mapActivity.xml!#REF!</f>
        <v>#REF!</v>
      </c>
      <c r="F581" t="e">
        <f>mapActivity.xml!#REF!</f>
        <v>#REF!</v>
      </c>
      <c r="G581" t="e">
        <f>mapActivity.xml!#REF!</f>
        <v>#REF!</v>
      </c>
    </row>
    <row r="582" spans="1:7">
      <c r="A582" t="e">
        <f>mapActivity.xml!#REF!</f>
        <v>#REF!</v>
      </c>
      <c r="B582" t="e">
        <f>mapActivity.xml!#REF!</f>
        <v>#REF!</v>
      </c>
      <c r="C582" t="e">
        <f>mapActivity.xml!#REF!</f>
        <v>#REF!</v>
      </c>
      <c r="D582" t="e">
        <f>mapActivity.xml!#REF!</f>
        <v>#REF!</v>
      </c>
      <c r="E582" t="e">
        <f>mapActivity.xml!#REF!</f>
        <v>#REF!</v>
      </c>
      <c r="F582" t="e">
        <f>mapActivity.xml!#REF!</f>
        <v>#REF!</v>
      </c>
      <c r="G582" t="e">
        <f>mapActivity.xml!#REF!</f>
        <v>#REF!</v>
      </c>
    </row>
    <row r="583" spans="1:7">
      <c r="A583" t="e">
        <f>mapActivity.xml!#REF!</f>
        <v>#REF!</v>
      </c>
      <c r="B583" t="e">
        <f>mapActivity.xml!#REF!</f>
        <v>#REF!</v>
      </c>
      <c r="C583" t="e">
        <f>mapActivity.xml!#REF!</f>
        <v>#REF!</v>
      </c>
      <c r="D583" t="e">
        <f>mapActivity.xml!#REF!</f>
        <v>#REF!</v>
      </c>
      <c r="E583" t="e">
        <f>mapActivity.xml!#REF!</f>
        <v>#REF!</v>
      </c>
      <c r="F583" t="e">
        <f>mapActivity.xml!#REF!</f>
        <v>#REF!</v>
      </c>
      <c r="G583" t="e">
        <f>mapActivity.xml!#REF!</f>
        <v>#REF!</v>
      </c>
    </row>
    <row r="584" spans="1:7">
      <c r="A584" t="e">
        <f>mapActivity.xml!#REF!</f>
        <v>#REF!</v>
      </c>
      <c r="B584" t="e">
        <f>mapActivity.xml!#REF!</f>
        <v>#REF!</v>
      </c>
      <c r="C584" t="e">
        <f>mapActivity.xml!#REF!</f>
        <v>#REF!</v>
      </c>
      <c r="D584" t="e">
        <f>mapActivity.xml!#REF!</f>
        <v>#REF!</v>
      </c>
      <c r="E584" t="e">
        <f>mapActivity.xml!#REF!</f>
        <v>#REF!</v>
      </c>
      <c r="F584" t="e">
        <f>mapActivity.xml!#REF!</f>
        <v>#REF!</v>
      </c>
      <c r="G584" t="e">
        <f>mapActivity.xml!#REF!</f>
        <v>#REF!</v>
      </c>
    </row>
    <row r="585" spans="1:7">
      <c r="A585" t="e">
        <f>mapActivity.xml!#REF!</f>
        <v>#REF!</v>
      </c>
      <c r="B585" t="e">
        <f>mapActivity.xml!#REF!</f>
        <v>#REF!</v>
      </c>
      <c r="C585" t="e">
        <f>mapActivity.xml!#REF!</f>
        <v>#REF!</v>
      </c>
      <c r="D585" t="e">
        <f>mapActivity.xml!#REF!</f>
        <v>#REF!</v>
      </c>
      <c r="E585" t="e">
        <f>mapActivity.xml!#REF!</f>
        <v>#REF!</v>
      </c>
      <c r="F585" t="e">
        <f>mapActivity.xml!#REF!</f>
        <v>#REF!</v>
      </c>
      <c r="G585" t="e">
        <f>mapActivity.xml!#REF!</f>
        <v>#REF!</v>
      </c>
    </row>
    <row r="586" spans="1:7">
      <c r="A586" t="e">
        <f>mapActivity.xml!#REF!</f>
        <v>#REF!</v>
      </c>
      <c r="B586" t="e">
        <f>mapActivity.xml!#REF!</f>
        <v>#REF!</v>
      </c>
      <c r="C586" t="e">
        <f>mapActivity.xml!#REF!</f>
        <v>#REF!</v>
      </c>
      <c r="D586" t="e">
        <f>mapActivity.xml!#REF!</f>
        <v>#REF!</v>
      </c>
      <c r="E586" t="e">
        <f>mapActivity.xml!#REF!</f>
        <v>#REF!</v>
      </c>
      <c r="F586" t="e">
        <f>mapActivity.xml!#REF!</f>
        <v>#REF!</v>
      </c>
      <c r="G586" t="e">
        <f>mapActivity.xml!#REF!</f>
        <v>#REF!</v>
      </c>
    </row>
    <row r="587" spans="1:7">
      <c r="A587" t="e">
        <f>mapActivity.xml!#REF!</f>
        <v>#REF!</v>
      </c>
      <c r="B587" t="e">
        <f>mapActivity.xml!#REF!</f>
        <v>#REF!</v>
      </c>
      <c r="C587" t="e">
        <f>mapActivity.xml!#REF!</f>
        <v>#REF!</v>
      </c>
      <c r="D587" t="e">
        <f>mapActivity.xml!#REF!</f>
        <v>#REF!</v>
      </c>
      <c r="E587" t="e">
        <f>mapActivity.xml!#REF!</f>
        <v>#REF!</v>
      </c>
      <c r="F587" t="e">
        <f>mapActivity.xml!#REF!</f>
        <v>#REF!</v>
      </c>
      <c r="G587" t="e">
        <f>mapActivity.xml!#REF!</f>
        <v>#REF!</v>
      </c>
    </row>
    <row r="588" spans="1:7">
      <c r="A588" t="e">
        <f>mapActivity.xml!#REF!</f>
        <v>#REF!</v>
      </c>
      <c r="B588" t="e">
        <f>mapActivity.xml!#REF!</f>
        <v>#REF!</v>
      </c>
      <c r="C588" t="e">
        <f>mapActivity.xml!#REF!</f>
        <v>#REF!</v>
      </c>
      <c r="D588" t="e">
        <f>mapActivity.xml!#REF!</f>
        <v>#REF!</v>
      </c>
      <c r="E588" t="e">
        <f>mapActivity.xml!#REF!</f>
        <v>#REF!</v>
      </c>
      <c r="F588" t="e">
        <f>mapActivity.xml!#REF!</f>
        <v>#REF!</v>
      </c>
      <c r="G588" t="e">
        <f>mapActivity.xml!#REF!</f>
        <v>#REF!</v>
      </c>
    </row>
    <row r="589" spans="1:7">
      <c r="A589" t="e">
        <f>mapActivity.xml!#REF!</f>
        <v>#REF!</v>
      </c>
      <c r="B589" t="e">
        <f>mapActivity.xml!#REF!</f>
        <v>#REF!</v>
      </c>
      <c r="C589" t="e">
        <f>mapActivity.xml!#REF!</f>
        <v>#REF!</v>
      </c>
      <c r="D589" t="e">
        <f>mapActivity.xml!#REF!</f>
        <v>#REF!</v>
      </c>
      <c r="E589" t="e">
        <f>mapActivity.xml!#REF!</f>
        <v>#REF!</v>
      </c>
      <c r="F589" t="e">
        <f>mapActivity.xml!#REF!</f>
        <v>#REF!</v>
      </c>
      <c r="G589" t="e">
        <f>mapActivity.xml!#REF!</f>
        <v>#REF!</v>
      </c>
    </row>
    <row r="590" spans="1:7">
      <c r="A590" t="e">
        <f>mapActivity.xml!#REF!</f>
        <v>#REF!</v>
      </c>
      <c r="B590" t="e">
        <f>mapActivity.xml!#REF!</f>
        <v>#REF!</v>
      </c>
      <c r="C590" t="e">
        <f>mapActivity.xml!#REF!</f>
        <v>#REF!</v>
      </c>
      <c r="D590" t="e">
        <f>mapActivity.xml!#REF!</f>
        <v>#REF!</v>
      </c>
      <c r="E590" t="e">
        <f>mapActivity.xml!#REF!</f>
        <v>#REF!</v>
      </c>
      <c r="F590" t="e">
        <f>mapActivity.xml!#REF!</f>
        <v>#REF!</v>
      </c>
      <c r="G590" t="e">
        <f>mapActivity.xml!#REF!</f>
        <v>#REF!</v>
      </c>
    </row>
    <row r="591" spans="1:7">
      <c r="A591" t="e">
        <f>mapActivity.xml!#REF!</f>
        <v>#REF!</v>
      </c>
      <c r="B591" t="e">
        <f>mapActivity.xml!#REF!</f>
        <v>#REF!</v>
      </c>
      <c r="C591" t="e">
        <f>mapActivity.xml!#REF!</f>
        <v>#REF!</v>
      </c>
      <c r="D591" t="e">
        <f>mapActivity.xml!#REF!</f>
        <v>#REF!</v>
      </c>
      <c r="E591" t="e">
        <f>mapActivity.xml!#REF!</f>
        <v>#REF!</v>
      </c>
      <c r="F591" t="e">
        <f>mapActivity.xml!#REF!</f>
        <v>#REF!</v>
      </c>
      <c r="G591" t="e">
        <f>mapActivity.xml!#REF!</f>
        <v>#REF!</v>
      </c>
    </row>
    <row r="592" spans="1:7">
      <c r="A592" t="e">
        <f>mapActivity.xml!#REF!</f>
        <v>#REF!</v>
      </c>
      <c r="B592" t="e">
        <f>mapActivity.xml!#REF!</f>
        <v>#REF!</v>
      </c>
      <c r="C592" t="e">
        <f>mapActivity.xml!#REF!</f>
        <v>#REF!</v>
      </c>
      <c r="D592" t="e">
        <f>mapActivity.xml!#REF!</f>
        <v>#REF!</v>
      </c>
      <c r="E592" t="e">
        <f>mapActivity.xml!#REF!</f>
        <v>#REF!</v>
      </c>
      <c r="F592" t="e">
        <f>mapActivity.xml!#REF!</f>
        <v>#REF!</v>
      </c>
      <c r="G592" t="e">
        <f>mapActivity.xml!#REF!</f>
        <v>#REF!</v>
      </c>
    </row>
    <row r="593" spans="1:7">
      <c r="A593" t="e">
        <f>mapActivity.xml!#REF!</f>
        <v>#REF!</v>
      </c>
      <c r="B593" t="e">
        <f>mapActivity.xml!#REF!</f>
        <v>#REF!</v>
      </c>
      <c r="C593" t="e">
        <f>mapActivity.xml!#REF!</f>
        <v>#REF!</v>
      </c>
      <c r="D593" t="e">
        <f>mapActivity.xml!#REF!</f>
        <v>#REF!</v>
      </c>
      <c r="E593" t="e">
        <f>mapActivity.xml!#REF!</f>
        <v>#REF!</v>
      </c>
      <c r="F593" t="e">
        <f>mapActivity.xml!#REF!</f>
        <v>#REF!</v>
      </c>
      <c r="G593" t="e">
        <f>mapActivity.xml!#REF!</f>
        <v>#REF!</v>
      </c>
    </row>
    <row r="594" spans="1:7">
      <c r="A594" t="e">
        <f>mapActivity.xml!#REF!</f>
        <v>#REF!</v>
      </c>
      <c r="B594" t="e">
        <f>mapActivity.xml!#REF!</f>
        <v>#REF!</v>
      </c>
      <c r="C594" t="e">
        <f>mapActivity.xml!#REF!</f>
        <v>#REF!</v>
      </c>
      <c r="D594" t="e">
        <f>mapActivity.xml!#REF!</f>
        <v>#REF!</v>
      </c>
      <c r="E594" t="e">
        <f>mapActivity.xml!#REF!</f>
        <v>#REF!</v>
      </c>
      <c r="F594" t="e">
        <f>mapActivity.xml!#REF!</f>
        <v>#REF!</v>
      </c>
      <c r="G594" t="e">
        <f>mapActivity.xml!#REF!</f>
        <v>#REF!</v>
      </c>
    </row>
    <row r="595" spans="1:7">
      <c r="A595" t="e">
        <f>mapActivity.xml!#REF!</f>
        <v>#REF!</v>
      </c>
      <c r="B595" t="e">
        <f>mapActivity.xml!#REF!</f>
        <v>#REF!</v>
      </c>
      <c r="C595" t="e">
        <f>mapActivity.xml!#REF!</f>
        <v>#REF!</v>
      </c>
      <c r="D595" t="e">
        <f>mapActivity.xml!#REF!</f>
        <v>#REF!</v>
      </c>
      <c r="E595" t="e">
        <f>mapActivity.xml!#REF!</f>
        <v>#REF!</v>
      </c>
      <c r="F595" t="e">
        <f>mapActivity.xml!#REF!</f>
        <v>#REF!</v>
      </c>
      <c r="G595" t="e">
        <f>mapActivity.xml!#REF!</f>
        <v>#REF!</v>
      </c>
    </row>
    <row r="596" spans="1:7">
      <c r="A596" t="e">
        <f>mapActivity.xml!#REF!</f>
        <v>#REF!</v>
      </c>
      <c r="B596" t="e">
        <f>mapActivity.xml!#REF!</f>
        <v>#REF!</v>
      </c>
      <c r="C596" t="e">
        <f>mapActivity.xml!#REF!</f>
        <v>#REF!</v>
      </c>
      <c r="D596" t="e">
        <f>mapActivity.xml!#REF!</f>
        <v>#REF!</v>
      </c>
      <c r="E596" t="e">
        <f>mapActivity.xml!#REF!</f>
        <v>#REF!</v>
      </c>
      <c r="F596" t="e">
        <f>mapActivity.xml!#REF!</f>
        <v>#REF!</v>
      </c>
      <c r="G596" t="e">
        <f>mapActivity.xml!#REF!</f>
        <v>#REF!</v>
      </c>
    </row>
    <row r="597" spans="1:7">
      <c r="A597" t="e">
        <f>mapActivity.xml!#REF!</f>
        <v>#REF!</v>
      </c>
      <c r="B597" t="e">
        <f>mapActivity.xml!#REF!</f>
        <v>#REF!</v>
      </c>
      <c r="C597" t="e">
        <f>mapActivity.xml!#REF!</f>
        <v>#REF!</v>
      </c>
      <c r="D597" t="e">
        <f>mapActivity.xml!#REF!</f>
        <v>#REF!</v>
      </c>
      <c r="E597" t="e">
        <f>mapActivity.xml!#REF!</f>
        <v>#REF!</v>
      </c>
      <c r="F597" t="e">
        <f>mapActivity.xml!#REF!</f>
        <v>#REF!</v>
      </c>
      <c r="G597" t="e">
        <f>mapActivity.xml!#REF!</f>
        <v>#REF!</v>
      </c>
    </row>
    <row r="598" spans="1:7">
      <c r="A598" t="e">
        <f>mapActivity.xml!#REF!</f>
        <v>#REF!</v>
      </c>
      <c r="B598" t="e">
        <f>mapActivity.xml!#REF!</f>
        <v>#REF!</v>
      </c>
      <c r="C598" t="e">
        <f>mapActivity.xml!#REF!</f>
        <v>#REF!</v>
      </c>
      <c r="D598" t="e">
        <f>mapActivity.xml!#REF!</f>
        <v>#REF!</v>
      </c>
      <c r="E598" t="e">
        <f>mapActivity.xml!#REF!</f>
        <v>#REF!</v>
      </c>
      <c r="F598" t="e">
        <f>mapActivity.xml!#REF!</f>
        <v>#REF!</v>
      </c>
      <c r="G598" t="e">
        <f>mapActivity.xml!#REF!</f>
        <v>#REF!</v>
      </c>
    </row>
    <row r="599" spans="1:7">
      <c r="A599" t="e">
        <f>mapActivity.xml!#REF!</f>
        <v>#REF!</v>
      </c>
      <c r="B599" t="e">
        <f>mapActivity.xml!#REF!</f>
        <v>#REF!</v>
      </c>
      <c r="C599" t="e">
        <f>mapActivity.xml!#REF!</f>
        <v>#REF!</v>
      </c>
      <c r="D599" t="e">
        <f>mapActivity.xml!#REF!</f>
        <v>#REF!</v>
      </c>
      <c r="E599" t="e">
        <f>mapActivity.xml!#REF!</f>
        <v>#REF!</v>
      </c>
      <c r="F599" t="e">
        <f>mapActivity.xml!#REF!</f>
        <v>#REF!</v>
      </c>
      <c r="G599" t="e">
        <f>mapActivity.xml!#REF!</f>
        <v>#REF!</v>
      </c>
    </row>
    <row r="600" spans="1:7">
      <c r="A600" t="e">
        <f>mapActivity.xml!#REF!</f>
        <v>#REF!</v>
      </c>
      <c r="B600" t="e">
        <f>mapActivity.xml!#REF!</f>
        <v>#REF!</v>
      </c>
      <c r="C600" t="e">
        <f>mapActivity.xml!#REF!</f>
        <v>#REF!</v>
      </c>
      <c r="D600" t="e">
        <f>mapActivity.xml!#REF!</f>
        <v>#REF!</v>
      </c>
      <c r="E600" t="e">
        <f>mapActivity.xml!#REF!</f>
        <v>#REF!</v>
      </c>
      <c r="F600" t="e">
        <f>mapActivity.xml!#REF!</f>
        <v>#REF!</v>
      </c>
      <c r="G600" t="e">
        <f>mapActivity.xml!#REF!</f>
        <v>#REF!</v>
      </c>
    </row>
    <row r="601" spans="1:7">
      <c r="A601" t="e">
        <f>mapActivity.xml!#REF!</f>
        <v>#REF!</v>
      </c>
      <c r="B601" t="e">
        <f>mapActivity.xml!#REF!</f>
        <v>#REF!</v>
      </c>
      <c r="C601" t="e">
        <f>mapActivity.xml!#REF!</f>
        <v>#REF!</v>
      </c>
      <c r="D601" t="e">
        <f>mapActivity.xml!#REF!</f>
        <v>#REF!</v>
      </c>
      <c r="E601" t="e">
        <f>mapActivity.xml!#REF!</f>
        <v>#REF!</v>
      </c>
      <c r="F601" t="e">
        <f>mapActivity.xml!#REF!</f>
        <v>#REF!</v>
      </c>
      <c r="G601" t="e">
        <f>mapActivity.xml!#REF!</f>
        <v>#REF!</v>
      </c>
    </row>
    <row r="602" spans="1:7">
      <c r="A602" t="e">
        <f>mapActivity.xml!#REF!</f>
        <v>#REF!</v>
      </c>
      <c r="B602" t="e">
        <f>mapActivity.xml!#REF!</f>
        <v>#REF!</v>
      </c>
      <c r="C602" t="e">
        <f>mapActivity.xml!#REF!</f>
        <v>#REF!</v>
      </c>
      <c r="D602" t="e">
        <f>mapActivity.xml!#REF!</f>
        <v>#REF!</v>
      </c>
      <c r="E602" t="e">
        <f>mapActivity.xml!#REF!</f>
        <v>#REF!</v>
      </c>
      <c r="F602" t="e">
        <f>mapActivity.xml!#REF!</f>
        <v>#REF!</v>
      </c>
      <c r="G602" t="e">
        <f>mapActivity.xml!#REF!</f>
        <v>#REF!</v>
      </c>
    </row>
    <row r="603" spans="1:7">
      <c r="A603" t="e">
        <f>mapActivity.xml!#REF!</f>
        <v>#REF!</v>
      </c>
      <c r="B603" t="e">
        <f>mapActivity.xml!#REF!</f>
        <v>#REF!</v>
      </c>
      <c r="C603" t="e">
        <f>mapActivity.xml!#REF!</f>
        <v>#REF!</v>
      </c>
      <c r="D603" t="e">
        <f>mapActivity.xml!#REF!</f>
        <v>#REF!</v>
      </c>
      <c r="E603" t="e">
        <f>mapActivity.xml!#REF!</f>
        <v>#REF!</v>
      </c>
      <c r="F603" t="e">
        <f>mapActivity.xml!#REF!</f>
        <v>#REF!</v>
      </c>
      <c r="G603" t="e">
        <f>mapActivity.xml!#REF!</f>
        <v>#REF!</v>
      </c>
    </row>
    <row r="604" spans="1:7">
      <c r="A604" t="e">
        <f>mapActivity.xml!#REF!</f>
        <v>#REF!</v>
      </c>
      <c r="B604" t="e">
        <f>mapActivity.xml!#REF!</f>
        <v>#REF!</v>
      </c>
      <c r="C604" t="e">
        <f>mapActivity.xml!#REF!</f>
        <v>#REF!</v>
      </c>
      <c r="D604" t="e">
        <f>mapActivity.xml!#REF!</f>
        <v>#REF!</v>
      </c>
      <c r="E604" t="e">
        <f>mapActivity.xml!#REF!</f>
        <v>#REF!</v>
      </c>
      <c r="F604" t="e">
        <f>mapActivity.xml!#REF!</f>
        <v>#REF!</v>
      </c>
      <c r="G604" t="e">
        <f>mapActivity.xml!#REF!</f>
        <v>#REF!</v>
      </c>
    </row>
    <row r="605" spans="1:7">
      <c r="A605" t="e">
        <f>mapActivity.xml!#REF!</f>
        <v>#REF!</v>
      </c>
      <c r="B605" t="e">
        <f>mapActivity.xml!#REF!</f>
        <v>#REF!</v>
      </c>
      <c r="C605" t="e">
        <f>mapActivity.xml!#REF!</f>
        <v>#REF!</v>
      </c>
      <c r="D605" t="e">
        <f>mapActivity.xml!#REF!</f>
        <v>#REF!</v>
      </c>
      <c r="E605" t="e">
        <f>mapActivity.xml!#REF!</f>
        <v>#REF!</v>
      </c>
      <c r="F605" t="e">
        <f>mapActivity.xml!#REF!</f>
        <v>#REF!</v>
      </c>
      <c r="G605" t="e">
        <f>mapActivity.xml!#REF!</f>
        <v>#REF!</v>
      </c>
    </row>
    <row r="606" spans="1:7">
      <c r="A606" t="e">
        <f>mapActivity.xml!#REF!</f>
        <v>#REF!</v>
      </c>
      <c r="B606" t="e">
        <f>mapActivity.xml!#REF!</f>
        <v>#REF!</v>
      </c>
      <c r="C606" t="e">
        <f>mapActivity.xml!#REF!</f>
        <v>#REF!</v>
      </c>
      <c r="D606" t="e">
        <f>mapActivity.xml!#REF!</f>
        <v>#REF!</v>
      </c>
      <c r="E606" t="e">
        <f>mapActivity.xml!#REF!</f>
        <v>#REF!</v>
      </c>
      <c r="F606" t="e">
        <f>mapActivity.xml!#REF!</f>
        <v>#REF!</v>
      </c>
      <c r="G606" t="e">
        <f>mapActivity.xml!#REF!</f>
        <v>#REF!</v>
      </c>
    </row>
    <row r="607" spans="1:7">
      <c r="A607" t="e">
        <f>mapActivity.xml!#REF!</f>
        <v>#REF!</v>
      </c>
      <c r="B607" t="e">
        <f>mapActivity.xml!#REF!</f>
        <v>#REF!</v>
      </c>
      <c r="C607" t="e">
        <f>mapActivity.xml!#REF!</f>
        <v>#REF!</v>
      </c>
      <c r="D607" t="e">
        <f>mapActivity.xml!#REF!</f>
        <v>#REF!</v>
      </c>
      <c r="E607" t="e">
        <f>mapActivity.xml!#REF!</f>
        <v>#REF!</v>
      </c>
      <c r="F607" t="e">
        <f>mapActivity.xml!#REF!</f>
        <v>#REF!</v>
      </c>
      <c r="G607" t="e">
        <f>mapActivity.xml!#REF!</f>
        <v>#REF!</v>
      </c>
    </row>
    <row r="608" spans="1:7">
      <c r="A608" t="e">
        <f>mapActivity.xml!#REF!</f>
        <v>#REF!</v>
      </c>
      <c r="B608" t="e">
        <f>mapActivity.xml!#REF!</f>
        <v>#REF!</v>
      </c>
      <c r="C608" t="e">
        <f>mapActivity.xml!#REF!</f>
        <v>#REF!</v>
      </c>
      <c r="D608" t="e">
        <f>mapActivity.xml!#REF!</f>
        <v>#REF!</v>
      </c>
      <c r="E608" t="e">
        <f>mapActivity.xml!#REF!</f>
        <v>#REF!</v>
      </c>
      <c r="F608" t="e">
        <f>mapActivity.xml!#REF!</f>
        <v>#REF!</v>
      </c>
      <c r="G608" t="e">
        <f>mapActivity.xml!#REF!</f>
        <v>#REF!</v>
      </c>
    </row>
    <row r="609" spans="1:7">
      <c r="A609" t="e">
        <f>mapActivity.xml!#REF!</f>
        <v>#REF!</v>
      </c>
      <c r="B609" t="e">
        <f>mapActivity.xml!#REF!</f>
        <v>#REF!</v>
      </c>
      <c r="C609" t="e">
        <f>mapActivity.xml!#REF!</f>
        <v>#REF!</v>
      </c>
      <c r="D609" t="e">
        <f>mapActivity.xml!#REF!</f>
        <v>#REF!</v>
      </c>
      <c r="E609" t="e">
        <f>mapActivity.xml!#REF!</f>
        <v>#REF!</v>
      </c>
      <c r="F609" t="e">
        <f>mapActivity.xml!#REF!</f>
        <v>#REF!</v>
      </c>
      <c r="G609" t="e">
        <f>mapActivity.xml!#REF!</f>
        <v>#REF!</v>
      </c>
    </row>
    <row r="610" spans="1:7">
      <c r="A610" t="e">
        <f>mapActivity.xml!#REF!</f>
        <v>#REF!</v>
      </c>
      <c r="B610" t="e">
        <f>mapActivity.xml!#REF!</f>
        <v>#REF!</v>
      </c>
      <c r="C610" t="e">
        <f>mapActivity.xml!#REF!</f>
        <v>#REF!</v>
      </c>
      <c r="D610" t="e">
        <f>mapActivity.xml!#REF!</f>
        <v>#REF!</v>
      </c>
      <c r="E610" t="e">
        <f>mapActivity.xml!#REF!</f>
        <v>#REF!</v>
      </c>
      <c r="F610" t="e">
        <f>mapActivity.xml!#REF!</f>
        <v>#REF!</v>
      </c>
      <c r="G610" t="e">
        <f>mapActivity.xml!#REF!</f>
        <v>#REF!</v>
      </c>
    </row>
    <row r="611" spans="1:7">
      <c r="A611" t="e">
        <f>mapActivity.xml!#REF!</f>
        <v>#REF!</v>
      </c>
      <c r="B611" t="e">
        <f>mapActivity.xml!#REF!</f>
        <v>#REF!</v>
      </c>
      <c r="C611" t="e">
        <f>mapActivity.xml!#REF!</f>
        <v>#REF!</v>
      </c>
      <c r="D611" t="e">
        <f>mapActivity.xml!#REF!</f>
        <v>#REF!</v>
      </c>
      <c r="E611" t="e">
        <f>mapActivity.xml!#REF!</f>
        <v>#REF!</v>
      </c>
      <c r="F611" t="e">
        <f>mapActivity.xml!#REF!</f>
        <v>#REF!</v>
      </c>
      <c r="G611" t="e">
        <f>mapActivity.xml!#REF!</f>
        <v>#REF!</v>
      </c>
    </row>
    <row r="612" spans="1:7">
      <c r="A612" t="e">
        <f>mapActivity.xml!#REF!</f>
        <v>#REF!</v>
      </c>
      <c r="B612" t="e">
        <f>mapActivity.xml!#REF!</f>
        <v>#REF!</v>
      </c>
      <c r="C612" t="e">
        <f>mapActivity.xml!#REF!</f>
        <v>#REF!</v>
      </c>
      <c r="D612" t="e">
        <f>mapActivity.xml!#REF!</f>
        <v>#REF!</v>
      </c>
      <c r="E612" t="e">
        <f>mapActivity.xml!#REF!</f>
        <v>#REF!</v>
      </c>
      <c r="F612" t="e">
        <f>mapActivity.xml!#REF!</f>
        <v>#REF!</v>
      </c>
      <c r="G612" t="e">
        <f>mapActivity.xml!#REF!</f>
        <v>#REF!</v>
      </c>
    </row>
    <row r="613" spans="1:7">
      <c r="A613" t="e">
        <f>mapActivity.xml!#REF!</f>
        <v>#REF!</v>
      </c>
      <c r="B613" t="e">
        <f>mapActivity.xml!#REF!</f>
        <v>#REF!</v>
      </c>
      <c r="C613" t="e">
        <f>mapActivity.xml!#REF!</f>
        <v>#REF!</v>
      </c>
      <c r="D613" t="e">
        <f>mapActivity.xml!#REF!</f>
        <v>#REF!</v>
      </c>
      <c r="E613" t="e">
        <f>mapActivity.xml!#REF!</f>
        <v>#REF!</v>
      </c>
      <c r="F613" t="e">
        <f>mapActivity.xml!#REF!</f>
        <v>#REF!</v>
      </c>
      <c r="G613" t="e">
        <f>mapActivity.xml!#REF!</f>
        <v>#REF!</v>
      </c>
    </row>
    <row r="614" spans="1:7">
      <c r="A614" t="e">
        <f>mapActivity.xml!#REF!</f>
        <v>#REF!</v>
      </c>
      <c r="B614" t="e">
        <f>mapActivity.xml!#REF!</f>
        <v>#REF!</v>
      </c>
      <c r="C614" t="e">
        <f>mapActivity.xml!#REF!</f>
        <v>#REF!</v>
      </c>
      <c r="D614" t="e">
        <f>mapActivity.xml!#REF!</f>
        <v>#REF!</v>
      </c>
      <c r="E614" t="e">
        <f>mapActivity.xml!#REF!</f>
        <v>#REF!</v>
      </c>
      <c r="F614" t="e">
        <f>mapActivity.xml!#REF!</f>
        <v>#REF!</v>
      </c>
      <c r="G614" t="e">
        <f>mapActivity.xml!#REF!</f>
        <v>#REF!</v>
      </c>
    </row>
    <row r="615" spans="1:7">
      <c r="A615" t="e">
        <f>mapActivity.xml!#REF!</f>
        <v>#REF!</v>
      </c>
      <c r="B615" t="e">
        <f>mapActivity.xml!#REF!</f>
        <v>#REF!</v>
      </c>
      <c r="C615" t="e">
        <f>mapActivity.xml!#REF!</f>
        <v>#REF!</v>
      </c>
      <c r="D615" t="e">
        <f>mapActivity.xml!#REF!</f>
        <v>#REF!</v>
      </c>
      <c r="E615" t="e">
        <f>mapActivity.xml!#REF!</f>
        <v>#REF!</v>
      </c>
      <c r="F615" t="e">
        <f>mapActivity.xml!#REF!</f>
        <v>#REF!</v>
      </c>
      <c r="G615" t="e">
        <f>mapActivity.xml!#REF!</f>
        <v>#REF!</v>
      </c>
    </row>
    <row r="616" spans="1:7">
      <c r="A616" t="e">
        <f>mapActivity.xml!#REF!</f>
        <v>#REF!</v>
      </c>
      <c r="B616" t="e">
        <f>mapActivity.xml!#REF!</f>
        <v>#REF!</v>
      </c>
      <c r="C616" t="e">
        <f>mapActivity.xml!#REF!</f>
        <v>#REF!</v>
      </c>
      <c r="D616" t="e">
        <f>mapActivity.xml!#REF!</f>
        <v>#REF!</v>
      </c>
      <c r="E616" t="e">
        <f>mapActivity.xml!#REF!</f>
        <v>#REF!</v>
      </c>
      <c r="F616" t="e">
        <f>mapActivity.xml!#REF!</f>
        <v>#REF!</v>
      </c>
      <c r="G616" t="e">
        <f>mapActivity.xml!#REF!</f>
        <v>#REF!</v>
      </c>
    </row>
    <row r="617" spans="1:7">
      <c r="A617" t="e">
        <f>mapActivity.xml!#REF!</f>
        <v>#REF!</v>
      </c>
      <c r="B617" t="e">
        <f>mapActivity.xml!#REF!</f>
        <v>#REF!</v>
      </c>
      <c r="C617" t="e">
        <f>mapActivity.xml!#REF!</f>
        <v>#REF!</v>
      </c>
      <c r="D617" t="e">
        <f>mapActivity.xml!#REF!</f>
        <v>#REF!</v>
      </c>
      <c r="E617" t="e">
        <f>mapActivity.xml!#REF!</f>
        <v>#REF!</v>
      </c>
      <c r="F617" t="e">
        <f>mapActivity.xml!#REF!</f>
        <v>#REF!</v>
      </c>
      <c r="G617" t="e">
        <f>mapActivity.xml!#REF!</f>
        <v>#REF!</v>
      </c>
    </row>
    <row r="618" spans="1:7">
      <c r="A618" t="e">
        <f>mapActivity.xml!#REF!</f>
        <v>#REF!</v>
      </c>
      <c r="B618" t="e">
        <f>mapActivity.xml!#REF!</f>
        <v>#REF!</v>
      </c>
      <c r="C618" t="e">
        <f>mapActivity.xml!#REF!</f>
        <v>#REF!</v>
      </c>
      <c r="D618" t="e">
        <f>mapActivity.xml!#REF!</f>
        <v>#REF!</v>
      </c>
      <c r="E618" t="e">
        <f>mapActivity.xml!#REF!</f>
        <v>#REF!</v>
      </c>
      <c r="F618" t="e">
        <f>mapActivity.xml!#REF!</f>
        <v>#REF!</v>
      </c>
      <c r="G618" t="e">
        <f>mapActivity.xml!#REF!</f>
        <v>#REF!</v>
      </c>
    </row>
    <row r="619" spans="1:7">
      <c r="A619" t="e">
        <f>mapActivity.xml!#REF!</f>
        <v>#REF!</v>
      </c>
      <c r="B619" t="e">
        <f>mapActivity.xml!#REF!</f>
        <v>#REF!</v>
      </c>
      <c r="C619" t="e">
        <f>mapActivity.xml!#REF!</f>
        <v>#REF!</v>
      </c>
      <c r="D619" t="e">
        <f>mapActivity.xml!#REF!</f>
        <v>#REF!</v>
      </c>
      <c r="E619" t="e">
        <f>mapActivity.xml!#REF!</f>
        <v>#REF!</v>
      </c>
      <c r="F619" t="e">
        <f>mapActivity.xml!#REF!</f>
        <v>#REF!</v>
      </c>
      <c r="G619" t="e">
        <f>mapActivity.xml!#REF!</f>
        <v>#REF!</v>
      </c>
    </row>
    <row r="620" spans="1:7">
      <c r="A620" t="e">
        <f>mapActivity.xml!#REF!</f>
        <v>#REF!</v>
      </c>
      <c r="B620" t="e">
        <f>mapActivity.xml!#REF!</f>
        <v>#REF!</v>
      </c>
      <c r="C620" t="e">
        <f>mapActivity.xml!#REF!</f>
        <v>#REF!</v>
      </c>
      <c r="D620" t="e">
        <f>mapActivity.xml!#REF!</f>
        <v>#REF!</v>
      </c>
      <c r="E620" t="e">
        <f>mapActivity.xml!#REF!</f>
        <v>#REF!</v>
      </c>
      <c r="F620" t="e">
        <f>mapActivity.xml!#REF!</f>
        <v>#REF!</v>
      </c>
      <c r="G620" t="e">
        <f>mapActivity.xml!#REF!</f>
        <v>#REF!</v>
      </c>
    </row>
  </sheetData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AG215"/>
  <sheetViews>
    <sheetView topLeftCell="A76" workbookViewId="0">
      <selection activeCell="I109" sqref="I109:I160"/>
    </sheetView>
  </sheetViews>
  <sheetFormatPr defaultRowHeight="13.5"/>
  <cols>
    <col min="2" max="2" width="19.25" customWidth="1"/>
    <col min="3" max="3" width="23.625" customWidth="1"/>
    <col min="4" max="4" width="21.25" customWidth="1"/>
    <col min="7" max="7" width="21.125" customWidth="1"/>
    <col min="8" max="8" width="75.75" customWidth="1"/>
    <col min="9" max="9" width="19.625" customWidth="1"/>
    <col min="10" max="10" width="20.75" customWidth="1"/>
    <col min="11" max="11" width="16.75" customWidth="1"/>
    <col min="12" max="12" width="17" customWidth="1"/>
    <col min="13" max="13" width="16.75" customWidth="1"/>
    <col min="14" max="14" width="15.25" customWidth="1"/>
    <col min="15" max="15" width="14.25" customWidth="1"/>
  </cols>
  <sheetData>
    <row r="1" spans="1:27">
      <c r="B1" t="s">
        <v>517</v>
      </c>
      <c r="C1" t="s">
        <v>518</v>
      </c>
      <c r="D1" t="s">
        <v>517</v>
      </c>
      <c r="E1" t="s">
        <v>518</v>
      </c>
      <c r="S1">
        <v>40001</v>
      </c>
      <c r="T1">
        <v>40002</v>
      </c>
      <c r="U1">
        <v>40003</v>
      </c>
      <c r="V1">
        <v>40004</v>
      </c>
      <c r="W1">
        <v>40005</v>
      </c>
    </row>
    <row r="2" spans="1:27">
      <c r="A2" s="10">
        <v>1</v>
      </c>
      <c r="B2">
        <v>1</v>
      </c>
      <c r="C2">
        <v>1</v>
      </c>
      <c r="D2">
        <v>5</v>
      </c>
      <c r="E2">
        <v>0</v>
      </c>
      <c r="G2" t="str">
        <f>R2&amp;"_0_1_"&amp;ROUNDDOWN([2]关卡!M8*$C2,0)</f>
        <v>4000101_0_1_400</v>
      </c>
      <c r="H2" t="str">
        <f>S2&amp;"_0_1_"&amp;ROUNDDOWN([2]关卡!N8*$C2,0)</f>
        <v>4000201_0_1_360</v>
      </c>
      <c r="I2" t="str">
        <f>T2&amp;"_0_1_"&amp;ROUNDDOWN([2]关卡!O8*$C2,0)</f>
        <v>4000301_0_1_160</v>
      </c>
      <c r="J2" t="str">
        <f>U2&amp;"_0_1_"&amp;ROUNDDOWN([2]关卡!P8*$C2,0)</f>
        <v>4000401_0_1_0</v>
      </c>
      <c r="K2" t="str">
        <f>V2&amp;"_0_1_"&amp;ROUNDDOWN([2]关卡!Q8*$C2,0)</f>
        <v>4000501_0_1_0</v>
      </c>
      <c r="L2" t="str">
        <f>W2&amp;"_0_1_"&amp;ROUNDDOWN([2]关卡!M8*$E2,0)</f>
        <v>4000105_0_1_0</v>
      </c>
      <c r="M2" t="str">
        <f>X2&amp;"_0_1_"&amp;ROUNDDOWN([2]关卡!N8*$E2,0)</f>
        <v>4000205_0_1_0</v>
      </c>
      <c r="N2" t="str">
        <f>Y2&amp;"_0_1_"&amp;ROUNDDOWN([2]关卡!O8*$E2,0)</f>
        <v>4000305_0_1_0</v>
      </c>
      <c r="O2" t="str">
        <f>Z2&amp;"_0_1_"&amp;ROUNDDOWN([2]关卡!P8*$E2,0)</f>
        <v>4000405_0_1_0</v>
      </c>
      <c r="P2" t="str">
        <f>AA2&amp;"_0_1_"&amp;ROUNDDOWN([2]关卡!Q8*$E2,0)</f>
        <v>4000505_0_1_0</v>
      </c>
      <c r="R2">
        <v>4000101</v>
      </c>
      <c r="S2">
        <v>4000201</v>
      </c>
      <c r="T2">
        <v>4000301</v>
      </c>
      <c r="U2">
        <v>4000401</v>
      </c>
      <c r="V2">
        <v>4000501</v>
      </c>
      <c r="W2">
        <v>4000105</v>
      </c>
      <c r="X2">
        <v>4000205</v>
      </c>
      <c r="Y2">
        <v>4000305</v>
      </c>
      <c r="Z2">
        <v>4000405</v>
      </c>
      <c r="AA2">
        <v>4000505</v>
      </c>
    </row>
    <row r="3" spans="1:27">
      <c r="A3" s="10">
        <v>2</v>
      </c>
      <c r="B3">
        <v>1</v>
      </c>
      <c r="C3">
        <v>0.5</v>
      </c>
      <c r="D3">
        <v>5</v>
      </c>
      <c r="E3">
        <v>0.5</v>
      </c>
      <c r="G3" t="str">
        <f>R3&amp;"_0_1_"&amp;ROUNDDOWN([2]关卡!M9*$C3,0)</f>
        <v>4000101_0_1_199</v>
      </c>
      <c r="H3" t="str">
        <f>S3&amp;"_0_1_"&amp;ROUNDDOWN([2]关卡!N9*$C3,0)</f>
        <v>4000201_0_1_179</v>
      </c>
      <c r="I3" t="str">
        <f>T3&amp;"_0_1_"&amp;ROUNDDOWN([2]关卡!O9*$C3,0)</f>
        <v>4000301_0_1_81</v>
      </c>
      <c r="J3" t="str">
        <f>U3&amp;"_0_1_"&amp;ROUNDDOWN([2]关卡!P9*$C3,0)</f>
        <v>4000401_0_1_0</v>
      </c>
      <c r="K3" t="str">
        <f>V3&amp;"_0_1_"&amp;ROUNDDOWN([2]关卡!Q9*$C3,0)</f>
        <v>4000501_0_1_0</v>
      </c>
      <c r="L3" t="str">
        <f>W3&amp;"_0_1_"&amp;ROUNDDOWN([2]关卡!M9*$E3,0)</f>
        <v>4000105_0_1_199</v>
      </c>
      <c r="M3" t="str">
        <f>X3&amp;"_0_1_"&amp;ROUNDDOWN([2]关卡!N9*$E3,0)</f>
        <v>4000205_0_1_179</v>
      </c>
      <c r="N3" t="str">
        <f>Y3&amp;"_0_1_"&amp;ROUNDDOWN([2]关卡!O9*$E3,0)</f>
        <v>4000305_0_1_81</v>
      </c>
      <c r="O3" t="str">
        <f>Z3&amp;"_0_1_"&amp;ROUNDDOWN([2]关卡!P9*$E3,0)</f>
        <v>4000405_0_1_0</v>
      </c>
      <c r="P3" t="str">
        <f>AA3&amp;"_0_1_"&amp;ROUNDDOWN([2]关卡!Q9*$E3,0)</f>
        <v>4000505_0_1_0</v>
      </c>
      <c r="R3">
        <v>4000101</v>
      </c>
      <c r="S3">
        <v>4000201</v>
      </c>
      <c r="T3">
        <v>4000301</v>
      </c>
      <c r="U3">
        <v>4000401</v>
      </c>
      <c r="V3">
        <v>4000501</v>
      </c>
      <c r="W3">
        <v>4000105</v>
      </c>
      <c r="X3">
        <v>4000205</v>
      </c>
      <c r="Y3">
        <v>4000305</v>
      </c>
      <c r="Z3">
        <v>4000405</v>
      </c>
      <c r="AA3">
        <v>4000505</v>
      </c>
    </row>
    <row r="4" spans="1:27">
      <c r="A4" s="10">
        <v>3</v>
      </c>
      <c r="B4">
        <v>1</v>
      </c>
      <c r="C4">
        <v>0.2</v>
      </c>
      <c r="D4">
        <v>5</v>
      </c>
      <c r="E4">
        <v>0.8</v>
      </c>
      <c r="G4" t="str">
        <f>R4&amp;"_0_1_"&amp;ROUNDDOWN([2]关卡!M10*$C4,0)</f>
        <v>4000101_0_1_79</v>
      </c>
      <c r="H4" t="str">
        <f>S4&amp;"_0_1_"&amp;ROUNDDOWN([2]关卡!N10*$C4,0)</f>
        <v>4000201_0_1_71</v>
      </c>
      <c r="I4" t="str">
        <f>T4&amp;"_0_1_"&amp;ROUNDDOWN([2]关卡!O10*$C4,0)</f>
        <v>4000301_0_1_33</v>
      </c>
      <c r="J4" t="str">
        <f>U4&amp;"_0_1_"&amp;ROUNDDOWN([2]关卡!P10*$C4,0)</f>
        <v>4000401_0_1_0</v>
      </c>
      <c r="K4" t="str">
        <f>V4&amp;"_0_1_"&amp;ROUNDDOWN([2]关卡!Q10*$C4,0)</f>
        <v>4000501_0_1_0</v>
      </c>
      <c r="L4" t="str">
        <f>W4&amp;"_0_1_"&amp;ROUNDDOWN([2]关卡!M10*$E4,0)</f>
        <v>4000105_0_1_318</v>
      </c>
      <c r="M4" t="str">
        <f>X4&amp;"_0_1_"&amp;ROUNDDOWN([2]关卡!N10*$E4,0)</f>
        <v>4000205_0_1_284</v>
      </c>
      <c r="N4" t="str">
        <f>Y4&amp;"_0_1_"&amp;ROUNDDOWN([2]关卡!O10*$E4,0)</f>
        <v>4000305_0_1_132</v>
      </c>
      <c r="O4" t="str">
        <f>Z4&amp;"_0_1_"&amp;ROUNDDOWN([2]关卡!P10*$E4,0)</f>
        <v>4000405_0_1_0</v>
      </c>
      <c r="P4" t="str">
        <f>AA4&amp;"_0_1_"&amp;ROUNDDOWN([2]关卡!Q10*$E4,0)</f>
        <v>4000505_0_1_0</v>
      </c>
      <c r="R4">
        <v>4000101</v>
      </c>
      <c r="S4">
        <v>4000201</v>
      </c>
      <c r="T4">
        <v>4000301</v>
      </c>
      <c r="U4">
        <v>4000401</v>
      </c>
      <c r="V4">
        <v>4000501</v>
      </c>
      <c r="W4">
        <v>4000105</v>
      </c>
      <c r="X4">
        <v>4000205</v>
      </c>
      <c r="Y4">
        <v>4000305</v>
      </c>
      <c r="Z4">
        <v>4000405</v>
      </c>
      <c r="AA4">
        <v>4000505</v>
      </c>
    </row>
    <row r="5" spans="1:27">
      <c r="A5" s="10">
        <v>5</v>
      </c>
      <c r="B5">
        <f>ROUNDDOWN(A5/5,0)*5</f>
        <v>5</v>
      </c>
      <c r="C5">
        <f>(D5-A5)/5</f>
        <v>1</v>
      </c>
      <c r="D5">
        <f>B5+5</f>
        <v>10</v>
      </c>
      <c r="E5">
        <f>1-C5</f>
        <v>0</v>
      </c>
      <c r="G5" t="str">
        <f>R5&amp;"_0_1_"&amp;ROUNDDOWN([2]关卡!M11*$C5,0)</f>
        <v>4000105_0_1_397</v>
      </c>
      <c r="H5" t="str">
        <f>S5&amp;"_0_1_"&amp;ROUNDDOWN([2]关卡!N11*$C5,0)</f>
        <v>4000205_0_1_354</v>
      </c>
      <c r="I5" t="str">
        <f>T5&amp;"_0_1_"&amp;ROUNDDOWN([2]关卡!O11*$C5,0)</f>
        <v>4000305_0_1_169</v>
      </c>
      <c r="J5" t="str">
        <f>U5&amp;"_0_1_"&amp;ROUNDDOWN([2]关卡!P11*$C5,0)</f>
        <v>4000405_0_1_0</v>
      </c>
      <c r="K5" t="str">
        <f>V5&amp;"_0_1_"&amp;ROUNDDOWN([2]关卡!Q11*$C5,0)</f>
        <v>4000505_0_1_0</v>
      </c>
      <c r="L5" t="str">
        <f>W5&amp;"_0_1_"&amp;ROUNDDOWN([2]关卡!M11*$E5,0)</f>
        <v>4000110_0_1_0</v>
      </c>
      <c r="M5" t="str">
        <f>X5&amp;"_0_1_"&amp;ROUNDDOWN([2]关卡!N11*$E5,0)</f>
        <v>4000210_0_1_0</v>
      </c>
      <c r="N5" t="str">
        <f>Y5&amp;"_0_1_"&amp;ROUNDDOWN([2]关卡!O11*$E5,0)</f>
        <v>4000310_0_1_0</v>
      </c>
      <c r="O5" t="str">
        <f>Z5&amp;"_0_1_"&amp;ROUNDDOWN([2]关卡!P11*$E5,0)</f>
        <v>4000410_0_1_0</v>
      </c>
      <c r="P5" t="str">
        <f>AA5&amp;"_0_1_"&amp;ROUNDDOWN([2]关卡!Q11*$E5,0)</f>
        <v>4000510_0_1_0</v>
      </c>
      <c r="R5">
        <v>4000105</v>
      </c>
      <c r="S5">
        <v>4000205</v>
      </c>
      <c r="T5">
        <v>4000305</v>
      </c>
      <c r="U5">
        <v>4000405</v>
      </c>
      <c r="V5">
        <v>4000505</v>
      </c>
      <c r="W5" t="s">
        <v>519</v>
      </c>
      <c r="X5" t="s">
        <v>520</v>
      </c>
      <c r="Y5" t="s">
        <v>521</v>
      </c>
      <c r="Z5" t="s">
        <v>522</v>
      </c>
      <c r="AA5" t="s">
        <v>523</v>
      </c>
    </row>
    <row r="6" spans="1:27">
      <c r="A6" s="10">
        <v>7</v>
      </c>
      <c r="B6">
        <f t="shared" ref="B6:B28" si="0">ROUNDDOWN(A6/5,0)*5</f>
        <v>5</v>
      </c>
      <c r="C6">
        <f t="shared" ref="C6:C21" si="1">(D6-A6)/5</f>
        <v>0.6</v>
      </c>
      <c r="D6">
        <f t="shared" ref="D6:D22" si="2">B6+5</f>
        <v>10</v>
      </c>
      <c r="E6">
        <f t="shared" ref="E6:E21" si="3">1-C6</f>
        <v>0.4</v>
      </c>
      <c r="G6" t="str">
        <f>R6&amp;"_0_1_"&amp;ROUNDDOWN([2]关卡!M12*$C6,0)</f>
        <v>4000105_0_1_291</v>
      </c>
      <c r="H6" t="str">
        <f>S6&amp;"_0_1_"&amp;ROUNDDOWN([2]关卡!N12*$C6,0)</f>
        <v>4000205_0_1_259</v>
      </c>
      <c r="I6" t="str">
        <f>T6&amp;"_0_1_"&amp;ROUNDDOWN([2]关卡!O12*$C6,0)</f>
        <v>4000305_0_1_126</v>
      </c>
      <c r="J6" t="str">
        <f>U6&amp;"_0_1_"&amp;ROUNDDOWN([2]关卡!P12*$C6,0)</f>
        <v>4000405_0_1_0</v>
      </c>
      <c r="K6" t="str">
        <f>V6&amp;"_0_1_"&amp;ROUNDDOWN([2]关卡!Q12*$C6,0)</f>
        <v>4000505_0_1_0</v>
      </c>
      <c r="L6" t="str">
        <f>W6&amp;"_0_1_"&amp;ROUNDDOWN([2]关卡!M12*$E6,0)</f>
        <v>4000110_0_1_194</v>
      </c>
      <c r="M6" t="str">
        <f>X6&amp;"_0_1_"&amp;ROUNDDOWN([2]关卡!N12*$E6,0)</f>
        <v>4000210_0_1_172</v>
      </c>
      <c r="N6" t="str">
        <f>Y6&amp;"_0_1_"&amp;ROUNDDOWN([2]关卡!O12*$E6,0)</f>
        <v>4000310_0_1_84</v>
      </c>
      <c r="O6" t="str">
        <f>Z6&amp;"_0_1_"&amp;ROUNDDOWN([2]关卡!P12*$E6,0)</f>
        <v>4000410_0_1_0</v>
      </c>
      <c r="P6" t="str">
        <f>AA6&amp;"_0_1_"&amp;ROUNDDOWN([2]关卡!Q12*$E6,0)</f>
        <v>4000510_0_1_0</v>
      </c>
      <c r="R6">
        <v>4000105</v>
      </c>
      <c r="S6">
        <v>4000205</v>
      </c>
      <c r="T6">
        <v>4000305</v>
      </c>
      <c r="U6">
        <v>4000405</v>
      </c>
      <c r="V6">
        <v>4000505</v>
      </c>
      <c r="W6" t="s">
        <v>519</v>
      </c>
      <c r="X6" t="s">
        <v>520</v>
      </c>
      <c r="Y6" t="s">
        <v>521</v>
      </c>
      <c r="Z6" t="s">
        <v>522</v>
      </c>
      <c r="AA6" t="s">
        <v>523</v>
      </c>
    </row>
    <row r="7" spans="1:27">
      <c r="A7" s="10">
        <v>9</v>
      </c>
      <c r="B7">
        <f t="shared" si="0"/>
        <v>5</v>
      </c>
      <c r="C7">
        <f t="shared" si="1"/>
        <v>0.2</v>
      </c>
      <c r="D7">
        <f t="shared" si="2"/>
        <v>10</v>
      </c>
      <c r="E7">
        <f t="shared" si="3"/>
        <v>0.8</v>
      </c>
      <c r="G7" t="str">
        <f>R7&amp;"_0_1_"&amp;ROUNDDOWN([2]关卡!M13*$C7,0)</f>
        <v>4000105_0_1_96</v>
      </c>
      <c r="H7" t="str">
        <f>S7&amp;"_0_1_"&amp;ROUNDDOWN([2]关卡!N13*$C7,0)</f>
        <v>4000205_0_1_85</v>
      </c>
      <c r="I7" t="str">
        <f>T7&amp;"_0_1_"&amp;ROUNDDOWN([2]关卡!O13*$C7,0)</f>
        <v>4000305_0_1_43</v>
      </c>
      <c r="J7" t="str">
        <f>U7&amp;"_0_1_"&amp;ROUNDDOWN([2]关卡!P13*$C7,0)</f>
        <v>4000405_0_1_0</v>
      </c>
      <c r="K7" t="str">
        <f>V7&amp;"_0_1_"&amp;ROUNDDOWN([2]关卡!Q13*$C7,0)</f>
        <v>4000505_0_1_0</v>
      </c>
      <c r="L7" t="str">
        <f>W7&amp;"_0_1_"&amp;ROUNDDOWN([2]关卡!M13*$E7,0)</f>
        <v>4000110_0_1_386</v>
      </c>
      <c r="M7" t="str">
        <f>X7&amp;"_0_1_"&amp;ROUNDDOWN([2]关卡!N13*$E7,0)</f>
        <v>4000210_0_1_343</v>
      </c>
      <c r="N7" t="str">
        <f>Y7&amp;"_0_1_"&amp;ROUNDDOWN([2]关卡!O13*$E7,0)</f>
        <v>4000310_0_1_172</v>
      </c>
      <c r="O7" t="str">
        <f>Z7&amp;"_0_1_"&amp;ROUNDDOWN([2]关卡!P13*$E7,0)</f>
        <v>4000410_0_1_0</v>
      </c>
      <c r="P7" t="str">
        <f>AA7&amp;"_0_1_"&amp;ROUNDDOWN([2]关卡!Q13*$E7,0)</f>
        <v>4000510_0_1_0</v>
      </c>
      <c r="R7">
        <v>4000105</v>
      </c>
      <c r="S7">
        <v>4000205</v>
      </c>
      <c r="T7">
        <v>4000305</v>
      </c>
      <c r="U7">
        <v>4000405</v>
      </c>
      <c r="V7">
        <v>4000505</v>
      </c>
      <c r="W7" t="s">
        <v>519</v>
      </c>
      <c r="X7" t="s">
        <v>520</v>
      </c>
      <c r="Y7" t="s">
        <v>521</v>
      </c>
      <c r="Z7" t="s">
        <v>522</v>
      </c>
      <c r="AA7" t="s">
        <v>523</v>
      </c>
    </row>
    <row r="8" spans="1:27">
      <c r="A8" s="10">
        <v>11</v>
      </c>
      <c r="B8">
        <f t="shared" si="0"/>
        <v>10</v>
      </c>
      <c r="C8">
        <f t="shared" si="1"/>
        <v>0.8</v>
      </c>
      <c r="D8">
        <f t="shared" si="2"/>
        <v>15</v>
      </c>
      <c r="E8">
        <f t="shared" si="3"/>
        <v>0.19999999999999996</v>
      </c>
      <c r="G8" t="str">
        <f>R8&amp;"_0_1_"&amp;ROUNDDOWN([2]关卡!M14*$C8,0)</f>
        <v>4000110_0_1_384</v>
      </c>
      <c r="H8" t="str">
        <f>S8&amp;"_0_1_"&amp;ROUNDDOWN([2]关卡!N14*$C8,0)</f>
        <v>4000210_0_1_341</v>
      </c>
      <c r="I8" t="str">
        <f>T8&amp;"_0_1_"&amp;ROUNDDOWN([2]关卡!O14*$C8,0)</f>
        <v>4000310_0_1_175</v>
      </c>
      <c r="J8" t="str">
        <f>U8&amp;"_0_1_"&amp;ROUNDDOWN([2]关卡!P14*$C8,0)</f>
        <v>4000410_0_1_0</v>
      </c>
      <c r="K8" t="str">
        <f>V8&amp;"_0_1_"&amp;ROUNDDOWN([2]关卡!Q14*$C8,0)</f>
        <v>4000510_0_1_0</v>
      </c>
      <c r="L8" t="str">
        <f>W8&amp;"_0_1_"&amp;ROUNDDOWN([2]关卡!M14*$E8,0)</f>
        <v>4000115_0_1_96</v>
      </c>
      <c r="M8" t="str">
        <f>X8&amp;"_0_1_"&amp;ROUNDDOWN([2]关卡!N14*$E8,0)</f>
        <v>4000215_0_1_85</v>
      </c>
      <c r="N8" t="str">
        <f>Y8&amp;"_0_1_"&amp;ROUNDDOWN([2]关卡!O14*$E8,0)</f>
        <v>4000315_0_1_43</v>
      </c>
      <c r="O8" t="str">
        <f>Z8&amp;"_0_1_"&amp;ROUNDDOWN([2]关卡!P14*$E8,0)</f>
        <v>4000415_0_1_0</v>
      </c>
      <c r="P8" t="str">
        <f>AA8&amp;"_0_1_"&amp;ROUNDDOWN([2]关卡!Q14*$E8,0)</f>
        <v>4000515_0_1_0</v>
      </c>
      <c r="R8" t="str">
        <f t="shared" ref="R8:V17" si="4">S$1&amp;$B8</f>
        <v>4000110</v>
      </c>
      <c r="S8" t="str">
        <f t="shared" si="4"/>
        <v>4000210</v>
      </c>
      <c r="T8" t="str">
        <f t="shared" si="4"/>
        <v>4000310</v>
      </c>
      <c r="U8" t="str">
        <f t="shared" si="4"/>
        <v>4000410</v>
      </c>
      <c r="V8" t="str">
        <f t="shared" si="4"/>
        <v>4000510</v>
      </c>
      <c r="W8" t="str">
        <f t="shared" ref="W8:W36" si="5">S$1&amp;$D8</f>
        <v>4000115</v>
      </c>
      <c r="X8" t="str">
        <f t="shared" ref="X8:X36" si="6">T$1&amp;$D8</f>
        <v>4000215</v>
      </c>
      <c r="Y8" t="str">
        <f t="shared" ref="Y8:Y36" si="7">U$1&amp;$D8</f>
        <v>4000315</v>
      </c>
      <c r="Z8" t="str">
        <f t="shared" ref="Z8:Z36" si="8">V$1&amp;$D8</f>
        <v>4000415</v>
      </c>
      <c r="AA8" t="str">
        <f t="shared" ref="AA8:AA36" si="9">W$1&amp;$D8</f>
        <v>4000515</v>
      </c>
    </row>
    <row r="9" spans="1:27">
      <c r="A9" s="10">
        <v>13</v>
      </c>
      <c r="B9">
        <f t="shared" si="0"/>
        <v>10</v>
      </c>
      <c r="C9">
        <f t="shared" si="1"/>
        <v>0.4</v>
      </c>
      <c r="D9">
        <f t="shared" si="2"/>
        <v>15</v>
      </c>
      <c r="E9">
        <f t="shared" si="3"/>
        <v>0.6</v>
      </c>
      <c r="G9" t="str">
        <f>R9&amp;"_0_1_"&amp;ROUNDDOWN([2]关卡!M15*$C9,0)</f>
        <v>4000110_0_1_197</v>
      </c>
      <c r="H9" t="str">
        <f>S9&amp;"_0_1_"&amp;ROUNDDOWN([2]关卡!N15*$C9,0)</f>
        <v>4000210_0_1_174</v>
      </c>
      <c r="I9" t="str">
        <f>T9&amp;"_0_1_"&amp;ROUNDDOWN([2]关卡!O15*$C9,0)</f>
        <v>4000310_0_1_92</v>
      </c>
      <c r="J9" t="str">
        <f>U9&amp;"_0_1_"&amp;ROUNDDOWN([2]关卡!P15*$C9,0)</f>
        <v>4000410_0_1_0</v>
      </c>
      <c r="K9" t="str">
        <f>V9&amp;"_0_1_"&amp;ROUNDDOWN([2]关卡!Q15*$C9,0)</f>
        <v>4000510_0_1_0</v>
      </c>
      <c r="L9" t="str">
        <f>W9&amp;"_0_1_"&amp;ROUNDDOWN([2]关卡!M15*$E9,0)</f>
        <v>4000115_0_1_296</v>
      </c>
      <c r="M9" t="str">
        <f>X9&amp;"_0_1_"&amp;ROUNDDOWN([2]关卡!N15*$E9,0)</f>
        <v>4000215_0_1_261</v>
      </c>
      <c r="N9" t="str">
        <f>Y9&amp;"_0_1_"&amp;ROUNDDOWN([2]关卡!O15*$E9,0)</f>
        <v>4000315_0_1_138</v>
      </c>
      <c r="O9" t="str">
        <f>Z9&amp;"_0_1_"&amp;ROUNDDOWN([2]关卡!P15*$E9,0)</f>
        <v>4000415_0_1_0</v>
      </c>
      <c r="P9" t="str">
        <f>AA9&amp;"_0_1_"&amp;ROUNDDOWN([2]关卡!Q15*$E9,0)</f>
        <v>4000515_0_1_0</v>
      </c>
      <c r="R9" t="str">
        <f t="shared" si="4"/>
        <v>4000110</v>
      </c>
      <c r="S9" t="str">
        <f t="shared" si="4"/>
        <v>4000210</v>
      </c>
      <c r="T9" t="str">
        <f t="shared" si="4"/>
        <v>4000310</v>
      </c>
      <c r="U9" t="str">
        <f t="shared" si="4"/>
        <v>4000410</v>
      </c>
      <c r="V9" t="str">
        <f t="shared" si="4"/>
        <v>4000510</v>
      </c>
      <c r="W9" t="str">
        <f t="shared" si="5"/>
        <v>4000115</v>
      </c>
      <c r="X9" t="str">
        <f t="shared" si="6"/>
        <v>4000215</v>
      </c>
      <c r="Y9" t="str">
        <f t="shared" si="7"/>
        <v>4000315</v>
      </c>
      <c r="Z9" t="str">
        <f t="shared" si="8"/>
        <v>4000415</v>
      </c>
      <c r="AA9" t="str">
        <f t="shared" si="9"/>
        <v>4000515</v>
      </c>
    </row>
    <row r="10" spans="1:27">
      <c r="A10" s="10">
        <v>15</v>
      </c>
      <c r="B10">
        <f t="shared" si="0"/>
        <v>15</v>
      </c>
      <c r="C10">
        <f t="shared" si="1"/>
        <v>1</v>
      </c>
      <c r="D10">
        <f t="shared" si="2"/>
        <v>20</v>
      </c>
      <c r="E10">
        <f t="shared" si="3"/>
        <v>0</v>
      </c>
      <c r="G10" t="str">
        <f>R10&amp;"_0_1_"&amp;ROUNDDOWN([2]关卡!M16*$C10,0)</f>
        <v>4000115_0_1_501</v>
      </c>
      <c r="H10" t="str">
        <f>S10&amp;"_0_1_"&amp;ROUNDDOWN([2]关卡!N16*$C10,0)</f>
        <v>4000215_0_1_441</v>
      </c>
      <c r="I10" t="str">
        <f>T10&amp;"_0_1_"&amp;ROUNDDOWN([2]关卡!O16*$C10,0)</f>
        <v>4000315_0_1_238</v>
      </c>
      <c r="J10" t="str">
        <f>U10&amp;"_0_1_"&amp;ROUNDDOWN([2]关卡!P16*$C10,0)</f>
        <v>4000415_0_1_12</v>
      </c>
      <c r="K10" t="str">
        <f>V10&amp;"_0_1_"&amp;ROUNDDOWN([2]关卡!Q16*$C10,0)</f>
        <v>4000515_0_1_0</v>
      </c>
      <c r="L10" t="str">
        <f>W10&amp;"_0_1_"&amp;ROUNDDOWN([2]关卡!M16*$E10,0)</f>
        <v>4000120_0_1_0</v>
      </c>
      <c r="M10" t="str">
        <f>X10&amp;"_0_1_"&amp;ROUNDDOWN([2]关卡!N16*$E10,0)</f>
        <v>4000220_0_1_0</v>
      </c>
      <c r="N10" t="str">
        <f>Y10&amp;"_0_1_"&amp;ROUNDDOWN([2]关卡!O16*$E10,0)</f>
        <v>4000320_0_1_0</v>
      </c>
      <c r="O10" t="str">
        <f>Z10&amp;"_0_1_"&amp;ROUNDDOWN([2]关卡!P16*$E10,0)</f>
        <v>4000420_0_1_0</v>
      </c>
      <c r="P10" t="str">
        <f>AA10&amp;"_0_1_"&amp;ROUNDDOWN([2]关卡!Q16*$E10,0)</f>
        <v>4000520_0_1_0</v>
      </c>
      <c r="R10" t="str">
        <f t="shared" si="4"/>
        <v>4000115</v>
      </c>
      <c r="S10" t="str">
        <f t="shared" si="4"/>
        <v>4000215</v>
      </c>
      <c r="T10" t="str">
        <f t="shared" si="4"/>
        <v>4000315</v>
      </c>
      <c r="U10" t="str">
        <f t="shared" si="4"/>
        <v>4000415</v>
      </c>
      <c r="V10" t="str">
        <f t="shared" si="4"/>
        <v>4000515</v>
      </c>
      <c r="W10" t="str">
        <f t="shared" si="5"/>
        <v>4000120</v>
      </c>
      <c r="X10" t="str">
        <f t="shared" si="6"/>
        <v>4000220</v>
      </c>
      <c r="Y10" t="str">
        <f t="shared" si="7"/>
        <v>4000320</v>
      </c>
      <c r="Z10" t="str">
        <f t="shared" si="8"/>
        <v>4000420</v>
      </c>
      <c r="AA10" t="str">
        <f t="shared" si="9"/>
        <v>4000520</v>
      </c>
    </row>
    <row r="11" spans="1:27">
      <c r="A11" s="10">
        <v>17</v>
      </c>
      <c r="B11">
        <f t="shared" si="0"/>
        <v>15</v>
      </c>
      <c r="C11">
        <f t="shared" si="1"/>
        <v>0.6</v>
      </c>
      <c r="D11">
        <f t="shared" si="2"/>
        <v>20</v>
      </c>
      <c r="E11">
        <f t="shared" si="3"/>
        <v>0.4</v>
      </c>
      <c r="G11" t="str">
        <f>R11&amp;"_0_1_"&amp;ROUNDDOWN([2]关卡!M17*$C11,0)</f>
        <v>4000115_0_1_304</v>
      </c>
      <c r="H11" t="str">
        <f>S11&amp;"_0_1_"&amp;ROUNDDOWN([2]关卡!N17*$C11,0)</f>
        <v>4000215_0_1_267</v>
      </c>
      <c r="I11" t="str">
        <f>T11&amp;"_0_1_"&amp;ROUNDDOWN([2]关卡!O17*$C11,0)</f>
        <v>4000315_0_1_148</v>
      </c>
      <c r="J11" t="str">
        <f>U11&amp;"_0_1_"&amp;ROUNDDOWN([2]关卡!P17*$C11,0)</f>
        <v>4000415_0_1_15</v>
      </c>
      <c r="K11" t="str">
        <f>V11&amp;"_0_1_"&amp;ROUNDDOWN([2]关卡!Q17*$C11,0)</f>
        <v>4000515_0_1_0</v>
      </c>
      <c r="L11" t="str">
        <f>W11&amp;"_0_1_"&amp;ROUNDDOWN([2]关卡!M17*$E11,0)</f>
        <v>4000120_0_1_202</v>
      </c>
      <c r="M11" t="str">
        <f>X11&amp;"_0_1_"&amp;ROUNDDOWN([2]关卡!N17*$E11,0)</f>
        <v>4000220_0_1_178</v>
      </c>
      <c r="N11" t="str">
        <f>Y11&amp;"_0_1_"&amp;ROUNDDOWN([2]关卡!O17*$E11,0)</f>
        <v>4000320_0_1_98</v>
      </c>
      <c r="O11" t="str">
        <f>Z11&amp;"_0_1_"&amp;ROUNDDOWN([2]关卡!P17*$E11,0)</f>
        <v>4000420_0_1_10</v>
      </c>
      <c r="P11" t="str">
        <f>AA11&amp;"_0_1_"&amp;ROUNDDOWN([2]关卡!Q17*$E11,0)</f>
        <v>4000520_0_1_0</v>
      </c>
      <c r="R11" t="str">
        <f t="shared" si="4"/>
        <v>4000115</v>
      </c>
      <c r="S11" t="str">
        <f t="shared" si="4"/>
        <v>4000215</v>
      </c>
      <c r="T11" t="str">
        <f t="shared" si="4"/>
        <v>4000315</v>
      </c>
      <c r="U11" t="str">
        <f t="shared" si="4"/>
        <v>4000415</v>
      </c>
      <c r="V11" t="str">
        <f t="shared" si="4"/>
        <v>4000515</v>
      </c>
      <c r="W11" t="str">
        <f t="shared" si="5"/>
        <v>4000120</v>
      </c>
      <c r="X11" t="str">
        <f t="shared" si="6"/>
        <v>4000220</v>
      </c>
      <c r="Y11" t="str">
        <f t="shared" si="7"/>
        <v>4000320</v>
      </c>
      <c r="Z11" t="str">
        <f t="shared" si="8"/>
        <v>4000420</v>
      </c>
      <c r="AA11" t="str">
        <f t="shared" si="9"/>
        <v>4000520</v>
      </c>
    </row>
    <row r="12" spans="1:27">
      <c r="A12" s="10">
        <v>19</v>
      </c>
      <c r="B12">
        <f t="shared" si="0"/>
        <v>15</v>
      </c>
      <c r="C12">
        <f t="shared" si="1"/>
        <v>0.2</v>
      </c>
      <c r="D12">
        <f t="shared" si="2"/>
        <v>20</v>
      </c>
      <c r="E12">
        <f t="shared" si="3"/>
        <v>0.8</v>
      </c>
      <c r="G12" t="str">
        <f>R12&amp;"_0_1_"&amp;ROUNDDOWN([2]关卡!M18*$C12,0)</f>
        <v>4000115_0_1_99</v>
      </c>
      <c r="H12" t="str">
        <f>S12&amp;"_0_1_"&amp;ROUNDDOWN([2]关卡!N18*$C12,0)</f>
        <v>4000215_0_1_86</v>
      </c>
      <c r="I12" t="str">
        <f>T12&amp;"_0_1_"&amp;ROUNDDOWN([2]关卡!O18*$C12,0)</f>
        <v>4000315_0_1_49</v>
      </c>
      <c r="J12" t="str">
        <f>U12&amp;"_0_1_"&amp;ROUNDDOWN([2]关卡!P18*$C12,0)</f>
        <v>4000415_0_1_7</v>
      </c>
      <c r="K12" t="str">
        <f>V12&amp;"_0_1_"&amp;ROUNDDOWN([2]关卡!Q18*$C12,0)</f>
        <v>4000515_0_1_0</v>
      </c>
      <c r="L12" t="str">
        <f>W12&amp;"_0_1_"&amp;ROUNDDOWN([2]关卡!M18*$E12,0)</f>
        <v>4000120_0_1_397</v>
      </c>
      <c r="M12" t="str">
        <f>X12&amp;"_0_1_"&amp;ROUNDDOWN([2]关卡!N18*$E12,0)</f>
        <v>4000220_0_1_347</v>
      </c>
      <c r="N12" t="str">
        <f>Y12&amp;"_0_1_"&amp;ROUNDDOWN([2]关卡!O18*$E12,0)</f>
        <v>4000320_0_1_198</v>
      </c>
      <c r="O12" t="str">
        <f>Z12&amp;"_0_1_"&amp;ROUNDDOWN([2]关卡!P18*$E12,0)</f>
        <v>4000420_0_1_29</v>
      </c>
      <c r="P12" t="str">
        <f>AA12&amp;"_0_1_"&amp;ROUNDDOWN([2]关卡!Q18*$E12,0)</f>
        <v>4000520_0_1_0</v>
      </c>
      <c r="R12" t="str">
        <f t="shared" si="4"/>
        <v>4000115</v>
      </c>
      <c r="S12" t="str">
        <f t="shared" si="4"/>
        <v>4000215</v>
      </c>
      <c r="T12" t="str">
        <f t="shared" si="4"/>
        <v>4000315</v>
      </c>
      <c r="U12" t="str">
        <f t="shared" si="4"/>
        <v>4000415</v>
      </c>
      <c r="V12" t="str">
        <f t="shared" si="4"/>
        <v>4000515</v>
      </c>
      <c r="W12" t="str">
        <f t="shared" si="5"/>
        <v>4000120</v>
      </c>
      <c r="X12" t="str">
        <f t="shared" si="6"/>
        <v>4000220</v>
      </c>
      <c r="Y12" t="str">
        <f t="shared" si="7"/>
        <v>4000320</v>
      </c>
      <c r="Z12" t="str">
        <f t="shared" si="8"/>
        <v>4000420</v>
      </c>
      <c r="AA12" t="str">
        <f t="shared" si="9"/>
        <v>4000520</v>
      </c>
    </row>
    <row r="13" spans="1:27">
      <c r="A13" s="10">
        <v>21</v>
      </c>
      <c r="B13">
        <f t="shared" si="0"/>
        <v>20</v>
      </c>
      <c r="C13">
        <f t="shared" si="1"/>
        <v>0.8</v>
      </c>
      <c r="D13">
        <f t="shared" si="2"/>
        <v>25</v>
      </c>
      <c r="E13">
        <f t="shared" si="3"/>
        <v>0.19999999999999996</v>
      </c>
      <c r="G13" t="str">
        <f>R13&amp;"_0_1_"&amp;ROUNDDOWN([2]关卡!M19*$C13,0)</f>
        <v>4000120_0_1_401</v>
      </c>
      <c r="H13" t="str">
        <f>S13&amp;"_0_1_"&amp;ROUNDDOWN([2]关卡!N19*$C13,0)</f>
        <v>4000220_0_1_349</v>
      </c>
      <c r="I13" t="str">
        <f>T13&amp;"_0_1_"&amp;ROUNDDOWN([2]关卡!O19*$C13,0)</f>
        <v>4000320_0_1_205</v>
      </c>
      <c r="J13" t="str">
        <f>U13&amp;"_0_1_"&amp;ROUNDDOWN([2]关卡!P19*$C13,0)</f>
        <v>4000420_0_1_40</v>
      </c>
      <c r="K13" t="str">
        <f>V13&amp;"_0_1_"&amp;ROUNDDOWN([2]关卡!Q19*$C13,0)</f>
        <v>4000520_0_1_0</v>
      </c>
      <c r="L13" t="str">
        <f>W13&amp;"_0_1_"&amp;ROUNDDOWN([2]关卡!M19*$E13,0)</f>
        <v>4000125_0_1_100</v>
      </c>
      <c r="M13" t="str">
        <f>X13&amp;"_0_1_"&amp;ROUNDDOWN([2]关卡!N19*$E13,0)</f>
        <v>4000225_0_1_87</v>
      </c>
      <c r="N13" t="str">
        <f>Y13&amp;"_0_1_"&amp;ROUNDDOWN([2]关卡!O19*$E13,0)</f>
        <v>4000325_0_1_51</v>
      </c>
      <c r="O13" t="str">
        <f>Z13&amp;"_0_1_"&amp;ROUNDDOWN([2]关卡!P19*$E13,0)</f>
        <v>4000425_0_1_10</v>
      </c>
      <c r="P13" t="str">
        <f>AA13&amp;"_0_1_"&amp;ROUNDDOWN([2]关卡!Q19*$E13,0)</f>
        <v>4000525_0_1_0</v>
      </c>
      <c r="R13" t="str">
        <f t="shared" si="4"/>
        <v>4000120</v>
      </c>
      <c r="S13" t="str">
        <f t="shared" si="4"/>
        <v>4000220</v>
      </c>
      <c r="T13" t="str">
        <f t="shared" si="4"/>
        <v>4000320</v>
      </c>
      <c r="U13" t="str">
        <f t="shared" si="4"/>
        <v>4000420</v>
      </c>
      <c r="V13" t="str">
        <f t="shared" si="4"/>
        <v>4000520</v>
      </c>
      <c r="W13" t="str">
        <f t="shared" si="5"/>
        <v>4000125</v>
      </c>
      <c r="X13" t="str">
        <f t="shared" si="6"/>
        <v>4000225</v>
      </c>
      <c r="Y13" t="str">
        <f t="shared" si="7"/>
        <v>4000325</v>
      </c>
      <c r="Z13" t="str">
        <f t="shared" si="8"/>
        <v>4000425</v>
      </c>
      <c r="AA13" t="str">
        <f t="shared" si="9"/>
        <v>4000525</v>
      </c>
    </row>
    <row r="14" spans="1:27">
      <c r="A14" s="10">
        <v>23</v>
      </c>
      <c r="B14">
        <f t="shared" si="0"/>
        <v>20</v>
      </c>
      <c r="C14">
        <f t="shared" si="1"/>
        <v>0.4</v>
      </c>
      <c r="D14">
        <f t="shared" si="2"/>
        <v>25</v>
      </c>
      <c r="E14">
        <f t="shared" si="3"/>
        <v>0.6</v>
      </c>
      <c r="G14" t="str">
        <f>R14&amp;"_0_1_"&amp;ROUNDDOWN([2]关卡!M20*$C14,0)</f>
        <v>4000120_0_1_256</v>
      </c>
      <c r="H14" t="str">
        <f>S14&amp;"_0_1_"&amp;ROUNDDOWN([2]关卡!N20*$C14,0)</f>
        <v>4000220_0_1_222</v>
      </c>
      <c r="I14" t="str">
        <f>T14&amp;"_0_1_"&amp;ROUNDDOWN([2]关卡!O20*$C14,0)</f>
        <v>4000320_0_1_135</v>
      </c>
      <c r="J14" t="str">
        <f>U14&amp;"_0_1_"&amp;ROUNDDOWN([2]关卡!P20*$C14,0)</f>
        <v>4000420_0_1_33</v>
      </c>
      <c r="K14" t="str">
        <f>V14&amp;"_0_1_"&amp;ROUNDDOWN([2]关卡!Q20*$C14,0)</f>
        <v>4000520_0_1_0</v>
      </c>
      <c r="L14" t="str">
        <f>W14&amp;"_0_1_"&amp;ROUNDDOWN([2]关卡!M20*$E14,0)</f>
        <v>4000125_0_1_384</v>
      </c>
      <c r="M14" t="str">
        <f>X14&amp;"_0_1_"&amp;ROUNDDOWN([2]关卡!N20*$E14,0)</f>
        <v>4000225_0_1_334</v>
      </c>
      <c r="N14" t="str">
        <f>Y14&amp;"_0_1_"&amp;ROUNDDOWN([2]关卡!O20*$E14,0)</f>
        <v>4000325_0_1_202</v>
      </c>
      <c r="O14" t="str">
        <f>Z14&amp;"_0_1_"&amp;ROUNDDOWN([2]关卡!P20*$E14,0)</f>
        <v>4000425_0_1_50</v>
      </c>
      <c r="P14" t="str">
        <f>AA14&amp;"_0_1_"&amp;ROUNDDOWN([2]关卡!Q20*$E14,0)</f>
        <v>4000525_0_1_0</v>
      </c>
      <c r="R14" t="str">
        <f t="shared" si="4"/>
        <v>4000120</v>
      </c>
      <c r="S14" t="str">
        <f t="shared" si="4"/>
        <v>4000220</v>
      </c>
      <c r="T14" t="str">
        <f t="shared" si="4"/>
        <v>4000320</v>
      </c>
      <c r="U14" t="str">
        <f t="shared" si="4"/>
        <v>4000420</v>
      </c>
      <c r="V14" t="str">
        <f t="shared" si="4"/>
        <v>4000520</v>
      </c>
      <c r="W14" t="str">
        <f t="shared" si="5"/>
        <v>4000125</v>
      </c>
      <c r="X14" t="str">
        <f t="shared" si="6"/>
        <v>4000225</v>
      </c>
      <c r="Y14" t="str">
        <f t="shared" si="7"/>
        <v>4000325</v>
      </c>
      <c r="Z14" t="str">
        <f t="shared" si="8"/>
        <v>4000425</v>
      </c>
      <c r="AA14" t="str">
        <f t="shared" si="9"/>
        <v>4000525</v>
      </c>
    </row>
    <row r="15" spans="1:27">
      <c r="A15" s="10">
        <v>25</v>
      </c>
      <c r="B15">
        <f t="shared" si="0"/>
        <v>25</v>
      </c>
      <c r="C15">
        <f t="shared" si="1"/>
        <v>1</v>
      </c>
      <c r="D15">
        <f t="shared" si="2"/>
        <v>30</v>
      </c>
      <c r="E15">
        <f t="shared" si="3"/>
        <v>0</v>
      </c>
      <c r="G15" t="str">
        <f>R15&amp;"_0_1_"&amp;ROUNDDOWN([2]关卡!M21*$C15,0)</f>
        <v>4000125_0_1_630</v>
      </c>
      <c r="H15" t="str">
        <f>S15&amp;"_0_1_"&amp;ROUNDDOWN([2]关卡!N21*$C15,0)</f>
        <v>4000225_0_1_545</v>
      </c>
      <c r="I15" t="str">
        <f>T15&amp;"_0_1_"&amp;ROUNDDOWN([2]关卡!O21*$C15,0)</f>
        <v>4000325_0_1_341</v>
      </c>
      <c r="J15" t="str">
        <f>U15&amp;"_0_1_"&amp;ROUNDDOWN([2]关卡!P21*$C15,0)</f>
        <v>4000425_0_1_94</v>
      </c>
      <c r="K15" t="str">
        <f>V15&amp;"_0_1_"&amp;ROUNDDOWN([2]关卡!Q21*$C15,0)</f>
        <v>4000525_0_1_0</v>
      </c>
      <c r="L15" t="str">
        <f>W15&amp;"_0_1_"&amp;ROUNDDOWN([2]关卡!M21*$E15,0)</f>
        <v>4000130_0_1_0</v>
      </c>
      <c r="M15" t="str">
        <f>X15&amp;"_0_1_"&amp;ROUNDDOWN([2]关卡!N21*$E15,0)</f>
        <v>4000230_0_1_0</v>
      </c>
      <c r="N15" t="str">
        <f>Y15&amp;"_0_1_"&amp;ROUNDDOWN([2]关卡!O21*$E15,0)</f>
        <v>4000330_0_1_0</v>
      </c>
      <c r="O15" t="str">
        <f>Z15&amp;"_0_1_"&amp;ROUNDDOWN([2]关卡!P21*$E15,0)</f>
        <v>4000430_0_1_0</v>
      </c>
      <c r="P15" t="str">
        <f>AA15&amp;"_0_1_"&amp;ROUNDDOWN([2]关卡!Q21*$E15,0)</f>
        <v>4000530_0_1_0</v>
      </c>
      <c r="R15" t="str">
        <f t="shared" si="4"/>
        <v>4000125</v>
      </c>
      <c r="S15" t="str">
        <f t="shared" si="4"/>
        <v>4000225</v>
      </c>
      <c r="T15" t="str">
        <f t="shared" si="4"/>
        <v>4000325</v>
      </c>
      <c r="U15" t="str">
        <f t="shared" si="4"/>
        <v>4000425</v>
      </c>
      <c r="V15" t="str">
        <f t="shared" si="4"/>
        <v>4000525</v>
      </c>
      <c r="W15" t="str">
        <f t="shared" si="5"/>
        <v>4000130</v>
      </c>
      <c r="X15" t="str">
        <f t="shared" si="6"/>
        <v>4000230</v>
      </c>
      <c r="Y15" t="str">
        <f t="shared" si="7"/>
        <v>4000330</v>
      </c>
      <c r="Z15" t="str">
        <f t="shared" si="8"/>
        <v>4000430</v>
      </c>
      <c r="AA15" t="str">
        <f t="shared" si="9"/>
        <v>4000530</v>
      </c>
    </row>
    <row r="16" spans="1:27">
      <c r="A16" s="10">
        <v>27</v>
      </c>
      <c r="B16">
        <f t="shared" si="0"/>
        <v>25</v>
      </c>
      <c r="C16">
        <f t="shared" si="1"/>
        <v>0.6</v>
      </c>
      <c r="D16">
        <f t="shared" si="2"/>
        <v>30</v>
      </c>
      <c r="E16">
        <f t="shared" si="3"/>
        <v>0.4</v>
      </c>
      <c r="G16" t="str">
        <f>R16&amp;"_0_1_"&amp;ROUNDDOWN([2]关卡!M22*$C16,0)</f>
        <v>4000125_0_1_371</v>
      </c>
      <c r="H16" t="str">
        <f>S16&amp;"_0_1_"&amp;ROUNDDOWN([2]关卡!N22*$C16,0)</f>
        <v>4000225_0_1_319</v>
      </c>
      <c r="I16" t="str">
        <f>T16&amp;"_0_1_"&amp;ROUNDDOWN([2]关卡!O22*$C16,0)</f>
        <v>4000325_0_1_206</v>
      </c>
      <c r="J16" t="str">
        <f>U16&amp;"_0_1_"&amp;ROUNDDOWN([2]关卡!P22*$C16,0)</f>
        <v>4000425_0_1_61</v>
      </c>
      <c r="K16" t="str">
        <f>V16&amp;"_0_1_"&amp;ROUNDDOWN([2]关卡!Q22*$C16,0)</f>
        <v>4000525_0_1_0</v>
      </c>
      <c r="L16" t="str">
        <f>W16&amp;"_0_1_"&amp;ROUNDDOWN([2]关卡!M22*$E16,0)</f>
        <v>4000130_0_1_247</v>
      </c>
      <c r="M16" t="str">
        <f>X16&amp;"_0_1_"&amp;ROUNDDOWN([2]关卡!N22*$E16,0)</f>
        <v>4000230_0_1_213</v>
      </c>
      <c r="N16" t="str">
        <f>Y16&amp;"_0_1_"&amp;ROUNDDOWN([2]关卡!O22*$E16,0)</f>
        <v>4000330_0_1_137</v>
      </c>
      <c r="O16" t="str">
        <f>Z16&amp;"_0_1_"&amp;ROUNDDOWN([2]关卡!P22*$E16,0)</f>
        <v>4000430_0_1_41</v>
      </c>
      <c r="P16" t="str">
        <f>AA16&amp;"_0_1_"&amp;ROUNDDOWN([2]关卡!Q22*$E16,0)</f>
        <v>4000530_0_1_0</v>
      </c>
      <c r="R16" t="str">
        <f t="shared" si="4"/>
        <v>4000125</v>
      </c>
      <c r="S16" t="str">
        <f t="shared" si="4"/>
        <v>4000225</v>
      </c>
      <c r="T16" t="str">
        <f t="shared" si="4"/>
        <v>4000325</v>
      </c>
      <c r="U16" t="str">
        <f t="shared" si="4"/>
        <v>4000425</v>
      </c>
      <c r="V16" t="str">
        <f t="shared" si="4"/>
        <v>4000525</v>
      </c>
      <c r="W16" t="str">
        <f t="shared" si="5"/>
        <v>4000130</v>
      </c>
      <c r="X16" t="str">
        <f t="shared" si="6"/>
        <v>4000230</v>
      </c>
      <c r="Y16" t="str">
        <f t="shared" si="7"/>
        <v>4000330</v>
      </c>
      <c r="Z16" t="str">
        <f t="shared" si="8"/>
        <v>4000430</v>
      </c>
      <c r="AA16" t="str">
        <f t="shared" si="9"/>
        <v>4000530</v>
      </c>
    </row>
    <row r="17" spans="1:27">
      <c r="A17" s="10">
        <v>29</v>
      </c>
      <c r="B17">
        <f t="shared" si="0"/>
        <v>25</v>
      </c>
      <c r="C17">
        <f t="shared" si="1"/>
        <v>0.2</v>
      </c>
      <c r="D17">
        <f t="shared" si="2"/>
        <v>30</v>
      </c>
      <c r="E17">
        <f t="shared" si="3"/>
        <v>0.8</v>
      </c>
      <c r="G17" t="str">
        <f>R17&amp;"_0_1_"&amp;ROUNDDOWN([2]关卡!M23*$C17,0)</f>
        <v>4000125_0_1_133</v>
      </c>
      <c r="H17" t="str">
        <f>S17&amp;"_0_1_"&amp;ROUNDDOWN([2]关卡!N23*$C17,0)</f>
        <v>4000225_0_1_114</v>
      </c>
      <c r="I17" t="str">
        <f>T17&amp;"_0_1_"&amp;ROUNDDOWN([2]关卡!O23*$C17,0)</f>
        <v>4000325_0_1_76</v>
      </c>
      <c r="J17" t="str">
        <f>U17&amp;"_0_1_"&amp;ROUNDDOWN([2]关卡!P23*$C17,0)</f>
        <v>4000425_0_1_24</v>
      </c>
      <c r="K17" t="str">
        <f>V17&amp;"_0_1_"&amp;ROUNDDOWN([2]关卡!Q23*$C17,0)</f>
        <v>4000525_0_1_0</v>
      </c>
      <c r="L17" t="str">
        <f>W17&amp;"_0_1_"&amp;ROUNDDOWN([2]关卡!M23*$E17,0)</f>
        <v>4000130_0_1_532</v>
      </c>
      <c r="M17" t="str">
        <f>X17&amp;"_0_1_"&amp;ROUNDDOWN([2]关卡!N23*$E17,0)</f>
        <v>4000230_0_1_456</v>
      </c>
      <c r="N17" t="str">
        <f>Y17&amp;"_0_1_"&amp;ROUNDDOWN([2]关卡!O23*$E17,0)</f>
        <v>4000330_0_1_304</v>
      </c>
      <c r="O17" t="str">
        <f>Z17&amp;"_0_1_"&amp;ROUNDDOWN([2]关卡!P23*$E17,0)</f>
        <v>4000430_0_1_99</v>
      </c>
      <c r="P17" t="str">
        <f>AA17&amp;"_0_1_"&amp;ROUNDDOWN([2]关卡!Q23*$E17,0)</f>
        <v>4000530_0_1_0</v>
      </c>
      <c r="R17" t="str">
        <f t="shared" si="4"/>
        <v>4000125</v>
      </c>
      <c r="S17" t="str">
        <f t="shared" si="4"/>
        <v>4000225</v>
      </c>
      <c r="T17" t="str">
        <f t="shared" si="4"/>
        <v>4000325</v>
      </c>
      <c r="U17" t="str">
        <f t="shared" si="4"/>
        <v>4000425</v>
      </c>
      <c r="V17" t="str">
        <f t="shared" si="4"/>
        <v>4000525</v>
      </c>
      <c r="W17" t="str">
        <f t="shared" si="5"/>
        <v>4000130</v>
      </c>
      <c r="X17" t="str">
        <f t="shared" si="6"/>
        <v>4000230</v>
      </c>
      <c r="Y17" t="str">
        <f t="shared" si="7"/>
        <v>4000330</v>
      </c>
      <c r="Z17" t="str">
        <f t="shared" si="8"/>
        <v>4000430</v>
      </c>
      <c r="AA17" t="str">
        <f t="shared" si="9"/>
        <v>4000530</v>
      </c>
    </row>
    <row r="18" spans="1:27">
      <c r="A18" s="10">
        <v>31</v>
      </c>
      <c r="B18">
        <f t="shared" si="0"/>
        <v>30</v>
      </c>
      <c r="C18">
        <f t="shared" si="1"/>
        <v>0.8</v>
      </c>
      <c r="D18">
        <f t="shared" si="2"/>
        <v>35</v>
      </c>
      <c r="E18">
        <f t="shared" si="3"/>
        <v>0.19999999999999996</v>
      </c>
      <c r="G18" t="str">
        <f>R18&amp;"_0_1_"&amp;ROUNDDOWN([2]关卡!M24*$C18,0)</f>
        <v>4000130_0_1_533</v>
      </c>
      <c r="H18" t="str">
        <f>S18&amp;"_0_1_"&amp;ROUNDDOWN([2]关卡!N24*$C18,0)</f>
        <v>4000230_0_1_455</v>
      </c>
      <c r="I18" t="str">
        <f>T18&amp;"_0_1_"&amp;ROUNDDOWN([2]关卡!O24*$C18,0)</f>
        <v>4000330_0_1_313</v>
      </c>
      <c r="J18" t="str">
        <f>U18&amp;"_0_1_"&amp;ROUNDDOWN([2]关卡!P24*$C18,0)</f>
        <v>4000430_0_1_109</v>
      </c>
      <c r="K18" t="str">
        <f>V18&amp;"_0_1_"&amp;ROUNDDOWN([2]关卡!Q24*$C18,0)</f>
        <v>4000530_0_1_0</v>
      </c>
      <c r="L18" t="str">
        <f>W18&amp;"_0_1_"&amp;ROUNDDOWN([2]关卡!M24*$E18,0)</f>
        <v>4000135_0_1_133</v>
      </c>
      <c r="M18" t="str">
        <f>X18&amp;"_0_1_"&amp;ROUNDDOWN([2]关卡!N24*$E18,0)</f>
        <v>4000235_0_1_113</v>
      </c>
      <c r="N18" t="str">
        <f>Y18&amp;"_0_1_"&amp;ROUNDDOWN([2]关卡!O24*$E18,0)</f>
        <v>4000335_0_1_78</v>
      </c>
      <c r="O18" t="str">
        <f>Z18&amp;"_0_1_"&amp;ROUNDDOWN([2]关卡!P24*$E18,0)</f>
        <v>4000435_0_1_27</v>
      </c>
      <c r="P18" t="str">
        <f>AA18&amp;"_0_1_"&amp;ROUNDDOWN([2]关卡!Q24*$E18,0)</f>
        <v>4000535_0_1_0</v>
      </c>
      <c r="R18" t="str">
        <f t="shared" ref="R18:V27" si="10">S$1&amp;$B18</f>
        <v>4000130</v>
      </c>
      <c r="S18" t="str">
        <f t="shared" si="10"/>
        <v>4000230</v>
      </c>
      <c r="T18" t="str">
        <f t="shared" si="10"/>
        <v>4000330</v>
      </c>
      <c r="U18" t="str">
        <f t="shared" si="10"/>
        <v>4000430</v>
      </c>
      <c r="V18" t="str">
        <f t="shared" si="10"/>
        <v>4000530</v>
      </c>
      <c r="W18" t="str">
        <f t="shared" si="5"/>
        <v>4000135</v>
      </c>
      <c r="X18" t="str">
        <f t="shared" si="6"/>
        <v>4000235</v>
      </c>
      <c r="Y18" t="str">
        <f t="shared" si="7"/>
        <v>4000335</v>
      </c>
      <c r="Z18" t="str">
        <f t="shared" si="8"/>
        <v>4000435</v>
      </c>
      <c r="AA18" t="str">
        <f t="shared" si="9"/>
        <v>4000535</v>
      </c>
    </row>
    <row r="19" spans="1:27">
      <c r="A19" s="10">
        <v>33</v>
      </c>
      <c r="B19">
        <f t="shared" si="0"/>
        <v>30</v>
      </c>
      <c r="C19">
        <f t="shared" si="1"/>
        <v>0.4</v>
      </c>
      <c r="D19">
        <f t="shared" si="2"/>
        <v>35</v>
      </c>
      <c r="E19">
        <f t="shared" si="3"/>
        <v>0.6</v>
      </c>
      <c r="G19" t="str">
        <f>R19&amp;"_0_1_"&amp;ROUNDDOWN([2]关卡!M25*$C19,0)</f>
        <v>4000130_0_1_264</v>
      </c>
      <c r="H19" t="str">
        <f>S19&amp;"_0_1_"&amp;ROUNDDOWN([2]关卡!N25*$C19,0)</f>
        <v>4000230_0_1_224</v>
      </c>
      <c r="I19" t="str">
        <f>T19&amp;"_0_1_"&amp;ROUNDDOWN([2]关卡!O25*$C19,0)</f>
        <v>4000330_0_1_160</v>
      </c>
      <c r="J19" t="str">
        <f>U19&amp;"_0_1_"&amp;ROUNDDOWN([2]关卡!P25*$C19,0)</f>
        <v>4000430_0_1_60</v>
      </c>
      <c r="K19" t="str">
        <f>V19&amp;"_0_1_"&amp;ROUNDDOWN([2]关卡!Q25*$C19,0)</f>
        <v>4000530_0_1_8</v>
      </c>
      <c r="L19" t="str">
        <f>W19&amp;"_0_1_"&amp;ROUNDDOWN([2]关卡!M25*$E19,0)</f>
        <v>4000135_0_1_396</v>
      </c>
      <c r="M19" t="str">
        <f>X19&amp;"_0_1_"&amp;ROUNDDOWN([2]关卡!N25*$E19,0)</f>
        <v>4000235_0_1_336</v>
      </c>
      <c r="N19" t="str">
        <f>Y19&amp;"_0_1_"&amp;ROUNDDOWN([2]关卡!O25*$E19,0)</f>
        <v>4000335_0_1_240</v>
      </c>
      <c r="O19" t="str">
        <f>Z19&amp;"_0_1_"&amp;ROUNDDOWN([2]关卡!P25*$E19,0)</f>
        <v>4000435_0_1_90</v>
      </c>
      <c r="P19" t="str">
        <f>AA19&amp;"_0_1_"&amp;ROUNDDOWN([2]关卡!Q25*$E19,0)</f>
        <v>4000535_0_1_12</v>
      </c>
      <c r="R19" t="str">
        <f t="shared" si="10"/>
        <v>4000130</v>
      </c>
      <c r="S19" t="str">
        <f t="shared" si="10"/>
        <v>4000230</v>
      </c>
      <c r="T19" t="str">
        <f t="shared" si="10"/>
        <v>4000330</v>
      </c>
      <c r="U19" t="str">
        <f t="shared" si="10"/>
        <v>4000430</v>
      </c>
      <c r="V19" t="str">
        <f t="shared" si="10"/>
        <v>4000530</v>
      </c>
      <c r="W19" t="str">
        <f t="shared" si="5"/>
        <v>4000135</v>
      </c>
      <c r="X19" t="str">
        <f t="shared" si="6"/>
        <v>4000235</v>
      </c>
      <c r="Y19" t="str">
        <f t="shared" si="7"/>
        <v>4000335</v>
      </c>
      <c r="Z19" t="str">
        <f t="shared" si="8"/>
        <v>4000435</v>
      </c>
      <c r="AA19" t="str">
        <f t="shared" si="9"/>
        <v>4000535</v>
      </c>
    </row>
    <row r="20" spans="1:27">
      <c r="A20" s="10">
        <v>35</v>
      </c>
      <c r="B20">
        <f t="shared" si="0"/>
        <v>35</v>
      </c>
      <c r="C20">
        <f t="shared" si="1"/>
        <v>1</v>
      </c>
      <c r="D20">
        <f t="shared" si="2"/>
        <v>40</v>
      </c>
      <c r="E20">
        <f t="shared" si="3"/>
        <v>0</v>
      </c>
      <c r="G20" t="str">
        <f>R20&amp;"_0_1_"&amp;ROUNDDOWN([2]关卡!M26*$C20,0)</f>
        <v>4000135_0_1_656</v>
      </c>
      <c r="H20" t="str">
        <f>S20&amp;"_0_1_"&amp;ROUNDDOWN([2]关卡!N26*$C20,0)</f>
        <v>4000235_0_1_554</v>
      </c>
      <c r="I20" t="str">
        <f>T20&amp;"_0_1_"&amp;ROUNDDOWN([2]关卡!O26*$C20,0)</f>
        <v>4000335_0_1_410</v>
      </c>
      <c r="J20" t="str">
        <f>U20&amp;"_0_1_"&amp;ROUNDDOWN([2]关卡!P26*$C20,0)</f>
        <v>4000435_0_1_164</v>
      </c>
      <c r="K20" t="str">
        <f>V20&amp;"_0_1_"&amp;ROUNDDOWN([2]关卡!Q26*$C20,0)</f>
        <v>4000535_0_1_31</v>
      </c>
      <c r="L20" t="str">
        <f>W20&amp;"_0_1_"&amp;ROUNDDOWN([2]关卡!M26*$E20,0)</f>
        <v>4000140_0_1_0</v>
      </c>
      <c r="M20" t="str">
        <f>X20&amp;"_0_1_"&amp;ROUNDDOWN([2]关卡!N26*$E20,0)</f>
        <v>4000240_0_1_0</v>
      </c>
      <c r="N20" t="str">
        <f>Y20&amp;"_0_1_"&amp;ROUNDDOWN([2]关卡!O26*$E20,0)</f>
        <v>4000340_0_1_0</v>
      </c>
      <c r="O20" t="str">
        <f>Z20&amp;"_0_1_"&amp;ROUNDDOWN([2]关卡!P26*$E20,0)</f>
        <v>4000440_0_1_0</v>
      </c>
      <c r="P20" t="str">
        <f>AA20&amp;"_0_1_"&amp;ROUNDDOWN([2]关卡!Q26*$E20,0)</f>
        <v>4000540_0_1_0</v>
      </c>
      <c r="R20" t="str">
        <f t="shared" si="10"/>
        <v>4000135</v>
      </c>
      <c r="S20" t="str">
        <f t="shared" si="10"/>
        <v>4000235</v>
      </c>
      <c r="T20" t="str">
        <f t="shared" si="10"/>
        <v>4000335</v>
      </c>
      <c r="U20" t="str">
        <f t="shared" si="10"/>
        <v>4000435</v>
      </c>
      <c r="V20" t="str">
        <f t="shared" si="10"/>
        <v>4000535</v>
      </c>
      <c r="W20" t="str">
        <f t="shared" si="5"/>
        <v>4000140</v>
      </c>
      <c r="X20" t="str">
        <f t="shared" si="6"/>
        <v>4000240</v>
      </c>
      <c r="Y20" t="str">
        <f t="shared" si="7"/>
        <v>4000340</v>
      </c>
      <c r="Z20" t="str">
        <f t="shared" si="8"/>
        <v>4000440</v>
      </c>
      <c r="AA20" t="str">
        <f t="shared" si="9"/>
        <v>4000540</v>
      </c>
    </row>
    <row r="21" spans="1:27">
      <c r="A21" s="10">
        <v>37</v>
      </c>
      <c r="B21">
        <f t="shared" si="0"/>
        <v>35</v>
      </c>
      <c r="C21">
        <f t="shared" si="1"/>
        <v>0.6</v>
      </c>
      <c r="D21">
        <f t="shared" si="2"/>
        <v>40</v>
      </c>
      <c r="E21">
        <f t="shared" si="3"/>
        <v>0.4</v>
      </c>
      <c r="G21" t="str">
        <f>R21&amp;"_0_1_"&amp;ROUNDDOWN([2]关卡!M27*$C21,0)</f>
        <v>4000135_0_1_391</v>
      </c>
      <c r="H21" t="str">
        <f>S21&amp;"_0_1_"&amp;ROUNDDOWN([2]关卡!N27*$C21,0)</f>
        <v>4000235_0_1_328</v>
      </c>
      <c r="I21" t="str">
        <f>T21&amp;"_0_1_"&amp;ROUNDDOWN([2]关卡!O27*$C21,0)</f>
        <v>4000335_0_1_252</v>
      </c>
      <c r="J21" t="str">
        <f>U21&amp;"_0_1_"&amp;ROUNDDOWN([2]关卡!P27*$C21,0)</f>
        <v>4000435_0_1_107</v>
      </c>
      <c r="K21" t="str">
        <f>V21&amp;"_0_1_"&amp;ROUNDDOWN([2]关卡!Q27*$C21,0)</f>
        <v>4000535_0_1_25</v>
      </c>
      <c r="L21" t="str">
        <f>W21&amp;"_0_1_"&amp;ROUNDDOWN([2]关卡!M27*$E21,0)</f>
        <v>4000140_0_1_260</v>
      </c>
      <c r="M21" t="str">
        <f>X21&amp;"_0_1_"&amp;ROUNDDOWN([2]关卡!N27*$E21,0)</f>
        <v>4000240_0_1_218</v>
      </c>
      <c r="N21" t="str">
        <f>Y21&amp;"_0_1_"&amp;ROUNDDOWN([2]关卡!O27*$E21,0)</f>
        <v>4000340_0_1_168</v>
      </c>
      <c r="O21" t="str">
        <f>Z21&amp;"_0_1_"&amp;ROUNDDOWN([2]关卡!P27*$E21,0)</f>
        <v>4000440_0_1_71</v>
      </c>
      <c r="P21" t="str">
        <f>AA21&amp;"_0_1_"&amp;ROUNDDOWN([2]关卡!Q27*$E21,0)</f>
        <v>4000540_0_1_16</v>
      </c>
      <c r="R21" t="str">
        <f t="shared" si="10"/>
        <v>4000135</v>
      </c>
      <c r="S21" t="str">
        <f t="shared" si="10"/>
        <v>4000235</v>
      </c>
      <c r="T21" t="str">
        <f t="shared" si="10"/>
        <v>4000335</v>
      </c>
      <c r="U21" t="str">
        <f t="shared" si="10"/>
        <v>4000435</v>
      </c>
      <c r="V21" t="str">
        <f t="shared" si="10"/>
        <v>4000535</v>
      </c>
      <c r="W21" t="str">
        <f t="shared" si="5"/>
        <v>4000140</v>
      </c>
      <c r="X21" t="str">
        <f t="shared" si="6"/>
        <v>4000240</v>
      </c>
      <c r="Y21" t="str">
        <f t="shared" si="7"/>
        <v>4000340</v>
      </c>
      <c r="Z21" t="str">
        <f t="shared" si="8"/>
        <v>4000440</v>
      </c>
      <c r="AA21" t="str">
        <f t="shared" si="9"/>
        <v>4000540</v>
      </c>
    </row>
    <row r="22" spans="1:27">
      <c r="A22" s="10">
        <v>39</v>
      </c>
      <c r="B22">
        <f t="shared" si="0"/>
        <v>35</v>
      </c>
      <c r="C22">
        <f>1-E22</f>
        <v>0.37</v>
      </c>
      <c r="D22">
        <f t="shared" si="2"/>
        <v>40</v>
      </c>
      <c r="E22">
        <v>0.63</v>
      </c>
      <c r="G22" t="str">
        <f>R22&amp;"_0_1_"&amp;ROUNDDOWN([2]关卡!M28*$C22,0)</f>
        <v>4000135_0_1_239</v>
      </c>
      <c r="H22" t="str">
        <f>S22&amp;"_0_1_"&amp;ROUNDDOWN([2]关卡!N28*$C22,0)</f>
        <v>4000235_0_1_199</v>
      </c>
      <c r="I22" t="str">
        <f>T22&amp;"_0_1_"&amp;ROUNDDOWN([2]关卡!O28*$C22,0)</f>
        <v>4000335_0_1_159</v>
      </c>
      <c r="J22" t="str">
        <f>U22&amp;"_0_1_"&amp;ROUNDDOWN([2]关卡!P28*$C22,0)</f>
        <v>4000435_0_1_71</v>
      </c>
      <c r="K22" t="str">
        <f>V22&amp;"_0_1_"&amp;ROUNDDOWN([2]关卡!Q28*$C22,0)</f>
        <v>4000535_0_1_19</v>
      </c>
      <c r="L22" t="str">
        <f>W22&amp;"_0_1_"&amp;ROUNDDOWN([2]关卡!M28*$E22,0)</f>
        <v>4000140_0_1_406</v>
      </c>
      <c r="M22" t="str">
        <f>X22&amp;"_0_1_"&amp;ROUNDDOWN([2]关卡!N28*$E22,0)</f>
        <v>4000240_0_1_339</v>
      </c>
      <c r="N22" t="str">
        <f>Y22&amp;"_0_1_"&amp;ROUNDDOWN([2]关卡!O28*$E22,0)</f>
        <v>4000340_0_1_271</v>
      </c>
      <c r="O22" t="str">
        <f>Z22&amp;"_0_1_"&amp;ROUNDDOWN([2]关卡!P28*$E22,0)</f>
        <v>4000440_0_1_122</v>
      </c>
      <c r="P22" t="str">
        <f>AA22&amp;"_0_1_"&amp;ROUNDDOWN([2]关卡!Q28*$E22,0)</f>
        <v>4000540_0_1_34</v>
      </c>
      <c r="R22" t="str">
        <f t="shared" si="10"/>
        <v>4000135</v>
      </c>
      <c r="S22" t="str">
        <f t="shared" si="10"/>
        <v>4000235</v>
      </c>
      <c r="T22" t="str">
        <f t="shared" si="10"/>
        <v>4000335</v>
      </c>
      <c r="U22" t="str">
        <f t="shared" si="10"/>
        <v>4000435</v>
      </c>
      <c r="V22" t="str">
        <f t="shared" si="10"/>
        <v>4000535</v>
      </c>
      <c r="W22" t="str">
        <f t="shared" si="5"/>
        <v>4000140</v>
      </c>
      <c r="X22" t="str">
        <f t="shared" si="6"/>
        <v>4000240</v>
      </c>
      <c r="Y22" t="str">
        <f t="shared" si="7"/>
        <v>4000340</v>
      </c>
      <c r="Z22" t="str">
        <f t="shared" si="8"/>
        <v>4000440</v>
      </c>
      <c r="AA22" t="str">
        <f t="shared" si="9"/>
        <v>4000540</v>
      </c>
    </row>
    <row r="23" spans="1:27">
      <c r="A23" s="10">
        <v>41</v>
      </c>
      <c r="B23">
        <f t="shared" si="0"/>
        <v>40</v>
      </c>
      <c r="C23">
        <f t="shared" ref="C23:C53" si="11">1-E23</f>
        <v>0.59</v>
      </c>
      <c r="D23">
        <v>43</v>
      </c>
      <c r="E23">
        <v>0.41000000000000003</v>
      </c>
      <c r="G23" t="str">
        <f>R23&amp;"_0_1_"&amp;ROUNDDOWN([2]关卡!M29*$C23,0)</f>
        <v>4000140_0_1_379</v>
      </c>
      <c r="H23" t="str">
        <f>S23&amp;"_0_1_"&amp;ROUNDDOWN([2]关卡!N29*$C23,0)</f>
        <v>4000240_0_1_315</v>
      </c>
      <c r="I23" t="str">
        <f>T23&amp;"_0_1_"&amp;ROUNDDOWN([2]关卡!O29*$C23,0)</f>
        <v>4000340_0_1_257</v>
      </c>
      <c r="J23" t="str">
        <f>U23&amp;"_0_1_"&amp;ROUNDDOWN([2]关卡!P29*$C23,0)</f>
        <v>4000440_0_1_122</v>
      </c>
      <c r="K23" t="str">
        <f>V23&amp;"_0_1_"&amp;ROUNDDOWN([2]关卡!Q29*$C23,0)</f>
        <v>4000540_0_1_38</v>
      </c>
      <c r="L23" t="str">
        <f>W23&amp;"_0_1_"&amp;ROUNDDOWN([2]关卡!M29*$E23,0)</f>
        <v>4000143_0_1_264</v>
      </c>
      <c r="M23" t="str">
        <f>X23&amp;"_0_1_"&amp;ROUNDDOWN([2]关卡!N29*$E23,0)</f>
        <v>4000243_0_1_219</v>
      </c>
      <c r="N23" t="str">
        <f>Y23&amp;"_0_1_"&amp;ROUNDDOWN([2]关卡!O29*$E23,0)</f>
        <v>4000343_0_1_178</v>
      </c>
      <c r="O23" t="str">
        <f>Z23&amp;"_0_1_"&amp;ROUNDDOWN([2]关卡!P29*$E23,0)</f>
        <v>4000443_0_1_84</v>
      </c>
      <c r="P23" t="str">
        <f>AA23&amp;"_0_1_"&amp;ROUNDDOWN([2]关卡!Q29*$E23,0)</f>
        <v>4000543_0_1_26</v>
      </c>
      <c r="R23" t="str">
        <f t="shared" si="10"/>
        <v>4000140</v>
      </c>
      <c r="S23" t="str">
        <f t="shared" si="10"/>
        <v>4000240</v>
      </c>
      <c r="T23" t="str">
        <f t="shared" si="10"/>
        <v>4000340</v>
      </c>
      <c r="U23" t="str">
        <f t="shared" si="10"/>
        <v>4000440</v>
      </c>
      <c r="V23" t="str">
        <f t="shared" si="10"/>
        <v>4000540</v>
      </c>
      <c r="W23" t="str">
        <f t="shared" si="5"/>
        <v>4000143</v>
      </c>
      <c r="X23" t="str">
        <f t="shared" si="6"/>
        <v>4000243</v>
      </c>
      <c r="Y23" t="str">
        <f t="shared" si="7"/>
        <v>4000343</v>
      </c>
      <c r="Z23" t="str">
        <f t="shared" si="8"/>
        <v>4000443</v>
      </c>
      <c r="AA23" t="str">
        <f t="shared" si="9"/>
        <v>4000543</v>
      </c>
    </row>
    <row r="24" spans="1:27">
      <c r="A24" s="10">
        <v>43</v>
      </c>
      <c r="B24">
        <v>43</v>
      </c>
      <c r="C24">
        <f t="shared" si="11"/>
        <v>0.66999999999999993</v>
      </c>
      <c r="D24">
        <v>45</v>
      </c>
      <c r="E24">
        <v>0.33</v>
      </c>
      <c r="G24" t="str">
        <f>R24&amp;"_0_1_"&amp;ROUNDDOWN([2]关卡!M30*$C24,0)</f>
        <v>4000143_0_1_439</v>
      </c>
      <c r="H24" t="str">
        <f>S24&amp;"_0_1_"&amp;ROUNDDOWN([2]关卡!N30*$C24,0)</f>
        <v>4000243_0_1_365</v>
      </c>
      <c r="I24" t="str">
        <f>T24&amp;"_0_1_"&amp;ROUNDDOWN([2]关卡!O30*$C24,0)</f>
        <v>4000343_0_1_298</v>
      </c>
      <c r="J24" t="str">
        <f>U24&amp;"_0_1_"&amp;ROUNDDOWN([2]关卡!P30*$C24,0)</f>
        <v>4000443_0_1_148</v>
      </c>
      <c r="K24" t="str">
        <f>V24&amp;"_0_1_"&amp;ROUNDDOWN([2]关卡!Q30*$C24,0)</f>
        <v>4000543_0_1_52</v>
      </c>
      <c r="L24" t="str">
        <f>W24&amp;"_0_1_"&amp;ROUNDDOWN([2]关卡!M30*$E24,0)</f>
        <v>4000145_0_1_216</v>
      </c>
      <c r="M24" t="str">
        <f>X24&amp;"_0_1_"&amp;ROUNDDOWN([2]关卡!N30*$E24,0)</f>
        <v>4000245_0_1_179</v>
      </c>
      <c r="N24" t="str">
        <f>Y24&amp;"_0_1_"&amp;ROUNDDOWN([2]关卡!O30*$E24,0)</f>
        <v>4000345_0_1_146</v>
      </c>
      <c r="O24" t="str">
        <f>Z24&amp;"_0_1_"&amp;ROUNDDOWN([2]关卡!P30*$E24,0)</f>
        <v>4000445_0_1_73</v>
      </c>
      <c r="P24" t="str">
        <f>AA24&amp;"_0_1_"&amp;ROUNDDOWN([2]关卡!Q30*$E24,0)</f>
        <v>4000545_0_1_25</v>
      </c>
      <c r="R24" t="str">
        <f t="shared" si="10"/>
        <v>4000143</v>
      </c>
      <c r="S24" t="str">
        <f t="shared" si="10"/>
        <v>4000243</v>
      </c>
      <c r="T24" t="str">
        <f t="shared" si="10"/>
        <v>4000343</v>
      </c>
      <c r="U24" t="str">
        <f t="shared" si="10"/>
        <v>4000443</v>
      </c>
      <c r="V24" t="str">
        <f t="shared" si="10"/>
        <v>4000543</v>
      </c>
      <c r="W24" t="str">
        <f t="shared" si="5"/>
        <v>4000145</v>
      </c>
      <c r="X24" t="str">
        <f t="shared" si="6"/>
        <v>4000245</v>
      </c>
      <c r="Y24" t="str">
        <f t="shared" si="7"/>
        <v>4000345</v>
      </c>
      <c r="Z24" t="str">
        <f t="shared" si="8"/>
        <v>4000445</v>
      </c>
      <c r="AA24" t="str">
        <f t="shared" si="9"/>
        <v>4000545</v>
      </c>
    </row>
    <row r="25" spans="1:27">
      <c r="A25" s="10">
        <v>45</v>
      </c>
      <c r="B25">
        <f t="shared" si="0"/>
        <v>45</v>
      </c>
      <c r="C25">
        <f t="shared" si="11"/>
        <v>0.52</v>
      </c>
      <c r="D25">
        <v>45</v>
      </c>
      <c r="E25">
        <v>0.48</v>
      </c>
      <c r="G25" t="str">
        <f>R25&amp;"_0_1_"&amp;ROUNDDOWN([2]关卡!M31*$C25,0)</f>
        <v>4000145_0_1_351</v>
      </c>
      <c r="H25" t="str">
        <f>S25&amp;"_0_1_"&amp;ROUNDDOWN([2]关卡!N31*$C25,0)</f>
        <v>4000245_0_1_291</v>
      </c>
      <c r="I25" t="str">
        <f>T25&amp;"_0_1_"&amp;ROUNDDOWN([2]关卡!O31*$C25,0)</f>
        <v>4000345_0_1_238</v>
      </c>
      <c r="J25" t="str">
        <f>U25&amp;"_0_1_"&amp;ROUNDDOWN([2]关卡!P31*$C25,0)</f>
        <v>4000445_0_1_119</v>
      </c>
      <c r="K25" t="str">
        <f>V25&amp;"_0_1_"&amp;ROUNDDOWN([2]关卡!Q31*$C25,0)</f>
        <v>4000545_0_1_41</v>
      </c>
      <c r="L25" t="str">
        <f>W25&amp;"_0_1_"&amp;ROUNDDOWN([2]关卡!M31*$E25,0)</f>
        <v>4000145_0_1_324</v>
      </c>
      <c r="M25" t="str">
        <f>X25&amp;"_0_1_"&amp;ROUNDDOWN([2]关卡!N31*$E25,0)</f>
        <v>4000245_0_1_269</v>
      </c>
      <c r="N25" t="str">
        <f>Y25&amp;"_0_1_"&amp;ROUNDDOWN([2]关卡!O31*$E25,0)</f>
        <v>4000345_0_1_219</v>
      </c>
      <c r="O25" t="str">
        <f>Z25&amp;"_0_1_"&amp;ROUNDDOWN([2]关卡!P31*$E25,0)</f>
        <v>4000445_0_1_109</v>
      </c>
      <c r="P25" t="str">
        <f>AA25&amp;"_0_1_"&amp;ROUNDDOWN([2]关卡!Q31*$E25,0)</f>
        <v>4000545_0_1_38</v>
      </c>
      <c r="R25" t="str">
        <f t="shared" si="10"/>
        <v>4000145</v>
      </c>
      <c r="S25" t="str">
        <f t="shared" si="10"/>
        <v>4000245</v>
      </c>
      <c r="T25" t="str">
        <f t="shared" si="10"/>
        <v>4000345</v>
      </c>
      <c r="U25" t="str">
        <f t="shared" si="10"/>
        <v>4000445</v>
      </c>
      <c r="V25" t="str">
        <f t="shared" si="10"/>
        <v>4000545</v>
      </c>
      <c r="W25" t="str">
        <f t="shared" si="5"/>
        <v>4000145</v>
      </c>
      <c r="X25" t="str">
        <f t="shared" si="6"/>
        <v>4000245</v>
      </c>
      <c r="Y25" t="str">
        <f t="shared" si="7"/>
        <v>4000345</v>
      </c>
      <c r="Z25" t="str">
        <f t="shared" si="8"/>
        <v>4000445</v>
      </c>
      <c r="AA25" t="str">
        <f t="shared" si="9"/>
        <v>4000545</v>
      </c>
    </row>
    <row r="26" spans="1:27">
      <c r="A26" s="10">
        <v>47</v>
      </c>
      <c r="B26">
        <v>45</v>
      </c>
      <c r="C26">
        <f t="shared" si="11"/>
        <v>0.54299999999999993</v>
      </c>
      <c r="D26">
        <v>47</v>
      </c>
      <c r="E26">
        <v>0.45700000000000002</v>
      </c>
      <c r="G26" t="str">
        <f>R26&amp;"_0_1_"&amp;ROUNDDOWN([2]关卡!M32*$C26,0)</f>
        <v>4000145_0_1_366</v>
      </c>
      <c r="H26" t="str">
        <f>S26&amp;"_0_1_"&amp;ROUNDDOWN([2]关卡!N32*$C26,0)</f>
        <v>4000245_0_1_304</v>
      </c>
      <c r="I26" t="str">
        <f>T26&amp;"_0_1_"&amp;ROUNDDOWN([2]关卡!O32*$C26,0)</f>
        <v>4000345_0_1_248</v>
      </c>
      <c r="J26" t="str">
        <f>U26&amp;"_0_1_"&amp;ROUNDDOWN([2]关卡!P32*$C26,0)</f>
        <v>4000445_0_1_124</v>
      </c>
      <c r="K26" t="str">
        <f>V26&amp;"_0_1_"&amp;ROUNDDOWN([2]关卡!Q32*$C26,0)</f>
        <v>4000545_0_1_43</v>
      </c>
      <c r="L26" t="str">
        <f>W26&amp;"_0_1_"&amp;ROUNDDOWN([2]关卡!M32*$E26,0)</f>
        <v>4000147_0_1_308</v>
      </c>
      <c r="M26" t="str">
        <f>X26&amp;"_0_1_"&amp;ROUNDDOWN([2]关卡!N32*$E26,0)</f>
        <v>4000247_0_1_256</v>
      </c>
      <c r="N26" t="str">
        <f>Y26&amp;"_0_1_"&amp;ROUNDDOWN([2]关卡!O32*$E26,0)</f>
        <v>4000347_0_1_209</v>
      </c>
      <c r="O26" t="str">
        <f>Z26&amp;"_0_1_"&amp;ROUNDDOWN([2]关卡!P32*$E26,0)</f>
        <v>4000447_0_1_104</v>
      </c>
      <c r="P26" t="str">
        <f>AA26&amp;"_0_1_"&amp;ROUNDDOWN([2]关卡!Q32*$E26,0)</f>
        <v>4000547_0_1_36</v>
      </c>
      <c r="R26" t="str">
        <f t="shared" si="10"/>
        <v>4000145</v>
      </c>
      <c r="S26" t="str">
        <f t="shared" si="10"/>
        <v>4000245</v>
      </c>
      <c r="T26" t="str">
        <f t="shared" si="10"/>
        <v>4000345</v>
      </c>
      <c r="U26" t="str">
        <f t="shared" si="10"/>
        <v>4000445</v>
      </c>
      <c r="V26" t="str">
        <f t="shared" si="10"/>
        <v>4000545</v>
      </c>
      <c r="W26" t="str">
        <f t="shared" si="5"/>
        <v>4000147</v>
      </c>
      <c r="X26" t="str">
        <f t="shared" si="6"/>
        <v>4000247</v>
      </c>
      <c r="Y26" t="str">
        <f t="shared" si="7"/>
        <v>4000347</v>
      </c>
      <c r="Z26" t="str">
        <f t="shared" si="8"/>
        <v>4000447</v>
      </c>
      <c r="AA26" t="str">
        <f t="shared" si="9"/>
        <v>4000547</v>
      </c>
    </row>
    <row r="27" spans="1:27">
      <c r="A27" s="10">
        <v>49</v>
      </c>
      <c r="B27">
        <v>47</v>
      </c>
      <c r="C27">
        <f t="shared" si="11"/>
        <v>0.55899999999999994</v>
      </c>
      <c r="D27">
        <v>50</v>
      </c>
      <c r="E27">
        <v>0.441</v>
      </c>
      <c r="G27" t="str">
        <f>R27&amp;"_0_1_"&amp;ROUNDDOWN([2]关卡!M33*$C27,0)</f>
        <v>4000147_0_1_377</v>
      </c>
      <c r="H27" t="str">
        <f>S27&amp;"_0_1_"&amp;ROUNDDOWN([2]关卡!N33*$C27,0)</f>
        <v>4000247_0_1_313</v>
      </c>
      <c r="I27" t="str">
        <f>T27&amp;"_0_1_"&amp;ROUNDDOWN([2]关卡!O33*$C27,0)</f>
        <v>4000347_0_1_256</v>
      </c>
      <c r="J27" t="str">
        <f>U27&amp;"_0_1_"&amp;ROUNDDOWN([2]关卡!P33*$C27,0)</f>
        <v>4000447_0_1_128</v>
      </c>
      <c r="K27" t="str">
        <f>V27&amp;"_0_1_"&amp;ROUNDDOWN([2]关卡!Q33*$C27,0)</f>
        <v>4000547_0_1_44</v>
      </c>
      <c r="L27" t="str">
        <f>W27&amp;"_0_1_"&amp;ROUNDDOWN([2]关卡!M33*$E27,0)</f>
        <v>4000150_0_1_297</v>
      </c>
      <c r="M27" t="str">
        <f>X27&amp;"_0_1_"&amp;ROUNDDOWN([2]关卡!N33*$E27,0)</f>
        <v>4000250_0_1_247</v>
      </c>
      <c r="N27" t="str">
        <f>Y27&amp;"_0_1_"&amp;ROUNDDOWN([2]关卡!O33*$E27,0)</f>
        <v>4000350_0_1_201</v>
      </c>
      <c r="O27" t="str">
        <f>Z27&amp;"_0_1_"&amp;ROUNDDOWN([2]关卡!P33*$E27,0)</f>
        <v>4000450_0_1_100</v>
      </c>
      <c r="P27" t="str">
        <f>AA27&amp;"_0_1_"&amp;ROUNDDOWN([2]关卡!Q33*$E27,0)</f>
        <v>4000550_0_1_35</v>
      </c>
      <c r="R27" t="str">
        <f t="shared" si="10"/>
        <v>4000147</v>
      </c>
      <c r="S27" t="str">
        <f t="shared" si="10"/>
        <v>4000247</v>
      </c>
      <c r="T27" t="str">
        <f t="shared" si="10"/>
        <v>4000347</v>
      </c>
      <c r="U27" t="str">
        <f t="shared" si="10"/>
        <v>4000447</v>
      </c>
      <c r="V27" t="str">
        <f t="shared" si="10"/>
        <v>4000547</v>
      </c>
      <c r="W27" t="str">
        <f t="shared" si="5"/>
        <v>4000150</v>
      </c>
      <c r="X27" t="str">
        <f t="shared" si="6"/>
        <v>4000250</v>
      </c>
      <c r="Y27" t="str">
        <f t="shared" si="7"/>
        <v>4000350</v>
      </c>
      <c r="Z27" t="str">
        <f t="shared" si="8"/>
        <v>4000450</v>
      </c>
      <c r="AA27" t="str">
        <f t="shared" si="9"/>
        <v>4000550</v>
      </c>
    </row>
    <row r="28" spans="1:27">
      <c r="A28" s="10">
        <v>51</v>
      </c>
      <c r="B28">
        <f t="shared" si="0"/>
        <v>50</v>
      </c>
      <c r="C28">
        <f t="shared" si="11"/>
        <v>0.58699999999999997</v>
      </c>
      <c r="D28">
        <v>53</v>
      </c>
      <c r="E28">
        <v>0.41299999999999998</v>
      </c>
      <c r="G28" t="str">
        <f>R28&amp;"_0_1_"&amp;ROUNDDOWN([2]关卡!M34*$C28,0)</f>
        <v>4000150_0_1_406</v>
      </c>
      <c r="H28" t="str">
        <f>S28&amp;"_0_1_"&amp;ROUNDDOWN([2]关卡!N34*$C28,0)</f>
        <v>4000250_0_1_337</v>
      </c>
      <c r="I28" t="str">
        <f>T28&amp;"_0_1_"&amp;ROUNDDOWN([2]关卡!O34*$C28,0)</f>
        <v>4000350_0_1_275</v>
      </c>
      <c r="J28" t="str">
        <f>U28&amp;"_0_1_"&amp;ROUNDDOWN([2]关卡!P34*$C28,0)</f>
        <v>4000450_0_1_137</v>
      </c>
      <c r="K28" t="str">
        <f>V28&amp;"_0_1_"&amp;ROUNDDOWN([2]关卡!Q34*$C28,0)</f>
        <v>4000550_0_1_48</v>
      </c>
      <c r="L28" t="str">
        <f>W28&amp;"_0_1_"&amp;ROUNDDOWN([2]关卡!M34*$E28,0)</f>
        <v>4000153_0_1_285</v>
      </c>
      <c r="M28" t="str">
        <f>X28&amp;"_0_1_"&amp;ROUNDDOWN([2]关卡!N34*$E28,0)</f>
        <v>4000253_0_1_237</v>
      </c>
      <c r="N28" t="str">
        <f>Y28&amp;"_0_1_"&amp;ROUNDDOWN([2]关卡!O34*$E28,0)</f>
        <v>4000353_0_1_193</v>
      </c>
      <c r="O28" t="str">
        <f>Z28&amp;"_0_1_"&amp;ROUNDDOWN([2]关卡!P34*$E28,0)</f>
        <v>4000453_0_1_97</v>
      </c>
      <c r="P28" t="str">
        <f>AA28&amp;"_0_1_"&amp;ROUNDDOWN([2]关卡!Q34*$E28,0)</f>
        <v>4000553_0_1_33</v>
      </c>
      <c r="R28" t="str">
        <f t="shared" ref="R28:V36" si="12">S$1&amp;$B28</f>
        <v>4000150</v>
      </c>
      <c r="S28" t="str">
        <f t="shared" si="12"/>
        <v>4000250</v>
      </c>
      <c r="T28" t="str">
        <f t="shared" si="12"/>
        <v>4000350</v>
      </c>
      <c r="U28" t="str">
        <f t="shared" si="12"/>
        <v>4000450</v>
      </c>
      <c r="V28" t="str">
        <f t="shared" si="12"/>
        <v>4000550</v>
      </c>
      <c r="W28" t="str">
        <f t="shared" si="5"/>
        <v>4000153</v>
      </c>
      <c r="X28" t="str">
        <f t="shared" si="6"/>
        <v>4000253</v>
      </c>
      <c r="Y28" t="str">
        <f t="shared" si="7"/>
        <v>4000353</v>
      </c>
      <c r="Z28" t="str">
        <f t="shared" si="8"/>
        <v>4000453</v>
      </c>
      <c r="AA28" t="str">
        <f t="shared" si="9"/>
        <v>4000553</v>
      </c>
    </row>
    <row r="29" spans="1:27">
      <c r="A29" s="10">
        <v>53</v>
      </c>
      <c r="B29">
        <v>53</v>
      </c>
      <c r="C29">
        <f t="shared" si="11"/>
        <v>0.61199999999999999</v>
      </c>
      <c r="D29">
        <v>53</v>
      </c>
      <c r="E29">
        <v>0.38800000000000001</v>
      </c>
      <c r="G29" t="str">
        <f>R29&amp;"_0_1_"&amp;ROUNDDOWN([2]关卡!M35*$C29,0)</f>
        <v>4000153_0_1_423</v>
      </c>
      <c r="H29" t="str">
        <f>S29&amp;"_0_1_"&amp;ROUNDDOWN([2]关卡!N35*$C29,0)</f>
        <v>4000253_0_1_351</v>
      </c>
      <c r="I29" t="str">
        <f>T29&amp;"_0_1_"&amp;ROUNDDOWN([2]关卡!O35*$C29,0)</f>
        <v>4000353_0_1_287</v>
      </c>
      <c r="J29" t="str">
        <f>U29&amp;"_0_1_"&amp;ROUNDDOWN([2]关卡!P35*$C29,0)</f>
        <v>4000453_0_1_143</v>
      </c>
      <c r="K29" t="str">
        <f>V29&amp;"_0_1_"&amp;ROUNDDOWN([2]关卡!Q35*$C29,0)</f>
        <v>4000553_0_1_50</v>
      </c>
      <c r="L29" t="str">
        <f>W29&amp;"_0_1_"&amp;ROUNDDOWN([2]关卡!M35*$E29,0)</f>
        <v>4000153_0_1_268</v>
      </c>
      <c r="M29" t="str">
        <f>X29&amp;"_0_1_"&amp;ROUNDDOWN([2]关卡!N35*$E29,0)</f>
        <v>4000253_0_1_223</v>
      </c>
      <c r="N29" t="str">
        <f>Y29&amp;"_0_1_"&amp;ROUNDDOWN([2]关卡!O35*$E29,0)</f>
        <v>4000353_0_1_181</v>
      </c>
      <c r="O29" t="str">
        <f>Z29&amp;"_0_1_"&amp;ROUNDDOWN([2]关卡!P35*$E29,0)</f>
        <v>4000453_0_1_91</v>
      </c>
      <c r="P29" t="str">
        <f>AA29&amp;"_0_1_"&amp;ROUNDDOWN([2]关卡!Q35*$E29,0)</f>
        <v>4000553_0_1_31</v>
      </c>
      <c r="R29" t="str">
        <f t="shared" si="12"/>
        <v>4000153</v>
      </c>
      <c r="S29" t="str">
        <f t="shared" si="12"/>
        <v>4000253</v>
      </c>
      <c r="T29" t="str">
        <f t="shared" si="12"/>
        <v>4000353</v>
      </c>
      <c r="U29" t="str">
        <f t="shared" si="12"/>
        <v>4000453</v>
      </c>
      <c r="V29" t="str">
        <f t="shared" si="12"/>
        <v>4000553</v>
      </c>
      <c r="W29" t="str">
        <f t="shared" si="5"/>
        <v>4000153</v>
      </c>
      <c r="X29" t="str">
        <f t="shared" si="6"/>
        <v>4000253</v>
      </c>
      <c r="Y29" t="str">
        <f t="shared" si="7"/>
        <v>4000353</v>
      </c>
      <c r="Z29" t="str">
        <f t="shared" si="8"/>
        <v>4000453</v>
      </c>
      <c r="AA29" t="str">
        <f t="shared" si="9"/>
        <v>4000553</v>
      </c>
    </row>
    <row r="30" spans="1:27">
      <c r="A30" s="10">
        <v>55</v>
      </c>
      <c r="B30">
        <v>53</v>
      </c>
      <c r="C30">
        <f t="shared" si="11"/>
        <v>0.63500000000000001</v>
      </c>
      <c r="D30">
        <v>55</v>
      </c>
      <c r="E30">
        <v>0.36499999999999999</v>
      </c>
      <c r="G30" t="str">
        <f>R30&amp;"_0_1_"&amp;ROUNDDOWN([2]关卡!M36*$C30,0)</f>
        <v>4000153_0_1_439</v>
      </c>
      <c r="H30" t="str">
        <f>S30&amp;"_0_1_"&amp;ROUNDDOWN([2]关卡!N36*$C30,0)</f>
        <v>4000253_0_1_365</v>
      </c>
      <c r="I30" t="str">
        <f>T30&amp;"_0_1_"&amp;ROUNDDOWN([2]关卡!O36*$C30,0)</f>
        <v>4000353_0_1_297</v>
      </c>
      <c r="J30" t="str">
        <f>U30&amp;"_0_1_"&amp;ROUNDDOWN([2]关卡!P36*$C30,0)</f>
        <v>4000453_0_1_149</v>
      </c>
      <c r="K30" t="str">
        <f>V30&amp;"_0_1_"&amp;ROUNDDOWN([2]关卡!Q36*$C30,0)</f>
        <v>4000553_0_1_52</v>
      </c>
      <c r="L30" t="str">
        <f>W30&amp;"_0_1_"&amp;ROUNDDOWN([2]关卡!M36*$E30,0)</f>
        <v>4000155_0_1_252</v>
      </c>
      <c r="M30" t="str">
        <f>X30&amp;"_0_1_"&amp;ROUNDDOWN([2]关卡!N36*$E30,0)</f>
        <v>4000255_0_1_209</v>
      </c>
      <c r="N30" t="str">
        <f>Y30&amp;"_0_1_"&amp;ROUNDDOWN([2]关卡!O36*$E30,0)</f>
        <v>4000355_0_1_171</v>
      </c>
      <c r="O30" t="str">
        <f>Z30&amp;"_0_1_"&amp;ROUNDDOWN([2]关卡!P36*$E30,0)</f>
        <v>4000455_0_1_85</v>
      </c>
      <c r="P30" t="str">
        <f>AA30&amp;"_0_1_"&amp;ROUNDDOWN([2]关卡!Q36*$E30,0)</f>
        <v>4000555_0_1_29</v>
      </c>
      <c r="R30" t="str">
        <f t="shared" si="12"/>
        <v>4000153</v>
      </c>
      <c r="S30" t="str">
        <f t="shared" si="12"/>
        <v>4000253</v>
      </c>
      <c r="T30" t="str">
        <f t="shared" si="12"/>
        <v>4000353</v>
      </c>
      <c r="U30" t="str">
        <f t="shared" si="12"/>
        <v>4000453</v>
      </c>
      <c r="V30" t="str">
        <f t="shared" si="12"/>
        <v>4000553</v>
      </c>
      <c r="W30" t="str">
        <f t="shared" si="5"/>
        <v>4000155</v>
      </c>
      <c r="X30" t="str">
        <f t="shared" si="6"/>
        <v>4000255</v>
      </c>
      <c r="Y30" t="str">
        <f t="shared" si="7"/>
        <v>4000355</v>
      </c>
      <c r="Z30" t="str">
        <f t="shared" si="8"/>
        <v>4000455</v>
      </c>
      <c r="AA30" t="str">
        <f t="shared" si="9"/>
        <v>4000555</v>
      </c>
    </row>
    <row r="31" spans="1:27">
      <c r="A31" s="10">
        <v>57</v>
      </c>
      <c r="B31">
        <v>55</v>
      </c>
      <c r="C31">
        <f t="shared" si="11"/>
        <v>0.65600000000000003</v>
      </c>
      <c r="D31">
        <v>57</v>
      </c>
      <c r="E31">
        <v>0.34399999999999997</v>
      </c>
      <c r="G31" t="str">
        <f>R31&amp;"_0_1_"&amp;ROUNDDOWN([2]关卡!M37*$C31,0)</f>
        <v>4000155_0_1_453</v>
      </c>
      <c r="H31" t="str">
        <f>S31&amp;"_0_1_"&amp;ROUNDDOWN([2]关卡!N37*$C31,0)</f>
        <v>4000255_0_1_377</v>
      </c>
      <c r="I31" t="str">
        <f>T31&amp;"_0_1_"&amp;ROUNDDOWN([2]关卡!O37*$C31,0)</f>
        <v>4000355_0_1_307</v>
      </c>
      <c r="J31" t="str">
        <f>U31&amp;"_0_1_"&amp;ROUNDDOWN([2]关卡!P37*$C31,0)</f>
        <v>4000455_0_1_154</v>
      </c>
      <c r="K31" t="str">
        <f>V31&amp;"_0_1_"&amp;ROUNDDOWN([2]关卡!Q37*$C31,0)</f>
        <v>4000555_0_1_53</v>
      </c>
      <c r="L31" t="str">
        <f>W31&amp;"_0_1_"&amp;ROUNDDOWN([2]关卡!M37*$E31,0)</f>
        <v>4000157_0_1_238</v>
      </c>
      <c r="M31" t="str">
        <f>X31&amp;"_0_1_"&amp;ROUNDDOWN([2]关卡!N37*$E31,0)</f>
        <v>4000257_0_1_197</v>
      </c>
      <c r="N31" t="str">
        <f>Y31&amp;"_0_1_"&amp;ROUNDDOWN([2]关卡!O37*$E31,0)</f>
        <v>4000357_0_1_161</v>
      </c>
      <c r="O31" t="str">
        <f>Z31&amp;"_0_1_"&amp;ROUNDDOWN([2]关卡!P37*$E31,0)</f>
        <v>4000457_0_1_80</v>
      </c>
      <c r="P31" t="str">
        <f>AA31&amp;"_0_1_"&amp;ROUNDDOWN([2]关卡!Q37*$E31,0)</f>
        <v>4000557_0_1_28</v>
      </c>
      <c r="R31" t="str">
        <f t="shared" si="12"/>
        <v>4000155</v>
      </c>
      <c r="S31" t="str">
        <f t="shared" si="12"/>
        <v>4000255</v>
      </c>
      <c r="T31" t="str">
        <f t="shared" si="12"/>
        <v>4000355</v>
      </c>
      <c r="U31" t="str">
        <f t="shared" si="12"/>
        <v>4000455</v>
      </c>
      <c r="V31" t="str">
        <f t="shared" si="12"/>
        <v>4000555</v>
      </c>
      <c r="W31" t="str">
        <f t="shared" si="5"/>
        <v>4000157</v>
      </c>
      <c r="X31" t="str">
        <f t="shared" si="6"/>
        <v>4000257</v>
      </c>
      <c r="Y31" t="str">
        <f t="shared" si="7"/>
        <v>4000357</v>
      </c>
      <c r="Z31" t="str">
        <f t="shared" si="8"/>
        <v>4000457</v>
      </c>
      <c r="AA31" t="str">
        <f t="shared" si="9"/>
        <v>4000557</v>
      </c>
    </row>
    <row r="32" spans="1:27">
      <c r="A32" s="10">
        <v>59</v>
      </c>
      <c r="B32">
        <v>57</v>
      </c>
      <c r="C32">
        <f t="shared" si="11"/>
        <v>0.67500000000000004</v>
      </c>
      <c r="D32">
        <v>57</v>
      </c>
      <c r="E32">
        <v>0.32500000000000001</v>
      </c>
      <c r="G32" t="str">
        <f>R32&amp;"_0_1_"&amp;ROUNDDOWN([2]关卡!M38*$C32,0)</f>
        <v>4000157_0_1_467</v>
      </c>
      <c r="H32" t="str">
        <f>S32&amp;"_0_1_"&amp;ROUNDDOWN([2]关卡!N38*$C32,0)</f>
        <v>4000257_0_1_388</v>
      </c>
      <c r="I32" t="str">
        <f>T32&amp;"_0_1_"&amp;ROUNDDOWN([2]关卡!O38*$C32,0)</f>
        <v>4000357_0_1_316</v>
      </c>
      <c r="J32" t="str">
        <f>U32&amp;"_0_1_"&amp;ROUNDDOWN([2]关卡!P38*$C32,0)</f>
        <v>4000457_0_1_158</v>
      </c>
      <c r="K32" t="str">
        <f>V32&amp;"_0_1_"&amp;ROUNDDOWN([2]关卡!Q38*$C32,0)</f>
        <v>4000557_0_1_55</v>
      </c>
      <c r="L32" t="str">
        <f>W32&amp;"_0_1_"&amp;ROUNDDOWN([2]关卡!M38*$E32,0)</f>
        <v>4000157_0_1_224</v>
      </c>
      <c r="M32" t="str">
        <f>X32&amp;"_0_1_"&amp;ROUNDDOWN([2]关卡!N38*$E32,0)</f>
        <v>4000257_0_1_186</v>
      </c>
      <c r="N32" t="str">
        <f>Y32&amp;"_0_1_"&amp;ROUNDDOWN([2]关卡!O38*$E32,0)</f>
        <v>4000357_0_1_152</v>
      </c>
      <c r="O32" t="str">
        <f>Z32&amp;"_0_1_"&amp;ROUNDDOWN([2]关卡!P38*$E32,0)</f>
        <v>4000457_0_1_76</v>
      </c>
      <c r="P32" t="str">
        <f>AA32&amp;"_0_1_"&amp;ROUNDDOWN([2]关卡!Q38*$E32,0)</f>
        <v>4000557_0_1_26</v>
      </c>
      <c r="R32" t="str">
        <f t="shared" si="12"/>
        <v>4000157</v>
      </c>
      <c r="S32" t="str">
        <f t="shared" si="12"/>
        <v>4000257</v>
      </c>
      <c r="T32" t="str">
        <f t="shared" si="12"/>
        <v>4000357</v>
      </c>
      <c r="U32" t="str">
        <f t="shared" si="12"/>
        <v>4000457</v>
      </c>
      <c r="V32" t="str">
        <f t="shared" si="12"/>
        <v>4000557</v>
      </c>
      <c r="W32" t="str">
        <f t="shared" si="5"/>
        <v>4000157</v>
      </c>
      <c r="X32" t="str">
        <f t="shared" si="6"/>
        <v>4000257</v>
      </c>
      <c r="Y32" t="str">
        <f t="shared" si="7"/>
        <v>4000357</v>
      </c>
      <c r="Z32" t="str">
        <f t="shared" si="8"/>
        <v>4000457</v>
      </c>
      <c r="AA32" t="str">
        <f t="shared" si="9"/>
        <v>4000557</v>
      </c>
    </row>
    <row r="33" spans="1:33">
      <c r="A33" s="10">
        <v>61</v>
      </c>
      <c r="B33">
        <v>57</v>
      </c>
      <c r="C33">
        <f t="shared" si="11"/>
        <v>0.69300000000000006</v>
      </c>
      <c r="D33">
        <v>60</v>
      </c>
      <c r="E33">
        <v>0.307</v>
      </c>
      <c r="G33" t="str">
        <f>R33&amp;"_0_1_"&amp;ROUNDDOWN([2]关卡!M39*$C33,0)</f>
        <v>4000157_0_1_479</v>
      </c>
      <c r="H33" t="str">
        <f>S33&amp;"_0_1_"&amp;ROUNDDOWN([2]关卡!N39*$C33,0)</f>
        <v>4000257_0_1_398</v>
      </c>
      <c r="I33" t="str">
        <f>T33&amp;"_0_1_"&amp;ROUNDDOWN([2]关卡!O39*$C33,0)</f>
        <v>4000357_0_1_325</v>
      </c>
      <c r="J33" t="str">
        <f>U33&amp;"_0_1_"&amp;ROUNDDOWN([2]关卡!P39*$C33,0)</f>
        <v>4000457_0_1_162</v>
      </c>
      <c r="K33" t="str">
        <f>V33&amp;"_0_1_"&amp;ROUNDDOWN([2]关卡!Q39*$C33,0)</f>
        <v>4000557_0_1_56</v>
      </c>
      <c r="L33" t="str">
        <f>W33&amp;"_0_1_"&amp;ROUNDDOWN([2]关卡!M39*$E33,0)</f>
        <v>4000160_0_1_212</v>
      </c>
      <c r="M33" t="str">
        <f>X33&amp;"_0_1_"&amp;ROUNDDOWN([2]关卡!N39*$E33,0)</f>
        <v>4000260_0_1_176</v>
      </c>
      <c r="N33" t="str">
        <f>Y33&amp;"_0_1_"&amp;ROUNDDOWN([2]关卡!O39*$E33,0)</f>
        <v>4000360_0_1_143</v>
      </c>
      <c r="O33" t="str">
        <f>Z33&amp;"_0_1_"&amp;ROUNDDOWN([2]关卡!P39*$E33,0)</f>
        <v>4000460_0_1_72</v>
      </c>
      <c r="P33" t="str">
        <f>AA33&amp;"_0_1_"&amp;ROUNDDOWN([2]关卡!Q39*$E33,0)</f>
        <v>4000560_0_1_25</v>
      </c>
      <c r="R33" t="str">
        <f t="shared" si="12"/>
        <v>4000157</v>
      </c>
      <c r="S33" t="str">
        <f t="shared" si="12"/>
        <v>4000257</v>
      </c>
      <c r="T33" t="str">
        <f t="shared" si="12"/>
        <v>4000357</v>
      </c>
      <c r="U33" t="str">
        <f t="shared" si="12"/>
        <v>4000457</v>
      </c>
      <c r="V33" t="str">
        <f t="shared" si="12"/>
        <v>4000557</v>
      </c>
      <c r="W33" t="str">
        <f t="shared" si="5"/>
        <v>4000160</v>
      </c>
      <c r="X33" t="str">
        <f t="shared" si="6"/>
        <v>4000260</v>
      </c>
      <c r="Y33" t="str">
        <f t="shared" si="7"/>
        <v>4000360</v>
      </c>
      <c r="Z33" t="str">
        <f t="shared" si="8"/>
        <v>4000460</v>
      </c>
      <c r="AA33" t="str">
        <f t="shared" si="9"/>
        <v>4000560</v>
      </c>
    </row>
    <row r="34" spans="1:33">
      <c r="A34" s="10">
        <v>63</v>
      </c>
      <c r="B34">
        <v>60</v>
      </c>
      <c r="C34">
        <f t="shared" si="11"/>
        <v>0.70700000000000007</v>
      </c>
      <c r="D34">
        <v>63</v>
      </c>
      <c r="E34">
        <v>0.29299999999999998</v>
      </c>
      <c r="G34" t="str">
        <f>R34&amp;"_0_1_"&amp;ROUNDDOWN([2]关卡!M40*$C34,0)</f>
        <v>4000160_0_1_489</v>
      </c>
      <c r="H34" t="str">
        <f>S34&amp;"_0_1_"&amp;ROUNDDOWN([2]关卡!N40*$C34,0)</f>
        <v>4000260_0_1_406</v>
      </c>
      <c r="I34" t="str">
        <f>T34&amp;"_0_1_"&amp;ROUNDDOWN([2]关卡!O40*$C34,0)</f>
        <v>4000360_0_1_331</v>
      </c>
      <c r="J34" t="str">
        <f>U34&amp;"_0_1_"&amp;ROUNDDOWN([2]关卡!P40*$C34,0)</f>
        <v>4000460_0_1_166</v>
      </c>
      <c r="K34" t="str">
        <f>V34&amp;"_0_1_"&amp;ROUNDDOWN([2]关卡!Q40*$C34,0)</f>
        <v>4000560_0_1_57</v>
      </c>
      <c r="L34" t="str">
        <f>W34&amp;"_0_1_"&amp;ROUNDDOWN([2]关卡!M40*$E34,0)</f>
        <v>4000163_0_1_202</v>
      </c>
      <c r="M34" t="str">
        <f>X34&amp;"_0_1_"&amp;ROUNDDOWN([2]关卡!N40*$E34,0)</f>
        <v>4000263_0_1_168</v>
      </c>
      <c r="N34" t="str">
        <f>Y34&amp;"_0_1_"&amp;ROUNDDOWN([2]关卡!O40*$E34,0)</f>
        <v>4000363_0_1_137</v>
      </c>
      <c r="O34" t="str">
        <f>Z34&amp;"_0_1_"&amp;ROUNDDOWN([2]关卡!P40*$E34,0)</f>
        <v>4000463_0_1_68</v>
      </c>
      <c r="P34" t="str">
        <f>AA34&amp;"_0_1_"&amp;ROUNDDOWN([2]关卡!Q40*$E34,0)</f>
        <v>4000563_0_1_24</v>
      </c>
      <c r="R34" t="str">
        <f t="shared" si="12"/>
        <v>4000160</v>
      </c>
      <c r="S34" t="str">
        <f t="shared" si="12"/>
        <v>4000260</v>
      </c>
      <c r="T34" t="str">
        <f t="shared" si="12"/>
        <v>4000360</v>
      </c>
      <c r="U34" t="str">
        <f t="shared" si="12"/>
        <v>4000460</v>
      </c>
      <c r="V34" t="str">
        <f t="shared" si="12"/>
        <v>4000560</v>
      </c>
      <c r="W34" t="str">
        <f t="shared" si="5"/>
        <v>4000163</v>
      </c>
      <c r="X34" t="str">
        <f t="shared" si="6"/>
        <v>4000263</v>
      </c>
      <c r="Y34" t="str">
        <f t="shared" si="7"/>
        <v>4000363</v>
      </c>
      <c r="Z34" t="str">
        <f t="shared" si="8"/>
        <v>4000463</v>
      </c>
      <c r="AA34" t="str">
        <f t="shared" si="9"/>
        <v>4000563</v>
      </c>
    </row>
    <row r="35" spans="1:33">
      <c r="A35" s="10">
        <v>65</v>
      </c>
      <c r="B35">
        <v>63</v>
      </c>
      <c r="C35">
        <f t="shared" si="11"/>
        <v>0.72</v>
      </c>
      <c r="D35">
        <v>63</v>
      </c>
      <c r="E35">
        <v>0.28000000000000003</v>
      </c>
      <c r="G35" t="str">
        <f>R35&amp;"_0_1_"&amp;ROUNDDOWN([2]关卡!M41*$C35,0)</f>
        <v>4000163_0_1_498</v>
      </c>
      <c r="H35" t="str">
        <f>S35&amp;"_0_1_"&amp;ROUNDDOWN([2]关卡!N41*$C35,0)</f>
        <v>4000263_0_1_414</v>
      </c>
      <c r="I35" t="str">
        <f>T35&amp;"_0_1_"&amp;ROUNDDOWN([2]关卡!O41*$C35,0)</f>
        <v>4000363_0_1_337</v>
      </c>
      <c r="J35" t="str">
        <f>U35&amp;"_0_1_"&amp;ROUNDDOWN([2]关卡!P41*$C35,0)</f>
        <v>4000463_0_1_169</v>
      </c>
      <c r="K35" t="str">
        <f>V35&amp;"_0_1_"&amp;ROUNDDOWN([2]关卡!Q41*$C35,0)</f>
        <v>4000563_0_1_59</v>
      </c>
      <c r="L35" t="str">
        <f>W35&amp;"_0_1_"&amp;ROUNDDOWN([2]关卡!M41*$E35,0)</f>
        <v>4000163_0_1_193</v>
      </c>
      <c r="M35" t="str">
        <f>X35&amp;"_0_1_"&amp;ROUNDDOWN([2]关卡!N41*$E35,0)</f>
        <v>4000263_0_1_161</v>
      </c>
      <c r="N35" t="str">
        <f>Y35&amp;"_0_1_"&amp;ROUNDDOWN([2]关卡!O41*$E35,0)</f>
        <v>4000363_0_1_131</v>
      </c>
      <c r="O35" t="str">
        <f>Z35&amp;"_0_1_"&amp;ROUNDDOWN([2]关卡!P41*$E35,0)</f>
        <v>4000463_0_1_65</v>
      </c>
      <c r="P35" t="str">
        <f>AA35&amp;"_0_1_"&amp;ROUNDDOWN([2]关卡!Q41*$E35,0)</f>
        <v>4000563_0_1_22</v>
      </c>
      <c r="R35" t="str">
        <f t="shared" si="12"/>
        <v>4000163</v>
      </c>
      <c r="S35" t="str">
        <f t="shared" si="12"/>
        <v>4000263</v>
      </c>
      <c r="T35" t="str">
        <f t="shared" si="12"/>
        <v>4000363</v>
      </c>
      <c r="U35" t="str">
        <f t="shared" si="12"/>
        <v>4000463</v>
      </c>
      <c r="V35" t="str">
        <f t="shared" si="12"/>
        <v>4000563</v>
      </c>
      <c r="W35" t="str">
        <f t="shared" si="5"/>
        <v>4000163</v>
      </c>
      <c r="X35" t="str">
        <f t="shared" si="6"/>
        <v>4000263</v>
      </c>
      <c r="Y35" t="str">
        <f t="shared" si="7"/>
        <v>4000363</v>
      </c>
      <c r="Z35" t="str">
        <f t="shared" si="8"/>
        <v>4000463</v>
      </c>
      <c r="AA35" t="str">
        <f t="shared" si="9"/>
        <v>4000563</v>
      </c>
    </row>
    <row r="36" spans="1:33">
      <c r="A36" s="10">
        <v>67</v>
      </c>
      <c r="B36">
        <v>63</v>
      </c>
      <c r="C36">
        <f t="shared" si="11"/>
        <v>0.73199999999999998</v>
      </c>
      <c r="D36">
        <v>65</v>
      </c>
      <c r="E36">
        <v>0.26800000000000002</v>
      </c>
      <c r="G36" t="str">
        <f>R36&amp;"_0_1_"&amp;ROUNDDOWN([2]关卡!M42*$C36,0)</f>
        <v>4000163_0_1_506</v>
      </c>
      <c r="H36" t="str">
        <f>S36&amp;"_0_1_"&amp;ROUNDDOWN([2]关卡!N42*$C36,0)</f>
        <v>4000263_0_1_420</v>
      </c>
      <c r="I36" t="str">
        <f>T36&amp;"_0_1_"&amp;ROUNDDOWN([2]关卡!O42*$C36,0)</f>
        <v>4000363_0_1_343</v>
      </c>
      <c r="J36" t="str">
        <f>U36&amp;"_0_1_"&amp;ROUNDDOWN([2]关卡!P42*$C36,0)</f>
        <v>4000463_0_1_172</v>
      </c>
      <c r="K36" t="str">
        <f>V36&amp;"_0_1_"&amp;ROUNDDOWN([2]关卡!Q42*$C36,0)</f>
        <v>4000563_0_1_60</v>
      </c>
      <c r="L36" t="str">
        <f>W36&amp;"_0_1_"&amp;ROUNDDOWN([2]关卡!M42*$E36,0)</f>
        <v>4000165_0_1_185</v>
      </c>
      <c r="M36" t="str">
        <f>X36&amp;"_0_1_"&amp;ROUNDDOWN([2]关卡!N42*$E36,0)</f>
        <v>4000265_0_1_154</v>
      </c>
      <c r="N36" t="str">
        <f>Y36&amp;"_0_1_"&amp;ROUNDDOWN([2]关卡!O42*$E36,0)</f>
        <v>4000365_0_1_125</v>
      </c>
      <c r="O36" t="str">
        <f>Z36&amp;"_0_1_"&amp;ROUNDDOWN([2]关卡!P42*$E36,0)</f>
        <v>4000465_0_1_62</v>
      </c>
      <c r="P36" t="str">
        <f>AA36&amp;"_0_1_"&amp;ROUNDDOWN([2]关卡!Q42*$E36,0)</f>
        <v>4000565_0_1_21</v>
      </c>
      <c r="R36" t="str">
        <f t="shared" si="12"/>
        <v>4000163</v>
      </c>
      <c r="S36" t="str">
        <f t="shared" si="12"/>
        <v>4000263</v>
      </c>
      <c r="T36" t="str">
        <f t="shared" si="12"/>
        <v>4000363</v>
      </c>
      <c r="U36" t="str">
        <f t="shared" si="12"/>
        <v>4000463</v>
      </c>
      <c r="V36" t="str">
        <f t="shared" si="12"/>
        <v>4000563</v>
      </c>
      <c r="W36" t="str">
        <f t="shared" si="5"/>
        <v>4000165</v>
      </c>
      <c r="X36" t="str">
        <f t="shared" si="6"/>
        <v>4000265</v>
      </c>
      <c r="Y36" t="str">
        <f t="shared" si="7"/>
        <v>4000365</v>
      </c>
      <c r="Z36" t="str">
        <f t="shared" si="8"/>
        <v>4000465</v>
      </c>
      <c r="AA36" t="str">
        <f t="shared" si="9"/>
        <v>4000565</v>
      </c>
    </row>
    <row r="37" spans="1:33">
      <c r="A37" s="10">
        <v>69</v>
      </c>
      <c r="B37">
        <v>67</v>
      </c>
      <c r="C37">
        <f t="shared" si="11"/>
        <v>0.755</v>
      </c>
      <c r="D37">
        <v>70</v>
      </c>
      <c r="E37">
        <v>0.245</v>
      </c>
      <c r="G37" t="str">
        <f>R37&amp;"_0_1_"&amp;ROUNDDOWN([2]关卡!M43*$C37,0)</f>
        <v>4000167_0_1_522</v>
      </c>
      <c r="H37" t="str">
        <f>S37&amp;"_0_1_"&amp;ROUNDDOWN([2]关卡!N43*$C37,0)</f>
        <v>4000267_0_1_434</v>
      </c>
      <c r="I37" t="str">
        <f>T37&amp;"_0_1_"&amp;ROUNDDOWN([2]关卡!O43*$C37,0)</f>
        <v>4000367_0_1_354</v>
      </c>
      <c r="J37" t="str">
        <f>U37&amp;"_0_1_"&amp;ROUNDDOWN([2]关卡!P43*$C37,0)</f>
        <v>4000467_0_1_177</v>
      </c>
      <c r="K37" t="str">
        <f>V37&amp;"_0_1_"&amp;ROUNDDOWN([2]关卡!Q43*$C37,0)</f>
        <v>4000567_0_1_61</v>
      </c>
      <c r="L37" t="str">
        <f>W37&amp;"_0_1_"&amp;ROUNDDOWN([2]关卡!M43*$E37,0)</f>
        <v>4000170_0_1_169</v>
      </c>
      <c r="M37" t="str">
        <f>X37&amp;"_0_1_"&amp;ROUNDDOWN([2]关卡!N43*$E37,0)</f>
        <v>4000270_0_1_140</v>
      </c>
      <c r="N37" t="str">
        <f>Y37&amp;"_0_1_"&amp;ROUNDDOWN([2]关卡!O43*$E37,0)</f>
        <v>4000370_0_1_114</v>
      </c>
      <c r="O37" t="str">
        <f>Z37&amp;"_0_1_"&amp;ROUNDDOWN([2]关卡!P43*$E37,0)</f>
        <v>4000470_0_1_57</v>
      </c>
      <c r="P37" t="str">
        <f>AA37&amp;"_0_1_"&amp;ROUNDDOWN([2]关卡!Q43*$E37,0)</f>
        <v>4000570_0_1_20</v>
      </c>
      <c r="R37" t="str">
        <f t="shared" ref="R37" si="13">S$1&amp;$B37</f>
        <v>4000167</v>
      </c>
      <c r="S37" t="str">
        <f t="shared" ref="S37" si="14">T$1&amp;$B37</f>
        <v>4000267</v>
      </c>
      <c r="T37" t="str">
        <f t="shared" ref="T37" si="15">U$1&amp;$B37</f>
        <v>4000367</v>
      </c>
      <c r="U37" t="str">
        <f t="shared" ref="U37" si="16">V$1&amp;$B37</f>
        <v>4000467</v>
      </c>
      <c r="V37" t="str">
        <f t="shared" ref="V37" si="17">W$1&amp;$B37</f>
        <v>4000567</v>
      </c>
      <c r="W37" t="str">
        <f t="shared" ref="W37:W38" si="18">S$1&amp;$D37</f>
        <v>4000170</v>
      </c>
      <c r="X37" t="str">
        <f t="shared" ref="X37:X38" si="19">T$1&amp;$D37</f>
        <v>4000270</v>
      </c>
      <c r="Y37" t="str">
        <f t="shared" ref="Y37:Y38" si="20">U$1&amp;$D37</f>
        <v>4000370</v>
      </c>
      <c r="Z37" t="str">
        <f t="shared" ref="Z37:Z38" si="21">V$1&amp;$D37</f>
        <v>4000470</v>
      </c>
      <c r="AA37" t="str">
        <f t="shared" ref="AA37:AA38" si="22">W$1&amp;$D37</f>
        <v>4000570</v>
      </c>
    </row>
    <row r="38" spans="1:33">
      <c r="A38" s="10">
        <v>70</v>
      </c>
      <c r="B38">
        <v>67</v>
      </c>
      <c r="C38">
        <v>0.5</v>
      </c>
      <c r="D38">
        <v>70</v>
      </c>
      <c r="E38">
        <v>0.5</v>
      </c>
      <c r="G38" t="str">
        <f>R38&amp;"_0_1_"&amp;ROUNDDOWN([2]关卡!M44*$C38,0)</f>
        <v>4000167_0_1_362</v>
      </c>
      <c r="H38" t="str">
        <f>S38&amp;"_0_1_"&amp;ROUNDDOWN([2]关卡!N44*$C38,0)</f>
        <v>4000267_0_1_301</v>
      </c>
      <c r="I38" t="str">
        <f>T38&amp;"_0_1_"&amp;ROUNDDOWN([2]关卡!O44*$C38,0)</f>
        <v>4000367_0_1_245</v>
      </c>
      <c r="J38" t="str">
        <f>U38&amp;"_0_1_"&amp;ROUNDDOWN([2]关卡!P44*$C38,0)</f>
        <v>4000467_0_1_123</v>
      </c>
      <c r="K38" t="str">
        <f>V38&amp;"_0_1_"&amp;ROUNDDOWN([2]关卡!Q44*$C38,0)</f>
        <v>4000567_0_1_43</v>
      </c>
      <c r="L38" t="str">
        <f>W38&amp;"_0_1_"&amp;ROUNDDOWN([2]关卡!M43*$E38,0)</f>
        <v>4000170_0_1_346</v>
      </c>
      <c r="M38" t="str">
        <f>X38&amp;"_0_1_"&amp;ROUNDDOWN([2]关卡!N43*$E38,0)</f>
        <v>4000270_0_1_287</v>
      </c>
      <c r="N38" t="str">
        <f>Y38&amp;"_0_1_"&amp;ROUNDDOWN([2]关卡!O43*$E38,0)</f>
        <v>4000370_0_1_234</v>
      </c>
      <c r="O38" t="str">
        <f>Z38&amp;"_0_1_"&amp;ROUNDDOWN([2]关卡!P43*$E38,0)</f>
        <v>4000470_0_1_117</v>
      </c>
      <c r="P38" t="str">
        <f>AA38&amp;"_0_1_"&amp;ROUNDDOWN([2]关卡!Q43*$E38,0)</f>
        <v>4000570_0_1_41</v>
      </c>
      <c r="R38" t="str">
        <f t="shared" ref="R38" si="23">S$1&amp;$B38</f>
        <v>4000167</v>
      </c>
      <c r="S38" t="str">
        <f t="shared" ref="S38" si="24">T$1&amp;$B38</f>
        <v>4000267</v>
      </c>
      <c r="T38" t="str">
        <f t="shared" ref="T38" si="25">U$1&amp;$B38</f>
        <v>4000367</v>
      </c>
      <c r="U38" t="str">
        <f t="shared" ref="U38" si="26">V$1&amp;$B38</f>
        <v>4000467</v>
      </c>
      <c r="V38" t="str">
        <f t="shared" ref="V38" si="27">W$1&amp;$B38</f>
        <v>4000567</v>
      </c>
      <c r="W38" t="str">
        <f t="shared" si="18"/>
        <v>4000170</v>
      </c>
      <c r="X38" t="str">
        <f t="shared" si="19"/>
        <v>4000270</v>
      </c>
      <c r="Y38" t="str">
        <f t="shared" si="20"/>
        <v>4000370</v>
      </c>
      <c r="Z38" t="str">
        <f t="shared" si="21"/>
        <v>4000470</v>
      </c>
      <c r="AA38" t="str">
        <f t="shared" si="22"/>
        <v>4000570</v>
      </c>
    </row>
    <row r="39" spans="1:33">
      <c r="A39" s="10">
        <v>72</v>
      </c>
      <c r="B39">
        <v>72</v>
      </c>
      <c r="C39">
        <f t="shared" si="11"/>
        <v>0.77300000000000002</v>
      </c>
      <c r="D39">
        <v>74</v>
      </c>
      <c r="E39">
        <v>0.22700000000000001</v>
      </c>
      <c r="G39" t="str">
        <f>R39&amp;"_0_1_"&amp;ROUNDDOWN([2]关卡!M44*$C39,0)</f>
        <v>4001072_0_1_560</v>
      </c>
      <c r="H39" t="str">
        <f>S39&amp;"_0_1_"&amp;ROUNDDOWN([2]关卡!N44*$C39,0)</f>
        <v>4002072_0_1_465</v>
      </c>
      <c r="I39" t="str">
        <f>T39&amp;"_0_1_"&amp;ROUNDDOWN([2]关卡!O44*$C39,0)</f>
        <v>4003072_0_1_379</v>
      </c>
      <c r="J39" t="str">
        <f>U39&amp;"_0_1_"&amp;ROUNDDOWN([2]关卡!P44*$C39,0)</f>
        <v>4004072_0_1_190</v>
      </c>
      <c r="K39" t="str">
        <f>V39&amp;"_0_1_"&amp;ROUNDDOWN([2]关卡!Q44*$C39,0)</f>
        <v>4005072_0_1_66</v>
      </c>
      <c r="L39" t="str">
        <f>W39&amp;"_0_1_"&amp;ROUNDDOWN([2]关卡!M44*$E39,0)</f>
        <v>4001074_0_1_164</v>
      </c>
      <c r="M39" t="str">
        <f>X39&amp;"_0_1_"&amp;ROUNDDOWN([2]关卡!N44*$E39,0)</f>
        <v>4002074_0_1_136</v>
      </c>
      <c r="N39" t="str">
        <f>Y39&amp;"_0_1_"&amp;ROUNDDOWN([2]关卡!O44*$E39,0)</f>
        <v>4003074_0_1_111</v>
      </c>
      <c r="O39" t="str">
        <f>Z39&amp;"_0_1_"&amp;ROUNDDOWN([2]关卡!P44*$E39,0)</f>
        <v>4004074_0_1_55</v>
      </c>
      <c r="P39" t="str">
        <f>AA39&amp;"_0_1_"&amp;ROUNDDOWN([2]关卡!Q44*$E39,0)</f>
        <v>4005074_0_1_19</v>
      </c>
      <c r="R39" t="str">
        <f>AC45&amp;$B39</f>
        <v>4001072</v>
      </c>
      <c r="S39" t="str">
        <f t="shared" ref="S39:V39" si="28">AD45&amp;$B39</f>
        <v>4002072</v>
      </c>
      <c r="T39" t="str">
        <f t="shared" si="28"/>
        <v>4003072</v>
      </c>
      <c r="U39" t="str">
        <f t="shared" si="28"/>
        <v>4004072</v>
      </c>
      <c r="V39" t="str">
        <f t="shared" si="28"/>
        <v>4005072</v>
      </c>
      <c r="W39" t="str">
        <f t="shared" ref="W39:W52" si="29">AC$45&amp;$D39</f>
        <v>4001074</v>
      </c>
      <c r="X39" t="str">
        <f t="shared" ref="X39:X52" si="30">AD$45&amp;$D39</f>
        <v>4002074</v>
      </c>
      <c r="Y39" t="str">
        <f t="shared" ref="Y39:Y52" si="31">AE$45&amp;$D39</f>
        <v>4003074</v>
      </c>
      <c r="Z39" t="str">
        <f t="shared" ref="Z39:Z52" si="32">AF$45&amp;$D39</f>
        <v>4004074</v>
      </c>
      <c r="AA39" t="str">
        <f t="shared" ref="AA39:AA52" si="33">AG$45&amp;$D39</f>
        <v>4005074</v>
      </c>
    </row>
    <row r="40" spans="1:33">
      <c r="A40" s="10">
        <v>74</v>
      </c>
      <c r="B40">
        <v>74</v>
      </c>
      <c r="C40">
        <f t="shared" si="11"/>
        <v>0.81699999999999995</v>
      </c>
      <c r="D40">
        <v>76</v>
      </c>
      <c r="E40">
        <v>0.183</v>
      </c>
      <c r="G40" t="str">
        <f>R40&amp;"_0_1_"&amp;ROUNDDOWN([2]关卡!M45*$C40,0)</f>
        <v>4001074_0_1_598</v>
      </c>
      <c r="H40" t="str">
        <f>S40&amp;"_0_1_"&amp;ROUNDDOWN([2]关卡!N45*$C40,0)</f>
        <v>4002074_0_1_496</v>
      </c>
      <c r="I40" t="str">
        <f>T40&amp;"_0_1_"&amp;ROUNDDOWN([2]关卡!O45*$C40,0)</f>
        <v>4003074_0_1_405</v>
      </c>
      <c r="J40" t="str">
        <f>U40&amp;"_0_1_"&amp;ROUNDDOWN([2]关卡!P45*$C40,0)</f>
        <v>4004074_0_1_202</v>
      </c>
      <c r="K40" t="str">
        <f>V40&amp;"_0_1_"&amp;ROUNDDOWN([2]关卡!Q45*$C40,0)</f>
        <v>4005074_0_1_71</v>
      </c>
      <c r="L40" t="str">
        <f>W40&amp;"_0_1_"&amp;ROUNDDOWN([2]关卡!M45*$E40,0)</f>
        <v>4001076_0_1_133</v>
      </c>
      <c r="M40" t="str">
        <f>X40&amp;"_0_1_"&amp;ROUNDDOWN([2]关卡!N45*$E40,0)</f>
        <v>4002076_0_1_111</v>
      </c>
      <c r="N40" t="str">
        <f>Y40&amp;"_0_1_"&amp;ROUNDDOWN([2]关卡!O45*$E40,0)</f>
        <v>4003076_0_1_90</v>
      </c>
      <c r="O40" t="str">
        <f>Z40&amp;"_0_1_"&amp;ROUNDDOWN([2]关卡!P45*$E40,0)</f>
        <v>4004076_0_1_45</v>
      </c>
      <c r="P40" t="str">
        <f>AA40&amp;"_0_1_"&amp;ROUNDDOWN([2]关卡!Q45*$E40,0)</f>
        <v>4005076_0_1_15</v>
      </c>
      <c r="R40" t="str">
        <f t="shared" ref="R40:R53" si="34">AC$45&amp;$B40</f>
        <v>4001074</v>
      </c>
      <c r="S40" t="str">
        <f t="shared" ref="S40:S53" si="35">AD$45&amp;$B40</f>
        <v>4002074</v>
      </c>
      <c r="T40" t="str">
        <f t="shared" ref="T40:T53" si="36">AE$45&amp;$B40</f>
        <v>4003074</v>
      </c>
      <c r="U40" t="str">
        <f t="shared" ref="U40:U53" si="37">AF$45&amp;$B40</f>
        <v>4004074</v>
      </c>
      <c r="V40" t="str">
        <f t="shared" ref="V40:V53" si="38">AG$45&amp;$B40</f>
        <v>4005074</v>
      </c>
      <c r="W40" t="str">
        <f t="shared" si="29"/>
        <v>4001076</v>
      </c>
      <c r="X40" t="str">
        <f t="shared" si="30"/>
        <v>4002076</v>
      </c>
      <c r="Y40" t="str">
        <f t="shared" si="31"/>
        <v>4003076</v>
      </c>
      <c r="Z40" t="str">
        <f t="shared" si="32"/>
        <v>4004076</v>
      </c>
      <c r="AA40" t="str">
        <f t="shared" si="33"/>
        <v>4005076</v>
      </c>
    </row>
    <row r="41" spans="1:33">
      <c r="A41" s="10">
        <v>76</v>
      </c>
      <c r="B41">
        <v>76</v>
      </c>
      <c r="C41">
        <f t="shared" si="11"/>
        <v>0.85</v>
      </c>
      <c r="D41">
        <v>78</v>
      </c>
      <c r="E41">
        <v>0.15</v>
      </c>
      <c r="G41" t="str">
        <f>R41&amp;"_0_1_"&amp;ROUNDDOWN([2]关卡!M46*$C41,0)</f>
        <v>4001076_0_1_627</v>
      </c>
      <c r="H41" t="str">
        <f>S41&amp;"_0_1_"&amp;ROUNDDOWN([2]关卡!N46*$C41,0)</f>
        <v>4002076_0_1_521</v>
      </c>
      <c r="I41" t="str">
        <f>T41&amp;"_0_1_"&amp;ROUNDDOWN([2]关卡!O46*$C41,0)</f>
        <v>4003076_0_1_425</v>
      </c>
      <c r="J41" t="str">
        <f>U41&amp;"_0_1_"&amp;ROUNDDOWN([2]关卡!P46*$C41,0)</f>
        <v>4004076_0_1_212</v>
      </c>
      <c r="K41" t="str">
        <f>V41&amp;"_0_1_"&amp;ROUNDDOWN([2]关卡!Q46*$C41,0)</f>
        <v>4005076_0_1_74</v>
      </c>
      <c r="L41" t="str">
        <f>W41&amp;"_0_1_"&amp;ROUNDDOWN([2]关卡!M46*$E41,0)</f>
        <v>4001078_0_1_110</v>
      </c>
      <c r="M41" t="str">
        <f>X41&amp;"_0_1_"&amp;ROUNDDOWN([2]关卡!N46*$E41,0)</f>
        <v>4002078_0_1_91</v>
      </c>
      <c r="N41" t="str">
        <f>Y41&amp;"_0_1_"&amp;ROUNDDOWN([2]关卡!O46*$E41,0)</f>
        <v>4003078_0_1_75</v>
      </c>
      <c r="O41" t="str">
        <f>Z41&amp;"_0_1_"&amp;ROUNDDOWN([2]关卡!P46*$E41,0)</f>
        <v>4004078_0_1_37</v>
      </c>
      <c r="P41" t="str">
        <f>AA41&amp;"_0_1_"&amp;ROUNDDOWN([2]关卡!Q46*$E41,0)</f>
        <v>4005078_0_1_13</v>
      </c>
      <c r="R41" t="str">
        <f t="shared" si="34"/>
        <v>4001076</v>
      </c>
      <c r="S41" t="str">
        <f t="shared" si="35"/>
        <v>4002076</v>
      </c>
      <c r="T41" t="str">
        <f t="shared" si="36"/>
        <v>4003076</v>
      </c>
      <c r="U41" t="str">
        <f t="shared" si="37"/>
        <v>4004076</v>
      </c>
      <c r="V41" t="str">
        <f t="shared" si="38"/>
        <v>4005076</v>
      </c>
      <c r="W41" t="str">
        <f t="shared" si="29"/>
        <v>4001078</v>
      </c>
      <c r="X41" t="str">
        <f t="shared" si="30"/>
        <v>4002078</v>
      </c>
      <c r="Y41" t="str">
        <f t="shared" si="31"/>
        <v>4003078</v>
      </c>
      <c r="Z41" t="str">
        <f t="shared" si="32"/>
        <v>4004078</v>
      </c>
      <c r="AA41" t="str">
        <f t="shared" si="33"/>
        <v>4005078</v>
      </c>
    </row>
    <row r="42" spans="1:33">
      <c r="A42" s="10">
        <v>78</v>
      </c>
      <c r="B42">
        <v>78</v>
      </c>
      <c r="C42">
        <f t="shared" si="11"/>
        <v>0.875</v>
      </c>
      <c r="D42">
        <v>80</v>
      </c>
      <c r="E42">
        <v>0.125</v>
      </c>
      <c r="G42" t="str">
        <f>R42&amp;"_0_1_"&amp;ROUNDDOWN([2]关卡!M47*$C42,0)</f>
        <v>4001078_0_1_651</v>
      </c>
      <c r="H42" t="str">
        <f>S42&amp;"_0_1_"&amp;ROUNDDOWN([2]关卡!N47*$C42,0)</f>
        <v>4002078_0_1_541</v>
      </c>
      <c r="I42" t="str">
        <f>T42&amp;"_0_1_"&amp;ROUNDDOWN([2]关卡!O47*$C42,0)</f>
        <v>4003078_0_1_441</v>
      </c>
      <c r="J42" t="str">
        <f>U42&amp;"_0_1_"&amp;ROUNDDOWN([2]关卡!P47*$C42,0)</f>
        <v>4004078_0_1_221</v>
      </c>
      <c r="K42" t="str">
        <f>V42&amp;"_0_1_"&amp;ROUNDDOWN([2]关卡!Q47*$C42,0)</f>
        <v>4005078_0_1_77</v>
      </c>
      <c r="L42" t="str">
        <f>W42&amp;"_0_1_"&amp;ROUNDDOWN([2]关卡!M47*$E42,0)</f>
        <v>4001080_0_1_93</v>
      </c>
      <c r="M42" t="str">
        <f>X42&amp;"_0_1_"&amp;ROUNDDOWN([2]关卡!N47*$E42,0)</f>
        <v>4002080_0_1_77</v>
      </c>
      <c r="N42" t="str">
        <f>Y42&amp;"_0_1_"&amp;ROUNDDOWN([2]关卡!O47*$E42,0)</f>
        <v>4003080_0_1_63</v>
      </c>
      <c r="O42" t="str">
        <f>Z42&amp;"_0_1_"&amp;ROUNDDOWN([2]关卡!P47*$E42,0)</f>
        <v>4004080_0_1_31</v>
      </c>
      <c r="P42" t="str">
        <f>AA42&amp;"_0_1_"&amp;ROUNDDOWN([2]关卡!Q47*$E42,0)</f>
        <v>4005080_0_1_11</v>
      </c>
      <c r="R42" t="str">
        <f t="shared" si="34"/>
        <v>4001078</v>
      </c>
      <c r="S42" t="str">
        <f t="shared" si="35"/>
        <v>4002078</v>
      </c>
      <c r="T42" t="str">
        <f t="shared" si="36"/>
        <v>4003078</v>
      </c>
      <c r="U42" t="str">
        <f t="shared" si="37"/>
        <v>4004078</v>
      </c>
      <c r="V42" t="str">
        <f t="shared" si="38"/>
        <v>4005078</v>
      </c>
      <c r="W42" t="str">
        <f t="shared" si="29"/>
        <v>4001080</v>
      </c>
      <c r="X42" t="str">
        <f t="shared" si="30"/>
        <v>4002080</v>
      </c>
      <c r="Y42" t="str">
        <f t="shared" si="31"/>
        <v>4003080</v>
      </c>
      <c r="Z42" t="str">
        <f t="shared" si="32"/>
        <v>4004080</v>
      </c>
      <c r="AA42" t="str">
        <f t="shared" si="33"/>
        <v>4005080</v>
      </c>
    </row>
    <row r="43" spans="1:33">
      <c r="A43" s="10">
        <v>80</v>
      </c>
      <c r="B43">
        <v>80</v>
      </c>
      <c r="C43">
        <f t="shared" si="11"/>
        <v>0.9</v>
      </c>
      <c r="D43">
        <v>82</v>
      </c>
      <c r="E43">
        <v>0.1</v>
      </c>
      <c r="G43" t="str">
        <f>R43&amp;"_0_1_"&amp;ROUNDDOWN([2]关卡!M48*$C43,0)</f>
        <v>4001080_0_1_676</v>
      </c>
      <c r="H43" t="str">
        <f>S43&amp;"_0_1_"&amp;ROUNDDOWN([2]关卡!N48*$C43,0)</f>
        <v>4002080_0_1_561</v>
      </c>
      <c r="I43" t="str">
        <f>T43&amp;"_0_1_"&amp;ROUNDDOWN([2]关卡!O48*$C43,0)</f>
        <v>4003080_0_1_459</v>
      </c>
      <c r="J43" t="str">
        <f>U43&amp;"_0_1_"&amp;ROUNDDOWN([2]关卡!P48*$C43,0)</f>
        <v>4004080_0_1_229</v>
      </c>
      <c r="K43" t="str">
        <f>V43&amp;"_0_1_"&amp;ROUNDDOWN([2]关卡!Q48*$C43,0)</f>
        <v>4005080_0_1_80</v>
      </c>
      <c r="L43" t="str">
        <f>W43&amp;"_0_1_"&amp;ROUNDDOWN([2]关卡!M48*$E43,0)</f>
        <v>4001082_0_1_75</v>
      </c>
      <c r="M43" t="str">
        <f>X43&amp;"_0_1_"&amp;ROUNDDOWN([2]关卡!N48*$E43,0)</f>
        <v>4002082_0_1_62</v>
      </c>
      <c r="N43" t="str">
        <f>Y43&amp;"_0_1_"&amp;ROUNDDOWN([2]关卡!O48*$E43,0)</f>
        <v>4003082_0_1_51</v>
      </c>
      <c r="O43" t="str">
        <f>Z43&amp;"_0_1_"&amp;ROUNDDOWN([2]关卡!P48*$E43,0)</f>
        <v>4004082_0_1_25</v>
      </c>
      <c r="P43" t="str">
        <f>AA43&amp;"_0_1_"&amp;ROUNDDOWN([2]关卡!Q48*$E43,0)</f>
        <v>4005082_0_1_8</v>
      </c>
      <c r="R43" t="str">
        <f t="shared" si="34"/>
        <v>4001080</v>
      </c>
      <c r="S43" t="str">
        <f t="shared" si="35"/>
        <v>4002080</v>
      </c>
      <c r="T43" t="str">
        <f t="shared" si="36"/>
        <v>4003080</v>
      </c>
      <c r="U43" t="str">
        <f t="shared" si="37"/>
        <v>4004080</v>
      </c>
      <c r="V43" t="str">
        <f t="shared" si="38"/>
        <v>4005080</v>
      </c>
      <c r="W43" t="str">
        <f t="shared" si="29"/>
        <v>4001082</v>
      </c>
      <c r="X43" t="str">
        <f t="shared" si="30"/>
        <v>4002082</v>
      </c>
      <c r="Y43" t="str">
        <f t="shared" si="31"/>
        <v>4003082</v>
      </c>
      <c r="Z43" t="str">
        <f t="shared" si="32"/>
        <v>4004082</v>
      </c>
      <c r="AA43" t="str">
        <f t="shared" si="33"/>
        <v>4005082</v>
      </c>
    </row>
    <row r="44" spans="1:33">
      <c r="A44" s="10">
        <v>82</v>
      </c>
      <c r="B44">
        <v>82</v>
      </c>
      <c r="C44">
        <f t="shared" si="11"/>
        <v>0.9</v>
      </c>
      <c r="D44">
        <v>84</v>
      </c>
      <c r="E44">
        <v>0.1</v>
      </c>
      <c r="G44" t="str">
        <f>R44&amp;"_0_1_"&amp;ROUNDDOWN([2]关卡!M49*$C44,0)</f>
        <v>4001082_0_1_683</v>
      </c>
      <c r="H44" t="str">
        <f>S44&amp;"_0_1_"&amp;ROUNDDOWN([2]关卡!N49*$C44,0)</f>
        <v>4002082_0_1_567</v>
      </c>
      <c r="I44" t="str">
        <f>T44&amp;"_0_1_"&amp;ROUNDDOWN([2]关卡!O49*$C44,0)</f>
        <v>4003082_0_1_462</v>
      </c>
      <c r="J44" t="str">
        <f>U44&amp;"_0_1_"&amp;ROUNDDOWN([2]关卡!P49*$C44,0)</f>
        <v>4004082_0_1_231</v>
      </c>
      <c r="K44" t="str">
        <f>V44&amp;"_0_1_"&amp;ROUNDDOWN([2]关卡!Q49*$C44,0)</f>
        <v>4005082_0_1_81</v>
      </c>
      <c r="L44" t="str">
        <f>W44&amp;"_0_1_"&amp;ROUNDDOWN([2]关卡!M49*$E44,0)</f>
        <v>4001084_0_1_75</v>
      </c>
      <c r="M44" t="str">
        <f>X44&amp;"_0_1_"&amp;ROUNDDOWN([2]关卡!N49*$E44,0)</f>
        <v>4002084_0_1_63</v>
      </c>
      <c r="N44" t="str">
        <f>Y44&amp;"_0_1_"&amp;ROUNDDOWN([2]关卡!O49*$E44,0)</f>
        <v>4003084_0_1_51</v>
      </c>
      <c r="O44" t="str">
        <f>Z44&amp;"_0_1_"&amp;ROUNDDOWN([2]关卡!P49*$E44,0)</f>
        <v>4004084_0_1_25</v>
      </c>
      <c r="P44" t="str">
        <f>AA44&amp;"_0_1_"&amp;ROUNDDOWN([2]关卡!Q49*$E44,0)</f>
        <v>4005084_0_1_9</v>
      </c>
      <c r="R44" t="str">
        <f t="shared" si="34"/>
        <v>4001082</v>
      </c>
      <c r="S44" t="str">
        <f t="shared" si="35"/>
        <v>4002082</v>
      </c>
      <c r="T44" t="str">
        <f t="shared" si="36"/>
        <v>4003082</v>
      </c>
      <c r="U44" t="str">
        <f t="shared" si="37"/>
        <v>4004082</v>
      </c>
      <c r="V44" t="str">
        <f t="shared" si="38"/>
        <v>4005082</v>
      </c>
      <c r="W44" t="str">
        <f t="shared" si="29"/>
        <v>4001084</v>
      </c>
      <c r="X44" t="str">
        <f t="shared" si="30"/>
        <v>4002084</v>
      </c>
      <c r="Y44" t="str">
        <f t="shared" si="31"/>
        <v>4003084</v>
      </c>
      <c r="Z44" t="str">
        <f t="shared" si="32"/>
        <v>4004084</v>
      </c>
      <c r="AA44" t="str">
        <f t="shared" si="33"/>
        <v>4005084</v>
      </c>
    </row>
    <row r="45" spans="1:33">
      <c r="A45" s="10">
        <v>84</v>
      </c>
      <c r="B45">
        <v>84</v>
      </c>
      <c r="C45">
        <f t="shared" si="11"/>
        <v>0.9</v>
      </c>
      <c r="D45">
        <v>86</v>
      </c>
      <c r="E45">
        <v>0.1</v>
      </c>
      <c r="G45" t="str">
        <f>R45&amp;"_0_1_"&amp;ROUNDDOWN([2]关卡!M50*$C45,0)</f>
        <v>4001084_0_1_688</v>
      </c>
      <c r="H45" t="str">
        <f>S45&amp;"_0_1_"&amp;ROUNDDOWN([2]关卡!N50*$C45,0)</f>
        <v>4002084_0_1_572</v>
      </c>
      <c r="I45" t="str">
        <f>T45&amp;"_0_1_"&amp;ROUNDDOWN([2]关卡!O50*$C45,0)</f>
        <v>4003084_0_1_467</v>
      </c>
      <c r="J45" t="str">
        <f>U45&amp;"_0_1_"&amp;ROUNDDOWN([2]关卡!P50*$C45,0)</f>
        <v>4004084_0_1_233</v>
      </c>
      <c r="K45" t="str">
        <f>V45&amp;"_0_1_"&amp;ROUNDDOWN([2]关卡!Q50*$C45,0)</f>
        <v>4005084_0_1_81</v>
      </c>
      <c r="L45" t="str">
        <f>W45&amp;"_0_1_"&amp;ROUNDDOWN([2]关卡!M50*$E45,0)</f>
        <v>4001086_0_1_76</v>
      </c>
      <c r="M45" t="str">
        <f>X45&amp;"_0_1_"&amp;ROUNDDOWN([2]关卡!N50*$E45,0)</f>
        <v>4002086_0_1_63</v>
      </c>
      <c r="N45" t="str">
        <f>Y45&amp;"_0_1_"&amp;ROUNDDOWN([2]关卡!O50*$E45,0)</f>
        <v>4003086_0_1_51</v>
      </c>
      <c r="O45" t="str">
        <f>Z45&amp;"_0_1_"&amp;ROUNDDOWN([2]关卡!P50*$E45,0)</f>
        <v>4004086_0_1_25</v>
      </c>
      <c r="P45" t="str">
        <f>AA45&amp;"_0_1_"&amp;ROUNDDOWN([2]关卡!Q50*$E45,0)</f>
        <v>4005086_0_1_9</v>
      </c>
      <c r="R45" t="str">
        <f t="shared" si="34"/>
        <v>4001084</v>
      </c>
      <c r="S45" t="str">
        <f t="shared" si="35"/>
        <v>4002084</v>
      </c>
      <c r="T45" t="str">
        <f t="shared" si="36"/>
        <v>4003084</v>
      </c>
      <c r="U45" t="str">
        <f t="shared" si="37"/>
        <v>4004084</v>
      </c>
      <c r="V45" t="str">
        <f t="shared" si="38"/>
        <v>4005084</v>
      </c>
      <c r="W45" t="str">
        <f t="shared" si="29"/>
        <v>4001086</v>
      </c>
      <c r="X45" t="str">
        <f t="shared" si="30"/>
        <v>4002086</v>
      </c>
      <c r="Y45" t="str">
        <f t="shared" si="31"/>
        <v>4003086</v>
      </c>
      <c r="Z45" t="str">
        <f t="shared" si="32"/>
        <v>4004086</v>
      </c>
      <c r="AA45" t="str">
        <f t="shared" si="33"/>
        <v>4005086</v>
      </c>
      <c r="AC45" s="12">
        <v>40010</v>
      </c>
      <c r="AD45" s="12">
        <v>40020</v>
      </c>
      <c r="AE45" s="12">
        <v>40030</v>
      </c>
      <c r="AF45" s="12">
        <v>40040</v>
      </c>
      <c r="AG45" s="12">
        <v>40050</v>
      </c>
    </row>
    <row r="46" spans="1:33">
      <c r="A46" s="10">
        <v>86</v>
      </c>
      <c r="B46">
        <v>86</v>
      </c>
      <c r="C46">
        <f t="shared" si="11"/>
        <v>0.9</v>
      </c>
      <c r="D46">
        <v>88</v>
      </c>
      <c r="E46">
        <v>0.1</v>
      </c>
      <c r="G46" t="str">
        <f>R46&amp;"_0_1_"&amp;ROUNDDOWN([2]关卡!M51*$C46,0)</f>
        <v>4001086_0_1_694</v>
      </c>
      <c r="H46" t="str">
        <f>S46&amp;"_0_1_"&amp;ROUNDDOWN([2]关卡!N51*$C46,0)</f>
        <v>4002086_0_1_576</v>
      </c>
      <c r="I46" t="str">
        <f>T46&amp;"_0_1_"&amp;ROUNDDOWN([2]关卡!O51*$C46,0)</f>
        <v>4003086_0_1_470</v>
      </c>
      <c r="J46" t="str">
        <f>U46&amp;"_0_1_"&amp;ROUNDDOWN([2]关卡!P51*$C46,0)</f>
        <v>4004086_0_1_235</v>
      </c>
      <c r="K46" t="str">
        <f>V46&amp;"_0_1_"&amp;ROUNDDOWN([2]关卡!Q51*$C46,0)</f>
        <v>4005086_0_1_82</v>
      </c>
      <c r="L46" t="str">
        <f>W46&amp;"_0_1_"&amp;ROUNDDOWN([2]关卡!M51*$E46,0)</f>
        <v>4001088_0_1_77</v>
      </c>
      <c r="M46" t="str">
        <f>X46&amp;"_0_1_"&amp;ROUNDDOWN([2]关卡!N51*$E46,0)</f>
        <v>4002088_0_1_64</v>
      </c>
      <c r="N46" t="str">
        <f>Y46&amp;"_0_1_"&amp;ROUNDDOWN([2]关卡!O51*$E46,0)</f>
        <v>4003088_0_1_52</v>
      </c>
      <c r="O46" t="str">
        <f>Z46&amp;"_0_1_"&amp;ROUNDDOWN([2]关卡!P51*$E46,0)</f>
        <v>4004088_0_1_26</v>
      </c>
      <c r="P46" t="str">
        <f>AA46&amp;"_0_1_"&amp;ROUNDDOWN([2]关卡!Q51*$E46,0)</f>
        <v>4005088_0_1_9</v>
      </c>
      <c r="R46" t="str">
        <f t="shared" si="34"/>
        <v>4001086</v>
      </c>
      <c r="S46" t="str">
        <f t="shared" si="35"/>
        <v>4002086</v>
      </c>
      <c r="T46" t="str">
        <f t="shared" si="36"/>
        <v>4003086</v>
      </c>
      <c r="U46" t="str">
        <f t="shared" si="37"/>
        <v>4004086</v>
      </c>
      <c r="V46" t="str">
        <f t="shared" si="38"/>
        <v>4005086</v>
      </c>
      <c r="W46" t="str">
        <f t="shared" si="29"/>
        <v>4001088</v>
      </c>
      <c r="X46" t="str">
        <f t="shared" si="30"/>
        <v>4002088</v>
      </c>
      <c r="Y46" t="str">
        <f t="shared" si="31"/>
        <v>4003088</v>
      </c>
      <c r="Z46" t="str">
        <f t="shared" si="32"/>
        <v>4004088</v>
      </c>
      <c r="AA46" t="str">
        <f t="shared" si="33"/>
        <v>4005088</v>
      </c>
      <c r="AC46" s="12">
        <v>4001</v>
      </c>
      <c r="AD46" s="12">
        <v>4002</v>
      </c>
      <c r="AE46" s="12">
        <v>4003</v>
      </c>
      <c r="AF46" s="12">
        <v>4004</v>
      </c>
      <c r="AG46" s="12">
        <v>4005</v>
      </c>
    </row>
    <row r="47" spans="1:33">
      <c r="A47" s="10">
        <v>88</v>
      </c>
      <c r="B47">
        <v>88</v>
      </c>
      <c r="C47">
        <f t="shared" si="11"/>
        <v>0.9</v>
      </c>
      <c r="D47">
        <v>90</v>
      </c>
      <c r="E47">
        <v>0.1</v>
      </c>
      <c r="G47" t="str">
        <f>R47&amp;"_0_1_"&amp;ROUNDDOWN([2]关卡!M52*$C47,0)</f>
        <v>4001088_0_1_701</v>
      </c>
      <c r="H47" t="str">
        <f>S47&amp;"_0_1_"&amp;ROUNDDOWN([2]关卡!N52*$C47,0)</f>
        <v>4002088_0_1_582</v>
      </c>
      <c r="I47" t="str">
        <f>T47&amp;"_0_1_"&amp;ROUNDDOWN([2]关卡!O52*$C47,0)</f>
        <v>4003088_0_1_475</v>
      </c>
      <c r="J47" t="str">
        <f>U47&amp;"_0_1_"&amp;ROUNDDOWN([2]关卡!P52*$C47,0)</f>
        <v>4004088_0_1_237</v>
      </c>
      <c r="K47" t="str">
        <f>V47&amp;"_0_1_"&amp;ROUNDDOWN([2]关卡!Q52*$C47,0)</f>
        <v>4005088_0_1_82</v>
      </c>
      <c r="L47" t="str">
        <f>W47&amp;"_0_1_"&amp;ROUNDDOWN([2]关卡!M52*$E47,0)</f>
        <v>4001090_0_1_77</v>
      </c>
      <c r="M47" t="str">
        <f>X47&amp;"_0_1_"&amp;ROUNDDOWN([2]关卡!N52*$E47,0)</f>
        <v>4002090_0_1_64</v>
      </c>
      <c r="N47" t="str">
        <f>Y47&amp;"_0_1_"&amp;ROUNDDOWN([2]关卡!O52*$E47,0)</f>
        <v>4003090_0_1_52</v>
      </c>
      <c r="O47" t="str">
        <f>Z47&amp;"_0_1_"&amp;ROUNDDOWN([2]关卡!P52*$E47,0)</f>
        <v>4004090_0_1_26</v>
      </c>
      <c r="P47" t="str">
        <f>AA47&amp;"_0_1_"&amp;ROUNDDOWN([2]关卡!Q52*$E47,0)</f>
        <v>4005090_0_1_9</v>
      </c>
      <c r="R47" t="str">
        <f t="shared" si="34"/>
        <v>4001088</v>
      </c>
      <c r="S47" t="str">
        <f t="shared" si="35"/>
        <v>4002088</v>
      </c>
      <c r="T47" t="str">
        <f t="shared" si="36"/>
        <v>4003088</v>
      </c>
      <c r="U47" t="str">
        <f t="shared" si="37"/>
        <v>4004088</v>
      </c>
      <c r="V47" t="str">
        <f t="shared" si="38"/>
        <v>4005088</v>
      </c>
      <c r="W47" t="str">
        <f t="shared" si="29"/>
        <v>4001090</v>
      </c>
      <c r="X47" t="str">
        <f t="shared" si="30"/>
        <v>4002090</v>
      </c>
      <c r="Y47" t="str">
        <f t="shared" si="31"/>
        <v>4003090</v>
      </c>
      <c r="Z47" t="str">
        <f t="shared" si="32"/>
        <v>4004090</v>
      </c>
      <c r="AA47" t="str">
        <f t="shared" si="33"/>
        <v>4005090</v>
      </c>
    </row>
    <row r="48" spans="1:33">
      <c r="A48" s="10">
        <v>90</v>
      </c>
      <c r="B48">
        <v>90</v>
      </c>
      <c r="C48">
        <f t="shared" si="11"/>
        <v>0.9</v>
      </c>
      <c r="D48">
        <v>92</v>
      </c>
      <c r="E48">
        <v>0.1</v>
      </c>
      <c r="G48" t="str">
        <f>R48&amp;"_0_1_"&amp;ROUNDDOWN([2]关卡!M53*$C48,0)</f>
        <v>4001090_0_1_707</v>
      </c>
      <c r="H48" t="str">
        <f>S48&amp;"_0_1_"&amp;ROUNDDOWN([2]关卡!N53*$C48,0)</f>
        <v>4002090_0_1_586</v>
      </c>
      <c r="I48" t="str">
        <f>T48&amp;"_0_1_"&amp;ROUNDDOWN([2]关卡!O53*$C48,0)</f>
        <v>4003090_0_1_479</v>
      </c>
      <c r="J48" t="str">
        <f>U48&amp;"_0_1_"&amp;ROUNDDOWN([2]关卡!P53*$C48,0)</f>
        <v>4004090_0_1_239</v>
      </c>
      <c r="K48" t="str">
        <f>V48&amp;"_0_1_"&amp;ROUNDDOWN([2]关卡!Q53*$C48,0)</f>
        <v>4005090_0_1_83</v>
      </c>
      <c r="L48" t="str">
        <f>W48&amp;"_0_1_"&amp;ROUNDDOWN([2]关卡!M53*$E48,0)</f>
        <v>4001092_0_1_78</v>
      </c>
      <c r="M48" t="str">
        <f>X48&amp;"_0_1_"&amp;ROUNDDOWN([2]关卡!N53*$E48,0)</f>
        <v>4002092_0_1_65</v>
      </c>
      <c r="N48" t="str">
        <f>Y48&amp;"_0_1_"&amp;ROUNDDOWN([2]关卡!O53*$E48,0)</f>
        <v>4003092_0_1_53</v>
      </c>
      <c r="O48" t="str">
        <f>Z48&amp;"_0_1_"&amp;ROUNDDOWN([2]关卡!P53*$E48,0)</f>
        <v>4004092_0_1_26</v>
      </c>
      <c r="P48" t="str">
        <f>AA48&amp;"_0_1_"&amp;ROUNDDOWN([2]关卡!Q53*$E48,0)</f>
        <v>4005092_0_1_9</v>
      </c>
      <c r="R48" t="str">
        <f t="shared" si="34"/>
        <v>4001090</v>
      </c>
      <c r="S48" t="str">
        <f t="shared" si="35"/>
        <v>4002090</v>
      </c>
      <c r="T48" t="str">
        <f t="shared" si="36"/>
        <v>4003090</v>
      </c>
      <c r="U48" t="str">
        <f t="shared" si="37"/>
        <v>4004090</v>
      </c>
      <c r="V48" t="str">
        <f t="shared" si="38"/>
        <v>4005090</v>
      </c>
      <c r="W48" t="str">
        <f t="shared" si="29"/>
        <v>4001092</v>
      </c>
      <c r="X48" t="str">
        <f t="shared" si="30"/>
        <v>4002092</v>
      </c>
      <c r="Y48" t="str">
        <f t="shared" si="31"/>
        <v>4003092</v>
      </c>
      <c r="Z48" t="str">
        <f t="shared" si="32"/>
        <v>4004092</v>
      </c>
      <c r="AA48" t="str">
        <f t="shared" si="33"/>
        <v>4005092</v>
      </c>
    </row>
    <row r="49" spans="1:27">
      <c r="A49" s="10">
        <v>92</v>
      </c>
      <c r="B49">
        <v>92</v>
      </c>
      <c r="C49">
        <f t="shared" si="11"/>
        <v>0.9</v>
      </c>
      <c r="D49">
        <v>94</v>
      </c>
      <c r="E49">
        <v>0.1</v>
      </c>
      <c r="G49" t="str">
        <f>R49&amp;"_0_1_"&amp;ROUNDDOWN([2]关卡!M54*$C49,0)</f>
        <v>4001092_0_1_712</v>
      </c>
      <c r="H49" t="str">
        <f>S49&amp;"_0_1_"&amp;ROUNDDOWN([2]关卡!N54*$C49,0)</f>
        <v>4002092_0_1_592</v>
      </c>
      <c r="I49" t="str">
        <f>T49&amp;"_0_1_"&amp;ROUNDDOWN([2]关卡!O54*$C49,0)</f>
        <v>4003092_0_1_483</v>
      </c>
      <c r="J49" t="str">
        <f>U49&amp;"_0_1_"&amp;ROUNDDOWN([2]关卡!P54*$C49,0)</f>
        <v>4004092_0_1_242</v>
      </c>
      <c r="K49" t="str">
        <f>V49&amp;"_0_1_"&amp;ROUNDDOWN([2]关卡!Q54*$C49,0)</f>
        <v>4005092_0_1_84</v>
      </c>
      <c r="L49" t="str">
        <f>W49&amp;"_0_1_"&amp;ROUNDDOWN([2]关卡!M54*$E49,0)</f>
        <v>4001094_0_1_79</v>
      </c>
      <c r="M49" t="str">
        <f>X49&amp;"_0_1_"&amp;ROUNDDOWN([2]关卡!N54*$E49,0)</f>
        <v>4002094_0_1_65</v>
      </c>
      <c r="N49" t="str">
        <f>Y49&amp;"_0_1_"&amp;ROUNDDOWN([2]关卡!O54*$E49,0)</f>
        <v>4003094_0_1_53</v>
      </c>
      <c r="O49" t="str">
        <f>Z49&amp;"_0_1_"&amp;ROUNDDOWN([2]关卡!P54*$E49,0)</f>
        <v>4004094_0_1_26</v>
      </c>
      <c r="P49" t="str">
        <f>AA49&amp;"_0_1_"&amp;ROUNDDOWN([2]关卡!Q54*$E49,0)</f>
        <v>4005094_0_1_9</v>
      </c>
      <c r="R49" t="str">
        <f t="shared" si="34"/>
        <v>4001092</v>
      </c>
      <c r="S49" t="str">
        <f t="shared" si="35"/>
        <v>4002092</v>
      </c>
      <c r="T49" t="str">
        <f t="shared" si="36"/>
        <v>4003092</v>
      </c>
      <c r="U49" t="str">
        <f t="shared" si="37"/>
        <v>4004092</v>
      </c>
      <c r="V49" t="str">
        <f t="shared" si="38"/>
        <v>4005092</v>
      </c>
      <c r="W49" t="str">
        <f t="shared" si="29"/>
        <v>4001094</v>
      </c>
      <c r="X49" t="str">
        <f t="shared" si="30"/>
        <v>4002094</v>
      </c>
      <c r="Y49" t="str">
        <f t="shared" si="31"/>
        <v>4003094</v>
      </c>
      <c r="Z49" t="str">
        <f t="shared" si="32"/>
        <v>4004094</v>
      </c>
      <c r="AA49" t="str">
        <f t="shared" si="33"/>
        <v>4005094</v>
      </c>
    </row>
    <row r="50" spans="1:27">
      <c r="A50" s="10">
        <v>94</v>
      </c>
      <c r="B50">
        <v>94</v>
      </c>
      <c r="C50">
        <f t="shared" si="11"/>
        <v>0.9</v>
      </c>
      <c r="D50">
        <v>96</v>
      </c>
      <c r="E50">
        <v>0.1</v>
      </c>
      <c r="G50" t="str">
        <f>R50&amp;"_0_1_"&amp;ROUNDDOWN([2]关卡!M55*$C50,0)</f>
        <v>4001094_0_1_719</v>
      </c>
      <c r="H50" t="str">
        <f>S50&amp;"_0_1_"&amp;ROUNDDOWN([2]关卡!N55*$C50,0)</f>
        <v>4002094_0_1_597</v>
      </c>
      <c r="I50" t="str">
        <f>T50&amp;"_0_1_"&amp;ROUNDDOWN([2]关卡!O55*$C50,0)</f>
        <v>4003094_0_1_487</v>
      </c>
      <c r="J50" t="str">
        <f>U50&amp;"_0_1_"&amp;ROUNDDOWN([2]关卡!P55*$C50,0)</f>
        <v>4004094_0_1_243</v>
      </c>
      <c r="K50" t="str">
        <f>V50&amp;"_0_1_"&amp;ROUNDDOWN([2]关卡!Q55*$C50,0)</f>
        <v>4005094_0_1_85</v>
      </c>
      <c r="L50" t="str">
        <f>W50&amp;"_0_1_"&amp;ROUNDDOWN([2]关卡!M55*$E50,0)</f>
        <v>4001096_0_1_79</v>
      </c>
      <c r="M50" t="str">
        <f>X50&amp;"_0_1_"&amp;ROUNDDOWN([2]关卡!N55*$E50,0)</f>
        <v>4002096_0_1_66</v>
      </c>
      <c r="N50" t="str">
        <f>Y50&amp;"_0_1_"&amp;ROUNDDOWN([2]关卡!O55*$E50,0)</f>
        <v>4003096_0_1_54</v>
      </c>
      <c r="O50" t="str">
        <f>Z50&amp;"_0_1_"&amp;ROUNDDOWN([2]关卡!P55*$E50,0)</f>
        <v>4004096_0_1_27</v>
      </c>
      <c r="P50" t="str">
        <f>AA50&amp;"_0_1_"&amp;ROUNDDOWN([2]关卡!Q55*$E50,0)</f>
        <v>4005096_0_1_9</v>
      </c>
      <c r="R50" t="str">
        <f t="shared" si="34"/>
        <v>4001094</v>
      </c>
      <c r="S50" t="str">
        <f t="shared" si="35"/>
        <v>4002094</v>
      </c>
      <c r="T50" t="str">
        <f t="shared" si="36"/>
        <v>4003094</v>
      </c>
      <c r="U50" t="str">
        <f t="shared" si="37"/>
        <v>4004094</v>
      </c>
      <c r="V50" t="str">
        <f t="shared" si="38"/>
        <v>4005094</v>
      </c>
      <c r="W50" t="str">
        <f t="shared" si="29"/>
        <v>4001096</v>
      </c>
      <c r="X50" t="str">
        <f t="shared" si="30"/>
        <v>4002096</v>
      </c>
      <c r="Y50" t="str">
        <f t="shared" si="31"/>
        <v>4003096</v>
      </c>
      <c r="Z50" t="str">
        <f t="shared" si="32"/>
        <v>4004096</v>
      </c>
      <c r="AA50" t="str">
        <f t="shared" si="33"/>
        <v>4005096</v>
      </c>
    </row>
    <row r="51" spans="1:27">
      <c r="A51" s="10">
        <v>96</v>
      </c>
      <c r="B51">
        <v>96</v>
      </c>
      <c r="C51">
        <f t="shared" si="11"/>
        <v>0.9</v>
      </c>
      <c r="D51">
        <v>98</v>
      </c>
      <c r="E51">
        <v>0.1</v>
      </c>
      <c r="F51" s="10"/>
      <c r="G51" t="str">
        <f>R51&amp;"_0_1_"&amp;ROUNDDOWN([2]关卡!M56*$C51,0)</f>
        <v>4001096_0_1_725</v>
      </c>
      <c r="H51" t="str">
        <f>S51&amp;"_0_1_"&amp;ROUNDDOWN([2]关卡!N56*$C51,0)</f>
        <v>4002096_0_1_602</v>
      </c>
      <c r="I51" t="str">
        <f>T51&amp;"_0_1_"&amp;ROUNDDOWN([2]关卡!O56*$C51,0)</f>
        <v>4003096_0_1_491</v>
      </c>
      <c r="J51" t="str">
        <f>U51&amp;"_0_1_"&amp;ROUNDDOWN([2]关卡!P56*$C51,0)</f>
        <v>4004096_0_1_245</v>
      </c>
      <c r="K51" t="str">
        <f>V51&amp;"_0_1_"&amp;ROUNDDOWN([2]关卡!Q56*$C51,0)</f>
        <v>4005096_0_1_86</v>
      </c>
      <c r="L51" t="str">
        <f>W51&amp;"_0_1_"&amp;ROUNDDOWN([2]关卡!M56*$E51,0)</f>
        <v>4001098_0_1_80</v>
      </c>
      <c r="M51" t="str">
        <f>X51&amp;"_0_1_"&amp;ROUNDDOWN([2]关卡!N56*$E51,0)</f>
        <v>4002098_0_1_66</v>
      </c>
      <c r="N51" t="str">
        <f>Y51&amp;"_0_1_"&amp;ROUNDDOWN([2]关卡!O56*$E51,0)</f>
        <v>4003098_0_1_54</v>
      </c>
      <c r="O51" t="str">
        <f>Z51&amp;"_0_1_"&amp;ROUNDDOWN([2]关卡!P56*$E51,0)</f>
        <v>4004098_0_1_27</v>
      </c>
      <c r="P51" t="str">
        <f>AA51&amp;"_0_1_"&amp;ROUNDDOWN([2]关卡!Q56*$E51,0)</f>
        <v>4005098_0_1_9</v>
      </c>
      <c r="R51" t="str">
        <f t="shared" si="34"/>
        <v>4001096</v>
      </c>
      <c r="S51" t="str">
        <f t="shared" si="35"/>
        <v>4002096</v>
      </c>
      <c r="T51" t="str">
        <f t="shared" si="36"/>
        <v>4003096</v>
      </c>
      <c r="U51" t="str">
        <f t="shared" si="37"/>
        <v>4004096</v>
      </c>
      <c r="V51" t="str">
        <f t="shared" si="38"/>
        <v>4005096</v>
      </c>
      <c r="W51" t="str">
        <f t="shared" si="29"/>
        <v>4001098</v>
      </c>
      <c r="X51" t="str">
        <f t="shared" si="30"/>
        <v>4002098</v>
      </c>
      <c r="Y51" t="str">
        <f t="shared" si="31"/>
        <v>4003098</v>
      </c>
      <c r="Z51" t="str">
        <f t="shared" si="32"/>
        <v>4004098</v>
      </c>
      <c r="AA51" t="str">
        <f t="shared" si="33"/>
        <v>4005098</v>
      </c>
    </row>
    <row r="52" spans="1:27" s="10" customFormat="1">
      <c r="A52" s="10">
        <v>98</v>
      </c>
      <c r="B52">
        <v>98</v>
      </c>
      <c r="C52">
        <f t="shared" si="11"/>
        <v>0.9</v>
      </c>
      <c r="D52">
        <v>98</v>
      </c>
      <c r="E52">
        <v>0.1</v>
      </c>
      <c r="G52" t="str">
        <f>R52&amp;"_0_1_"&amp;ROUNDDOWN([2]关卡!M57*$C52,0)</f>
        <v>4001098_0_1_731</v>
      </c>
      <c r="H52" t="str">
        <f>S52&amp;"_0_1_"&amp;ROUNDDOWN([2]关卡!N57*$C52,0)</f>
        <v>4002098_0_1_607</v>
      </c>
      <c r="I52" t="str">
        <f>T52&amp;"_0_1_"&amp;ROUNDDOWN([2]关卡!O57*$C52,0)</f>
        <v>4003098_0_1_495</v>
      </c>
      <c r="J52" t="str">
        <f>U52&amp;"_0_1_"&amp;ROUNDDOWN([2]关卡!P57*$C52,0)</f>
        <v>4004098_0_1_247</v>
      </c>
      <c r="K52" t="str">
        <f>V52&amp;"_0_1_"&amp;ROUNDDOWN([2]关卡!Q57*$C52,0)</f>
        <v>4005098_0_1_86</v>
      </c>
      <c r="L52" t="str">
        <f>W52&amp;"_0_1_"&amp;ROUNDDOWN([2]关卡!M57*$E52,0)</f>
        <v>4001098_0_1_81</v>
      </c>
      <c r="M52" t="str">
        <f>X52&amp;"_0_1_"&amp;ROUNDDOWN([2]关卡!N57*$E52,0)</f>
        <v>4002098_0_1_67</v>
      </c>
      <c r="N52" t="str">
        <f>Y52&amp;"_0_1_"&amp;ROUNDDOWN([2]关卡!O57*$E52,0)</f>
        <v>4003098_0_1_55</v>
      </c>
      <c r="O52" t="str">
        <f>Z52&amp;"_0_1_"&amp;ROUNDDOWN([2]关卡!P57*$E52,0)</f>
        <v>4004098_0_1_27</v>
      </c>
      <c r="P52" t="str">
        <f>AA52&amp;"_0_1_"&amp;ROUNDDOWN([2]关卡!Q57*$E52,0)</f>
        <v>4005098_0_1_9</v>
      </c>
      <c r="R52" t="str">
        <f t="shared" si="34"/>
        <v>4001098</v>
      </c>
      <c r="S52" t="str">
        <f t="shared" si="35"/>
        <v>4002098</v>
      </c>
      <c r="T52" t="str">
        <f t="shared" si="36"/>
        <v>4003098</v>
      </c>
      <c r="U52" t="str">
        <f t="shared" si="37"/>
        <v>4004098</v>
      </c>
      <c r="V52" t="str">
        <f t="shared" si="38"/>
        <v>4005098</v>
      </c>
      <c r="W52" t="str">
        <f t="shared" si="29"/>
        <v>4001098</v>
      </c>
      <c r="X52" t="str">
        <f t="shared" si="30"/>
        <v>4002098</v>
      </c>
      <c r="Y52" t="str">
        <f t="shared" si="31"/>
        <v>4003098</v>
      </c>
      <c r="Z52" t="str">
        <f t="shared" si="32"/>
        <v>4004098</v>
      </c>
      <c r="AA52" t="str">
        <f t="shared" si="33"/>
        <v>4005098</v>
      </c>
    </row>
    <row r="53" spans="1:27" s="10" customFormat="1">
      <c r="A53" s="10">
        <v>100</v>
      </c>
      <c r="B53">
        <v>98</v>
      </c>
      <c r="C53">
        <f t="shared" si="11"/>
        <v>0.9</v>
      </c>
      <c r="D53">
        <v>100</v>
      </c>
      <c r="E53">
        <v>0.1</v>
      </c>
      <c r="G53" t="str">
        <f>R53&amp;"_0_1_"&amp;ROUNDDOWN([2]关卡!M58*$C53,0)</f>
        <v>4001098_0_1_737</v>
      </c>
      <c r="H53" t="str">
        <f>S53&amp;"_0_1_"&amp;ROUNDDOWN([2]关卡!N58*$C53,0)</f>
        <v>4002098_0_1_612</v>
      </c>
      <c r="I53" t="str">
        <f>T53&amp;"_0_1_"&amp;ROUNDDOWN([2]关卡!O58*$C53,0)</f>
        <v>4003098_0_1_499</v>
      </c>
      <c r="J53" t="str">
        <f>U53&amp;"_0_1_"&amp;ROUNDDOWN([2]关卡!P58*$C53,0)</f>
        <v>4004098_0_1_250</v>
      </c>
      <c r="K53" t="str">
        <f>V53&amp;"_0_1_"&amp;ROUNDDOWN([2]关卡!Q58*$C53,0)</f>
        <v>4005098_0_1_87</v>
      </c>
      <c r="L53" t="str">
        <f>W53&amp;"_0_1_"&amp;ROUNDDOWN([2]关卡!M58*$E53,0)</f>
        <v>4001100_0_1_81</v>
      </c>
      <c r="M53" t="str">
        <f>X53&amp;"_0_1_"&amp;ROUNDDOWN([2]关卡!N58*$E53,0)</f>
        <v>4002100_0_1_68</v>
      </c>
      <c r="N53" t="str">
        <f>Y53&amp;"_0_1_"&amp;ROUNDDOWN([2]关卡!O58*$E53,0)</f>
        <v>4003100_0_1_55</v>
      </c>
      <c r="O53" t="str">
        <f>Z53&amp;"_0_1_"&amp;ROUNDDOWN([2]关卡!P58*$E53,0)</f>
        <v>4004100_0_1_27</v>
      </c>
      <c r="P53" t="str">
        <f>AA53&amp;"_0_1_"&amp;ROUNDDOWN([2]关卡!Q58*$E53,0)</f>
        <v>4005100_0_1_9</v>
      </c>
      <c r="R53" t="str">
        <f t="shared" si="34"/>
        <v>4001098</v>
      </c>
      <c r="S53" t="str">
        <f t="shared" si="35"/>
        <v>4002098</v>
      </c>
      <c r="T53" t="str">
        <f t="shared" si="36"/>
        <v>4003098</v>
      </c>
      <c r="U53" t="str">
        <f t="shared" si="37"/>
        <v>4004098</v>
      </c>
      <c r="V53" t="str">
        <f t="shared" si="38"/>
        <v>4005098</v>
      </c>
      <c r="W53" t="str">
        <f>AC$46&amp;$D53</f>
        <v>4001100</v>
      </c>
      <c r="X53" t="str">
        <f t="shared" ref="X53:AA53" si="39">AD$46&amp;$D53</f>
        <v>4002100</v>
      </c>
      <c r="Y53" t="str">
        <f t="shared" si="39"/>
        <v>4003100</v>
      </c>
      <c r="Z53" t="str">
        <f t="shared" si="39"/>
        <v>4004100</v>
      </c>
      <c r="AA53" t="str">
        <f t="shared" si="39"/>
        <v>4005100</v>
      </c>
    </row>
    <row r="54" spans="1:27" s="10" customFormat="1"/>
    <row r="55" spans="1:27" s="10" customFormat="1">
      <c r="A55" s="10" t="str">
        <f t="shared" ref="A55:A85" si="40">G2&amp;","&amp;H2&amp;","&amp;I2&amp;","&amp;J2&amp;","&amp;K2&amp;","&amp;L2&amp;","&amp;M2&amp;","&amp;N2&amp;","&amp;O2&amp;","&amp;P2</f>
        <v>4000101_0_1_400,4000201_0_1_360,4000301_0_1_160,4000401_0_1_0,4000501_0_1_0,4000105_0_1_0,4000205_0_1_0,4000305_0_1_0,4000405_0_1_0,4000505_0_1_0</v>
      </c>
    </row>
    <row r="56" spans="1:27" s="10" customFormat="1">
      <c r="A56" s="10" t="str">
        <f t="shared" si="40"/>
        <v>4000101_0_1_199,4000201_0_1_179,4000301_0_1_81,4000401_0_1_0,4000501_0_1_0,4000105_0_1_199,4000205_0_1_179,4000305_0_1_81,4000405_0_1_0,4000505_0_1_0</v>
      </c>
    </row>
    <row r="57" spans="1:27" s="10" customFormat="1">
      <c r="A57" s="10" t="str">
        <f t="shared" si="40"/>
        <v>4000101_0_1_79,4000201_0_1_71,4000301_0_1_33,4000401_0_1_0,4000501_0_1_0,4000105_0_1_318,4000205_0_1_284,4000305_0_1_132,4000405_0_1_0,4000505_0_1_0</v>
      </c>
    </row>
    <row r="58" spans="1:27" s="10" customFormat="1">
      <c r="A58" s="10" t="str">
        <f t="shared" si="40"/>
        <v>4000105_0_1_397,4000205_0_1_354,4000305_0_1_169,4000405_0_1_0,4000505_0_1_0,4000110_0_1_0,4000210_0_1_0,4000310_0_1_0,4000410_0_1_0,4000510_0_1_0</v>
      </c>
    </row>
    <row r="59" spans="1:27" s="10" customFormat="1">
      <c r="A59" s="10" t="str">
        <f t="shared" si="40"/>
        <v>4000105_0_1_291,4000205_0_1_259,4000305_0_1_126,4000405_0_1_0,4000505_0_1_0,4000110_0_1_194,4000210_0_1_172,4000310_0_1_84,4000410_0_1_0,4000510_0_1_0</v>
      </c>
    </row>
    <row r="60" spans="1:27" s="10" customFormat="1">
      <c r="A60" s="10" t="str">
        <f t="shared" si="40"/>
        <v>4000105_0_1_96,4000205_0_1_85,4000305_0_1_43,4000405_0_1_0,4000505_0_1_0,4000110_0_1_386,4000210_0_1_343,4000310_0_1_172,4000410_0_1_0,4000510_0_1_0</v>
      </c>
    </row>
    <row r="61" spans="1:27" s="10" customFormat="1">
      <c r="A61" s="10" t="str">
        <f t="shared" si="40"/>
        <v>4000110_0_1_384,4000210_0_1_341,4000310_0_1_175,4000410_0_1_0,4000510_0_1_0,4000115_0_1_96,4000215_0_1_85,4000315_0_1_43,4000415_0_1_0,4000515_0_1_0</v>
      </c>
    </row>
    <row r="62" spans="1:27" s="10" customFormat="1">
      <c r="A62" s="10" t="str">
        <f t="shared" si="40"/>
        <v>4000110_0_1_197,4000210_0_1_174,4000310_0_1_92,4000410_0_1_0,4000510_0_1_0,4000115_0_1_296,4000215_0_1_261,4000315_0_1_138,4000415_0_1_0,4000515_0_1_0</v>
      </c>
    </row>
    <row r="63" spans="1:27" s="10" customFormat="1">
      <c r="A63" s="10" t="str">
        <f t="shared" si="40"/>
        <v>4000115_0_1_501,4000215_0_1_441,4000315_0_1_238,4000415_0_1_12,4000515_0_1_0,4000120_0_1_0,4000220_0_1_0,4000320_0_1_0,4000420_0_1_0,4000520_0_1_0</v>
      </c>
    </row>
    <row r="64" spans="1:27" s="10" customFormat="1">
      <c r="A64" s="10" t="str">
        <f t="shared" si="40"/>
        <v>4000115_0_1_304,4000215_0_1_267,4000315_0_1_148,4000415_0_1_15,4000515_0_1_0,4000120_0_1_202,4000220_0_1_178,4000320_0_1_98,4000420_0_1_10,4000520_0_1_0</v>
      </c>
    </row>
    <row r="65" spans="1:1" s="10" customFormat="1">
      <c r="A65" s="10" t="str">
        <f t="shared" si="40"/>
        <v>4000115_0_1_99,4000215_0_1_86,4000315_0_1_49,4000415_0_1_7,4000515_0_1_0,4000120_0_1_397,4000220_0_1_347,4000320_0_1_198,4000420_0_1_29,4000520_0_1_0</v>
      </c>
    </row>
    <row r="66" spans="1:1" s="10" customFormat="1">
      <c r="A66" s="10" t="str">
        <f t="shared" si="40"/>
        <v>4000120_0_1_401,4000220_0_1_349,4000320_0_1_205,4000420_0_1_40,4000520_0_1_0,4000125_0_1_100,4000225_0_1_87,4000325_0_1_51,4000425_0_1_10,4000525_0_1_0</v>
      </c>
    </row>
    <row r="67" spans="1:1" s="10" customFormat="1">
      <c r="A67" s="10" t="str">
        <f t="shared" si="40"/>
        <v>4000120_0_1_256,4000220_0_1_222,4000320_0_1_135,4000420_0_1_33,4000520_0_1_0,4000125_0_1_384,4000225_0_1_334,4000325_0_1_202,4000425_0_1_50,4000525_0_1_0</v>
      </c>
    </row>
    <row r="68" spans="1:1" s="10" customFormat="1">
      <c r="A68" s="10" t="str">
        <f t="shared" si="40"/>
        <v>4000125_0_1_630,4000225_0_1_545,4000325_0_1_341,4000425_0_1_94,4000525_0_1_0,4000130_0_1_0,4000230_0_1_0,4000330_0_1_0,4000430_0_1_0,4000530_0_1_0</v>
      </c>
    </row>
    <row r="69" spans="1:1" s="10" customFormat="1">
      <c r="A69" s="10" t="str">
        <f t="shared" si="40"/>
        <v>4000125_0_1_371,4000225_0_1_319,4000325_0_1_206,4000425_0_1_61,4000525_0_1_0,4000130_0_1_247,4000230_0_1_213,4000330_0_1_137,4000430_0_1_41,4000530_0_1_0</v>
      </c>
    </row>
    <row r="70" spans="1:1" s="10" customFormat="1">
      <c r="A70" s="10" t="str">
        <f t="shared" si="40"/>
        <v>4000125_0_1_133,4000225_0_1_114,4000325_0_1_76,4000425_0_1_24,4000525_0_1_0,4000130_0_1_532,4000230_0_1_456,4000330_0_1_304,4000430_0_1_99,4000530_0_1_0</v>
      </c>
    </row>
    <row r="71" spans="1:1" s="10" customFormat="1">
      <c r="A71" s="10" t="str">
        <f t="shared" si="40"/>
        <v>4000130_0_1_533,4000230_0_1_455,4000330_0_1_313,4000430_0_1_109,4000530_0_1_0,4000135_0_1_133,4000235_0_1_113,4000335_0_1_78,4000435_0_1_27,4000535_0_1_0</v>
      </c>
    </row>
    <row r="72" spans="1:1" s="10" customFormat="1">
      <c r="A72" s="10" t="str">
        <f t="shared" si="40"/>
        <v>4000130_0_1_264,4000230_0_1_224,4000330_0_1_160,4000430_0_1_60,4000530_0_1_8,4000135_0_1_396,4000235_0_1_336,4000335_0_1_240,4000435_0_1_90,4000535_0_1_12</v>
      </c>
    </row>
    <row r="73" spans="1:1" s="10" customFormat="1">
      <c r="A73" s="10" t="str">
        <f t="shared" si="40"/>
        <v>4000135_0_1_656,4000235_0_1_554,4000335_0_1_410,4000435_0_1_164,4000535_0_1_31,4000140_0_1_0,4000240_0_1_0,4000340_0_1_0,4000440_0_1_0,4000540_0_1_0</v>
      </c>
    </row>
    <row r="74" spans="1:1">
      <c r="A74" s="10" t="str">
        <f t="shared" si="40"/>
        <v>4000135_0_1_391,4000235_0_1_328,4000335_0_1_252,4000435_0_1_107,4000535_0_1_25,4000140_0_1_260,4000240_0_1_218,4000340_0_1_168,4000440_0_1_71,4000540_0_1_16</v>
      </c>
    </row>
    <row r="75" spans="1:1">
      <c r="A75" s="10" t="str">
        <f t="shared" si="40"/>
        <v>4000135_0_1_239,4000235_0_1_199,4000335_0_1_159,4000435_0_1_71,4000535_0_1_19,4000140_0_1_406,4000240_0_1_339,4000340_0_1_271,4000440_0_1_122,4000540_0_1_34</v>
      </c>
    </row>
    <row r="76" spans="1:1">
      <c r="A76" s="10" t="str">
        <f t="shared" si="40"/>
        <v>4000140_0_1_379,4000240_0_1_315,4000340_0_1_257,4000440_0_1_122,4000540_0_1_38,4000143_0_1_264,4000243_0_1_219,4000343_0_1_178,4000443_0_1_84,4000543_0_1_26</v>
      </c>
    </row>
    <row r="77" spans="1:1">
      <c r="A77" s="10" t="str">
        <f t="shared" si="40"/>
        <v>4000143_0_1_439,4000243_0_1_365,4000343_0_1_298,4000443_0_1_148,4000543_0_1_52,4000145_0_1_216,4000245_0_1_179,4000345_0_1_146,4000445_0_1_73,4000545_0_1_25</v>
      </c>
    </row>
    <row r="78" spans="1:1">
      <c r="A78" s="10" t="str">
        <f t="shared" si="40"/>
        <v>4000145_0_1_351,4000245_0_1_291,4000345_0_1_238,4000445_0_1_119,4000545_0_1_41,4000145_0_1_324,4000245_0_1_269,4000345_0_1_219,4000445_0_1_109,4000545_0_1_38</v>
      </c>
    </row>
    <row r="79" spans="1:1">
      <c r="A79" s="10" t="str">
        <f t="shared" si="40"/>
        <v>4000145_0_1_366,4000245_0_1_304,4000345_0_1_248,4000445_0_1_124,4000545_0_1_43,4000147_0_1_308,4000247_0_1_256,4000347_0_1_209,4000447_0_1_104,4000547_0_1_36</v>
      </c>
    </row>
    <row r="80" spans="1:1">
      <c r="A80" s="10" t="str">
        <f t="shared" si="40"/>
        <v>4000147_0_1_377,4000247_0_1_313,4000347_0_1_256,4000447_0_1_128,4000547_0_1_44,4000150_0_1_297,4000250_0_1_247,4000350_0_1_201,4000450_0_1_100,4000550_0_1_35</v>
      </c>
    </row>
    <row r="81" spans="1:1">
      <c r="A81" s="10" t="str">
        <f t="shared" si="40"/>
        <v>4000150_0_1_406,4000250_0_1_337,4000350_0_1_275,4000450_0_1_137,4000550_0_1_48,4000153_0_1_285,4000253_0_1_237,4000353_0_1_193,4000453_0_1_97,4000553_0_1_33</v>
      </c>
    </row>
    <row r="82" spans="1:1">
      <c r="A82" s="10" t="str">
        <f t="shared" si="40"/>
        <v>4000153_0_1_423,4000253_0_1_351,4000353_0_1_287,4000453_0_1_143,4000553_0_1_50,4000153_0_1_268,4000253_0_1_223,4000353_0_1_181,4000453_0_1_91,4000553_0_1_31</v>
      </c>
    </row>
    <row r="83" spans="1:1">
      <c r="A83" s="10" t="str">
        <f t="shared" si="40"/>
        <v>4000153_0_1_439,4000253_0_1_365,4000353_0_1_297,4000453_0_1_149,4000553_0_1_52,4000155_0_1_252,4000255_0_1_209,4000355_0_1_171,4000455_0_1_85,4000555_0_1_29</v>
      </c>
    </row>
    <row r="84" spans="1:1">
      <c r="A84" s="10" t="str">
        <f t="shared" si="40"/>
        <v>4000155_0_1_453,4000255_0_1_377,4000355_0_1_307,4000455_0_1_154,4000555_0_1_53,4000157_0_1_238,4000257_0_1_197,4000357_0_1_161,4000457_0_1_80,4000557_0_1_28</v>
      </c>
    </row>
    <row r="85" spans="1:1">
      <c r="A85" s="10" t="str">
        <f t="shared" si="40"/>
        <v>4000157_0_1_467,4000257_0_1_388,4000357_0_1_316,4000457_0_1_158,4000557_0_1_55,4000157_0_1_224,4000257_0_1_186,4000357_0_1_152,4000457_0_1_76,4000557_0_1_26</v>
      </c>
    </row>
    <row r="86" spans="1:1">
      <c r="A86" s="10" t="str">
        <f t="shared" ref="A86:A105" si="41">G33&amp;","&amp;H33&amp;","&amp;I33&amp;","&amp;J33&amp;","&amp;K33&amp;","&amp;L33&amp;","&amp;M33&amp;","&amp;N33&amp;","&amp;O33&amp;","&amp;P33</f>
        <v>4000157_0_1_479,4000257_0_1_398,4000357_0_1_325,4000457_0_1_162,4000557_0_1_56,4000160_0_1_212,4000260_0_1_176,4000360_0_1_143,4000460_0_1_72,4000560_0_1_25</v>
      </c>
    </row>
    <row r="87" spans="1:1">
      <c r="A87" s="10" t="str">
        <f t="shared" si="41"/>
        <v>4000160_0_1_489,4000260_0_1_406,4000360_0_1_331,4000460_0_1_166,4000560_0_1_57,4000163_0_1_202,4000263_0_1_168,4000363_0_1_137,4000463_0_1_68,4000563_0_1_24</v>
      </c>
    </row>
    <row r="88" spans="1:1">
      <c r="A88" s="10" t="str">
        <f t="shared" si="41"/>
        <v>4000163_0_1_498,4000263_0_1_414,4000363_0_1_337,4000463_0_1_169,4000563_0_1_59,4000163_0_1_193,4000263_0_1_161,4000363_0_1_131,4000463_0_1_65,4000563_0_1_22</v>
      </c>
    </row>
    <row r="89" spans="1:1">
      <c r="A89" s="10" t="str">
        <f t="shared" si="41"/>
        <v>4000163_0_1_506,4000263_0_1_420,4000363_0_1_343,4000463_0_1_172,4000563_0_1_60,4000165_0_1_185,4000265_0_1_154,4000365_0_1_125,4000465_0_1_62,4000565_0_1_21</v>
      </c>
    </row>
    <row r="90" spans="1:1">
      <c r="A90" s="10" t="str">
        <f t="shared" si="41"/>
        <v>4000167_0_1_522,4000267_0_1_434,4000367_0_1_354,4000467_0_1_177,4000567_0_1_61,4000170_0_1_169,4000270_0_1_140,4000370_0_1_114,4000470_0_1_57,4000570_0_1_20</v>
      </c>
    </row>
    <row r="91" spans="1:1">
      <c r="A91" s="10" t="str">
        <f t="shared" si="41"/>
        <v>4000167_0_1_362,4000267_0_1_301,4000367_0_1_245,4000467_0_1_123,4000567_0_1_43,4000170_0_1_346,4000270_0_1_287,4000370_0_1_234,4000470_0_1_117,4000570_0_1_41</v>
      </c>
    </row>
    <row r="92" spans="1:1">
      <c r="A92" s="10" t="str">
        <f t="shared" si="41"/>
        <v>4001072_0_1_560,4002072_0_1_465,4003072_0_1_379,4004072_0_1_190,4005072_0_1_66,4001074_0_1_164,4002074_0_1_136,4003074_0_1_111,4004074_0_1_55,4005074_0_1_19</v>
      </c>
    </row>
    <row r="93" spans="1:1">
      <c r="A93" s="10" t="str">
        <f t="shared" si="41"/>
        <v>4001074_0_1_598,4002074_0_1_496,4003074_0_1_405,4004074_0_1_202,4005074_0_1_71,4001076_0_1_133,4002076_0_1_111,4003076_0_1_90,4004076_0_1_45,4005076_0_1_15</v>
      </c>
    </row>
    <row r="94" spans="1:1">
      <c r="A94" s="10" t="str">
        <f t="shared" si="41"/>
        <v>4001076_0_1_627,4002076_0_1_521,4003076_0_1_425,4004076_0_1_212,4005076_0_1_74,4001078_0_1_110,4002078_0_1_91,4003078_0_1_75,4004078_0_1_37,4005078_0_1_13</v>
      </c>
    </row>
    <row r="95" spans="1:1">
      <c r="A95" s="10" t="str">
        <f t="shared" si="41"/>
        <v>4001078_0_1_651,4002078_0_1_541,4003078_0_1_441,4004078_0_1_221,4005078_0_1_77,4001080_0_1_93,4002080_0_1_77,4003080_0_1_63,4004080_0_1_31,4005080_0_1_11</v>
      </c>
    </row>
    <row r="96" spans="1:1">
      <c r="A96" s="10" t="str">
        <f t="shared" si="41"/>
        <v>4001080_0_1_676,4002080_0_1_561,4003080_0_1_459,4004080_0_1_229,4005080_0_1_80,4001082_0_1_75,4002082_0_1_62,4003082_0_1_51,4004082_0_1_25,4005082_0_1_8</v>
      </c>
    </row>
    <row r="97" spans="1:9">
      <c r="A97" s="10" t="str">
        <f t="shared" si="41"/>
        <v>4001082_0_1_683,4002082_0_1_567,4003082_0_1_462,4004082_0_1_231,4005082_0_1_81,4001084_0_1_75,4002084_0_1_63,4003084_0_1_51,4004084_0_1_25,4005084_0_1_9</v>
      </c>
    </row>
    <row r="98" spans="1:9">
      <c r="A98" s="10" t="str">
        <f t="shared" si="41"/>
        <v>4001084_0_1_688,4002084_0_1_572,4003084_0_1_467,4004084_0_1_233,4005084_0_1_81,4001086_0_1_76,4002086_0_1_63,4003086_0_1_51,4004086_0_1_25,4005086_0_1_9</v>
      </c>
    </row>
    <row r="99" spans="1:9">
      <c r="A99" s="10" t="str">
        <f t="shared" si="41"/>
        <v>4001086_0_1_694,4002086_0_1_576,4003086_0_1_470,4004086_0_1_235,4005086_0_1_82,4001088_0_1_77,4002088_0_1_64,4003088_0_1_52,4004088_0_1_26,4005088_0_1_9</v>
      </c>
    </row>
    <row r="100" spans="1:9">
      <c r="A100" s="10" t="str">
        <f t="shared" si="41"/>
        <v>4001088_0_1_701,4002088_0_1_582,4003088_0_1_475,4004088_0_1_237,4005088_0_1_82,4001090_0_1_77,4002090_0_1_64,4003090_0_1_52,4004090_0_1_26,4005090_0_1_9</v>
      </c>
    </row>
    <row r="101" spans="1:9">
      <c r="A101" s="10" t="str">
        <f t="shared" si="41"/>
        <v>4001090_0_1_707,4002090_0_1_586,4003090_0_1_479,4004090_0_1_239,4005090_0_1_83,4001092_0_1_78,4002092_0_1_65,4003092_0_1_53,4004092_0_1_26,4005092_0_1_9</v>
      </c>
    </row>
    <row r="102" spans="1:9">
      <c r="A102" s="10" t="str">
        <f t="shared" si="41"/>
        <v>4001092_0_1_712,4002092_0_1_592,4003092_0_1_483,4004092_0_1_242,4005092_0_1_84,4001094_0_1_79,4002094_0_1_65,4003094_0_1_53,4004094_0_1_26,4005094_0_1_9</v>
      </c>
    </row>
    <row r="103" spans="1:9">
      <c r="A103" s="10" t="str">
        <f t="shared" si="41"/>
        <v>4001094_0_1_719,4002094_0_1_597,4003094_0_1_487,4004094_0_1_243,4005094_0_1_85,4001096_0_1_79,4002096_0_1_66,4003096_0_1_54,4004096_0_1_27,4005096_0_1_9</v>
      </c>
    </row>
    <row r="104" spans="1:9">
      <c r="A104" s="10" t="str">
        <f t="shared" si="41"/>
        <v>4001096_0_1_725,4002096_0_1_602,4003096_0_1_491,4004096_0_1_245,4005096_0_1_86,4001098_0_1_80,4002098_0_1_66,4003098_0_1_54,4004098_0_1_27,4005098_0_1_9</v>
      </c>
    </row>
    <row r="105" spans="1:9">
      <c r="A105" s="10" t="str">
        <f t="shared" si="41"/>
        <v>4001098_0_1_731,4002098_0_1_607,4003098_0_1_495,4004098_0_1_247,4005098_0_1_86,4001098_0_1_81,4002098_0_1_67,4003098_0_1_55,4004098_0_1_27,4005098_0_1_9</v>
      </c>
    </row>
    <row r="106" spans="1:9">
      <c r="A106" s="10" t="str">
        <f>G53&amp;","&amp;H53&amp;","&amp;I53&amp;","&amp;J53&amp;","&amp;K53&amp;","&amp;L53&amp;","&amp;M53&amp;","&amp;N53&amp;","&amp;O53&amp;","&amp;P53</f>
        <v>4001098_0_1_737,4002098_0_1_612,4003098_0_1_499,4004098_0_1_250,4005098_0_1_87,4001100_0_1_81,4002100_0_1_68,4003100_0_1_55,4004100_0_1_27,4005100_0_1_9</v>
      </c>
    </row>
    <row r="107" spans="1:9">
      <c r="A107" s="10"/>
    </row>
    <row r="108" spans="1:9">
      <c r="B108" t="s">
        <v>524</v>
      </c>
      <c r="C108" t="s">
        <v>561</v>
      </c>
      <c r="D108" t="s">
        <v>562</v>
      </c>
      <c r="G108" t="s">
        <v>525</v>
      </c>
      <c r="I108" s="14" t="s">
        <v>1080</v>
      </c>
    </row>
    <row r="109" spans="1:9">
      <c r="A109" s="10">
        <v>1</v>
      </c>
      <c r="B109" t="s">
        <v>560</v>
      </c>
      <c r="C109" t="s">
        <v>543</v>
      </c>
      <c r="D109" t="s">
        <v>527</v>
      </c>
      <c r="E109" t="str">
        <f>[1]掉落权重!$E109</f>
        <v>4000101_0_1_400,4000201_0_1_360,4000301_0_1_160,4000401_0_1_0,4000501_0_1_0,4000105_0_1_0,4000205_0_1_0,4000305_0_1_0,4000405_0_1_0,4000505_0_1_0,30000_40001_1_0,30000_40002_1_0,30000_40003_1_0</v>
      </c>
      <c r="I109" s="14" t="str">
        <f>E109&amp;","&amp;B164</f>
        <v>4000101_0_1_400,4000201_0_1_360,4000301_0_1_160,4000401_0_1_0,4000501_0_1_0,4000105_0_1_0,4000205_0_1_0,4000305_0_1_0,4000405_0_1_0,4000505_0_1_0,30000_40001_1_0,30000_40002_1_0,30000_40003_1_0,30000_10017_1_100</v>
      </c>
    </row>
    <row r="110" spans="1:9">
      <c r="A110" s="10">
        <v>2</v>
      </c>
      <c r="B110" t="s">
        <v>560</v>
      </c>
      <c r="C110" t="s">
        <v>543</v>
      </c>
      <c r="D110" t="s">
        <v>527</v>
      </c>
      <c r="E110" t="str">
        <f>[1]掉落权重!$E110</f>
        <v>4000101_0_1_199,4000201_0_1_179,4000301_0_1_81,4000401_0_1_0,4000501_0_1_0,4000105_0_1_199,4000205_0_1_179,4000305_0_1_81,4000405_0_1_0,4000505_0_1_0,30000_40001_1_0,30000_40002_1_0,30000_40003_1_0</v>
      </c>
      <c r="I110" s="14" t="str">
        <f t="shared" ref="I110:I160" si="42">E110&amp;","&amp;B165</f>
        <v>4000101_0_1_199,4000201_0_1_179,4000301_0_1_81,4000401_0_1_0,4000501_0_1_0,4000105_0_1_199,4000205_0_1_179,4000305_0_1_81,4000405_0_1_0,4000505_0_1_0,30000_40001_1_0,30000_40002_1_0,30000_40003_1_0,30000_10017_1_100</v>
      </c>
    </row>
    <row r="111" spans="1:9">
      <c r="A111" s="10">
        <v>3</v>
      </c>
      <c r="B111" t="s">
        <v>544</v>
      </c>
      <c r="C111" t="s">
        <v>542</v>
      </c>
      <c r="D111" t="s">
        <v>526</v>
      </c>
      <c r="E111" t="str">
        <f>[1]掉落权重!$E111</f>
        <v>4000101_0_1_79,4000201_0_1_71,4000301_0_1_33,4000401_0_1_0,4000501_0_1_0,4000105_0_1_318,4000205_0_1_284,4000305_0_1_132,4000405_0_1_0,4000505_0_1_0,30000_40001_1_0,30000_40002_1_0,30000_40003_1_0</v>
      </c>
      <c r="I111" s="14" t="str">
        <f t="shared" si="42"/>
        <v>4000101_0_1_79,4000201_0_1_71,4000301_0_1_33,4000401_0_1_0,4000501_0_1_0,4000105_0_1_318,4000205_0_1_284,4000305_0_1_132,4000405_0_1_0,4000505_0_1_0,30000_40001_1_0,30000_40002_1_0,30000_40003_1_0,30000_10017_1_100</v>
      </c>
    </row>
    <row r="112" spans="1:9">
      <c r="A112" s="10">
        <v>5</v>
      </c>
      <c r="B112" t="s">
        <v>564</v>
      </c>
      <c r="C112" t="s">
        <v>590</v>
      </c>
      <c r="D112" t="s">
        <v>593</v>
      </c>
      <c r="E112" t="str">
        <f>[1]掉落权重!$E112</f>
        <v>4000105_0_1_397,4000205_0_1_354,4000305_0_1_169,4000405_0_1_0,4000505_0_1_0,4000110_0_1_0,4000210_0_1_0,4000310_0_1_0,4000410_0_1_0,4000510_0_1_0,30000_40001_1_300,30000_40002_1_200,30000_40003_1_100</v>
      </c>
      <c r="I112" s="14" t="str">
        <f t="shared" si="42"/>
        <v>4000105_0_1_397,4000205_0_1_354,4000305_0_1_169,4000405_0_1_0,4000505_0_1_0,4000110_0_1_0,4000210_0_1_0,4000310_0_1_0,4000410_0_1_0,4000510_0_1_0,30000_40001_1_300,30000_40002_1_200,30000_40003_1_100,30000_10017_1_100</v>
      </c>
    </row>
    <row r="113" spans="1:9">
      <c r="A113" s="10">
        <v>7</v>
      </c>
      <c r="B113" t="s">
        <v>566</v>
      </c>
      <c r="C113" t="s">
        <v>590</v>
      </c>
      <c r="D113" t="s">
        <v>594</v>
      </c>
      <c r="E113" t="str">
        <f>[1]掉落权重!$E113</f>
        <v>4000105_0_1_291,4000205_0_1_259,4000305_0_1_126,4000405_0_1_0,4000505_0_1_0,4000110_0_1_194,4000210_0_1_172,4000310_0_1_84,4000410_0_1_0,4000510_0_1_0,30000_40001_1_310,30000_40002_1_200,30000_40003_1_105</v>
      </c>
      <c r="I113" s="14" t="str">
        <f t="shared" si="42"/>
        <v>4000105_0_1_291,4000205_0_1_259,4000305_0_1_126,4000405_0_1_0,4000505_0_1_0,4000110_0_1_194,4000210_0_1_172,4000310_0_1_84,4000410_0_1_0,4000510_0_1_0,30000_40001_1_310,30000_40002_1_200,30000_40003_1_105,30000_10017_1_100</v>
      </c>
    </row>
    <row r="114" spans="1:9">
      <c r="A114" s="10">
        <v>9</v>
      </c>
      <c r="B114" t="s">
        <v>567</v>
      </c>
      <c r="C114" t="s">
        <v>545</v>
      </c>
      <c r="D114" t="s">
        <v>541</v>
      </c>
      <c r="E114" t="str">
        <f>[1]掉落权重!$E114</f>
        <v>4000105_0_1_96,4000205_0_1_85,4000305_0_1_43,4000405_0_1_0,4000505_0_1_0,4000110_0_1_386,4000210_0_1_343,4000310_0_1_172,4000410_0_1_0,4000510_0_1_0,30000_40001_1_320,30000_40002_1_200,30000_40003_1_110</v>
      </c>
      <c r="I114" s="14" t="str">
        <f t="shared" si="42"/>
        <v>4000105_0_1_96,4000205_0_1_85,4000305_0_1_43,4000405_0_1_0,4000505_0_1_0,4000110_0_1_386,4000210_0_1_343,4000310_0_1_172,4000410_0_1_0,4000510_0_1_0,30000_40001_1_320,30000_40002_1_200,30000_40003_1_110,30000_10017_1_100</v>
      </c>
    </row>
    <row r="115" spans="1:9">
      <c r="A115" s="10">
        <v>11</v>
      </c>
      <c r="B115" t="s">
        <v>568</v>
      </c>
      <c r="C115" t="s">
        <v>545</v>
      </c>
      <c r="D115" t="s">
        <v>595</v>
      </c>
      <c r="E115" t="str">
        <f>[1]掉落权重!$E115</f>
        <v>4000110_0_1_384,4000210_0_1_341,4000310_0_1_175,4000410_0_1_0,4000510_0_1_0,4000115_0_1_96,4000215_0_1_85,4000315_0_1_43,4000415_0_1_0,4000515_0_1_0,30000_40001_1_330,30000_40002_1_200,30000_40003_1_115</v>
      </c>
      <c r="I115" s="14" t="str">
        <f t="shared" si="42"/>
        <v>4000110_0_1_384,4000210_0_1_341,4000310_0_1_175,4000410_0_1_0,4000510_0_1_0,4000115_0_1_96,4000215_0_1_85,4000315_0_1_43,4000415_0_1_0,4000515_0_1_0,30000_40001_1_330,30000_40002_1_200,30000_40003_1_115,30000_10017_1_130</v>
      </c>
    </row>
    <row r="116" spans="1:9">
      <c r="A116" s="10">
        <v>13</v>
      </c>
      <c r="B116" t="s">
        <v>569</v>
      </c>
      <c r="C116" t="s">
        <v>545</v>
      </c>
      <c r="D116" t="s">
        <v>540</v>
      </c>
      <c r="E116" t="str">
        <f>[1]掉落权重!$E116</f>
        <v>4000110_0_1_197,4000210_0_1_174,4000310_0_1_92,4000410_0_1_0,4000510_0_1_0,4000115_0_1_296,4000215_0_1_261,4000315_0_1_138,4000415_0_1_0,4000515_0_1_0,30000_40001_1_340,30000_40002_1_200,30000_40003_1_120</v>
      </c>
      <c r="I116" s="14" t="str">
        <f t="shared" si="42"/>
        <v>4000110_0_1_197,4000210_0_1_174,4000310_0_1_92,4000410_0_1_0,4000510_0_1_0,4000115_0_1_296,4000215_0_1_261,4000315_0_1_138,4000415_0_1_0,4000515_0_1_0,30000_40001_1_340,30000_40002_1_200,30000_40003_1_120,30000_10017_1_135</v>
      </c>
    </row>
    <row r="117" spans="1:9">
      <c r="A117" s="10">
        <v>15</v>
      </c>
      <c r="B117" t="s">
        <v>570</v>
      </c>
      <c r="C117" t="s">
        <v>545</v>
      </c>
      <c r="D117" t="s">
        <v>596</v>
      </c>
      <c r="E117" t="str">
        <f>[1]掉落权重!$E117</f>
        <v>4000115_0_1_501,4000215_0_1_441,4000315_0_1_238,4000415_0_1_12,4000515_0_1_0,4000120_0_1_0,4000220_0_1_0,4000320_0_1_0,4000420_0_1_0,4000520_0_1_0,30000_40001_1_350,30000_40002_1_200,30000_40003_1_125</v>
      </c>
      <c r="I117" s="14" t="str">
        <f t="shared" si="42"/>
        <v>4000115_0_1_501,4000215_0_1_441,4000315_0_1_238,4000415_0_1_12,4000515_0_1_0,4000120_0_1_0,4000220_0_1_0,4000320_0_1_0,4000420_0_1_0,4000520_0_1_0,30000_40001_1_350,30000_40002_1_200,30000_40003_1_125,30000_10017_1_140</v>
      </c>
    </row>
    <row r="118" spans="1:9">
      <c r="A118" s="10">
        <v>17</v>
      </c>
      <c r="B118" t="s">
        <v>571</v>
      </c>
      <c r="C118" t="s">
        <v>591</v>
      </c>
      <c r="D118" t="s">
        <v>539</v>
      </c>
      <c r="E118" t="str">
        <f>[1]掉落权重!$E118</f>
        <v>4000115_0_1_304,4000215_0_1_267,4000315_0_1_148,4000415_0_1_15,4000515_0_1_0,4000120_0_1_202,4000220_0_1_178,4000320_0_1_98,4000420_0_1_10,4000520_0_1_0,30000_40001_1_340,30000_40002_1_210,30000_40003_1_130</v>
      </c>
      <c r="I118" s="14" t="str">
        <f t="shared" si="42"/>
        <v>4000115_0_1_304,4000215_0_1_267,4000315_0_1_148,4000415_0_1_15,4000515_0_1_0,4000120_0_1_202,4000220_0_1_178,4000320_0_1_98,4000420_0_1_10,4000520_0_1_0,30000_40001_1_340,30000_40002_1_210,30000_40003_1_130,30000_10017_1_145</v>
      </c>
    </row>
    <row r="119" spans="1:9">
      <c r="A119" s="10">
        <v>19</v>
      </c>
      <c r="B119" t="s">
        <v>568</v>
      </c>
      <c r="C119" t="s">
        <v>546</v>
      </c>
      <c r="D119" t="s">
        <v>597</v>
      </c>
      <c r="E119" t="str">
        <f>[1]掉落权重!$E119</f>
        <v>4000115_0_1_99,4000215_0_1_86,4000315_0_1_49,4000415_0_1_7,4000515_0_1_0,4000120_0_1_397,4000220_0_1_347,4000320_0_1_198,4000420_0_1_29,4000520_0_1_0,30000_40001_1_330,30000_40002_1_220,30000_40003_1_135</v>
      </c>
      <c r="I119" s="14" t="str">
        <f t="shared" si="42"/>
        <v>4000115_0_1_99,4000215_0_1_86,4000315_0_1_49,4000415_0_1_7,4000515_0_1_0,4000120_0_1_397,4000220_0_1_347,4000320_0_1_198,4000420_0_1_29,4000520_0_1_0,30000_40001_1_330,30000_40002_1_220,30000_40003_1_135,30000_10017_1_145</v>
      </c>
    </row>
    <row r="120" spans="1:9">
      <c r="A120" s="10">
        <v>21</v>
      </c>
      <c r="B120" t="s">
        <v>567</v>
      </c>
      <c r="C120" t="s">
        <v>547</v>
      </c>
      <c r="D120" t="s">
        <v>538</v>
      </c>
      <c r="E120" t="str">
        <f>[1]掉落权重!$E120</f>
        <v>4000120_0_1_401,4000220_0_1_349,4000320_0_1_205,4000420_0_1_40,4000520_0_1_0,4000125_0_1_100,4000225_0_1_87,4000325_0_1_51,4000425_0_1_10,4000525_0_1_0,30000_40001_1_320,30000_40002_1_230,30000_40003_1_140</v>
      </c>
      <c r="I120" s="14" t="str">
        <f t="shared" si="42"/>
        <v>4000120_0_1_401,4000220_0_1_349,4000320_0_1_205,4000420_0_1_40,4000520_0_1_0,4000125_0_1_100,4000225_0_1_87,4000325_0_1_51,4000425_0_1_10,4000525_0_1_0,30000_40001_1_320,30000_40002_1_230,30000_40003_1_140,30000_10017_1_150</v>
      </c>
    </row>
    <row r="121" spans="1:9">
      <c r="A121" s="10">
        <v>23</v>
      </c>
      <c r="B121" t="s">
        <v>565</v>
      </c>
      <c r="C121" t="s">
        <v>592</v>
      </c>
      <c r="D121" t="s">
        <v>598</v>
      </c>
      <c r="E121" t="str">
        <f>[1]掉落权重!$E121</f>
        <v>4000120_0_1_256,4000220_0_1_222,4000320_0_1_135,4000420_0_1_33,4000520_0_1_0,4000125_0_1_384,4000225_0_1_334,4000325_0_1_202,4000425_0_1_50,4000525_0_1_0,30000_40001_1_310,30000_40002_1_240,30000_40003_1_145</v>
      </c>
      <c r="I121" s="14" t="str">
        <f t="shared" si="42"/>
        <v>4000120_0_1_256,4000220_0_1_222,4000320_0_1_135,4000420_0_1_33,4000520_0_1_0,4000125_0_1_384,4000225_0_1_334,4000325_0_1_202,4000425_0_1_50,4000525_0_1_0,30000_40001_1_310,30000_40002_1_240,30000_40003_1_145,30000_10017_1_200</v>
      </c>
    </row>
    <row r="122" spans="1:9">
      <c r="A122" s="10">
        <v>25</v>
      </c>
      <c r="B122" t="s">
        <v>563</v>
      </c>
      <c r="C122" t="s">
        <v>548</v>
      </c>
      <c r="D122" t="s">
        <v>537</v>
      </c>
      <c r="E122" t="str">
        <f>[1]掉落权重!$E122</f>
        <v>4000125_0_1_630,4000225_0_1_545,4000325_0_1_341,4000425_0_1_94,4000525_0_1_0,4000130_0_1_0,4000230_0_1_0,4000330_0_1_0,4000430_0_1_0,4000530_0_1_0,30000_40001_1_300,30000_40002_1_250,30000_40003_1_150</v>
      </c>
      <c r="I122" s="14" t="str">
        <f t="shared" si="42"/>
        <v>4000125_0_1_630,4000225_0_1_545,4000325_0_1_341,4000425_0_1_94,4000525_0_1_0,4000130_0_1_0,4000230_0_1_0,4000330_0_1_0,4000430_0_1_0,4000530_0_1_0,30000_40001_1_300,30000_40002_1_250,30000_40003_1_150,30000_10017_1_200</v>
      </c>
    </row>
    <row r="123" spans="1:9">
      <c r="A123" s="10">
        <v>27</v>
      </c>
      <c r="B123" t="s">
        <v>572</v>
      </c>
      <c r="C123" t="s">
        <v>549</v>
      </c>
      <c r="D123" t="s">
        <v>599</v>
      </c>
      <c r="E123" t="str">
        <f>[1]掉落权重!$E123</f>
        <v>4000125_0_1_371,4000225_0_1_319,4000325_0_1_206,4000425_0_1_61,4000525_0_1_0,4000130_0_1_247,4000230_0_1_213,4000330_0_1_137,4000430_0_1_41,4000530_0_1_0,30000_40001_1_290,30000_40002_1_260,30000_40003_1_155</v>
      </c>
      <c r="I123" s="14" t="str">
        <f t="shared" si="42"/>
        <v>4000125_0_1_371,4000225_0_1_319,4000325_0_1_206,4000425_0_1_61,4000525_0_1_0,4000130_0_1_247,4000230_0_1_213,4000330_0_1_137,4000430_0_1_41,4000530_0_1_0,30000_40001_1_290,30000_40002_1_260,30000_40003_1_155,30000_10017_1_200</v>
      </c>
    </row>
    <row r="124" spans="1:9">
      <c r="A124" s="10">
        <v>29</v>
      </c>
      <c r="B124" t="s">
        <v>573</v>
      </c>
      <c r="C124" t="s">
        <v>550</v>
      </c>
      <c r="D124" t="s">
        <v>536</v>
      </c>
      <c r="E124" t="str">
        <f>[1]掉落权重!$E124</f>
        <v>4000125_0_1_133,4000225_0_1_114,4000325_0_1_76,4000425_0_1_24,4000525_0_1_0,4000130_0_1_532,4000230_0_1_456,4000330_0_1_304,4000430_0_1_99,4000530_0_1_0,30000_40001_1_280,30000_40002_1_270,30000_40003_1_160</v>
      </c>
      <c r="I124" s="14" t="str">
        <f t="shared" si="42"/>
        <v>4000125_0_1_133,4000225_0_1_114,4000325_0_1_76,4000425_0_1_24,4000525_0_1_0,4000130_0_1_532,4000230_0_1_456,4000330_0_1_304,4000430_0_1_99,4000530_0_1_0,30000_40001_1_280,30000_40002_1_270,30000_40003_1_160,30000_10017_1_220</v>
      </c>
    </row>
    <row r="125" spans="1:9">
      <c r="A125" s="10">
        <v>31</v>
      </c>
      <c r="B125" t="s">
        <v>574</v>
      </c>
      <c r="C125" t="s">
        <v>551</v>
      </c>
      <c r="D125" t="s">
        <v>600</v>
      </c>
      <c r="E125" t="str">
        <f>[1]掉落权重!$E125</f>
        <v>4000130_0_1_533,4000230_0_1_455,4000330_0_1_313,4000430_0_1_109,4000530_0_1_0,4000135_0_1_133,4000235_0_1_113,4000335_0_1_78,4000435_0_1_27,4000535_0_1_0,30000_40001_1_270,30000_40002_1_280,30000_40003_1_165</v>
      </c>
      <c r="I125" s="14" t="str">
        <f t="shared" si="42"/>
        <v>4000130_0_1_533,4000230_0_1_455,4000330_0_1_313,4000430_0_1_109,4000530_0_1_0,4000135_0_1_133,4000235_0_1_113,4000335_0_1_78,4000435_0_1_27,4000535_0_1_0,30000_40001_1_270,30000_40002_1_280,30000_40003_1_165,30000_10017_1_225</v>
      </c>
    </row>
    <row r="126" spans="1:9">
      <c r="A126" s="10">
        <v>33</v>
      </c>
      <c r="B126" t="s">
        <v>575</v>
      </c>
      <c r="C126" t="s">
        <v>552</v>
      </c>
      <c r="D126" t="s">
        <v>535</v>
      </c>
      <c r="E126" t="str">
        <f>[1]掉落权重!$E126</f>
        <v>4000130_0_1_264,4000230_0_1_224,4000330_0_1_160,4000430_0_1_60,4000530_0_1_8,4000135_0_1_396,4000235_0_1_336,4000335_0_1_240,4000435_0_1_90,4000535_0_1_12,30000_40001_1_260,30000_40002_1_290,30000_40003_1_170</v>
      </c>
      <c r="I126" s="14" t="str">
        <f t="shared" si="42"/>
        <v>4000130_0_1_264,4000230_0_1_224,4000330_0_1_160,4000430_0_1_60,4000530_0_1_8,4000135_0_1_396,4000235_0_1_336,4000335_0_1_240,4000435_0_1_90,4000535_0_1_12,30000_40001_1_260,30000_40002_1_290,30000_40003_1_170,30000_10017_1_230</v>
      </c>
    </row>
    <row r="127" spans="1:9">
      <c r="A127" s="10">
        <v>35</v>
      </c>
      <c r="B127" t="s">
        <v>576</v>
      </c>
      <c r="C127" t="s">
        <v>553</v>
      </c>
      <c r="D127" t="s">
        <v>601</v>
      </c>
      <c r="E127" t="str">
        <f>[1]掉落权重!$E127</f>
        <v>4000135_0_1_656,4000235_0_1_554,4000335_0_1_410,4000435_0_1_164,4000535_0_1_31,4000140_0_1_0,4000240_0_1_0,4000340_0_1_0,4000440_0_1_0,4000540_0_1_0,30000_40001_1_250,30000_40002_1_300,30000_40003_1_175</v>
      </c>
      <c r="I127" s="14" t="str">
        <f t="shared" si="42"/>
        <v>4000135_0_1_656,4000235_0_1_554,4000335_0_1_410,4000435_0_1_164,4000535_0_1_31,4000140_0_1_0,4000240_0_1_0,4000340_0_1_0,4000440_0_1_0,4000540_0_1_0,30000_40001_1_250,30000_40002_1_300,30000_40003_1_175,30000_10017_1_235</v>
      </c>
    </row>
    <row r="128" spans="1:9">
      <c r="A128" s="10">
        <v>37</v>
      </c>
      <c r="B128" t="s">
        <v>577</v>
      </c>
      <c r="C128" t="s">
        <v>556</v>
      </c>
      <c r="D128" t="s">
        <v>534</v>
      </c>
      <c r="E128" t="str">
        <f>[1]掉落权重!$E128</f>
        <v>4000135_0_1_391,4000235_0_1_328,4000335_0_1_252,4000435_0_1_107,4000535_0_1_25,4000140_0_1_260,4000240_0_1_218,4000340_0_1_168,4000440_0_1_71,4000540_0_1_16,30000_40001_1_240,30000_40002_1_310,30000_40003_1_180</v>
      </c>
      <c r="I128" s="14" t="str">
        <f t="shared" si="42"/>
        <v>4000135_0_1_391,4000235_0_1_328,4000335_0_1_252,4000435_0_1_107,4000535_0_1_25,4000140_0_1_260,4000240_0_1_218,4000340_0_1_168,4000440_0_1_71,4000540_0_1_16,30000_40001_1_240,30000_40002_1_310,30000_40003_1_180,30000_10017_1_240</v>
      </c>
    </row>
    <row r="129" spans="1:9">
      <c r="A129" s="10">
        <v>39</v>
      </c>
      <c r="B129" t="s">
        <v>578</v>
      </c>
      <c r="C129" t="s">
        <v>608</v>
      </c>
      <c r="D129" t="s">
        <v>602</v>
      </c>
      <c r="E129" t="str">
        <f>[1]掉落权重!$E129</f>
        <v>4000135_0_1_239,4000235_0_1_199,4000335_0_1_159,4000435_0_1_71,4000535_0_1_19,4000140_0_1_406,4000240_0_1_339,4000340_0_1_271,4000440_0_1_122,4000540_0_1_34,30000_40001_1_230,30000_40002_1_305,30000_40003_1_185</v>
      </c>
      <c r="I129" s="14" t="str">
        <f t="shared" si="42"/>
        <v>4000135_0_1_239,4000235_0_1_199,4000335_0_1_159,4000435_0_1_71,4000535_0_1_19,4000140_0_1_406,4000240_0_1_339,4000340_0_1_271,4000440_0_1_122,4000540_0_1_34,30000_40001_1_230,30000_40002_1_305,30000_40003_1_185,30000_10017_1_245</v>
      </c>
    </row>
    <row r="130" spans="1:9">
      <c r="A130" s="10">
        <v>41</v>
      </c>
      <c r="B130" t="s">
        <v>579</v>
      </c>
      <c r="C130" t="s">
        <v>553</v>
      </c>
      <c r="D130" t="s">
        <v>533</v>
      </c>
      <c r="E130" t="str">
        <f>[1]掉落权重!$E130</f>
        <v>4000140_0_1_379,4000240_0_1_315,4000340_0_1_257,4000440_0_1_122,4000540_0_1_38,4000143_0_1_264,4000243_0_1_219,4000343_0_1_178,4000443_0_1_84,4000543_0_1_26,30000_40001_1_220,30000_40002_1_300,30000_40003_1_190</v>
      </c>
      <c r="I130" s="14" t="str">
        <f t="shared" si="42"/>
        <v>4000140_0_1_379,4000240_0_1_315,4000340_0_1_257,4000440_0_1_122,4000540_0_1_38,4000143_0_1_264,4000243_0_1_219,4000343_0_1_178,4000443_0_1_84,4000543_0_1_26,30000_40001_1_220,30000_40002_1_300,30000_40003_1_190,30000_10017_1_250</v>
      </c>
    </row>
    <row r="131" spans="1:9">
      <c r="A131" s="10">
        <v>43</v>
      </c>
      <c r="B131" t="s">
        <v>580</v>
      </c>
      <c r="C131" t="s">
        <v>555</v>
      </c>
      <c r="D131" t="s">
        <v>603</v>
      </c>
      <c r="E131" t="str">
        <f>[1]掉落权重!$E131</f>
        <v>4000143_0_1_439,4000243_0_1_365,4000343_0_1_298,4000443_0_1_148,4000543_0_1_52,4000145_0_1_216,4000245_0_1_179,4000345_0_1_146,4000445_0_1_73,4000545_0_1_25,30000_40001_1_210,30000_40002_1_295,30000_40003_1_195</v>
      </c>
      <c r="I131" s="14" t="str">
        <f t="shared" si="42"/>
        <v>4000143_0_1_439,4000243_0_1_365,4000343_0_1_298,4000443_0_1_148,4000543_0_1_52,4000145_0_1_216,4000245_0_1_179,4000345_0_1_146,4000445_0_1_73,4000545_0_1_25,30000_40001_1_210,30000_40002_1_295,30000_40003_1_195,30000_10017_1_260</v>
      </c>
    </row>
    <row r="132" spans="1:9">
      <c r="A132" s="10">
        <v>45</v>
      </c>
      <c r="B132" t="s">
        <v>581</v>
      </c>
      <c r="C132" t="s">
        <v>552</v>
      </c>
      <c r="D132" t="s">
        <v>532</v>
      </c>
      <c r="E132" t="str">
        <f>[1]掉落权重!$E132</f>
        <v>4000145_0_1_351,4000245_0_1_291,4000345_0_1_238,4000445_0_1_119,4000545_0_1_41,4000145_0_1_324,4000245_0_1_269,4000345_0_1_219,4000445_0_1_109,4000545_0_1_38,30000_40001_1_200,30000_40002_1_290,30000_40003_1_200</v>
      </c>
      <c r="I132" s="14" t="str">
        <f t="shared" si="42"/>
        <v>4000145_0_1_351,4000245_0_1_291,4000345_0_1_238,4000445_0_1_119,4000545_0_1_41,4000145_0_1_324,4000245_0_1_269,4000345_0_1_219,4000445_0_1_109,4000545_0_1_38,30000_40001_1_200,30000_40002_1_290,30000_40003_1_200,30000_10017_1_270</v>
      </c>
    </row>
    <row r="133" spans="1:9">
      <c r="A133" s="10">
        <v>47</v>
      </c>
      <c r="B133" t="s">
        <v>582</v>
      </c>
      <c r="C133" t="s">
        <v>559</v>
      </c>
      <c r="D133" t="s">
        <v>119</v>
      </c>
      <c r="E133" t="str">
        <f>[1]掉落权重!$E133</f>
        <v>4000145_0_1_366,4000245_0_1_304,4000345_0_1_248,4000445_0_1_124,4000545_0_1_43,4000147_0_1_308,4000247_0_1_256,4000347_0_1_209,4000447_0_1_104,4000547_0_1_36,30000_40001_1_190,30000_40002_1_285,30000_40003_1_205</v>
      </c>
      <c r="I133" s="14" t="str">
        <f t="shared" si="42"/>
        <v>4000145_0_1_366,4000245_0_1_304,4000345_0_1_248,4000445_0_1_124,4000545_0_1_43,4000147_0_1_308,4000247_0_1_256,4000347_0_1_209,4000447_0_1_104,4000547_0_1_36,30000_40001_1_190,30000_40002_1_285,30000_40003_1_205,30000_10017_1_275</v>
      </c>
    </row>
    <row r="134" spans="1:9">
      <c r="A134" s="10">
        <v>49</v>
      </c>
      <c r="B134" t="s">
        <v>583</v>
      </c>
      <c r="C134" t="s">
        <v>551</v>
      </c>
      <c r="D134" t="s">
        <v>531</v>
      </c>
      <c r="E134" t="str">
        <f>[1]掉落权重!$E134</f>
        <v>4000147_0_1_377,4000247_0_1_313,4000347_0_1_256,4000447_0_1_128,4000547_0_1_44,4000150_0_1_297,4000250_0_1_247,4000350_0_1_201,4000450_0_1_100,4000550_0_1_35,30000_40001_1_180,30000_40002_1_280,30000_40003_1_210</v>
      </c>
      <c r="I134" s="14" t="str">
        <f t="shared" si="42"/>
        <v>4000147_0_1_377,4000247_0_1_313,4000347_0_1_256,4000447_0_1_128,4000547_0_1_44,4000150_0_1_297,4000250_0_1_247,4000350_0_1_201,4000450_0_1_100,4000550_0_1_35,30000_40001_1_180,30000_40002_1_280,30000_40003_1_210,30000_10017_1_280</v>
      </c>
    </row>
    <row r="135" spans="1:9">
      <c r="A135" s="10">
        <v>51</v>
      </c>
      <c r="B135" t="s">
        <v>584</v>
      </c>
      <c r="C135" t="s">
        <v>558</v>
      </c>
      <c r="D135" t="s">
        <v>604</v>
      </c>
      <c r="E135" t="str">
        <f>[1]掉落权重!$E135</f>
        <v>4000150_0_1_406,4000250_0_1_337,4000350_0_1_275,4000450_0_1_137,4000550_0_1_48,4000153_0_1_285,4000253_0_1_237,4000353_0_1_193,4000453_0_1_97,4000553_0_1_33,30000_40001_1_170,30000_40002_1_275,30000_40003_1_215</v>
      </c>
      <c r="I135" s="14" t="str">
        <f t="shared" si="42"/>
        <v>4000150_0_1_406,4000250_0_1_337,4000350_0_1_275,4000450_0_1_137,4000550_0_1_48,4000153_0_1_285,4000253_0_1_237,4000353_0_1_193,4000453_0_1_97,4000553_0_1_33,30000_40001_1_170,30000_40002_1_275,30000_40003_1_215,30000_10017_1_300</v>
      </c>
    </row>
    <row r="136" spans="1:9">
      <c r="A136" s="10">
        <v>53</v>
      </c>
      <c r="B136" t="s">
        <v>585</v>
      </c>
      <c r="C136" t="s">
        <v>550</v>
      </c>
      <c r="D136" t="s">
        <v>125</v>
      </c>
      <c r="E136" t="str">
        <f>[1]掉落权重!$E136</f>
        <v>4000153_0_1_423,4000253_0_1_351,4000353_0_1_287,4000453_0_1_143,4000553_0_1_50,4000153_0_1_268,4000253_0_1_223,4000353_0_1_181,4000453_0_1_91,4000553_0_1_31,30000_40001_1_160,30000_40002_1_270,30000_40003_1_220</v>
      </c>
      <c r="I136" s="14" t="str">
        <f t="shared" si="42"/>
        <v>4000153_0_1_423,4000253_0_1_351,4000353_0_1_287,4000453_0_1_143,4000553_0_1_50,4000153_0_1_268,4000253_0_1_223,4000353_0_1_181,4000453_0_1_91,4000553_0_1_31,30000_40001_1_160,30000_40002_1_270,30000_40003_1_220,30000_10017_1_300</v>
      </c>
    </row>
    <row r="137" spans="1:9">
      <c r="A137" s="10">
        <v>55</v>
      </c>
      <c r="B137" t="s">
        <v>586</v>
      </c>
      <c r="C137" t="s">
        <v>554</v>
      </c>
      <c r="D137" t="s">
        <v>605</v>
      </c>
      <c r="E137" t="str">
        <f>[1]掉落权重!$E137</f>
        <v>4000153_0_1_439,4000253_0_1_365,4000353_0_1_297,4000453_0_1_149,4000553_0_1_52,4000155_0_1_252,4000255_0_1_209,4000355_0_1_171,4000455_0_1_85,4000555_0_1_29,30000_40001_1_150,30000_40002_1_265,30000_40003_1_225</v>
      </c>
      <c r="I137" s="14" t="str">
        <f t="shared" si="42"/>
        <v>4000153_0_1_439,4000253_0_1_365,4000353_0_1_297,4000453_0_1_149,4000553_0_1_52,4000155_0_1_252,4000255_0_1_209,4000355_0_1_171,4000455_0_1_85,4000555_0_1_29,30000_40001_1_150,30000_40002_1_265,30000_40003_1_225,30000_10017_1_300</v>
      </c>
    </row>
    <row r="138" spans="1:9">
      <c r="A138" s="10">
        <v>57</v>
      </c>
      <c r="B138" t="s">
        <v>587</v>
      </c>
      <c r="C138" t="s">
        <v>549</v>
      </c>
      <c r="D138" t="s">
        <v>530</v>
      </c>
      <c r="E138" t="str">
        <f>[1]掉落权重!$E138</f>
        <v>4000155_0_1_453,4000255_0_1_377,4000355_0_1_307,4000455_0_1_154,4000555_0_1_53,4000157_0_1_238,4000257_0_1_197,4000357_0_1_161,4000457_0_1_80,4000557_0_1_28,30000_40001_1_140,30000_40002_1_260,30000_40003_1_230</v>
      </c>
      <c r="I138" s="14" t="str">
        <f t="shared" si="42"/>
        <v>4000155_0_1_453,4000255_0_1_377,4000355_0_1_307,4000455_0_1_154,4000555_0_1_53,4000157_0_1_238,4000257_0_1_197,4000357_0_1_161,4000457_0_1_80,4000557_0_1_28,30000_40001_1_140,30000_40002_1_260,30000_40003_1_230,30000_10017_1_300</v>
      </c>
    </row>
    <row r="139" spans="1:9">
      <c r="A139" s="10">
        <v>59</v>
      </c>
      <c r="B139" t="s">
        <v>588</v>
      </c>
      <c r="C139" t="s">
        <v>557</v>
      </c>
      <c r="D139" t="s">
        <v>131</v>
      </c>
      <c r="E139" t="str">
        <f>[1]掉落权重!$E139</f>
        <v>4000157_0_1_467,4000257_0_1_388,4000357_0_1_316,4000457_0_1_158,4000557_0_1_55,4000157_0_1_224,4000257_0_1_186,4000357_0_1_152,4000457_0_1_76,4000557_0_1_26,30000_40001_1_130,30000_40002_1_255,30000_40003_1_235</v>
      </c>
      <c r="I139" s="14" t="str">
        <f t="shared" si="42"/>
        <v>4000157_0_1_467,4000257_0_1_388,4000357_0_1_316,4000457_0_1_158,4000557_0_1_55,4000157_0_1_224,4000257_0_1_186,4000357_0_1_152,4000457_0_1_76,4000557_0_1_26,30000_40001_1_130,30000_40002_1_255,30000_40003_1_235,30000_10017_1_300</v>
      </c>
    </row>
    <row r="140" spans="1:9">
      <c r="A140" s="10">
        <v>61</v>
      </c>
      <c r="B140" t="s">
        <v>589</v>
      </c>
      <c r="C140" t="s">
        <v>548</v>
      </c>
      <c r="D140" t="s">
        <v>529</v>
      </c>
      <c r="E140" t="str">
        <f>[1]掉落权重!$E140</f>
        <v>4000157_0_1_479,4000257_0_1_398,4000357_0_1_325,4000457_0_1_162,4000557_0_1_56,4000160_0_1_212,4000260_0_1_176,4000360_0_1_143,4000460_0_1_72,4000560_0_1_25,30000_40001_1_120,30000_40002_1_250,30000_40003_1_240</v>
      </c>
      <c r="I140" s="14" t="str">
        <f t="shared" si="42"/>
        <v>4000157_0_1_479,4000257_0_1_398,4000357_0_1_325,4000457_0_1_162,4000557_0_1_56,4000160_0_1_212,4000260_0_1_176,4000360_0_1_143,4000460_0_1_72,4000560_0_1_25,30000_40001_1_120,30000_40002_1_250,30000_40003_1_240,30000_10017_1_300</v>
      </c>
    </row>
    <row r="141" spans="1:9">
      <c r="A141" s="10">
        <v>63</v>
      </c>
      <c r="B141" t="s">
        <v>709</v>
      </c>
      <c r="C141" t="s">
        <v>710</v>
      </c>
      <c r="D141" t="s">
        <v>606</v>
      </c>
      <c r="E141" t="str">
        <f>[1]掉落权重!$E141</f>
        <v>4000160_0_1_489,4000260_0_1_406,4000360_0_1_331,4000460_0_1_166,4000560_0_1_57,4000163_0_1_202,4000263_0_1_168,4000363_0_1_137,4000463_0_1_68,4000563_0_1_24,30000_40001_1_120,30000_40002_1_250,30000_40003_1_245</v>
      </c>
      <c r="I141" s="14" t="str">
        <f t="shared" si="42"/>
        <v>4000160_0_1_489,4000260_0_1_406,4000360_0_1_331,4000460_0_1_166,4000560_0_1_57,4000163_0_1_202,4000263_0_1_168,4000363_0_1_137,4000463_0_1_68,4000563_0_1_24,30000_40001_1_120,30000_40002_1_250,30000_40003_1_245,30000_10017_1_300</v>
      </c>
    </row>
    <row r="142" spans="1:9">
      <c r="A142" s="10">
        <v>65</v>
      </c>
      <c r="B142" t="s">
        <v>589</v>
      </c>
      <c r="C142" t="s">
        <v>548</v>
      </c>
      <c r="D142" t="s">
        <v>528</v>
      </c>
      <c r="E142" t="str">
        <f>[1]掉落权重!$E142</f>
        <v>4000163_0_1_498,4000263_0_1_414,4000363_0_1_337,4000463_0_1_169,4000563_0_1_59,4000163_0_1_193,4000263_0_1_161,4000363_0_1_131,4000463_0_1_65,4000563_0_1_22,30000_40001_1_120,30000_40002_1_250,30000_40003_1_250</v>
      </c>
      <c r="I142" s="14" t="str">
        <f t="shared" si="42"/>
        <v>4000163_0_1_498,4000263_0_1_414,4000363_0_1_337,4000463_0_1_169,4000563_0_1_59,4000163_0_1_193,4000263_0_1_161,4000363_0_1_131,4000463_0_1_65,4000563_0_1_22,30000_40001_1_120,30000_40002_1_250,30000_40003_1_250,30000_10017_1_300</v>
      </c>
    </row>
    <row r="143" spans="1:9">
      <c r="A143" s="10">
        <v>67</v>
      </c>
      <c r="B143" t="s">
        <v>589</v>
      </c>
      <c r="C143" t="s">
        <v>548</v>
      </c>
      <c r="D143" t="s">
        <v>607</v>
      </c>
      <c r="E143" t="str">
        <f>[1]掉落权重!$E143</f>
        <v>4000163_0_1_506,4000263_0_1_420,4000363_0_1_343,4000463_0_1_172,4000563_0_1_60,4000165_0_1_185,4000265_0_1_154,4000365_0_1_125,4000465_0_1_62,4000565_0_1_21,30000_40001_1_120,30000_40002_1_250,30000_40003_1_255</v>
      </c>
      <c r="I143" s="14" t="str">
        <f t="shared" si="42"/>
        <v>4000163_0_1_506,4000263_0_1_420,4000363_0_1_343,4000463_0_1_172,4000563_0_1_60,4000165_0_1_185,4000265_0_1_154,4000365_0_1_125,4000465_0_1_62,4000565_0_1_21,30000_40001_1_120,30000_40002_1_250,30000_40003_1_255,30000_10017_1_300</v>
      </c>
    </row>
    <row r="144" spans="1:9">
      <c r="A144" s="10">
        <v>69</v>
      </c>
      <c r="B144" t="s">
        <v>589</v>
      </c>
      <c r="C144" t="s">
        <v>548</v>
      </c>
      <c r="D144" t="s">
        <v>697</v>
      </c>
      <c r="E144" t="str">
        <f>[1]掉落权重!$E144</f>
        <v>4000167_0_1_522,4000267_0_1_434,4000367_0_1_354,4000467_0_1_177,4000567_0_1_61,4000170_0_1_169,4000270_0_1_140,4000370_0_1_114,4000470_0_1_57,4000570_0_1_20,30000_40001_1_120,30000_40002_1_250,30000_40003_1_260</v>
      </c>
      <c r="I144" s="14" t="str">
        <f t="shared" si="42"/>
        <v>4000167_0_1_522,4000267_0_1_434,4000367_0_1_354,4000467_0_1_177,4000567_0_1_61,4000170_0_1_169,4000270_0_1_140,4000370_0_1_114,4000470_0_1_57,4000570_0_1_20,30000_40001_1_120,30000_40002_1_250,30000_40003_1_260,30000_10017_1_300</v>
      </c>
    </row>
    <row r="145" spans="1:9">
      <c r="A145" s="10">
        <v>71</v>
      </c>
      <c r="B145" t="s">
        <v>589</v>
      </c>
      <c r="C145" t="s">
        <v>548</v>
      </c>
      <c r="D145" t="s">
        <v>698</v>
      </c>
      <c r="E145" t="str">
        <f>[1]掉落权重!$E145</f>
        <v>4000167_0_1_362,4000267_0_1_301,4000367_0_1_245,4000467_0_1_123,4000567_0_1_43,4000170_0_1_346,4000270_0_1_287,4000370_0_1_234,4000470_0_1_117,4000570_0_1_41,30000_40001_1_120,30000_40002_1_250,30000_40003_1_265</v>
      </c>
      <c r="I145" s="14" t="str">
        <f t="shared" si="42"/>
        <v>4000167_0_1_362,4000267_0_1_301,4000367_0_1_245,4000467_0_1_123,4000567_0_1_43,4000170_0_1_346,4000270_0_1_287,4000370_0_1_234,4000470_0_1_117,4000570_0_1_41,30000_40001_1_120,30000_40002_1_250,30000_40003_1_265,30000_10017_1_300</v>
      </c>
    </row>
    <row r="146" spans="1:9">
      <c r="A146" s="10">
        <v>73</v>
      </c>
      <c r="B146" t="s">
        <v>589</v>
      </c>
      <c r="C146" t="s">
        <v>548</v>
      </c>
      <c r="D146" t="s">
        <v>699</v>
      </c>
      <c r="E146" t="str">
        <f>[1]掉落权重!$E146</f>
        <v>4001072_0_1_560,4002072_0_1_465,4003072_0_1_379,4004072_0_1_190,4005072_0_1_66,4001074_0_1_164,4002074_0_1_136,4003074_0_1_111,4004074_0_1_55,4005074_0_1_19,30000_40001_1_120,30000_40002_1_250,30000_40003_1_270</v>
      </c>
      <c r="I146" s="14" t="str">
        <f t="shared" si="42"/>
        <v>4001072_0_1_560,4002072_0_1_465,4003072_0_1_379,4004072_0_1_190,4005072_0_1_66,4001074_0_1_164,4002074_0_1_136,4003074_0_1_111,4004074_0_1_55,4005074_0_1_19,30000_40001_1_120,30000_40002_1_250,30000_40003_1_270,30000_10017_1_300</v>
      </c>
    </row>
    <row r="147" spans="1:9">
      <c r="A147" s="10">
        <v>75</v>
      </c>
      <c r="B147" t="s">
        <v>589</v>
      </c>
      <c r="C147" t="s">
        <v>548</v>
      </c>
      <c r="D147" t="s">
        <v>700</v>
      </c>
      <c r="E147" t="str">
        <f>[1]掉落权重!$E147</f>
        <v>4001074_0_1_598,4002074_0_1_496,4003074_0_1_405,4004074_0_1_202,4005074_0_1_71,4001076_0_1_133,4002076_0_1_111,4003076_0_1_90,4004076_0_1_45,4005076_0_1_15,30000_40001_1_120,30000_40002_1_250,30000_40003_1_275</v>
      </c>
      <c r="I147" s="14" t="str">
        <f t="shared" si="42"/>
        <v>4001074_0_1_598,4002074_0_1_496,4003074_0_1_405,4004074_0_1_202,4005074_0_1_71,4001076_0_1_133,4002076_0_1_111,4003076_0_1_90,4004076_0_1_45,4005076_0_1_15,30000_40001_1_120,30000_40002_1_250,30000_40003_1_275,30000_10017_1_300</v>
      </c>
    </row>
    <row r="148" spans="1:9">
      <c r="A148" s="10">
        <v>77</v>
      </c>
      <c r="B148" t="s">
        <v>589</v>
      </c>
      <c r="C148" t="s">
        <v>548</v>
      </c>
      <c r="D148" t="s">
        <v>701</v>
      </c>
      <c r="E148" t="str">
        <f>[1]掉落权重!$E148</f>
        <v>4001076_0_1_627,4002076_0_1_521,4003076_0_1_425,4004076_0_1_212,4005076_0_1_74,4001078_0_1_110,4002078_0_1_91,4003078_0_1_75,4004078_0_1_37,4005078_0_1_13,30000_40001_1_120,30000_40002_1_250,30000_40003_1_280</v>
      </c>
      <c r="I148" s="14" t="str">
        <f t="shared" si="42"/>
        <v>4001076_0_1_627,4002076_0_1_521,4003076_0_1_425,4004076_0_1_212,4005076_0_1_74,4001078_0_1_110,4002078_0_1_91,4003078_0_1_75,4004078_0_1_37,4005078_0_1_13,30000_40001_1_120,30000_40002_1_250,30000_40003_1_280,30000_10017_1_300</v>
      </c>
    </row>
    <row r="149" spans="1:9">
      <c r="A149" s="10">
        <v>79</v>
      </c>
      <c r="B149" t="s">
        <v>589</v>
      </c>
      <c r="C149" t="s">
        <v>548</v>
      </c>
      <c r="D149" t="s">
        <v>702</v>
      </c>
      <c r="E149" t="str">
        <f>[1]掉落权重!$E149</f>
        <v>4001078_0_1_651,4002078_0_1_541,4003078_0_1_441,4004078_0_1_221,4005078_0_1_77,4001080_0_1_93,4002080_0_1_77,4003080_0_1_63,4004080_0_1_31,4005080_0_1_11,30000_40001_1_120,30000_40002_1_250,30000_40003_1_285</v>
      </c>
      <c r="I149" s="14" t="str">
        <f t="shared" si="42"/>
        <v>4001078_0_1_651,4002078_0_1_541,4003078_0_1_441,4004078_0_1_221,4005078_0_1_77,4001080_0_1_93,4002080_0_1_77,4003080_0_1_63,4004080_0_1_31,4005080_0_1_11,30000_40001_1_120,30000_40002_1_250,30000_40003_1_285,30000_10017_1_300</v>
      </c>
    </row>
    <row r="150" spans="1:9">
      <c r="A150" s="10">
        <v>81</v>
      </c>
      <c r="B150" t="s">
        <v>589</v>
      </c>
      <c r="C150" t="s">
        <v>548</v>
      </c>
      <c r="D150" t="s">
        <v>703</v>
      </c>
      <c r="E150" t="str">
        <f>[1]掉落权重!$E150</f>
        <v>4001080_0_1_691,4002080_0_1_574,4003080_0_1_469,4004080_0_1_234,4005080_0_1_81,4001082_0_1_60,4002082_0_1_49,4003082_0_1_40,4004082_0_1_20,4005082_0_1_7,30000_40001_1_120,30000_40002_1_250,30000_40003_1_290</v>
      </c>
      <c r="I150" s="14" t="str">
        <f t="shared" si="42"/>
        <v>4001080_0_1_691,4002080_0_1_574,4003080_0_1_469,4004080_0_1_234,4005080_0_1_81,4001082_0_1_60,4002082_0_1_49,4003082_0_1_40,4004082_0_1_20,4005082_0_1_7,30000_40001_1_120,30000_40002_1_250,30000_40003_1_290,30000_10017_1_300</v>
      </c>
    </row>
    <row r="151" spans="1:9">
      <c r="A151" s="10">
        <v>83</v>
      </c>
      <c r="B151" t="s">
        <v>589</v>
      </c>
      <c r="C151" t="s">
        <v>548</v>
      </c>
      <c r="D151" t="s">
        <v>704</v>
      </c>
      <c r="E151" t="str">
        <f>[1]掉落权重!$E151</f>
        <v>4001082_0_1_705,4002082_0_1_585,4003082_0_1_478,4004082_0_1_239,4005082_0_1_83,4001084_0_1_53,4002084_0_1_44,4003084_0_1_35,4004084_0_1_17,4005084_0_1_6,30000_40001_1_120,30000_40002_1_250,30000_40003_1_295</v>
      </c>
      <c r="I151" s="14" t="str">
        <f t="shared" si="42"/>
        <v>4001082_0_1_705,4002082_0_1_585,4003082_0_1_478,4004082_0_1_239,4005082_0_1_83,4001084_0_1_53,4002084_0_1_44,4003084_0_1_35,4004084_0_1_17,4005084_0_1_6,30000_40001_1_120,30000_40002_1_250,30000_40003_1_295,30000_10017_1_300</v>
      </c>
    </row>
    <row r="152" spans="1:9">
      <c r="A152" s="10">
        <v>85</v>
      </c>
      <c r="B152" t="s">
        <v>589</v>
      </c>
      <c r="C152" t="s">
        <v>548</v>
      </c>
      <c r="D152" t="s">
        <v>705</v>
      </c>
      <c r="E152" t="str">
        <f>[1]掉落权重!$E152</f>
        <v>4001084_0_1_719,4002084_0_1_597,4003084_0_1_487,4004084_0_1_243,4005084_0_1_85,4001086_0_1_45,4002086_0_1_38,4003086_0_1_31,4004086_0_1_15,4005086_0_1_5,30000_40001_1_120,30000_40002_1_250,30000_40003_1_300</v>
      </c>
      <c r="I152" s="14" t="str">
        <f t="shared" si="42"/>
        <v>4001084_0_1_719,4002084_0_1_597,4003084_0_1_487,4004084_0_1_243,4005084_0_1_85,4001086_0_1_45,4002086_0_1_38,4003086_0_1_31,4004086_0_1_15,4005086_0_1_5,30000_40001_1_120,30000_40002_1_250,30000_40003_1_300,30000_10017_1_300</v>
      </c>
    </row>
    <row r="153" spans="1:9">
      <c r="A153" s="10">
        <v>87</v>
      </c>
      <c r="B153" t="s">
        <v>589</v>
      </c>
      <c r="C153" t="s">
        <v>548</v>
      </c>
      <c r="D153" t="s">
        <v>706</v>
      </c>
      <c r="E153" t="str">
        <f>[1]掉落权重!$E153</f>
        <v>4001086_0_1_733,4002086_0_1_608,4003086_0_1_496,4004086_0_1_248,4005086_0_1_87,4001088_0_1_38,4002088_0_1_32,4003088_0_1_26,4004088_0_1_13,4005088_0_1_4,30000_40001_1_120,30000_40002_1_250,30000_40003_1_305</v>
      </c>
      <c r="I153" s="14" t="str">
        <f t="shared" si="42"/>
        <v>4001086_0_1_733,4002086_0_1_608,4003086_0_1_496,4004086_0_1_248,4005086_0_1_87,4001088_0_1_38,4002088_0_1_32,4003088_0_1_26,4004088_0_1_13,4005088_0_1_4,30000_40001_1_120,30000_40002_1_250,30000_40003_1_305,30000_10017_1_300</v>
      </c>
    </row>
    <row r="154" spans="1:9">
      <c r="A154" s="10">
        <v>89</v>
      </c>
      <c r="B154" t="s">
        <v>589</v>
      </c>
      <c r="C154" t="s">
        <v>548</v>
      </c>
      <c r="D154" t="s">
        <v>707</v>
      </c>
      <c r="E154" t="str">
        <f>[1]掉落权重!$E154</f>
        <v>4001088_0_1_740,4002088_0_1_614,4003088_0_1_501,4004088_0_1_250,4005088_0_1_87,4001090_0_1_38,4002090_0_1_32,4003090_0_1_26,4004090_0_1_13,4005090_0_1_4,30000_40001_1_120,30000_40002_1_250,30000_40003_1_310</v>
      </c>
      <c r="I154" s="14" t="str">
        <f t="shared" si="42"/>
        <v>4001088_0_1_740,4002088_0_1_614,4003088_0_1_501,4004088_0_1_250,4005088_0_1_87,4001090_0_1_38,4002090_0_1_32,4003090_0_1_26,4004090_0_1_13,4005090_0_1_4,30000_40001_1_120,30000_40002_1_250,30000_40003_1_310,30000_10017_1_300</v>
      </c>
    </row>
    <row r="155" spans="1:9">
      <c r="A155" s="10">
        <v>91</v>
      </c>
      <c r="B155" t="s">
        <v>589</v>
      </c>
      <c r="C155" t="s">
        <v>548</v>
      </c>
      <c r="D155" t="s">
        <v>708</v>
      </c>
      <c r="E155" t="str">
        <f>[1]掉落权重!$E155</f>
        <v>4001090_0_1_746,4002090_0_1_619,4003090_0_1_506,4004090_0_1_252,4005090_0_1_88,4001092_0_1_39,4002092_0_1_32,4003092_0_1_26,4004092_0_1_13,4005092_0_1_4,30000_40001_1_120,30000_40002_1_250,30000_40003_1_315</v>
      </c>
      <c r="I155" s="14" t="str">
        <f t="shared" si="42"/>
        <v>4001090_0_1_746,4002090_0_1_619,4003090_0_1_506,4004090_0_1_252,4005090_0_1_88,4001092_0_1_39,4002092_0_1_32,4003092_0_1_26,4004092_0_1_13,4005092_0_1_4,30000_40001_1_120,30000_40002_1_250,30000_40003_1_315,30000_10017_1_300</v>
      </c>
    </row>
    <row r="156" spans="1:9">
      <c r="A156" s="10">
        <v>93</v>
      </c>
      <c r="B156" t="s">
        <v>589</v>
      </c>
      <c r="C156" t="s">
        <v>548</v>
      </c>
      <c r="D156" t="s">
        <v>711</v>
      </c>
      <c r="E156" t="str">
        <f>[1]掉落权重!$E156</f>
        <v>4001092_0_1_752,4002092_0_1_625,4003092_0_1_510,4004092_0_1_255,4005092_0_1_89,4001094_0_1_39,4002094_0_1_32,4003094_0_1_26,4004094_0_1_13,4005094_0_1_4,30000_40001_1_120,30000_40002_1_250,30000_40003_1_320</v>
      </c>
      <c r="I156" s="14" t="str">
        <f t="shared" si="42"/>
        <v>4001092_0_1_752,4002092_0_1_625,4003092_0_1_510,4004092_0_1_255,4005092_0_1_89,4001094_0_1_39,4002094_0_1_32,4003094_0_1_26,4004094_0_1_13,4005094_0_1_4,30000_40001_1_120,30000_40002_1_250,30000_40003_1_320,30000_10017_1_300</v>
      </c>
    </row>
    <row r="157" spans="1:9">
      <c r="A157" s="10">
        <v>95</v>
      </c>
      <c r="B157" t="s">
        <v>589</v>
      </c>
      <c r="C157" t="s">
        <v>548</v>
      </c>
      <c r="D157" t="s">
        <v>712</v>
      </c>
      <c r="E157" t="str">
        <f>[1]掉落权重!$E157</f>
        <v>4001094_0_1_759,4002094_0_1_630,4003094_0_1_514,4004094_0_1_257,4005094_0_1_90,4001096_0_1_39,4002096_0_1_33,4003096_0_1_27,4004096_0_1_13,4005096_0_1_4,30000_40001_1_120,30000_40002_1_250,30000_40003_1_325</v>
      </c>
      <c r="I157" s="14" t="str">
        <f t="shared" si="42"/>
        <v>4001094_0_1_759,4002094_0_1_630,4003094_0_1_514,4004094_0_1_257,4005094_0_1_90,4001096_0_1_39,4002096_0_1_33,4003096_0_1_27,4004096_0_1_13,4005096_0_1_4,30000_40001_1_120,30000_40002_1_250,30000_40003_1_325,30000_10017_1_300</v>
      </c>
    </row>
    <row r="158" spans="1:9">
      <c r="A158" s="10">
        <v>97</v>
      </c>
      <c r="B158" t="s">
        <v>589</v>
      </c>
      <c r="C158" t="s">
        <v>548</v>
      </c>
      <c r="D158" t="s">
        <v>713</v>
      </c>
      <c r="E158" t="str">
        <f>[1]掉落权重!$E158</f>
        <v>4001096_0_1_765,4002096_0_1_635,4003096_0_1_518,4004096_0_1_259,4005096_0_1_91,4001098_0_1_40,4002098_0_1_33,4003098_0_1_27,4004098_0_1_13,4005098_0_1_4,30000_40001_1_120,30000_40002_1_250,30000_40003_1_330</v>
      </c>
      <c r="I158" s="14" t="str">
        <f t="shared" si="42"/>
        <v>4001096_0_1_765,4002096_0_1_635,4003096_0_1_518,4004096_0_1_259,4005096_0_1_91,4001098_0_1_40,4002098_0_1_33,4003098_0_1_27,4004098_0_1_13,4005098_0_1_4,30000_40001_1_120,30000_40002_1_250,30000_40003_1_330,30000_10017_1_300</v>
      </c>
    </row>
    <row r="159" spans="1:9">
      <c r="A159" s="10">
        <v>99</v>
      </c>
      <c r="B159" t="s">
        <v>589</v>
      </c>
      <c r="C159" t="s">
        <v>548</v>
      </c>
      <c r="D159" t="s">
        <v>714</v>
      </c>
      <c r="E159" t="str">
        <f>[1]掉落权重!$E159</f>
        <v>4001098_0_1_772,4002098_0_1_641,4003098_0_1_523,4004098_0_1_261,4005098_0_1_91,4001098_0_1_40,4002098_0_1_33,4003098_0_1_27,4004098_0_1_13,4005098_0_1_4,30000_40001_1_120,30000_40002_1_250,30000_40003_1_335</v>
      </c>
      <c r="I159" s="14" t="str">
        <f t="shared" si="42"/>
        <v>4001098_0_1_772,4002098_0_1_641,4003098_0_1_523,4004098_0_1_261,4005098_0_1_91,4001098_0_1_40,4002098_0_1_33,4003098_0_1_27,4004098_0_1_13,4005098_0_1_4,30000_40001_1_120,30000_40002_1_250,30000_40003_1_335,30000_10017_1_300</v>
      </c>
    </row>
    <row r="160" spans="1:9">
      <c r="A160" s="10">
        <v>100</v>
      </c>
      <c r="B160" t="s">
        <v>715</v>
      </c>
      <c r="C160" t="s">
        <v>716</v>
      </c>
      <c r="D160" t="s">
        <v>717</v>
      </c>
      <c r="E160" t="str">
        <f>[1]掉落权重!$E160</f>
        <v>4001098_0_1_778,4002098_0_1_646,4003098_0_1_527,4004098_0_1_264,4005098_0_1_92,4001100_0_1_40,4002100_0_1_34,4003100_0_1_27,4004100_0_1_13,4005100_0_1_4,30000_40001_1_121,30000_40002_1_251,30000_40003_1_336</v>
      </c>
      <c r="I160" s="14" t="str">
        <f t="shared" si="42"/>
        <v>4001098_0_1_778,4002098_0_1_646,4003098_0_1_527,4004098_0_1_264,4005098_0_1_92,4001100_0_1_40,4002100_0_1_34,4003100_0_1_27,4004100_0_1_13,4005100_0_1_4,30000_40001_1_121,30000_40002_1_251,30000_40003_1_336,30000_10017_1_300</v>
      </c>
    </row>
    <row r="161" spans="1:11">
      <c r="A161" s="10"/>
    </row>
    <row r="163" spans="1:11">
      <c r="B163" t="s">
        <v>1079</v>
      </c>
      <c r="E163" t="s">
        <v>613</v>
      </c>
      <c r="H163" s="14" t="s">
        <v>1077</v>
      </c>
      <c r="I163" t="s">
        <v>1078</v>
      </c>
    </row>
    <row r="164" spans="1:11">
      <c r="B164" t="str">
        <f>"30000_10017_1_"&amp;ROUND(100*Sheet3!$K82,0)</f>
        <v>30000_10017_1_100</v>
      </c>
      <c r="E164" t="s">
        <v>614</v>
      </c>
      <c r="H164" s="14" t="str">
        <f>E164&amp;","&amp;I164</f>
        <v>30000_60001_1_10000,7000001_0_1_10000,30000_10018_1_10000,30000_10019_1_2000</v>
      </c>
      <c r="I164" t="str">
        <f>"30000_10018_1_10000,30000_10019_1_2000"</f>
        <v>30000_10018_1_10000,30000_10019_1_2000</v>
      </c>
      <c r="K164">
        <v>1</v>
      </c>
    </row>
    <row r="165" spans="1:11">
      <c r="B165" t="str">
        <f>"30000_10017_1_"&amp;ROUND(100*Sheet3!$K83,0)</f>
        <v>30000_10017_1_100</v>
      </c>
      <c r="E165" t="s">
        <v>615</v>
      </c>
      <c r="H165" s="14" t="str">
        <f t="shared" ref="H165:H198" si="43">E165&amp;","&amp;I165</f>
        <v>30000_60001_2_10000,7000001_0_1_10000,30000_10018_1_10000,30000_10019_1_2000</v>
      </c>
      <c r="I165" t="str">
        <f t="shared" ref="I165:I215" si="44">"30000_10018_1_10000,30000_10019_1_2000"</f>
        <v>30000_10018_1_10000,30000_10019_1_2000</v>
      </c>
      <c r="K165">
        <v>5</v>
      </c>
    </row>
    <row r="166" spans="1:11">
      <c r="B166" t="str">
        <f>"30000_10017_1_"&amp;ROUND(100*Sheet3!$K84,0)</f>
        <v>30000_10017_1_100</v>
      </c>
      <c r="E166" t="s">
        <v>616</v>
      </c>
      <c r="H166" s="14" t="str">
        <f t="shared" si="43"/>
        <v>30000_60001_3_10000,7000001_0_1_10000,30000_10018_1_10000,30000_10019_1_2000</v>
      </c>
      <c r="I166" t="str">
        <f t="shared" si="44"/>
        <v>30000_10018_1_10000,30000_10019_1_2000</v>
      </c>
      <c r="K166">
        <v>9</v>
      </c>
    </row>
    <row r="167" spans="1:11">
      <c r="B167" t="str">
        <f>"30000_10017_1_"&amp;ROUND(100*Sheet3!$K85,0)</f>
        <v>30000_10017_1_100</v>
      </c>
      <c r="E167" t="s">
        <v>617</v>
      </c>
      <c r="H167" s="14" t="str">
        <f t="shared" si="43"/>
        <v>30000_60001_4_10000,7000002_0_1_10000,30000_10018_1_10000,30000_10019_1_2000</v>
      </c>
      <c r="I167" t="str">
        <f t="shared" si="44"/>
        <v>30000_10018_1_10000,30000_10019_1_2000</v>
      </c>
      <c r="K167">
        <v>13</v>
      </c>
    </row>
    <row r="168" spans="1:11">
      <c r="B168" t="str">
        <f>"30000_10017_1_"&amp;ROUND(100*Sheet3!$K86,0)</f>
        <v>30000_10017_1_100</v>
      </c>
      <c r="E168" t="s">
        <v>618</v>
      </c>
      <c r="H168" s="14" t="str">
        <f t="shared" si="43"/>
        <v>30000_60001_5_10000,7000002_0_1_10000,30000_10018_1_10000,30000_10019_1_2000</v>
      </c>
      <c r="I168" t="str">
        <f t="shared" si="44"/>
        <v>30000_10018_1_10000,30000_10019_1_2000</v>
      </c>
      <c r="K168">
        <v>17</v>
      </c>
    </row>
    <row r="169" spans="1:11">
      <c r="B169" t="str">
        <f>"30000_10017_1_"&amp;ROUND(100*Sheet3!$K87,0)</f>
        <v>30000_10017_1_100</v>
      </c>
      <c r="E169" t="s">
        <v>619</v>
      </c>
      <c r="H169" s="14" t="str">
        <f t="shared" si="43"/>
        <v>30000_60001_6_10000,7000002_0_1_10000,30000_10018_1_10000,30000_10019_1_2000</v>
      </c>
      <c r="I169" t="str">
        <f t="shared" si="44"/>
        <v>30000_10018_1_10000,30000_10019_1_2000</v>
      </c>
      <c r="K169">
        <v>21</v>
      </c>
    </row>
    <row r="170" spans="1:11">
      <c r="B170" t="str">
        <f>"30000_10017_1_"&amp;ROUND(100*Sheet3!$K88,0)</f>
        <v>30000_10017_1_130</v>
      </c>
      <c r="E170" t="s">
        <v>620</v>
      </c>
      <c r="H170" s="14" t="str">
        <f t="shared" si="43"/>
        <v>30000_60001_7_10000,7000003_0_1_10000,30000_10018_1_10000,30000_10019_1_2000</v>
      </c>
      <c r="I170" t="str">
        <f t="shared" si="44"/>
        <v>30000_10018_1_10000,30000_10019_1_2000</v>
      </c>
      <c r="K170">
        <v>25</v>
      </c>
    </row>
    <row r="171" spans="1:11">
      <c r="B171" t="str">
        <f>"30000_10017_1_"&amp;ROUND(100*Sheet3!$K89,0)</f>
        <v>30000_10017_1_135</v>
      </c>
      <c r="E171" t="s">
        <v>621</v>
      </c>
      <c r="H171" s="14" t="str">
        <f t="shared" si="43"/>
        <v>30000_60001_8_10000,7000003_0_1_10000,30000_10018_1_10000,30000_10019_1_2000</v>
      </c>
      <c r="I171" t="str">
        <f t="shared" si="44"/>
        <v>30000_10018_1_10000,30000_10019_1_2000</v>
      </c>
      <c r="K171">
        <v>29</v>
      </c>
    </row>
    <row r="172" spans="1:11">
      <c r="B172" t="str">
        <f>"30000_10017_1_"&amp;ROUND(100*Sheet3!$K90,0)</f>
        <v>30000_10017_1_140</v>
      </c>
      <c r="E172" t="s">
        <v>622</v>
      </c>
      <c r="H172" s="14" t="str">
        <f t="shared" si="43"/>
        <v>30000_60001_9_10000,7000004_0_1_10000,30000_10018_1_10000,30000_10019_1_2000</v>
      </c>
      <c r="I172" t="str">
        <f t="shared" si="44"/>
        <v>30000_10018_1_10000,30000_10019_1_2000</v>
      </c>
      <c r="K172">
        <v>33</v>
      </c>
    </row>
    <row r="173" spans="1:11">
      <c r="B173" t="str">
        <f>"30000_10017_1_"&amp;ROUND(100*Sheet3!$K91,0)</f>
        <v>30000_10017_1_145</v>
      </c>
      <c r="E173" s="3" t="s">
        <v>623</v>
      </c>
      <c r="H173" s="14" t="str">
        <f t="shared" si="43"/>
        <v>30000_60001_10_10000,7000004_0_1_10000,30000_10018_1_10000,30000_10019_1_2000</v>
      </c>
      <c r="I173" t="str">
        <f t="shared" si="44"/>
        <v>30000_10018_1_10000,30000_10019_1_2000</v>
      </c>
      <c r="K173">
        <v>37</v>
      </c>
    </row>
    <row r="174" spans="1:11">
      <c r="B174" t="str">
        <f>"30000_10017_1_"&amp;ROUND(100*Sheet3!$K92,0)</f>
        <v>30000_10017_1_145</v>
      </c>
      <c r="E174" t="s">
        <v>624</v>
      </c>
      <c r="H174" s="14" t="str">
        <f t="shared" si="43"/>
        <v>30000_60001_11_10000,7000004_0_1_10000,30000_10018_1_10000,30000_10019_1_2000</v>
      </c>
      <c r="I174" t="str">
        <f t="shared" si="44"/>
        <v>30000_10018_1_10000,30000_10019_1_2000</v>
      </c>
      <c r="K174">
        <v>41</v>
      </c>
    </row>
    <row r="175" spans="1:11">
      <c r="B175" t="str">
        <f>"30000_10017_1_"&amp;ROUND(100*Sheet3!$K93,0)</f>
        <v>30000_10017_1_150</v>
      </c>
      <c r="E175" t="s">
        <v>625</v>
      </c>
      <c r="H175" s="14" t="str">
        <f t="shared" si="43"/>
        <v>30000_60001_12_10000,7000005_0_1_10000,30000_10018_1_10000,30000_10019_1_2000</v>
      </c>
      <c r="I175" t="str">
        <f t="shared" si="44"/>
        <v>30000_10018_1_10000,30000_10019_1_2000</v>
      </c>
      <c r="K175">
        <v>45</v>
      </c>
    </row>
    <row r="176" spans="1:11">
      <c r="B176" t="str">
        <f>"30000_10017_1_"&amp;ROUND(100*Sheet3!$K94,0)</f>
        <v>30000_10017_1_200</v>
      </c>
      <c r="E176" t="s">
        <v>626</v>
      </c>
      <c r="H176" s="14" t="str">
        <f t="shared" si="43"/>
        <v>30000_60001_13_10000,7000005_0_1_10000,30000_10018_1_10000,30000_10019_1_2000</v>
      </c>
      <c r="I176" t="str">
        <f t="shared" si="44"/>
        <v>30000_10018_1_10000,30000_10019_1_2000</v>
      </c>
      <c r="K176">
        <v>45</v>
      </c>
    </row>
    <row r="177" spans="2:11">
      <c r="B177" t="str">
        <f>"30000_10017_1_"&amp;ROUND(100*Sheet3!$K95,0)</f>
        <v>30000_10017_1_200</v>
      </c>
      <c r="E177" t="s">
        <v>627</v>
      </c>
      <c r="H177" s="14" t="str">
        <f t="shared" si="43"/>
        <v>30000_60001_14_10000,7000006_0_1_10000,30000_10018_1_10000,30000_10019_1_2000</v>
      </c>
      <c r="I177" t="str">
        <f t="shared" si="44"/>
        <v>30000_10018_1_10000,30000_10019_1_2000</v>
      </c>
      <c r="K177">
        <v>45</v>
      </c>
    </row>
    <row r="178" spans="2:11">
      <c r="B178" t="str">
        <f>"30000_10017_1_"&amp;ROUND(100*Sheet3!$K96,0)</f>
        <v>30000_10017_1_200</v>
      </c>
      <c r="E178" t="s">
        <v>628</v>
      </c>
      <c r="H178" s="14" t="str">
        <f t="shared" si="43"/>
        <v>30000_60001_15_10000,7000006_0_1_10000,30000_10018_1_10000,30000_10019_1_2000</v>
      </c>
      <c r="I178" t="str">
        <f t="shared" si="44"/>
        <v>30000_10018_1_10000,30000_10019_1_2000</v>
      </c>
      <c r="K178">
        <v>50</v>
      </c>
    </row>
    <row r="179" spans="2:11">
      <c r="B179" t="str">
        <f>"30000_10017_1_"&amp;ROUND(100*Sheet3!$K97,0)</f>
        <v>30000_10017_1_220</v>
      </c>
      <c r="E179" t="s">
        <v>629</v>
      </c>
      <c r="H179" s="14" t="str">
        <f t="shared" si="43"/>
        <v>30000_60001_16_10000,7000006_0_1_10000,30000_10018_1_10000,30000_10019_1_2000</v>
      </c>
      <c r="I179" t="str">
        <f t="shared" si="44"/>
        <v>30000_10018_1_10000,30000_10019_1_2000</v>
      </c>
      <c r="K179">
        <v>50</v>
      </c>
    </row>
    <row r="180" spans="2:11">
      <c r="B180" t="str">
        <f>"30000_10017_1_"&amp;ROUND(100*Sheet3!$K98,0)</f>
        <v>30000_10017_1_225</v>
      </c>
      <c r="E180" t="s">
        <v>630</v>
      </c>
      <c r="H180" s="14" t="str">
        <f t="shared" si="43"/>
        <v>30000_60001_17_10000,7000007_0_1_10000,30000_10018_1_10000,30000_10019_1_2000</v>
      </c>
      <c r="I180" t="str">
        <f t="shared" si="44"/>
        <v>30000_10018_1_10000,30000_10019_1_2000</v>
      </c>
      <c r="K180">
        <v>50</v>
      </c>
    </row>
    <row r="181" spans="2:11">
      <c r="B181" t="str">
        <f>"30000_10017_1_"&amp;ROUND(100*Sheet3!$K99,0)</f>
        <v>30000_10017_1_230</v>
      </c>
      <c r="E181" t="s">
        <v>631</v>
      </c>
      <c r="H181" s="14" t="str">
        <f t="shared" si="43"/>
        <v>30000_60001_18_10000,7000007_0_1_10000,30000_10018_1_10000,30000_10019_1_2000</v>
      </c>
      <c r="I181" t="str">
        <f t="shared" si="44"/>
        <v>30000_10018_1_10000,30000_10019_1_2000</v>
      </c>
      <c r="K181">
        <v>50</v>
      </c>
    </row>
    <row r="182" spans="2:11">
      <c r="B182" t="str">
        <f>"30000_10017_1_"&amp;ROUND(100*Sheet3!$K100,0)</f>
        <v>30000_10017_1_235</v>
      </c>
      <c r="E182" s="4" t="s">
        <v>1074</v>
      </c>
      <c r="H182" s="14" t="str">
        <f t="shared" si="43"/>
        <v>30000_60001_19_10000,7000008_0_1_10000,30000_10018_1_10000,30000_10019_1_2000</v>
      </c>
      <c r="I182" t="str">
        <f t="shared" si="44"/>
        <v>30000_10018_1_10000,30000_10019_1_2000</v>
      </c>
      <c r="K182">
        <v>50</v>
      </c>
    </row>
    <row r="183" spans="2:11">
      <c r="B183" t="str">
        <f>"30000_10017_1_"&amp;ROUND(100*Sheet3!$K101,0)</f>
        <v>30000_10017_1_240</v>
      </c>
      <c r="E183" t="s">
        <v>632</v>
      </c>
      <c r="H183" s="14" t="str">
        <f t="shared" si="43"/>
        <v>30000_60001_20_10000,7000008_0_1_10000,30000_10018_1_10000,30000_10019_1_2000</v>
      </c>
      <c r="I183" t="str">
        <f t="shared" si="44"/>
        <v>30000_10018_1_10000,30000_10019_1_2000</v>
      </c>
      <c r="K183">
        <v>50</v>
      </c>
    </row>
    <row r="184" spans="2:11">
      <c r="B184" t="str">
        <f>"30000_10017_1_"&amp;ROUND(100*Sheet3!$K102,0)</f>
        <v>30000_10017_1_245</v>
      </c>
      <c r="E184" t="s">
        <v>1075</v>
      </c>
      <c r="H184" s="14" t="str">
        <f t="shared" si="43"/>
        <v>30000_60001_21_10000,7000008_0_1_10000,30000_10018_1_10000,30000_10019_1_2000</v>
      </c>
      <c r="I184" t="str">
        <f t="shared" si="44"/>
        <v>30000_10018_1_10000,30000_10019_1_2000</v>
      </c>
      <c r="K184">
        <v>50</v>
      </c>
    </row>
    <row r="185" spans="2:11">
      <c r="B185" t="str">
        <f>"30000_10017_1_"&amp;ROUND(100*Sheet3!$K103,0)</f>
        <v>30000_10017_1_250</v>
      </c>
      <c r="E185" t="s">
        <v>633</v>
      </c>
      <c r="H185" s="14" t="str">
        <f t="shared" si="43"/>
        <v>30000_60001_22_10000,7000009_0_1_10000,30000_10018_1_10000,30000_10019_1_2000</v>
      </c>
      <c r="I185" t="str">
        <f t="shared" si="44"/>
        <v>30000_10018_1_10000,30000_10019_1_2000</v>
      </c>
      <c r="K185">
        <v>50</v>
      </c>
    </row>
    <row r="186" spans="2:11">
      <c r="B186" t="str">
        <f>"30000_10017_1_"&amp;ROUND(100*Sheet3!$K104,0)</f>
        <v>30000_10017_1_260</v>
      </c>
      <c r="E186" t="s">
        <v>634</v>
      </c>
      <c r="H186" s="14" t="str">
        <f t="shared" si="43"/>
        <v>30000_60001_23_10000,7000009_0_1_10000,30000_10018_1_10000,30000_10019_1_2000</v>
      </c>
      <c r="I186" t="str">
        <f t="shared" si="44"/>
        <v>30000_10018_1_10000,30000_10019_1_2000</v>
      </c>
      <c r="K186">
        <v>50</v>
      </c>
    </row>
    <row r="187" spans="2:11">
      <c r="B187" t="str">
        <f>"30000_10017_1_"&amp;ROUND(100*Sheet3!$K105,0)</f>
        <v>30000_10017_1_270</v>
      </c>
      <c r="E187" t="s">
        <v>635</v>
      </c>
      <c r="H187" s="14" t="str">
        <f t="shared" si="43"/>
        <v>30000_60001_24_10000,7000010_0_1_10000,30000_10018_1_10000,30000_10019_1_2000</v>
      </c>
      <c r="I187" t="str">
        <f t="shared" si="44"/>
        <v>30000_10018_1_10000,30000_10019_1_2000</v>
      </c>
      <c r="K187">
        <v>50</v>
      </c>
    </row>
    <row r="188" spans="2:11">
      <c r="B188" t="str">
        <f>"30000_10017_1_"&amp;ROUND(100*Sheet3!$K106,0)</f>
        <v>30000_10017_1_275</v>
      </c>
      <c r="E188" t="s">
        <v>636</v>
      </c>
      <c r="H188" s="14" t="str">
        <f t="shared" si="43"/>
        <v>30000_60001_25_10000,7000010_0_1_10000,30000_10018_1_10000,30000_10019_1_2000</v>
      </c>
      <c r="I188" t="str">
        <f t="shared" si="44"/>
        <v>30000_10018_1_10000,30000_10019_1_2000</v>
      </c>
      <c r="K188">
        <v>50</v>
      </c>
    </row>
    <row r="189" spans="2:11">
      <c r="B189" t="str">
        <f>"30000_10017_1_"&amp;ROUND(100*Sheet3!$K107,0)</f>
        <v>30000_10017_1_280</v>
      </c>
      <c r="E189" t="s">
        <v>637</v>
      </c>
      <c r="H189" s="14" t="str">
        <f t="shared" si="43"/>
        <v>30000_60001_26_10000,7000010_0_1_10000,30000_10018_1_10000,30000_10019_1_2000</v>
      </c>
      <c r="I189" t="str">
        <f t="shared" si="44"/>
        <v>30000_10018_1_10000,30000_10019_1_2000</v>
      </c>
      <c r="K189">
        <v>50</v>
      </c>
    </row>
    <row r="190" spans="2:11">
      <c r="B190" t="str">
        <f>"30000_10017_1_"&amp;ROUND(100*Sheet3!$K108,0)</f>
        <v>30000_10017_1_300</v>
      </c>
      <c r="E190" t="s">
        <v>638</v>
      </c>
      <c r="H190" s="14" t="str">
        <f t="shared" si="43"/>
        <v>30000_60001_27_10000,7000011_0_1_10000,30000_10018_1_10000,30000_10019_1_2000</v>
      </c>
      <c r="I190" t="str">
        <f t="shared" si="44"/>
        <v>30000_10018_1_10000,30000_10019_1_2000</v>
      </c>
      <c r="K190">
        <v>50</v>
      </c>
    </row>
    <row r="191" spans="2:11">
      <c r="B191" t="str">
        <f>"30000_10017_1_"&amp;ROUND(100*Sheet3!$K109,0)</f>
        <v>30000_10017_1_300</v>
      </c>
      <c r="E191" t="s">
        <v>639</v>
      </c>
      <c r="H191" s="14" t="str">
        <f t="shared" si="43"/>
        <v>30000_60001_28_10000,7000011_0_1_10000,30000_10018_1_10000,30000_10019_1_2000</v>
      </c>
      <c r="I191" t="str">
        <f t="shared" si="44"/>
        <v>30000_10018_1_10000,30000_10019_1_2000</v>
      </c>
      <c r="K191">
        <v>50</v>
      </c>
    </row>
    <row r="192" spans="2:11">
      <c r="B192" t="str">
        <f>"30000_10017_1_"&amp;ROUND(100*Sheet3!$K110,0)</f>
        <v>30000_10017_1_300</v>
      </c>
      <c r="E192" t="s">
        <v>640</v>
      </c>
      <c r="H192" s="14" t="str">
        <f t="shared" si="43"/>
        <v>30000_60001_29_10000,7000012_0_1_10000,30000_10018_1_10000,30000_10019_1_2000</v>
      </c>
      <c r="I192" t="str">
        <f t="shared" si="44"/>
        <v>30000_10018_1_10000,30000_10019_1_2000</v>
      </c>
      <c r="K192">
        <v>50</v>
      </c>
    </row>
    <row r="193" spans="2:11">
      <c r="B193" t="str">
        <f>"30000_10017_1_"&amp;ROUND(100*Sheet3!$K111,0)</f>
        <v>30000_10017_1_300</v>
      </c>
      <c r="E193" t="s">
        <v>641</v>
      </c>
      <c r="H193" s="14" t="str">
        <f t="shared" si="43"/>
        <v>30000_60001_30_10000,7000012_0_1_10000,30000_10018_1_10000,30000_10019_1_2000</v>
      </c>
      <c r="I193" t="str">
        <f t="shared" si="44"/>
        <v>30000_10018_1_10000,30000_10019_1_2000</v>
      </c>
      <c r="K193">
        <v>50</v>
      </c>
    </row>
    <row r="194" spans="2:11">
      <c r="B194" t="str">
        <f>"30000_10017_1_"&amp;ROUND(100*Sheet3!$K112,0)</f>
        <v>30000_10017_1_300</v>
      </c>
      <c r="E194" t="s">
        <v>822</v>
      </c>
      <c r="H194" s="14" t="str">
        <f t="shared" si="43"/>
        <v>30000_60001_31_10000,7000012_0_1_10000,30000_10018_1_10000,30000_10019_1_2000</v>
      </c>
      <c r="I194" t="str">
        <f t="shared" si="44"/>
        <v>30000_10018_1_10000,30000_10019_1_2000</v>
      </c>
      <c r="K194">
        <v>50</v>
      </c>
    </row>
    <row r="195" spans="2:11">
      <c r="B195" t="str">
        <f>"30000_10017_1_"&amp;ROUND(100*Sheet3!$K113,0)</f>
        <v>30000_10017_1_300</v>
      </c>
      <c r="E195" t="s">
        <v>642</v>
      </c>
      <c r="H195" s="14" t="str">
        <f t="shared" si="43"/>
        <v>30000_60001_32_10000,7000013_0_1_10000,30000_10018_1_10000,30000_10019_1_2000</v>
      </c>
      <c r="I195" t="str">
        <f t="shared" si="44"/>
        <v>30000_10018_1_10000,30000_10019_1_2000</v>
      </c>
      <c r="K195">
        <v>50</v>
      </c>
    </row>
    <row r="196" spans="2:11">
      <c r="B196" t="str">
        <f>"30000_10017_1_"&amp;ROUND(100*Sheet3!$K114,0)</f>
        <v>30000_10017_1_300</v>
      </c>
      <c r="E196" t="s">
        <v>643</v>
      </c>
      <c r="H196" s="14" t="str">
        <f t="shared" si="43"/>
        <v>30000_60001_33_10000,7000013_0_1_10000,30000_10018_1_10000,30000_10019_1_2000</v>
      </c>
      <c r="I196" t="str">
        <f t="shared" si="44"/>
        <v>30000_10018_1_10000,30000_10019_1_2000</v>
      </c>
      <c r="K196">
        <v>50</v>
      </c>
    </row>
    <row r="197" spans="2:11">
      <c r="B197" t="str">
        <f>"30000_10017_1_"&amp;ROUND(100*Sheet3!$K115,0)</f>
        <v>30000_10017_1_300</v>
      </c>
      <c r="E197" t="s">
        <v>644</v>
      </c>
      <c r="H197" s="14" t="str">
        <f t="shared" si="43"/>
        <v>30000_60001_34_10000,7000013_0_1_10000,30000_10018_1_10000,30000_10019_1_2000</v>
      </c>
      <c r="I197" t="str">
        <f t="shared" si="44"/>
        <v>30000_10018_1_10000,30000_10019_1_2000</v>
      </c>
      <c r="K197">
        <v>50</v>
      </c>
    </row>
    <row r="198" spans="2:11">
      <c r="B198" t="str">
        <f>"30000_10017_1_"&amp;ROUND(100*Sheet3!$K$116,0)</f>
        <v>30000_10017_1_300</v>
      </c>
      <c r="E198" t="s">
        <v>645</v>
      </c>
      <c r="H198" s="14" t="str">
        <f t="shared" si="43"/>
        <v>30000_60001_35_10000,7000014_0_1_10000,30000_10018_1_10000,30000_10019_1_2000</v>
      </c>
      <c r="I198" t="str">
        <f t="shared" si="44"/>
        <v>30000_10018_1_10000,30000_10019_1_2000</v>
      </c>
      <c r="K198">
        <v>50</v>
      </c>
    </row>
    <row r="199" spans="2:11">
      <c r="B199" t="str">
        <f>"30000_10017_1_"&amp;ROUND(100*Sheet3!$K$116,0)</f>
        <v>30000_10017_1_300</v>
      </c>
      <c r="E199" t="s">
        <v>719</v>
      </c>
      <c r="H199" s="14" t="str">
        <f t="shared" ref="H199:H215" si="45">E199&amp;","&amp;I199</f>
        <v>30000_60001_36_10000,7000014_0_1_10000,30000_10018_1_10000,30000_10019_1_2000</v>
      </c>
      <c r="I199" t="str">
        <f t="shared" si="44"/>
        <v>30000_10018_1_10000,30000_10019_1_2000</v>
      </c>
    </row>
    <row r="200" spans="2:11">
      <c r="B200" t="str">
        <f>"30000_10017_1_"&amp;ROUND(100*Sheet3!$K$116,0)</f>
        <v>30000_10017_1_300</v>
      </c>
      <c r="E200" t="s">
        <v>720</v>
      </c>
      <c r="H200" s="14" t="str">
        <f t="shared" si="45"/>
        <v>30000_60001_37_10000,7000015_0_1_10000,30000_10018_1_10000,30000_10019_1_2000</v>
      </c>
      <c r="I200" t="str">
        <f t="shared" si="44"/>
        <v>30000_10018_1_10000,30000_10019_1_2000</v>
      </c>
    </row>
    <row r="201" spans="2:11">
      <c r="B201" t="str">
        <f>"30000_10017_1_"&amp;ROUND(100*Sheet3!$K$116,0)</f>
        <v>30000_10017_1_300</v>
      </c>
      <c r="E201" t="s">
        <v>721</v>
      </c>
      <c r="H201" s="14" t="str">
        <f t="shared" si="45"/>
        <v>30000_60001_38_10000,7000016_0_1_10000,30000_10018_1_10000,30000_10019_1_2000</v>
      </c>
      <c r="I201" t="str">
        <f t="shared" si="44"/>
        <v>30000_10018_1_10000,30000_10019_1_2000</v>
      </c>
    </row>
    <row r="202" spans="2:11">
      <c r="B202" t="str">
        <f>"30000_10017_1_"&amp;ROUND(100*Sheet3!$K$116,0)</f>
        <v>30000_10017_1_300</v>
      </c>
      <c r="E202" t="s">
        <v>722</v>
      </c>
      <c r="H202" s="14" t="str">
        <f t="shared" si="45"/>
        <v>30000_60001_39_10000,7000017_0_1_10000,30000_10018_1_10000,30000_10019_1_2000</v>
      </c>
      <c r="I202" t="str">
        <f t="shared" si="44"/>
        <v>30000_10018_1_10000,30000_10019_1_2000</v>
      </c>
    </row>
    <row r="203" spans="2:11">
      <c r="B203" t="str">
        <f>"30000_10017_1_"&amp;ROUND(100*Sheet3!$K$116,0)</f>
        <v>30000_10017_1_300</v>
      </c>
      <c r="E203" t="s">
        <v>723</v>
      </c>
      <c r="H203" s="14" t="str">
        <f t="shared" si="45"/>
        <v>30000_60001_40_10000,7000018_0_1_10000,30000_10018_1_10000,30000_10019_1_2000</v>
      </c>
      <c r="I203" t="str">
        <f t="shared" si="44"/>
        <v>30000_10018_1_10000,30000_10019_1_2000</v>
      </c>
    </row>
    <row r="204" spans="2:11">
      <c r="B204" t="str">
        <f>"30000_10017_1_"&amp;ROUND(100*Sheet3!$K$116,0)</f>
        <v>30000_10017_1_300</v>
      </c>
      <c r="E204" t="s">
        <v>724</v>
      </c>
      <c r="H204" s="14" t="str">
        <f t="shared" si="45"/>
        <v>30000_60001_41_10000,7000019_0_1_10000,30000_10018_1_10000,30000_10019_1_2000</v>
      </c>
      <c r="I204" t="str">
        <f t="shared" si="44"/>
        <v>30000_10018_1_10000,30000_10019_1_2000</v>
      </c>
    </row>
    <row r="205" spans="2:11">
      <c r="B205" t="str">
        <f>"30000_10017_1_"&amp;ROUND(100*Sheet3!$K$116,0)</f>
        <v>30000_10017_1_300</v>
      </c>
      <c r="E205" t="s">
        <v>725</v>
      </c>
      <c r="H205" s="14" t="str">
        <f t="shared" si="45"/>
        <v>30000_60001_42_10000,7000020_0_1_10000,30000_10018_1_10000,30000_10019_1_2000</v>
      </c>
      <c r="I205" t="str">
        <f t="shared" si="44"/>
        <v>30000_10018_1_10000,30000_10019_1_2000</v>
      </c>
    </row>
    <row r="206" spans="2:11">
      <c r="B206" t="str">
        <f>"30000_10017_1_"&amp;ROUND(100*Sheet3!$K$116,0)</f>
        <v>30000_10017_1_300</v>
      </c>
      <c r="E206" t="s">
        <v>726</v>
      </c>
      <c r="H206" s="14" t="str">
        <f t="shared" si="45"/>
        <v>30000_60001_43_10000,7000021_0_1_10000,30000_10018_1_10000,30000_10019_1_2000</v>
      </c>
      <c r="I206" t="str">
        <f t="shared" si="44"/>
        <v>30000_10018_1_10000,30000_10019_1_2000</v>
      </c>
    </row>
    <row r="207" spans="2:11">
      <c r="B207" t="str">
        <f>"30000_10017_1_"&amp;ROUND(100*Sheet3!$K$116,0)</f>
        <v>30000_10017_1_300</v>
      </c>
      <c r="E207" t="s">
        <v>727</v>
      </c>
      <c r="H207" s="14" t="str">
        <f t="shared" si="45"/>
        <v>30000_60001_44_10000,7000022_0_1_10000,30000_10018_1_10000,30000_10019_1_2000</v>
      </c>
      <c r="I207" t="str">
        <f t="shared" si="44"/>
        <v>30000_10018_1_10000,30000_10019_1_2000</v>
      </c>
    </row>
    <row r="208" spans="2:11">
      <c r="B208" t="str">
        <f>"30000_10017_1_"&amp;ROUND(100*Sheet3!$K$116,0)</f>
        <v>30000_10017_1_300</v>
      </c>
      <c r="E208" t="s">
        <v>728</v>
      </c>
      <c r="H208" s="14" t="str">
        <f t="shared" si="45"/>
        <v>30000_60001_45_10000,7000023_0_1_10000,30000_10018_1_10000,30000_10019_1_2000</v>
      </c>
      <c r="I208" t="str">
        <f t="shared" si="44"/>
        <v>30000_10018_1_10000,30000_10019_1_2000</v>
      </c>
    </row>
    <row r="209" spans="2:9">
      <c r="B209" t="str">
        <f>"30000_10017_1_"&amp;ROUND(100*Sheet3!$K$116,0)</f>
        <v>30000_10017_1_300</v>
      </c>
      <c r="E209" t="s">
        <v>729</v>
      </c>
      <c r="H209" s="14" t="str">
        <f t="shared" si="45"/>
        <v>30000_60001_46_10000,7000024_0_1_10000,30000_10018_1_10000,30000_10019_1_2000</v>
      </c>
      <c r="I209" t="str">
        <f t="shared" si="44"/>
        <v>30000_10018_1_10000,30000_10019_1_2000</v>
      </c>
    </row>
    <row r="210" spans="2:9">
      <c r="B210" t="str">
        <f>"30000_10017_1_"&amp;ROUND(100*Sheet3!$K$116,0)</f>
        <v>30000_10017_1_300</v>
      </c>
      <c r="E210" t="s">
        <v>730</v>
      </c>
      <c r="H210" s="14" t="str">
        <f t="shared" si="45"/>
        <v>30000_60001_47_10000,7000025_0_1_10000,30000_10018_1_10000,30000_10019_1_2000</v>
      </c>
      <c r="I210" t="str">
        <f t="shared" si="44"/>
        <v>30000_10018_1_10000,30000_10019_1_2000</v>
      </c>
    </row>
    <row r="211" spans="2:9">
      <c r="B211" t="str">
        <f>"30000_10017_1_"&amp;ROUND(100*Sheet3!$K$116,0)</f>
        <v>30000_10017_1_300</v>
      </c>
      <c r="E211" t="s">
        <v>731</v>
      </c>
      <c r="H211" s="14" t="str">
        <f t="shared" si="45"/>
        <v>30000_60001_48_10000,7000026_0_1_10000,30000_10018_1_10000,30000_10019_1_2000</v>
      </c>
      <c r="I211" t="str">
        <f t="shared" si="44"/>
        <v>30000_10018_1_10000,30000_10019_1_2000</v>
      </c>
    </row>
    <row r="212" spans="2:9">
      <c r="B212" t="str">
        <f>"30000_10017_1_"&amp;ROUND(100*Sheet3!$K$116,0)</f>
        <v>30000_10017_1_300</v>
      </c>
      <c r="E212" t="s">
        <v>732</v>
      </c>
      <c r="H212" s="14" t="str">
        <f t="shared" si="45"/>
        <v>30000_60001_49_10000,7000027_0_1_10000,30000_10018_1_10000,30000_10019_1_2000</v>
      </c>
      <c r="I212" t="str">
        <f t="shared" si="44"/>
        <v>30000_10018_1_10000,30000_10019_1_2000</v>
      </c>
    </row>
    <row r="213" spans="2:9">
      <c r="B213" t="str">
        <f>"30000_10017_1_"&amp;ROUND(100*Sheet3!$K$116,0)</f>
        <v>30000_10017_1_300</v>
      </c>
      <c r="E213" t="s">
        <v>733</v>
      </c>
      <c r="H213" s="14" t="str">
        <f t="shared" si="45"/>
        <v>30000_60001_50_10000,7000028_0_1_10000,30000_10018_1_10000,30000_10019_1_2000</v>
      </c>
      <c r="I213" t="str">
        <f t="shared" si="44"/>
        <v>30000_10018_1_10000,30000_10019_1_2000</v>
      </c>
    </row>
    <row r="214" spans="2:9">
      <c r="B214" t="str">
        <f>"30000_10017_1_"&amp;ROUND(100*Sheet3!$K$116,0)</f>
        <v>30000_10017_1_300</v>
      </c>
      <c r="E214" t="s">
        <v>734</v>
      </c>
      <c r="H214" s="14" t="str">
        <f t="shared" si="45"/>
        <v>30000_60001_51_10000,7000029_0_1_10000,30000_10018_1_10000,30000_10019_1_2000</v>
      </c>
      <c r="I214" t="str">
        <f t="shared" si="44"/>
        <v>30000_10018_1_10000,30000_10019_1_2000</v>
      </c>
    </row>
    <row r="215" spans="2:9">
      <c r="B215" t="str">
        <f>"30000_10017_1_"&amp;ROUND(100*Sheet3!$K$116,0)</f>
        <v>30000_10017_1_300</v>
      </c>
      <c r="E215" t="s">
        <v>1076</v>
      </c>
      <c r="H215" s="14" t="str">
        <f t="shared" si="45"/>
        <v>30000_60001_52_10000,7000030_0_1_10000,30000_10018_1_10000,30000_10019_1_2000</v>
      </c>
      <c r="I215" t="str">
        <f t="shared" si="44"/>
        <v>30000_10018_1_10000,30000_10019_1_2000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Y572"/>
  <sheetViews>
    <sheetView topLeftCell="A529" workbookViewId="0">
      <selection activeCell="E6" sqref="E6:E572"/>
    </sheetView>
  </sheetViews>
  <sheetFormatPr defaultRowHeight="13.5"/>
  <cols>
    <col min="5" max="5" width="27" customWidth="1"/>
    <col min="7" max="7" width="9" customWidth="1"/>
  </cols>
  <sheetData>
    <row r="1" spans="1:25">
      <c r="A1" t="s">
        <v>12</v>
      </c>
    </row>
    <row r="2" spans="1:25">
      <c r="A2" s="1"/>
      <c r="B2" s="1" t="s">
        <v>18</v>
      </c>
      <c r="C2" s="1"/>
      <c r="D2" s="1"/>
      <c r="E2" s="1"/>
      <c r="F2" s="1"/>
      <c r="G2" s="1"/>
      <c r="H2" s="1"/>
      <c r="I2" s="1"/>
      <c r="J2" s="1"/>
      <c r="K2" s="1"/>
      <c r="L2" s="1" t="s">
        <v>18</v>
      </c>
      <c r="M2" s="1" t="s">
        <v>18</v>
      </c>
      <c r="N2" s="1"/>
      <c r="O2" s="1"/>
      <c r="P2" s="1"/>
      <c r="Q2" s="1"/>
      <c r="R2" s="1"/>
      <c r="S2" s="1"/>
    </row>
    <row r="3" spans="1:25">
      <c r="A3" t="s">
        <v>0</v>
      </c>
      <c r="B3" t="s">
        <v>1</v>
      </c>
      <c r="C3" t="s">
        <v>235</v>
      </c>
      <c r="D3" t="s">
        <v>2</v>
      </c>
      <c r="E3" t="s">
        <v>3</v>
      </c>
      <c r="F3" t="s">
        <v>4</v>
      </c>
      <c r="G3" t="s">
        <v>17</v>
      </c>
      <c r="H3" t="s">
        <v>5</v>
      </c>
      <c r="I3" t="s">
        <v>227</v>
      </c>
      <c r="J3" t="s">
        <v>228</v>
      </c>
      <c r="K3" t="s">
        <v>19</v>
      </c>
      <c r="L3" t="s">
        <v>10</v>
      </c>
      <c r="M3" t="s">
        <v>11</v>
      </c>
      <c r="N3" t="s">
        <v>13</v>
      </c>
      <c r="O3" s="13" t="s">
        <v>212</v>
      </c>
      <c r="P3" t="s">
        <v>735</v>
      </c>
      <c r="Q3" t="s">
        <v>736</v>
      </c>
      <c r="R3" t="s">
        <v>737</v>
      </c>
      <c r="Y3" t="s">
        <v>806</v>
      </c>
    </row>
    <row r="4" spans="1:25">
      <c r="A4" t="s">
        <v>6</v>
      </c>
      <c r="B4" t="s">
        <v>7</v>
      </c>
      <c r="C4" t="s">
        <v>236</v>
      </c>
      <c r="D4" t="s">
        <v>8</v>
      </c>
      <c r="E4" t="s">
        <v>9</v>
      </c>
      <c r="F4" t="s">
        <v>14</v>
      </c>
      <c r="G4" t="s">
        <v>15</v>
      </c>
      <c r="H4" t="s">
        <v>16</v>
      </c>
      <c r="I4" t="s">
        <v>229</v>
      </c>
      <c r="J4" t="s">
        <v>230</v>
      </c>
      <c r="K4" t="s">
        <v>20</v>
      </c>
      <c r="N4" t="s">
        <v>86</v>
      </c>
      <c r="O4" s="13" t="s">
        <v>219</v>
      </c>
      <c r="P4" t="s">
        <v>516</v>
      </c>
      <c r="Q4" t="s">
        <v>500</v>
      </c>
      <c r="R4" t="s">
        <v>718</v>
      </c>
      <c r="S4" t="s">
        <v>740</v>
      </c>
      <c r="T4" t="s">
        <v>742</v>
      </c>
      <c r="U4" t="s">
        <v>743</v>
      </c>
      <c r="V4" t="s">
        <v>749</v>
      </c>
      <c r="W4" t="s">
        <v>750</v>
      </c>
      <c r="X4" t="s">
        <v>751</v>
      </c>
      <c r="Y4" t="s">
        <v>807</v>
      </c>
    </row>
    <row r="6" spans="1:25">
      <c r="A6">
        <v>100101</v>
      </c>
      <c r="B6" t="s">
        <v>1039</v>
      </c>
      <c r="C6">
        <v>0</v>
      </c>
      <c r="D6">
        <v>0</v>
      </c>
      <c r="E6" t="str">
        <f>A6&amp;"1"&amp;"_1"</f>
        <v>1001011_1</v>
      </c>
      <c r="F6" t="s">
        <v>213</v>
      </c>
      <c r="G6" t="s">
        <v>811</v>
      </c>
      <c r="H6">
        <v>0</v>
      </c>
      <c r="I6">
        <v>0</v>
      </c>
      <c r="J6">
        <v>0</v>
      </c>
      <c r="K6">
        <v>100</v>
      </c>
      <c r="L6" t="s">
        <v>48</v>
      </c>
      <c r="M6" s="6" t="s">
        <v>220</v>
      </c>
      <c r="N6">
        <v>920</v>
      </c>
      <c r="O6">
        <v>120</v>
      </c>
      <c r="P6">
        <v>10</v>
      </c>
      <c r="Q6">
        <v>10</v>
      </c>
      <c r="R6">
        <v>0</v>
      </c>
      <c r="S6">
        <f t="shared" ref="S6:S69" si="0">ROUNDDOWN(A6/100000,0)</f>
        <v>1</v>
      </c>
      <c r="T6">
        <f>MID(A6,2,3)*1</f>
        <v>1</v>
      </c>
      <c r="U6">
        <v>0</v>
      </c>
      <c r="V6" t="e">
        <f>VLOOKUP($A6,精英副本客户端!$A$2:$O$406,10,0)</f>
        <v>#N/A</v>
      </c>
      <c r="W6" t="e">
        <f>VLOOKUP($A6,精英副本客户端!$A$2:$O$406,11,0)</f>
        <v>#N/A</v>
      </c>
      <c r="X6" t="e">
        <f>VLOOKUP($A6,精英副本客户端!$A$2:$O$406,12,0)</f>
        <v>#N/A</v>
      </c>
      <c r="Y6" t="str">
        <f t="shared" ref="Y6:Y59" si="1">"力量试炼（"&amp;MID(A6,2,3)*1&amp;"）"</f>
        <v>力量试炼（1）</v>
      </c>
    </row>
    <row r="7" spans="1:25">
      <c r="A7">
        <v>100102</v>
      </c>
      <c r="B7" t="s">
        <v>1040</v>
      </c>
      <c r="C7">
        <v>0</v>
      </c>
      <c r="D7">
        <v>0</v>
      </c>
      <c r="E7" t="str">
        <f t="shared" ref="E7:E70" si="2">A7&amp;"1"&amp;"_1"</f>
        <v>1001021_1</v>
      </c>
      <c r="F7" t="s">
        <v>213</v>
      </c>
      <c r="G7" t="s">
        <v>812</v>
      </c>
      <c r="H7">
        <v>0</v>
      </c>
      <c r="I7">
        <v>0</v>
      </c>
      <c r="J7">
        <v>0</v>
      </c>
      <c r="K7">
        <v>100</v>
      </c>
      <c r="L7" t="s">
        <v>48</v>
      </c>
      <c r="M7" s="6" t="s">
        <v>220</v>
      </c>
      <c r="N7">
        <v>920</v>
      </c>
      <c r="O7">
        <v>120</v>
      </c>
      <c r="P7">
        <v>10</v>
      </c>
      <c r="Q7">
        <v>10</v>
      </c>
      <c r="R7">
        <v>0</v>
      </c>
      <c r="S7">
        <f t="shared" si="0"/>
        <v>1</v>
      </c>
      <c r="T7">
        <f t="shared" ref="T7:T68" si="3">MID(A7,2,3)*1</f>
        <v>1</v>
      </c>
      <c r="U7">
        <f t="shared" ref="U7:U70" si="4">A6</f>
        <v>100101</v>
      </c>
      <c r="V7" t="e">
        <f>VLOOKUP($A7,精英副本客户端!$A$2:$O$406,10,0)</f>
        <v>#N/A</v>
      </c>
      <c r="W7" t="e">
        <f>VLOOKUP($A7,精英副本客户端!$A$2:$O$406,11,0)</f>
        <v>#N/A</v>
      </c>
      <c r="X7" t="e">
        <f>VLOOKUP($A7,精英副本客户端!$A$2:$O$406,12,0)</f>
        <v>#N/A</v>
      </c>
      <c r="Y7" t="str">
        <f t="shared" si="1"/>
        <v>力量试炼（1）</v>
      </c>
    </row>
    <row r="8" spans="1:25">
      <c r="A8">
        <v>100103</v>
      </c>
      <c r="B8" t="s">
        <v>1041</v>
      </c>
      <c r="C8">
        <v>0</v>
      </c>
      <c r="D8">
        <v>0</v>
      </c>
      <c r="E8" t="str">
        <f t="shared" si="2"/>
        <v>1001031_1</v>
      </c>
      <c r="F8" t="s">
        <v>213</v>
      </c>
      <c r="G8" t="s">
        <v>813</v>
      </c>
      <c r="H8">
        <v>0</v>
      </c>
      <c r="I8">
        <v>0</v>
      </c>
      <c r="J8">
        <v>0</v>
      </c>
      <c r="K8">
        <v>100</v>
      </c>
      <c r="L8" t="s">
        <v>738</v>
      </c>
      <c r="M8" s="6" t="s">
        <v>739</v>
      </c>
      <c r="N8">
        <v>920</v>
      </c>
      <c r="O8">
        <v>120</v>
      </c>
      <c r="P8">
        <v>10</v>
      </c>
      <c r="Q8">
        <v>10</v>
      </c>
      <c r="R8">
        <v>0</v>
      </c>
      <c r="S8">
        <f t="shared" si="0"/>
        <v>1</v>
      </c>
      <c r="T8">
        <f t="shared" si="3"/>
        <v>1</v>
      </c>
      <c r="U8">
        <f t="shared" si="4"/>
        <v>100102</v>
      </c>
      <c r="V8" t="e">
        <f>VLOOKUP($A8,精英副本客户端!$A$2:$O$406,10,0)</f>
        <v>#N/A</v>
      </c>
      <c r="W8" t="e">
        <f>VLOOKUP($A8,精英副本客户端!$A$2:$O$406,11,0)</f>
        <v>#N/A</v>
      </c>
      <c r="X8" t="e">
        <f>VLOOKUP($A8,精英副本客户端!$A$2:$O$406,12,0)</f>
        <v>#N/A</v>
      </c>
      <c r="Y8" t="str">
        <f t="shared" si="1"/>
        <v>力量试炼（1）</v>
      </c>
    </row>
    <row r="9" spans="1:25">
      <c r="A9">
        <v>100104</v>
      </c>
      <c r="B9" t="s">
        <v>1042</v>
      </c>
      <c r="C9">
        <v>0</v>
      </c>
      <c r="D9">
        <v>0</v>
      </c>
      <c r="E9" t="str">
        <f t="shared" si="2"/>
        <v>1001041_1</v>
      </c>
      <c r="F9" t="s">
        <v>213</v>
      </c>
      <c r="G9" t="s">
        <v>814</v>
      </c>
      <c r="H9">
        <v>0</v>
      </c>
      <c r="I9">
        <v>0</v>
      </c>
      <c r="J9">
        <v>0</v>
      </c>
      <c r="K9">
        <v>100</v>
      </c>
      <c r="L9" t="s">
        <v>738</v>
      </c>
      <c r="M9" s="6" t="s">
        <v>739</v>
      </c>
      <c r="N9">
        <v>920</v>
      </c>
      <c r="O9">
        <v>120</v>
      </c>
      <c r="P9">
        <v>10</v>
      </c>
      <c r="Q9">
        <v>10</v>
      </c>
      <c r="R9">
        <v>0</v>
      </c>
      <c r="S9">
        <f t="shared" si="0"/>
        <v>1</v>
      </c>
      <c r="T9">
        <f t="shared" si="3"/>
        <v>1</v>
      </c>
      <c r="U9">
        <f t="shared" si="4"/>
        <v>100103</v>
      </c>
      <c r="V9" t="e">
        <f>VLOOKUP($A9,精英副本客户端!$A$2:$O$406,10,0)</f>
        <v>#N/A</v>
      </c>
      <c r="W9" t="e">
        <f>VLOOKUP($A9,精英副本客户端!$A$2:$O$406,11,0)</f>
        <v>#N/A</v>
      </c>
      <c r="X9" t="e">
        <f>VLOOKUP($A9,精英副本客户端!$A$2:$O$406,12,0)</f>
        <v>#N/A</v>
      </c>
      <c r="Y9" t="str">
        <f t="shared" si="1"/>
        <v>力量试炼（1）</v>
      </c>
    </row>
    <row r="10" spans="1:25">
      <c r="A10">
        <v>100105</v>
      </c>
      <c r="B10" t="s">
        <v>1043</v>
      </c>
      <c r="C10">
        <v>0</v>
      </c>
      <c r="D10">
        <v>0</v>
      </c>
      <c r="E10" t="str">
        <f t="shared" si="2"/>
        <v>1001051_1</v>
      </c>
      <c r="F10" t="s">
        <v>213</v>
      </c>
      <c r="G10" t="s">
        <v>815</v>
      </c>
      <c r="H10">
        <v>0</v>
      </c>
      <c r="I10">
        <v>0</v>
      </c>
      <c r="J10">
        <v>0</v>
      </c>
      <c r="K10">
        <v>100</v>
      </c>
      <c r="L10" t="s">
        <v>738</v>
      </c>
      <c r="M10" s="6" t="s">
        <v>739</v>
      </c>
      <c r="N10">
        <v>920</v>
      </c>
      <c r="O10">
        <v>120</v>
      </c>
      <c r="P10">
        <v>10</v>
      </c>
      <c r="Q10">
        <v>10</v>
      </c>
      <c r="R10">
        <v>0</v>
      </c>
      <c r="S10">
        <f t="shared" si="0"/>
        <v>1</v>
      </c>
      <c r="T10">
        <f t="shared" si="3"/>
        <v>1</v>
      </c>
      <c r="U10">
        <f t="shared" si="4"/>
        <v>100104</v>
      </c>
      <c r="V10" t="e">
        <f>VLOOKUP($A10,精英副本客户端!$A$2:$O$406,10,0)</f>
        <v>#N/A</v>
      </c>
      <c r="W10" t="e">
        <f>VLOOKUP($A10,精英副本客户端!$A$2:$O$406,11,0)</f>
        <v>#N/A</v>
      </c>
      <c r="X10" t="e">
        <f>VLOOKUP($A10,精英副本客户端!$A$2:$O$406,12,0)</f>
        <v>#N/A</v>
      </c>
      <c r="Y10" t="str">
        <f t="shared" si="1"/>
        <v>力量试炼（1）</v>
      </c>
    </row>
    <row r="11" spans="1:25">
      <c r="A11">
        <v>100106</v>
      </c>
      <c r="B11" t="s">
        <v>1044</v>
      </c>
      <c r="C11">
        <v>0</v>
      </c>
      <c r="D11">
        <v>0</v>
      </c>
      <c r="E11" t="str">
        <f t="shared" si="2"/>
        <v>1001061_1</v>
      </c>
      <c r="F11" t="s">
        <v>213</v>
      </c>
      <c r="G11" t="s">
        <v>816</v>
      </c>
      <c r="H11">
        <v>0</v>
      </c>
      <c r="I11">
        <v>0</v>
      </c>
      <c r="J11">
        <v>0</v>
      </c>
      <c r="K11">
        <v>100</v>
      </c>
      <c r="L11" t="s">
        <v>738</v>
      </c>
      <c r="M11" s="6" t="s">
        <v>739</v>
      </c>
      <c r="N11">
        <v>920</v>
      </c>
      <c r="O11">
        <v>120</v>
      </c>
      <c r="P11">
        <v>10</v>
      </c>
      <c r="Q11">
        <v>10</v>
      </c>
      <c r="R11">
        <v>0</v>
      </c>
      <c r="S11">
        <f t="shared" si="0"/>
        <v>1</v>
      </c>
      <c r="T11">
        <f t="shared" si="3"/>
        <v>1</v>
      </c>
      <c r="U11">
        <f t="shared" si="4"/>
        <v>100105</v>
      </c>
      <c r="V11" t="e">
        <f>VLOOKUP($A11,精英副本客户端!$A$2:$O$406,10,0)</f>
        <v>#N/A</v>
      </c>
      <c r="W11" t="e">
        <f>VLOOKUP($A11,精英副本客户端!$A$2:$O$406,11,0)</f>
        <v>#N/A</v>
      </c>
      <c r="X11" t="e">
        <f>VLOOKUP($A11,精英副本客户端!$A$2:$O$406,12,0)</f>
        <v>#N/A</v>
      </c>
      <c r="Y11" t="str">
        <f t="shared" si="1"/>
        <v>力量试炼（1）</v>
      </c>
    </row>
    <row r="12" spans="1:25">
      <c r="A12">
        <v>100107</v>
      </c>
      <c r="B12" t="s">
        <v>1045</v>
      </c>
      <c r="C12">
        <v>0</v>
      </c>
      <c r="D12">
        <v>0</v>
      </c>
      <c r="E12" t="str">
        <f t="shared" si="2"/>
        <v>1001071_1</v>
      </c>
      <c r="F12" t="s">
        <v>213</v>
      </c>
      <c r="G12" t="s">
        <v>817</v>
      </c>
      <c r="H12">
        <v>0</v>
      </c>
      <c r="I12">
        <v>0</v>
      </c>
      <c r="J12">
        <v>0</v>
      </c>
      <c r="K12">
        <v>100</v>
      </c>
      <c r="L12" t="s">
        <v>738</v>
      </c>
      <c r="M12" s="6" t="s">
        <v>739</v>
      </c>
      <c r="N12">
        <v>920</v>
      </c>
      <c r="O12">
        <v>120</v>
      </c>
      <c r="P12">
        <v>10</v>
      </c>
      <c r="Q12">
        <v>10</v>
      </c>
      <c r="R12">
        <v>0</v>
      </c>
      <c r="S12">
        <f t="shared" si="0"/>
        <v>1</v>
      </c>
      <c r="T12">
        <f t="shared" si="3"/>
        <v>1</v>
      </c>
      <c r="U12">
        <f t="shared" si="4"/>
        <v>100106</v>
      </c>
      <c r="V12" t="e">
        <f>VLOOKUP($A12,精英副本客户端!$A$2:$O$406,10,0)</f>
        <v>#N/A</v>
      </c>
      <c r="W12" t="e">
        <f>VLOOKUP($A12,精英副本客户端!$A$2:$O$406,11,0)</f>
        <v>#N/A</v>
      </c>
      <c r="X12" t="e">
        <f>VLOOKUP($A12,精英副本客户端!$A$2:$O$406,12,0)</f>
        <v>#N/A</v>
      </c>
      <c r="Y12" t="str">
        <f t="shared" si="1"/>
        <v>力量试炼（1）</v>
      </c>
    </row>
    <row r="13" spans="1:25">
      <c r="A13">
        <v>100108</v>
      </c>
      <c r="B13" t="s">
        <v>1046</v>
      </c>
      <c r="C13">
        <v>0</v>
      </c>
      <c r="D13">
        <v>0</v>
      </c>
      <c r="E13" t="str">
        <f t="shared" si="2"/>
        <v>1001081_1</v>
      </c>
      <c r="F13" t="s">
        <v>213</v>
      </c>
      <c r="G13" t="s">
        <v>818</v>
      </c>
      <c r="H13">
        <v>0</v>
      </c>
      <c r="I13">
        <v>0</v>
      </c>
      <c r="J13">
        <v>0</v>
      </c>
      <c r="K13">
        <v>100</v>
      </c>
      <c r="L13" t="s">
        <v>738</v>
      </c>
      <c r="M13" s="6" t="s">
        <v>739</v>
      </c>
      <c r="N13">
        <v>920</v>
      </c>
      <c r="O13">
        <v>120</v>
      </c>
      <c r="P13">
        <v>10</v>
      </c>
      <c r="Q13">
        <v>10</v>
      </c>
      <c r="R13">
        <v>0</v>
      </c>
      <c r="S13">
        <f t="shared" si="0"/>
        <v>1</v>
      </c>
      <c r="T13">
        <f t="shared" si="3"/>
        <v>1</v>
      </c>
      <c r="U13">
        <f t="shared" si="4"/>
        <v>100107</v>
      </c>
      <c r="V13" t="e">
        <f>VLOOKUP($A13,精英副本客户端!$A$2:$O$406,10,0)</f>
        <v>#N/A</v>
      </c>
      <c r="W13" t="e">
        <f>VLOOKUP($A13,精英副本客户端!$A$2:$O$406,11,0)</f>
        <v>#N/A</v>
      </c>
      <c r="X13" t="e">
        <f>VLOOKUP($A13,精英副本客户端!$A$2:$O$406,12,0)</f>
        <v>#N/A</v>
      </c>
      <c r="Y13" t="str">
        <f t="shared" si="1"/>
        <v>力量试炼（1）</v>
      </c>
    </row>
    <row r="14" spans="1:25">
      <c r="A14">
        <v>100109</v>
      </c>
      <c r="B14" t="s">
        <v>1047</v>
      </c>
      <c r="C14">
        <v>0</v>
      </c>
      <c r="D14">
        <v>0</v>
      </c>
      <c r="E14" t="str">
        <f t="shared" si="2"/>
        <v>1001091_1</v>
      </c>
      <c r="F14" t="s">
        <v>213</v>
      </c>
      <c r="G14" t="s">
        <v>819</v>
      </c>
      <c r="H14">
        <v>0</v>
      </c>
      <c r="I14">
        <v>0</v>
      </c>
      <c r="J14">
        <v>0</v>
      </c>
      <c r="K14">
        <v>100</v>
      </c>
      <c r="L14" t="s">
        <v>738</v>
      </c>
      <c r="M14" s="6" t="s">
        <v>739</v>
      </c>
      <c r="N14">
        <v>920</v>
      </c>
      <c r="O14">
        <v>120</v>
      </c>
      <c r="P14">
        <v>10</v>
      </c>
      <c r="Q14">
        <v>10</v>
      </c>
      <c r="R14">
        <v>0</v>
      </c>
      <c r="S14">
        <f t="shared" si="0"/>
        <v>1</v>
      </c>
      <c r="T14">
        <f t="shared" si="3"/>
        <v>1</v>
      </c>
      <c r="U14">
        <f t="shared" si="4"/>
        <v>100108</v>
      </c>
      <c r="V14" t="e">
        <f>VLOOKUP($A14,精英副本客户端!$A$2:$O$406,10,0)</f>
        <v>#N/A</v>
      </c>
      <c r="W14" t="e">
        <f>VLOOKUP($A14,精英副本客户端!$A$2:$O$406,11,0)</f>
        <v>#N/A</v>
      </c>
      <c r="X14" t="e">
        <f>VLOOKUP($A14,精英副本客户端!$A$2:$O$406,12,0)</f>
        <v>#N/A</v>
      </c>
      <c r="Y14" t="str">
        <f t="shared" si="1"/>
        <v>力量试炼（1）</v>
      </c>
    </row>
    <row r="15" spans="1:25">
      <c r="A15">
        <v>100501</v>
      </c>
      <c r="B15" t="s">
        <v>1039</v>
      </c>
      <c r="C15">
        <v>0</v>
      </c>
      <c r="D15">
        <v>0</v>
      </c>
      <c r="E15" t="str">
        <f t="shared" si="2"/>
        <v>1005011_1</v>
      </c>
      <c r="F15" t="s">
        <v>213</v>
      </c>
      <c r="G15" t="s">
        <v>820</v>
      </c>
      <c r="H15">
        <v>0</v>
      </c>
      <c r="I15">
        <v>0</v>
      </c>
      <c r="J15">
        <v>0</v>
      </c>
      <c r="K15">
        <v>100</v>
      </c>
      <c r="L15" t="s">
        <v>738</v>
      </c>
      <c r="M15" s="6" t="s">
        <v>739</v>
      </c>
      <c r="N15">
        <v>920</v>
      </c>
      <c r="O15">
        <v>120</v>
      </c>
      <c r="P15">
        <v>10</v>
      </c>
      <c r="Q15">
        <v>10</v>
      </c>
      <c r="R15">
        <v>0</v>
      </c>
      <c r="S15">
        <f t="shared" si="0"/>
        <v>1</v>
      </c>
      <c r="T15">
        <f t="shared" si="3"/>
        <v>5</v>
      </c>
      <c r="U15">
        <f t="shared" si="4"/>
        <v>100109</v>
      </c>
      <c r="V15" t="e">
        <f>VLOOKUP($A15,精英副本客户端!$A$2:$O$406,10,0)</f>
        <v>#N/A</v>
      </c>
      <c r="W15" t="e">
        <f>VLOOKUP($A15,精英副本客户端!$A$2:$O$406,11,0)</f>
        <v>#N/A</v>
      </c>
      <c r="X15" t="e">
        <f>VLOOKUP($A15,精英副本客户端!$A$2:$O$406,12,0)</f>
        <v>#N/A</v>
      </c>
      <c r="Y15" t="str">
        <f t="shared" si="1"/>
        <v>力量试炼（5）</v>
      </c>
    </row>
    <row r="16" spans="1:25">
      <c r="A16">
        <v>100502</v>
      </c>
      <c r="B16" t="s">
        <v>1040</v>
      </c>
      <c r="C16">
        <v>0</v>
      </c>
      <c r="D16">
        <v>0</v>
      </c>
      <c r="E16" t="str">
        <f t="shared" si="2"/>
        <v>1005021_1</v>
      </c>
      <c r="F16" t="s">
        <v>213</v>
      </c>
      <c r="G16" t="s">
        <v>813</v>
      </c>
      <c r="H16">
        <v>0</v>
      </c>
      <c r="I16">
        <v>0</v>
      </c>
      <c r="J16">
        <v>0</v>
      </c>
      <c r="K16">
        <v>100</v>
      </c>
      <c r="L16" t="s">
        <v>738</v>
      </c>
      <c r="M16" s="6" t="s">
        <v>739</v>
      </c>
      <c r="N16">
        <v>920</v>
      </c>
      <c r="O16">
        <v>120</v>
      </c>
      <c r="P16">
        <v>10</v>
      </c>
      <c r="Q16">
        <v>10</v>
      </c>
      <c r="R16">
        <v>0</v>
      </c>
      <c r="S16">
        <f t="shared" si="0"/>
        <v>1</v>
      </c>
      <c r="T16">
        <f t="shared" si="3"/>
        <v>5</v>
      </c>
      <c r="U16">
        <f t="shared" si="4"/>
        <v>100501</v>
      </c>
      <c r="V16" t="e">
        <f>VLOOKUP($A16,精英副本客户端!$A$2:$O$406,10,0)</f>
        <v>#N/A</v>
      </c>
      <c r="W16" t="e">
        <f>VLOOKUP($A16,精英副本客户端!$A$2:$O$406,11,0)</f>
        <v>#N/A</v>
      </c>
      <c r="X16" t="e">
        <f>VLOOKUP($A16,精英副本客户端!$A$2:$O$406,12,0)</f>
        <v>#N/A</v>
      </c>
      <c r="Y16" t="str">
        <f t="shared" si="1"/>
        <v>力量试炼（5）</v>
      </c>
    </row>
    <row r="17" spans="1:25">
      <c r="A17">
        <v>100503</v>
      </c>
      <c r="B17" t="s">
        <v>1041</v>
      </c>
      <c r="C17">
        <v>0</v>
      </c>
      <c r="D17">
        <v>0</v>
      </c>
      <c r="E17" t="str">
        <f t="shared" si="2"/>
        <v>1005031_1</v>
      </c>
      <c r="F17" t="s">
        <v>213</v>
      </c>
      <c r="G17" t="s">
        <v>814</v>
      </c>
      <c r="H17">
        <v>0</v>
      </c>
      <c r="I17">
        <v>0</v>
      </c>
      <c r="J17">
        <v>0</v>
      </c>
      <c r="K17">
        <v>100</v>
      </c>
      <c r="L17" t="s">
        <v>738</v>
      </c>
      <c r="M17" s="6" t="s">
        <v>739</v>
      </c>
      <c r="N17">
        <v>920</v>
      </c>
      <c r="O17">
        <v>120</v>
      </c>
      <c r="P17">
        <v>10</v>
      </c>
      <c r="Q17">
        <v>10</v>
      </c>
      <c r="R17">
        <v>0</v>
      </c>
      <c r="S17">
        <f t="shared" si="0"/>
        <v>1</v>
      </c>
      <c r="T17">
        <f t="shared" si="3"/>
        <v>5</v>
      </c>
      <c r="U17">
        <f t="shared" si="4"/>
        <v>100502</v>
      </c>
      <c r="V17" t="e">
        <f>VLOOKUP($A17,精英副本客户端!$A$2:$O$406,10,0)</f>
        <v>#N/A</v>
      </c>
      <c r="W17" t="e">
        <f>VLOOKUP($A17,精英副本客户端!$A$2:$O$406,11,0)</f>
        <v>#N/A</v>
      </c>
      <c r="X17" t="e">
        <f>VLOOKUP($A17,精英副本客户端!$A$2:$O$406,12,0)</f>
        <v>#N/A</v>
      </c>
      <c r="Y17" t="str">
        <f t="shared" si="1"/>
        <v>力量试炼（5）</v>
      </c>
    </row>
    <row r="18" spans="1:25">
      <c r="A18">
        <v>100504</v>
      </c>
      <c r="B18" t="s">
        <v>1042</v>
      </c>
      <c r="C18">
        <v>0</v>
      </c>
      <c r="D18">
        <v>0</v>
      </c>
      <c r="E18" t="str">
        <f t="shared" si="2"/>
        <v>1005041_1</v>
      </c>
      <c r="F18" t="s">
        <v>213</v>
      </c>
      <c r="G18" t="s">
        <v>815</v>
      </c>
      <c r="H18">
        <v>0</v>
      </c>
      <c r="I18">
        <v>0</v>
      </c>
      <c r="J18">
        <v>0</v>
      </c>
      <c r="K18">
        <v>100</v>
      </c>
      <c r="L18" t="s">
        <v>738</v>
      </c>
      <c r="M18" s="6" t="s">
        <v>739</v>
      </c>
      <c r="N18">
        <v>920</v>
      </c>
      <c r="O18">
        <v>120</v>
      </c>
      <c r="P18">
        <v>10</v>
      </c>
      <c r="Q18">
        <v>10</v>
      </c>
      <c r="R18">
        <v>0</v>
      </c>
      <c r="S18">
        <f t="shared" si="0"/>
        <v>1</v>
      </c>
      <c r="T18">
        <f t="shared" si="3"/>
        <v>5</v>
      </c>
      <c r="U18">
        <f t="shared" si="4"/>
        <v>100503</v>
      </c>
      <c r="V18" t="e">
        <f>VLOOKUP($A18,精英副本客户端!$A$2:$O$406,10,0)</f>
        <v>#N/A</v>
      </c>
      <c r="W18" t="e">
        <f>VLOOKUP($A18,精英副本客户端!$A$2:$O$406,11,0)</f>
        <v>#N/A</v>
      </c>
      <c r="X18" t="e">
        <f>VLOOKUP($A18,精英副本客户端!$A$2:$O$406,12,0)</f>
        <v>#N/A</v>
      </c>
      <c r="Y18" t="str">
        <f t="shared" si="1"/>
        <v>力量试炼（5）</v>
      </c>
    </row>
    <row r="19" spans="1:25">
      <c r="A19">
        <v>100505</v>
      </c>
      <c r="B19" t="s">
        <v>1043</v>
      </c>
      <c r="C19">
        <v>0</v>
      </c>
      <c r="D19">
        <v>0</v>
      </c>
      <c r="E19" t="str">
        <f t="shared" si="2"/>
        <v>1005051_1</v>
      </c>
      <c r="F19" t="s">
        <v>213</v>
      </c>
      <c r="G19" t="s">
        <v>816</v>
      </c>
      <c r="H19">
        <v>0</v>
      </c>
      <c r="I19">
        <v>0</v>
      </c>
      <c r="J19">
        <v>0</v>
      </c>
      <c r="K19">
        <v>100</v>
      </c>
      <c r="L19" t="s">
        <v>738</v>
      </c>
      <c r="M19" s="6" t="s">
        <v>739</v>
      </c>
      <c r="N19">
        <v>920</v>
      </c>
      <c r="O19">
        <v>120</v>
      </c>
      <c r="P19">
        <v>10</v>
      </c>
      <c r="Q19">
        <v>10</v>
      </c>
      <c r="R19">
        <v>0</v>
      </c>
      <c r="S19">
        <f t="shared" si="0"/>
        <v>1</v>
      </c>
      <c r="T19">
        <f t="shared" si="3"/>
        <v>5</v>
      </c>
      <c r="U19">
        <f t="shared" si="4"/>
        <v>100504</v>
      </c>
      <c r="V19" t="e">
        <f>VLOOKUP($A19,精英副本客户端!$A$2:$O$406,10,0)</f>
        <v>#N/A</v>
      </c>
      <c r="W19" t="e">
        <f>VLOOKUP($A19,精英副本客户端!$A$2:$O$406,11,0)</f>
        <v>#N/A</v>
      </c>
      <c r="X19" t="e">
        <f>VLOOKUP($A19,精英副本客户端!$A$2:$O$406,12,0)</f>
        <v>#N/A</v>
      </c>
      <c r="Y19" t="str">
        <f t="shared" si="1"/>
        <v>力量试炼（5）</v>
      </c>
    </row>
    <row r="20" spans="1:25">
      <c r="A20">
        <v>100506</v>
      </c>
      <c r="B20" t="s">
        <v>1044</v>
      </c>
      <c r="C20">
        <v>0</v>
      </c>
      <c r="D20">
        <v>0</v>
      </c>
      <c r="E20" t="str">
        <f t="shared" si="2"/>
        <v>1005061_1</v>
      </c>
      <c r="F20" t="s">
        <v>213</v>
      </c>
      <c r="G20" t="s">
        <v>817</v>
      </c>
      <c r="H20">
        <v>0</v>
      </c>
      <c r="I20">
        <v>0</v>
      </c>
      <c r="J20">
        <v>0</v>
      </c>
      <c r="K20">
        <v>100</v>
      </c>
      <c r="L20" t="s">
        <v>738</v>
      </c>
      <c r="M20" s="6" t="s">
        <v>739</v>
      </c>
      <c r="N20">
        <v>920</v>
      </c>
      <c r="O20">
        <v>120</v>
      </c>
      <c r="P20">
        <v>10</v>
      </c>
      <c r="Q20">
        <v>10</v>
      </c>
      <c r="R20">
        <v>0</v>
      </c>
      <c r="S20">
        <f t="shared" si="0"/>
        <v>1</v>
      </c>
      <c r="T20">
        <f t="shared" si="3"/>
        <v>5</v>
      </c>
      <c r="U20">
        <f t="shared" si="4"/>
        <v>100505</v>
      </c>
      <c r="V20" t="e">
        <f>VLOOKUP($A20,精英副本客户端!$A$2:$O$406,10,0)</f>
        <v>#N/A</v>
      </c>
      <c r="W20" t="e">
        <f>VLOOKUP($A20,精英副本客户端!$A$2:$O$406,11,0)</f>
        <v>#N/A</v>
      </c>
      <c r="X20" t="e">
        <f>VLOOKUP($A20,精英副本客户端!$A$2:$O$406,12,0)</f>
        <v>#N/A</v>
      </c>
      <c r="Y20" t="str">
        <f t="shared" si="1"/>
        <v>力量试炼（5）</v>
      </c>
    </row>
    <row r="21" spans="1:25">
      <c r="A21">
        <v>100507</v>
      </c>
      <c r="B21" t="s">
        <v>1045</v>
      </c>
      <c r="C21">
        <v>0</v>
      </c>
      <c r="D21">
        <v>0</v>
      </c>
      <c r="E21" t="str">
        <f t="shared" si="2"/>
        <v>1005071_1</v>
      </c>
      <c r="F21" t="s">
        <v>213</v>
      </c>
      <c r="G21" t="s">
        <v>818</v>
      </c>
      <c r="H21">
        <v>0</v>
      </c>
      <c r="I21">
        <v>0</v>
      </c>
      <c r="J21">
        <v>0</v>
      </c>
      <c r="K21">
        <v>100</v>
      </c>
      <c r="L21" t="s">
        <v>738</v>
      </c>
      <c r="M21" s="6" t="s">
        <v>739</v>
      </c>
      <c r="N21">
        <v>920</v>
      </c>
      <c r="O21">
        <v>120</v>
      </c>
      <c r="P21">
        <v>10</v>
      </c>
      <c r="Q21">
        <v>10</v>
      </c>
      <c r="R21">
        <v>0</v>
      </c>
      <c r="S21">
        <f t="shared" si="0"/>
        <v>1</v>
      </c>
      <c r="T21">
        <f t="shared" si="3"/>
        <v>5</v>
      </c>
      <c r="U21">
        <f t="shared" si="4"/>
        <v>100506</v>
      </c>
      <c r="V21" t="e">
        <f>VLOOKUP($A21,精英副本客户端!$A$2:$O$406,10,0)</f>
        <v>#N/A</v>
      </c>
      <c r="W21" t="e">
        <f>VLOOKUP($A21,精英副本客户端!$A$2:$O$406,11,0)</f>
        <v>#N/A</v>
      </c>
      <c r="X21" t="e">
        <f>VLOOKUP($A21,精英副本客户端!$A$2:$O$406,12,0)</f>
        <v>#N/A</v>
      </c>
      <c r="Y21" t="str">
        <f t="shared" si="1"/>
        <v>力量试炼（5）</v>
      </c>
    </row>
    <row r="22" spans="1:25">
      <c r="A22">
        <v>100508</v>
      </c>
      <c r="B22" t="s">
        <v>1046</v>
      </c>
      <c r="C22">
        <v>0</v>
      </c>
      <c r="D22">
        <v>0</v>
      </c>
      <c r="E22" t="str">
        <f t="shared" si="2"/>
        <v>1005081_1</v>
      </c>
      <c r="F22" t="s">
        <v>213</v>
      </c>
      <c r="G22" t="s">
        <v>819</v>
      </c>
      <c r="H22">
        <v>0</v>
      </c>
      <c r="I22">
        <v>0</v>
      </c>
      <c r="J22">
        <v>0</v>
      </c>
      <c r="K22">
        <v>100</v>
      </c>
      <c r="L22" t="s">
        <v>738</v>
      </c>
      <c r="M22" s="6" t="s">
        <v>739</v>
      </c>
      <c r="N22">
        <v>920</v>
      </c>
      <c r="O22">
        <v>120</v>
      </c>
      <c r="P22">
        <v>10</v>
      </c>
      <c r="Q22">
        <v>10</v>
      </c>
      <c r="R22">
        <v>0</v>
      </c>
      <c r="S22">
        <f t="shared" si="0"/>
        <v>1</v>
      </c>
      <c r="T22">
        <f t="shared" si="3"/>
        <v>5</v>
      </c>
      <c r="U22">
        <f t="shared" si="4"/>
        <v>100507</v>
      </c>
      <c r="V22" t="e">
        <f>VLOOKUP($A22,精英副本客户端!$A$2:$O$406,10,0)</f>
        <v>#N/A</v>
      </c>
      <c r="W22" t="e">
        <f>VLOOKUP($A22,精英副本客户端!$A$2:$O$406,11,0)</f>
        <v>#N/A</v>
      </c>
      <c r="X22" t="e">
        <f>VLOOKUP($A22,精英副本客户端!$A$2:$O$406,12,0)</f>
        <v>#N/A</v>
      </c>
      <c r="Y22" t="str">
        <f t="shared" si="1"/>
        <v>力量试炼（5）</v>
      </c>
    </row>
    <row r="23" spans="1:25">
      <c r="A23">
        <v>100509</v>
      </c>
      <c r="B23" t="s">
        <v>1047</v>
      </c>
      <c r="C23">
        <v>0</v>
      </c>
      <c r="D23">
        <v>0</v>
      </c>
      <c r="E23" t="str">
        <f t="shared" si="2"/>
        <v>1005091_1</v>
      </c>
      <c r="F23" t="s">
        <v>213</v>
      </c>
      <c r="G23" t="s">
        <v>821</v>
      </c>
      <c r="H23">
        <v>0</v>
      </c>
      <c r="I23">
        <v>0</v>
      </c>
      <c r="J23">
        <v>0</v>
      </c>
      <c r="K23">
        <v>100</v>
      </c>
      <c r="L23" t="s">
        <v>738</v>
      </c>
      <c r="M23" s="6" t="s">
        <v>739</v>
      </c>
      <c r="N23">
        <v>920</v>
      </c>
      <c r="O23">
        <v>120</v>
      </c>
      <c r="P23">
        <v>10</v>
      </c>
      <c r="Q23">
        <v>10</v>
      </c>
      <c r="R23">
        <v>0</v>
      </c>
      <c r="S23">
        <f t="shared" si="0"/>
        <v>1</v>
      </c>
      <c r="T23">
        <f t="shared" si="3"/>
        <v>5</v>
      </c>
      <c r="U23">
        <f t="shared" si="4"/>
        <v>100508</v>
      </c>
      <c r="V23" t="e">
        <f>VLOOKUP($A23,精英副本客户端!$A$2:$O$406,10,0)</f>
        <v>#N/A</v>
      </c>
      <c r="W23" t="e">
        <f>VLOOKUP($A23,精英副本客户端!$A$2:$O$406,11,0)</f>
        <v>#N/A</v>
      </c>
      <c r="X23" t="e">
        <f>VLOOKUP($A23,精英副本客户端!$A$2:$O$406,12,0)</f>
        <v>#N/A</v>
      </c>
      <c r="Y23" t="str">
        <f t="shared" si="1"/>
        <v>力量试炼（5）</v>
      </c>
    </row>
    <row r="24" spans="1:25">
      <c r="A24">
        <f>A15+500</f>
        <v>101001</v>
      </c>
      <c r="B24" t="s">
        <v>1039</v>
      </c>
      <c r="C24">
        <v>0</v>
      </c>
      <c r="D24">
        <v>0</v>
      </c>
      <c r="E24" t="str">
        <f t="shared" si="2"/>
        <v>1010011_1</v>
      </c>
      <c r="F24" t="s">
        <v>213</v>
      </c>
      <c r="G24">
        <v>0</v>
      </c>
      <c r="H24">
        <v>0</v>
      </c>
      <c r="I24">
        <v>0</v>
      </c>
      <c r="J24">
        <v>0</v>
      </c>
      <c r="K24">
        <v>100</v>
      </c>
      <c r="L24" t="s">
        <v>738</v>
      </c>
      <c r="M24" s="6" t="s">
        <v>739</v>
      </c>
      <c r="N24">
        <v>920</v>
      </c>
      <c r="O24">
        <v>120</v>
      </c>
      <c r="P24">
        <v>10</v>
      </c>
      <c r="Q24">
        <v>10</v>
      </c>
      <c r="R24">
        <v>0</v>
      </c>
      <c r="S24">
        <f t="shared" si="0"/>
        <v>1</v>
      </c>
      <c r="T24">
        <f t="shared" si="3"/>
        <v>10</v>
      </c>
      <c r="U24">
        <f t="shared" si="4"/>
        <v>100509</v>
      </c>
      <c r="V24" t="e">
        <f>VLOOKUP($A24,精英副本客户端!$A$2:$O$406,10,0)</f>
        <v>#N/A</v>
      </c>
      <c r="W24" t="e">
        <f>VLOOKUP($A24,精英副本客户端!$A$2:$O$406,11,0)</f>
        <v>#N/A</v>
      </c>
      <c r="X24" t="e">
        <f>VLOOKUP($A24,精英副本客户端!$A$2:$O$406,12,0)</f>
        <v>#N/A</v>
      </c>
      <c r="Y24" t="str">
        <f t="shared" si="1"/>
        <v>力量试炼（10）</v>
      </c>
    </row>
    <row r="25" spans="1:25">
      <c r="A25">
        <f t="shared" ref="A25:A88" si="5">A16+500</f>
        <v>101002</v>
      </c>
      <c r="B25" t="s">
        <v>1040</v>
      </c>
      <c r="C25">
        <v>0</v>
      </c>
      <c r="D25">
        <v>0</v>
      </c>
      <c r="E25" t="str">
        <f t="shared" si="2"/>
        <v>1010021_1</v>
      </c>
      <c r="F25" t="s">
        <v>213</v>
      </c>
      <c r="G25">
        <v>0</v>
      </c>
      <c r="H25">
        <v>0</v>
      </c>
      <c r="I25">
        <v>0</v>
      </c>
      <c r="J25">
        <v>0</v>
      </c>
      <c r="K25">
        <v>100</v>
      </c>
      <c r="L25" t="s">
        <v>738</v>
      </c>
      <c r="M25" s="6" t="s">
        <v>739</v>
      </c>
      <c r="N25">
        <v>920</v>
      </c>
      <c r="O25">
        <v>120</v>
      </c>
      <c r="P25">
        <v>10</v>
      </c>
      <c r="Q25">
        <v>10</v>
      </c>
      <c r="R25">
        <v>0</v>
      </c>
      <c r="S25">
        <f t="shared" si="0"/>
        <v>1</v>
      </c>
      <c r="T25">
        <f t="shared" si="3"/>
        <v>10</v>
      </c>
      <c r="U25">
        <f t="shared" si="4"/>
        <v>101001</v>
      </c>
      <c r="V25" t="e">
        <f>VLOOKUP($A25,精英副本客户端!$A$2:$O$406,10,0)</f>
        <v>#N/A</v>
      </c>
      <c r="W25" t="e">
        <f>VLOOKUP($A25,精英副本客户端!$A$2:$O$406,11,0)</f>
        <v>#N/A</v>
      </c>
      <c r="X25" t="e">
        <f>VLOOKUP($A25,精英副本客户端!$A$2:$O$406,12,0)</f>
        <v>#N/A</v>
      </c>
      <c r="Y25" t="str">
        <f t="shared" si="1"/>
        <v>力量试炼（10）</v>
      </c>
    </row>
    <row r="26" spans="1:25">
      <c r="A26">
        <f t="shared" si="5"/>
        <v>101003</v>
      </c>
      <c r="B26" t="s">
        <v>1041</v>
      </c>
      <c r="C26">
        <v>0</v>
      </c>
      <c r="D26">
        <v>0</v>
      </c>
      <c r="E26" t="str">
        <f t="shared" si="2"/>
        <v>1010031_1</v>
      </c>
      <c r="F26" t="s">
        <v>213</v>
      </c>
      <c r="G26">
        <v>0</v>
      </c>
      <c r="H26">
        <v>0</v>
      </c>
      <c r="I26">
        <v>0</v>
      </c>
      <c r="J26">
        <v>0</v>
      </c>
      <c r="K26">
        <v>100</v>
      </c>
      <c r="L26" t="s">
        <v>738</v>
      </c>
      <c r="M26" s="6" t="s">
        <v>739</v>
      </c>
      <c r="N26">
        <v>920</v>
      </c>
      <c r="O26">
        <v>120</v>
      </c>
      <c r="P26">
        <v>10</v>
      </c>
      <c r="Q26">
        <v>10</v>
      </c>
      <c r="R26">
        <v>0</v>
      </c>
      <c r="S26">
        <f t="shared" si="0"/>
        <v>1</v>
      </c>
      <c r="T26">
        <f t="shared" si="3"/>
        <v>10</v>
      </c>
      <c r="U26">
        <f t="shared" si="4"/>
        <v>101002</v>
      </c>
      <c r="V26" t="e">
        <f>VLOOKUP($A26,精英副本客户端!$A$2:$O$406,10,0)</f>
        <v>#N/A</v>
      </c>
      <c r="W26" t="e">
        <f>VLOOKUP($A26,精英副本客户端!$A$2:$O$406,11,0)</f>
        <v>#N/A</v>
      </c>
      <c r="X26" t="e">
        <f>VLOOKUP($A26,精英副本客户端!$A$2:$O$406,12,0)</f>
        <v>#N/A</v>
      </c>
      <c r="Y26" t="str">
        <f t="shared" si="1"/>
        <v>力量试炼（10）</v>
      </c>
    </row>
    <row r="27" spans="1:25">
      <c r="A27">
        <f t="shared" si="5"/>
        <v>101004</v>
      </c>
      <c r="B27" t="s">
        <v>1042</v>
      </c>
      <c r="C27">
        <v>0</v>
      </c>
      <c r="D27">
        <v>0</v>
      </c>
      <c r="E27" t="str">
        <f t="shared" si="2"/>
        <v>1010041_1</v>
      </c>
      <c r="F27" t="s">
        <v>213</v>
      </c>
      <c r="G27">
        <v>0</v>
      </c>
      <c r="H27">
        <v>0</v>
      </c>
      <c r="I27">
        <v>0</v>
      </c>
      <c r="J27">
        <v>0</v>
      </c>
      <c r="K27">
        <v>100</v>
      </c>
      <c r="L27" t="s">
        <v>738</v>
      </c>
      <c r="M27" s="6" t="s">
        <v>739</v>
      </c>
      <c r="N27">
        <v>920</v>
      </c>
      <c r="O27">
        <v>120</v>
      </c>
      <c r="P27">
        <v>10</v>
      </c>
      <c r="Q27">
        <v>10</v>
      </c>
      <c r="R27">
        <v>0</v>
      </c>
      <c r="S27">
        <f t="shared" si="0"/>
        <v>1</v>
      </c>
      <c r="T27">
        <f t="shared" si="3"/>
        <v>10</v>
      </c>
      <c r="U27">
        <f t="shared" si="4"/>
        <v>101003</v>
      </c>
      <c r="V27" t="e">
        <f>VLOOKUP($A27,精英副本客户端!$A$2:$O$406,10,0)</f>
        <v>#N/A</v>
      </c>
      <c r="W27" t="e">
        <f>VLOOKUP($A27,精英副本客户端!$A$2:$O$406,11,0)</f>
        <v>#N/A</v>
      </c>
      <c r="X27" t="e">
        <f>VLOOKUP($A27,精英副本客户端!$A$2:$O$406,12,0)</f>
        <v>#N/A</v>
      </c>
      <c r="Y27" t="str">
        <f t="shared" si="1"/>
        <v>力量试炼（10）</v>
      </c>
    </row>
    <row r="28" spans="1:25">
      <c r="A28">
        <f t="shared" si="5"/>
        <v>101005</v>
      </c>
      <c r="B28" t="s">
        <v>1043</v>
      </c>
      <c r="C28">
        <v>0</v>
      </c>
      <c r="D28">
        <v>0</v>
      </c>
      <c r="E28" t="str">
        <f t="shared" si="2"/>
        <v>1010051_1</v>
      </c>
      <c r="F28" t="s">
        <v>213</v>
      </c>
      <c r="G28">
        <v>0</v>
      </c>
      <c r="H28">
        <v>0</v>
      </c>
      <c r="I28">
        <v>0</v>
      </c>
      <c r="J28">
        <v>0</v>
      </c>
      <c r="K28">
        <v>100</v>
      </c>
      <c r="L28" t="s">
        <v>738</v>
      </c>
      <c r="M28" s="6" t="s">
        <v>739</v>
      </c>
      <c r="N28">
        <v>920</v>
      </c>
      <c r="O28">
        <v>120</v>
      </c>
      <c r="P28">
        <v>10</v>
      </c>
      <c r="Q28">
        <v>10</v>
      </c>
      <c r="R28">
        <v>0</v>
      </c>
      <c r="S28">
        <f t="shared" si="0"/>
        <v>1</v>
      </c>
      <c r="T28">
        <f t="shared" si="3"/>
        <v>10</v>
      </c>
      <c r="U28">
        <f t="shared" si="4"/>
        <v>101004</v>
      </c>
      <c r="V28" t="e">
        <f>VLOOKUP($A28,精英副本客户端!$A$2:$O$406,10,0)</f>
        <v>#N/A</v>
      </c>
      <c r="W28" t="e">
        <f>VLOOKUP($A28,精英副本客户端!$A$2:$O$406,11,0)</f>
        <v>#N/A</v>
      </c>
      <c r="X28" t="e">
        <f>VLOOKUP($A28,精英副本客户端!$A$2:$O$406,12,0)</f>
        <v>#N/A</v>
      </c>
      <c r="Y28" t="str">
        <f t="shared" si="1"/>
        <v>力量试炼（10）</v>
      </c>
    </row>
    <row r="29" spans="1:25">
      <c r="A29">
        <f t="shared" si="5"/>
        <v>101006</v>
      </c>
      <c r="B29" t="s">
        <v>1044</v>
      </c>
      <c r="C29">
        <v>0</v>
      </c>
      <c r="D29">
        <v>0</v>
      </c>
      <c r="E29" t="str">
        <f t="shared" si="2"/>
        <v>1010061_1</v>
      </c>
      <c r="F29" t="s">
        <v>213</v>
      </c>
      <c r="G29">
        <v>0</v>
      </c>
      <c r="H29">
        <v>0</v>
      </c>
      <c r="I29">
        <v>0</v>
      </c>
      <c r="J29">
        <v>0</v>
      </c>
      <c r="K29">
        <v>100</v>
      </c>
      <c r="L29" t="s">
        <v>738</v>
      </c>
      <c r="M29" s="6" t="s">
        <v>739</v>
      </c>
      <c r="N29">
        <v>920</v>
      </c>
      <c r="O29">
        <v>120</v>
      </c>
      <c r="P29">
        <v>10</v>
      </c>
      <c r="Q29">
        <v>10</v>
      </c>
      <c r="R29">
        <v>0</v>
      </c>
      <c r="S29">
        <f t="shared" si="0"/>
        <v>1</v>
      </c>
      <c r="T29">
        <f t="shared" si="3"/>
        <v>10</v>
      </c>
      <c r="U29">
        <f t="shared" si="4"/>
        <v>101005</v>
      </c>
      <c r="V29" t="e">
        <f>VLOOKUP($A29,精英副本客户端!$A$2:$O$406,10,0)</f>
        <v>#N/A</v>
      </c>
      <c r="W29" t="e">
        <f>VLOOKUP($A29,精英副本客户端!$A$2:$O$406,11,0)</f>
        <v>#N/A</v>
      </c>
      <c r="X29" t="e">
        <f>VLOOKUP($A29,精英副本客户端!$A$2:$O$406,12,0)</f>
        <v>#N/A</v>
      </c>
      <c r="Y29" t="str">
        <f t="shared" si="1"/>
        <v>力量试炼（10）</v>
      </c>
    </row>
    <row r="30" spans="1:25">
      <c r="A30">
        <f t="shared" si="5"/>
        <v>101007</v>
      </c>
      <c r="B30" t="s">
        <v>1045</v>
      </c>
      <c r="C30">
        <v>0</v>
      </c>
      <c r="D30">
        <v>0</v>
      </c>
      <c r="E30" t="str">
        <f t="shared" si="2"/>
        <v>1010071_1</v>
      </c>
      <c r="F30" t="s">
        <v>213</v>
      </c>
      <c r="G30">
        <v>0</v>
      </c>
      <c r="H30">
        <v>0</v>
      </c>
      <c r="I30">
        <v>0</v>
      </c>
      <c r="J30">
        <v>0</v>
      </c>
      <c r="K30">
        <v>100</v>
      </c>
      <c r="L30" t="s">
        <v>738</v>
      </c>
      <c r="M30" s="6" t="s">
        <v>739</v>
      </c>
      <c r="N30">
        <v>920</v>
      </c>
      <c r="O30">
        <v>120</v>
      </c>
      <c r="P30">
        <v>10</v>
      </c>
      <c r="Q30">
        <v>10</v>
      </c>
      <c r="R30">
        <v>0</v>
      </c>
      <c r="S30">
        <f t="shared" si="0"/>
        <v>1</v>
      </c>
      <c r="T30">
        <f t="shared" si="3"/>
        <v>10</v>
      </c>
      <c r="U30">
        <f t="shared" si="4"/>
        <v>101006</v>
      </c>
      <c r="V30" t="e">
        <f>VLOOKUP($A30,精英副本客户端!$A$2:$O$406,10,0)</f>
        <v>#N/A</v>
      </c>
      <c r="W30" t="e">
        <f>VLOOKUP($A30,精英副本客户端!$A$2:$O$406,11,0)</f>
        <v>#N/A</v>
      </c>
      <c r="X30" t="e">
        <f>VLOOKUP($A30,精英副本客户端!$A$2:$O$406,12,0)</f>
        <v>#N/A</v>
      </c>
      <c r="Y30" t="str">
        <f t="shared" si="1"/>
        <v>力量试炼（10）</v>
      </c>
    </row>
    <row r="31" spans="1:25">
      <c r="A31">
        <f t="shared" si="5"/>
        <v>101008</v>
      </c>
      <c r="B31" t="s">
        <v>1046</v>
      </c>
      <c r="C31">
        <v>0</v>
      </c>
      <c r="D31">
        <v>0</v>
      </c>
      <c r="E31" t="str">
        <f t="shared" si="2"/>
        <v>1010081_1</v>
      </c>
      <c r="F31" t="s">
        <v>213</v>
      </c>
      <c r="G31">
        <v>0</v>
      </c>
      <c r="H31">
        <v>0</v>
      </c>
      <c r="I31">
        <v>0</v>
      </c>
      <c r="J31">
        <v>0</v>
      </c>
      <c r="K31">
        <v>100</v>
      </c>
      <c r="L31" t="s">
        <v>738</v>
      </c>
      <c r="M31" s="6" t="s">
        <v>739</v>
      </c>
      <c r="N31">
        <v>920</v>
      </c>
      <c r="O31">
        <v>120</v>
      </c>
      <c r="P31">
        <v>10</v>
      </c>
      <c r="Q31">
        <v>10</v>
      </c>
      <c r="R31">
        <v>0</v>
      </c>
      <c r="S31">
        <f t="shared" si="0"/>
        <v>1</v>
      </c>
      <c r="T31">
        <f t="shared" si="3"/>
        <v>10</v>
      </c>
      <c r="U31">
        <f t="shared" si="4"/>
        <v>101007</v>
      </c>
      <c r="V31" t="e">
        <f>VLOOKUP($A31,精英副本客户端!$A$2:$O$406,10,0)</f>
        <v>#N/A</v>
      </c>
      <c r="W31" t="e">
        <f>VLOOKUP($A31,精英副本客户端!$A$2:$O$406,11,0)</f>
        <v>#N/A</v>
      </c>
      <c r="X31" t="e">
        <f>VLOOKUP($A31,精英副本客户端!$A$2:$O$406,12,0)</f>
        <v>#N/A</v>
      </c>
      <c r="Y31" t="str">
        <f t="shared" si="1"/>
        <v>力量试炼（10）</v>
      </c>
    </row>
    <row r="32" spans="1:25">
      <c r="A32">
        <f t="shared" si="5"/>
        <v>101009</v>
      </c>
      <c r="B32" t="s">
        <v>1047</v>
      </c>
      <c r="C32">
        <v>0</v>
      </c>
      <c r="D32">
        <v>0</v>
      </c>
      <c r="E32" t="str">
        <f t="shared" si="2"/>
        <v>1010091_1</v>
      </c>
      <c r="F32" t="s">
        <v>213</v>
      </c>
      <c r="G32">
        <v>0</v>
      </c>
      <c r="H32">
        <v>0</v>
      </c>
      <c r="I32">
        <v>0</v>
      </c>
      <c r="J32">
        <v>0</v>
      </c>
      <c r="K32">
        <v>100</v>
      </c>
      <c r="L32" t="s">
        <v>738</v>
      </c>
      <c r="M32" s="6" t="s">
        <v>739</v>
      </c>
      <c r="N32">
        <v>920</v>
      </c>
      <c r="O32">
        <v>120</v>
      </c>
      <c r="P32">
        <v>10</v>
      </c>
      <c r="Q32">
        <v>10</v>
      </c>
      <c r="R32">
        <v>0</v>
      </c>
      <c r="S32">
        <f t="shared" si="0"/>
        <v>1</v>
      </c>
      <c r="T32">
        <f t="shared" si="3"/>
        <v>10</v>
      </c>
      <c r="U32">
        <f t="shared" si="4"/>
        <v>101008</v>
      </c>
      <c r="V32" t="e">
        <f>VLOOKUP($A32,精英副本客户端!$A$2:$O$406,10,0)</f>
        <v>#N/A</v>
      </c>
      <c r="W32" t="e">
        <f>VLOOKUP($A32,精英副本客户端!$A$2:$O$406,11,0)</f>
        <v>#N/A</v>
      </c>
      <c r="X32" t="e">
        <f>VLOOKUP($A32,精英副本客户端!$A$2:$O$406,12,0)</f>
        <v>#N/A</v>
      </c>
      <c r="Y32" t="str">
        <f t="shared" si="1"/>
        <v>力量试炼（10）</v>
      </c>
    </row>
    <row r="33" spans="1:25">
      <c r="A33">
        <f t="shared" si="5"/>
        <v>101501</v>
      </c>
      <c r="B33" t="s">
        <v>1039</v>
      </c>
      <c r="C33">
        <v>0</v>
      </c>
      <c r="D33">
        <v>0</v>
      </c>
      <c r="E33" t="str">
        <f t="shared" si="2"/>
        <v>1015011_1</v>
      </c>
      <c r="F33" t="s">
        <v>213</v>
      </c>
      <c r="G33">
        <v>0</v>
      </c>
      <c r="H33">
        <v>0</v>
      </c>
      <c r="I33">
        <v>0</v>
      </c>
      <c r="J33">
        <v>0</v>
      </c>
      <c r="K33">
        <v>100</v>
      </c>
      <c r="L33" t="s">
        <v>738</v>
      </c>
      <c r="M33" s="6" t="s">
        <v>739</v>
      </c>
      <c r="N33">
        <v>920</v>
      </c>
      <c r="O33">
        <v>120</v>
      </c>
      <c r="P33">
        <v>10</v>
      </c>
      <c r="Q33">
        <v>10</v>
      </c>
      <c r="R33">
        <v>0</v>
      </c>
      <c r="S33">
        <f t="shared" si="0"/>
        <v>1</v>
      </c>
      <c r="T33">
        <f t="shared" si="3"/>
        <v>15</v>
      </c>
      <c r="U33">
        <f t="shared" si="4"/>
        <v>101009</v>
      </c>
      <c r="V33" t="e">
        <f>VLOOKUP($A33,精英副本客户端!$A$2:$O$406,10,0)</f>
        <v>#N/A</v>
      </c>
      <c r="W33" t="e">
        <f>VLOOKUP($A33,精英副本客户端!$A$2:$O$406,11,0)</f>
        <v>#N/A</v>
      </c>
      <c r="X33" t="e">
        <f>VLOOKUP($A33,精英副本客户端!$A$2:$O$406,12,0)</f>
        <v>#N/A</v>
      </c>
      <c r="Y33" t="str">
        <f t="shared" si="1"/>
        <v>力量试炼（15）</v>
      </c>
    </row>
    <row r="34" spans="1:25">
      <c r="A34">
        <f t="shared" si="5"/>
        <v>101502</v>
      </c>
      <c r="B34" t="s">
        <v>1040</v>
      </c>
      <c r="C34">
        <v>0</v>
      </c>
      <c r="D34">
        <v>0</v>
      </c>
      <c r="E34" t="str">
        <f t="shared" si="2"/>
        <v>1015021_1</v>
      </c>
      <c r="F34" t="s">
        <v>213</v>
      </c>
      <c r="G34">
        <v>0</v>
      </c>
      <c r="H34">
        <v>0</v>
      </c>
      <c r="I34">
        <v>0</v>
      </c>
      <c r="J34">
        <v>0</v>
      </c>
      <c r="K34">
        <v>100</v>
      </c>
      <c r="L34" t="s">
        <v>738</v>
      </c>
      <c r="M34" s="6" t="s">
        <v>739</v>
      </c>
      <c r="N34">
        <v>920</v>
      </c>
      <c r="O34">
        <v>120</v>
      </c>
      <c r="P34">
        <v>10</v>
      </c>
      <c r="Q34">
        <v>10</v>
      </c>
      <c r="R34">
        <v>0</v>
      </c>
      <c r="S34">
        <f t="shared" si="0"/>
        <v>1</v>
      </c>
      <c r="T34">
        <f t="shared" si="3"/>
        <v>15</v>
      </c>
      <c r="U34">
        <f t="shared" si="4"/>
        <v>101501</v>
      </c>
      <c r="V34" t="e">
        <f>VLOOKUP($A34,精英副本客户端!$A$2:$O$406,10,0)</f>
        <v>#N/A</v>
      </c>
      <c r="W34" t="e">
        <f>VLOOKUP($A34,精英副本客户端!$A$2:$O$406,11,0)</f>
        <v>#N/A</v>
      </c>
      <c r="X34" t="e">
        <f>VLOOKUP($A34,精英副本客户端!$A$2:$O$406,12,0)</f>
        <v>#N/A</v>
      </c>
      <c r="Y34" t="str">
        <f t="shared" si="1"/>
        <v>力量试炼（15）</v>
      </c>
    </row>
    <row r="35" spans="1:25">
      <c r="A35">
        <f t="shared" si="5"/>
        <v>101503</v>
      </c>
      <c r="B35" t="s">
        <v>1041</v>
      </c>
      <c r="C35">
        <v>0</v>
      </c>
      <c r="D35">
        <v>0</v>
      </c>
      <c r="E35" t="str">
        <f t="shared" si="2"/>
        <v>1015031_1</v>
      </c>
      <c r="F35" t="s">
        <v>213</v>
      </c>
      <c r="G35">
        <v>0</v>
      </c>
      <c r="H35">
        <v>0</v>
      </c>
      <c r="I35">
        <v>0</v>
      </c>
      <c r="J35">
        <v>0</v>
      </c>
      <c r="K35">
        <v>100</v>
      </c>
      <c r="L35" t="s">
        <v>738</v>
      </c>
      <c r="M35" s="6" t="s">
        <v>739</v>
      </c>
      <c r="N35">
        <v>920</v>
      </c>
      <c r="O35">
        <v>120</v>
      </c>
      <c r="P35">
        <v>10</v>
      </c>
      <c r="Q35">
        <v>10</v>
      </c>
      <c r="R35">
        <v>0</v>
      </c>
      <c r="S35">
        <f t="shared" si="0"/>
        <v>1</v>
      </c>
      <c r="T35">
        <f t="shared" si="3"/>
        <v>15</v>
      </c>
      <c r="U35">
        <f t="shared" si="4"/>
        <v>101502</v>
      </c>
      <c r="V35" t="e">
        <f>VLOOKUP($A35,精英副本客户端!$A$2:$O$406,10,0)</f>
        <v>#N/A</v>
      </c>
      <c r="W35" t="e">
        <f>VLOOKUP($A35,精英副本客户端!$A$2:$O$406,11,0)</f>
        <v>#N/A</v>
      </c>
      <c r="X35" t="e">
        <f>VLOOKUP($A35,精英副本客户端!$A$2:$O$406,12,0)</f>
        <v>#N/A</v>
      </c>
      <c r="Y35" t="str">
        <f t="shared" si="1"/>
        <v>力量试炼（15）</v>
      </c>
    </row>
    <row r="36" spans="1:25">
      <c r="A36">
        <f t="shared" si="5"/>
        <v>101504</v>
      </c>
      <c r="B36" t="s">
        <v>1042</v>
      </c>
      <c r="C36">
        <v>0</v>
      </c>
      <c r="D36">
        <v>0</v>
      </c>
      <c r="E36" t="str">
        <f t="shared" si="2"/>
        <v>1015041_1</v>
      </c>
      <c r="F36" t="s">
        <v>213</v>
      </c>
      <c r="G36">
        <v>0</v>
      </c>
      <c r="H36">
        <v>0</v>
      </c>
      <c r="I36">
        <v>0</v>
      </c>
      <c r="J36">
        <v>0</v>
      </c>
      <c r="K36">
        <v>100</v>
      </c>
      <c r="L36" t="s">
        <v>738</v>
      </c>
      <c r="M36" s="6" t="s">
        <v>739</v>
      </c>
      <c r="N36">
        <v>920</v>
      </c>
      <c r="O36">
        <v>120</v>
      </c>
      <c r="P36">
        <v>10</v>
      </c>
      <c r="Q36">
        <v>10</v>
      </c>
      <c r="R36">
        <v>0</v>
      </c>
      <c r="S36">
        <f t="shared" si="0"/>
        <v>1</v>
      </c>
      <c r="T36">
        <f t="shared" si="3"/>
        <v>15</v>
      </c>
      <c r="U36">
        <f t="shared" si="4"/>
        <v>101503</v>
      </c>
      <c r="V36" t="e">
        <f>VLOOKUP($A36,精英副本客户端!$A$2:$O$406,10,0)</f>
        <v>#N/A</v>
      </c>
      <c r="W36" t="e">
        <f>VLOOKUP($A36,精英副本客户端!$A$2:$O$406,11,0)</f>
        <v>#N/A</v>
      </c>
      <c r="X36" t="e">
        <f>VLOOKUP($A36,精英副本客户端!$A$2:$O$406,12,0)</f>
        <v>#N/A</v>
      </c>
      <c r="Y36" t="str">
        <f t="shared" si="1"/>
        <v>力量试炼（15）</v>
      </c>
    </row>
    <row r="37" spans="1:25">
      <c r="A37">
        <f t="shared" si="5"/>
        <v>101505</v>
      </c>
      <c r="B37" t="s">
        <v>1043</v>
      </c>
      <c r="C37">
        <v>0</v>
      </c>
      <c r="D37">
        <v>0</v>
      </c>
      <c r="E37" t="str">
        <f t="shared" si="2"/>
        <v>1015051_1</v>
      </c>
      <c r="F37" t="s">
        <v>213</v>
      </c>
      <c r="G37">
        <v>0</v>
      </c>
      <c r="H37">
        <v>0</v>
      </c>
      <c r="I37">
        <v>0</v>
      </c>
      <c r="J37">
        <v>0</v>
      </c>
      <c r="K37">
        <v>100</v>
      </c>
      <c r="L37" t="s">
        <v>738</v>
      </c>
      <c r="M37" s="6" t="s">
        <v>739</v>
      </c>
      <c r="N37">
        <v>920</v>
      </c>
      <c r="O37">
        <v>120</v>
      </c>
      <c r="P37">
        <v>10</v>
      </c>
      <c r="Q37">
        <v>10</v>
      </c>
      <c r="R37">
        <v>0</v>
      </c>
      <c r="S37">
        <f t="shared" si="0"/>
        <v>1</v>
      </c>
      <c r="T37">
        <f t="shared" si="3"/>
        <v>15</v>
      </c>
      <c r="U37">
        <f t="shared" si="4"/>
        <v>101504</v>
      </c>
      <c r="V37" t="e">
        <f>VLOOKUP($A37,精英副本客户端!$A$2:$O$406,10,0)</f>
        <v>#N/A</v>
      </c>
      <c r="W37" t="e">
        <f>VLOOKUP($A37,精英副本客户端!$A$2:$O$406,11,0)</f>
        <v>#N/A</v>
      </c>
      <c r="X37" t="e">
        <f>VLOOKUP($A37,精英副本客户端!$A$2:$O$406,12,0)</f>
        <v>#N/A</v>
      </c>
      <c r="Y37" t="str">
        <f t="shared" si="1"/>
        <v>力量试炼（15）</v>
      </c>
    </row>
    <row r="38" spans="1:25">
      <c r="A38">
        <f t="shared" si="5"/>
        <v>101506</v>
      </c>
      <c r="B38" t="s">
        <v>1044</v>
      </c>
      <c r="C38">
        <v>0</v>
      </c>
      <c r="D38">
        <v>0</v>
      </c>
      <c r="E38" t="str">
        <f t="shared" si="2"/>
        <v>1015061_1</v>
      </c>
      <c r="F38" t="s">
        <v>213</v>
      </c>
      <c r="G38">
        <v>0</v>
      </c>
      <c r="H38">
        <v>0</v>
      </c>
      <c r="I38">
        <v>0</v>
      </c>
      <c r="J38">
        <v>0</v>
      </c>
      <c r="K38">
        <v>100</v>
      </c>
      <c r="L38" t="s">
        <v>738</v>
      </c>
      <c r="M38" s="6" t="s">
        <v>739</v>
      </c>
      <c r="N38">
        <v>920</v>
      </c>
      <c r="O38">
        <v>120</v>
      </c>
      <c r="P38">
        <v>10</v>
      </c>
      <c r="Q38">
        <v>10</v>
      </c>
      <c r="R38">
        <v>0</v>
      </c>
      <c r="S38">
        <f t="shared" si="0"/>
        <v>1</v>
      </c>
      <c r="T38">
        <f t="shared" si="3"/>
        <v>15</v>
      </c>
      <c r="U38">
        <f t="shared" si="4"/>
        <v>101505</v>
      </c>
      <c r="V38" t="e">
        <f>VLOOKUP($A38,精英副本客户端!$A$2:$O$406,10,0)</f>
        <v>#N/A</v>
      </c>
      <c r="W38" t="e">
        <f>VLOOKUP($A38,精英副本客户端!$A$2:$O$406,11,0)</f>
        <v>#N/A</v>
      </c>
      <c r="X38" t="e">
        <f>VLOOKUP($A38,精英副本客户端!$A$2:$O$406,12,0)</f>
        <v>#N/A</v>
      </c>
      <c r="Y38" t="str">
        <f t="shared" si="1"/>
        <v>力量试炼（15）</v>
      </c>
    </row>
    <row r="39" spans="1:25">
      <c r="A39">
        <f t="shared" si="5"/>
        <v>101507</v>
      </c>
      <c r="B39" t="s">
        <v>1045</v>
      </c>
      <c r="C39">
        <v>0</v>
      </c>
      <c r="D39">
        <v>0</v>
      </c>
      <c r="E39" t="str">
        <f t="shared" si="2"/>
        <v>1015071_1</v>
      </c>
      <c r="F39" t="s">
        <v>213</v>
      </c>
      <c r="G39">
        <v>0</v>
      </c>
      <c r="H39">
        <v>0</v>
      </c>
      <c r="I39">
        <v>0</v>
      </c>
      <c r="J39">
        <v>0</v>
      </c>
      <c r="K39">
        <v>100</v>
      </c>
      <c r="L39" t="s">
        <v>738</v>
      </c>
      <c r="M39" s="6" t="s">
        <v>739</v>
      </c>
      <c r="N39">
        <v>920</v>
      </c>
      <c r="O39">
        <v>120</v>
      </c>
      <c r="P39">
        <v>10</v>
      </c>
      <c r="Q39">
        <v>10</v>
      </c>
      <c r="R39">
        <v>0</v>
      </c>
      <c r="S39">
        <f t="shared" si="0"/>
        <v>1</v>
      </c>
      <c r="T39">
        <f t="shared" si="3"/>
        <v>15</v>
      </c>
      <c r="U39">
        <f t="shared" si="4"/>
        <v>101506</v>
      </c>
      <c r="V39" t="e">
        <f>VLOOKUP($A39,精英副本客户端!$A$2:$O$406,10,0)</f>
        <v>#N/A</v>
      </c>
      <c r="W39" t="e">
        <f>VLOOKUP($A39,精英副本客户端!$A$2:$O$406,11,0)</f>
        <v>#N/A</v>
      </c>
      <c r="X39" t="e">
        <f>VLOOKUP($A39,精英副本客户端!$A$2:$O$406,12,0)</f>
        <v>#N/A</v>
      </c>
      <c r="Y39" t="str">
        <f t="shared" si="1"/>
        <v>力量试炼（15）</v>
      </c>
    </row>
    <row r="40" spans="1:25">
      <c r="A40">
        <f t="shared" si="5"/>
        <v>101508</v>
      </c>
      <c r="B40" t="s">
        <v>1046</v>
      </c>
      <c r="C40">
        <v>0</v>
      </c>
      <c r="D40">
        <v>0</v>
      </c>
      <c r="E40" t="str">
        <f t="shared" si="2"/>
        <v>1015081_1</v>
      </c>
      <c r="F40" t="s">
        <v>213</v>
      </c>
      <c r="G40">
        <v>0</v>
      </c>
      <c r="H40">
        <v>0</v>
      </c>
      <c r="I40">
        <v>0</v>
      </c>
      <c r="J40">
        <v>0</v>
      </c>
      <c r="K40">
        <v>100</v>
      </c>
      <c r="L40" t="s">
        <v>738</v>
      </c>
      <c r="M40" s="6" t="s">
        <v>739</v>
      </c>
      <c r="N40">
        <v>920</v>
      </c>
      <c r="O40">
        <v>120</v>
      </c>
      <c r="P40">
        <v>10</v>
      </c>
      <c r="Q40">
        <v>10</v>
      </c>
      <c r="R40">
        <v>0</v>
      </c>
      <c r="S40">
        <f t="shared" si="0"/>
        <v>1</v>
      </c>
      <c r="T40">
        <f t="shared" si="3"/>
        <v>15</v>
      </c>
      <c r="U40">
        <f t="shared" si="4"/>
        <v>101507</v>
      </c>
      <c r="V40" t="e">
        <f>VLOOKUP($A40,精英副本客户端!$A$2:$O$406,10,0)</f>
        <v>#N/A</v>
      </c>
      <c r="W40" t="e">
        <f>VLOOKUP($A40,精英副本客户端!$A$2:$O$406,11,0)</f>
        <v>#N/A</v>
      </c>
      <c r="X40" t="e">
        <f>VLOOKUP($A40,精英副本客户端!$A$2:$O$406,12,0)</f>
        <v>#N/A</v>
      </c>
      <c r="Y40" t="str">
        <f t="shared" si="1"/>
        <v>力量试炼（15）</v>
      </c>
    </row>
    <row r="41" spans="1:25">
      <c r="A41">
        <f t="shared" si="5"/>
        <v>101509</v>
      </c>
      <c r="B41" t="s">
        <v>1047</v>
      </c>
      <c r="C41">
        <v>0</v>
      </c>
      <c r="D41">
        <v>0</v>
      </c>
      <c r="E41" t="str">
        <f t="shared" si="2"/>
        <v>1015091_1</v>
      </c>
      <c r="F41" t="s">
        <v>213</v>
      </c>
      <c r="G41">
        <v>0</v>
      </c>
      <c r="H41">
        <v>0</v>
      </c>
      <c r="I41">
        <v>0</v>
      </c>
      <c r="J41">
        <v>0</v>
      </c>
      <c r="K41">
        <v>100</v>
      </c>
      <c r="L41" t="s">
        <v>738</v>
      </c>
      <c r="M41" s="6" t="s">
        <v>739</v>
      </c>
      <c r="N41">
        <v>920</v>
      </c>
      <c r="O41">
        <v>120</v>
      </c>
      <c r="P41">
        <v>10</v>
      </c>
      <c r="Q41">
        <v>10</v>
      </c>
      <c r="R41">
        <v>0</v>
      </c>
      <c r="S41">
        <f t="shared" si="0"/>
        <v>1</v>
      </c>
      <c r="T41">
        <f t="shared" si="3"/>
        <v>15</v>
      </c>
      <c r="U41">
        <f t="shared" si="4"/>
        <v>101508</v>
      </c>
      <c r="V41" t="e">
        <f>VLOOKUP($A41,精英副本客户端!$A$2:$O$406,10,0)</f>
        <v>#N/A</v>
      </c>
      <c r="W41" t="e">
        <f>VLOOKUP($A41,精英副本客户端!$A$2:$O$406,11,0)</f>
        <v>#N/A</v>
      </c>
      <c r="X41" t="e">
        <f>VLOOKUP($A41,精英副本客户端!$A$2:$O$406,12,0)</f>
        <v>#N/A</v>
      </c>
      <c r="Y41" t="str">
        <f t="shared" si="1"/>
        <v>力量试炼（15）</v>
      </c>
    </row>
    <row r="42" spans="1:25">
      <c r="A42">
        <f t="shared" si="5"/>
        <v>102001</v>
      </c>
      <c r="B42" t="s">
        <v>1039</v>
      </c>
      <c r="C42">
        <v>0</v>
      </c>
      <c r="D42">
        <v>0</v>
      </c>
      <c r="E42" t="str">
        <f t="shared" si="2"/>
        <v>1020011_1</v>
      </c>
      <c r="F42" t="s">
        <v>213</v>
      </c>
      <c r="G42">
        <v>0</v>
      </c>
      <c r="H42">
        <v>0</v>
      </c>
      <c r="I42">
        <v>0</v>
      </c>
      <c r="J42">
        <v>0</v>
      </c>
      <c r="K42">
        <v>100</v>
      </c>
      <c r="L42" t="s">
        <v>738</v>
      </c>
      <c r="M42" s="6" t="s">
        <v>739</v>
      </c>
      <c r="N42">
        <v>920</v>
      </c>
      <c r="O42">
        <v>120</v>
      </c>
      <c r="P42">
        <v>10</v>
      </c>
      <c r="Q42">
        <v>10</v>
      </c>
      <c r="R42">
        <v>0</v>
      </c>
      <c r="S42">
        <f t="shared" si="0"/>
        <v>1</v>
      </c>
      <c r="T42">
        <f t="shared" si="3"/>
        <v>20</v>
      </c>
      <c r="U42">
        <f t="shared" si="4"/>
        <v>101509</v>
      </c>
      <c r="V42" t="e">
        <f>VLOOKUP($A42,精英副本客户端!$A$2:$O$406,10,0)</f>
        <v>#N/A</v>
      </c>
      <c r="W42" t="e">
        <f>VLOOKUP($A42,精英副本客户端!$A$2:$O$406,11,0)</f>
        <v>#N/A</v>
      </c>
      <c r="X42" t="e">
        <f>VLOOKUP($A42,精英副本客户端!$A$2:$O$406,12,0)</f>
        <v>#N/A</v>
      </c>
      <c r="Y42" t="str">
        <f t="shared" si="1"/>
        <v>力量试炼（20）</v>
      </c>
    </row>
    <row r="43" spans="1:25">
      <c r="A43">
        <f t="shared" si="5"/>
        <v>102002</v>
      </c>
      <c r="B43" t="s">
        <v>1040</v>
      </c>
      <c r="C43">
        <v>0</v>
      </c>
      <c r="D43">
        <v>0</v>
      </c>
      <c r="E43" t="str">
        <f t="shared" si="2"/>
        <v>1020021_1</v>
      </c>
      <c r="F43" t="s">
        <v>213</v>
      </c>
      <c r="G43">
        <v>0</v>
      </c>
      <c r="H43">
        <v>0</v>
      </c>
      <c r="I43">
        <v>0</v>
      </c>
      <c r="J43">
        <v>0</v>
      </c>
      <c r="K43">
        <v>100</v>
      </c>
      <c r="L43" t="s">
        <v>738</v>
      </c>
      <c r="M43" s="6" t="s">
        <v>739</v>
      </c>
      <c r="N43">
        <v>920</v>
      </c>
      <c r="O43">
        <v>120</v>
      </c>
      <c r="P43">
        <v>10</v>
      </c>
      <c r="Q43">
        <v>10</v>
      </c>
      <c r="R43">
        <v>0</v>
      </c>
      <c r="S43">
        <f t="shared" si="0"/>
        <v>1</v>
      </c>
      <c r="T43">
        <f t="shared" si="3"/>
        <v>20</v>
      </c>
      <c r="U43">
        <f t="shared" si="4"/>
        <v>102001</v>
      </c>
      <c r="V43" t="e">
        <f>VLOOKUP($A43,精英副本客户端!$A$2:$O$406,10,0)</f>
        <v>#N/A</v>
      </c>
      <c r="W43" t="e">
        <f>VLOOKUP($A43,精英副本客户端!$A$2:$O$406,11,0)</f>
        <v>#N/A</v>
      </c>
      <c r="X43" t="e">
        <f>VLOOKUP($A43,精英副本客户端!$A$2:$O$406,12,0)</f>
        <v>#N/A</v>
      </c>
      <c r="Y43" t="str">
        <f t="shared" si="1"/>
        <v>力量试炼（20）</v>
      </c>
    </row>
    <row r="44" spans="1:25">
      <c r="A44">
        <f t="shared" si="5"/>
        <v>102003</v>
      </c>
      <c r="B44" t="s">
        <v>1041</v>
      </c>
      <c r="C44">
        <v>0</v>
      </c>
      <c r="D44">
        <v>0</v>
      </c>
      <c r="E44" t="str">
        <f t="shared" si="2"/>
        <v>1020031_1</v>
      </c>
      <c r="F44" t="s">
        <v>213</v>
      </c>
      <c r="G44">
        <v>0</v>
      </c>
      <c r="H44">
        <v>0</v>
      </c>
      <c r="I44">
        <v>0</v>
      </c>
      <c r="J44">
        <v>0</v>
      </c>
      <c r="K44">
        <v>100</v>
      </c>
      <c r="L44" t="s">
        <v>738</v>
      </c>
      <c r="M44" s="6" t="s">
        <v>739</v>
      </c>
      <c r="N44">
        <v>920</v>
      </c>
      <c r="O44">
        <v>120</v>
      </c>
      <c r="P44">
        <v>10</v>
      </c>
      <c r="Q44">
        <v>10</v>
      </c>
      <c r="R44">
        <v>0</v>
      </c>
      <c r="S44">
        <f t="shared" si="0"/>
        <v>1</v>
      </c>
      <c r="T44">
        <f t="shared" si="3"/>
        <v>20</v>
      </c>
      <c r="U44">
        <f t="shared" si="4"/>
        <v>102002</v>
      </c>
      <c r="V44" t="e">
        <f>VLOOKUP($A44,精英副本客户端!$A$2:$O$406,10,0)</f>
        <v>#N/A</v>
      </c>
      <c r="W44" t="e">
        <f>VLOOKUP($A44,精英副本客户端!$A$2:$O$406,11,0)</f>
        <v>#N/A</v>
      </c>
      <c r="X44" t="e">
        <f>VLOOKUP($A44,精英副本客户端!$A$2:$O$406,12,0)</f>
        <v>#N/A</v>
      </c>
      <c r="Y44" t="str">
        <f t="shared" si="1"/>
        <v>力量试炼（20）</v>
      </c>
    </row>
    <row r="45" spans="1:25">
      <c r="A45">
        <f t="shared" si="5"/>
        <v>102004</v>
      </c>
      <c r="B45" t="s">
        <v>1042</v>
      </c>
      <c r="C45">
        <v>0</v>
      </c>
      <c r="D45">
        <v>0</v>
      </c>
      <c r="E45" t="str">
        <f t="shared" si="2"/>
        <v>1020041_1</v>
      </c>
      <c r="F45" t="s">
        <v>213</v>
      </c>
      <c r="G45">
        <v>0</v>
      </c>
      <c r="H45">
        <v>0</v>
      </c>
      <c r="I45">
        <v>0</v>
      </c>
      <c r="J45">
        <v>0</v>
      </c>
      <c r="K45">
        <v>100</v>
      </c>
      <c r="L45" t="s">
        <v>738</v>
      </c>
      <c r="M45" s="6" t="s">
        <v>739</v>
      </c>
      <c r="N45">
        <v>920</v>
      </c>
      <c r="O45">
        <v>120</v>
      </c>
      <c r="P45">
        <v>10</v>
      </c>
      <c r="Q45">
        <v>10</v>
      </c>
      <c r="R45">
        <v>0</v>
      </c>
      <c r="S45">
        <f t="shared" si="0"/>
        <v>1</v>
      </c>
      <c r="T45">
        <f t="shared" si="3"/>
        <v>20</v>
      </c>
      <c r="U45">
        <f t="shared" si="4"/>
        <v>102003</v>
      </c>
      <c r="V45" t="e">
        <f>VLOOKUP($A45,精英副本客户端!$A$2:$O$406,10,0)</f>
        <v>#N/A</v>
      </c>
      <c r="W45" t="e">
        <f>VLOOKUP($A45,精英副本客户端!$A$2:$O$406,11,0)</f>
        <v>#N/A</v>
      </c>
      <c r="X45" t="e">
        <f>VLOOKUP($A45,精英副本客户端!$A$2:$O$406,12,0)</f>
        <v>#N/A</v>
      </c>
      <c r="Y45" t="str">
        <f t="shared" si="1"/>
        <v>力量试炼（20）</v>
      </c>
    </row>
    <row r="46" spans="1:25">
      <c r="A46">
        <f t="shared" si="5"/>
        <v>102005</v>
      </c>
      <c r="B46" t="s">
        <v>1043</v>
      </c>
      <c r="C46">
        <v>0</v>
      </c>
      <c r="D46">
        <v>0</v>
      </c>
      <c r="E46" t="str">
        <f t="shared" si="2"/>
        <v>1020051_1</v>
      </c>
      <c r="F46" t="s">
        <v>213</v>
      </c>
      <c r="G46">
        <v>0</v>
      </c>
      <c r="H46">
        <v>0</v>
      </c>
      <c r="I46">
        <v>0</v>
      </c>
      <c r="J46">
        <v>0</v>
      </c>
      <c r="K46">
        <v>100</v>
      </c>
      <c r="L46" t="s">
        <v>738</v>
      </c>
      <c r="M46" s="6" t="s">
        <v>739</v>
      </c>
      <c r="N46">
        <v>920</v>
      </c>
      <c r="O46">
        <v>120</v>
      </c>
      <c r="P46">
        <v>10</v>
      </c>
      <c r="Q46">
        <v>10</v>
      </c>
      <c r="R46">
        <v>0</v>
      </c>
      <c r="S46">
        <f t="shared" si="0"/>
        <v>1</v>
      </c>
      <c r="T46">
        <f t="shared" si="3"/>
        <v>20</v>
      </c>
      <c r="U46">
        <f t="shared" si="4"/>
        <v>102004</v>
      </c>
      <c r="V46" t="e">
        <f>VLOOKUP($A46,精英副本客户端!$A$2:$O$406,10,0)</f>
        <v>#N/A</v>
      </c>
      <c r="W46" t="e">
        <f>VLOOKUP($A46,精英副本客户端!$A$2:$O$406,11,0)</f>
        <v>#N/A</v>
      </c>
      <c r="X46" t="e">
        <f>VLOOKUP($A46,精英副本客户端!$A$2:$O$406,12,0)</f>
        <v>#N/A</v>
      </c>
      <c r="Y46" t="str">
        <f t="shared" si="1"/>
        <v>力量试炼（20）</v>
      </c>
    </row>
    <row r="47" spans="1:25">
      <c r="A47">
        <f t="shared" si="5"/>
        <v>102006</v>
      </c>
      <c r="B47" t="s">
        <v>1044</v>
      </c>
      <c r="C47">
        <v>0</v>
      </c>
      <c r="D47">
        <v>0</v>
      </c>
      <c r="E47" t="str">
        <f t="shared" si="2"/>
        <v>1020061_1</v>
      </c>
      <c r="F47" t="s">
        <v>213</v>
      </c>
      <c r="G47">
        <v>0</v>
      </c>
      <c r="H47">
        <v>0</v>
      </c>
      <c r="I47">
        <v>0</v>
      </c>
      <c r="J47">
        <v>0</v>
      </c>
      <c r="K47">
        <v>100</v>
      </c>
      <c r="L47" t="s">
        <v>738</v>
      </c>
      <c r="M47" s="6" t="s">
        <v>739</v>
      </c>
      <c r="N47">
        <v>920</v>
      </c>
      <c r="O47">
        <v>120</v>
      </c>
      <c r="P47">
        <v>10</v>
      </c>
      <c r="Q47">
        <v>10</v>
      </c>
      <c r="R47">
        <v>0</v>
      </c>
      <c r="S47">
        <f t="shared" si="0"/>
        <v>1</v>
      </c>
      <c r="T47">
        <f t="shared" si="3"/>
        <v>20</v>
      </c>
      <c r="U47">
        <f t="shared" si="4"/>
        <v>102005</v>
      </c>
      <c r="V47" t="e">
        <f>VLOOKUP($A47,精英副本客户端!$A$2:$O$406,10,0)</f>
        <v>#N/A</v>
      </c>
      <c r="W47" t="e">
        <f>VLOOKUP($A47,精英副本客户端!$A$2:$O$406,11,0)</f>
        <v>#N/A</v>
      </c>
      <c r="X47" t="e">
        <f>VLOOKUP($A47,精英副本客户端!$A$2:$O$406,12,0)</f>
        <v>#N/A</v>
      </c>
      <c r="Y47" t="str">
        <f t="shared" si="1"/>
        <v>力量试炼（20）</v>
      </c>
    </row>
    <row r="48" spans="1:25">
      <c r="A48">
        <f t="shared" si="5"/>
        <v>102007</v>
      </c>
      <c r="B48" t="s">
        <v>1045</v>
      </c>
      <c r="C48">
        <v>0</v>
      </c>
      <c r="D48">
        <v>0</v>
      </c>
      <c r="E48" t="str">
        <f t="shared" si="2"/>
        <v>1020071_1</v>
      </c>
      <c r="F48" t="s">
        <v>213</v>
      </c>
      <c r="G48">
        <v>0</v>
      </c>
      <c r="H48">
        <v>0</v>
      </c>
      <c r="I48">
        <v>0</v>
      </c>
      <c r="J48">
        <v>0</v>
      </c>
      <c r="K48">
        <v>100</v>
      </c>
      <c r="L48" t="s">
        <v>738</v>
      </c>
      <c r="M48" s="6" t="s">
        <v>739</v>
      </c>
      <c r="N48">
        <v>920</v>
      </c>
      <c r="O48">
        <v>120</v>
      </c>
      <c r="P48">
        <v>10</v>
      </c>
      <c r="Q48">
        <v>10</v>
      </c>
      <c r="R48">
        <v>0</v>
      </c>
      <c r="S48">
        <f t="shared" si="0"/>
        <v>1</v>
      </c>
      <c r="T48">
        <f t="shared" si="3"/>
        <v>20</v>
      </c>
      <c r="U48">
        <f t="shared" si="4"/>
        <v>102006</v>
      </c>
      <c r="V48" t="e">
        <f>VLOOKUP($A48,精英副本客户端!$A$2:$O$406,10,0)</f>
        <v>#N/A</v>
      </c>
      <c r="W48" t="e">
        <f>VLOOKUP($A48,精英副本客户端!$A$2:$O$406,11,0)</f>
        <v>#N/A</v>
      </c>
      <c r="X48" t="e">
        <f>VLOOKUP($A48,精英副本客户端!$A$2:$O$406,12,0)</f>
        <v>#N/A</v>
      </c>
      <c r="Y48" t="str">
        <f t="shared" si="1"/>
        <v>力量试炼（20）</v>
      </c>
    </row>
    <row r="49" spans="1:25">
      <c r="A49">
        <f t="shared" si="5"/>
        <v>102008</v>
      </c>
      <c r="B49" t="s">
        <v>1046</v>
      </c>
      <c r="C49">
        <v>0</v>
      </c>
      <c r="D49">
        <v>0</v>
      </c>
      <c r="E49" t="str">
        <f t="shared" si="2"/>
        <v>1020081_1</v>
      </c>
      <c r="F49" t="s">
        <v>213</v>
      </c>
      <c r="G49">
        <v>0</v>
      </c>
      <c r="H49">
        <v>0</v>
      </c>
      <c r="I49">
        <v>0</v>
      </c>
      <c r="J49">
        <v>0</v>
      </c>
      <c r="K49">
        <v>100</v>
      </c>
      <c r="L49" t="s">
        <v>738</v>
      </c>
      <c r="M49" s="6" t="s">
        <v>739</v>
      </c>
      <c r="N49">
        <v>920</v>
      </c>
      <c r="O49">
        <v>120</v>
      </c>
      <c r="P49">
        <v>10</v>
      </c>
      <c r="Q49">
        <v>10</v>
      </c>
      <c r="R49">
        <v>0</v>
      </c>
      <c r="S49">
        <f t="shared" si="0"/>
        <v>1</v>
      </c>
      <c r="T49">
        <f t="shared" si="3"/>
        <v>20</v>
      </c>
      <c r="U49">
        <f t="shared" si="4"/>
        <v>102007</v>
      </c>
      <c r="V49" t="e">
        <f>VLOOKUP($A49,精英副本客户端!$A$2:$O$406,10,0)</f>
        <v>#N/A</v>
      </c>
      <c r="W49" t="e">
        <f>VLOOKUP($A49,精英副本客户端!$A$2:$O$406,11,0)</f>
        <v>#N/A</v>
      </c>
      <c r="X49" t="e">
        <f>VLOOKUP($A49,精英副本客户端!$A$2:$O$406,12,0)</f>
        <v>#N/A</v>
      </c>
      <c r="Y49" t="str">
        <f t="shared" si="1"/>
        <v>力量试炼（20）</v>
      </c>
    </row>
    <row r="50" spans="1:25">
      <c r="A50">
        <f t="shared" si="5"/>
        <v>102009</v>
      </c>
      <c r="B50" t="s">
        <v>1047</v>
      </c>
      <c r="C50">
        <v>0</v>
      </c>
      <c r="D50">
        <v>0</v>
      </c>
      <c r="E50" t="str">
        <f t="shared" si="2"/>
        <v>1020091_1</v>
      </c>
      <c r="F50" t="s">
        <v>213</v>
      </c>
      <c r="G50">
        <v>0</v>
      </c>
      <c r="H50">
        <v>0</v>
      </c>
      <c r="I50">
        <v>0</v>
      </c>
      <c r="J50">
        <v>0</v>
      </c>
      <c r="K50">
        <v>100</v>
      </c>
      <c r="L50" t="s">
        <v>738</v>
      </c>
      <c r="M50" s="6" t="s">
        <v>739</v>
      </c>
      <c r="N50">
        <v>920</v>
      </c>
      <c r="O50">
        <v>120</v>
      </c>
      <c r="P50">
        <v>10</v>
      </c>
      <c r="Q50">
        <v>10</v>
      </c>
      <c r="R50">
        <v>0</v>
      </c>
      <c r="S50">
        <f t="shared" si="0"/>
        <v>1</v>
      </c>
      <c r="T50">
        <f t="shared" si="3"/>
        <v>20</v>
      </c>
      <c r="U50">
        <f t="shared" si="4"/>
        <v>102008</v>
      </c>
      <c r="V50" t="e">
        <f>VLOOKUP($A50,精英副本客户端!$A$2:$O$406,10,0)</f>
        <v>#N/A</v>
      </c>
      <c r="W50" t="e">
        <f>VLOOKUP($A50,精英副本客户端!$A$2:$O$406,11,0)</f>
        <v>#N/A</v>
      </c>
      <c r="X50" t="e">
        <f>VLOOKUP($A50,精英副本客户端!$A$2:$O$406,12,0)</f>
        <v>#N/A</v>
      </c>
      <c r="Y50" t="str">
        <f t="shared" si="1"/>
        <v>力量试炼（20）</v>
      </c>
    </row>
    <row r="51" spans="1:25">
      <c r="A51">
        <f t="shared" si="5"/>
        <v>102501</v>
      </c>
      <c r="B51" t="s">
        <v>1039</v>
      </c>
      <c r="C51">
        <v>0</v>
      </c>
      <c r="D51">
        <v>0</v>
      </c>
      <c r="E51" t="str">
        <f t="shared" si="2"/>
        <v>1025011_1</v>
      </c>
      <c r="F51" t="s">
        <v>213</v>
      </c>
      <c r="G51">
        <v>0</v>
      </c>
      <c r="H51">
        <v>0</v>
      </c>
      <c r="I51">
        <v>0</v>
      </c>
      <c r="J51">
        <v>0</v>
      </c>
      <c r="K51">
        <v>100</v>
      </c>
      <c r="L51" t="s">
        <v>738</v>
      </c>
      <c r="M51" s="6" t="s">
        <v>739</v>
      </c>
      <c r="N51">
        <v>920</v>
      </c>
      <c r="O51">
        <v>120</v>
      </c>
      <c r="P51">
        <v>10</v>
      </c>
      <c r="Q51">
        <v>10</v>
      </c>
      <c r="R51">
        <v>0</v>
      </c>
      <c r="S51">
        <f t="shared" si="0"/>
        <v>1</v>
      </c>
      <c r="T51">
        <f t="shared" si="3"/>
        <v>25</v>
      </c>
      <c r="U51">
        <f t="shared" si="4"/>
        <v>102009</v>
      </c>
      <c r="V51" t="e">
        <f>VLOOKUP($A51,精英副本客户端!$A$2:$O$406,10,0)</f>
        <v>#N/A</v>
      </c>
      <c r="W51" t="e">
        <f>VLOOKUP($A51,精英副本客户端!$A$2:$O$406,11,0)</f>
        <v>#N/A</v>
      </c>
      <c r="X51" t="e">
        <f>VLOOKUP($A51,精英副本客户端!$A$2:$O$406,12,0)</f>
        <v>#N/A</v>
      </c>
      <c r="Y51" t="str">
        <f t="shared" si="1"/>
        <v>力量试炼（25）</v>
      </c>
    </row>
    <row r="52" spans="1:25">
      <c r="A52">
        <f t="shared" si="5"/>
        <v>102502</v>
      </c>
      <c r="B52" t="s">
        <v>1040</v>
      </c>
      <c r="C52">
        <v>0</v>
      </c>
      <c r="D52">
        <v>0</v>
      </c>
      <c r="E52" t="str">
        <f t="shared" si="2"/>
        <v>1025021_1</v>
      </c>
      <c r="F52" t="s">
        <v>213</v>
      </c>
      <c r="G52">
        <v>0</v>
      </c>
      <c r="H52">
        <v>0</v>
      </c>
      <c r="I52">
        <v>0</v>
      </c>
      <c r="J52">
        <v>0</v>
      </c>
      <c r="K52">
        <v>100</v>
      </c>
      <c r="L52" t="s">
        <v>738</v>
      </c>
      <c r="M52" s="6" t="s">
        <v>739</v>
      </c>
      <c r="N52">
        <v>920</v>
      </c>
      <c r="O52">
        <v>120</v>
      </c>
      <c r="P52">
        <v>10</v>
      </c>
      <c r="Q52">
        <v>10</v>
      </c>
      <c r="R52">
        <v>0</v>
      </c>
      <c r="S52">
        <f t="shared" si="0"/>
        <v>1</v>
      </c>
      <c r="T52">
        <f t="shared" si="3"/>
        <v>25</v>
      </c>
      <c r="U52">
        <f t="shared" si="4"/>
        <v>102501</v>
      </c>
      <c r="V52" t="e">
        <f>VLOOKUP($A52,精英副本客户端!$A$2:$O$406,10,0)</f>
        <v>#N/A</v>
      </c>
      <c r="W52" t="e">
        <f>VLOOKUP($A52,精英副本客户端!$A$2:$O$406,11,0)</f>
        <v>#N/A</v>
      </c>
      <c r="X52" t="e">
        <f>VLOOKUP($A52,精英副本客户端!$A$2:$O$406,12,0)</f>
        <v>#N/A</v>
      </c>
      <c r="Y52" t="str">
        <f t="shared" si="1"/>
        <v>力量试炼（25）</v>
      </c>
    </row>
    <row r="53" spans="1:25">
      <c r="A53">
        <f t="shared" si="5"/>
        <v>102503</v>
      </c>
      <c r="B53" t="s">
        <v>1041</v>
      </c>
      <c r="C53">
        <v>0</v>
      </c>
      <c r="D53">
        <v>0</v>
      </c>
      <c r="E53" t="str">
        <f t="shared" si="2"/>
        <v>1025031_1</v>
      </c>
      <c r="F53" t="s">
        <v>213</v>
      </c>
      <c r="G53">
        <v>0</v>
      </c>
      <c r="H53">
        <v>0</v>
      </c>
      <c r="I53">
        <v>0</v>
      </c>
      <c r="J53">
        <v>0</v>
      </c>
      <c r="K53">
        <v>100</v>
      </c>
      <c r="L53" t="s">
        <v>738</v>
      </c>
      <c r="M53" s="6" t="s">
        <v>739</v>
      </c>
      <c r="N53">
        <v>920</v>
      </c>
      <c r="O53">
        <v>120</v>
      </c>
      <c r="P53">
        <v>10</v>
      </c>
      <c r="Q53">
        <v>10</v>
      </c>
      <c r="R53">
        <v>0</v>
      </c>
      <c r="S53">
        <f t="shared" si="0"/>
        <v>1</v>
      </c>
      <c r="T53">
        <f t="shared" si="3"/>
        <v>25</v>
      </c>
      <c r="U53">
        <f t="shared" si="4"/>
        <v>102502</v>
      </c>
      <c r="V53" t="e">
        <f>VLOOKUP($A53,精英副本客户端!$A$2:$O$406,10,0)</f>
        <v>#N/A</v>
      </c>
      <c r="W53" t="e">
        <f>VLOOKUP($A53,精英副本客户端!$A$2:$O$406,11,0)</f>
        <v>#N/A</v>
      </c>
      <c r="X53" t="e">
        <f>VLOOKUP($A53,精英副本客户端!$A$2:$O$406,12,0)</f>
        <v>#N/A</v>
      </c>
      <c r="Y53" t="str">
        <f t="shared" si="1"/>
        <v>力量试炼（25）</v>
      </c>
    </row>
    <row r="54" spans="1:25">
      <c r="A54">
        <f t="shared" si="5"/>
        <v>102504</v>
      </c>
      <c r="B54" t="s">
        <v>1042</v>
      </c>
      <c r="C54">
        <v>0</v>
      </c>
      <c r="D54">
        <v>0</v>
      </c>
      <c r="E54" t="str">
        <f t="shared" si="2"/>
        <v>1025041_1</v>
      </c>
      <c r="F54" t="s">
        <v>213</v>
      </c>
      <c r="G54">
        <v>0</v>
      </c>
      <c r="H54">
        <v>0</v>
      </c>
      <c r="I54">
        <v>0</v>
      </c>
      <c r="J54">
        <v>0</v>
      </c>
      <c r="K54">
        <v>100</v>
      </c>
      <c r="L54" t="s">
        <v>738</v>
      </c>
      <c r="M54" s="6" t="s">
        <v>739</v>
      </c>
      <c r="N54">
        <v>920</v>
      </c>
      <c r="O54">
        <v>120</v>
      </c>
      <c r="P54">
        <v>10</v>
      </c>
      <c r="Q54">
        <v>10</v>
      </c>
      <c r="R54">
        <v>0</v>
      </c>
      <c r="S54">
        <f t="shared" si="0"/>
        <v>1</v>
      </c>
      <c r="T54">
        <f t="shared" si="3"/>
        <v>25</v>
      </c>
      <c r="U54">
        <f t="shared" si="4"/>
        <v>102503</v>
      </c>
      <c r="V54" t="e">
        <f>VLOOKUP($A54,精英副本客户端!$A$2:$O$406,10,0)</f>
        <v>#N/A</v>
      </c>
      <c r="W54" t="e">
        <f>VLOOKUP($A54,精英副本客户端!$A$2:$O$406,11,0)</f>
        <v>#N/A</v>
      </c>
      <c r="X54" t="e">
        <f>VLOOKUP($A54,精英副本客户端!$A$2:$O$406,12,0)</f>
        <v>#N/A</v>
      </c>
      <c r="Y54" t="str">
        <f t="shared" si="1"/>
        <v>力量试炼（25）</v>
      </c>
    </row>
    <row r="55" spans="1:25">
      <c r="A55">
        <f t="shared" si="5"/>
        <v>102505</v>
      </c>
      <c r="B55" t="s">
        <v>1043</v>
      </c>
      <c r="C55">
        <v>0</v>
      </c>
      <c r="D55">
        <v>0</v>
      </c>
      <c r="E55" t="str">
        <f t="shared" si="2"/>
        <v>1025051_1</v>
      </c>
      <c r="F55" t="s">
        <v>213</v>
      </c>
      <c r="G55">
        <v>0</v>
      </c>
      <c r="H55">
        <v>0</v>
      </c>
      <c r="I55">
        <v>0</v>
      </c>
      <c r="J55">
        <v>0</v>
      </c>
      <c r="K55">
        <v>100</v>
      </c>
      <c r="L55" t="s">
        <v>738</v>
      </c>
      <c r="M55" s="6" t="s">
        <v>739</v>
      </c>
      <c r="N55">
        <v>920</v>
      </c>
      <c r="O55">
        <v>120</v>
      </c>
      <c r="P55">
        <v>10</v>
      </c>
      <c r="Q55">
        <v>10</v>
      </c>
      <c r="R55">
        <v>0</v>
      </c>
      <c r="S55">
        <f t="shared" si="0"/>
        <v>1</v>
      </c>
      <c r="T55">
        <f t="shared" si="3"/>
        <v>25</v>
      </c>
      <c r="U55">
        <f t="shared" si="4"/>
        <v>102504</v>
      </c>
      <c r="V55" t="e">
        <f>VLOOKUP($A55,精英副本客户端!$A$2:$O$406,10,0)</f>
        <v>#N/A</v>
      </c>
      <c r="W55" t="e">
        <f>VLOOKUP($A55,精英副本客户端!$A$2:$O$406,11,0)</f>
        <v>#N/A</v>
      </c>
      <c r="X55" t="e">
        <f>VLOOKUP($A55,精英副本客户端!$A$2:$O$406,12,0)</f>
        <v>#N/A</v>
      </c>
      <c r="Y55" t="str">
        <f t="shared" si="1"/>
        <v>力量试炼（25）</v>
      </c>
    </row>
    <row r="56" spans="1:25">
      <c r="A56">
        <f t="shared" si="5"/>
        <v>102506</v>
      </c>
      <c r="B56" t="s">
        <v>1044</v>
      </c>
      <c r="C56">
        <v>0</v>
      </c>
      <c r="D56">
        <v>0</v>
      </c>
      <c r="E56" t="str">
        <f t="shared" si="2"/>
        <v>1025061_1</v>
      </c>
      <c r="F56" t="s">
        <v>213</v>
      </c>
      <c r="G56">
        <v>0</v>
      </c>
      <c r="H56">
        <v>0</v>
      </c>
      <c r="I56">
        <v>0</v>
      </c>
      <c r="J56">
        <v>0</v>
      </c>
      <c r="K56">
        <v>100</v>
      </c>
      <c r="L56" t="s">
        <v>738</v>
      </c>
      <c r="M56" s="6" t="s">
        <v>739</v>
      </c>
      <c r="N56">
        <v>920</v>
      </c>
      <c r="O56">
        <v>120</v>
      </c>
      <c r="P56">
        <v>10</v>
      </c>
      <c r="Q56">
        <v>10</v>
      </c>
      <c r="R56">
        <v>0</v>
      </c>
      <c r="S56">
        <f t="shared" si="0"/>
        <v>1</v>
      </c>
      <c r="T56">
        <f t="shared" si="3"/>
        <v>25</v>
      </c>
      <c r="U56">
        <f t="shared" si="4"/>
        <v>102505</v>
      </c>
      <c r="V56" t="e">
        <f>VLOOKUP($A56,精英副本客户端!$A$2:$O$406,10,0)</f>
        <v>#N/A</v>
      </c>
      <c r="W56" t="e">
        <f>VLOOKUP($A56,精英副本客户端!$A$2:$O$406,11,0)</f>
        <v>#N/A</v>
      </c>
      <c r="X56" t="e">
        <f>VLOOKUP($A56,精英副本客户端!$A$2:$O$406,12,0)</f>
        <v>#N/A</v>
      </c>
      <c r="Y56" t="str">
        <f t="shared" si="1"/>
        <v>力量试炼（25）</v>
      </c>
    </row>
    <row r="57" spans="1:25">
      <c r="A57">
        <f t="shared" si="5"/>
        <v>102507</v>
      </c>
      <c r="B57" t="s">
        <v>1045</v>
      </c>
      <c r="C57">
        <v>0</v>
      </c>
      <c r="D57">
        <v>0</v>
      </c>
      <c r="E57" t="str">
        <f t="shared" si="2"/>
        <v>1025071_1</v>
      </c>
      <c r="F57" t="s">
        <v>213</v>
      </c>
      <c r="G57">
        <v>0</v>
      </c>
      <c r="H57">
        <v>0</v>
      </c>
      <c r="I57">
        <v>0</v>
      </c>
      <c r="J57">
        <v>0</v>
      </c>
      <c r="K57">
        <v>100</v>
      </c>
      <c r="L57" t="s">
        <v>738</v>
      </c>
      <c r="M57" s="6" t="s">
        <v>739</v>
      </c>
      <c r="N57">
        <v>920</v>
      </c>
      <c r="O57">
        <v>120</v>
      </c>
      <c r="P57">
        <v>10</v>
      </c>
      <c r="Q57">
        <v>10</v>
      </c>
      <c r="R57">
        <v>0</v>
      </c>
      <c r="S57">
        <f t="shared" si="0"/>
        <v>1</v>
      </c>
      <c r="T57">
        <f t="shared" si="3"/>
        <v>25</v>
      </c>
      <c r="U57">
        <f t="shared" si="4"/>
        <v>102506</v>
      </c>
      <c r="V57" t="e">
        <f>VLOOKUP($A57,精英副本客户端!$A$2:$O$406,10,0)</f>
        <v>#N/A</v>
      </c>
      <c r="W57" t="e">
        <f>VLOOKUP($A57,精英副本客户端!$A$2:$O$406,11,0)</f>
        <v>#N/A</v>
      </c>
      <c r="X57" t="e">
        <f>VLOOKUP($A57,精英副本客户端!$A$2:$O$406,12,0)</f>
        <v>#N/A</v>
      </c>
      <c r="Y57" t="str">
        <f t="shared" si="1"/>
        <v>力量试炼（25）</v>
      </c>
    </row>
    <row r="58" spans="1:25">
      <c r="A58">
        <f t="shared" si="5"/>
        <v>102508</v>
      </c>
      <c r="B58" t="s">
        <v>1046</v>
      </c>
      <c r="C58">
        <v>0</v>
      </c>
      <c r="D58">
        <v>0</v>
      </c>
      <c r="E58" t="str">
        <f t="shared" si="2"/>
        <v>1025081_1</v>
      </c>
      <c r="F58" t="s">
        <v>213</v>
      </c>
      <c r="G58">
        <v>0</v>
      </c>
      <c r="H58">
        <v>0</v>
      </c>
      <c r="I58">
        <v>0</v>
      </c>
      <c r="J58">
        <v>0</v>
      </c>
      <c r="K58">
        <v>100</v>
      </c>
      <c r="L58" t="s">
        <v>738</v>
      </c>
      <c r="M58" s="6" t="s">
        <v>739</v>
      </c>
      <c r="N58">
        <v>920</v>
      </c>
      <c r="O58">
        <v>120</v>
      </c>
      <c r="P58">
        <v>10</v>
      </c>
      <c r="Q58">
        <v>10</v>
      </c>
      <c r="R58">
        <v>0</v>
      </c>
      <c r="S58">
        <f t="shared" si="0"/>
        <v>1</v>
      </c>
      <c r="T58">
        <f t="shared" si="3"/>
        <v>25</v>
      </c>
      <c r="U58">
        <f t="shared" si="4"/>
        <v>102507</v>
      </c>
      <c r="V58" t="e">
        <f>VLOOKUP($A58,精英副本客户端!$A$2:$O$406,10,0)</f>
        <v>#N/A</v>
      </c>
      <c r="W58" t="e">
        <f>VLOOKUP($A58,精英副本客户端!$A$2:$O$406,11,0)</f>
        <v>#N/A</v>
      </c>
      <c r="X58" t="e">
        <f>VLOOKUP($A58,精英副本客户端!$A$2:$O$406,12,0)</f>
        <v>#N/A</v>
      </c>
      <c r="Y58" t="str">
        <f t="shared" si="1"/>
        <v>力量试炼（25）</v>
      </c>
    </row>
    <row r="59" spans="1:25">
      <c r="A59">
        <f t="shared" si="5"/>
        <v>102509</v>
      </c>
      <c r="B59" t="s">
        <v>1047</v>
      </c>
      <c r="C59">
        <v>0</v>
      </c>
      <c r="D59">
        <v>0</v>
      </c>
      <c r="E59" t="str">
        <f t="shared" si="2"/>
        <v>1025091_1</v>
      </c>
      <c r="F59" t="s">
        <v>213</v>
      </c>
      <c r="G59">
        <v>0</v>
      </c>
      <c r="H59">
        <v>0</v>
      </c>
      <c r="I59">
        <v>0</v>
      </c>
      <c r="J59">
        <v>0</v>
      </c>
      <c r="K59">
        <v>100</v>
      </c>
      <c r="L59" t="s">
        <v>738</v>
      </c>
      <c r="M59" s="6" t="s">
        <v>739</v>
      </c>
      <c r="N59">
        <v>920</v>
      </c>
      <c r="O59">
        <v>120</v>
      </c>
      <c r="P59">
        <v>10</v>
      </c>
      <c r="Q59">
        <v>10</v>
      </c>
      <c r="R59">
        <v>0</v>
      </c>
      <c r="S59">
        <f t="shared" si="0"/>
        <v>1</v>
      </c>
      <c r="T59">
        <f t="shared" si="3"/>
        <v>25</v>
      </c>
      <c r="U59">
        <f t="shared" si="4"/>
        <v>102508</v>
      </c>
      <c r="V59" t="e">
        <f>VLOOKUP($A59,精英副本客户端!$A$2:$O$406,10,0)</f>
        <v>#N/A</v>
      </c>
      <c r="W59" t="e">
        <f>VLOOKUP($A59,精英副本客户端!$A$2:$O$406,11,0)</f>
        <v>#N/A</v>
      </c>
      <c r="X59" t="e">
        <f>VLOOKUP($A59,精英副本客户端!$A$2:$O$406,12,0)</f>
        <v>#N/A</v>
      </c>
      <c r="Y59" t="str">
        <f t="shared" si="1"/>
        <v>力量试炼（25）</v>
      </c>
    </row>
    <row r="60" spans="1:25">
      <c r="A60">
        <f t="shared" ref="A60:A68" si="6">A51+500</f>
        <v>103001</v>
      </c>
      <c r="B60" t="s">
        <v>1039</v>
      </c>
      <c r="C60">
        <v>0</v>
      </c>
      <c r="D60">
        <v>0</v>
      </c>
      <c r="E60" t="str">
        <f t="shared" si="2"/>
        <v>1030011_1</v>
      </c>
      <c r="F60" t="s">
        <v>213</v>
      </c>
      <c r="G60">
        <v>0</v>
      </c>
      <c r="H60">
        <v>0</v>
      </c>
      <c r="I60">
        <v>0</v>
      </c>
      <c r="J60">
        <v>0</v>
      </c>
      <c r="K60">
        <v>100</v>
      </c>
      <c r="L60" t="s">
        <v>738</v>
      </c>
      <c r="M60" s="6" t="s">
        <v>739</v>
      </c>
      <c r="N60">
        <v>920</v>
      </c>
      <c r="O60">
        <v>120</v>
      </c>
      <c r="P60">
        <v>10</v>
      </c>
      <c r="Q60">
        <v>10</v>
      </c>
      <c r="R60">
        <v>0</v>
      </c>
      <c r="S60">
        <f t="shared" si="0"/>
        <v>1</v>
      </c>
      <c r="T60">
        <f t="shared" si="3"/>
        <v>30</v>
      </c>
      <c r="U60">
        <f t="shared" si="4"/>
        <v>102509</v>
      </c>
      <c r="V60">
        <f>VLOOKUP($A60,精英副本客户端!$A$2:$O$406,10,0)</f>
        <v>30</v>
      </c>
      <c r="W60">
        <f>VLOOKUP($A60,精英副本客户端!$A$2:$O$406,11,0)</f>
        <v>0</v>
      </c>
      <c r="X60">
        <f>VLOOKUP($A60,精英副本客户端!$A$2:$O$406,12,0)</f>
        <v>1</v>
      </c>
      <c r="Y60" t="str">
        <f>"力量试炼（"&amp;MID(A60,2,3)*1&amp;"）"</f>
        <v>力量试炼（30）</v>
      </c>
    </row>
    <row r="61" spans="1:25">
      <c r="A61">
        <f t="shared" si="6"/>
        <v>103002</v>
      </c>
      <c r="B61" t="s">
        <v>1040</v>
      </c>
      <c r="C61">
        <v>0</v>
      </c>
      <c r="D61">
        <v>0</v>
      </c>
      <c r="E61" t="str">
        <f t="shared" si="2"/>
        <v>1030021_1</v>
      </c>
      <c r="F61" t="s">
        <v>213</v>
      </c>
      <c r="G61">
        <v>0</v>
      </c>
      <c r="H61">
        <v>0</v>
      </c>
      <c r="I61">
        <v>0</v>
      </c>
      <c r="J61">
        <v>0</v>
      </c>
      <c r="K61">
        <v>100</v>
      </c>
      <c r="L61" t="s">
        <v>738</v>
      </c>
      <c r="M61" s="6" t="s">
        <v>739</v>
      </c>
      <c r="N61">
        <v>920</v>
      </c>
      <c r="O61">
        <v>120</v>
      </c>
      <c r="P61">
        <v>10</v>
      </c>
      <c r="Q61">
        <v>10</v>
      </c>
      <c r="R61">
        <v>0</v>
      </c>
      <c r="S61">
        <f t="shared" si="0"/>
        <v>1</v>
      </c>
      <c r="T61">
        <f t="shared" si="3"/>
        <v>30</v>
      </c>
      <c r="U61">
        <f t="shared" si="4"/>
        <v>103001</v>
      </c>
      <c r="V61">
        <f>VLOOKUP($A61,精英副本客户端!$A$2:$O$406,10,0)</f>
        <v>30</v>
      </c>
      <c r="W61">
        <f>VLOOKUP($A61,精英副本客户端!$A$2:$O$406,11,0)</f>
        <v>0</v>
      </c>
      <c r="X61">
        <f>VLOOKUP($A61,精英副本客户端!$A$2:$O$406,12,0)</f>
        <v>1</v>
      </c>
      <c r="Y61" t="str">
        <f t="shared" ref="Y61:Y113" si="7">"力量试炼（"&amp;MID(A61,2,3)*1&amp;"）"</f>
        <v>力量试炼（30）</v>
      </c>
    </row>
    <row r="62" spans="1:25">
      <c r="A62">
        <f t="shared" si="6"/>
        <v>103003</v>
      </c>
      <c r="B62" t="s">
        <v>1041</v>
      </c>
      <c r="C62">
        <v>0</v>
      </c>
      <c r="D62">
        <v>0</v>
      </c>
      <c r="E62" t="str">
        <f t="shared" si="2"/>
        <v>1030031_1</v>
      </c>
      <c r="F62" t="s">
        <v>213</v>
      </c>
      <c r="G62">
        <v>0</v>
      </c>
      <c r="H62">
        <v>0</v>
      </c>
      <c r="I62">
        <v>0</v>
      </c>
      <c r="J62">
        <v>0</v>
      </c>
      <c r="K62">
        <v>100</v>
      </c>
      <c r="L62" t="s">
        <v>738</v>
      </c>
      <c r="M62" s="6" t="s">
        <v>739</v>
      </c>
      <c r="N62">
        <v>920</v>
      </c>
      <c r="O62">
        <v>120</v>
      </c>
      <c r="P62">
        <v>10</v>
      </c>
      <c r="Q62">
        <v>10</v>
      </c>
      <c r="R62">
        <v>0</v>
      </c>
      <c r="S62">
        <f t="shared" si="0"/>
        <v>1</v>
      </c>
      <c r="T62">
        <f t="shared" si="3"/>
        <v>30</v>
      </c>
      <c r="U62">
        <f t="shared" si="4"/>
        <v>103002</v>
      </c>
      <c r="V62">
        <f>VLOOKUP($A62,精英副本客户端!$A$2:$O$406,10,0)</f>
        <v>31</v>
      </c>
      <c r="W62">
        <f>VLOOKUP($A62,精英副本客户端!$A$2:$O$406,11,0)</f>
        <v>1</v>
      </c>
      <c r="X62">
        <f>VLOOKUP($A62,精英副本客户端!$A$2:$O$406,12,0)</f>
        <v>5</v>
      </c>
      <c r="Y62" t="str">
        <f t="shared" si="7"/>
        <v>力量试炼（30）</v>
      </c>
    </row>
    <row r="63" spans="1:25">
      <c r="A63">
        <f t="shared" si="6"/>
        <v>103004</v>
      </c>
      <c r="B63" t="s">
        <v>1042</v>
      </c>
      <c r="C63">
        <v>0</v>
      </c>
      <c r="D63">
        <v>0</v>
      </c>
      <c r="E63" t="str">
        <f t="shared" si="2"/>
        <v>1030041_1</v>
      </c>
      <c r="F63" t="s">
        <v>213</v>
      </c>
      <c r="G63">
        <v>0</v>
      </c>
      <c r="H63">
        <v>0</v>
      </c>
      <c r="I63">
        <v>0</v>
      </c>
      <c r="J63">
        <v>0</v>
      </c>
      <c r="K63">
        <v>100</v>
      </c>
      <c r="L63" t="s">
        <v>738</v>
      </c>
      <c r="M63" s="6" t="s">
        <v>739</v>
      </c>
      <c r="N63">
        <v>920</v>
      </c>
      <c r="O63">
        <v>120</v>
      </c>
      <c r="P63">
        <v>10</v>
      </c>
      <c r="Q63">
        <v>10</v>
      </c>
      <c r="R63">
        <v>0</v>
      </c>
      <c r="S63">
        <f t="shared" si="0"/>
        <v>1</v>
      </c>
      <c r="T63">
        <f t="shared" si="3"/>
        <v>30</v>
      </c>
      <c r="U63">
        <f t="shared" si="4"/>
        <v>103003</v>
      </c>
      <c r="V63">
        <f>VLOOKUP($A63,精英副本客户端!$A$2:$O$406,10,0)</f>
        <v>31</v>
      </c>
      <c r="W63">
        <f>VLOOKUP($A63,精英副本客户端!$A$2:$O$406,11,0)</f>
        <v>0</v>
      </c>
      <c r="X63">
        <f>VLOOKUP($A63,精英副本客户端!$A$2:$O$406,12,0)</f>
        <v>1</v>
      </c>
      <c r="Y63" t="str">
        <f t="shared" si="7"/>
        <v>力量试炼（30）</v>
      </c>
    </row>
    <row r="64" spans="1:25">
      <c r="A64">
        <f t="shared" si="6"/>
        <v>103005</v>
      </c>
      <c r="B64" t="s">
        <v>1043</v>
      </c>
      <c r="C64">
        <v>0</v>
      </c>
      <c r="D64">
        <v>0</v>
      </c>
      <c r="E64" t="str">
        <f t="shared" si="2"/>
        <v>1030051_1</v>
      </c>
      <c r="F64" t="s">
        <v>213</v>
      </c>
      <c r="G64">
        <v>0</v>
      </c>
      <c r="H64">
        <v>0</v>
      </c>
      <c r="I64">
        <v>0</v>
      </c>
      <c r="J64">
        <v>0</v>
      </c>
      <c r="K64">
        <v>100</v>
      </c>
      <c r="L64" t="s">
        <v>738</v>
      </c>
      <c r="M64" s="6" t="s">
        <v>739</v>
      </c>
      <c r="N64">
        <v>920</v>
      </c>
      <c r="O64">
        <v>120</v>
      </c>
      <c r="P64">
        <v>10</v>
      </c>
      <c r="Q64">
        <v>10</v>
      </c>
      <c r="R64">
        <v>0</v>
      </c>
      <c r="S64">
        <f t="shared" si="0"/>
        <v>1</v>
      </c>
      <c r="T64">
        <f t="shared" si="3"/>
        <v>30</v>
      </c>
      <c r="U64">
        <f t="shared" si="4"/>
        <v>103004</v>
      </c>
      <c r="V64">
        <f>VLOOKUP($A64,精英副本客户端!$A$2:$O$406,10,0)</f>
        <v>31</v>
      </c>
      <c r="W64">
        <f>VLOOKUP($A64,精英副本客户端!$A$2:$O$406,11,0)</f>
        <v>0</v>
      </c>
      <c r="X64">
        <f>VLOOKUP($A64,精英副本客户端!$A$2:$O$406,12,0)</f>
        <v>1</v>
      </c>
      <c r="Y64" t="str">
        <f t="shared" si="7"/>
        <v>力量试炼（30）</v>
      </c>
    </row>
    <row r="65" spans="1:25">
      <c r="A65">
        <f t="shared" si="6"/>
        <v>103006</v>
      </c>
      <c r="B65" t="s">
        <v>1044</v>
      </c>
      <c r="C65">
        <v>0</v>
      </c>
      <c r="D65">
        <v>0</v>
      </c>
      <c r="E65" t="str">
        <f t="shared" si="2"/>
        <v>1030061_1</v>
      </c>
      <c r="F65" t="s">
        <v>213</v>
      </c>
      <c r="G65">
        <v>0</v>
      </c>
      <c r="H65">
        <v>0</v>
      </c>
      <c r="I65">
        <v>0</v>
      </c>
      <c r="J65">
        <v>0</v>
      </c>
      <c r="K65">
        <v>100</v>
      </c>
      <c r="L65" t="s">
        <v>738</v>
      </c>
      <c r="M65" s="6" t="s">
        <v>739</v>
      </c>
      <c r="N65">
        <v>920</v>
      </c>
      <c r="O65">
        <v>120</v>
      </c>
      <c r="P65">
        <v>10</v>
      </c>
      <c r="Q65">
        <v>10</v>
      </c>
      <c r="R65">
        <v>0</v>
      </c>
      <c r="S65">
        <f t="shared" si="0"/>
        <v>1</v>
      </c>
      <c r="T65">
        <f t="shared" si="3"/>
        <v>30</v>
      </c>
      <c r="U65">
        <f t="shared" si="4"/>
        <v>103005</v>
      </c>
      <c r="V65">
        <f>VLOOKUP($A65,精英副本客户端!$A$2:$O$406,10,0)</f>
        <v>32</v>
      </c>
      <c r="W65">
        <f>VLOOKUP($A65,精英副本客户端!$A$2:$O$406,11,0)</f>
        <v>1</v>
      </c>
      <c r="X65">
        <f>VLOOKUP($A65,精英副本客户端!$A$2:$O$406,12,0)</f>
        <v>5</v>
      </c>
      <c r="Y65" t="str">
        <f t="shared" si="7"/>
        <v>力量试炼（30）</v>
      </c>
    </row>
    <row r="66" spans="1:25">
      <c r="A66">
        <f t="shared" si="6"/>
        <v>103007</v>
      </c>
      <c r="B66" t="s">
        <v>1045</v>
      </c>
      <c r="C66">
        <v>0</v>
      </c>
      <c r="D66">
        <v>0</v>
      </c>
      <c r="E66" t="str">
        <f t="shared" si="2"/>
        <v>1030071_1</v>
      </c>
      <c r="F66" t="s">
        <v>213</v>
      </c>
      <c r="G66">
        <v>0</v>
      </c>
      <c r="H66">
        <v>0</v>
      </c>
      <c r="I66">
        <v>0</v>
      </c>
      <c r="J66">
        <v>0</v>
      </c>
      <c r="K66">
        <v>100</v>
      </c>
      <c r="L66" t="s">
        <v>738</v>
      </c>
      <c r="M66" s="6" t="s">
        <v>739</v>
      </c>
      <c r="N66">
        <v>920</v>
      </c>
      <c r="O66">
        <v>120</v>
      </c>
      <c r="P66">
        <v>10</v>
      </c>
      <c r="Q66">
        <v>10</v>
      </c>
      <c r="R66">
        <v>0</v>
      </c>
      <c r="S66">
        <f t="shared" si="0"/>
        <v>1</v>
      </c>
      <c r="T66">
        <f t="shared" si="3"/>
        <v>30</v>
      </c>
      <c r="U66">
        <f t="shared" si="4"/>
        <v>103006</v>
      </c>
      <c r="V66">
        <f>VLOOKUP($A66,精英副本客户端!$A$2:$O$406,10,0)</f>
        <v>32</v>
      </c>
      <c r="W66">
        <f>VLOOKUP($A66,精英副本客户端!$A$2:$O$406,11,0)</f>
        <v>0</v>
      </c>
      <c r="X66">
        <f>VLOOKUP($A66,精英副本客户端!$A$2:$O$406,12,0)</f>
        <v>1</v>
      </c>
      <c r="Y66" t="str">
        <f t="shared" si="7"/>
        <v>力量试炼（30）</v>
      </c>
    </row>
    <row r="67" spans="1:25">
      <c r="A67">
        <f t="shared" si="6"/>
        <v>103008</v>
      </c>
      <c r="B67" t="s">
        <v>1046</v>
      </c>
      <c r="C67">
        <v>0</v>
      </c>
      <c r="D67">
        <v>0</v>
      </c>
      <c r="E67" t="str">
        <f t="shared" si="2"/>
        <v>1030081_1</v>
      </c>
      <c r="F67" t="s">
        <v>213</v>
      </c>
      <c r="G67">
        <v>0</v>
      </c>
      <c r="H67">
        <v>0</v>
      </c>
      <c r="I67">
        <v>0</v>
      </c>
      <c r="J67">
        <v>0</v>
      </c>
      <c r="K67">
        <v>100</v>
      </c>
      <c r="L67" t="s">
        <v>738</v>
      </c>
      <c r="M67" s="6" t="s">
        <v>739</v>
      </c>
      <c r="N67">
        <v>920</v>
      </c>
      <c r="O67">
        <v>120</v>
      </c>
      <c r="P67">
        <v>10</v>
      </c>
      <c r="Q67">
        <v>10</v>
      </c>
      <c r="R67">
        <v>0</v>
      </c>
      <c r="S67">
        <f t="shared" si="0"/>
        <v>1</v>
      </c>
      <c r="T67">
        <f t="shared" si="3"/>
        <v>30</v>
      </c>
      <c r="U67">
        <f t="shared" si="4"/>
        <v>103007</v>
      </c>
      <c r="V67">
        <f>VLOOKUP($A67,精英副本客户端!$A$2:$O$406,10,0)</f>
        <v>33</v>
      </c>
      <c r="W67">
        <f>VLOOKUP($A67,精英副本客户端!$A$2:$O$406,11,0)</f>
        <v>0</v>
      </c>
      <c r="X67">
        <f>VLOOKUP($A67,精英副本客户端!$A$2:$O$406,12,0)</f>
        <v>1</v>
      </c>
      <c r="Y67" t="str">
        <f t="shared" si="7"/>
        <v>力量试炼（30）</v>
      </c>
    </row>
    <row r="68" spans="1:25">
      <c r="A68">
        <f t="shared" si="6"/>
        <v>103009</v>
      </c>
      <c r="B68" t="s">
        <v>1047</v>
      </c>
      <c r="C68">
        <v>0</v>
      </c>
      <c r="D68">
        <v>0</v>
      </c>
      <c r="E68" t="str">
        <f t="shared" si="2"/>
        <v>1030091_1</v>
      </c>
      <c r="F68" t="s">
        <v>213</v>
      </c>
      <c r="G68">
        <v>0</v>
      </c>
      <c r="H68">
        <v>0</v>
      </c>
      <c r="I68">
        <v>0</v>
      </c>
      <c r="J68">
        <v>0</v>
      </c>
      <c r="K68">
        <v>100</v>
      </c>
      <c r="L68" t="s">
        <v>738</v>
      </c>
      <c r="M68" s="6" t="s">
        <v>739</v>
      </c>
      <c r="N68">
        <v>920</v>
      </c>
      <c r="O68">
        <v>120</v>
      </c>
      <c r="P68">
        <v>10</v>
      </c>
      <c r="Q68">
        <v>10</v>
      </c>
      <c r="R68">
        <v>0</v>
      </c>
      <c r="S68">
        <f t="shared" si="0"/>
        <v>1</v>
      </c>
      <c r="T68">
        <f t="shared" si="3"/>
        <v>30</v>
      </c>
      <c r="U68">
        <f t="shared" si="4"/>
        <v>103008</v>
      </c>
      <c r="V68">
        <f>VLOOKUP($A68,精英副本客户端!$A$2:$O$406,10,0)</f>
        <v>34</v>
      </c>
      <c r="W68">
        <f>VLOOKUP($A68,精英副本客户端!$A$2:$O$406,11,0)</f>
        <v>1</v>
      </c>
      <c r="X68">
        <f>VLOOKUP($A68,精英副本客户端!$A$2:$O$406,12,0)</f>
        <v>5</v>
      </c>
      <c r="Y68" t="str">
        <f t="shared" si="7"/>
        <v>力量试炼（30）</v>
      </c>
    </row>
    <row r="69" spans="1:25">
      <c r="A69">
        <f t="shared" si="5"/>
        <v>103501</v>
      </c>
      <c r="B69" t="s">
        <v>1039</v>
      </c>
      <c r="C69">
        <v>0</v>
      </c>
      <c r="D69">
        <v>0</v>
      </c>
      <c r="E69" t="str">
        <f t="shared" si="2"/>
        <v>1035011_1</v>
      </c>
      <c r="F69" t="s">
        <v>213</v>
      </c>
      <c r="G69">
        <v>0</v>
      </c>
      <c r="H69">
        <v>0</v>
      </c>
      <c r="I69">
        <v>0</v>
      </c>
      <c r="J69">
        <v>0</v>
      </c>
      <c r="K69">
        <v>100</v>
      </c>
      <c r="L69" t="s">
        <v>738</v>
      </c>
      <c r="M69" s="6" t="s">
        <v>739</v>
      </c>
      <c r="N69">
        <v>920</v>
      </c>
      <c r="O69">
        <v>120</v>
      </c>
      <c r="P69">
        <v>10</v>
      </c>
      <c r="Q69">
        <v>10</v>
      </c>
      <c r="R69">
        <v>0</v>
      </c>
      <c r="S69">
        <f t="shared" si="0"/>
        <v>1</v>
      </c>
      <c r="T69">
        <f>MID(A69,2,3)-4</f>
        <v>31</v>
      </c>
      <c r="U69">
        <f t="shared" si="4"/>
        <v>103009</v>
      </c>
      <c r="V69">
        <f>VLOOKUP($A69,精英副本客户端!$A$2:$O$406,10,0)</f>
        <v>35</v>
      </c>
      <c r="W69">
        <f>VLOOKUP($A69,精英副本客户端!$A$2:$O$406,11,0)</f>
        <v>0</v>
      </c>
      <c r="X69">
        <f>VLOOKUP($A69,精英副本客户端!$A$2:$O$406,12,0)</f>
        <v>1</v>
      </c>
      <c r="Y69" t="str">
        <f t="shared" si="7"/>
        <v>力量试炼（35）</v>
      </c>
    </row>
    <row r="70" spans="1:25">
      <c r="A70">
        <f t="shared" si="5"/>
        <v>103502</v>
      </c>
      <c r="B70" t="s">
        <v>1040</v>
      </c>
      <c r="C70">
        <v>0</v>
      </c>
      <c r="D70">
        <v>0</v>
      </c>
      <c r="E70" t="str">
        <f t="shared" si="2"/>
        <v>1035021_1</v>
      </c>
      <c r="F70" t="s">
        <v>213</v>
      </c>
      <c r="G70">
        <v>0</v>
      </c>
      <c r="H70">
        <v>0</v>
      </c>
      <c r="I70">
        <v>0</v>
      </c>
      <c r="J70">
        <v>0</v>
      </c>
      <c r="K70">
        <v>100</v>
      </c>
      <c r="L70" t="s">
        <v>738</v>
      </c>
      <c r="M70" s="6" t="s">
        <v>739</v>
      </c>
      <c r="N70">
        <v>920</v>
      </c>
      <c r="O70">
        <v>120</v>
      </c>
      <c r="P70">
        <v>10</v>
      </c>
      <c r="Q70">
        <v>10</v>
      </c>
      <c r="R70">
        <v>0</v>
      </c>
      <c r="S70">
        <f t="shared" ref="S70:S133" si="8">ROUNDDOWN(A70/100000,0)</f>
        <v>1</v>
      </c>
      <c r="T70">
        <f t="shared" ref="T70:T133" si="9">MID(A70,2,3)-4</f>
        <v>31</v>
      </c>
      <c r="U70">
        <f t="shared" si="4"/>
        <v>103501</v>
      </c>
      <c r="V70">
        <f>VLOOKUP($A70,精英副本客户端!$A$2:$O$406,10,0)</f>
        <v>35</v>
      </c>
      <c r="W70">
        <f>VLOOKUP($A70,精英副本客户端!$A$2:$O$406,11,0)</f>
        <v>0</v>
      </c>
      <c r="X70">
        <f>VLOOKUP($A70,精英副本客户端!$A$2:$O$406,12,0)</f>
        <v>1</v>
      </c>
      <c r="Y70" t="str">
        <f t="shared" si="7"/>
        <v>力量试炼（35）</v>
      </c>
    </row>
    <row r="71" spans="1:25">
      <c r="A71">
        <f t="shared" si="5"/>
        <v>103503</v>
      </c>
      <c r="B71" t="s">
        <v>1041</v>
      </c>
      <c r="C71">
        <v>0</v>
      </c>
      <c r="D71">
        <v>0</v>
      </c>
      <c r="E71" t="str">
        <f t="shared" ref="E71:E134" si="10">A71&amp;"1"&amp;"_1"</f>
        <v>1035031_1</v>
      </c>
      <c r="F71" t="s">
        <v>213</v>
      </c>
      <c r="G71">
        <v>0</v>
      </c>
      <c r="H71">
        <v>0</v>
      </c>
      <c r="I71">
        <v>0</v>
      </c>
      <c r="J71">
        <v>0</v>
      </c>
      <c r="K71">
        <v>100</v>
      </c>
      <c r="L71" t="s">
        <v>738</v>
      </c>
      <c r="M71" s="6" t="s">
        <v>739</v>
      </c>
      <c r="N71">
        <v>920</v>
      </c>
      <c r="O71">
        <v>120</v>
      </c>
      <c r="P71">
        <v>10</v>
      </c>
      <c r="Q71">
        <v>10</v>
      </c>
      <c r="R71">
        <v>0</v>
      </c>
      <c r="S71">
        <f t="shared" si="8"/>
        <v>1</v>
      </c>
      <c r="T71">
        <f t="shared" si="9"/>
        <v>31</v>
      </c>
      <c r="U71">
        <f t="shared" ref="U71:U134" si="11">A70</f>
        <v>103502</v>
      </c>
      <c r="V71">
        <f>VLOOKUP($A71,精英副本客户端!$A$2:$O$406,10,0)</f>
        <v>36</v>
      </c>
      <c r="W71">
        <f>VLOOKUP($A71,精英副本客户端!$A$2:$O$406,11,0)</f>
        <v>1</v>
      </c>
      <c r="X71">
        <f>VLOOKUP($A71,精英副本客户端!$A$2:$O$406,12,0)</f>
        <v>5</v>
      </c>
      <c r="Y71" t="str">
        <f t="shared" si="7"/>
        <v>力量试炼（35）</v>
      </c>
    </row>
    <row r="72" spans="1:25">
      <c r="A72">
        <f t="shared" si="5"/>
        <v>103504</v>
      </c>
      <c r="B72" t="s">
        <v>1042</v>
      </c>
      <c r="C72">
        <v>0</v>
      </c>
      <c r="D72">
        <v>0</v>
      </c>
      <c r="E72" t="str">
        <f t="shared" si="10"/>
        <v>1035041_1</v>
      </c>
      <c r="F72" t="s">
        <v>213</v>
      </c>
      <c r="G72">
        <v>0</v>
      </c>
      <c r="H72">
        <v>0</v>
      </c>
      <c r="I72">
        <v>0</v>
      </c>
      <c r="J72">
        <v>0</v>
      </c>
      <c r="K72">
        <v>100</v>
      </c>
      <c r="L72" t="s">
        <v>738</v>
      </c>
      <c r="M72" s="6" t="s">
        <v>739</v>
      </c>
      <c r="N72">
        <v>920</v>
      </c>
      <c r="O72">
        <v>120</v>
      </c>
      <c r="P72">
        <v>10</v>
      </c>
      <c r="Q72">
        <v>10</v>
      </c>
      <c r="R72">
        <v>0</v>
      </c>
      <c r="S72">
        <f t="shared" si="8"/>
        <v>1</v>
      </c>
      <c r="T72">
        <f t="shared" si="9"/>
        <v>31</v>
      </c>
      <c r="U72">
        <f t="shared" si="11"/>
        <v>103503</v>
      </c>
      <c r="V72">
        <f>VLOOKUP($A72,精英副本客户端!$A$2:$O$406,10,0)</f>
        <v>36</v>
      </c>
      <c r="W72">
        <f>VLOOKUP($A72,精英副本客户端!$A$2:$O$406,11,0)</f>
        <v>0</v>
      </c>
      <c r="X72">
        <f>VLOOKUP($A72,精英副本客户端!$A$2:$O$406,12,0)</f>
        <v>1</v>
      </c>
      <c r="Y72" t="str">
        <f t="shared" si="7"/>
        <v>力量试炼（35）</v>
      </c>
    </row>
    <row r="73" spans="1:25">
      <c r="A73">
        <f t="shared" si="5"/>
        <v>103505</v>
      </c>
      <c r="B73" t="s">
        <v>1043</v>
      </c>
      <c r="C73">
        <v>0</v>
      </c>
      <c r="D73">
        <v>0</v>
      </c>
      <c r="E73" t="str">
        <f t="shared" si="10"/>
        <v>1035051_1</v>
      </c>
      <c r="F73" t="s">
        <v>213</v>
      </c>
      <c r="G73">
        <v>0</v>
      </c>
      <c r="H73">
        <v>0</v>
      </c>
      <c r="I73">
        <v>0</v>
      </c>
      <c r="J73">
        <v>0</v>
      </c>
      <c r="K73">
        <v>100</v>
      </c>
      <c r="L73" t="s">
        <v>738</v>
      </c>
      <c r="M73" s="6" t="s">
        <v>739</v>
      </c>
      <c r="N73">
        <v>920</v>
      </c>
      <c r="O73">
        <v>120</v>
      </c>
      <c r="P73">
        <v>10</v>
      </c>
      <c r="Q73">
        <v>10</v>
      </c>
      <c r="R73">
        <v>0</v>
      </c>
      <c r="S73">
        <f t="shared" si="8"/>
        <v>1</v>
      </c>
      <c r="T73">
        <f t="shared" si="9"/>
        <v>31</v>
      </c>
      <c r="U73">
        <f t="shared" si="11"/>
        <v>103504</v>
      </c>
      <c r="V73">
        <f>VLOOKUP($A73,精英副本客户端!$A$2:$O$406,10,0)</f>
        <v>36</v>
      </c>
      <c r="W73">
        <f>VLOOKUP($A73,精英副本客户端!$A$2:$O$406,11,0)</f>
        <v>0</v>
      </c>
      <c r="X73">
        <f>VLOOKUP($A73,精英副本客户端!$A$2:$O$406,12,0)</f>
        <v>1</v>
      </c>
      <c r="Y73" t="str">
        <f t="shared" si="7"/>
        <v>力量试炼（35）</v>
      </c>
    </row>
    <row r="74" spans="1:25">
      <c r="A74">
        <f t="shared" si="5"/>
        <v>103506</v>
      </c>
      <c r="B74" t="s">
        <v>1044</v>
      </c>
      <c r="C74">
        <v>0</v>
      </c>
      <c r="D74">
        <v>0</v>
      </c>
      <c r="E74" t="str">
        <f t="shared" si="10"/>
        <v>1035061_1</v>
      </c>
      <c r="F74" t="s">
        <v>213</v>
      </c>
      <c r="G74">
        <v>0</v>
      </c>
      <c r="H74">
        <v>0</v>
      </c>
      <c r="I74">
        <v>0</v>
      </c>
      <c r="J74">
        <v>0</v>
      </c>
      <c r="K74">
        <v>100</v>
      </c>
      <c r="L74" t="s">
        <v>738</v>
      </c>
      <c r="M74" s="6" t="s">
        <v>739</v>
      </c>
      <c r="N74">
        <v>920</v>
      </c>
      <c r="O74">
        <v>120</v>
      </c>
      <c r="P74">
        <v>10</v>
      </c>
      <c r="Q74">
        <v>10</v>
      </c>
      <c r="R74">
        <v>0</v>
      </c>
      <c r="S74">
        <f t="shared" si="8"/>
        <v>1</v>
      </c>
      <c r="T74">
        <f t="shared" si="9"/>
        <v>31</v>
      </c>
      <c r="U74">
        <f t="shared" si="11"/>
        <v>103505</v>
      </c>
      <c r="V74">
        <f>VLOOKUP($A74,精英副本客户端!$A$2:$O$406,10,0)</f>
        <v>37</v>
      </c>
      <c r="W74">
        <f>VLOOKUP($A74,精英副本客户端!$A$2:$O$406,11,0)</f>
        <v>1</v>
      </c>
      <c r="X74">
        <f>VLOOKUP($A74,精英副本客户端!$A$2:$O$406,12,0)</f>
        <v>5</v>
      </c>
      <c r="Y74" t="str">
        <f t="shared" si="7"/>
        <v>力量试炼（35）</v>
      </c>
    </row>
    <row r="75" spans="1:25">
      <c r="A75">
        <f t="shared" si="5"/>
        <v>103507</v>
      </c>
      <c r="B75" t="s">
        <v>1045</v>
      </c>
      <c r="C75">
        <v>0</v>
      </c>
      <c r="D75">
        <v>0</v>
      </c>
      <c r="E75" t="str">
        <f t="shared" si="10"/>
        <v>1035071_1</v>
      </c>
      <c r="F75" t="s">
        <v>213</v>
      </c>
      <c r="G75">
        <v>0</v>
      </c>
      <c r="H75">
        <v>0</v>
      </c>
      <c r="I75">
        <v>0</v>
      </c>
      <c r="J75">
        <v>0</v>
      </c>
      <c r="K75">
        <v>100</v>
      </c>
      <c r="L75" t="s">
        <v>738</v>
      </c>
      <c r="M75" s="6" t="s">
        <v>739</v>
      </c>
      <c r="N75">
        <v>920</v>
      </c>
      <c r="O75">
        <v>120</v>
      </c>
      <c r="P75">
        <v>10</v>
      </c>
      <c r="Q75">
        <v>10</v>
      </c>
      <c r="R75">
        <v>0</v>
      </c>
      <c r="S75">
        <f t="shared" si="8"/>
        <v>1</v>
      </c>
      <c r="T75">
        <f t="shared" si="9"/>
        <v>31</v>
      </c>
      <c r="U75">
        <f t="shared" si="11"/>
        <v>103506</v>
      </c>
      <c r="V75">
        <f>VLOOKUP($A75,精英副本客户端!$A$2:$O$406,10,0)</f>
        <v>37</v>
      </c>
      <c r="W75">
        <f>VLOOKUP($A75,精英副本客户端!$A$2:$O$406,11,0)</f>
        <v>0</v>
      </c>
      <c r="X75">
        <f>VLOOKUP($A75,精英副本客户端!$A$2:$O$406,12,0)</f>
        <v>1</v>
      </c>
      <c r="Y75" t="str">
        <f t="shared" si="7"/>
        <v>力量试炼（35）</v>
      </c>
    </row>
    <row r="76" spans="1:25">
      <c r="A76">
        <f t="shared" si="5"/>
        <v>103508</v>
      </c>
      <c r="B76" t="s">
        <v>1046</v>
      </c>
      <c r="C76">
        <v>0</v>
      </c>
      <c r="D76">
        <v>0</v>
      </c>
      <c r="E76" t="str">
        <f t="shared" si="10"/>
        <v>1035081_1</v>
      </c>
      <c r="F76" t="s">
        <v>213</v>
      </c>
      <c r="G76">
        <v>0</v>
      </c>
      <c r="H76">
        <v>0</v>
      </c>
      <c r="I76">
        <v>0</v>
      </c>
      <c r="J76">
        <v>0</v>
      </c>
      <c r="K76">
        <v>100</v>
      </c>
      <c r="L76" t="s">
        <v>738</v>
      </c>
      <c r="M76" s="6" t="s">
        <v>739</v>
      </c>
      <c r="N76">
        <v>920</v>
      </c>
      <c r="O76">
        <v>120</v>
      </c>
      <c r="P76">
        <v>10</v>
      </c>
      <c r="Q76">
        <v>10</v>
      </c>
      <c r="R76">
        <v>0</v>
      </c>
      <c r="S76">
        <f t="shared" si="8"/>
        <v>1</v>
      </c>
      <c r="T76">
        <f t="shared" si="9"/>
        <v>31</v>
      </c>
      <c r="U76">
        <f t="shared" si="11"/>
        <v>103507</v>
      </c>
      <c r="V76">
        <f>VLOOKUP($A76,精英副本客户端!$A$2:$O$406,10,0)</f>
        <v>38</v>
      </c>
      <c r="W76">
        <f>VLOOKUP($A76,精英副本客户端!$A$2:$O$406,11,0)</f>
        <v>0</v>
      </c>
      <c r="X76">
        <f>VLOOKUP($A76,精英副本客户端!$A$2:$O$406,12,0)</f>
        <v>1</v>
      </c>
      <c r="Y76" t="str">
        <f t="shared" si="7"/>
        <v>力量试炼（35）</v>
      </c>
    </row>
    <row r="77" spans="1:25">
      <c r="A77">
        <f t="shared" si="5"/>
        <v>103509</v>
      </c>
      <c r="B77" t="s">
        <v>1047</v>
      </c>
      <c r="C77">
        <v>0</v>
      </c>
      <c r="D77">
        <v>0</v>
      </c>
      <c r="E77" t="str">
        <f t="shared" si="10"/>
        <v>1035091_1</v>
      </c>
      <c r="F77" t="s">
        <v>213</v>
      </c>
      <c r="G77">
        <v>0</v>
      </c>
      <c r="H77">
        <v>0</v>
      </c>
      <c r="I77">
        <v>0</v>
      </c>
      <c r="J77">
        <v>0</v>
      </c>
      <c r="K77">
        <v>100</v>
      </c>
      <c r="L77" t="s">
        <v>738</v>
      </c>
      <c r="M77" s="6" t="s">
        <v>739</v>
      </c>
      <c r="N77">
        <v>920</v>
      </c>
      <c r="O77">
        <v>120</v>
      </c>
      <c r="P77">
        <v>10</v>
      </c>
      <c r="Q77">
        <v>10</v>
      </c>
      <c r="R77">
        <v>0</v>
      </c>
      <c r="S77">
        <f t="shared" si="8"/>
        <v>1</v>
      </c>
      <c r="T77">
        <f t="shared" si="9"/>
        <v>31</v>
      </c>
      <c r="U77">
        <f t="shared" si="11"/>
        <v>103508</v>
      </c>
      <c r="V77">
        <f>VLOOKUP($A77,精英副本客户端!$A$2:$O$406,10,0)</f>
        <v>39</v>
      </c>
      <c r="W77">
        <f>VLOOKUP($A77,精英副本客户端!$A$2:$O$406,11,0)</f>
        <v>1</v>
      </c>
      <c r="X77">
        <f>VLOOKUP($A77,精英副本客户端!$A$2:$O$406,12,0)</f>
        <v>5</v>
      </c>
      <c r="Y77" t="str">
        <f t="shared" si="7"/>
        <v>力量试炼（35）</v>
      </c>
    </row>
    <row r="78" spans="1:25">
      <c r="A78">
        <f t="shared" si="5"/>
        <v>104001</v>
      </c>
      <c r="B78" t="s">
        <v>1039</v>
      </c>
      <c r="C78">
        <v>0</v>
      </c>
      <c r="D78">
        <v>0</v>
      </c>
      <c r="E78" t="str">
        <f t="shared" si="10"/>
        <v>1040011_1</v>
      </c>
      <c r="F78" t="s">
        <v>213</v>
      </c>
      <c r="G78">
        <v>0</v>
      </c>
      <c r="H78">
        <v>0</v>
      </c>
      <c r="I78">
        <v>0</v>
      </c>
      <c r="J78">
        <v>0</v>
      </c>
      <c r="K78">
        <v>100</v>
      </c>
      <c r="L78" t="s">
        <v>738</v>
      </c>
      <c r="M78" s="6" t="s">
        <v>739</v>
      </c>
      <c r="N78">
        <v>920</v>
      </c>
      <c r="O78">
        <v>120</v>
      </c>
      <c r="P78">
        <v>10</v>
      </c>
      <c r="Q78">
        <v>10</v>
      </c>
      <c r="R78">
        <v>0</v>
      </c>
      <c r="S78">
        <f t="shared" si="8"/>
        <v>1</v>
      </c>
      <c r="T78">
        <f t="shared" si="9"/>
        <v>36</v>
      </c>
      <c r="U78">
        <f t="shared" si="11"/>
        <v>103509</v>
      </c>
      <c r="V78">
        <f>VLOOKUP($A78,精英副本客户端!$A$2:$O$406,10,0)</f>
        <v>40</v>
      </c>
      <c r="W78">
        <f>VLOOKUP($A78,精英副本客户端!$A$2:$O$406,11,0)</f>
        <v>0</v>
      </c>
      <c r="X78">
        <f>VLOOKUP($A78,精英副本客户端!$A$2:$O$406,12,0)</f>
        <v>1</v>
      </c>
      <c r="Y78" t="str">
        <f t="shared" si="7"/>
        <v>力量试炼（40）</v>
      </c>
    </row>
    <row r="79" spans="1:25">
      <c r="A79">
        <f t="shared" si="5"/>
        <v>104002</v>
      </c>
      <c r="B79" t="s">
        <v>1040</v>
      </c>
      <c r="C79">
        <v>0</v>
      </c>
      <c r="D79">
        <v>0</v>
      </c>
      <c r="E79" t="str">
        <f t="shared" si="10"/>
        <v>1040021_1</v>
      </c>
      <c r="F79" t="s">
        <v>213</v>
      </c>
      <c r="G79">
        <v>0</v>
      </c>
      <c r="H79">
        <v>0</v>
      </c>
      <c r="I79">
        <v>0</v>
      </c>
      <c r="J79">
        <v>0</v>
      </c>
      <c r="K79">
        <v>100</v>
      </c>
      <c r="L79" t="s">
        <v>738</v>
      </c>
      <c r="M79" s="6" t="s">
        <v>739</v>
      </c>
      <c r="N79">
        <v>920</v>
      </c>
      <c r="O79">
        <v>120</v>
      </c>
      <c r="P79">
        <v>10</v>
      </c>
      <c r="Q79">
        <v>10</v>
      </c>
      <c r="R79">
        <v>0</v>
      </c>
      <c r="S79">
        <f t="shared" si="8"/>
        <v>1</v>
      </c>
      <c r="T79">
        <f t="shared" si="9"/>
        <v>36</v>
      </c>
      <c r="U79">
        <f t="shared" si="11"/>
        <v>104001</v>
      </c>
      <c r="V79">
        <f>VLOOKUP($A79,精英副本客户端!$A$2:$O$406,10,0)</f>
        <v>40</v>
      </c>
      <c r="W79">
        <f>VLOOKUP($A79,精英副本客户端!$A$2:$O$406,11,0)</f>
        <v>0</v>
      </c>
      <c r="X79">
        <f>VLOOKUP($A79,精英副本客户端!$A$2:$O$406,12,0)</f>
        <v>1</v>
      </c>
      <c r="Y79" t="str">
        <f t="shared" si="7"/>
        <v>力量试炼（40）</v>
      </c>
    </row>
    <row r="80" spans="1:25">
      <c r="A80">
        <f t="shared" si="5"/>
        <v>104003</v>
      </c>
      <c r="B80" t="s">
        <v>1041</v>
      </c>
      <c r="C80">
        <v>0</v>
      </c>
      <c r="D80">
        <v>0</v>
      </c>
      <c r="E80" t="str">
        <f t="shared" si="10"/>
        <v>1040031_1</v>
      </c>
      <c r="F80" t="s">
        <v>213</v>
      </c>
      <c r="G80">
        <v>0</v>
      </c>
      <c r="H80">
        <v>0</v>
      </c>
      <c r="I80">
        <v>0</v>
      </c>
      <c r="J80">
        <v>0</v>
      </c>
      <c r="K80">
        <v>100</v>
      </c>
      <c r="L80" t="s">
        <v>738</v>
      </c>
      <c r="M80" s="6" t="s">
        <v>739</v>
      </c>
      <c r="N80">
        <v>920</v>
      </c>
      <c r="O80">
        <v>120</v>
      </c>
      <c r="P80">
        <v>10</v>
      </c>
      <c r="Q80">
        <v>10</v>
      </c>
      <c r="R80">
        <v>0</v>
      </c>
      <c r="S80">
        <f t="shared" si="8"/>
        <v>1</v>
      </c>
      <c r="T80">
        <f t="shared" si="9"/>
        <v>36</v>
      </c>
      <c r="U80">
        <f t="shared" si="11"/>
        <v>104002</v>
      </c>
      <c r="V80">
        <f>VLOOKUP($A80,精英副本客户端!$A$2:$O$406,10,0)</f>
        <v>41</v>
      </c>
      <c r="W80">
        <f>VLOOKUP($A80,精英副本客户端!$A$2:$O$406,11,0)</f>
        <v>1</v>
      </c>
      <c r="X80">
        <f>VLOOKUP($A80,精英副本客户端!$A$2:$O$406,12,0)</f>
        <v>5</v>
      </c>
      <c r="Y80" t="str">
        <f t="shared" si="7"/>
        <v>力量试炼（40）</v>
      </c>
    </row>
    <row r="81" spans="1:25">
      <c r="A81">
        <f t="shared" si="5"/>
        <v>104004</v>
      </c>
      <c r="B81" t="s">
        <v>1042</v>
      </c>
      <c r="C81">
        <v>0</v>
      </c>
      <c r="D81">
        <v>0</v>
      </c>
      <c r="E81" t="str">
        <f t="shared" si="10"/>
        <v>1040041_1</v>
      </c>
      <c r="F81" t="s">
        <v>213</v>
      </c>
      <c r="G81">
        <v>0</v>
      </c>
      <c r="H81">
        <v>0</v>
      </c>
      <c r="I81">
        <v>0</v>
      </c>
      <c r="J81">
        <v>0</v>
      </c>
      <c r="K81">
        <v>100</v>
      </c>
      <c r="L81" t="s">
        <v>738</v>
      </c>
      <c r="M81" s="6" t="s">
        <v>739</v>
      </c>
      <c r="N81">
        <v>920</v>
      </c>
      <c r="O81">
        <v>120</v>
      </c>
      <c r="P81">
        <v>10</v>
      </c>
      <c r="Q81">
        <v>10</v>
      </c>
      <c r="R81">
        <v>0</v>
      </c>
      <c r="S81">
        <f t="shared" si="8"/>
        <v>1</v>
      </c>
      <c r="T81">
        <f t="shared" si="9"/>
        <v>36</v>
      </c>
      <c r="U81">
        <f t="shared" si="11"/>
        <v>104003</v>
      </c>
      <c r="V81">
        <f>VLOOKUP($A81,精英副本客户端!$A$2:$O$406,10,0)</f>
        <v>41</v>
      </c>
      <c r="W81">
        <f>VLOOKUP($A81,精英副本客户端!$A$2:$O$406,11,0)</f>
        <v>0</v>
      </c>
      <c r="X81">
        <f>VLOOKUP($A81,精英副本客户端!$A$2:$O$406,12,0)</f>
        <v>1</v>
      </c>
      <c r="Y81" t="str">
        <f t="shared" si="7"/>
        <v>力量试炼（40）</v>
      </c>
    </row>
    <row r="82" spans="1:25">
      <c r="A82">
        <f t="shared" si="5"/>
        <v>104005</v>
      </c>
      <c r="B82" t="s">
        <v>1043</v>
      </c>
      <c r="C82">
        <v>0</v>
      </c>
      <c r="D82">
        <v>0</v>
      </c>
      <c r="E82" t="str">
        <f t="shared" si="10"/>
        <v>1040051_1</v>
      </c>
      <c r="F82" t="s">
        <v>213</v>
      </c>
      <c r="G82">
        <v>0</v>
      </c>
      <c r="H82">
        <v>0</v>
      </c>
      <c r="I82">
        <v>0</v>
      </c>
      <c r="J82">
        <v>0</v>
      </c>
      <c r="K82">
        <v>100</v>
      </c>
      <c r="L82" t="s">
        <v>738</v>
      </c>
      <c r="M82" s="6" t="s">
        <v>739</v>
      </c>
      <c r="N82">
        <v>920</v>
      </c>
      <c r="O82">
        <v>120</v>
      </c>
      <c r="P82">
        <v>10</v>
      </c>
      <c r="Q82">
        <v>10</v>
      </c>
      <c r="R82">
        <v>0</v>
      </c>
      <c r="S82">
        <f t="shared" si="8"/>
        <v>1</v>
      </c>
      <c r="T82">
        <f t="shared" si="9"/>
        <v>36</v>
      </c>
      <c r="U82">
        <f t="shared" si="11"/>
        <v>104004</v>
      </c>
      <c r="V82">
        <f>VLOOKUP($A82,精英副本客户端!$A$2:$O$406,10,0)</f>
        <v>41</v>
      </c>
      <c r="W82">
        <f>VLOOKUP($A82,精英副本客户端!$A$2:$O$406,11,0)</f>
        <v>0</v>
      </c>
      <c r="X82">
        <f>VLOOKUP($A82,精英副本客户端!$A$2:$O$406,12,0)</f>
        <v>1</v>
      </c>
      <c r="Y82" t="str">
        <f t="shared" si="7"/>
        <v>力量试炼（40）</v>
      </c>
    </row>
    <row r="83" spans="1:25">
      <c r="A83">
        <f t="shared" si="5"/>
        <v>104006</v>
      </c>
      <c r="B83" t="s">
        <v>1044</v>
      </c>
      <c r="C83">
        <v>0</v>
      </c>
      <c r="D83">
        <v>0</v>
      </c>
      <c r="E83" t="str">
        <f t="shared" si="10"/>
        <v>1040061_1</v>
      </c>
      <c r="F83" t="s">
        <v>213</v>
      </c>
      <c r="G83">
        <v>0</v>
      </c>
      <c r="H83">
        <v>0</v>
      </c>
      <c r="I83">
        <v>0</v>
      </c>
      <c r="J83">
        <v>0</v>
      </c>
      <c r="K83">
        <v>100</v>
      </c>
      <c r="L83" t="s">
        <v>738</v>
      </c>
      <c r="M83" s="6" t="s">
        <v>739</v>
      </c>
      <c r="N83">
        <v>920</v>
      </c>
      <c r="O83">
        <v>120</v>
      </c>
      <c r="P83">
        <v>10</v>
      </c>
      <c r="Q83">
        <v>10</v>
      </c>
      <c r="R83">
        <v>0</v>
      </c>
      <c r="S83">
        <f t="shared" si="8"/>
        <v>1</v>
      </c>
      <c r="T83">
        <f t="shared" si="9"/>
        <v>36</v>
      </c>
      <c r="U83">
        <f t="shared" si="11"/>
        <v>104005</v>
      </c>
      <c r="V83">
        <f>VLOOKUP($A83,精英副本客户端!$A$2:$O$406,10,0)</f>
        <v>42</v>
      </c>
      <c r="W83">
        <f>VLOOKUP($A83,精英副本客户端!$A$2:$O$406,11,0)</f>
        <v>1</v>
      </c>
      <c r="X83">
        <f>VLOOKUP($A83,精英副本客户端!$A$2:$O$406,12,0)</f>
        <v>5</v>
      </c>
      <c r="Y83" t="str">
        <f t="shared" si="7"/>
        <v>力量试炼（40）</v>
      </c>
    </row>
    <row r="84" spans="1:25">
      <c r="A84">
        <f t="shared" si="5"/>
        <v>104007</v>
      </c>
      <c r="B84" t="s">
        <v>1045</v>
      </c>
      <c r="C84">
        <v>0</v>
      </c>
      <c r="D84">
        <v>0</v>
      </c>
      <c r="E84" t="str">
        <f t="shared" si="10"/>
        <v>1040071_1</v>
      </c>
      <c r="F84" t="s">
        <v>213</v>
      </c>
      <c r="G84">
        <v>0</v>
      </c>
      <c r="H84">
        <v>0</v>
      </c>
      <c r="I84">
        <v>0</v>
      </c>
      <c r="J84">
        <v>0</v>
      </c>
      <c r="K84">
        <v>100</v>
      </c>
      <c r="L84" t="s">
        <v>738</v>
      </c>
      <c r="M84" s="6" t="s">
        <v>739</v>
      </c>
      <c r="N84">
        <v>920</v>
      </c>
      <c r="O84">
        <v>120</v>
      </c>
      <c r="P84">
        <v>10</v>
      </c>
      <c r="Q84">
        <v>10</v>
      </c>
      <c r="R84">
        <v>0</v>
      </c>
      <c r="S84">
        <f t="shared" si="8"/>
        <v>1</v>
      </c>
      <c r="T84">
        <f t="shared" si="9"/>
        <v>36</v>
      </c>
      <c r="U84">
        <f t="shared" si="11"/>
        <v>104006</v>
      </c>
      <c r="V84">
        <f>VLOOKUP($A84,精英副本客户端!$A$2:$O$406,10,0)</f>
        <v>42</v>
      </c>
      <c r="W84">
        <f>VLOOKUP($A84,精英副本客户端!$A$2:$O$406,11,0)</f>
        <v>0</v>
      </c>
      <c r="X84">
        <f>VLOOKUP($A84,精英副本客户端!$A$2:$O$406,12,0)</f>
        <v>1</v>
      </c>
      <c r="Y84" t="str">
        <f t="shared" si="7"/>
        <v>力量试炼（40）</v>
      </c>
    </row>
    <row r="85" spans="1:25">
      <c r="A85">
        <f t="shared" si="5"/>
        <v>104008</v>
      </c>
      <c r="B85" t="s">
        <v>1046</v>
      </c>
      <c r="C85">
        <v>0</v>
      </c>
      <c r="D85">
        <v>0</v>
      </c>
      <c r="E85" t="str">
        <f t="shared" si="10"/>
        <v>1040081_1</v>
      </c>
      <c r="F85" t="s">
        <v>213</v>
      </c>
      <c r="G85">
        <v>0</v>
      </c>
      <c r="H85">
        <v>0</v>
      </c>
      <c r="I85">
        <v>0</v>
      </c>
      <c r="J85">
        <v>0</v>
      </c>
      <c r="K85">
        <v>100</v>
      </c>
      <c r="L85" t="s">
        <v>738</v>
      </c>
      <c r="M85" s="6" t="s">
        <v>739</v>
      </c>
      <c r="N85">
        <v>920</v>
      </c>
      <c r="O85">
        <v>120</v>
      </c>
      <c r="P85">
        <v>10</v>
      </c>
      <c r="Q85">
        <v>10</v>
      </c>
      <c r="R85">
        <v>0</v>
      </c>
      <c r="S85">
        <f t="shared" si="8"/>
        <v>1</v>
      </c>
      <c r="T85">
        <f t="shared" si="9"/>
        <v>36</v>
      </c>
      <c r="U85">
        <f t="shared" si="11"/>
        <v>104007</v>
      </c>
      <c r="V85">
        <f>VLOOKUP($A85,精英副本客户端!$A$2:$O$406,10,0)</f>
        <v>43</v>
      </c>
      <c r="W85">
        <f>VLOOKUP($A85,精英副本客户端!$A$2:$O$406,11,0)</f>
        <v>0</v>
      </c>
      <c r="X85">
        <f>VLOOKUP($A85,精英副本客户端!$A$2:$O$406,12,0)</f>
        <v>1</v>
      </c>
      <c r="Y85" t="str">
        <f t="shared" si="7"/>
        <v>力量试炼（40）</v>
      </c>
    </row>
    <row r="86" spans="1:25">
      <c r="A86">
        <f t="shared" si="5"/>
        <v>104009</v>
      </c>
      <c r="B86" t="s">
        <v>1047</v>
      </c>
      <c r="C86">
        <v>0</v>
      </c>
      <c r="D86">
        <v>0</v>
      </c>
      <c r="E86" t="str">
        <f t="shared" si="10"/>
        <v>1040091_1</v>
      </c>
      <c r="F86" t="s">
        <v>213</v>
      </c>
      <c r="G86">
        <v>0</v>
      </c>
      <c r="H86">
        <v>0</v>
      </c>
      <c r="I86">
        <v>0</v>
      </c>
      <c r="J86">
        <v>0</v>
      </c>
      <c r="K86">
        <v>100</v>
      </c>
      <c r="L86" t="s">
        <v>738</v>
      </c>
      <c r="M86" s="6" t="s">
        <v>739</v>
      </c>
      <c r="N86">
        <v>920</v>
      </c>
      <c r="O86">
        <v>120</v>
      </c>
      <c r="P86">
        <v>10</v>
      </c>
      <c r="Q86">
        <v>10</v>
      </c>
      <c r="R86">
        <v>0</v>
      </c>
      <c r="S86">
        <f t="shared" si="8"/>
        <v>1</v>
      </c>
      <c r="T86">
        <f t="shared" si="9"/>
        <v>36</v>
      </c>
      <c r="U86">
        <f t="shared" si="11"/>
        <v>104008</v>
      </c>
      <c r="V86">
        <f>VLOOKUP($A86,精英副本客户端!$A$2:$O$406,10,0)</f>
        <v>44</v>
      </c>
      <c r="W86">
        <f>VLOOKUP($A86,精英副本客户端!$A$2:$O$406,11,0)</f>
        <v>1</v>
      </c>
      <c r="X86">
        <f>VLOOKUP($A86,精英副本客户端!$A$2:$O$406,12,0)</f>
        <v>5</v>
      </c>
      <c r="Y86" t="str">
        <f t="shared" si="7"/>
        <v>力量试炼（40）</v>
      </c>
    </row>
    <row r="87" spans="1:25">
      <c r="A87">
        <f t="shared" si="5"/>
        <v>104501</v>
      </c>
      <c r="B87" t="s">
        <v>1039</v>
      </c>
      <c r="C87">
        <v>0</v>
      </c>
      <c r="D87">
        <v>0</v>
      </c>
      <c r="E87" t="str">
        <f t="shared" si="10"/>
        <v>1045011_1</v>
      </c>
      <c r="F87" t="s">
        <v>213</v>
      </c>
      <c r="G87">
        <v>0</v>
      </c>
      <c r="H87">
        <v>0</v>
      </c>
      <c r="I87">
        <v>0</v>
      </c>
      <c r="J87">
        <v>0</v>
      </c>
      <c r="K87">
        <v>100</v>
      </c>
      <c r="L87" t="s">
        <v>738</v>
      </c>
      <c r="M87" s="6" t="s">
        <v>739</v>
      </c>
      <c r="N87">
        <v>920</v>
      </c>
      <c r="O87">
        <v>120</v>
      </c>
      <c r="P87">
        <v>10</v>
      </c>
      <c r="Q87">
        <v>10</v>
      </c>
      <c r="R87">
        <v>0</v>
      </c>
      <c r="S87">
        <f t="shared" si="8"/>
        <v>1</v>
      </c>
      <c r="T87">
        <f t="shared" si="9"/>
        <v>41</v>
      </c>
      <c r="U87">
        <f t="shared" si="11"/>
        <v>104009</v>
      </c>
      <c r="V87">
        <f>VLOOKUP($A87,精英副本客户端!$A$2:$O$406,10,0)</f>
        <v>45</v>
      </c>
      <c r="W87">
        <f>VLOOKUP($A87,精英副本客户端!$A$2:$O$406,11,0)</f>
        <v>0</v>
      </c>
      <c r="X87">
        <f>VLOOKUP($A87,精英副本客户端!$A$2:$O$406,12,0)</f>
        <v>1</v>
      </c>
      <c r="Y87" t="str">
        <f t="shared" si="7"/>
        <v>力量试炼（45）</v>
      </c>
    </row>
    <row r="88" spans="1:25">
      <c r="A88">
        <f t="shared" si="5"/>
        <v>104502</v>
      </c>
      <c r="B88" t="s">
        <v>1040</v>
      </c>
      <c r="C88">
        <v>0</v>
      </c>
      <c r="D88">
        <v>0</v>
      </c>
      <c r="E88" t="str">
        <f t="shared" si="10"/>
        <v>1045021_1</v>
      </c>
      <c r="F88" t="s">
        <v>213</v>
      </c>
      <c r="G88">
        <v>0</v>
      </c>
      <c r="H88">
        <v>0</v>
      </c>
      <c r="I88">
        <v>0</v>
      </c>
      <c r="J88">
        <v>0</v>
      </c>
      <c r="K88">
        <v>100</v>
      </c>
      <c r="L88" t="s">
        <v>738</v>
      </c>
      <c r="M88" s="6" t="s">
        <v>739</v>
      </c>
      <c r="N88">
        <v>920</v>
      </c>
      <c r="O88">
        <v>120</v>
      </c>
      <c r="P88">
        <v>10</v>
      </c>
      <c r="Q88">
        <v>10</v>
      </c>
      <c r="R88">
        <v>0</v>
      </c>
      <c r="S88">
        <f t="shared" si="8"/>
        <v>1</v>
      </c>
      <c r="T88">
        <f t="shared" si="9"/>
        <v>41</v>
      </c>
      <c r="U88">
        <f t="shared" si="11"/>
        <v>104501</v>
      </c>
      <c r="V88">
        <f>VLOOKUP($A88,精英副本客户端!$A$2:$O$406,10,0)</f>
        <v>45</v>
      </c>
      <c r="W88">
        <f>VLOOKUP($A88,精英副本客户端!$A$2:$O$406,11,0)</f>
        <v>0</v>
      </c>
      <c r="X88">
        <f>VLOOKUP($A88,精英副本客户端!$A$2:$O$406,12,0)</f>
        <v>1</v>
      </c>
      <c r="Y88" t="str">
        <f t="shared" si="7"/>
        <v>力量试炼（45）</v>
      </c>
    </row>
    <row r="89" spans="1:25">
      <c r="A89">
        <f t="shared" ref="A89:A135" si="12">A80+500</f>
        <v>104503</v>
      </c>
      <c r="B89" t="s">
        <v>1041</v>
      </c>
      <c r="C89">
        <v>0</v>
      </c>
      <c r="D89">
        <v>0</v>
      </c>
      <c r="E89" t="str">
        <f t="shared" si="10"/>
        <v>1045031_1</v>
      </c>
      <c r="F89" t="s">
        <v>213</v>
      </c>
      <c r="G89">
        <v>0</v>
      </c>
      <c r="H89">
        <v>0</v>
      </c>
      <c r="I89">
        <v>0</v>
      </c>
      <c r="J89">
        <v>0</v>
      </c>
      <c r="K89">
        <v>100</v>
      </c>
      <c r="L89" t="s">
        <v>738</v>
      </c>
      <c r="M89" s="6" t="s">
        <v>739</v>
      </c>
      <c r="N89">
        <v>920</v>
      </c>
      <c r="O89">
        <v>120</v>
      </c>
      <c r="P89">
        <v>10</v>
      </c>
      <c r="Q89">
        <v>10</v>
      </c>
      <c r="R89">
        <v>0</v>
      </c>
      <c r="S89">
        <f t="shared" si="8"/>
        <v>1</v>
      </c>
      <c r="T89">
        <f t="shared" si="9"/>
        <v>41</v>
      </c>
      <c r="U89">
        <f t="shared" si="11"/>
        <v>104502</v>
      </c>
      <c r="V89">
        <f>VLOOKUP($A89,精英副本客户端!$A$2:$O$406,10,0)</f>
        <v>46</v>
      </c>
      <c r="W89">
        <f>VLOOKUP($A89,精英副本客户端!$A$2:$O$406,11,0)</f>
        <v>1</v>
      </c>
      <c r="X89">
        <f>VLOOKUP($A89,精英副本客户端!$A$2:$O$406,12,0)</f>
        <v>5</v>
      </c>
      <c r="Y89" t="str">
        <f t="shared" si="7"/>
        <v>力量试炼（45）</v>
      </c>
    </row>
    <row r="90" spans="1:25">
      <c r="A90">
        <f t="shared" si="12"/>
        <v>104504</v>
      </c>
      <c r="B90" t="s">
        <v>1042</v>
      </c>
      <c r="C90">
        <v>0</v>
      </c>
      <c r="D90">
        <v>0</v>
      </c>
      <c r="E90" t="str">
        <f t="shared" si="10"/>
        <v>1045041_1</v>
      </c>
      <c r="F90" t="s">
        <v>213</v>
      </c>
      <c r="G90">
        <v>0</v>
      </c>
      <c r="H90">
        <v>0</v>
      </c>
      <c r="I90">
        <v>0</v>
      </c>
      <c r="J90">
        <v>0</v>
      </c>
      <c r="K90">
        <v>100</v>
      </c>
      <c r="L90" t="s">
        <v>738</v>
      </c>
      <c r="M90" s="6" t="s">
        <v>739</v>
      </c>
      <c r="N90">
        <v>920</v>
      </c>
      <c r="O90">
        <v>120</v>
      </c>
      <c r="P90">
        <v>10</v>
      </c>
      <c r="Q90">
        <v>10</v>
      </c>
      <c r="R90">
        <v>0</v>
      </c>
      <c r="S90">
        <f t="shared" si="8"/>
        <v>1</v>
      </c>
      <c r="T90">
        <f t="shared" si="9"/>
        <v>41</v>
      </c>
      <c r="U90">
        <f t="shared" si="11"/>
        <v>104503</v>
      </c>
      <c r="V90">
        <f>VLOOKUP($A90,精英副本客户端!$A$2:$O$406,10,0)</f>
        <v>46</v>
      </c>
      <c r="W90">
        <f>VLOOKUP($A90,精英副本客户端!$A$2:$O$406,11,0)</f>
        <v>0</v>
      </c>
      <c r="X90">
        <f>VLOOKUP($A90,精英副本客户端!$A$2:$O$406,12,0)</f>
        <v>1</v>
      </c>
      <c r="Y90" t="str">
        <f t="shared" si="7"/>
        <v>力量试炼（45）</v>
      </c>
    </row>
    <row r="91" spans="1:25">
      <c r="A91">
        <f t="shared" si="12"/>
        <v>104505</v>
      </c>
      <c r="B91" t="s">
        <v>1043</v>
      </c>
      <c r="C91">
        <v>0</v>
      </c>
      <c r="D91">
        <v>0</v>
      </c>
      <c r="E91" t="str">
        <f t="shared" si="10"/>
        <v>1045051_1</v>
      </c>
      <c r="F91" t="s">
        <v>213</v>
      </c>
      <c r="G91">
        <v>0</v>
      </c>
      <c r="H91">
        <v>0</v>
      </c>
      <c r="I91">
        <v>0</v>
      </c>
      <c r="J91">
        <v>0</v>
      </c>
      <c r="K91">
        <v>100</v>
      </c>
      <c r="L91" t="s">
        <v>738</v>
      </c>
      <c r="M91" s="6" t="s">
        <v>739</v>
      </c>
      <c r="N91">
        <v>920</v>
      </c>
      <c r="O91">
        <v>120</v>
      </c>
      <c r="P91">
        <v>10</v>
      </c>
      <c r="Q91">
        <v>10</v>
      </c>
      <c r="R91">
        <v>0</v>
      </c>
      <c r="S91">
        <f t="shared" si="8"/>
        <v>1</v>
      </c>
      <c r="T91">
        <f t="shared" si="9"/>
        <v>41</v>
      </c>
      <c r="U91">
        <f t="shared" si="11"/>
        <v>104504</v>
      </c>
      <c r="V91">
        <f>VLOOKUP($A91,精英副本客户端!$A$2:$O$406,10,0)</f>
        <v>46</v>
      </c>
      <c r="W91">
        <f>VLOOKUP($A91,精英副本客户端!$A$2:$O$406,11,0)</f>
        <v>0</v>
      </c>
      <c r="X91">
        <f>VLOOKUP($A91,精英副本客户端!$A$2:$O$406,12,0)</f>
        <v>1</v>
      </c>
      <c r="Y91" t="str">
        <f t="shared" si="7"/>
        <v>力量试炼（45）</v>
      </c>
    </row>
    <row r="92" spans="1:25">
      <c r="A92">
        <f t="shared" si="12"/>
        <v>104506</v>
      </c>
      <c r="B92" t="s">
        <v>1044</v>
      </c>
      <c r="C92">
        <v>0</v>
      </c>
      <c r="D92">
        <v>0</v>
      </c>
      <c r="E92" t="str">
        <f t="shared" si="10"/>
        <v>1045061_1</v>
      </c>
      <c r="F92" t="s">
        <v>213</v>
      </c>
      <c r="G92">
        <v>0</v>
      </c>
      <c r="H92">
        <v>0</v>
      </c>
      <c r="I92">
        <v>0</v>
      </c>
      <c r="J92">
        <v>0</v>
      </c>
      <c r="K92">
        <v>100</v>
      </c>
      <c r="L92" t="s">
        <v>738</v>
      </c>
      <c r="M92" s="6" t="s">
        <v>739</v>
      </c>
      <c r="N92">
        <v>920</v>
      </c>
      <c r="O92">
        <v>120</v>
      </c>
      <c r="P92">
        <v>10</v>
      </c>
      <c r="Q92">
        <v>10</v>
      </c>
      <c r="R92">
        <v>0</v>
      </c>
      <c r="S92">
        <f t="shared" si="8"/>
        <v>1</v>
      </c>
      <c r="T92">
        <f t="shared" si="9"/>
        <v>41</v>
      </c>
      <c r="U92">
        <f t="shared" si="11"/>
        <v>104505</v>
      </c>
      <c r="V92">
        <f>VLOOKUP($A92,精英副本客户端!$A$2:$O$406,10,0)</f>
        <v>47</v>
      </c>
      <c r="W92">
        <f>VLOOKUP($A92,精英副本客户端!$A$2:$O$406,11,0)</f>
        <v>1</v>
      </c>
      <c r="X92">
        <f>VLOOKUP($A92,精英副本客户端!$A$2:$O$406,12,0)</f>
        <v>5</v>
      </c>
      <c r="Y92" t="str">
        <f t="shared" si="7"/>
        <v>力量试炼（45）</v>
      </c>
    </row>
    <row r="93" spans="1:25">
      <c r="A93">
        <f t="shared" si="12"/>
        <v>104507</v>
      </c>
      <c r="B93" t="s">
        <v>1045</v>
      </c>
      <c r="C93">
        <v>0</v>
      </c>
      <c r="D93">
        <v>0</v>
      </c>
      <c r="E93" t="str">
        <f t="shared" si="10"/>
        <v>1045071_1</v>
      </c>
      <c r="F93" t="s">
        <v>213</v>
      </c>
      <c r="G93">
        <v>0</v>
      </c>
      <c r="H93">
        <v>0</v>
      </c>
      <c r="I93">
        <v>0</v>
      </c>
      <c r="J93">
        <v>0</v>
      </c>
      <c r="K93">
        <v>100</v>
      </c>
      <c r="L93" t="s">
        <v>738</v>
      </c>
      <c r="M93" s="6" t="s">
        <v>739</v>
      </c>
      <c r="N93">
        <v>920</v>
      </c>
      <c r="O93">
        <v>120</v>
      </c>
      <c r="P93">
        <v>10</v>
      </c>
      <c r="Q93">
        <v>10</v>
      </c>
      <c r="R93">
        <v>0</v>
      </c>
      <c r="S93">
        <f t="shared" si="8"/>
        <v>1</v>
      </c>
      <c r="T93">
        <f t="shared" si="9"/>
        <v>41</v>
      </c>
      <c r="U93">
        <f t="shared" si="11"/>
        <v>104506</v>
      </c>
      <c r="V93">
        <f>VLOOKUP($A93,精英副本客户端!$A$2:$O$406,10,0)</f>
        <v>47</v>
      </c>
      <c r="W93">
        <f>VLOOKUP($A93,精英副本客户端!$A$2:$O$406,11,0)</f>
        <v>0</v>
      </c>
      <c r="X93">
        <f>VLOOKUP($A93,精英副本客户端!$A$2:$O$406,12,0)</f>
        <v>1</v>
      </c>
      <c r="Y93" t="str">
        <f t="shared" si="7"/>
        <v>力量试炼（45）</v>
      </c>
    </row>
    <row r="94" spans="1:25">
      <c r="A94">
        <f t="shared" si="12"/>
        <v>104508</v>
      </c>
      <c r="B94" t="s">
        <v>1046</v>
      </c>
      <c r="C94">
        <v>0</v>
      </c>
      <c r="D94">
        <v>0</v>
      </c>
      <c r="E94" t="str">
        <f t="shared" si="10"/>
        <v>1045081_1</v>
      </c>
      <c r="F94" t="s">
        <v>213</v>
      </c>
      <c r="G94">
        <v>0</v>
      </c>
      <c r="H94">
        <v>0</v>
      </c>
      <c r="I94">
        <v>0</v>
      </c>
      <c r="J94">
        <v>0</v>
      </c>
      <c r="K94">
        <v>100</v>
      </c>
      <c r="L94" t="s">
        <v>738</v>
      </c>
      <c r="M94" s="6" t="s">
        <v>739</v>
      </c>
      <c r="N94">
        <v>920</v>
      </c>
      <c r="O94">
        <v>120</v>
      </c>
      <c r="P94">
        <v>10</v>
      </c>
      <c r="Q94">
        <v>10</v>
      </c>
      <c r="R94">
        <v>0</v>
      </c>
      <c r="S94">
        <f t="shared" si="8"/>
        <v>1</v>
      </c>
      <c r="T94">
        <f t="shared" si="9"/>
        <v>41</v>
      </c>
      <c r="U94">
        <f t="shared" si="11"/>
        <v>104507</v>
      </c>
      <c r="V94">
        <f>VLOOKUP($A94,精英副本客户端!$A$2:$O$406,10,0)</f>
        <v>48</v>
      </c>
      <c r="W94">
        <f>VLOOKUP($A94,精英副本客户端!$A$2:$O$406,11,0)</f>
        <v>0</v>
      </c>
      <c r="X94">
        <f>VLOOKUP($A94,精英副本客户端!$A$2:$O$406,12,0)</f>
        <v>1</v>
      </c>
      <c r="Y94" t="str">
        <f t="shared" si="7"/>
        <v>力量试炼（45）</v>
      </c>
    </row>
    <row r="95" spans="1:25">
      <c r="A95">
        <f t="shared" si="12"/>
        <v>104509</v>
      </c>
      <c r="B95" t="s">
        <v>1047</v>
      </c>
      <c r="C95">
        <v>0</v>
      </c>
      <c r="D95">
        <v>0</v>
      </c>
      <c r="E95" t="str">
        <f t="shared" si="10"/>
        <v>1045091_1</v>
      </c>
      <c r="F95" t="s">
        <v>213</v>
      </c>
      <c r="G95">
        <v>0</v>
      </c>
      <c r="H95">
        <v>0</v>
      </c>
      <c r="I95">
        <v>0</v>
      </c>
      <c r="J95">
        <v>0</v>
      </c>
      <c r="K95">
        <v>100</v>
      </c>
      <c r="L95" t="s">
        <v>738</v>
      </c>
      <c r="M95" s="6" t="s">
        <v>739</v>
      </c>
      <c r="N95">
        <v>920</v>
      </c>
      <c r="O95">
        <v>120</v>
      </c>
      <c r="P95">
        <v>10</v>
      </c>
      <c r="Q95">
        <v>10</v>
      </c>
      <c r="R95">
        <v>0</v>
      </c>
      <c r="S95">
        <f t="shared" si="8"/>
        <v>1</v>
      </c>
      <c r="T95">
        <f t="shared" si="9"/>
        <v>41</v>
      </c>
      <c r="U95">
        <f t="shared" si="11"/>
        <v>104508</v>
      </c>
      <c r="V95">
        <f>VLOOKUP($A95,精英副本客户端!$A$2:$O$406,10,0)</f>
        <v>49</v>
      </c>
      <c r="W95">
        <f>VLOOKUP($A95,精英副本客户端!$A$2:$O$406,11,0)</f>
        <v>1</v>
      </c>
      <c r="X95">
        <f>VLOOKUP($A95,精英副本客户端!$A$2:$O$406,12,0)</f>
        <v>5</v>
      </c>
      <c r="Y95" t="str">
        <f t="shared" si="7"/>
        <v>力量试炼（45）</v>
      </c>
    </row>
    <row r="96" spans="1:25">
      <c r="A96">
        <f t="shared" si="12"/>
        <v>105001</v>
      </c>
      <c r="B96" t="s">
        <v>1039</v>
      </c>
      <c r="C96">
        <v>0</v>
      </c>
      <c r="D96">
        <v>0</v>
      </c>
      <c r="E96" t="str">
        <f t="shared" si="10"/>
        <v>1050011_1</v>
      </c>
      <c r="F96" t="s">
        <v>213</v>
      </c>
      <c r="G96">
        <v>0</v>
      </c>
      <c r="H96">
        <v>0</v>
      </c>
      <c r="I96">
        <v>0</v>
      </c>
      <c r="J96">
        <v>0</v>
      </c>
      <c r="K96">
        <v>100</v>
      </c>
      <c r="L96" t="s">
        <v>738</v>
      </c>
      <c r="M96" s="6" t="s">
        <v>739</v>
      </c>
      <c r="N96">
        <v>920</v>
      </c>
      <c r="O96">
        <v>120</v>
      </c>
      <c r="P96">
        <v>10</v>
      </c>
      <c r="Q96">
        <v>10</v>
      </c>
      <c r="R96">
        <v>0</v>
      </c>
      <c r="S96">
        <f t="shared" si="8"/>
        <v>1</v>
      </c>
      <c r="T96">
        <f t="shared" si="9"/>
        <v>46</v>
      </c>
      <c r="U96">
        <f t="shared" si="11"/>
        <v>104509</v>
      </c>
      <c r="V96">
        <f>VLOOKUP($A96,精英副本客户端!$A$2:$O$406,10,0)</f>
        <v>50</v>
      </c>
      <c r="W96">
        <f>VLOOKUP($A96,精英副本客户端!$A$2:$O$406,11,0)</f>
        <v>0</v>
      </c>
      <c r="X96">
        <f>VLOOKUP($A96,精英副本客户端!$A$2:$O$406,12,0)</f>
        <v>1</v>
      </c>
      <c r="Y96" t="str">
        <f t="shared" si="7"/>
        <v>力量试炼（50）</v>
      </c>
    </row>
    <row r="97" spans="1:25">
      <c r="A97">
        <f t="shared" si="12"/>
        <v>105002</v>
      </c>
      <c r="B97" t="s">
        <v>1040</v>
      </c>
      <c r="C97">
        <v>0</v>
      </c>
      <c r="D97">
        <v>0</v>
      </c>
      <c r="E97" t="str">
        <f t="shared" si="10"/>
        <v>1050021_1</v>
      </c>
      <c r="F97" t="s">
        <v>213</v>
      </c>
      <c r="G97">
        <v>0</v>
      </c>
      <c r="H97">
        <v>0</v>
      </c>
      <c r="I97">
        <v>0</v>
      </c>
      <c r="J97">
        <v>0</v>
      </c>
      <c r="K97">
        <v>100</v>
      </c>
      <c r="L97" t="s">
        <v>738</v>
      </c>
      <c r="M97" s="6" t="s">
        <v>739</v>
      </c>
      <c r="N97">
        <v>920</v>
      </c>
      <c r="O97">
        <v>120</v>
      </c>
      <c r="P97">
        <v>10</v>
      </c>
      <c r="Q97">
        <v>10</v>
      </c>
      <c r="R97">
        <v>0</v>
      </c>
      <c r="S97">
        <f t="shared" si="8"/>
        <v>1</v>
      </c>
      <c r="T97">
        <f t="shared" si="9"/>
        <v>46</v>
      </c>
      <c r="U97">
        <f t="shared" si="11"/>
        <v>105001</v>
      </c>
      <c r="V97">
        <f>VLOOKUP($A97,精英副本客户端!$A$2:$O$406,10,0)</f>
        <v>50</v>
      </c>
      <c r="W97">
        <f>VLOOKUP($A97,精英副本客户端!$A$2:$O$406,11,0)</f>
        <v>0</v>
      </c>
      <c r="X97">
        <f>VLOOKUP($A97,精英副本客户端!$A$2:$O$406,12,0)</f>
        <v>1</v>
      </c>
      <c r="Y97" t="str">
        <f t="shared" si="7"/>
        <v>力量试炼（50）</v>
      </c>
    </row>
    <row r="98" spans="1:25">
      <c r="A98">
        <f t="shared" si="12"/>
        <v>105003</v>
      </c>
      <c r="B98" t="s">
        <v>1041</v>
      </c>
      <c r="C98">
        <v>0</v>
      </c>
      <c r="D98">
        <v>0</v>
      </c>
      <c r="E98" t="str">
        <f t="shared" si="10"/>
        <v>1050031_1</v>
      </c>
      <c r="F98" t="s">
        <v>213</v>
      </c>
      <c r="G98">
        <v>0</v>
      </c>
      <c r="H98">
        <v>0</v>
      </c>
      <c r="I98">
        <v>0</v>
      </c>
      <c r="J98">
        <v>0</v>
      </c>
      <c r="K98">
        <v>100</v>
      </c>
      <c r="L98" t="s">
        <v>738</v>
      </c>
      <c r="M98" s="6" t="s">
        <v>739</v>
      </c>
      <c r="N98">
        <v>920</v>
      </c>
      <c r="O98">
        <v>120</v>
      </c>
      <c r="P98">
        <v>10</v>
      </c>
      <c r="Q98">
        <v>10</v>
      </c>
      <c r="R98">
        <v>0</v>
      </c>
      <c r="S98">
        <f t="shared" si="8"/>
        <v>1</v>
      </c>
      <c r="T98">
        <f t="shared" si="9"/>
        <v>46</v>
      </c>
      <c r="U98">
        <f t="shared" si="11"/>
        <v>105002</v>
      </c>
      <c r="V98">
        <f>VLOOKUP($A98,精英副本客户端!$A$2:$O$406,10,0)</f>
        <v>51</v>
      </c>
      <c r="W98">
        <f>VLOOKUP($A98,精英副本客户端!$A$2:$O$406,11,0)</f>
        <v>1</v>
      </c>
      <c r="X98">
        <f>VLOOKUP($A98,精英副本客户端!$A$2:$O$406,12,0)</f>
        <v>5</v>
      </c>
      <c r="Y98" t="str">
        <f t="shared" si="7"/>
        <v>力量试炼（50）</v>
      </c>
    </row>
    <row r="99" spans="1:25">
      <c r="A99">
        <f t="shared" si="12"/>
        <v>105004</v>
      </c>
      <c r="B99" t="s">
        <v>1042</v>
      </c>
      <c r="C99">
        <v>0</v>
      </c>
      <c r="D99">
        <v>0</v>
      </c>
      <c r="E99" t="str">
        <f t="shared" si="10"/>
        <v>1050041_1</v>
      </c>
      <c r="F99" t="s">
        <v>213</v>
      </c>
      <c r="G99">
        <v>0</v>
      </c>
      <c r="H99">
        <v>0</v>
      </c>
      <c r="I99">
        <v>0</v>
      </c>
      <c r="J99">
        <v>0</v>
      </c>
      <c r="K99">
        <v>100</v>
      </c>
      <c r="L99" t="s">
        <v>738</v>
      </c>
      <c r="M99" s="6" t="s">
        <v>739</v>
      </c>
      <c r="N99">
        <v>920</v>
      </c>
      <c r="O99">
        <v>120</v>
      </c>
      <c r="P99">
        <v>10</v>
      </c>
      <c r="Q99">
        <v>10</v>
      </c>
      <c r="R99">
        <v>0</v>
      </c>
      <c r="S99">
        <f t="shared" si="8"/>
        <v>1</v>
      </c>
      <c r="T99">
        <f t="shared" si="9"/>
        <v>46</v>
      </c>
      <c r="U99">
        <f t="shared" si="11"/>
        <v>105003</v>
      </c>
      <c r="V99">
        <f>VLOOKUP($A99,精英副本客户端!$A$2:$O$406,10,0)</f>
        <v>51</v>
      </c>
      <c r="W99">
        <f>VLOOKUP($A99,精英副本客户端!$A$2:$O$406,11,0)</f>
        <v>0</v>
      </c>
      <c r="X99">
        <f>VLOOKUP($A99,精英副本客户端!$A$2:$O$406,12,0)</f>
        <v>1</v>
      </c>
      <c r="Y99" t="str">
        <f t="shared" si="7"/>
        <v>力量试炼（50）</v>
      </c>
    </row>
    <row r="100" spans="1:25">
      <c r="A100">
        <f t="shared" si="12"/>
        <v>105005</v>
      </c>
      <c r="B100" t="s">
        <v>1043</v>
      </c>
      <c r="C100">
        <v>0</v>
      </c>
      <c r="D100">
        <v>0</v>
      </c>
      <c r="E100" t="str">
        <f t="shared" si="10"/>
        <v>1050051_1</v>
      </c>
      <c r="F100" t="s">
        <v>213</v>
      </c>
      <c r="G100">
        <v>0</v>
      </c>
      <c r="H100">
        <v>0</v>
      </c>
      <c r="I100">
        <v>0</v>
      </c>
      <c r="J100">
        <v>0</v>
      </c>
      <c r="K100">
        <v>100</v>
      </c>
      <c r="L100" t="s">
        <v>738</v>
      </c>
      <c r="M100" s="6" t="s">
        <v>739</v>
      </c>
      <c r="N100">
        <v>920</v>
      </c>
      <c r="O100">
        <v>120</v>
      </c>
      <c r="P100">
        <v>10</v>
      </c>
      <c r="Q100">
        <v>10</v>
      </c>
      <c r="R100">
        <v>0</v>
      </c>
      <c r="S100">
        <f t="shared" si="8"/>
        <v>1</v>
      </c>
      <c r="T100">
        <f t="shared" si="9"/>
        <v>46</v>
      </c>
      <c r="U100">
        <f t="shared" si="11"/>
        <v>105004</v>
      </c>
      <c r="V100">
        <f>VLOOKUP($A100,精英副本客户端!$A$2:$O$406,10,0)</f>
        <v>51</v>
      </c>
      <c r="W100">
        <f>VLOOKUP($A100,精英副本客户端!$A$2:$O$406,11,0)</f>
        <v>0</v>
      </c>
      <c r="X100">
        <f>VLOOKUP($A100,精英副本客户端!$A$2:$O$406,12,0)</f>
        <v>1</v>
      </c>
      <c r="Y100" t="str">
        <f t="shared" si="7"/>
        <v>力量试炼（50）</v>
      </c>
    </row>
    <row r="101" spans="1:25">
      <c r="A101">
        <f t="shared" si="12"/>
        <v>105006</v>
      </c>
      <c r="B101" t="s">
        <v>1044</v>
      </c>
      <c r="C101">
        <v>0</v>
      </c>
      <c r="D101">
        <v>0</v>
      </c>
      <c r="E101" t="str">
        <f t="shared" si="10"/>
        <v>1050061_1</v>
      </c>
      <c r="F101" t="s">
        <v>213</v>
      </c>
      <c r="G101">
        <v>0</v>
      </c>
      <c r="H101">
        <v>0</v>
      </c>
      <c r="I101">
        <v>0</v>
      </c>
      <c r="J101">
        <v>0</v>
      </c>
      <c r="K101">
        <v>100</v>
      </c>
      <c r="L101" t="s">
        <v>738</v>
      </c>
      <c r="M101" s="6" t="s">
        <v>739</v>
      </c>
      <c r="N101">
        <v>920</v>
      </c>
      <c r="O101">
        <v>120</v>
      </c>
      <c r="P101">
        <v>10</v>
      </c>
      <c r="Q101">
        <v>10</v>
      </c>
      <c r="R101">
        <v>0</v>
      </c>
      <c r="S101">
        <f t="shared" si="8"/>
        <v>1</v>
      </c>
      <c r="T101">
        <f t="shared" si="9"/>
        <v>46</v>
      </c>
      <c r="U101">
        <f t="shared" si="11"/>
        <v>105005</v>
      </c>
      <c r="V101">
        <f>VLOOKUP($A101,精英副本客户端!$A$2:$O$406,10,0)</f>
        <v>52</v>
      </c>
      <c r="W101">
        <f>VLOOKUP($A101,精英副本客户端!$A$2:$O$406,11,0)</f>
        <v>1</v>
      </c>
      <c r="X101">
        <f>VLOOKUP($A101,精英副本客户端!$A$2:$O$406,12,0)</f>
        <v>5</v>
      </c>
      <c r="Y101" t="str">
        <f t="shared" si="7"/>
        <v>力量试炼（50）</v>
      </c>
    </row>
    <row r="102" spans="1:25">
      <c r="A102">
        <f t="shared" si="12"/>
        <v>105007</v>
      </c>
      <c r="B102" t="s">
        <v>1045</v>
      </c>
      <c r="C102">
        <v>0</v>
      </c>
      <c r="D102">
        <v>0</v>
      </c>
      <c r="E102" t="str">
        <f t="shared" si="10"/>
        <v>1050071_1</v>
      </c>
      <c r="F102" t="s">
        <v>213</v>
      </c>
      <c r="G102">
        <v>0</v>
      </c>
      <c r="H102">
        <v>0</v>
      </c>
      <c r="I102">
        <v>0</v>
      </c>
      <c r="J102">
        <v>0</v>
      </c>
      <c r="K102">
        <v>100</v>
      </c>
      <c r="L102" t="s">
        <v>738</v>
      </c>
      <c r="M102" s="6" t="s">
        <v>739</v>
      </c>
      <c r="N102">
        <v>920</v>
      </c>
      <c r="O102">
        <v>120</v>
      </c>
      <c r="P102">
        <v>10</v>
      </c>
      <c r="Q102">
        <v>10</v>
      </c>
      <c r="R102">
        <v>0</v>
      </c>
      <c r="S102">
        <f t="shared" si="8"/>
        <v>1</v>
      </c>
      <c r="T102">
        <f t="shared" si="9"/>
        <v>46</v>
      </c>
      <c r="U102">
        <f t="shared" si="11"/>
        <v>105006</v>
      </c>
      <c r="V102">
        <f>VLOOKUP($A102,精英副本客户端!$A$2:$O$406,10,0)</f>
        <v>52</v>
      </c>
      <c r="W102">
        <f>VLOOKUP($A102,精英副本客户端!$A$2:$O$406,11,0)</f>
        <v>0</v>
      </c>
      <c r="X102">
        <f>VLOOKUP($A102,精英副本客户端!$A$2:$O$406,12,0)</f>
        <v>1</v>
      </c>
      <c r="Y102" t="str">
        <f t="shared" si="7"/>
        <v>力量试炼（50）</v>
      </c>
    </row>
    <row r="103" spans="1:25">
      <c r="A103">
        <f t="shared" si="12"/>
        <v>105008</v>
      </c>
      <c r="B103" t="s">
        <v>1046</v>
      </c>
      <c r="C103">
        <v>0</v>
      </c>
      <c r="D103">
        <v>0</v>
      </c>
      <c r="E103" t="str">
        <f t="shared" si="10"/>
        <v>1050081_1</v>
      </c>
      <c r="F103" t="s">
        <v>213</v>
      </c>
      <c r="G103">
        <v>0</v>
      </c>
      <c r="H103">
        <v>0</v>
      </c>
      <c r="I103">
        <v>0</v>
      </c>
      <c r="J103">
        <v>0</v>
      </c>
      <c r="K103">
        <v>100</v>
      </c>
      <c r="L103" t="s">
        <v>738</v>
      </c>
      <c r="M103" s="6" t="s">
        <v>739</v>
      </c>
      <c r="N103">
        <v>920</v>
      </c>
      <c r="O103">
        <v>120</v>
      </c>
      <c r="P103">
        <v>10</v>
      </c>
      <c r="Q103">
        <v>10</v>
      </c>
      <c r="R103">
        <v>0</v>
      </c>
      <c r="S103">
        <f t="shared" si="8"/>
        <v>1</v>
      </c>
      <c r="T103">
        <f t="shared" si="9"/>
        <v>46</v>
      </c>
      <c r="U103">
        <f t="shared" si="11"/>
        <v>105007</v>
      </c>
      <c r="V103">
        <f>VLOOKUP($A103,精英副本客户端!$A$2:$O$406,10,0)</f>
        <v>53</v>
      </c>
      <c r="W103">
        <f>VLOOKUP($A103,精英副本客户端!$A$2:$O$406,11,0)</f>
        <v>0</v>
      </c>
      <c r="X103">
        <f>VLOOKUP($A103,精英副本客户端!$A$2:$O$406,12,0)</f>
        <v>1</v>
      </c>
      <c r="Y103" t="str">
        <f t="shared" si="7"/>
        <v>力量试炼（50）</v>
      </c>
    </row>
    <row r="104" spans="1:25">
      <c r="A104">
        <f t="shared" si="12"/>
        <v>105009</v>
      </c>
      <c r="B104" t="s">
        <v>1047</v>
      </c>
      <c r="C104">
        <v>0</v>
      </c>
      <c r="D104">
        <v>0</v>
      </c>
      <c r="E104" t="str">
        <f t="shared" si="10"/>
        <v>1050091_1</v>
      </c>
      <c r="F104" t="s">
        <v>213</v>
      </c>
      <c r="G104">
        <v>0</v>
      </c>
      <c r="H104">
        <v>0</v>
      </c>
      <c r="I104">
        <v>0</v>
      </c>
      <c r="J104">
        <v>0</v>
      </c>
      <c r="K104">
        <v>100</v>
      </c>
      <c r="L104" t="s">
        <v>738</v>
      </c>
      <c r="M104" s="6" t="s">
        <v>739</v>
      </c>
      <c r="N104">
        <v>920</v>
      </c>
      <c r="O104">
        <v>120</v>
      </c>
      <c r="P104">
        <v>10</v>
      </c>
      <c r="Q104">
        <v>10</v>
      </c>
      <c r="R104">
        <v>0</v>
      </c>
      <c r="S104">
        <f t="shared" si="8"/>
        <v>1</v>
      </c>
      <c r="T104">
        <f t="shared" si="9"/>
        <v>46</v>
      </c>
      <c r="U104">
        <f t="shared" si="11"/>
        <v>105008</v>
      </c>
      <c r="V104">
        <f>VLOOKUP($A104,精英副本客户端!$A$2:$O$406,10,0)</f>
        <v>54</v>
      </c>
      <c r="W104">
        <f>VLOOKUP($A104,精英副本客户端!$A$2:$O$406,11,0)</f>
        <v>1</v>
      </c>
      <c r="X104">
        <f>VLOOKUP($A104,精英副本客户端!$A$2:$O$406,12,0)</f>
        <v>5</v>
      </c>
      <c r="Y104" t="str">
        <f t="shared" si="7"/>
        <v>力量试炼（50）</v>
      </c>
    </row>
    <row r="105" spans="1:25">
      <c r="A105">
        <f t="shared" si="12"/>
        <v>105501</v>
      </c>
      <c r="B105" t="s">
        <v>1039</v>
      </c>
      <c r="C105">
        <v>0</v>
      </c>
      <c r="D105">
        <v>0</v>
      </c>
      <c r="E105" t="str">
        <f t="shared" si="10"/>
        <v>1055011_1</v>
      </c>
      <c r="F105" t="s">
        <v>213</v>
      </c>
      <c r="G105">
        <v>0</v>
      </c>
      <c r="H105">
        <v>0</v>
      </c>
      <c r="I105">
        <v>0</v>
      </c>
      <c r="J105">
        <v>0</v>
      </c>
      <c r="K105">
        <v>100</v>
      </c>
      <c r="L105" t="s">
        <v>738</v>
      </c>
      <c r="M105" s="6" t="s">
        <v>739</v>
      </c>
      <c r="N105">
        <v>920</v>
      </c>
      <c r="O105">
        <v>120</v>
      </c>
      <c r="P105">
        <v>10</v>
      </c>
      <c r="Q105">
        <v>10</v>
      </c>
      <c r="R105">
        <v>0</v>
      </c>
      <c r="S105">
        <f t="shared" si="8"/>
        <v>1</v>
      </c>
      <c r="T105">
        <f t="shared" si="9"/>
        <v>51</v>
      </c>
      <c r="U105">
        <f t="shared" si="11"/>
        <v>105009</v>
      </c>
      <c r="V105">
        <f>VLOOKUP($A105,精英副本客户端!$A$2:$O$406,10,0)</f>
        <v>55</v>
      </c>
      <c r="W105">
        <f>VLOOKUP($A105,精英副本客户端!$A$2:$O$406,11,0)</f>
        <v>0</v>
      </c>
      <c r="X105">
        <f>VLOOKUP($A105,精英副本客户端!$A$2:$O$406,12,0)</f>
        <v>1</v>
      </c>
      <c r="Y105" t="str">
        <f t="shared" si="7"/>
        <v>力量试炼（55）</v>
      </c>
    </row>
    <row r="106" spans="1:25">
      <c r="A106">
        <f t="shared" si="12"/>
        <v>105502</v>
      </c>
      <c r="B106" t="s">
        <v>1040</v>
      </c>
      <c r="C106">
        <v>0</v>
      </c>
      <c r="D106">
        <v>0</v>
      </c>
      <c r="E106" t="str">
        <f t="shared" si="10"/>
        <v>1055021_1</v>
      </c>
      <c r="F106" t="s">
        <v>213</v>
      </c>
      <c r="G106">
        <v>0</v>
      </c>
      <c r="H106">
        <v>0</v>
      </c>
      <c r="I106">
        <v>0</v>
      </c>
      <c r="J106">
        <v>0</v>
      </c>
      <c r="K106">
        <v>100</v>
      </c>
      <c r="L106" t="s">
        <v>738</v>
      </c>
      <c r="M106" s="6" t="s">
        <v>739</v>
      </c>
      <c r="N106">
        <v>920</v>
      </c>
      <c r="O106">
        <v>120</v>
      </c>
      <c r="P106">
        <v>10</v>
      </c>
      <c r="Q106">
        <v>10</v>
      </c>
      <c r="R106">
        <v>0</v>
      </c>
      <c r="S106">
        <f t="shared" si="8"/>
        <v>1</v>
      </c>
      <c r="T106">
        <f t="shared" si="9"/>
        <v>51</v>
      </c>
      <c r="U106">
        <f t="shared" si="11"/>
        <v>105501</v>
      </c>
      <c r="V106">
        <f>VLOOKUP($A106,精英副本客户端!$A$2:$O$406,10,0)</f>
        <v>55</v>
      </c>
      <c r="W106">
        <f>VLOOKUP($A106,精英副本客户端!$A$2:$O$406,11,0)</f>
        <v>0</v>
      </c>
      <c r="X106">
        <f>VLOOKUP($A106,精英副本客户端!$A$2:$O$406,12,0)</f>
        <v>1</v>
      </c>
      <c r="Y106" t="str">
        <f t="shared" si="7"/>
        <v>力量试炼（55）</v>
      </c>
    </row>
    <row r="107" spans="1:25">
      <c r="A107">
        <f t="shared" si="12"/>
        <v>105503</v>
      </c>
      <c r="B107" t="s">
        <v>1041</v>
      </c>
      <c r="C107">
        <v>0</v>
      </c>
      <c r="D107">
        <v>0</v>
      </c>
      <c r="E107" t="str">
        <f t="shared" si="10"/>
        <v>1055031_1</v>
      </c>
      <c r="F107" t="s">
        <v>213</v>
      </c>
      <c r="G107">
        <v>0</v>
      </c>
      <c r="H107">
        <v>0</v>
      </c>
      <c r="I107">
        <v>0</v>
      </c>
      <c r="J107">
        <v>0</v>
      </c>
      <c r="K107">
        <v>100</v>
      </c>
      <c r="L107" t="s">
        <v>738</v>
      </c>
      <c r="M107" s="6" t="s">
        <v>739</v>
      </c>
      <c r="N107">
        <v>920</v>
      </c>
      <c r="O107">
        <v>120</v>
      </c>
      <c r="P107">
        <v>10</v>
      </c>
      <c r="Q107">
        <v>10</v>
      </c>
      <c r="R107">
        <v>0</v>
      </c>
      <c r="S107">
        <f t="shared" si="8"/>
        <v>1</v>
      </c>
      <c r="T107">
        <f t="shared" si="9"/>
        <v>51</v>
      </c>
      <c r="U107">
        <f t="shared" si="11"/>
        <v>105502</v>
      </c>
      <c r="V107">
        <f>VLOOKUP($A107,精英副本客户端!$A$2:$O$406,10,0)</f>
        <v>56</v>
      </c>
      <c r="W107">
        <f>VLOOKUP($A107,精英副本客户端!$A$2:$O$406,11,0)</f>
        <v>1</v>
      </c>
      <c r="X107">
        <f>VLOOKUP($A107,精英副本客户端!$A$2:$O$406,12,0)</f>
        <v>5</v>
      </c>
      <c r="Y107" t="str">
        <f t="shared" si="7"/>
        <v>力量试炼（55）</v>
      </c>
    </row>
    <row r="108" spans="1:25">
      <c r="A108">
        <f t="shared" si="12"/>
        <v>105504</v>
      </c>
      <c r="B108" t="s">
        <v>1042</v>
      </c>
      <c r="C108">
        <v>0</v>
      </c>
      <c r="D108">
        <v>0</v>
      </c>
      <c r="E108" t="str">
        <f t="shared" si="10"/>
        <v>1055041_1</v>
      </c>
      <c r="F108" t="s">
        <v>213</v>
      </c>
      <c r="G108">
        <v>0</v>
      </c>
      <c r="H108">
        <v>0</v>
      </c>
      <c r="I108">
        <v>0</v>
      </c>
      <c r="J108">
        <v>0</v>
      </c>
      <c r="K108">
        <v>100</v>
      </c>
      <c r="L108" t="s">
        <v>738</v>
      </c>
      <c r="M108" s="6" t="s">
        <v>739</v>
      </c>
      <c r="N108">
        <v>920</v>
      </c>
      <c r="O108">
        <v>120</v>
      </c>
      <c r="P108">
        <v>10</v>
      </c>
      <c r="Q108">
        <v>10</v>
      </c>
      <c r="R108">
        <v>0</v>
      </c>
      <c r="S108">
        <f t="shared" si="8"/>
        <v>1</v>
      </c>
      <c r="T108">
        <f t="shared" si="9"/>
        <v>51</v>
      </c>
      <c r="U108">
        <f t="shared" si="11"/>
        <v>105503</v>
      </c>
      <c r="V108">
        <f>VLOOKUP($A108,精英副本客户端!$A$2:$O$406,10,0)</f>
        <v>56</v>
      </c>
      <c r="W108">
        <f>VLOOKUP($A108,精英副本客户端!$A$2:$O$406,11,0)</f>
        <v>0</v>
      </c>
      <c r="X108">
        <f>VLOOKUP($A108,精英副本客户端!$A$2:$O$406,12,0)</f>
        <v>1</v>
      </c>
      <c r="Y108" t="str">
        <f t="shared" si="7"/>
        <v>力量试炼（55）</v>
      </c>
    </row>
    <row r="109" spans="1:25">
      <c r="A109">
        <f t="shared" si="12"/>
        <v>105505</v>
      </c>
      <c r="B109" t="s">
        <v>1043</v>
      </c>
      <c r="C109">
        <v>0</v>
      </c>
      <c r="D109">
        <v>0</v>
      </c>
      <c r="E109" t="str">
        <f t="shared" si="10"/>
        <v>1055051_1</v>
      </c>
      <c r="F109" t="s">
        <v>213</v>
      </c>
      <c r="G109">
        <v>0</v>
      </c>
      <c r="H109">
        <v>0</v>
      </c>
      <c r="I109">
        <v>0</v>
      </c>
      <c r="J109">
        <v>0</v>
      </c>
      <c r="K109">
        <v>100</v>
      </c>
      <c r="L109" t="s">
        <v>738</v>
      </c>
      <c r="M109" s="6" t="s">
        <v>739</v>
      </c>
      <c r="N109">
        <v>920</v>
      </c>
      <c r="O109">
        <v>120</v>
      </c>
      <c r="P109">
        <v>10</v>
      </c>
      <c r="Q109">
        <v>10</v>
      </c>
      <c r="R109">
        <v>0</v>
      </c>
      <c r="S109">
        <f t="shared" si="8"/>
        <v>1</v>
      </c>
      <c r="T109">
        <f t="shared" si="9"/>
        <v>51</v>
      </c>
      <c r="U109">
        <f t="shared" si="11"/>
        <v>105504</v>
      </c>
      <c r="V109">
        <f>VLOOKUP($A109,精英副本客户端!$A$2:$O$406,10,0)</f>
        <v>56</v>
      </c>
      <c r="W109">
        <f>VLOOKUP($A109,精英副本客户端!$A$2:$O$406,11,0)</f>
        <v>0</v>
      </c>
      <c r="X109">
        <f>VLOOKUP($A109,精英副本客户端!$A$2:$O$406,12,0)</f>
        <v>1</v>
      </c>
      <c r="Y109" t="str">
        <f t="shared" si="7"/>
        <v>力量试炼（55）</v>
      </c>
    </row>
    <row r="110" spans="1:25">
      <c r="A110">
        <f t="shared" si="12"/>
        <v>105506</v>
      </c>
      <c r="B110" t="s">
        <v>1044</v>
      </c>
      <c r="C110">
        <v>0</v>
      </c>
      <c r="D110">
        <v>0</v>
      </c>
      <c r="E110" t="str">
        <f t="shared" si="10"/>
        <v>1055061_1</v>
      </c>
      <c r="F110" t="s">
        <v>213</v>
      </c>
      <c r="G110">
        <v>0</v>
      </c>
      <c r="H110">
        <v>0</v>
      </c>
      <c r="I110">
        <v>0</v>
      </c>
      <c r="J110">
        <v>0</v>
      </c>
      <c r="K110">
        <v>100</v>
      </c>
      <c r="L110" t="s">
        <v>738</v>
      </c>
      <c r="M110" s="6" t="s">
        <v>739</v>
      </c>
      <c r="N110">
        <v>920</v>
      </c>
      <c r="O110">
        <v>120</v>
      </c>
      <c r="P110">
        <v>10</v>
      </c>
      <c r="Q110">
        <v>10</v>
      </c>
      <c r="R110">
        <v>0</v>
      </c>
      <c r="S110">
        <f t="shared" si="8"/>
        <v>1</v>
      </c>
      <c r="T110">
        <f t="shared" si="9"/>
        <v>51</v>
      </c>
      <c r="U110">
        <f t="shared" si="11"/>
        <v>105505</v>
      </c>
      <c r="V110">
        <f>VLOOKUP($A110,精英副本客户端!$A$2:$O$406,10,0)</f>
        <v>57</v>
      </c>
      <c r="W110">
        <f>VLOOKUP($A110,精英副本客户端!$A$2:$O$406,11,0)</f>
        <v>1</v>
      </c>
      <c r="X110">
        <f>VLOOKUP($A110,精英副本客户端!$A$2:$O$406,12,0)</f>
        <v>5</v>
      </c>
      <c r="Y110" t="str">
        <f t="shared" si="7"/>
        <v>力量试炼（55）</v>
      </c>
    </row>
    <row r="111" spans="1:25">
      <c r="A111">
        <f t="shared" si="12"/>
        <v>105507</v>
      </c>
      <c r="B111" t="s">
        <v>1045</v>
      </c>
      <c r="C111">
        <v>0</v>
      </c>
      <c r="D111">
        <v>0</v>
      </c>
      <c r="E111" t="str">
        <f t="shared" si="10"/>
        <v>1055071_1</v>
      </c>
      <c r="F111" t="s">
        <v>213</v>
      </c>
      <c r="G111">
        <v>0</v>
      </c>
      <c r="H111">
        <v>0</v>
      </c>
      <c r="I111">
        <v>0</v>
      </c>
      <c r="J111">
        <v>0</v>
      </c>
      <c r="K111">
        <v>100</v>
      </c>
      <c r="L111" t="s">
        <v>738</v>
      </c>
      <c r="M111" s="6" t="s">
        <v>739</v>
      </c>
      <c r="N111">
        <v>920</v>
      </c>
      <c r="O111">
        <v>120</v>
      </c>
      <c r="P111">
        <v>10</v>
      </c>
      <c r="Q111">
        <v>10</v>
      </c>
      <c r="R111">
        <v>0</v>
      </c>
      <c r="S111">
        <f t="shared" si="8"/>
        <v>1</v>
      </c>
      <c r="T111">
        <f t="shared" si="9"/>
        <v>51</v>
      </c>
      <c r="U111">
        <f t="shared" si="11"/>
        <v>105506</v>
      </c>
      <c r="V111">
        <f>VLOOKUP($A111,精英副本客户端!$A$2:$O$406,10,0)</f>
        <v>57</v>
      </c>
      <c r="W111">
        <f>VLOOKUP($A111,精英副本客户端!$A$2:$O$406,11,0)</f>
        <v>0</v>
      </c>
      <c r="X111">
        <f>VLOOKUP($A111,精英副本客户端!$A$2:$O$406,12,0)</f>
        <v>1</v>
      </c>
      <c r="Y111" t="str">
        <f t="shared" si="7"/>
        <v>力量试炼（55）</v>
      </c>
    </row>
    <row r="112" spans="1:25">
      <c r="A112">
        <f t="shared" si="12"/>
        <v>105508</v>
      </c>
      <c r="B112" t="s">
        <v>1046</v>
      </c>
      <c r="C112">
        <v>0</v>
      </c>
      <c r="D112">
        <v>0</v>
      </c>
      <c r="E112" t="str">
        <f t="shared" si="10"/>
        <v>1055081_1</v>
      </c>
      <c r="F112" t="s">
        <v>213</v>
      </c>
      <c r="G112">
        <v>0</v>
      </c>
      <c r="H112">
        <v>0</v>
      </c>
      <c r="I112">
        <v>0</v>
      </c>
      <c r="J112">
        <v>0</v>
      </c>
      <c r="K112">
        <v>100</v>
      </c>
      <c r="L112" t="s">
        <v>738</v>
      </c>
      <c r="M112" s="6" t="s">
        <v>739</v>
      </c>
      <c r="N112">
        <v>920</v>
      </c>
      <c r="O112">
        <v>120</v>
      </c>
      <c r="P112">
        <v>10</v>
      </c>
      <c r="Q112">
        <v>10</v>
      </c>
      <c r="R112">
        <v>0</v>
      </c>
      <c r="S112">
        <f t="shared" si="8"/>
        <v>1</v>
      </c>
      <c r="T112">
        <f t="shared" si="9"/>
        <v>51</v>
      </c>
      <c r="U112">
        <f t="shared" si="11"/>
        <v>105507</v>
      </c>
      <c r="V112">
        <f>VLOOKUP($A112,精英副本客户端!$A$2:$O$406,10,0)</f>
        <v>58</v>
      </c>
      <c r="W112">
        <f>VLOOKUP($A112,精英副本客户端!$A$2:$O$406,11,0)</f>
        <v>0</v>
      </c>
      <c r="X112">
        <f>VLOOKUP($A112,精英副本客户端!$A$2:$O$406,12,0)</f>
        <v>1</v>
      </c>
      <c r="Y112" t="str">
        <f t="shared" si="7"/>
        <v>力量试炼（55）</v>
      </c>
    </row>
    <row r="113" spans="1:25">
      <c r="A113">
        <f t="shared" si="12"/>
        <v>105509</v>
      </c>
      <c r="B113" t="s">
        <v>1047</v>
      </c>
      <c r="C113">
        <v>0</v>
      </c>
      <c r="D113">
        <v>0</v>
      </c>
      <c r="E113" t="str">
        <f t="shared" si="10"/>
        <v>1055091_1</v>
      </c>
      <c r="F113" t="s">
        <v>213</v>
      </c>
      <c r="G113">
        <v>0</v>
      </c>
      <c r="H113">
        <v>0</v>
      </c>
      <c r="I113">
        <v>0</v>
      </c>
      <c r="J113">
        <v>0</v>
      </c>
      <c r="K113">
        <v>100</v>
      </c>
      <c r="L113" t="s">
        <v>738</v>
      </c>
      <c r="M113" s="6" t="s">
        <v>739</v>
      </c>
      <c r="N113">
        <v>920</v>
      </c>
      <c r="O113">
        <v>120</v>
      </c>
      <c r="P113">
        <v>10</v>
      </c>
      <c r="Q113">
        <v>10</v>
      </c>
      <c r="R113">
        <v>0</v>
      </c>
      <c r="S113">
        <f t="shared" si="8"/>
        <v>1</v>
      </c>
      <c r="T113">
        <f t="shared" si="9"/>
        <v>51</v>
      </c>
      <c r="U113">
        <f t="shared" si="11"/>
        <v>105508</v>
      </c>
      <c r="V113">
        <f>VLOOKUP($A113,精英副本客户端!$A$2:$O$406,10,0)</f>
        <v>59</v>
      </c>
      <c r="W113">
        <f>VLOOKUP($A113,精英副本客户端!$A$2:$O$406,11,0)</f>
        <v>1</v>
      </c>
      <c r="X113">
        <f>VLOOKUP($A113,精英副本客户端!$A$2:$O$406,12,0)</f>
        <v>5</v>
      </c>
      <c r="Y113" t="str">
        <f t="shared" si="7"/>
        <v>力量试炼（55）</v>
      </c>
    </row>
    <row r="114" spans="1:25">
      <c r="A114">
        <f t="shared" si="12"/>
        <v>106001</v>
      </c>
      <c r="B114" t="s">
        <v>1048</v>
      </c>
      <c r="C114">
        <v>0</v>
      </c>
      <c r="D114">
        <v>0</v>
      </c>
      <c r="E114" t="str">
        <f t="shared" si="10"/>
        <v>1060011_1</v>
      </c>
      <c r="F114" t="s">
        <v>213</v>
      </c>
      <c r="G114">
        <v>0</v>
      </c>
      <c r="H114">
        <v>0</v>
      </c>
      <c r="I114">
        <v>0</v>
      </c>
      <c r="J114">
        <v>0</v>
      </c>
      <c r="K114">
        <v>100</v>
      </c>
      <c r="L114" t="s">
        <v>738</v>
      </c>
      <c r="M114" s="6" t="s">
        <v>739</v>
      </c>
      <c r="N114">
        <v>920</v>
      </c>
      <c r="O114">
        <v>120</v>
      </c>
      <c r="P114">
        <v>10</v>
      </c>
      <c r="Q114">
        <v>10</v>
      </c>
      <c r="R114">
        <v>0</v>
      </c>
      <c r="S114">
        <f t="shared" si="8"/>
        <v>1</v>
      </c>
      <c r="T114">
        <f t="shared" si="9"/>
        <v>56</v>
      </c>
      <c r="U114">
        <f t="shared" si="11"/>
        <v>105509</v>
      </c>
      <c r="V114">
        <f>VLOOKUP($A114,精英副本客户端!$A$2:$O$406,10,0)</f>
        <v>60</v>
      </c>
      <c r="W114">
        <f>VLOOKUP($A114,精英副本客户端!$A$2:$O$406,11,0)</f>
        <v>0</v>
      </c>
      <c r="X114">
        <f>VLOOKUP($A114,精英副本客户端!$A$2:$O$406,12,0)</f>
        <v>1</v>
      </c>
      <c r="Y114" t="str">
        <f t="shared" ref="Y114:Y134" si="13">"勇气试炼（"&amp;MID(A114,2,3)*1&amp;"）"</f>
        <v>勇气试炼（60）</v>
      </c>
    </row>
    <row r="115" spans="1:25">
      <c r="A115">
        <f t="shared" si="12"/>
        <v>106002</v>
      </c>
      <c r="B115" t="s">
        <v>1065</v>
      </c>
      <c r="C115">
        <v>0</v>
      </c>
      <c r="D115">
        <v>0</v>
      </c>
      <c r="E115" t="str">
        <f t="shared" si="10"/>
        <v>1060021_1</v>
      </c>
      <c r="F115" t="s">
        <v>213</v>
      </c>
      <c r="G115">
        <v>0</v>
      </c>
      <c r="H115">
        <v>0</v>
      </c>
      <c r="I115">
        <v>0</v>
      </c>
      <c r="J115">
        <v>0</v>
      </c>
      <c r="K115">
        <v>100</v>
      </c>
      <c r="L115" t="s">
        <v>738</v>
      </c>
      <c r="M115" s="6" t="s">
        <v>739</v>
      </c>
      <c r="N115">
        <v>920</v>
      </c>
      <c r="O115">
        <v>120</v>
      </c>
      <c r="P115">
        <v>10</v>
      </c>
      <c r="Q115">
        <v>10</v>
      </c>
      <c r="R115">
        <v>0</v>
      </c>
      <c r="S115">
        <f t="shared" si="8"/>
        <v>1</v>
      </c>
      <c r="T115">
        <f t="shared" si="9"/>
        <v>56</v>
      </c>
      <c r="U115">
        <f t="shared" si="11"/>
        <v>106001</v>
      </c>
      <c r="V115">
        <f>VLOOKUP($A115,精英副本客户端!$A$2:$O$406,10,0)</f>
        <v>60</v>
      </c>
      <c r="W115">
        <f>VLOOKUP($A115,精英副本客户端!$A$2:$O$406,11,0)</f>
        <v>0</v>
      </c>
      <c r="X115">
        <f>VLOOKUP($A115,精英副本客户端!$A$2:$O$406,12,0)</f>
        <v>1</v>
      </c>
      <c r="Y115" t="str">
        <f t="shared" si="13"/>
        <v>勇气试炼（60）</v>
      </c>
    </row>
    <row r="116" spans="1:25">
      <c r="A116">
        <f t="shared" si="12"/>
        <v>106003</v>
      </c>
      <c r="B116" t="s">
        <v>1052</v>
      </c>
      <c r="C116">
        <v>0</v>
      </c>
      <c r="D116">
        <v>0</v>
      </c>
      <c r="E116" t="str">
        <f t="shared" si="10"/>
        <v>1060031_1</v>
      </c>
      <c r="F116" t="s">
        <v>213</v>
      </c>
      <c r="G116">
        <v>0</v>
      </c>
      <c r="H116">
        <v>0</v>
      </c>
      <c r="I116">
        <v>0</v>
      </c>
      <c r="J116">
        <v>0</v>
      </c>
      <c r="K116">
        <v>100</v>
      </c>
      <c r="L116" t="s">
        <v>738</v>
      </c>
      <c r="M116" s="6" t="s">
        <v>739</v>
      </c>
      <c r="N116">
        <v>920</v>
      </c>
      <c r="O116">
        <v>120</v>
      </c>
      <c r="P116">
        <v>10</v>
      </c>
      <c r="Q116">
        <v>10</v>
      </c>
      <c r="R116">
        <v>0</v>
      </c>
      <c r="S116">
        <f t="shared" si="8"/>
        <v>1</v>
      </c>
      <c r="T116">
        <f t="shared" si="9"/>
        <v>56</v>
      </c>
      <c r="U116">
        <f t="shared" si="11"/>
        <v>106002</v>
      </c>
      <c r="V116">
        <f>VLOOKUP($A116,精英副本客户端!$A$2:$O$406,10,0)</f>
        <v>61</v>
      </c>
      <c r="W116">
        <f>VLOOKUP($A116,精英副本客户端!$A$2:$O$406,11,0)</f>
        <v>1</v>
      </c>
      <c r="X116">
        <f>VLOOKUP($A116,精英副本客户端!$A$2:$O$406,12,0)</f>
        <v>5</v>
      </c>
      <c r="Y116" t="str">
        <f t="shared" si="13"/>
        <v>勇气试炼（60）</v>
      </c>
    </row>
    <row r="117" spans="1:25">
      <c r="A117">
        <f t="shared" si="12"/>
        <v>106004</v>
      </c>
      <c r="B117" t="s">
        <v>1050</v>
      </c>
      <c r="C117">
        <v>0</v>
      </c>
      <c r="D117">
        <v>0</v>
      </c>
      <c r="E117" t="str">
        <f t="shared" si="10"/>
        <v>1060041_1</v>
      </c>
      <c r="F117" t="s">
        <v>213</v>
      </c>
      <c r="G117">
        <v>0</v>
      </c>
      <c r="H117">
        <v>0</v>
      </c>
      <c r="I117">
        <v>0</v>
      </c>
      <c r="J117">
        <v>0</v>
      </c>
      <c r="K117">
        <v>100</v>
      </c>
      <c r="L117" t="s">
        <v>738</v>
      </c>
      <c r="M117" s="6" t="s">
        <v>739</v>
      </c>
      <c r="N117">
        <v>920</v>
      </c>
      <c r="O117">
        <v>120</v>
      </c>
      <c r="P117">
        <v>10</v>
      </c>
      <c r="Q117">
        <v>10</v>
      </c>
      <c r="R117">
        <v>0</v>
      </c>
      <c r="S117">
        <f t="shared" si="8"/>
        <v>1</v>
      </c>
      <c r="T117">
        <f t="shared" si="9"/>
        <v>56</v>
      </c>
      <c r="U117">
        <f t="shared" si="11"/>
        <v>106003</v>
      </c>
      <c r="V117">
        <f>VLOOKUP($A117,精英副本客户端!$A$2:$O$406,10,0)</f>
        <v>61</v>
      </c>
      <c r="W117">
        <f>VLOOKUP($A117,精英副本客户端!$A$2:$O$406,11,0)</f>
        <v>0</v>
      </c>
      <c r="X117">
        <f>VLOOKUP($A117,精英副本客户端!$A$2:$O$406,12,0)</f>
        <v>1</v>
      </c>
      <c r="Y117" t="str">
        <f t="shared" si="13"/>
        <v>勇气试炼（60）</v>
      </c>
    </row>
    <row r="118" spans="1:25">
      <c r="A118">
        <f t="shared" si="12"/>
        <v>106005</v>
      </c>
      <c r="B118" t="s">
        <v>1051</v>
      </c>
      <c r="C118">
        <v>0</v>
      </c>
      <c r="D118">
        <v>0</v>
      </c>
      <c r="E118" t="str">
        <f t="shared" si="10"/>
        <v>1060051_1</v>
      </c>
      <c r="F118" t="s">
        <v>213</v>
      </c>
      <c r="G118">
        <v>0</v>
      </c>
      <c r="H118">
        <v>0</v>
      </c>
      <c r="I118">
        <v>0</v>
      </c>
      <c r="J118">
        <v>0</v>
      </c>
      <c r="K118">
        <v>100</v>
      </c>
      <c r="L118" t="s">
        <v>738</v>
      </c>
      <c r="M118" s="6" t="s">
        <v>739</v>
      </c>
      <c r="N118">
        <v>920</v>
      </c>
      <c r="O118">
        <v>120</v>
      </c>
      <c r="P118">
        <v>10</v>
      </c>
      <c r="Q118">
        <v>10</v>
      </c>
      <c r="R118">
        <v>0</v>
      </c>
      <c r="S118">
        <f t="shared" si="8"/>
        <v>1</v>
      </c>
      <c r="T118">
        <f t="shared" si="9"/>
        <v>56</v>
      </c>
      <c r="U118">
        <f t="shared" si="11"/>
        <v>106004</v>
      </c>
      <c r="V118">
        <f>VLOOKUP($A118,精英副本客户端!$A$2:$O$406,10,0)</f>
        <v>61</v>
      </c>
      <c r="W118">
        <f>VLOOKUP($A118,精英副本客户端!$A$2:$O$406,11,0)</f>
        <v>0</v>
      </c>
      <c r="X118">
        <f>VLOOKUP($A118,精英副本客户端!$A$2:$O$406,12,0)</f>
        <v>1</v>
      </c>
      <c r="Y118" t="str">
        <f t="shared" si="13"/>
        <v>勇气试炼（60）</v>
      </c>
    </row>
    <row r="119" spans="1:25">
      <c r="A119">
        <f t="shared" si="12"/>
        <v>106006</v>
      </c>
      <c r="B119" t="s">
        <v>1049</v>
      </c>
      <c r="C119">
        <v>0</v>
      </c>
      <c r="D119">
        <v>0</v>
      </c>
      <c r="E119" t="str">
        <f t="shared" si="10"/>
        <v>1060061_1</v>
      </c>
      <c r="F119" t="s">
        <v>213</v>
      </c>
      <c r="G119">
        <v>0</v>
      </c>
      <c r="H119">
        <v>0</v>
      </c>
      <c r="I119">
        <v>0</v>
      </c>
      <c r="J119">
        <v>0</v>
      </c>
      <c r="K119">
        <v>100</v>
      </c>
      <c r="L119" t="s">
        <v>738</v>
      </c>
      <c r="M119" s="6" t="s">
        <v>739</v>
      </c>
      <c r="N119">
        <v>920</v>
      </c>
      <c r="O119">
        <v>120</v>
      </c>
      <c r="P119">
        <v>10</v>
      </c>
      <c r="Q119">
        <v>10</v>
      </c>
      <c r="R119">
        <v>0</v>
      </c>
      <c r="S119">
        <f t="shared" si="8"/>
        <v>1</v>
      </c>
      <c r="T119">
        <f t="shared" si="9"/>
        <v>56</v>
      </c>
      <c r="U119">
        <f t="shared" si="11"/>
        <v>106005</v>
      </c>
      <c r="V119">
        <f>VLOOKUP($A119,精英副本客户端!$A$2:$O$406,10,0)</f>
        <v>62</v>
      </c>
      <c r="W119">
        <f>VLOOKUP($A119,精英副本客户端!$A$2:$O$406,11,0)</f>
        <v>1</v>
      </c>
      <c r="X119">
        <f>VLOOKUP($A119,精英副本客户端!$A$2:$O$406,12,0)</f>
        <v>5</v>
      </c>
      <c r="Y119" t="str">
        <f t="shared" si="13"/>
        <v>勇气试炼（60）</v>
      </c>
    </row>
    <row r="120" spans="1:25">
      <c r="A120">
        <f t="shared" si="12"/>
        <v>106007</v>
      </c>
      <c r="B120" t="s">
        <v>1053</v>
      </c>
      <c r="C120">
        <v>0</v>
      </c>
      <c r="D120">
        <v>0</v>
      </c>
      <c r="E120" t="str">
        <f t="shared" si="10"/>
        <v>1060071_1</v>
      </c>
      <c r="F120" t="s">
        <v>213</v>
      </c>
      <c r="G120">
        <v>0</v>
      </c>
      <c r="H120">
        <v>0</v>
      </c>
      <c r="I120">
        <v>0</v>
      </c>
      <c r="J120">
        <v>0</v>
      </c>
      <c r="K120">
        <v>100</v>
      </c>
      <c r="L120" t="s">
        <v>738</v>
      </c>
      <c r="M120" s="6" t="s">
        <v>739</v>
      </c>
      <c r="N120">
        <v>920</v>
      </c>
      <c r="O120">
        <v>120</v>
      </c>
      <c r="P120">
        <v>10</v>
      </c>
      <c r="Q120">
        <v>10</v>
      </c>
      <c r="R120">
        <v>0</v>
      </c>
      <c r="S120">
        <f t="shared" si="8"/>
        <v>1</v>
      </c>
      <c r="T120">
        <f t="shared" si="9"/>
        <v>56</v>
      </c>
      <c r="U120">
        <f t="shared" si="11"/>
        <v>106006</v>
      </c>
      <c r="V120">
        <f>VLOOKUP($A120,精英副本客户端!$A$2:$O$406,10,0)</f>
        <v>62</v>
      </c>
      <c r="W120">
        <f>VLOOKUP($A120,精英副本客户端!$A$2:$O$406,11,0)</f>
        <v>0</v>
      </c>
      <c r="X120">
        <f>VLOOKUP($A120,精英副本客户端!$A$2:$O$406,12,0)</f>
        <v>1</v>
      </c>
      <c r="Y120" t="str">
        <f t="shared" si="13"/>
        <v>勇气试炼（60）</v>
      </c>
    </row>
    <row r="121" spans="1:25">
      <c r="A121">
        <f t="shared" si="12"/>
        <v>106008</v>
      </c>
      <c r="B121" t="s">
        <v>1054</v>
      </c>
      <c r="C121">
        <v>0</v>
      </c>
      <c r="D121">
        <v>0</v>
      </c>
      <c r="E121" t="str">
        <f t="shared" si="10"/>
        <v>1060081_1</v>
      </c>
      <c r="F121" t="s">
        <v>213</v>
      </c>
      <c r="G121">
        <v>0</v>
      </c>
      <c r="H121">
        <v>0</v>
      </c>
      <c r="I121">
        <v>0</v>
      </c>
      <c r="J121">
        <v>0</v>
      </c>
      <c r="K121">
        <v>100</v>
      </c>
      <c r="L121" t="s">
        <v>738</v>
      </c>
      <c r="M121" s="6" t="s">
        <v>739</v>
      </c>
      <c r="N121">
        <v>920</v>
      </c>
      <c r="O121">
        <v>120</v>
      </c>
      <c r="P121">
        <v>10</v>
      </c>
      <c r="Q121">
        <v>10</v>
      </c>
      <c r="R121">
        <v>0</v>
      </c>
      <c r="S121">
        <f t="shared" si="8"/>
        <v>1</v>
      </c>
      <c r="T121">
        <f t="shared" si="9"/>
        <v>56</v>
      </c>
      <c r="U121">
        <f t="shared" si="11"/>
        <v>106007</v>
      </c>
      <c r="V121">
        <f>VLOOKUP($A121,精英副本客户端!$A$2:$O$406,10,0)</f>
        <v>63</v>
      </c>
      <c r="W121">
        <f>VLOOKUP($A121,精英副本客户端!$A$2:$O$406,11,0)</f>
        <v>0</v>
      </c>
      <c r="X121">
        <f>VLOOKUP($A121,精英副本客户端!$A$2:$O$406,12,0)</f>
        <v>1</v>
      </c>
      <c r="Y121" t="str">
        <f t="shared" si="13"/>
        <v>勇气试炼（60）</v>
      </c>
    </row>
    <row r="122" spans="1:25">
      <c r="A122">
        <f t="shared" si="12"/>
        <v>106009</v>
      </c>
      <c r="B122" t="s">
        <v>1055</v>
      </c>
      <c r="C122">
        <v>0</v>
      </c>
      <c r="D122">
        <v>0</v>
      </c>
      <c r="E122" t="str">
        <f t="shared" si="10"/>
        <v>1060091_1</v>
      </c>
      <c r="F122" t="s">
        <v>213</v>
      </c>
      <c r="G122">
        <v>0</v>
      </c>
      <c r="H122">
        <v>0</v>
      </c>
      <c r="I122">
        <v>0</v>
      </c>
      <c r="J122">
        <v>0</v>
      </c>
      <c r="K122">
        <v>100</v>
      </c>
      <c r="L122" t="s">
        <v>738</v>
      </c>
      <c r="M122" s="6" t="s">
        <v>739</v>
      </c>
      <c r="N122">
        <v>920</v>
      </c>
      <c r="O122">
        <v>120</v>
      </c>
      <c r="P122">
        <v>10</v>
      </c>
      <c r="Q122">
        <v>10</v>
      </c>
      <c r="R122">
        <v>0</v>
      </c>
      <c r="S122">
        <f t="shared" si="8"/>
        <v>1</v>
      </c>
      <c r="T122">
        <f t="shared" si="9"/>
        <v>56</v>
      </c>
      <c r="U122">
        <f t="shared" si="11"/>
        <v>106008</v>
      </c>
      <c r="V122">
        <f>VLOOKUP($A122,精英副本客户端!$A$2:$O$406,10,0)</f>
        <v>64</v>
      </c>
      <c r="W122">
        <f>VLOOKUP($A122,精英副本客户端!$A$2:$O$406,11,0)</f>
        <v>1</v>
      </c>
      <c r="X122">
        <f>VLOOKUP($A122,精英副本客户端!$A$2:$O$406,12,0)</f>
        <v>5</v>
      </c>
      <c r="Y122" t="str">
        <f t="shared" si="13"/>
        <v>勇气试炼（60）</v>
      </c>
    </row>
    <row r="123" spans="1:25">
      <c r="A123">
        <f t="shared" si="12"/>
        <v>106501</v>
      </c>
      <c r="B123" t="s">
        <v>1048</v>
      </c>
      <c r="C123">
        <v>0</v>
      </c>
      <c r="D123">
        <v>0</v>
      </c>
      <c r="E123" t="str">
        <f t="shared" si="10"/>
        <v>1065011_1</v>
      </c>
      <c r="F123" t="s">
        <v>213</v>
      </c>
      <c r="G123">
        <v>0</v>
      </c>
      <c r="H123">
        <v>0</v>
      </c>
      <c r="I123">
        <v>0</v>
      </c>
      <c r="J123">
        <v>0</v>
      </c>
      <c r="K123">
        <v>100</v>
      </c>
      <c r="L123" t="s">
        <v>738</v>
      </c>
      <c r="M123" s="6" t="s">
        <v>739</v>
      </c>
      <c r="N123">
        <v>920</v>
      </c>
      <c r="O123">
        <v>120</v>
      </c>
      <c r="P123">
        <v>10</v>
      </c>
      <c r="Q123">
        <v>10</v>
      </c>
      <c r="R123">
        <v>0</v>
      </c>
      <c r="S123">
        <f t="shared" si="8"/>
        <v>1</v>
      </c>
      <c r="T123">
        <f t="shared" si="9"/>
        <v>61</v>
      </c>
      <c r="U123">
        <f t="shared" si="11"/>
        <v>106009</v>
      </c>
      <c r="V123">
        <f>VLOOKUP($A123,精英副本客户端!$A$2:$O$406,10,0)</f>
        <v>65</v>
      </c>
      <c r="W123">
        <f>VLOOKUP($A123,精英副本客户端!$A$2:$O$406,11,0)</f>
        <v>0</v>
      </c>
      <c r="X123">
        <f>VLOOKUP($A123,精英副本客户端!$A$2:$O$406,12,0)</f>
        <v>1</v>
      </c>
      <c r="Y123" t="str">
        <f t="shared" si="13"/>
        <v>勇气试炼（65）</v>
      </c>
    </row>
    <row r="124" spans="1:25">
      <c r="A124">
        <f t="shared" si="12"/>
        <v>106502</v>
      </c>
      <c r="B124" t="s">
        <v>1065</v>
      </c>
      <c r="C124">
        <v>0</v>
      </c>
      <c r="D124">
        <v>0</v>
      </c>
      <c r="E124" t="str">
        <f t="shared" si="10"/>
        <v>1065021_1</v>
      </c>
      <c r="F124" t="s">
        <v>213</v>
      </c>
      <c r="G124">
        <v>0</v>
      </c>
      <c r="H124">
        <v>0</v>
      </c>
      <c r="I124">
        <v>0</v>
      </c>
      <c r="J124">
        <v>0</v>
      </c>
      <c r="K124">
        <v>100</v>
      </c>
      <c r="L124" t="s">
        <v>738</v>
      </c>
      <c r="M124" s="6" t="s">
        <v>739</v>
      </c>
      <c r="N124">
        <v>920</v>
      </c>
      <c r="O124">
        <v>120</v>
      </c>
      <c r="P124">
        <v>10</v>
      </c>
      <c r="Q124">
        <v>10</v>
      </c>
      <c r="R124">
        <v>0</v>
      </c>
      <c r="S124">
        <f t="shared" si="8"/>
        <v>1</v>
      </c>
      <c r="T124">
        <f t="shared" si="9"/>
        <v>61</v>
      </c>
      <c r="U124">
        <f t="shared" si="11"/>
        <v>106501</v>
      </c>
      <c r="V124">
        <f>VLOOKUP($A124,精英副本客户端!$A$2:$O$406,10,0)</f>
        <v>65</v>
      </c>
      <c r="W124">
        <f>VLOOKUP($A124,精英副本客户端!$A$2:$O$406,11,0)</f>
        <v>0</v>
      </c>
      <c r="X124">
        <f>VLOOKUP($A124,精英副本客户端!$A$2:$O$406,12,0)</f>
        <v>1</v>
      </c>
      <c r="Y124" t="str">
        <f t="shared" si="13"/>
        <v>勇气试炼（65）</v>
      </c>
    </row>
    <row r="125" spans="1:25">
      <c r="A125">
        <f t="shared" si="12"/>
        <v>106503</v>
      </c>
      <c r="B125" t="s">
        <v>1052</v>
      </c>
      <c r="C125">
        <v>0</v>
      </c>
      <c r="D125">
        <v>0</v>
      </c>
      <c r="E125" t="str">
        <f t="shared" si="10"/>
        <v>1065031_1</v>
      </c>
      <c r="F125" t="s">
        <v>213</v>
      </c>
      <c r="G125">
        <v>0</v>
      </c>
      <c r="H125">
        <v>0</v>
      </c>
      <c r="I125">
        <v>0</v>
      </c>
      <c r="J125">
        <v>0</v>
      </c>
      <c r="K125">
        <v>100</v>
      </c>
      <c r="L125" t="s">
        <v>738</v>
      </c>
      <c r="M125" s="6" t="s">
        <v>739</v>
      </c>
      <c r="N125">
        <v>920</v>
      </c>
      <c r="O125">
        <v>120</v>
      </c>
      <c r="P125">
        <v>10</v>
      </c>
      <c r="Q125">
        <v>10</v>
      </c>
      <c r="R125">
        <v>0</v>
      </c>
      <c r="S125">
        <f t="shared" si="8"/>
        <v>1</v>
      </c>
      <c r="T125">
        <f t="shared" si="9"/>
        <v>61</v>
      </c>
      <c r="U125">
        <f t="shared" si="11"/>
        <v>106502</v>
      </c>
      <c r="V125">
        <f>VLOOKUP($A125,精英副本客户端!$A$2:$O$406,10,0)</f>
        <v>66</v>
      </c>
      <c r="W125">
        <f>VLOOKUP($A125,精英副本客户端!$A$2:$O$406,11,0)</f>
        <v>1</v>
      </c>
      <c r="X125">
        <f>VLOOKUP($A125,精英副本客户端!$A$2:$O$406,12,0)</f>
        <v>5</v>
      </c>
      <c r="Y125" t="str">
        <f t="shared" si="13"/>
        <v>勇气试炼（65）</v>
      </c>
    </row>
    <row r="126" spans="1:25">
      <c r="A126">
        <f t="shared" si="12"/>
        <v>106504</v>
      </c>
      <c r="B126" t="s">
        <v>1050</v>
      </c>
      <c r="C126">
        <v>0</v>
      </c>
      <c r="D126">
        <v>0</v>
      </c>
      <c r="E126" t="str">
        <f t="shared" si="10"/>
        <v>1065041_1</v>
      </c>
      <c r="F126" t="s">
        <v>213</v>
      </c>
      <c r="G126">
        <v>0</v>
      </c>
      <c r="H126">
        <v>0</v>
      </c>
      <c r="I126">
        <v>0</v>
      </c>
      <c r="J126">
        <v>0</v>
      </c>
      <c r="K126">
        <v>100</v>
      </c>
      <c r="L126" t="s">
        <v>738</v>
      </c>
      <c r="M126" s="6" t="s">
        <v>739</v>
      </c>
      <c r="N126">
        <v>920</v>
      </c>
      <c r="O126">
        <v>120</v>
      </c>
      <c r="P126">
        <v>10</v>
      </c>
      <c r="Q126">
        <v>10</v>
      </c>
      <c r="R126">
        <v>0</v>
      </c>
      <c r="S126">
        <f t="shared" si="8"/>
        <v>1</v>
      </c>
      <c r="T126">
        <f t="shared" si="9"/>
        <v>61</v>
      </c>
      <c r="U126">
        <f t="shared" si="11"/>
        <v>106503</v>
      </c>
      <c r="V126">
        <f>VLOOKUP($A126,精英副本客户端!$A$2:$O$406,10,0)</f>
        <v>66</v>
      </c>
      <c r="W126">
        <f>VLOOKUP($A126,精英副本客户端!$A$2:$O$406,11,0)</f>
        <v>0</v>
      </c>
      <c r="X126">
        <f>VLOOKUP($A126,精英副本客户端!$A$2:$O$406,12,0)</f>
        <v>1</v>
      </c>
      <c r="Y126" t="str">
        <f t="shared" si="13"/>
        <v>勇气试炼（65）</v>
      </c>
    </row>
    <row r="127" spans="1:25">
      <c r="A127">
        <f t="shared" si="12"/>
        <v>106505</v>
      </c>
      <c r="B127" t="s">
        <v>1051</v>
      </c>
      <c r="C127">
        <v>0</v>
      </c>
      <c r="D127">
        <v>0</v>
      </c>
      <c r="E127" t="str">
        <f t="shared" si="10"/>
        <v>1065051_1</v>
      </c>
      <c r="F127" t="s">
        <v>213</v>
      </c>
      <c r="G127">
        <v>0</v>
      </c>
      <c r="H127">
        <v>0</v>
      </c>
      <c r="I127">
        <v>0</v>
      </c>
      <c r="J127">
        <v>0</v>
      </c>
      <c r="K127">
        <v>100</v>
      </c>
      <c r="L127" t="s">
        <v>738</v>
      </c>
      <c r="M127" s="6" t="s">
        <v>739</v>
      </c>
      <c r="N127">
        <v>920</v>
      </c>
      <c r="O127">
        <v>120</v>
      </c>
      <c r="P127">
        <v>10</v>
      </c>
      <c r="Q127">
        <v>10</v>
      </c>
      <c r="R127">
        <v>0</v>
      </c>
      <c r="S127">
        <f t="shared" si="8"/>
        <v>1</v>
      </c>
      <c r="T127">
        <f t="shared" si="9"/>
        <v>61</v>
      </c>
      <c r="U127">
        <f t="shared" si="11"/>
        <v>106504</v>
      </c>
      <c r="V127">
        <f>VLOOKUP($A127,精英副本客户端!$A$2:$O$406,10,0)</f>
        <v>66</v>
      </c>
      <c r="W127">
        <f>VLOOKUP($A127,精英副本客户端!$A$2:$O$406,11,0)</f>
        <v>0</v>
      </c>
      <c r="X127">
        <f>VLOOKUP($A127,精英副本客户端!$A$2:$O$406,12,0)</f>
        <v>1</v>
      </c>
      <c r="Y127" t="str">
        <f t="shared" si="13"/>
        <v>勇气试炼（65）</v>
      </c>
    </row>
    <row r="128" spans="1:25">
      <c r="A128">
        <f t="shared" si="12"/>
        <v>106506</v>
      </c>
      <c r="B128" t="s">
        <v>1049</v>
      </c>
      <c r="C128">
        <v>0</v>
      </c>
      <c r="D128">
        <v>0</v>
      </c>
      <c r="E128" t="str">
        <f t="shared" si="10"/>
        <v>1065061_1</v>
      </c>
      <c r="F128" t="s">
        <v>213</v>
      </c>
      <c r="G128">
        <v>0</v>
      </c>
      <c r="H128">
        <v>0</v>
      </c>
      <c r="I128">
        <v>0</v>
      </c>
      <c r="J128">
        <v>0</v>
      </c>
      <c r="K128">
        <v>100</v>
      </c>
      <c r="L128" t="s">
        <v>738</v>
      </c>
      <c r="M128" s="6" t="s">
        <v>739</v>
      </c>
      <c r="N128">
        <v>920</v>
      </c>
      <c r="O128">
        <v>120</v>
      </c>
      <c r="P128">
        <v>10</v>
      </c>
      <c r="Q128">
        <v>10</v>
      </c>
      <c r="R128">
        <v>0</v>
      </c>
      <c r="S128">
        <f t="shared" si="8"/>
        <v>1</v>
      </c>
      <c r="T128">
        <f t="shared" si="9"/>
        <v>61</v>
      </c>
      <c r="U128">
        <f t="shared" si="11"/>
        <v>106505</v>
      </c>
      <c r="V128">
        <f>VLOOKUP($A128,精英副本客户端!$A$2:$O$406,10,0)</f>
        <v>67</v>
      </c>
      <c r="W128">
        <f>VLOOKUP($A128,精英副本客户端!$A$2:$O$406,11,0)</f>
        <v>1</v>
      </c>
      <c r="X128">
        <f>VLOOKUP($A128,精英副本客户端!$A$2:$O$406,12,0)</f>
        <v>5</v>
      </c>
      <c r="Y128" t="str">
        <f t="shared" si="13"/>
        <v>勇气试炼（65）</v>
      </c>
    </row>
    <row r="129" spans="1:25">
      <c r="A129">
        <f t="shared" si="12"/>
        <v>106507</v>
      </c>
      <c r="B129" t="s">
        <v>1053</v>
      </c>
      <c r="C129">
        <v>0</v>
      </c>
      <c r="D129">
        <v>0</v>
      </c>
      <c r="E129" t="str">
        <f t="shared" si="10"/>
        <v>1065071_1</v>
      </c>
      <c r="F129" t="s">
        <v>213</v>
      </c>
      <c r="G129">
        <v>0</v>
      </c>
      <c r="H129">
        <v>0</v>
      </c>
      <c r="I129">
        <v>0</v>
      </c>
      <c r="J129">
        <v>0</v>
      </c>
      <c r="K129">
        <v>100</v>
      </c>
      <c r="L129" t="s">
        <v>738</v>
      </c>
      <c r="M129" s="6" t="s">
        <v>739</v>
      </c>
      <c r="N129">
        <v>920</v>
      </c>
      <c r="O129">
        <v>120</v>
      </c>
      <c r="P129">
        <v>10</v>
      </c>
      <c r="Q129">
        <v>10</v>
      </c>
      <c r="R129">
        <v>0</v>
      </c>
      <c r="S129">
        <f t="shared" si="8"/>
        <v>1</v>
      </c>
      <c r="T129">
        <f t="shared" si="9"/>
        <v>61</v>
      </c>
      <c r="U129">
        <f t="shared" si="11"/>
        <v>106506</v>
      </c>
      <c r="V129">
        <f>VLOOKUP($A129,精英副本客户端!$A$2:$O$406,10,0)</f>
        <v>67</v>
      </c>
      <c r="W129">
        <f>VLOOKUP($A129,精英副本客户端!$A$2:$O$406,11,0)</f>
        <v>0</v>
      </c>
      <c r="X129">
        <f>VLOOKUP($A129,精英副本客户端!$A$2:$O$406,12,0)</f>
        <v>1</v>
      </c>
      <c r="Y129" t="str">
        <f t="shared" si="13"/>
        <v>勇气试炼（65）</v>
      </c>
    </row>
    <row r="130" spans="1:25">
      <c r="A130">
        <f t="shared" si="12"/>
        <v>106508</v>
      </c>
      <c r="B130" t="s">
        <v>1054</v>
      </c>
      <c r="C130">
        <v>0</v>
      </c>
      <c r="D130">
        <v>0</v>
      </c>
      <c r="E130" t="str">
        <f t="shared" si="10"/>
        <v>1065081_1</v>
      </c>
      <c r="F130" t="s">
        <v>213</v>
      </c>
      <c r="G130">
        <v>0</v>
      </c>
      <c r="H130">
        <v>0</v>
      </c>
      <c r="I130">
        <v>0</v>
      </c>
      <c r="J130">
        <v>0</v>
      </c>
      <c r="K130">
        <v>100</v>
      </c>
      <c r="L130" t="s">
        <v>738</v>
      </c>
      <c r="M130" s="6" t="s">
        <v>739</v>
      </c>
      <c r="N130">
        <v>920</v>
      </c>
      <c r="O130">
        <v>120</v>
      </c>
      <c r="P130">
        <v>10</v>
      </c>
      <c r="Q130">
        <v>10</v>
      </c>
      <c r="R130">
        <v>0</v>
      </c>
      <c r="S130">
        <f t="shared" si="8"/>
        <v>1</v>
      </c>
      <c r="T130">
        <f t="shared" si="9"/>
        <v>61</v>
      </c>
      <c r="U130">
        <f t="shared" si="11"/>
        <v>106507</v>
      </c>
      <c r="V130">
        <f>VLOOKUP($A130,精英副本客户端!$A$2:$O$406,10,0)</f>
        <v>68</v>
      </c>
      <c r="W130">
        <f>VLOOKUP($A130,精英副本客户端!$A$2:$O$406,11,0)</f>
        <v>0</v>
      </c>
      <c r="X130">
        <f>VLOOKUP($A130,精英副本客户端!$A$2:$O$406,12,0)</f>
        <v>1</v>
      </c>
      <c r="Y130" t="str">
        <f t="shared" si="13"/>
        <v>勇气试炼（65）</v>
      </c>
    </row>
    <row r="131" spans="1:25">
      <c r="A131">
        <f t="shared" si="12"/>
        <v>106509</v>
      </c>
      <c r="B131" t="s">
        <v>1055</v>
      </c>
      <c r="C131">
        <v>0</v>
      </c>
      <c r="D131">
        <v>0</v>
      </c>
      <c r="E131" t="str">
        <f t="shared" si="10"/>
        <v>1065091_1</v>
      </c>
      <c r="F131" t="s">
        <v>213</v>
      </c>
      <c r="G131">
        <v>0</v>
      </c>
      <c r="H131">
        <v>0</v>
      </c>
      <c r="I131">
        <v>0</v>
      </c>
      <c r="J131">
        <v>0</v>
      </c>
      <c r="K131">
        <v>100</v>
      </c>
      <c r="L131" t="s">
        <v>738</v>
      </c>
      <c r="M131" s="6" t="s">
        <v>739</v>
      </c>
      <c r="N131">
        <v>920</v>
      </c>
      <c r="O131">
        <v>120</v>
      </c>
      <c r="P131">
        <v>10</v>
      </c>
      <c r="Q131">
        <v>10</v>
      </c>
      <c r="R131">
        <v>0</v>
      </c>
      <c r="S131">
        <f t="shared" si="8"/>
        <v>1</v>
      </c>
      <c r="T131">
        <f t="shared" si="9"/>
        <v>61</v>
      </c>
      <c r="U131">
        <f t="shared" si="11"/>
        <v>106508</v>
      </c>
      <c r="V131">
        <f>VLOOKUP($A131,精英副本客户端!$A$2:$O$406,10,0)</f>
        <v>69</v>
      </c>
      <c r="W131">
        <f>VLOOKUP($A131,精英副本客户端!$A$2:$O$406,11,0)</f>
        <v>1</v>
      </c>
      <c r="X131">
        <f>VLOOKUP($A131,精英副本客户端!$A$2:$O$406,12,0)</f>
        <v>5</v>
      </c>
      <c r="Y131" t="str">
        <f t="shared" si="13"/>
        <v>勇气试炼（65）</v>
      </c>
    </row>
    <row r="132" spans="1:25">
      <c r="A132">
        <f t="shared" si="12"/>
        <v>107001</v>
      </c>
      <c r="B132" t="s">
        <v>1048</v>
      </c>
      <c r="C132">
        <v>0</v>
      </c>
      <c r="D132">
        <v>0</v>
      </c>
      <c r="E132" t="str">
        <f t="shared" si="10"/>
        <v>1070011_1</v>
      </c>
      <c r="F132" t="s">
        <v>213</v>
      </c>
      <c r="G132">
        <v>0</v>
      </c>
      <c r="H132">
        <v>0</v>
      </c>
      <c r="I132">
        <v>0</v>
      </c>
      <c r="J132">
        <v>0</v>
      </c>
      <c r="K132">
        <v>100</v>
      </c>
      <c r="L132" t="s">
        <v>738</v>
      </c>
      <c r="M132" s="6" t="s">
        <v>739</v>
      </c>
      <c r="N132">
        <v>920</v>
      </c>
      <c r="O132">
        <v>120</v>
      </c>
      <c r="P132">
        <v>10</v>
      </c>
      <c r="Q132">
        <v>10</v>
      </c>
      <c r="R132">
        <v>0</v>
      </c>
      <c r="S132">
        <f t="shared" si="8"/>
        <v>1</v>
      </c>
      <c r="T132">
        <f t="shared" si="9"/>
        <v>66</v>
      </c>
      <c r="U132">
        <f t="shared" si="11"/>
        <v>106509</v>
      </c>
      <c r="V132">
        <f>VLOOKUP($A132,精英副本客户端!$A$2:$O$406,10,0)</f>
        <v>70</v>
      </c>
      <c r="W132">
        <f>VLOOKUP($A132,精英副本客户端!$A$2:$O$406,11,0)</f>
        <v>0</v>
      </c>
      <c r="X132">
        <f>VLOOKUP($A132,精英副本客户端!$A$2:$O$406,12,0)</f>
        <v>1</v>
      </c>
      <c r="Y132" t="str">
        <f t="shared" si="13"/>
        <v>勇气试炼（70）</v>
      </c>
    </row>
    <row r="133" spans="1:25">
      <c r="A133">
        <f t="shared" si="12"/>
        <v>107002</v>
      </c>
      <c r="B133" t="s">
        <v>1065</v>
      </c>
      <c r="C133">
        <v>0</v>
      </c>
      <c r="D133">
        <v>0</v>
      </c>
      <c r="E133" t="str">
        <f t="shared" si="10"/>
        <v>1070021_1</v>
      </c>
      <c r="F133" t="s">
        <v>213</v>
      </c>
      <c r="G133">
        <v>0</v>
      </c>
      <c r="H133">
        <v>0</v>
      </c>
      <c r="I133">
        <v>0</v>
      </c>
      <c r="J133">
        <v>0</v>
      </c>
      <c r="K133">
        <v>100</v>
      </c>
      <c r="L133" t="s">
        <v>738</v>
      </c>
      <c r="M133" s="6" t="s">
        <v>739</v>
      </c>
      <c r="N133">
        <v>920</v>
      </c>
      <c r="O133">
        <v>120</v>
      </c>
      <c r="P133">
        <v>10</v>
      </c>
      <c r="Q133">
        <v>10</v>
      </c>
      <c r="R133">
        <v>0</v>
      </c>
      <c r="S133">
        <f t="shared" si="8"/>
        <v>1</v>
      </c>
      <c r="T133">
        <f t="shared" si="9"/>
        <v>66</v>
      </c>
      <c r="U133">
        <f t="shared" si="11"/>
        <v>107001</v>
      </c>
      <c r="V133">
        <f>VLOOKUP($A133,精英副本客户端!$A$2:$O$406,10,0)</f>
        <v>70</v>
      </c>
      <c r="W133">
        <f>VLOOKUP($A133,精英副本客户端!$A$2:$O$406,11,0)</f>
        <v>0</v>
      </c>
      <c r="X133">
        <f>VLOOKUP($A133,精英副本客户端!$A$2:$O$406,12,0)</f>
        <v>1</v>
      </c>
      <c r="Y133" t="str">
        <f t="shared" si="13"/>
        <v>勇气试炼（70）</v>
      </c>
    </row>
    <row r="134" spans="1:25">
      <c r="A134">
        <f t="shared" si="12"/>
        <v>107003</v>
      </c>
      <c r="B134" t="s">
        <v>1052</v>
      </c>
      <c r="C134">
        <v>0</v>
      </c>
      <c r="D134">
        <v>0</v>
      </c>
      <c r="E134" t="str">
        <f t="shared" si="10"/>
        <v>1070031_1</v>
      </c>
      <c r="F134" t="s">
        <v>213</v>
      </c>
      <c r="G134">
        <v>0</v>
      </c>
      <c r="H134">
        <v>0</v>
      </c>
      <c r="I134">
        <v>0</v>
      </c>
      <c r="J134">
        <v>0</v>
      </c>
      <c r="K134">
        <v>100</v>
      </c>
      <c r="L134" t="s">
        <v>738</v>
      </c>
      <c r="M134" s="6" t="s">
        <v>739</v>
      </c>
      <c r="N134">
        <v>920</v>
      </c>
      <c r="O134">
        <v>120</v>
      </c>
      <c r="P134">
        <v>10</v>
      </c>
      <c r="Q134">
        <v>10</v>
      </c>
      <c r="R134">
        <v>0</v>
      </c>
      <c r="S134">
        <f t="shared" ref="S134:S197" si="14">ROUNDDOWN(A134/100000,0)</f>
        <v>1</v>
      </c>
      <c r="T134">
        <f t="shared" ref="T134:T197" si="15">MID(A134,2,3)-4</f>
        <v>66</v>
      </c>
      <c r="U134">
        <f t="shared" si="11"/>
        <v>107002</v>
      </c>
      <c r="V134">
        <f>VLOOKUP($A134,精英副本客户端!$A$2:$O$406,10,0)</f>
        <v>71</v>
      </c>
      <c r="W134">
        <f>VLOOKUP($A134,精英副本客户端!$A$2:$O$406,11,0)</f>
        <v>1</v>
      </c>
      <c r="X134">
        <f>VLOOKUP($A134,精英副本客户端!$A$2:$O$406,12,0)</f>
        <v>5</v>
      </c>
      <c r="Y134" t="str">
        <f t="shared" si="13"/>
        <v>勇气试炼（70）</v>
      </c>
    </row>
    <row r="135" spans="1:25">
      <c r="A135">
        <f t="shared" si="12"/>
        <v>107004</v>
      </c>
      <c r="B135" t="s">
        <v>1050</v>
      </c>
      <c r="C135">
        <v>0</v>
      </c>
      <c r="D135">
        <v>0</v>
      </c>
      <c r="E135" t="str">
        <f t="shared" ref="E135:E198" si="16">A135&amp;"1"&amp;"_1"</f>
        <v>1070041_1</v>
      </c>
      <c r="F135" t="s">
        <v>213</v>
      </c>
      <c r="G135">
        <v>0</v>
      </c>
      <c r="H135">
        <v>0</v>
      </c>
      <c r="I135">
        <v>0</v>
      </c>
      <c r="J135">
        <v>0</v>
      </c>
      <c r="K135">
        <v>100</v>
      </c>
      <c r="L135" t="s">
        <v>738</v>
      </c>
      <c r="M135" s="6" t="s">
        <v>739</v>
      </c>
      <c r="N135">
        <v>920</v>
      </c>
      <c r="O135">
        <v>120</v>
      </c>
      <c r="P135">
        <v>10</v>
      </c>
      <c r="Q135">
        <v>10</v>
      </c>
      <c r="R135">
        <v>0</v>
      </c>
      <c r="S135">
        <f t="shared" si="14"/>
        <v>1</v>
      </c>
      <c r="T135">
        <f t="shared" si="15"/>
        <v>66</v>
      </c>
      <c r="U135">
        <f t="shared" ref="U135:U198" si="17">A134</f>
        <v>107003</v>
      </c>
      <c r="V135">
        <f>VLOOKUP($A135,精英副本客户端!$A$2:$O$406,10,0)</f>
        <v>71</v>
      </c>
      <c r="W135">
        <f>VLOOKUP($A135,精英副本客户端!$A$2:$O$406,11,0)</f>
        <v>0</v>
      </c>
      <c r="X135">
        <f>VLOOKUP($A135,精英副本客户端!$A$2:$O$406,12,0)</f>
        <v>1</v>
      </c>
      <c r="Y135" t="str">
        <f t="shared" ref="Y135:Y158" si="18">"勇气试炼（"&amp;MID(A135,2,3)*1&amp;"）"</f>
        <v>勇气试炼（70）</v>
      </c>
    </row>
    <row r="136" spans="1:25">
      <c r="A136">
        <f>A127+500</f>
        <v>107005</v>
      </c>
      <c r="B136" t="s">
        <v>1051</v>
      </c>
      <c r="C136">
        <v>0</v>
      </c>
      <c r="D136">
        <v>0</v>
      </c>
      <c r="E136" t="str">
        <f t="shared" si="16"/>
        <v>1070051_1</v>
      </c>
      <c r="F136" t="s">
        <v>213</v>
      </c>
      <c r="G136">
        <v>0</v>
      </c>
      <c r="H136">
        <v>0</v>
      </c>
      <c r="I136">
        <v>0</v>
      </c>
      <c r="J136">
        <v>0</v>
      </c>
      <c r="K136">
        <v>100</v>
      </c>
      <c r="L136" t="s">
        <v>738</v>
      </c>
      <c r="M136" s="6" t="s">
        <v>739</v>
      </c>
      <c r="N136">
        <v>920</v>
      </c>
      <c r="O136">
        <v>120</v>
      </c>
      <c r="P136">
        <v>10</v>
      </c>
      <c r="Q136">
        <v>10</v>
      </c>
      <c r="R136">
        <v>0</v>
      </c>
      <c r="S136">
        <f t="shared" si="14"/>
        <v>1</v>
      </c>
      <c r="T136">
        <f t="shared" si="15"/>
        <v>66</v>
      </c>
      <c r="U136">
        <f t="shared" si="17"/>
        <v>107004</v>
      </c>
      <c r="V136">
        <f>VLOOKUP($A136,精英副本客户端!$A$2:$O$406,10,0)</f>
        <v>71</v>
      </c>
      <c r="W136">
        <f>VLOOKUP($A136,精英副本客户端!$A$2:$O$406,11,0)</f>
        <v>0</v>
      </c>
      <c r="X136">
        <f>VLOOKUP($A136,精英副本客户端!$A$2:$O$406,12,0)</f>
        <v>1</v>
      </c>
      <c r="Y136" t="str">
        <f t="shared" si="18"/>
        <v>勇气试炼（70）</v>
      </c>
    </row>
    <row r="137" spans="1:25">
      <c r="A137">
        <f t="shared" ref="A137:A153" si="19">A128+500</f>
        <v>107006</v>
      </c>
      <c r="B137" t="s">
        <v>1049</v>
      </c>
      <c r="C137">
        <v>0</v>
      </c>
      <c r="D137">
        <v>0</v>
      </c>
      <c r="E137" t="str">
        <f t="shared" si="16"/>
        <v>1070061_1</v>
      </c>
      <c r="F137" t="s">
        <v>213</v>
      </c>
      <c r="G137">
        <v>0</v>
      </c>
      <c r="H137">
        <v>0</v>
      </c>
      <c r="I137">
        <v>0</v>
      </c>
      <c r="J137">
        <v>0</v>
      </c>
      <c r="K137">
        <v>100</v>
      </c>
      <c r="L137" t="s">
        <v>738</v>
      </c>
      <c r="M137" s="6" t="s">
        <v>739</v>
      </c>
      <c r="N137">
        <v>920</v>
      </c>
      <c r="O137">
        <v>120</v>
      </c>
      <c r="P137">
        <v>10</v>
      </c>
      <c r="Q137">
        <v>10</v>
      </c>
      <c r="R137">
        <v>0</v>
      </c>
      <c r="S137">
        <f t="shared" si="14"/>
        <v>1</v>
      </c>
      <c r="T137">
        <f t="shared" si="15"/>
        <v>66</v>
      </c>
      <c r="U137">
        <f t="shared" si="17"/>
        <v>107005</v>
      </c>
      <c r="V137">
        <f>VLOOKUP($A137,精英副本客户端!$A$2:$O$406,10,0)</f>
        <v>72</v>
      </c>
      <c r="W137">
        <f>VLOOKUP($A137,精英副本客户端!$A$2:$O$406,11,0)</f>
        <v>1</v>
      </c>
      <c r="X137">
        <f>VLOOKUP($A137,精英副本客户端!$A$2:$O$406,12,0)</f>
        <v>5</v>
      </c>
      <c r="Y137" t="str">
        <f t="shared" si="18"/>
        <v>勇气试炼（70）</v>
      </c>
    </row>
    <row r="138" spans="1:25">
      <c r="A138">
        <f t="shared" si="19"/>
        <v>107007</v>
      </c>
      <c r="B138" t="s">
        <v>1053</v>
      </c>
      <c r="C138">
        <v>0</v>
      </c>
      <c r="D138">
        <v>0</v>
      </c>
      <c r="E138" t="str">
        <f t="shared" si="16"/>
        <v>1070071_1</v>
      </c>
      <c r="F138" t="s">
        <v>213</v>
      </c>
      <c r="G138">
        <v>0</v>
      </c>
      <c r="H138">
        <v>0</v>
      </c>
      <c r="I138">
        <v>0</v>
      </c>
      <c r="J138">
        <v>0</v>
      </c>
      <c r="K138">
        <v>100</v>
      </c>
      <c r="L138" t="s">
        <v>738</v>
      </c>
      <c r="M138" s="6" t="s">
        <v>739</v>
      </c>
      <c r="N138">
        <v>920</v>
      </c>
      <c r="O138">
        <v>120</v>
      </c>
      <c r="P138">
        <v>10</v>
      </c>
      <c r="Q138">
        <v>10</v>
      </c>
      <c r="R138">
        <v>0</v>
      </c>
      <c r="S138">
        <f t="shared" si="14"/>
        <v>1</v>
      </c>
      <c r="T138">
        <f t="shared" si="15"/>
        <v>66</v>
      </c>
      <c r="U138">
        <f t="shared" si="17"/>
        <v>107006</v>
      </c>
      <c r="V138">
        <f>VLOOKUP($A138,精英副本客户端!$A$2:$O$406,10,0)</f>
        <v>72</v>
      </c>
      <c r="W138">
        <f>VLOOKUP($A138,精英副本客户端!$A$2:$O$406,11,0)</f>
        <v>0</v>
      </c>
      <c r="X138">
        <f>VLOOKUP($A138,精英副本客户端!$A$2:$O$406,12,0)</f>
        <v>1</v>
      </c>
      <c r="Y138" t="str">
        <f t="shared" si="18"/>
        <v>勇气试炼（70）</v>
      </c>
    </row>
    <row r="139" spans="1:25">
      <c r="A139">
        <f t="shared" si="19"/>
        <v>107008</v>
      </c>
      <c r="B139" t="s">
        <v>1054</v>
      </c>
      <c r="C139">
        <v>0</v>
      </c>
      <c r="D139">
        <v>0</v>
      </c>
      <c r="E139" t="str">
        <f t="shared" si="16"/>
        <v>1070081_1</v>
      </c>
      <c r="F139" t="s">
        <v>213</v>
      </c>
      <c r="G139">
        <v>0</v>
      </c>
      <c r="H139">
        <v>0</v>
      </c>
      <c r="I139">
        <v>0</v>
      </c>
      <c r="J139">
        <v>0</v>
      </c>
      <c r="K139">
        <v>100</v>
      </c>
      <c r="L139" t="s">
        <v>738</v>
      </c>
      <c r="M139" s="6" t="s">
        <v>739</v>
      </c>
      <c r="N139">
        <v>920</v>
      </c>
      <c r="O139">
        <v>120</v>
      </c>
      <c r="P139">
        <v>10</v>
      </c>
      <c r="Q139">
        <v>10</v>
      </c>
      <c r="R139">
        <v>0</v>
      </c>
      <c r="S139">
        <f t="shared" si="14"/>
        <v>1</v>
      </c>
      <c r="T139">
        <f t="shared" si="15"/>
        <v>66</v>
      </c>
      <c r="U139">
        <f t="shared" si="17"/>
        <v>107007</v>
      </c>
      <c r="V139">
        <f>VLOOKUP($A139,精英副本客户端!$A$2:$O$406,10,0)</f>
        <v>73</v>
      </c>
      <c r="W139">
        <f>VLOOKUP($A139,精英副本客户端!$A$2:$O$406,11,0)</f>
        <v>0</v>
      </c>
      <c r="X139">
        <f>VLOOKUP($A139,精英副本客户端!$A$2:$O$406,12,0)</f>
        <v>1</v>
      </c>
      <c r="Y139" t="str">
        <f t="shared" si="18"/>
        <v>勇气试炼（70）</v>
      </c>
    </row>
    <row r="140" spans="1:25">
      <c r="A140">
        <f t="shared" si="19"/>
        <v>107009</v>
      </c>
      <c r="B140" t="s">
        <v>1055</v>
      </c>
      <c r="C140">
        <v>0</v>
      </c>
      <c r="D140">
        <v>0</v>
      </c>
      <c r="E140" t="str">
        <f t="shared" si="16"/>
        <v>1070091_1</v>
      </c>
      <c r="F140" t="s">
        <v>213</v>
      </c>
      <c r="G140">
        <v>0</v>
      </c>
      <c r="H140">
        <v>0</v>
      </c>
      <c r="I140">
        <v>0</v>
      </c>
      <c r="J140">
        <v>0</v>
      </c>
      <c r="K140">
        <v>100</v>
      </c>
      <c r="L140" t="s">
        <v>738</v>
      </c>
      <c r="M140" s="6" t="s">
        <v>739</v>
      </c>
      <c r="N140">
        <v>920</v>
      </c>
      <c r="O140">
        <v>120</v>
      </c>
      <c r="P140">
        <v>10</v>
      </c>
      <c r="Q140">
        <v>10</v>
      </c>
      <c r="R140">
        <v>0</v>
      </c>
      <c r="S140">
        <f t="shared" si="14"/>
        <v>1</v>
      </c>
      <c r="T140">
        <f t="shared" si="15"/>
        <v>66</v>
      </c>
      <c r="U140">
        <f t="shared" si="17"/>
        <v>107008</v>
      </c>
      <c r="V140">
        <f>VLOOKUP($A140,精英副本客户端!$A$2:$O$406,10,0)</f>
        <v>74</v>
      </c>
      <c r="W140">
        <f>VLOOKUP($A140,精英副本客户端!$A$2:$O$406,11,0)</f>
        <v>1</v>
      </c>
      <c r="X140">
        <f>VLOOKUP($A140,精英副本客户端!$A$2:$O$406,12,0)</f>
        <v>5</v>
      </c>
      <c r="Y140" t="str">
        <f t="shared" si="18"/>
        <v>勇气试炼（70）</v>
      </c>
    </row>
    <row r="141" spans="1:25">
      <c r="A141">
        <f t="shared" si="19"/>
        <v>107501</v>
      </c>
      <c r="B141" t="s">
        <v>1048</v>
      </c>
      <c r="C141">
        <v>0</v>
      </c>
      <c r="D141">
        <v>0</v>
      </c>
      <c r="E141" t="str">
        <f t="shared" si="16"/>
        <v>1075011_1</v>
      </c>
      <c r="F141" t="s">
        <v>213</v>
      </c>
      <c r="G141">
        <v>0</v>
      </c>
      <c r="H141">
        <v>0</v>
      </c>
      <c r="I141">
        <v>0</v>
      </c>
      <c r="J141">
        <v>0</v>
      </c>
      <c r="K141">
        <v>100</v>
      </c>
      <c r="L141" t="s">
        <v>738</v>
      </c>
      <c r="M141" s="6" t="s">
        <v>739</v>
      </c>
      <c r="N141">
        <v>920</v>
      </c>
      <c r="O141">
        <v>120</v>
      </c>
      <c r="P141">
        <v>10</v>
      </c>
      <c r="Q141">
        <v>10</v>
      </c>
      <c r="R141">
        <v>0</v>
      </c>
      <c r="S141">
        <f t="shared" si="14"/>
        <v>1</v>
      </c>
      <c r="T141">
        <f t="shared" si="15"/>
        <v>71</v>
      </c>
      <c r="U141">
        <f t="shared" si="17"/>
        <v>107009</v>
      </c>
      <c r="V141">
        <f>VLOOKUP($A141,精英副本客户端!$A$2:$O$406,10,0)</f>
        <v>75</v>
      </c>
      <c r="W141">
        <f>VLOOKUP($A141,精英副本客户端!$A$2:$O$406,11,0)</f>
        <v>0</v>
      </c>
      <c r="X141">
        <f>VLOOKUP($A141,精英副本客户端!$A$2:$O$406,12,0)</f>
        <v>1</v>
      </c>
      <c r="Y141" t="str">
        <f t="shared" si="18"/>
        <v>勇气试炼（75）</v>
      </c>
    </row>
    <row r="142" spans="1:25">
      <c r="A142">
        <f t="shared" si="19"/>
        <v>107502</v>
      </c>
      <c r="B142" t="s">
        <v>1065</v>
      </c>
      <c r="C142">
        <v>0</v>
      </c>
      <c r="D142">
        <v>0</v>
      </c>
      <c r="E142" t="str">
        <f t="shared" si="16"/>
        <v>1075021_1</v>
      </c>
      <c r="F142" t="s">
        <v>213</v>
      </c>
      <c r="G142">
        <v>0</v>
      </c>
      <c r="H142">
        <v>0</v>
      </c>
      <c r="I142">
        <v>0</v>
      </c>
      <c r="J142">
        <v>0</v>
      </c>
      <c r="K142">
        <v>100</v>
      </c>
      <c r="L142" t="s">
        <v>738</v>
      </c>
      <c r="M142" s="6" t="s">
        <v>739</v>
      </c>
      <c r="N142">
        <v>920</v>
      </c>
      <c r="O142">
        <v>120</v>
      </c>
      <c r="P142">
        <v>10</v>
      </c>
      <c r="Q142">
        <v>10</v>
      </c>
      <c r="R142">
        <v>0</v>
      </c>
      <c r="S142">
        <f t="shared" si="14"/>
        <v>1</v>
      </c>
      <c r="T142">
        <f t="shared" si="15"/>
        <v>71</v>
      </c>
      <c r="U142">
        <f t="shared" si="17"/>
        <v>107501</v>
      </c>
      <c r="V142">
        <f>VLOOKUP($A142,精英副本客户端!$A$2:$O$406,10,0)</f>
        <v>75</v>
      </c>
      <c r="W142">
        <f>VLOOKUP($A142,精英副本客户端!$A$2:$O$406,11,0)</f>
        <v>0</v>
      </c>
      <c r="X142">
        <f>VLOOKUP($A142,精英副本客户端!$A$2:$O$406,12,0)</f>
        <v>1</v>
      </c>
      <c r="Y142" t="str">
        <f t="shared" si="18"/>
        <v>勇气试炼（75）</v>
      </c>
    </row>
    <row r="143" spans="1:25">
      <c r="A143">
        <f t="shared" si="19"/>
        <v>107503</v>
      </c>
      <c r="B143" t="s">
        <v>1052</v>
      </c>
      <c r="C143">
        <v>0</v>
      </c>
      <c r="D143">
        <v>0</v>
      </c>
      <c r="E143" t="str">
        <f t="shared" si="16"/>
        <v>1075031_1</v>
      </c>
      <c r="F143" t="s">
        <v>213</v>
      </c>
      <c r="G143">
        <v>0</v>
      </c>
      <c r="H143">
        <v>0</v>
      </c>
      <c r="I143">
        <v>0</v>
      </c>
      <c r="J143">
        <v>0</v>
      </c>
      <c r="K143">
        <v>100</v>
      </c>
      <c r="L143" t="s">
        <v>738</v>
      </c>
      <c r="M143" s="6" t="s">
        <v>739</v>
      </c>
      <c r="N143">
        <v>920</v>
      </c>
      <c r="O143">
        <v>120</v>
      </c>
      <c r="P143">
        <v>10</v>
      </c>
      <c r="Q143">
        <v>10</v>
      </c>
      <c r="R143">
        <v>0</v>
      </c>
      <c r="S143">
        <f t="shared" si="14"/>
        <v>1</v>
      </c>
      <c r="T143">
        <f t="shared" si="15"/>
        <v>71</v>
      </c>
      <c r="U143">
        <f t="shared" si="17"/>
        <v>107502</v>
      </c>
      <c r="V143">
        <f>VLOOKUP($A143,精英副本客户端!$A$2:$O$406,10,0)</f>
        <v>76</v>
      </c>
      <c r="W143">
        <f>VLOOKUP($A143,精英副本客户端!$A$2:$O$406,11,0)</f>
        <v>1</v>
      </c>
      <c r="X143">
        <f>VLOOKUP($A143,精英副本客户端!$A$2:$O$406,12,0)</f>
        <v>5</v>
      </c>
      <c r="Y143" t="str">
        <f t="shared" si="18"/>
        <v>勇气试炼（75）</v>
      </c>
    </row>
    <row r="144" spans="1:25">
      <c r="A144">
        <f t="shared" si="19"/>
        <v>107504</v>
      </c>
      <c r="B144" t="s">
        <v>1050</v>
      </c>
      <c r="C144">
        <v>0</v>
      </c>
      <c r="D144">
        <v>0</v>
      </c>
      <c r="E144" t="str">
        <f t="shared" si="16"/>
        <v>1075041_1</v>
      </c>
      <c r="F144" t="s">
        <v>213</v>
      </c>
      <c r="G144">
        <v>0</v>
      </c>
      <c r="H144">
        <v>0</v>
      </c>
      <c r="I144">
        <v>0</v>
      </c>
      <c r="J144">
        <v>0</v>
      </c>
      <c r="K144">
        <v>100</v>
      </c>
      <c r="L144" t="s">
        <v>738</v>
      </c>
      <c r="M144" s="6" t="s">
        <v>739</v>
      </c>
      <c r="N144">
        <v>920</v>
      </c>
      <c r="O144">
        <v>120</v>
      </c>
      <c r="P144">
        <v>10</v>
      </c>
      <c r="Q144">
        <v>10</v>
      </c>
      <c r="R144">
        <v>0</v>
      </c>
      <c r="S144">
        <f t="shared" si="14"/>
        <v>1</v>
      </c>
      <c r="T144">
        <f t="shared" si="15"/>
        <v>71</v>
      </c>
      <c r="U144">
        <f t="shared" si="17"/>
        <v>107503</v>
      </c>
      <c r="V144">
        <f>VLOOKUP($A144,精英副本客户端!$A$2:$O$406,10,0)</f>
        <v>76</v>
      </c>
      <c r="W144">
        <f>VLOOKUP($A144,精英副本客户端!$A$2:$O$406,11,0)</f>
        <v>0</v>
      </c>
      <c r="X144">
        <f>VLOOKUP($A144,精英副本客户端!$A$2:$O$406,12,0)</f>
        <v>1</v>
      </c>
      <c r="Y144" t="str">
        <f t="shared" si="18"/>
        <v>勇气试炼（75）</v>
      </c>
    </row>
    <row r="145" spans="1:25">
      <c r="A145">
        <f t="shared" si="19"/>
        <v>107505</v>
      </c>
      <c r="B145" t="s">
        <v>1051</v>
      </c>
      <c r="C145">
        <v>0</v>
      </c>
      <c r="D145">
        <v>0</v>
      </c>
      <c r="E145" t="str">
        <f t="shared" si="16"/>
        <v>1075051_1</v>
      </c>
      <c r="F145" t="s">
        <v>213</v>
      </c>
      <c r="G145">
        <v>0</v>
      </c>
      <c r="H145">
        <v>0</v>
      </c>
      <c r="I145">
        <v>0</v>
      </c>
      <c r="J145">
        <v>0</v>
      </c>
      <c r="K145">
        <v>100</v>
      </c>
      <c r="L145" t="s">
        <v>738</v>
      </c>
      <c r="M145" s="6" t="s">
        <v>739</v>
      </c>
      <c r="N145">
        <v>920</v>
      </c>
      <c r="O145">
        <v>120</v>
      </c>
      <c r="P145">
        <v>10</v>
      </c>
      <c r="Q145">
        <v>10</v>
      </c>
      <c r="R145">
        <v>0</v>
      </c>
      <c r="S145">
        <f t="shared" si="14"/>
        <v>1</v>
      </c>
      <c r="T145">
        <f t="shared" si="15"/>
        <v>71</v>
      </c>
      <c r="U145">
        <f t="shared" si="17"/>
        <v>107504</v>
      </c>
      <c r="V145">
        <f>VLOOKUP($A145,精英副本客户端!$A$2:$O$406,10,0)</f>
        <v>76</v>
      </c>
      <c r="W145">
        <f>VLOOKUP($A145,精英副本客户端!$A$2:$O$406,11,0)</f>
        <v>0</v>
      </c>
      <c r="X145">
        <f>VLOOKUP($A145,精英副本客户端!$A$2:$O$406,12,0)</f>
        <v>1</v>
      </c>
      <c r="Y145" t="str">
        <f t="shared" si="18"/>
        <v>勇气试炼（75）</v>
      </c>
    </row>
    <row r="146" spans="1:25">
      <c r="A146">
        <f t="shared" si="19"/>
        <v>107506</v>
      </c>
      <c r="B146" t="s">
        <v>1049</v>
      </c>
      <c r="C146">
        <v>0</v>
      </c>
      <c r="D146">
        <v>0</v>
      </c>
      <c r="E146" t="str">
        <f t="shared" si="16"/>
        <v>1075061_1</v>
      </c>
      <c r="F146" t="s">
        <v>213</v>
      </c>
      <c r="G146">
        <v>0</v>
      </c>
      <c r="H146">
        <v>0</v>
      </c>
      <c r="I146">
        <v>0</v>
      </c>
      <c r="J146">
        <v>0</v>
      </c>
      <c r="K146">
        <v>100</v>
      </c>
      <c r="L146" t="s">
        <v>738</v>
      </c>
      <c r="M146" s="6" t="s">
        <v>739</v>
      </c>
      <c r="N146">
        <v>920</v>
      </c>
      <c r="O146">
        <v>120</v>
      </c>
      <c r="P146">
        <v>10</v>
      </c>
      <c r="Q146">
        <v>10</v>
      </c>
      <c r="R146">
        <v>0</v>
      </c>
      <c r="S146">
        <f t="shared" si="14"/>
        <v>1</v>
      </c>
      <c r="T146">
        <f t="shared" si="15"/>
        <v>71</v>
      </c>
      <c r="U146">
        <f t="shared" si="17"/>
        <v>107505</v>
      </c>
      <c r="V146">
        <f>VLOOKUP($A146,精英副本客户端!$A$2:$O$406,10,0)</f>
        <v>77</v>
      </c>
      <c r="W146">
        <f>VLOOKUP($A146,精英副本客户端!$A$2:$O$406,11,0)</f>
        <v>1</v>
      </c>
      <c r="X146">
        <f>VLOOKUP($A146,精英副本客户端!$A$2:$O$406,12,0)</f>
        <v>5</v>
      </c>
      <c r="Y146" t="str">
        <f t="shared" si="18"/>
        <v>勇气试炼（75）</v>
      </c>
    </row>
    <row r="147" spans="1:25">
      <c r="A147">
        <f t="shared" si="19"/>
        <v>107507</v>
      </c>
      <c r="B147" t="s">
        <v>1053</v>
      </c>
      <c r="C147">
        <v>0</v>
      </c>
      <c r="D147">
        <v>0</v>
      </c>
      <c r="E147" t="str">
        <f t="shared" si="16"/>
        <v>1075071_1</v>
      </c>
      <c r="F147" t="s">
        <v>213</v>
      </c>
      <c r="G147">
        <v>0</v>
      </c>
      <c r="H147">
        <v>0</v>
      </c>
      <c r="I147">
        <v>0</v>
      </c>
      <c r="J147">
        <v>0</v>
      </c>
      <c r="K147">
        <v>100</v>
      </c>
      <c r="L147" t="s">
        <v>738</v>
      </c>
      <c r="M147" s="6" t="s">
        <v>739</v>
      </c>
      <c r="N147">
        <v>920</v>
      </c>
      <c r="O147">
        <v>120</v>
      </c>
      <c r="P147">
        <v>10</v>
      </c>
      <c r="Q147">
        <v>10</v>
      </c>
      <c r="R147">
        <v>0</v>
      </c>
      <c r="S147">
        <f t="shared" si="14"/>
        <v>1</v>
      </c>
      <c r="T147">
        <f t="shared" si="15"/>
        <v>71</v>
      </c>
      <c r="U147">
        <f t="shared" si="17"/>
        <v>107506</v>
      </c>
      <c r="V147">
        <f>VLOOKUP($A147,精英副本客户端!$A$2:$O$406,10,0)</f>
        <v>77</v>
      </c>
      <c r="W147">
        <f>VLOOKUP($A147,精英副本客户端!$A$2:$O$406,11,0)</f>
        <v>0</v>
      </c>
      <c r="X147">
        <f>VLOOKUP($A147,精英副本客户端!$A$2:$O$406,12,0)</f>
        <v>1</v>
      </c>
      <c r="Y147" t="str">
        <f t="shared" si="18"/>
        <v>勇气试炼（75）</v>
      </c>
    </row>
    <row r="148" spans="1:25">
      <c r="A148">
        <f t="shared" si="19"/>
        <v>107508</v>
      </c>
      <c r="B148" t="s">
        <v>1054</v>
      </c>
      <c r="C148">
        <v>0</v>
      </c>
      <c r="D148">
        <v>0</v>
      </c>
      <c r="E148" t="str">
        <f t="shared" si="16"/>
        <v>1075081_1</v>
      </c>
      <c r="F148" t="s">
        <v>213</v>
      </c>
      <c r="G148">
        <v>0</v>
      </c>
      <c r="H148">
        <v>0</v>
      </c>
      <c r="I148">
        <v>0</v>
      </c>
      <c r="J148">
        <v>0</v>
      </c>
      <c r="K148">
        <v>100</v>
      </c>
      <c r="L148" t="s">
        <v>738</v>
      </c>
      <c r="M148" s="6" t="s">
        <v>739</v>
      </c>
      <c r="N148">
        <v>920</v>
      </c>
      <c r="O148">
        <v>120</v>
      </c>
      <c r="P148">
        <v>10</v>
      </c>
      <c r="Q148">
        <v>10</v>
      </c>
      <c r="R148">
        <v>0</v>
      </c>
      <c r="S148">
        <f t="shared" si="14"/>
        <v>1</v>
      </c>
      <c r="T148">
        <f t="shared" si="15"/>
        <v>71</v>
      </c>
      <c r="U148">
        <f t="shared" si="17"/>
        <v>107507</v>
      </c>
      <c r="V148">
        <f>VLOOKUP($A148,精英副本客户端!$A$2:$O$406,10,0)</f>
        <v>78</v>
      </c>
      <c r="W148">
        <f>VLOOKUP($A148,精英副本客户端!$A$2:$O$406,11,0)</f>
        <v>0</v>
      </c>
      <c r="X148">
        <f>VLOOKUP($A148,精英副本客户端!$A$2:$O$406,12,0)</f>
        <v>1</v>
      </c>
      <c r="Y148" t="str">
        <f t="shared" si="18"/>
        <v>勇气试炼（75）</v>
      </c>
    </row>
    <row r="149" spans="1:25">
      <c r="A149">
        <f t="shared" si="19"/>
        <v>107509</v>
      </c>
      <c r="B149" t="s">
        <v>1055</v>
      </c>
      <c r="C149">
        <v>0</v>
      </c>
      <c r="D149">
        <v>0</v>
      </c>
      <c r="E149" t="str">
        <f t="shared" si="16"/>
        <v>1075091_1</v>
      </c>
      <c r="F149" t="s">
        <v>213</v>
      </c>
      <c r="G149">
        <v>0</v>
      </c>
      <c r="H149">
        <v>0</v>
      </c>
      <c r="I149">
        <v>0</v>
      </c>
      <c r="J149">
        <v>0</v>
      </c>
      <c r="K149">
        <v>100</v>
      </c>
      <c r="L149" t="s">
        <v>738</v>
      </c>
      <c r="M149" s="6" t="s">
        <v>739</v>
      </c>
      <c r="N149">
        <v>920</v>
      </c>
      <c r="O149">
        <v>120</v>
      </c>
      <c r="P149">
        <v>10</v>
      </c>
      <c r="Q149">
        <v>10</v>
      </c>
      <c r="R149">
        <v>0</v>
      </c>
      <c r="S149">
        <f t="shared" si="14"/>
        <v>1</v>
      </c>
      <c r="T149">
        <f t="shared" si="15"/>
        <v>71</v>
      </c>
      <c r="U149">
        <f t="shared" si="17"/>
        <v>107508</v>
      </c>
      <c r="V149">
        <f>VLOOKUP($A149,精英副本客户端!$A$2:$O$406,10,0)</f>
        <v>79</v>
      </c>
      <c r="W149">
        <f>VLOOKUP($A149,精英副本客户端!$A$2:$O$406,11,0)</f>
        <v>1</v>
      </c>
      <c r="X149">
        <f>VLOOKUP($A149,精英副本客户端!$A$2:$O$406,12,0)</f>
        <v>5</v>
      </c>
      <c r="Y149" t="str">
        <f t="shared" si="18"/>
        <v>勇气试炼（75）</v>
      </c>
    </row>
    <row r="150" spans="1:25">
      <c r="A150">
        <f t="shared" si="19"/>
        <v>108001</v>
      </c>
      <c r="B150" t="s">
        <v>1048</v>
      </c>
      <c r="C150">
        <v>0</v>
      </c>
      <c r="D150">
        <v>0</v>
      </c>
      <c r="E150" t="str">
        <f t="shared" si="16"/>
        <v>1080011_1</v>
      </c>
      <c r="F150" t="s">
        <v>213</v>
      </c>
      <c r="G150">
        <v>0</v>
      </c>
      <c r="H150">
        <v>0</v>
      </c>
      <c r="I150">
        <v>0</v>
      </c>
      <c r="J150">
        <v>0</v>
      </c>
      <c r="K150">
        <v>100</v>
      </c>
      <c r="L150" t="s">
        <v>738</v>
      </c>
      <c r="M150" s="6" t="s">
        <v>739</v>
      </c>
      <c r="N150">
        <v>920</v>
      </c>
      <c r="O150">
        <v>120</v>
      </c>
      <c r="P150">
        <v>10</v>
      </c>
      <c r="Q150">
        <v>10</v>
      </c>
      <c r="R150">
        <v>0</v>
      </c>
      <c r="S150">
        <f t="shared" si="14"/>
        <v>1</v>
      </c>
      <c r="T150">
        <f t="shared" si="15"/>
        <v>76</v>
      </c>
      <c r="U150">
        <f t="shared" si="17"/>
        <v>107509</v>
      </c>
      <c r="V150">
        <f>VLOOKUP($A150,精英副本客户端!$A$2:$O$406,10,0)</f>
        <v>80</v>
      </c>
      <c r="W150">
        <f>VLOOKUP($A150,精英副本客户端!$A$2:$O$406,11,0)</f>
        <v>0</v>
      </c>
      <c r="X150">
        <f>VLOOKUP($A150,精英副本客户端!$A$2:$O$406,12,0)</f>
        <v>1</v>
      </c>
      <c r="Y150" t="str">
        <f t="shared" si="18"/>
        <v>勇气试炼（80）</v>
      </c>
    </row>
    <row r="151" spans="1:25">
      <c r="A151">
        <f t="shared" si="19"/>
        <v>108002</v>
      </c>
      <c r="B151" t="s">
        <v>1065</v>
      </c>
      <c r="C151">
        <v>0</v>
      </c>
      <c r="D151">
        <v>0</v>
      </c>
      <c r="E151" t="str">
        <f t="shared" si="16"/>
        <v>1080021_1</v>
      </c>
      <c r="F151" t="s">
        <v>213</v>
      </c>
      <c r="G151">
        <v>0</v>
      </c>
      <c r="H151">
        <v>0</v>
      </c>
      <c r="I151">
        <v>0</v>
      </c>
      <c r="J151">
        <v>0</v>
      </c>
      <c r="K151">
        <v>100</v>
      </c>
      <c r="L151" t="s">
        <v>738</v>
      </c>
      <c r="M151" s="6" t="s">
        <v>739</v>
      </c>
      <c r="N151">
        <v>920</v>
      </c>
      <c r="O151">
        <v>120</v>
      </c>
      <c r="P151">
        <v>10</v>
      </c>
      <c r="Q151">
        <v>10</v>
      </c>
      <c r="R151">
        <v>0</v>
      </c>
      <c r="S151">
        <f t="shared" si="14"/>
        <v>1</v>
      </c>
      <c r="T151">
        <f t="shared" si="15"/>
        <v>76</v>
      </c>
      <c r="U151">
        <f t="shared" si="17"/>
        <v>108001</v>
      </c>
      <c r="V151">
        <f>VLOOKUP($A151,精英副本客户端!$A$2:$O$406,10,0)</f>
        <v>80</v>
      </c>
      <c r="W151">
        <f>VLOOKUP($A151,精英副本客户端!$A$2:$O$406,11,0)</f>
        <v>0</v>
      </c>
      <c r="X151">
        <f>VLOOKUP($A151,精英副本客户端!$A$2:$O$406,12,0)</f>
        <v>1</v>
      </c>
      <c r="Y151" t="str">
        <f t="shared" si="18"/>
        <v>勇气试炼（80）</v>
      </c>
    </row>
    <row r="152" spans="1:25">
      <c r="A152">
        <f t="shared" si="19"/>
        <v>108003</v>
      </c>
      <c r="B152" t="s">
        <v>1052</v>
      </c>
      <c r="C152">
        <v>0</v>
      </c>
      <c r="D152">
        <v>0</v>
      </c>
      <c r="E152" t="str">
        <f t="shared" si="16"/>
        <v>1080031_1</v>
      </c>
      <c r="F152" t="s">
        <v>213</v>
      </c>
      <c r="G152">
        <v>0</v>
      </c>
      <c r="H152">
        <v>0</v>
      </c>
      <c r="I152">
        <v>0</v>
      </c>
      <c r="J152">
        <v>0</v>
      </c>
      <c r="K152">
        <v>100</v>
      </c>
      <c r="L152" t="s">
        <v>738</v>
      </c>
      <c r="M152" s="6" t="s">
        <v>739</v>
      </c>
      <c r="N152">
        <v>920</v>
      </c>
      <c r="O152">
        <v>120</v>
      </c>
      <c r="P152">
        <v>10</v>
      </c>
      <c r="Q152">
        <v>10</v>
      </c>
      <c r="R152">
        <v>0</v>
      </c>
      <c r="S152">
        <f t="shared" si="14"/>
        <v>1</v>
      </c>
      <c r="T152">
        <f t="shared" si="15"/>
        <v>76</v>
      </c>
      <c r="U152">
        <f t="shared" si="17"/>
        <v>108002</v>
      </c>
      <c r="V152">
        <f>VLOOKUP($A152,精英副本客户端!$A$2:$O$406,10,0)</f>
        <v>81</v>
      </c>
      <c r="W152">
        <f>VLOOKUP($A152,精英副本客户端!$A$2:$O$406,11,0)</f>
        <v>1</v>
      </c>
      <c r="X152">
        <f>VLOOKUP($A152,精英副本客户端!$A$2:$O$406,12,0)</f>
        <v>5</v>
      </c>
      <c r="Y152" t="str">
        <f t="shared" si="18"/>
        <v>勇气试炼（80）</v>
      </c>
    </row>
    <row r="153" spans="1:25">
      <c r="A153">
        <f t="shared" si="19"/>
        <v>108004</v>
      </c>
      <c r="B153" t="s">
        <v>1050</v>
      </c>
      <c r="C153">
        <v>0</v>
      </c>
      <c r="D153">
        <v>0</v>
      </c>
      <c r="E153" t="str">
        <f t="shared" si="16"/>
        <v>1080041_1</v>
      </c>
      <c r="F153" t="s">
        <v>213</v>
      </c>
      <c r="G153">
        <v>0</v>
      </c>
      <c r="H153">
        <v>0</v>
      </c>
      <c r="I153">
        <v>0</v>
      </c>
      <c r="J153">
        <v>0</v>
      </c>
      <c r="K153">
        <v>100</v>
      </c>
      <c r="L153" t="s">
        <v>738</v>
      </c>
      <c r="M153" s="6" t="s">
        <v>739</v>
      </c>
      <c r="N153">
        <v>920</v>
      </c>
      <c r="O153">
        <v>120</v>
      </c>
      <c r="P153">
        <v>10</v>
      </c>
      <c r="Q153">
        <v>10</v>
      </c>
      <c r="R153">
        <v>0</v>
      </c>
      <c r="S153">
        <f t="shared" si="14"/>
        <v>1</v>
      </c>
      <c r="T153">
        <f t="shared" si="15"/>
        <v>76</v>
      </c>
      <c r="U153">
        <f t="shared" si="17"/>
        <v>108003</v>
      </c>
      <c r="V153">
        <f>VLOOKUP($A153,精英副本客户端!$A$2:$O$406,10,0)</f>
        <v>81</v>
      </c>
      <c r="W153">
        <f>VLOOKUP($A153,精英副本客户端!$A$2:$O$406,11,0)</f>
        <v>0</v>
      </c>
      <c r="X153">
        <f>VLOOKUP($A153,精英副本客户端!$A$2:$O$406,12,0)</f>
        <v>1</v>
      </c>
      <c r="Y153" t="str">
        <f t="shared" si="18"/>
        <v>勇气试炼（80）</v>
      </c>
    </row>
    <row r="154" spans="1:25">
      <c r="A154">
        <f>A145+500</f>
        <v>108005</v>
      </c>
      <c r="B154" t="s">
        <v>1051</v>
      </c>
      <c r="C154">
        <v>0</v>
      </c>
      <c r="D154">
        <v>0</v>
      </c>
      <c r="E154" t="str">
        <f t="shared" si="16"/>
        <v>1080051_1</v>
      </c>
      <c r="F154" t="s">
        <v>213</v>
      </c>
      <c r="G154">
        <v>0</v>
      </c>
      <c r="H154">
        <v>0</v>
      </c>
      <c r="I154">
        <v>0</v>
      </c>
      <c r="J154">
        <v>0</v>
      </c>
      <c r="K154">
        <v>100</v>
      </c>
      <c r="L154" t="s">
        <v>738</v>
      </c>
      <c r="M154" s="6" t="s">
        <v>739</v>
      </c>
      <c r="N154">
        <v>920</v>
      </c>
      <c r="O154">
        <v>120</v>
      </c>
      <c r="P154">
        <v>10</v>
      </c>
      <c r="Q154">
        <v>10</v>
      </c>
      <c r="R154">
        <v>0</v>
      </c>
      <c r="S154">
        <f t="shared" si="14"/>
        <v>1</v>
      </c>
      <c r="T154">
        <f t="shared" si="15"/>
        <v>76</v>
      </c>
      <c r="U154">
        <f t="shared" si="17"/>
        <v>108004</v>
      </c>
      <c r="V154">
        <f>VLOOKUP($A154,精英副本客户端!$A$2:$O$406,10,0)</f>
        <v>81</v>
      </c>
      <c r="W154">
        <f>VLOOKUP($A154,精英副本客户端!$A$2:$O$406,11,0)</f>
        <v>0</v>
      </c>
      <c r="X154">
        <f>VLOOKUP($A154,精英副本客户端!$A$2:$O$406,12,0)</f>
        <v>1</v>
      </c>
      <c r="Y154" t="str">
        <f t="shared" si="18"/>
        <v>勇气试炼（80）</v>
      </c>
    </row>
    <row r="155" spans="1:25">
      <c r="A155">
        <f t="shared" ref="A155:A170" si="20">A146+500</f>
        <v>108006</v>
      </c>
      <c r="B155" t="s">
        <v>1049</v>
      </c>
      <c r="C155">
        <v>0</v>
      </c>
      <c r="D155">
        <v>0</v>
      </c>
      <c r="E155" t="str">
        <f t="shared" si="16"/>
        <v>1080061_1</v>
      </c>
      <c r="F155" t="s">
        <v>213</v>
      </c>
      <c r="G155">
        <v>0</v>
      </c>
      <c r="H155">
        <v>0</v>
      </c>
      <c r="I155">
        <v>0</v>
      </c>
      <c r="J155">
        <v>0</v>
      </c>
      <c r="K155">
        <v>100</v>
      </c>
      <c r="L155" t="s">
        <v>738</v>
      </c>
      <c r="M155" s="6" t="s">
        <v>739</v>
      </c>
      <c r="N155">
        <v>920</v>
      </c>
      <c r="O155">
        <v>120</v>
      </c>
      <c r="P155">
        <v>10</v>
      </c>
      <c r="Q155">
        <v>10</v>
      </c>
      <c r="R155">
        <v>0</v>
      </c>
      <c r="S155">
        <f t="shared" si="14"/>
        <v>1</v>
      </c>
      <c r="T155">
        <f t="shared" si="15"/>
        <v>76</v>
      </c>
      <c r="U155">
        <f t="shared" si="17"/>
        <v>108005</v>
      </c>
      <c r="V155">
        <f>VLOOKUP($A155,精英副本客户端!$A$2:$O$406,10,0)</f>
        <v>82</v>
      </c>
      <c r="W155">
        <f>VLOOKUP($A155,精英副本客户端!$A$2:$O$406,11,0)</f>
        <v>1</v>
      </c>
      <c r="X155">
        <f>VLOOKUP($A155,精英副本客户端!$A$2:$O$406,12,0)</f>
        <v>5</v>
      </c>
      <c r="Y155" t="str">
        <f t="shared" si="18"/>
        <v>勇气试炼（80）</v>
      </c>
    </row>
    <row r="156" spans="1:25">
      <c r="A156">
        <f t="shared" si="20"/>
        <v>108007</v>
      </c>
      <c r="B156" t="s">
        <v>1053</v>
      </c>
      <c r="C156">
        <v>0</v>
      </c>
      <c r="D156">
        <v>0</v>
      </c>
      <c r="E156" t="str">
        <f t="shared" si="16"/>
        <v>1080071_1</v>
      </c>
      <c r="F156" t="s">
        <v>213</v>
      </c>
      <c r="G156">
        <v>0</v>
      </c>
      <c r="H156">
        <v>0</v>
      </c>
      <c r="I156">
        <v>0</v>
      </c>
      <c r="J156">
        <v>0</v>
      </c>
      <c r="K156">
        <v>100</v>
      </c>
      <c r="L156" t="s">
        <v>738</v>
      </c>
      <c r="M156" s="6" t="s">
        <v>739</v>
      </c>
      <c r="N156">
        <v>920</v>
      </c>
      <c r="O156">
        <v>120</v>
      </c>
      <c r="P156">
        <v>10</v>
      </c>
      <c r="Q156">
        <v>10</v>
      </c>
      <c r="R156">
        <v>0</v>
      </c>
      <c r="S156">
        <f t="shared" si="14"/>
        <v>1</v>
      </c>
      <c r="T156">
        <f t="shared" si="15"/>
        <v>76</v>
      </c>
      <c r="U156">
        <f t="shared" si="17"/>
        <v>108006</v>
      </c>
      <c r="V156">
        <f>VLOOKUP($A156,精英副本客户端!$A$2:$O$406,10,0)</f>
        <v>82</v>
      </c>
      <c r="W156">
        <f>VLOOKUP($A156,精英副本客户端!$A$2:$O$406,11,0)</f>
        <v>0</v>
      </c>
      <c r="X156">
        <f>VLOOKUP($A156,精英副本客户端!$A$2:$O$406,12,0)</f>
        <v>1</v>
      </c>
      <c r="Y156" t="str">
        <f t="shared" si="18"/>
        <v>勇气试炼（80）</v>
      </c>
    </row>
    <row r="157" spans="1:25">
      <c r="A157">
        <f t="shared" si="20"/>
        <v>108008</v>
      </c>
      <c r="B157" t="s">
        <v>1054</v>
      </c>
      <c r="C157">
        <v>0</v>
      </c>
      <c r="D157">
        <v>0</v>
      </c>
      <c r="E157" t="str">
        <f t="shared" si="16"/>
        <v>1080081_1</v>
      </c>
      <c r="F157" t="s">
        <v>213</v>
      </c>
      <c r="G157">
        <v>0</v>
      </c>
      <c r="H157">
        <v>0</v>
      </c>
      <c r="I157">
        <v>0</v>
      </c>
      <c r="J157">
        <v>0</v>
      </c>
      <c r="K157">
        <v>100</v>
      </c>
      <c r="L157" t="s">
        <v>738</v>
      </c>
      <c r="M157" s="6" t="s">
        <v>739</v>
      </c>
      <c r="N157">
        <v>920</v>
      </c>
      <c r="O157">
        <v>120</v>
      </c>
      <c r="P157">
        <v>10</v>
      </c>
      <c r="Q157">
        <v>10</v>
      </c>
      <c r="R157">
        <v>0</v>
      </c>
      <c r="S157">
        <f t="shared" si="14"/>
        <v>1</v>
      </c>
      <c r="T157">
        <f t="shared" si="15"/>
        <v>76</v>
      </c>
      <c r="U157">
        <f t="shared" si="17"/>
        <v>108007</v>
      </c>
      <c r="V157">
        <f>VLOOKUP($A157,精英副本客户端!$A$2:$O$406,10,0)</f>
        <v>83</v>
      </c>
      <c r="W157">
        <f>VLOOKUP($A157,精英副本客户端!$A$2:$O$406,11,0)</f>
        <v>0</v>
      </c>
      <c r="X157">
        <f>VLOOKUP($A157,精英副本客户端!$A$2:$O$406,12,0)</f>
        <v>1</v>
      </c>
      <c r="Y157" t="str">
        <f t="shared" si="18"/>
        <v>勇气试炼（80）</v>
      </c>
    </row>
    <row r="158" spans="1:25">
      <c r="A158">
        <f t="shared" si="20"/>
        <v>108009</v>
      </c>
      <c r="B158" t="s">
        <v>1055</v>
      </c>
      <c r="C158">
        <v>0</v>
      </c>
      <c r="D158">
        <v>0</v>
      </c>
      <c r="E158" t="str">
        <f t="shared" si="16"/>
        <v>1080091_1</v>
      </c>
      <c r="F158" t="s">
        <v>213</v>
      </c>
      <c r="G158">
        <v>0</v>
      </c>
      <c r="H158">
        <v>0</v>
      </c>
      <c r="I158">
        <v>0</v>
      </c>
      <c r="J158">
        <v>0</v>
      </c>
      <c r="K158">
        <v>100</v>
      </c>
      <c r="L158" t="s">
        <v>738</v>
      </c>
      <c r="M158" s="6" t="s">
        <v>739</v>
      </c>
      <c r="N158">
        <v>920</v>
      </c>
      <c r="O158">
        <v>120</v>
      </c>
      <c r="P158">
        <v>10</v>
      </c>
      <c r="Q158">
        <v>10</v>
      </c>
      <c r="R158">
        <v>0</v>
      </c>
      <c r="S158">
        <f t="shared" si="14"/>
        <v>1</v>
      </c>
      <c r="T158">
        <f t="shared" si="15"/>
        <v>76</v>
      </c>
      <c r="U158">
        <f t="shared" si="17"/>
        <v>108008</v>
      </c>
      <c r="V158">
        <f>VLOOKUP($A158,精英副本客户端!$A$2:$O$406,10,0)</f>
        <v>84</v>
      </c>
      <c r="W158">
        <f>VLOOKUP($A158,精英副本客户端!$A$2:$O$406,11,0)</f>
        <v>1</v>
      </c>
      <c r="X158">
        <f>VLOOKUP($A158,精英副本客户端!$A$2:$O$406,12,0)</f>
        <v>5</v>
      </c>
      <c r="Y158" t="str">
        <f t="shared" si="18"/>
        <v>勇气试炼（80）</v>
      </c>
    </row>
    <row r="159" spans="1:25">
      <c r="A159">
        <f t="shared" si="20"/>
        <v>108501</v>
      </c>
      <c r="B159" t="s">
        <v>1056</v>
      </c>
      <c r="C159">
        <v>0</v>
      </c>
      <c r="D159">
        <v>0</v>
      </c>
      <c r="E159" t="str">
        <f t="shared" si="16"/>
        <v>1085011_1</v>
      </c>
      <c r="F159" t="s">
        <v>213</v>
      </c>
      <c r="G159">
        <v>0</v>
      </c>
      <c r="H159">
        <v>0</v>
      </c>
      <c r="I159">
        <v>0</v>
      </c>
      <c r="J159">
        <v>0</v>
      </c>
      <c r="K159">
        <v>100</v>
      </c>
      <c r="L159" t="s">
        <v>738</v>
      </c>
      <c r="M159" s="6" t="s">
        <v>739</v>
      </c>
      <c r="N159">
        <v>920</v>
      </c>
      <c r="O159">
        <v>120</v>
      </c>
      <c r="P159">
        <v>10</v>
      </c>
      <c r="Q159">
        <v>10</v>
      </c>
      <c r="R159">
        <v>0</v>
      </c>
      <c r="S159">
        <f t="shared" si="14"/>
        <v>1</v>
      </c>
      <c r="T159">
        <f t="shared" si="15"/>
        <v>81</v>
      </c>
      <c r="U159">
        <f t="shared" si="17"/>
        <v>108009</v>
      </c>
      <c r="V159">
        <f>VLOOKUP($A159,精英副本客户端!$A$2:$O$406,10,0)</f>
        <v>85</v>
      </c>
      <c r="W159">
        <f>VLOOKUP($A159,精英副本客户端!$A$2:$O$406,11,0)</f>
        <v>0</v>
      </c>
      <c r="X159">
        <f>VLOOKUP($A159,精英副本客户端!$A$2:$O$406,12,0)</f>
        <v>1</v>
      </c>
      <c r="Y159" t="str">
        <f>"无畏试炼（"&amp;MID(A159,2,3)*1&amp;"）"</f>
        <v>无畏试炼（85）</v>
      </c>
    </row>
    <row r="160" spans="1:25">
      <c r="A160">
        <f t="shared" si="20"/>
        <v>108502</v>
      </c>
      <c r="B160" t="s">
        <v>1057</v>
      </c>
      <c r="C160">
        <v>0</v>
      </c>
      <c r="D160">
        <v>0</v>
      </c>
      <c r="E160" t="str">
        <f t="shared" si="16"/>
        <v>1085021_1</v>
      </c>
      <c r="F160" t="s">
        <v>213</v>
      </c>
      <c r="G160">
        <v>0</v>
      </c>
      <c r="H160">
        <v>0</v>
      </c>
      <c r="I160">
        <v>0</v>
      </c>
      <c r="J160">
        <v>0</v>
      </c>
      <c r="K160">
        <v>100</v>
      </c>
      <c r="L160" t="s">
        <v>738</v>
      </c>
      <c r="M160" s="6" t="s">
        <v>739</v>
      </c>
      <c r="N160">
        <v>920</v>
      </c>
      <c r="O160">
        <v>120</v>
      </c>
      <c r="P160">
        <v>10</v>
      </c>
      <c r="Q160">
        <v>10</v>
      </c>
      <c r="R160">
        <v>0</v>
      </c>
      <c r="S160">
        <f t="shared" si="14"/>
        <v>1</v>
      </c>
      <c r="T160">
        <f t="shared" si="15"/>
        <v>81</v>
      </c>
      <c r="U160">
        <f t="shared" si="17"/>
        <v>108501</v>
      </c>
      <c r="V160">
        <f>VLOOKUP($A160,精英副本客户端!$A$2:$O$406,10,0)</f>
        <v>85</v>
      </c>
      <c r="W160">
        <f>VLOOKUP($A160,精英副本客户端!$A$2:$O$406,11,0)</f>
        <v>0</v>
      </c>
      <c r="X160">
        <f>VLOOKUP($A160,精英副本客户端!$A$2:$O$406,12,0)</f>
        <v>1</v>
      </c>
      <c r="Y160" t="str">
        <f t="shared" ref="Y160:Y194" si="21">"无畏试炼（"&amp;MID(A160,2,3)*1&amp;"）"</f>
        <v>无畏试炼（85）</v>
      </c>
    </row>
    <row r="161" spans="1:25">
      <c r="A161">
        <f t="shared" si="20"/>
        <v>108503</v>
      </c>
      <c r="B161" t="s">
        <v>1040</v>
      </c>
      <c r="C161">
        <v>0</v>
      </c>
      <c r="D161">
        <v>0</v>
      </c>
      <c r="E161" t="str">
        <f t="shared" si="16"/>
        <v>1085031_1</v>
      </c>
      <c r="F161" t="s">
        <v>213</v>
      </c>
      <c r="G161">
        <v>0</v>
      </c>
      <c r="H161">
        <v>0</v>
      </c>
      <c r="I161">
        <v>0</v>
      </c>
      <c r="J161">
        <v>0</v>
      </c>
      <c r="K161">
        <v>100</v>
      </c>
      <c r="L161" t="s">
        <v>738</v>
      </c>
      <c r="M161" s="6" t="s">
        <v>739</v>
      </c>
      <c r="N161">
        <v>920</v>
      </c>
      <c r="O161">
        <v>120</v>
      </c>
      <c r="P161">
        <v>10</v>
      </c>
      <c r="Q161">
        <v>10</v>
      </c>
      <c r="R161">
        <v>0</v>
      </c>
      <c r="S161">
        <f t="shared" si="14"/>
        <v>1</v>
      </c>
      <c r="T161">
        <f t="shared" si="15"/>
        <v>81</v>
      </c>
      <c r="U161">
        <f t="shared" si="17"/>
        <v>108502</v>
      </c>
      <c r="V161">
        <f>VLOOKUP($A161,精英副本客户端!$A$2:$O$406,10,0)</f>
        <v>86</v>
      </c>
      <c r="W161">
        <f>VLOOKUP($A161,精英副本客户端!$A$2:$O$406,11,0)</f>
        <v>1</v>
      </c>
      <c r="X161">
        <f>VLOOKUP($A161,精英副本客户端!$A$2:$O$406,12,0)</f>
        <v>5</v>
      </c>
      <c r="Y161" t="str">
        <f t="shared" si="21"/>
        <v>无畏试炼（85）</v>
      </c>
    </row>
    <row r="162" spans="1:25">
      <c r="A162">
        <f t="shared" si="20"/>
        <v>108504</v>
      </c>
      <c r="B162" t="s">
        <v>1058</v>
      </c>
      <c r="C162">
        <v>0</v>
      </c>
      <c r="D162">
        <v>0</v>
      </c>
      <c r="E162" t="str">
        <f t="shared" si="16"/>
        <v>1085041_1</v>
      </c>
      <c r="F162" t="s">
        <v>213</v>
      </c>
      <c r="G162">
        <v>0</v>
      </c>
      <c r="H162">
        <v>0</v>
      </c>
      <c r="I162">
        <v>0</v>
      </c>
      <c r="J162">
        <v>0</v>
      </c>
      <c r="K162">
        <v>100</v>
      </c>
      <c r="L162" t="s">
        <v>738</v>
      </c>
      <c r="M162" s="6" t="s">
        <v>739</v>
      </c>
      <c r="N162">
        <v>920</v>
      </c>
      <c r="O162">
        <v>120</v>
      </c>
      <c r="P162">
        <v>10</v>
      </c>
      <c r="Q162">
        <v>10</v>
      </c>
      <c r="R162">
        <v>0</v>
      </c>
      <c r="S162">
        <f t="shared" si="14"/>
        <v>1</v>
      </c>
      <c r="T162">
        <f t="shared" si="15"/>
        <v>81</v>
      </c>
      <c r="U162">
        <f t="shared" si="17"/>
        <v>108503</v>
      </c>
      <c r="V162">
        <f>VLOOKUP($A162,精英副本客户端!$A$2:$O$406,10,0)</f>
        <v>86</v>
      </c>
      <c r="W162">
        <f>VLOOKUP($A162,精英副本客户端!$A$2:$O$406,11,0)</f>
        <v>0</v>
      </c>
      <c r="X162">
        <f>VLOOKUP($A162,精英副本客户端!$A$2:$O$406,12,0)</f>
        <v>1</v>
      </c>
      <c r="Y162" t="str">
        <f t="shared" si="21"/>
        <v>无畏试炼（85）</v>
      </c>
    </row>
    <row r="163" spans="1:25">
      <c r="A163">
        <f t="shared" si="20"/>
        <v>108505</v>
      </c>
      <c r="B163" t="s">
        <v>1059</v>
      </c>
      <c r="C163">
        <v>0</v>
      </c>
      <c r="D163">
        <v>0</v>
      </c>
      <c r="E163" t="str">
        <f t="shared" si="16"/>
        <v>1085051_1</v>
      </c>
      <c r="F163" t="s">
        <v>213</v>
      </c>
      <c r="G163">
        <v>0</v>
      </c>
      <c r="H163">
        <v>0</v>
      </c>
      <c r="I163">
        <v>0</v>
      </c>
      <c r="J163">
        <v>0</v>
      </c>
      <c r="K163">
        <v>100</v>
      </c>
      <c r="L163" t="s">
        <v>738</v>
      </c>
      <c r="M163" s="6" t="s">
        <v>739</v>
      </c>
      <c r="N163">
        <v>920</v>
      </c>
      <c r="O163">
        <v>120</v>
      </c>
      <c r="P163">
        <v>10</v>
      </c>
      <c r="Q163">
        <v>10</v>
      </c>
      <c r="R163">
        <v>0</v>
      </c>
      <c r="S163">
        <f t="shared" si="14"/>
        <v>1</v>
      </c>
      <c r="T163">
        <f t="shared" si="15"/>
        <v>81</v>
      </c>
      <c r="U163">
        <f t="shared" si="17"/>
        <v>108504</v>
      </c>
      <c r="V163">
        <f>VLOOKUP($A163,精英副本客户端!$A$2:$O$406,10,0)</f>
        <v>86</v>
      </c>
      <c r="W163">
        <f>VLOOKUP($A163,精英副本客户端!$A$2:$O$406,11,0)</f>
        <v>0</v>
      </c>
      <c r="X163">
        <f>VLOOKUP($A163,精英副本客户端!$A$2:$O$406,12,0)</f>
        <v>1</v>
      </c>
      <c r="Y163" t="str">
        <f t="shared" si="21"/>
        <v>无畏试炼（85）</v>
      </c>
    </row>
    <row r="164" spans="1:25">
      <c r="A164">
        <f t="shared" si="20"/>
        <v>108506</v>
      </c>
      <c r="B164" t="s">
        <v>1060</v>
      </c>
      <c r="C164">
        <v>0</v>
      </c>
      <c r="D164">
        <v>0</v>
      </c>
      <c r="E164" t="str">
        <f t="shared" si="16"/>
        <v>1085061_1</v>
      </c>
      <c r="F164" t="s">
        <v>213</v>
      </c>
      <c r="G164">
        <v>0</v>
      </c>
      <c r="H164">
        <v>0</v>
      </c>
      <c r="I164">
        <v>0</v>
      </c>
      <c r="J164">
        <v>0</v>
      </c>
      <c r="K164">
        <v>100</v>
      </c>
      <c r="L164" t="s">
        <v>738</v>
      </c>
      <c r="M164" s="6" t="s">
        <v>739</v>
      </c>
      <c r="N164">
        <v>920</v>
      </c>
      <c r="O164">
        <v>120</v>
      </c>
      <c r="P164">
        <v>10</v>
      </c>
      <c r="Q164">
        <v>10</v>
      </c>
      <c r="R164">
        <v>0</v>
      </c>
      <c r="S164">
        <f t="shared" si="14"/>
        <v>1</v>
      </c>
      <c r="T164">
        <f t="shared" si="15"/>
        <v>81</v>
      </c>
      <c r="U164">
        <f t="shared" si="17"/>
        <v>108505</v>
      </c>
      <c r="V164">
        <f>VLOOKUP($A164,精英副本客户端!$A$2:$O$406,10,0)</f>
        <v>87</v>
      </c>
      <c r="W164">
        <f>VLOOKUP($A164,精英副本客户端!$A$2:$O$406,11,0)</f>
        <v>1</v>
      </c>
      <c r="X164">
        <f>VLOOKUP($A164,精英副本客户端!$A$2:$O$406,12,0)</f>
        <v>5</v>
      </c>
      <c r="Y164" t="str">
        <f t="shared" si="21"/>
        <v>无畏试炼（85）</v>
      </c>
    </row>
    <row r="165" spans="1:25">
      <c r="A165">
        <f t="shared" si="20"/>
        <v>108507</v>
      </c>
      <c r="B165" t="s">
        <v>1061</v>
      </c>
      <c r="C165">
        <v>0</v>
      </c>
      <c r="D165">
        <v>0</v>
      </c>
      <c r="E165" t="str">
        <f t="shared" si="16"/>
        <v>1085071_1</v>
      </c>
      <c r="F165" t="s">
        <v>213</v>
      </c>
      <c r="G165">
        <v>0</v>
      </c>
      <c r="H165">
        <v>0</v>
      </c>
      <c r="I165">
        <v>0</v>
      </c>
      <c r="J165">
        <v>0</v>
      </c>
      <c r="K165">
        <v>100</v>
      </c>
      <c r="L165" t="s">
        <v>738</v>
      </c>
      <c r="M165" s="6" t="s">
        <v>739</v>
      </c>
      <c r="N165">
        <v>920</v>
      </c>
      <c r="O165">
        <v>120</v>
      </c>
      <c r="P165">
        <v>10</v>
      </c>
      <c r="Q165">
        <v>10</v>
      </c>
      <c r="R165">
        <v>0</v>
      </c>
      <c r="S165">
        <f t="shared" si="14"/>
        <v>1</v>
      </c>
      <c r="T165">
        <f t="shared" si="15"/>
        <v>81</v>
      </c>
      <c r="U165">
        <f t="shared" si="17"/>
        <v>108506</v>
      </c>
      <c r="V165">
        <f>VLOOKUP($A165,精英副本客户端!$A$2:$O$406,10,0)</f>
        <v>87</v>
      </c>
      <c r="W165">
        <f>VLOOKUP($A165,精英副本客户端!$A$2:$O$406,11,0)</f>
        <v>0</v>
      </c>
      <c r="X165">
        <f>VLOOKUP($A165,精英副本客户端!$A$2:$O$406,12,0)</f>
        <v>1</v>
      </c>
      <c r="Y165" t="str">
        <f t="shared" si="21"/>
        <v>无畏试炼（85）</v>
      </c>
    </row>
    <row r="166" spans="1:25">
      <c r="A166">
        <f t="shared" si="20"/>
        <v>108508</v>
      </c>
      <c r="B166" t="s">
        <v>1062</v>
      </c>
      <c r="C166">
        <v>0</v>
      </c>
      <c r="D166">
        <v>0</v>
      </c>
      <c r="E166" t="str">
        <f t="shared" si="16"/>
        <v>1085081_1</v>
      </c>
      <c r="F166" t="s">
        <v>213</v>
      </c>
      <c r="G166">
        <v>0</v>
      </c>
      <c r="H166">
        <v>0</v>
      </c>
      <c r="I166">
        <v>0</v>
      </c>
      <c r="J166">
        <v>0</v>
      </c>
      <c r="K166">
        <v>100</v>
      </c>
      <c r="L166" t="s">
        <v>738</v>
      </c>
      <c r="M166" s="6" t="s">
        <v>739</v>
      </c>
      <c r="N166">
        <v>920</v>
      </c>
      <c r="O166">
        <v>120</v>
      </c>
      <c r="P166">
        <v>10</v>
      </c>
      <c r="Q166">
        <v>10</v>
      </c>
      <c r="R166">
        <v>0</v>
      </c>
      <c r="S166">
        <f t="shared" si="14"/>
        <v>1</v>
      </c>
      <c r="T166">
        <f t="shared" si="15"/>
        <v>81</v>
      </c>
      <c r="U166">
        <f t="shared" si="17"/>
        <v>108507</v>
      </c>
      <c r="V166">
        <f>VLOOKUP($A166,精英副本客户端!$A$2:$O$406,10,0)</f>
        <v>88</v>
      </c>
      <c r="W166">
        <f>VLOOKUP($A166,精英副本客户端!$A$2:$O$406,11,0)</f>
        <v>0</v>
      </c>
      <c r="X166">
        <f>VLOOKUP($A166,精英副本客户端!$A$2:$O$406,12,0)</f>
        <v>1</v>
      </c>
      <c r="Y166" t="str">
        <f t="shared" si="21"/>
        <v>无畏试炼（85）</v>
      </c>
    </row>
    <row r="167" spans="1:25">
      <c r="A167">
        <f t="shared" si="20"/>
        <v>108509</v>
      </c>
      <c r="B167" t="s">
        <v>1063</v>
      </c>
      <c r="C167">
        <v>0</v>
      </c>
      <c r="D167">
        <v>0</v>
      </c>
      <c r="E167" t="str">
        <f t="shared" si="16"/>
        <v>1085091_1</v>
      </c>
      <c r="F167" t="s">
        <v>213</v>
      </c>
      <c r="G167">
        <v>0</v>
      </c>
      <c r="H167">
        <v>0</v>
      </c>
      <c r="I167">
        <v>0</v>
      </c>
      <c r="J167">
        <v>0</v>
      </c>
      <c r="K167">
        <v>100</v>
      </c>
      <c r="L167" t="s">
        <v>738</v>
      </c>
      <c r="M167" s="6" t="s">
        <v>739</v>
      </c>
      <c r="N167">
        <v>920</v>
      </c>
      <c r="O167">
        <v>120</v>
      </c>
      <c r="P167">
        <v>10</v>
      </c>
      <c r="Q167">
        <v>10</v>
      </c>
      <c r="R167">
        <v>0</v>
      </c>
      <c r="S167">
        <f t="shared" si="14"/>
        <v>1</v>
      </c>
      <c r="T167">
        <f t="shared" si="15"/>
        <v>81</v>
      </c>
      <c r="U167">
        <f t="shared" si="17"/>
        <v>108508</v>
      </c>
      <c r="V167">
        <f>VLOOKUP($A167,精英副本客户端!$A$2:$O$406,10,0)</f>
        <v>89</v>
      </c>
      <c r="W167">
        <f>VLOOKUP($A167,精英副本客户端!$A$2:$O$406,11,0)</f>
        <v>1</v>
      </c>
      <c r="X167">
        <f>VLOOKUP($A167,精英副本客户端!$A$2:$O$406,12,0)</f>
        <v>5</v>
      </c>
      <c r="Y167" t="str">
        <f t="shared" si="21"/>
        <v>无畏试炼（85）</v>
      </c>
    </row>
    <row r="168" spans="1:25">
      <c r="A168">
        <f t="shared" si="20"/>
        <v>109001</v>
      </c>
      <c r="B168" t="s">
        <v>1056</v>
      </c>
      <c r="C168">
        <v>0</v>
      </c>
      <c r="D168">
        <v>0</v>
      </c>
      <c r="E168" t="str">
        <f t="shared" si="16"/>
        <v>1090011_1</v>
      </c>
      <c r="F168" t="s">
        <v>213</v>
      </c>
      <c r="G168">
        <v>0</v>
      </c>
      <c r="H168">
        <v>0</v>
      </c>
      <c r="I168">
        <v>0</v>
      </c>
      <c r="J168">
        <v>0</v>
      </c>
      <c r="K168">
        <v>100</v>
      </c>
      <c r="L168" t="s">
        <v>738</v>
      </c>
      <c r="M168" s="6" t="s">
        <v>739</v>
      </c>
      <c r="N168">
        <v>920</v>
      </c>
      <c r="O168">
        <v>120</v>
      </c>
      <c r="P168">
        <v>10</v>
      </c>
      <c r="Q168">
        <v>10</v>
      </c>
      <c r="R168">
        <v>0</v>
      </c>
      <c r="S168">
        <f t="shared" si="14"/>
        <v>1</v>
      </c>
      <c r="T168">
        <f t="shared" si="15"/>
        <v>86</v>
      </c>
      <c r="U168">
        <f t="shared" si="17"/>
        <v>108509</v>
      </c>
      <c r="V168">
        <f>VLOOKUP($A168,精英副本客户端!$A$2:$O$406,10,0)</f>
        <v>90</v>
      </c>
      <c r="W168">
        <f>VLOOKUP($A168,精英副本客户端!$A$2:$O$406,11,0)</f>
        <v>0</v>
      </c>
      <c r="X168">
        <f>VLOOKUP($A168,精英副本客户端!$A$2:$O$406,12,0)</f>
        <v>1</v>
      </c>
      <c r="Y168" t="str">
        <f t="shared" si="21"/>
        <v>无畏试炼（90）</v>
      </c>
    </row>
    <row r="169" spans="1:25">
      <c r="A169">
        <f t="shared" si="20"/>
        <v>109002</v>
      </c>
      <c r="B169" t="s">
        <v>1057</v>
      </c>
      <c r="C169">
        <v>0</v>
      </c>
      <c r="D169">
        <v>0</v>
      </c>
      <c r="E169" t="str">
        <f t="shared" si="16"/>
        <v>1090021_1</v>
      </c>
      <c r="F169" t="s">
        <v>213</v>
      </c>
      <c r="G169">
        <v>0</v>
      </c>
      <c r="H169">
        <v>0</v>
      </c>
      <c r="I169">
        <v>0</v>
      </c>
      <c r="J169">
        <v>0</v>
      </c>
      <c r="K169">
        <v>100</v>
      </c>
      <c r="L169" t="s">
        <v>738</v>
      </c>
      <c r="M169" s="6" t="s">
        <v>739</v>
      </c>
      <c r="N169">
        <v>920</v>
      </c>
      <c r="O169">
        <v>120</v>
      </c>
      <c r="P169">
        <v>10</v>
      </c>
      <c r="Q169">
        <v>10</v>
      </c>
      <c r="R169">
        <v>0</v>
      </c>
      <c r="S169">
        <f t="shared" si="14"/>
        <v>1</v>
      </c>
      <c r="T169">
        <f t="shared" si="15"/>
        <v>86</v>
      </c>
      <c r="U169">
        <f t="shared" si="17"/>
        <v>109001</v>
      </c>
      <c r="V169">
        <f>VLOOKUP($A169,精英副本客户端!$A$2:$O$406,10,0)</f>
        <v>90</v>
      </c>
      <c r="W169">
        <f>VLOOKUP($A169,精英副本客户端!$A$2:$O$406,11,0)</f>
        <v>0</v>
      </c>
      <c r="X169">
        <f>VLOOKUP($A169,精英副本客户端!$A$2:$O$406,12,0)</f>
        <v>1</v>
      </c>
      <c r="Y169" t="str">
        <f t="shared" si="21"/>
        <v>无畏试炼（90）</v>
      </c>
    </row>
    <row r="170" spans="1:25">
      <c r="A170">
        <f t="shared" si="20"/>
        <v>109003</v>
      </c>
      <c r="B170" t="s">
        <v>1040</v>
      </c>
      <c r="C170">
        <v>0</v>
      </c>
      <c r="D170">
        <v>0</v>
      </c>
      <c r="E170" t="str">
        <f t="shared" si="16"/>
        <v>1090031_1</v>
      </c>
      <c r="F170" t="s">
        <v>213</v>
      </c>
      <c r="G170">
        <v>0</v>
      </c>
      <c r="H170">
        <v>0</v>
      </c>
      <c r="I170">
        <v>0</v>
      </c>
      <c r="J170">
        <v>0</v>
      </c>
      <c r="K170">
        <v>100</v>
      </c>
      <c r="L170" t="s">
        <v>738</v>
      </c>
      <c r="M170" s="6" t="s">
        <v>739</v>
      </c>
      <c r="N170">
        <v>920</v>
      </c>
      <c r="O170">
        <v>120</v>
      </c>
      <c r="P170">
        <v>10</v>
      </c>
      <c r="Q170">
        <v>10</v>
      </c>
      <c r="R170">
        <v>0</v>
      </c>
      <c r="S170">
        <f t="shared" si="14"/>
        <v>1</v>
      </c>
      <c r="T170">
        <f t="shared" si="15"/>
        <v>86</v>
      </c>
      <c r="U170">
        <f t="shared" si="17"/>
        <v>109002</v>
      </c>
      <c r="V170">
        <f>VLOOKUP($A170,精英副本客户端!$A$2:$O$406,10,0)</f>
        <v>91</v>
      </c>
      <c r="W170">
        <f>VLOOKUP($A170,精英副本客户端!$A$2:$O$406,11,0)</f>
        <v>1</v>
      </c>
      <c r="X170">
        <f>VLOOKUP($A170,精英副本客户端!$A$2:$O$406,12,0)</f>
        <v>5</v>
      </c>
      <c r="Y170" t="str">
        <f t="shared" si="21"/>
        <v>无畏试炼（90）</v>
      </c>
    </row>
    <row r="171" spans="1:25">
      <c r="A171">
        <f>A162+500</f>
        <v>109004</v>
      </c>
      <c r="B171" t="s">
        <v>1058</v>
      </c>
      <c r="C171">
        <v>0</v>
      </c>
      <c r="D171">
        <v>0</v>
      </c>
      <c r="E171" t="str">
        <f t="shared" si="16"/>
        <v>1090041_1</v>
      </c>
      <c r="F171" t="s">
        <v>213</v>
      </c>
      <c r="G171">
        <v>0</v>
      </c>
      <c r="H171">
        <v>0</v>
      </c>
      <c r="I171">
        <v>0</v>
      </c>
      <c r="J171">
        <v>0</v>
      </c>
      <c r="K171">
        <v>100</v>
      </c>
      <c r="L171" t="s">
        <v>738</v>
      </c>
      <c r="M171" s="6" t="s">
        <v>739</v>
      </c>
      <c r="N171">
        <v>920</v>
      </c>
      <c r="O171">
        <v>120</v>
      </c>
      <c r="P171">
        <v>10</v>
      </c>
      <c r="Q171">
        <v>10</v>
      </c>
      <c r="R171">
        <v>0</v>
      </c>
      <c r="S171">
        <f t="shared" si="14"/>
        <v>1</v>
      </c>
      <c r="T171">
        <f t="shared" si="15"/>
        <v>86</v>
      </c>
      <c r="U171">
        <f t="shared" si="17"/>
        <v>109003</v>
      </c>
      <c r="V171">
        <f>VLOOKUP($A171,精英副本客户端!$A$2:$O$406,10,0)</f>
        <v>91</v>
      </c>
      <c r="W171">
        <f>VLOOKUP($A171,精英副本客户端!$A$2:$O$406,11,0)</f>
        <v>0</v>
      </c>
      <c r="X171">
        <f>VLOOKUP($A171,精英副本客户端!$A$2:$O$406,12,0)</f>
        <v>1</v>
      </c>
      <c r="Y171" t="str">
        <f t="shared" si="21"/>
        <v>无畏试炼（90）</v>
      </c>
    </row>
    <row r="172" spans="1:25">
      <c r="A172">
        <f t="shared" ref="A172:A194" si="22">A163+500</f>
        <v>109005</v>
      </c>
      <c r="B172" t="s">
        <v>1059</v>
      </c>
      <c r="C172">
        <v>0</v>
      </c>
      <c r="D172">
        <v>0</v>
      </c>
      <c r="E172" t="str">
        <f t="shared" si="16"/>
        <v>1090051_1</v>
      </c>
      <c r="F172" t="s">
        <v>213</v>
      </c>
      <c r="G172">
        <v>0</v>
      </c>
      <c r="H172">
        <v>0</v>
      </c>
      <c r="I172">
        <v>0</v>
      </c>
      <c r="J172">
        <v>0</v>
      </c>
      <c r="K172">
        <v>100</v>
      </c>
      <c r="L172" t="s">
        <v>738</v>
      </c>
      <c r="M172" s="6" t="s">
        <v>739</v>
      </c>
      <c r="N172">
        <v>920</v>
      </c>
      <c r="O172">
        <v>120</v>
      </c>
      <c r="P172">
        <v>10</v>
      </c>
      <c r="Q172">
        <v>10</v>
      </c>
      <c r="R172">
        <v>0</v>
      </c>
      <c r="S172">
        <f t="shared" si="14"/>
        <v>1</v>
      </c>
      <c r="T172">
        <f t="shared" si="15"/>
        <v>86</v>
      </c>
      <c r="U172">
        <f t="shared" si="17"/>
        <v>109004</v>
      </c>
      <c r="V172">
        <f>VLOOKUP($A172,精英副本客户端!$A$2:$O$406,10,0)</f>
        <v>91</v>
      </c>
      <c r="W172">
        <f>VLOOKUP($A172,精英副本客户端!$A$2:$O$406,11,0)</f>
        <v>0</v>
      </c>
      <c r="X172">
        <f>VLOOKUP($A172,精英副本客户端!$A$2:$O$406,12,0)</f>
        <v>1</v>
      </c>
      <c r="Y172" t="str">
        <f t="shared" si="21"/>
        <v>无畏试炼（90）</v>
      </c>
    </row>
    <row r="173" spans="1:25">
      <c r="A173">
        <f t="shared" si="22"/>
        <v>109006</v>
      </c>
      <c r="B173" t="s">
        <v>1060</v>
      </c>
      <c r="C173">
        <v>0</v>
      </c>
      <c r="D173">
        <v>0</v>
      </c>
      <c r="E173" t="str">
        <f t="shared" si="16"/>
        <v>1090061_1</v>
      </c>
      <c r="F173" t="s">
        <v>213</v>
      </c>
      <c r="G173">
        <v>0</v>
      </c>
      <c r="H173">
        <v>0</v>
      </c>
      <c r="I173">
        <v>0</v>
      </c>
      <c r="J173">
        <v>0</v>
      </c>
      <c r="K173">
        <v>100</v>
      </c>
      <c r="L173" t="s">
        <v>738</v>
      </c>
      <c r="M173" s="6" t="s">
        <v>739</v>
      </c>
      <c r="N173">
        <v>920</v>
      </c>
      <c r="O173">
        <v>120</v>
      </c>
      <c r="P173">
        <v>10</v>
      </c>
      <c r="Q173">
        <v>10</v>
      </c>
      <c r="R173">
        <v>0</v>
      </c>
      <c r="S173">
        <f t="shared" si="14"/>
        <v>1</v>
      </c>
      <c r="T173">
        <f t="shared" si="15"/>
        <v>86</v>
      </c>
      <c r="U173">
        <f t="shared" si="17"/>
        <v>109005</v>
      </c>
      <c r="V173">
        <f>VLOOKUP($A173,精英副本客户端!$A$2:$O$406,10,0)</f>
        <v>92</v>
      </c>
      <c r="W173">
        <f>VLOOKUP($A173,精英副本客户端!$A$2:$O$406,11,0)</f>
        <v>1</v>
      </c>
      <c r="X173">
        <f>VLOOKUP($A173,精英副本客户端!$A$2:$O$406,12,0)</f>
        <v>5</v>
      </c>
      <c r="Y173" t="str">
        <f t="shared" si="21"/>
        <v>无畏试炼（90）</v>
      </c>
    </row>
    <row r="174" spans="1:25">
      <c r="A174">
        <f t="shared" si="22"/>
        <v>109007</v>
      </c>
      <c r="B174" t="s">
        <v>1061</v>
      </c>
      <c r="C174">
        <v>0</v>
      </c>
      <c r="D174">
        <v>0</v>
      </c>
      <c r="E174" t="str">
        <f t="shared" si="16"/>
        <v>1090071_1</v>
      </c>
      <c r="F174" t="s">
        <v>213</v>
      </c>
      <c r="G174">
        <v>0</v>
      </c>
      <c r="H174">
        <v>0</v>
      </c>
      <c r="I174">
        <v>0</v>
      </c>
      <c r="J174">
        <v>0</v>
      </c>
      <c r="K174">
        <v>100</v>
      </c>
      <c r="L174" t="s">
        <v>738</v>
      </c>
      <c r="M174" s="6" t="s">
        <v>739</v>
      </c>
      <c r="N174">
        <v>920</v>
      </c>
      <c r="O174">
        <v>120</v>
      </c>
      <c r="P174">
        <v>10</v>
      </c>
      <c r="Q174">
        <v>10</v>
      </c>
      <c r="R174">
        <v>0</v>
      </c>
      <c r="S174">
        <f t="shared" si="14"/>
        <v>1</v>
      </c>
      <c r="T174">
        <f t="shared" si="15"/>
        <v>86</v>
      </c>
      <c r="U174">
        <f t="shared" si="17"/>
        <v>109006</v>
      </c>
      <c r="V174">
        <f>VLOOKUP($A174,精英副本客户端!$A$2:$O$406,10,0)</f>
        <v>92</v>
      </c>
      <c r="W174">
        <f>VLOOKUP($A174,精英副本客户端!$A$2:$O$406,11,0)</f>
        <v>0</v>
      </c>
      <c r="X174">
        <f>VLOOKUP($A174,精英副本客户端!$A$2:$O$406,12,0)</f>
        <v>1</v>
      </c>
      <c r="Y174" t="str">
        <f t="shared" si="21"/>
        <v>无畏试炼（90）</v>
      </c>
    </row>
    <row r="175" spans="1:25">
      <c r="A175">
        <f t="shared" si="22"/>
        <v>109008</v>
      </c>
      <c r="B175" t="s">
        <v>1062</v>
      </c>
      <c r="C175">
        <v>0</v>
      </c>
      <c r="D175">
        <v>0</v>
      </c>
      <c r="E175" t="str">
        <f t="shared" si="16"/>
        <v>1090081_1</v>
      </c>
      <c r="F175" t="s">
        <v>213</v>
      </c>
      <c r="G175">
        <v>0</v>
      </c>
      <c r="H175">
        <v>0</v>
      </c>
      <c r="I175">
        <v>0</v>
      </c>
      <c r="J175">
        <v>0</v>
      </c>
      <c r="K175">
        <v>100</v>
      </c>
      <c r="L175" t="s">
        <v>738</v>
      </c>
      <c r="M175" s="6" t="s">
        <v>739</v>
      </c>
      <c r="N175">
        <v>920</v>
      </c>
      <c r="O175">
        <v>120</v>
      </c>
      <c r="P175">
        <v>10</v>
      </c>
      <c r="Q175">
        <v>10</v>
      </c>
      <c r="R175">
        <v>0</v>
      </c>
      <c r="S175">
        <f t="shared" si="14"/>
        <v>1</v>
      </c>
      <c r="T175">
        <f t="shared" si="15"/>
        <v>86</v>
      </c>
      <c r="U175">
        <f t="shared" si="17"/>
        <v>109007</v>
      </c>
      <c r="V175">
        <f>VLOOKUP($A175,精英副本客户端!$A$2:$O$406,10,0)</f>
        <v>93</v>
      </c>
      <c r="W175">
        <f>VLOOKUP($A175,精英副本客户端!$A$2:$O$406,11,0)</f>
        <v>0</v>
      </c>
      <c r="X175">
        <f>VLOOKUP($A175,精英副本客户端!$A$2:$O$406,12,0)</f>
        <v>1</v>
      </c>
      <c r="Y175" t="str">
        <f t="shared" si="21"/>
        <v>无畏试炼（90）</v>
      </c>
    </row>
    <row r="176" spans="1:25">
      <c r="A176">
        <f t="shared" si="22"/>
        <v>109009</v>
      </c>
      <c r="B176" t="s">
        <v>1063</v>
      </c>
      <c r="C176">
        <v>0</v>
      </c>
      <c r="D176">
        <v>0</v>
      </c>
      <c r="E176" t="str">
        <f t="shared" si="16"/>
        <v>1090091_1</v>
      </c>
      <c r="F176" t="s">
        <v>213</v>
      </c>
      <c r="G176">
        <v>0</v>
      </c>
      <c r="H176">
        <v>0</v>
      </c>
      <c r="I176">
        <v>0</v>
      </c>
      <c r="J176">
        <v>0</v>
      </c>
      <c r="K176">
        <v>100</v>
      </c>
      <c r="L176" t="s">
        <v>738</v>
      </c>
      <c r="M176" s="6" t="s">
        <v>739</v>
      </c>
      <c r="N176">
        <v>920</v>
      </c>
      <c r="O176">
        <v>120</v>
      </c>
      <c r="P176">
        <v>10</v>
      </c>
      <c r="Q176">
        <v>10</v>
      </c>
      <c r="R176">
        <v>0</v>
      </c>
      <c r="S176">
        <f t="shared" si="14"/>
        <v>1</v>
      </c>
      <c r="T176">
        <f t="shared" si="15"/>
        <v>86</v>
      </c>
      <c r="U176">
        <f t="shared" si="17"/>
        <v>109008</v>
      </c>
      <c r="V176">
        <f>VLOOKUP($A176,精英副本客户端!$A$2:$O$406,10,0)</f>
        <v>94</v>
      </c>
      <c r="W176">
        <f>VLOOKUP($A176,精英副本客户端!$A$2:$O$406,11,0)</f>
        <v>1</v>
      </c>
      <c r="X176">
        <f>VLOOKUP($A176,精英副本客户端!$A$2:$O$406,12,0)</f>
        <v>5</v>
      </c>
      <c r="Y176" t="str">
        <f t="shared" si="21"/>
        <v>无畏试炼（90）</v>
      </c>
    </row>
    <row r="177" spans="1:25">
      <c r="A177">
        <f t="shared" si="22"/>
        <v>109501</v>
      </c>
      <c r="B177" t="s">
        <v>1056</v>
      </c>
      <c r="C177">
        <v>0</v>
      </c>
      <c r="D177">
        <v>0</v>
      </c>
      <c r="E177" t="str">
        <f t="shared" si="16"/>
        <v>1095011_1</v>
      </c>
      <c r="F177" t="s">
        <v>213</v>
      </c>
      <c r="G177">
        <v>0</v>
      </c>
      <c r="H177">
        <v>0</v>
      </c>
      <c r="I177">
        <v>0</v>
      </c>
      <c r="J177">
        <v>0</v>
      </c>
      <c r="K177">
        <v>100</v>
      </c>
      <c r="L177" t="s">
        <v>738</v>
      </c>
      <c r="M177" s="6" t="s">
        <v>739</v>
      </c>
      <c r="N177">
        <v>920</v>
      </c>
      <c r="O177">
        <v>120</v>
      </c>
      <c r="P177">
        <v>10</v>
      </c>
      <c r="Q177">
        <v>10</v>
      </c>
      <c r="R177">
        <v>0</v>
      </c>
      <c r="S177">
        <f t="shared" si="14"/>
        <v>1</v>
      </c>
      <c r="T177">
        <f t="shared" si="15"/>
        <v>91</v>
      </c>
      <c r="U177">
        <f t="shared" si="17"/>
        <v>109009</v>
      </c>
      <c r="V177">
        <f>VLOOKUP($A177,精英副本客户端!$A$2:$O$406,10,0)</f>
        <v>95</v>
      </c>
      <c r="W177">
        <f>VLOOKUP($A177,精英副本客户端!$A$2:$O$406,11,0)</f>
        <v>0</v>
      </c>
      <c r="X177">
        <f>VLOOKUP($A177,精英副本客户端!$A$2:$O$406,12,0)</f>
        <v>1</v>
      </c>
      <c r="Y177" t="str">
        <f t="shared" si="21"/>
        <v>无畏试炼（95）</v>
      </c>
    </row>
    <row r="178" spans="1:25">
      <c r="A178">
        <f t="shared" si="22"/>
        <v>109502</v>
      </c>
      <c r="B178" t="s">
        <v>1057</v>
      </c>
      <c r="C178">
        <v>0</v>
      </c>
      <c r="D178">
        <v>0</v>
      </c>
      <c r="E178" t="str">
        <f t="shared" si="16"/>
        <v>1095021_1</v>
      </c>
      <c r="F178" t="s">
        <v>213</v>
      </c>
      <c r="G178">
        <v>0</v>
      </c>
      <c r="H178">
        <v>0</v>
      </c>
      <c r="I178">
        <v>0</v>
      </c>
      <c r="J178">
        <v>0</v>
      </c>
      <c r="K178">
        <v>100</v>
      </c>
      <c r="L178" t="s">
        <v>738</v>
      </c>
      <c r="M178" s="6" t="s">
        <v>739</v>
      </c>
      <c r="N178">
        <v>920</v>
      </c>
      <c r="O178">
        <v>120</v>
      </c>
      <c r="P178">
        <v>10</v>
      </c>
      <c r="Q178">
        <v>10</v>
      </c>
      <c r="R178">
        <v>0</v>
      </c>
      <c r="S178">
        <f t="shared" si="14"/>
        <v>1</v>
      </c>
      <c r="T178">
        <f t="shared" si="15"/>
        <v>91</v>
      </c>
      <c r="U178">
        <f t="shared" si="17"/>
        <v>109501</v>
      </c>
      <c r="V178">
        <f>VLOOKUP($A178,精英副本客户端!$A$2:$O$406,10,0)</f>
        <v>95</v>
      </c>
      <c r="W178">
        <f>VLOOKUP($A178,精英副本客户端!$A$2:$O$406,11,0)</f>
        <v>0</v>
      </c>
      <c r="X178">
        <f>VLOOKUP($A178,精英副本客户端!$A$2:$O$406,12,0)</f>
        <v>1</v>
      </c>
      <c r="Y178" t="str">
        <f t="shared" si="21"/>
        <v>无畏试炼（95）</v>
      </c>
    </row>
    <row r="179" spans="1:25">
      <c r="A179">
        <f t="shared" si="22"/>
        <v>109503</v>
      </c>
      <c r="B179" t="s">
        <v>1040</v>
      </c>
      <c r="C179">
        <v>0</v>
      </c>
      <c r="D179">
        <v>0</v>
      </c>
      <c r="E179" t="str">
        <f t="shared" si="16"/>
        <v>1095031_1</v>
      </c>
      <c r="F179" t="s">
        <v>213</v>
      </c>
      <c r="G179">
        <v>0</v>
      </c>
      <c r="H179">
        <v>0</v>
      </c>
      <c r="I179">
        <v>0</v>
      </c>
      <c r="J179">
        <v>0</v>
      </c>
      <c r="K179">
        <v>100</v>
      </c>
      <c r="L179" t="s">
        <v>738</v>
      </c>
      <c r="M179" s="6" t="s">
        <v>739</v>
      </c>
      <c r="N179">
        <v>920</v>
      </c>
      <c r="O179">
        <v>120</v>
      </c>
      <c r="P179">
        <v>10</v>
      </c>
      <c r="Q179">
        <v>10</v>
      </c>
      <c r="R179">
        <v>0</v>
      </c>
      <c r="S179">
        <f t="shared" si="14"/>
        <v>1</v>
      </c>
      <c r="T179">
        <f t="shared" si="15"/>
        <v>91</v>
      </c>
      <c r="U179">
        <f t="shared" si="17"/>
        <v>109502</v>
      </c>
      <c r="V179">
        <f>VLOOKUP($A179,精英副本客户端!$A$2:$O$406,10,0)</f>
        <v>96</v>
      </c>
      <c r="W179">
        <f>VLOOKUP($A179,精英副本客户端!$A$2:$O$406,11,0)</f>
        <v>1</v>
      </c>
      <c r="X179">
        <f>VLOOKUP($A179,精英副本客户端!$A$2:$O$406,12,0)</f>
        <v>5</v>
      </c>
      <c r="Y179" t="str">
        <f t="shared" si="21"/>
        <v>无畏试炼（95）</v>
      </c>
    </row>
    <row r="180" spans="1:25">
      <c r="A180">
        <f t="shared" si="22"/>
        <v>109504</v>
      </c>
      <c r="B180" t="s">
        <v>1058</v>
      </c>
      <c r="C180">
        <v>0</v>
      </c>
      <c r="D180">
        <v>0</v>
      </c>
      <c r="E180" t="str">
        <f t="shared" si="16"/>
        <v>1095041_1</v>
      </c>
      <c r="F180" t="s">
        <v>213</v>
      </c>
      <c r="G180">
        <v>0</v>
      </c>
      <c r="H180">
        <v>0</v>
      </c>
      <c r="I180">
        <v>0</v>
      </c>
      <c r="J180">
        <v>0</v>
      </c>
      <c r="K180">
        <v>100</v>
      </c>
      <c r="L180" t="s">
        <v>738</v>
      </c>
      <c r="M180" s="6" t="s">
        <v>739</v>
      </c>
      <c r="N180">
        <v>920</v>
      </c>
      <c r="O180">
        <v>120</v>
      </c>
      <c r="P180">
        <v>10</v>
      </c>
      <c r="Q180">
        <v>10</v>
      </c>
      <c r="R180">
        <v>0</v>
      </c>
      <c r="S180">
        <f t="shared" si="14"/>
        <v>1</v>
      </c>
      <c r="T180">
        <f t="shared" si="15"/>
        <v>91</v>
      </c>
      <c r="U180">
        <f t="shared" si="17"/>
        <v>109503</v>
      </c>
      <c r="V180">
        <f>VLOOKUP($A180,精英副本客户端!$A$2:$O$406,10,0)</f>
        <v>96</v>
      </c>
      <c r="W180">
        <f>VLOOKUP($A180,精英副本客户端!$A$2:$O$406,11,0)</f>
        <v>0</v>
      </c>
      <c r="X180">
        <f>VLOOKUP($A180,精英副本客户端!$A$2:$O$406,12,0)</f>
        <v>1</v>
      </c>
      <c r="Y180" t="str">
        <f t="shared" si="21"/>
        <v>无畏试炼（95）</v>
      </c>
    </row>
    <row r="181" spans="1:25">
      <c r="A181">
        <f t="shared" si="22"/>
        <v>109505</v>
      </c>
      <c r="B181" t="s">
        <v>1059</v>
      </c>
      <c r="C181">
        <v>0</v>
      </c>
      <c r="D181">
        <v>0</v>
      </c>
      <c r="E181" t="str">
        <f t="shared" si="16"/>
        <v>1095051_1</v>
      </c>
      <c r="F181" t="s">
        <v>213</v>
      </c>
      <c r="G181">
        <v>0</v>
      </c>
      <c r="H181">
        <v>0</v>
      </c>
      <c r="I181">
        <v>0</v>
      </c>
      <c r="J181">
        <v>0</v>
      </c>
      <c r="K181">
        <v>100</v>
      </c>
      <c r="L181" t="s">
        <v>738</v>
      </c>
      <c r="M181" s="6" t="s">
        <v>739</v>
      </c>
      <c r="N181">
        <v>920</v>
      </c>
      <c r="O181">
        <v>120</v>
      </c>
      <c r="P181">
        <v>10</v>
      </c>
      <c r="Q181">
        <v>10</v>
      </c>
      <c r="R181">
        <v>0</v>
      </c>
      <c r="S181">
        <f t="shared" si="14"/>
        <v>1</v>
      </c>
      <c r="T181">
        <f t="shared" si="15"/>
        <v>91</v>
      </c>
      <c r="U181">
        <f t="shared" si="17"/>
        <v>109504</v>
      </c>
      <c r="V181">
        <f>VLOOKUP($A181,精英副本客户端!$A$2:$O$406,10,0)</f>
        <v>96</v>
      </c>
      <c r="W181">
        <f>VLOOKUP($A181,精英副本客户端!$A$2:$O$406,11,0)</f>
        <v>0</v>
      </c>
      <c r="X181">
        <f>VLOOKUP($A181,精英副本客户端!$A$2:$O$406,12,0)</f>
        <v>1</v>
      </c>
      <c r="Y181" t="str">
        <f t="shared" si="21"/>
        <v>无畏试炼（95）</v>
      </c>
    </row>
    <row r="182" spans="1:25">
      <c r="A182">
        <f t="shared" si="22"/>
        <v>109506</v>
      </c>
      <c r="B182" t="s">
        <v>1060</v>
      </c>
      <c r="C182">
        <v>0</v>
      </c>
      <c r="D182">
        <v>0</v>
      </c>
      <c r="E182" t="str">
        <f t="shared" si="16"/>
        <v>1095061_1</v>
      </c>
      <c r="F182" t="s">
        <v>213</v>
      </c>
      <c r="G182">
        <v>0</v>
      </c>
      <c r="H182">
        <v>0</v>
      </c>
      <c r="I182">
        <v>0</v>
      </c>
      <c r="J182">
        <v>0</v>
      </c>
      <c r="K182">
        <v>100</v>
      </c>
      <c r="L182" t="s">
        <v>738</v>
      </c>
      <c r="M182" s="6" t="s">
        <v>739</v>
      </c>
      <c r="N182">
        <v>920</v>
      </c>
      <c r="O182">
        <v>120</v>
      </c>
      <c r="P182">
        <v>10</v>
      </c>
      <c r="Q182">
        <v>10</v>
      </c>
      <c r="R182">
        <v>0</v>
      </c>
      <c r="S182">
        <f t="shared" si="14"/>
        <v>1</v>
      </c>
      <c r="T182">
        <f t="shared" si="15"/>
        <v>91</v>
      </c>
      <c r="U182">
        <f t="shared" si="17"/>
        <v>109505</v>
      </c>
      <c r="V182">
        <f>VLOOKUP($A182,精英副本客户端!$A$2:$O$406,10,0)</f>
        <v>97</v>
      </c>
      <c r="W182">
        <f>VLOOKUP($A182,精英副本客户端!$A$2:$O$406,11,0)</f>
        <v>1</v>
      </c>
      <c r="X182">
        <f>VLOOKUP($A182,精英副本客户端!$A$2:$O$406,12,0)</f>
        <v>5</v>
      </c>
      <c r="Y182" t="str">
        <f t="shared" si="21"/>
        <v>无畏试炼（95）</v>
      </c>
    </row>
    <row r="183" spans="1:25">
      <c r="A183">
        <f t="shared" si="22"/>
        <v>109507</v>
      </c>
      <c r="B183" t="s">
        <v>1061</v>
      </c>
      <c r="C183">
        <v>0</v>
      </c>
      <c r="D183">
        <v>0</v>
      </c>
      <c r="E183" t="str">
        <f t="shared" si="16"/>
        <v>1095071_1</v>
      </c>
      <c r="F183" t="s">
        <v>213</v>
      </c>
      <c r="G183">
        <v>0</v>
      </c>
      <c r="H183">
        <v>0</v>
      </c>
      <c r="I183">
        <v>0</v>
      </c>
      <c r="J183">
        <v>0</v>
      </c>
      <c r="K183">
        <v>100</v>
      </c>
      <c r="L183" t="s">
        <v>738</v>
      </c>
      <c r="M183" s="6" t="s">
        <v>739</v>
      </c>
      <c r="N183">
        <v>920</v>
      </c>
      <c r="O183">
        <v>120</v>
      </c>
      <c r="P183">
        <v>10</v>
      </c>
      <c r="Q183">
        <v>10</v>
      </c>
      <c r="R183">
        <v>0</v>
      </c>
      <c r="S183">
        <f t="shared" si="14"/>
        <v>1</v>
      </c>
      <c r="T183">
        <f t="shared" si="15"/>
        <v>91</v>
      </c>
      <c r="U183">
        <f t="shared" si="17"/>
        <v>109506</v>
      </c>
      <c r="V183">
        <f>VLOOKUP($A183,精英副本客户端!$A$2:$O$406,10,0)</f>
        <v>97</v>
      </c>
      <c r="W183">
        <f>VLOOKUP($A183,精英副本客户端!$A$2:$O$406,11,0)</f>
        <v>0</v>
      </c>
      <c r="X183">
        <f>VLOOKUP($A183,精英副本客户端!$A$2:$O$406,12,0)</f>
        <v>1</v>
      </c>
      <c r="Y183" t="str">
        <f t="shared" si="21"/>
        <v>无畏试炼（95）</v>
      </c>
    </row>
    <row r="184" spans="1:25">
      <c r="A184">
        <f t="shared" si="22"/>
        <v>109508</v>
      </c>
      <c r="B184" t="s">
        <v>1062</v>
      </c>
      <c r="C184">
        <v>0</v>
      </c>
      <c r="D184">
        <v>0</v>
      </c>
      <c r="E184" t="str">
        <f t="shared" si="16"/>
        <v>1095081_1</v>
      </c>
      <c r="F184" t="s">
        <v>213</v>
      </c>
      <c r="G184">
        <v>0</v>
      </c>
      <c r="H184">
        <v>0</v>
      </c>
      <c r="I184">
        <v>0</v>
      </c>
      <c r="J184">
        <v>0</v>
      </c>
      <c r="K184">
        <v>100</v>
      </c>
      <c r="L184" t="s">
        <v>738</v>
      </c>
      <c r="M184" s="6" t="s">
        <v>739</v>
      </c>
      <c r="N184">
        <v>920</v>
      </c>
      <c r="O184">
        <v>120</v>
      </c>
      <c r="P184">
        <v>10</v>
      </c>
      <c r="Q184">
        <v>10</v>
      </c>
      <c r="R184">
        <v>0</v>
      </c>
      <c r="S184">
        <f t="shared" si="14"/>
        <v>1</v>
      </c>
      <c r="T184">
        <f t="shared" si="15"/>
        <v>91</v>
      </c>
      <c r="U184">
        <f t="shared" si="17"/>
        <v>109507</v>
      </c>
      <c r="V184">
        <f>VLOOKUP($A184,精英副本客户端!$A$2:$O$406,10,0)</f>
        <v>98</v>
      </c>
      <c r="W184">
        <f>VLOOKUP($A184,精英副本客户端!$A$2:$O$406,11,0)</f>
        <v>0</v>
      </c>
      <c r="X184">
        <f>VLOOKUP($A184,精英副本客户端!$A$2:$O$406,12,0)</f>
        <v>1</v>
      </c>
      <c r="Y184" t="str">
        <f t="shared" si="21"/>
        <v>无畏试炼（95）</v>
      </c>
    </row>
    <row r="185" spans="1:25">
      <c r="A185">
        <f t="shared" si="22"/>
        <v>109509</v>
      </c>
      <c r="B185" t="s">
        <v>1063</v>
      </c>
      <c r="C185">
        <v>0</v>
      </c>
      <c r="D185">
        <v>0</v>
      </c>
      <c r="E185" t="str">
        <f t="shared" si="16"/>
        <v>1095091_1</v>
      </c>
      <c r="F185" t="s">
        <v>213</v>
      </c>
      <c r="G185">
        <v>0</v>
      </c>
      <c r="H185">
        <v>0</v>
      </c>
      <c r="I185">
        <v>0</v>
      </c>
      <c r="J185">
        <v>0</v>
      </c>
      <c r="K185">
        <v>100</v>
      </c>
      <c r="L185" t="s">
        <v>738</v>
      </c>
      <c r="M185" s="6" t="s">
        <v>739</v>
      </c>
      <c r="N185">
        <v>920</v>
      </c>
      <c r="O185">
        <v>120</v>
      </c>
      <c r="P185">
        <v>10</v>
      </c>
      <c r="Q185">
        <v>10</v>
      </c>
      <c r="R185">
        <v>0</v>
      </c>
      <c r="S185">
        <f t="shared" si="14"/>
        <v>1</v>
      </c>
      <c r="T185">
        <f t="shared" si="15"/>
        <v>91</v>
      </c>
      <c r="U185">
        <f t="shared" si="17"/>
        <v>109508</v>
      </c>
      <c r="V185">
        <f>VLOOKUP($A185,精英副本客户端!$A$2:$O$406,10,0)</f>
        <v>99</v>
      </c>
      <c r="W185">
        <f>VLOOKUP($A185,精英副本客户端!$A$2:$O$406,11,0)</f>
        <v>1</v>
      </c>
      <c r="X185">
        <f>VLOOKUP($A185,精英副本客户端!$A$2:$O$406,12,0)</f>
        <v>5</v>
      </c>
      <c r="Y185" t="str">
        <f t="shared" si="21"/>
        <v>无畏试炼（95）</v>
      </c>
    </row>
    <row r="186" spans="1:25">
      <c r="A186">
        <f t="shared" si="22"/>
        <v>110001</v>
      </c>
      <c r="B186" t="s">
        <v>1056</v>
      </c>
      <c r="C186">
        <v>0</v>
      </c>
      <c r="D186">
        <v>0</v>
      </c>
      <c r="E186" t="str">
        <f t="shared" si="16"/>
        <v>1100011_1</v>
      </c>
      <c r="F186" t="s">
        <v>213</v>
      </c>
      <c r="G186">
        <v>0</v>
      </c>
      <c r="H186">
        <v>0</v>
      </c>
      <c r="I186">
        <v>0</v>
      </c>
      <c r="J186">
        <v>0</v>
      </c>
      <c r="K186">
        <v>100</v>
      </c>
      <c r="L186" t="s">
        <v>738</v>
      </c>
      <c r="M186" s="6" t="s">
        <v>739</v>
      </c>
      <c r="N186">
        <v>920</v>
      </c>
      <c r="O186">
        <v>120</v>
      </c>
      <c r="P186">
        <v>10</v>
      </c>
      <c r="Q186">
        <v>10</v>
      </c>
      <c r="R186">
        <v>0</v>
      </c>
      <c r="S186">
        <f t="shared" si="14"/>
        <v>1</v>
      </c>
      <c r="T186">
        <f t="shared" si="15"/>
        <v>96</v>
      </c>
      <c r="U186">
        <f t="shared" si="17"/>
        <v>109509</v>
      </c>
      <c r="V186">
        <f>VLOOKUP($A186,精英副本客户端!$A$2:$O$406,10,0)</f>
        <v>100</v>
      </c>
      <c r="W186">
        <f>VLOOKUP($A186,精英副本客户端!$A$2:$O$406,11,0)</f>
        <v>0</v>
      </c>
      <c r="X186">
        <f>VLOOKUP($A186,精英副本客户端!$A$2:$O$406,12,0)</f>
        <v>1</v>
      </c>
      <c r="Y186" t="str">
        <f t="shared" si="21"/>
        <v>无畏试炼（100）</v>
      </c>
    </row>
    <row r="187" spans="1:25">
      <c r="A187">
        <f t="shared" si="22"/>
        <v>110002</v>
      </c>
      <c r="B187" t="s">
        <v>1057</v>
      </c>
      <c r="C187">
        <v>0</v>
      </c>
      <c r="D187">
        <v>0</v>
      </c>
      <c r="E187" t="str">
        <f t="shared" si="16"/>
        <v>1100021_1</v>
      </c>
      <c r="F187" t="s">
        <v>213</v>
      </c>
      <c r="G187">
        <v>0</v>
      </c>
      <c r="H187">
        <v>0</v>
      </c>
      <c r="I187">
        <v>0</v>
      </c>
      <c r="J187">
        <v>0</v>
      </c>
      <c r="K187">
        <v>100</v>
      </c>
      <c r="L187" t="s">
        <v>738</v>
      </c>
      <c r="M187" s="6" t="s">
        <v>739</v>
      </c>
      <c r="N187">
        <v>920</v>
      </c>
      <c r="O187">
        <v>120</v>
      </c>
      <c r="P187">
        <v>10</v>
      </c>
      <c r="Q187">
        <v>10</v>
      </c>
      <c r="R187">
        <v>0</v>
      </c>
      <c r="S187">
        <f t="shared" si="14"/>
        <v>1</v>
      </c>
      <c r="T187">
        <f t="shared" si="15"/>
        <v>96</v>
      </c>
      <c r="U187">
        <f t="shared" si="17"/>
        <v>110001</v>
      </c>
      <c r="V187">
        <f>VLOOKUP($A187,精英副本客户端!$A$2:$O$406,10,0)</f>
        <v>100</v>
      </c>
      <c r="W187">
        <f>VLOOKUP($A187,精英副本客户端!$A$2:$O$406,11,0)</f>
        <v>0</v>
      </c>
      <c r="X187">
        <f>VLOOKUP($A187,精英副本客户端!$A$2:$O$406,12,0)</f>
        <v>1</v>
      </c>
      <c r="Y187" t="str">
        <f t="shared" si="21"/>
        <v>无畏试炼（100）</v>
      </c>
    </row>
    <row r="188" spans="1:25">
      <c r="A188">
        <f t="shared" si="22"/>
        <v>110003</v>
      </c>
      <c r="B188" t="s">
        <v>1040</v>
      </c>
      <c r="C188">
        <v>0</v>
      </c>
      <c r="D188">
        <v>0</v>
      </c>
      <c r="E188" t="str">
        <f t="shared" si="16"/>
        <v>1100031_1</v>
      </c>
      <c r="F188" t="s">
        <v>213</v>
      </c>
      <c r="G188">
        <v>0</v>
      </c>
      <c r="H188">
        <v>0</v>
      </c>
      <c r="I188">
        <v>0</v>
      </c>
      <c r="J188">
        <v>0</v>
      </c>
      <c r="K188">
        <v>100</v>
      </c>
      <c r="L188" t="s">
        <v>738</v>
      </c>
      <c r="M188" s="6" t="s">
        <v>739</v>
      </c>
      <c r="N188">
        <v>920</v>
      </c>
      <c r="O188">
        <v>120</v>
      </c>
      <c r="P188">
        <v>10</v>
      </c>
      <c r="Q188">
        <v>10</v>
      </c>
      <c r="R188">
        <v>0</v>
      </c>
      <c r="S188">
        <f t="shared" si="14"/>
        <v>1</v>
      </c>
      <c r="T188">
        <f t="shared" si="15"/>
        <v>96</v>
      </c>
      <c r="U188">
        <f t="shared" si="17"/>
        <v>110002</v>
      </c>
      <c r="V188">
        <f>VLOOKUP($A188,精英副本客户端!$A$2:$O$406,10,0)</f>
        <v>101</v>
      </c>
      <c r="W188">
        <f>VLOOKUP($A188,精英副本客户端!$A$2:$O$406,11,0)</f>
        <v>1</v>
      </c>
      <c r="X188">
        <f>VLOOKUP($A188,精英副本客户端!$A$2:$O$406,12,0)</f>
        <v>5</v>
      </c>
      <c r="Y188" t="str">
        <f t="shared" si="21"/>
        <v>无畏试炼（100）</v>
      </c>
    </row>
    <row r="189" spans="1:25">
      <c r="A189">
        <f t="shared" si="22"/>
        <v>110004</v>
      </c>
      <c r="B189" t="s">
        <v>1058</v>
      </c>
      <c r="C189">
        <v>0</v>
      </c>
      <c r="D189">
        <v>0</v>
      </c>
      <c r="E189" t="str">
        <f t="shared" si="16"/>
        <v>1100041_1</v>
      </c>
      <c r="F189" t="s">
        <v>213</v>
      </c>
      <c r="G189">
        <v>0</v>
      </c>
      <c r="H189">
        <v>0</v>
      </c>
      <c r="I189">
        <v>0</v>
      </c>
      <c r="J189">
        <v>0</v>
      </c>
      <c r="K189">
        <v>100</v>
      </c>
      <c r="L189" t="s">
        <v>738</v>
      </c>
      <c r="M189" s="6" t="s">
        <v>739</v>
      </c>
      <c r="N189">
        <v>920</v>
      </c>
      <c r="O189">
        <v>120</v>
      </c>
      <c r="P189">
        <v>10</v>
      </c>
      <c r="Q189">
        <v>10</v>
      </c>
      <c r="R189">
        <v>0</v>
      </c>
      <c r="S189">
        <f t="shared" si="14"/>
        <v>1</v>
      </c>
      <c r="T189">
        <f t="shared" si="15"/>
        <v>96</v>
      </c>
      <c r="U189">
        <f t="shared" si="17"/>
        <v>110003</v>
      </c>
      <c r="V189">
        <f>VLOOKUP($A189,精英副本客户端!$A$2:$O$406,10,0)</f>
        <v>101</v>
      </c>
      <c r="W189">
        <f>VLOOKUP($A189,精英副本客户端!$A$2:$O$406,11,0)</f>
        <v>0</v>
      </c>
      <c r="X189">
        <f>VLOOKUP($A189,精英副本客户端!$A$2:$O$406,12,0)</f>
        <v>1</v>
      </c>
      <c r="Y189" t="str">
        <f t="shared" si="21"/>
        <v>无畏试炼（100）</v>
      </c>
    </row>
    <row r="190" spans="1:25">
      <c r="A190">
        <f t="shared" si="22"/>
        <v>110005</v>
      </c>
      <c r="B190" t="s">
        <v>1059</v>
      </c>
      <c r="C190">
        <v>0</v>
      </c>
      <c r="D190">
        <v>0</v>
      </c>
      <c r="E190" t="str">
        <f t="shared" si="16"/>
        <v>1100051_1</v>
      </c>
      <c r="F190" t="s">
        <v>213</v>
      </c>
      <c r="G190">
        <v>0</v>
      </c>
      <c r="H190">
        <v>0</v>
      </c>
      <c r="I190">
        <v>0</v>
      </c>
      <c r="J190">
        <v>0</v>
      </c>
      <c r="K190">
        <v>100</v>
      </c>
      <c r="L190" t="s">
        <v>738</v>
      </c>
      <c r="M190" s="6" t="s">
        <v>739</v>
      </c>
      <c r="N190">
        <v>920</v>
      </c>
      <c r="O190">
        <v>120</v>
      </c>
      <c r="P190">
        <v>10</v>
      </c>
      <c r="Q190">
        <v>10</v>
      </c>
      <c r="R190">
        <v>0</v>
      </c>
      <c r="S190">
        <f t="shared" si="14"/>
        <v>1</v>
      </c>
      <c r="T190">
        <f t="shared" si="15"/>
        <v>96</v>
      </c>
      <c r="U190">
        <f t="shared" si="17"/>
        <v>110004</v>
      </c>
      <c r="V190">
        <f>VLOOKUP($A190,精英副本客户端!$A$2:$O$406,10,0)</f>
        <v>101</v>
      </c>
      <c r="W190">
        <f>VLOOKUP($A190,精英副本客户端!$A$2:$O$406,11,0)</f>
        <v>0</v>
      </c>
      <c r="X190">
        <f>VLOOKUP($A190,精英副本客户端!$A$2:$O$406,12,0)</f>
        <v>1</v>
      </c>
      <c r="Y190" t="str">
        <f t="shared" si="21"/>
        <v>无畏试炼（100）</v>
      </c>
    </row>
    <row r="191" spans="1:25">
      <c r="A191">
        <f t="shared" si="22"/>
        <v>110006</v>
      </c>
      <c r="B191" t="s">
        <v>1060</v>
      </c>
      <c r="C191">
        <v>0</v>
      </c>
      <c r="D191">
        <v>0</v>
      </c>
      <c r="E191" t="str">
        <f t="shared" si="16"/>
        <v>1100061_1</v>
      </c>
      <c r="F191" t="s">
        <v>213</v>
      </c>
      <c r="G191">
        <v>0</v>
      </c>
      <c r="H191">
        <v>0</v>
      </c>
      <c r="I191">
        <v>0</v>
      </c>
      <c r="J191">
        <v>0</v>
      </c>
      <c r="K191">
        <v>100</v>
      </c>
      <c r="L191" t="s">
        <v>738</v>
      </c>
      <c r="M191" s="6" t="s">
        <v>739</v>
      </c>
      <c r="N191">
        <v>920</v>
      </c>
      <c r="O191">
        <v>120</v>
      </c>
      <c r="P191">
        <v>10</v>
      </c>
      <c r="Q191">
        <v>10</v>
      </c>
      <c r="R191">
        <v>0</v>
      </c>
      <c r="S191">
        <f t="shared" si="14"/>
        <v>1</v>
      </c>
      <c r="T191">
        <f t="shared" si="15"/>
        <v>96</v>
      </c>
      <c r="U191">
        <f t="shared" si="17"/>
        <v>110005</v>
      </c>
      <c r="V191">
        <f>VLOOKUP($A191,精英副本客户端!$A$2:$O$406,10,0)</f>
        <v>102</v>
      </c>
      <c r="W191">
        <f>VLOOKUP($A191,精英副本客户端!$A$2:$O$406,11,0)</f>
        <v>1</v>
      </c>
      <c r="X191">
        <f>VLOOKUP($A191,精英副本客户端!$A$2:$O$406,12,0)</f>
        <v>5</v>
      </c>
      <c r="Y191" t="str">
        <f t="shared" si="21"/>
        <v>无畏试炼（100）</v>
      </c>
    </row>
    <row r="192" spans="1:25">
      <c r="A192">
        <f t="shared" si="22"/>
        <v>110007</v>
      </c>
      <c r="B192" t="s">
        <v>1061</v>
      </c>
      <c r="C192">
        <v>0</v>
      </c>
      <c r="D192">
        <v>0</v>
      </c>
      <c r="E192" t="str">
        <f t="shared" si="16"/>
        <v>1100071_1</v>
      </c>
      <c r="F192" t="s">
        <v>213</v>
      </c>
      <c r="G192">
        <v>0</v>
      </c>
      <c r="H192">
        <v>0</v>
      </c>
      <c r="I192">
        <v>0</v>
      </c>
      <c r="J192">
        <v>0</v>
      </c>
      <c r="K192">
        <v>100</v>
      </c>
      <c r="L192" t="s">
        <v>738</v>
      </c>
      <c r="M192" s="6" t="s">
        <v>739</v>
      </c>
      <c r="N192">
        <v>920</v>
      </c>
      <c r="O192">
        <v>120</v>
      </c>
      <c r="P192">
        <v>10</v>
      </c>
      <c r="Q192">
        <v>10</v>
      </c>
      <c r="R192">
        <v>0</v>
      </c>
      <c r="S192">
        <f t="shared" si="14"/>
        <v>1</v>
      </c>
      <c r="T192">
        <f t="shared" si="15"/>
        <v>96</v>
      </c>
      <c r="U192">
        <f t="shared" si="17"/>
        <v>110006</v>
      </c>
      <c r="V192">
        <f>VLOOKUP($A192,精英副本客户端!$A$2:$O$406,10,0)</f>
        <v>102</v>
      </c>
      <c r="W192">
        <f>VLOOKUP($A192,精英副本客户端!$A$2:$O$406,11,0)</f>
        <v>0</v>
      </c>
      <c r="X192">
        <f>VLOOKUP($A192,精英副本客户端!$A$2:$O$406,12,0)</f>
        <v>1</v>
      </c>
      <c r="Y192" t="str">
        <f t="shared" si="21"/>
        <v>无畏试炼（100）</v>
      </c>
    </row>
    <row r="193" spans="1:25">
      <c r="A193">
        <f t="shared" si="22"/>
        <v>110008</v>
      </c>
      <c r="B193" t="s">
        <v>1062</v>
      </c>
      <c r="C193">
        <v>0</v>
      </c>
      <c r="D193">
        <v>0</v>
      </c>
      <c r="E193" t="str">
        <f t="shared" si="16"/>
        <v>1100081_1</v>
      </c>
      <c r="F193" t="s">
        <v>213</v>
      </c>
      <c r="G193">
        <v>0</v>
      </c>
      <c r="H193">
        <v>0</v>
      </c>
      <c r="I193">
        <v>0</v>
      </c>
      <c r="J193">
        <v>0</v>
      </c>
      <c r="K193">
        <v>100</v>
      </c>
      <c r="L193" t="s">
        <v>738</v>
      </c>
      <c r="M193" s="6" t="s">
        <v>739</v>
      </c>
      <c r="N193">
        <v>920</v>
      </c>
      <c r="O193">
        <v>120</v>
      </c>
      <c r="P193">
        <v>10</v>
      </c>
      <c r="Q193">
        <v>10</v>
      </c>
      <c r="R193">
        <v>0</v>
      </c>
      <c r="S193">
        <f t="shared" si="14"/>
        <v>1</v>
      </c>
      <c r="T193">
        <f t="shared" si="15"/>
        <v>96</v>
      </c>
      <c r="U193">
        <f t="shared" si="17"/>
        <v>110007</v>
      </c>
      <c r="V193">
        <f>VLOOKUP($A193,精英副本客户端!$A$2:$O$406,10,0)</f>
        <v>102</v>
      </c>
      <c r="W193">
        <f>VLOOKUP($A193,精英副本客户端!$A$2:$O$406,11,0)</f>
        <v>0</v>
      </c>
      <c r="X193">
        <f>VLOOKUP($A193,精英副本客户端!$A$2:$O$406,12,0)</f>
        <v>1</v>
      </c>
      <c r="Y193" t="str">
        <f t="shared" si="21"/>
        <v>无畏试炼（100）</v>
      </c>
    </row>
    <row r="194" spans="1:25">
      <c r="A194">
        <f t="shared" si="22"/>
        <v>110009</v>
      </c>
      <c r="B194" t="s">
        <v>1063</v>
      </c>
      <c r="C194">
        <v>0</v>
      </c>
      <c r="D194">
        <v>0</v>
      </c>
      <c r="E194" t="str">
        <f t="shared" si="16"/>
        <v>1100091_1</v>
      </c>
      <c r="F194" t="s">
        <v>213</v>
      </c>
      <c r="G194">
        <v>0</v>
      </c>
      <c r="H194">
        <v>0</v>
      </c>
      <c r="I194">
        <v>0</v>
      </c>
      <c r="J194">
        <v>0</v>
      </c>
      <c r="K194">
        <v>100</v>
      </c>
      <c r="L194" t="s">
        <v>738</v>
      </c>
      <c r="M194" s="6" t="s">
        <v>739</v>
      </c>
      <c r="N194">
        <v>920</v>
      </c>
      <c r="O194">
        <v>120</v>
      </c>
      <c r="P194">
        <v>10</v>
      </c>
      <c r="Q194">
        <v>10</v>
      </c>
      <c r="R194">
        <v>0</v>
      </c>
      <c r="S194">
        <f t="shared" si="14"/>
        <v>1</v>
      </c>
      <c r="T194">
        <f t="shared" si="15"/>
        <v>96</v>
      </c>
      <c r="U194">
        <f t="shared" si="17"/>
        <v>110008</v>
      </c>
      <c r="V194">
        <f>VLOOKUP($A194,精英副本客户端!$A$2:$O$406,10,0)</f>
        <v>102</v>
      </c>
      <c r="W194">
        <f>VLOOKUP($A194,精英副本客户端!$A$2:$O$406,11,0)</f>
        <v>1</v>
      </c>
      <c r="X194">
        <f>VLOOKUP($A194,精英副本客户端!$A$2:$O$406,12,0)</f>
        <v>5</v>
      </c>
      <c r="Y194" t="str">
        <f t="shared" si="21"/>
        <v>无畏试炼（100）</v>
      </c>
    </row>
    <row r="195" spans="1:25">
      <c r="A195">
        <f t="shared" ref="A195:A226" si="23">A6+100000</f>
        <v>200101</v>
      </c>
      <c r="B195" t="s">
        <v>1039</v>
      </c>
      <c r="C195">
        <v>0</v>
      </c>
      <c r="D195">
        <v>0</v>
      </c>
      <c r="E195" t="str">
        <f t="shared" si="16"/>
        <v>2001011_1</v>
      </c>
      <c r="F195" t="s">
        <v>213</v>
      </c>
      <c r="G195">
        <v>0</v>
      </c>
      <c r="H195">
        <v>0</v>
      </c>
      <c r="I195">
        <v>0</v>
      </c>
      <c r="J195">
        <v>0</v>
      </c>
      <c r="K195">
        <v>100</v>
      </c>
      <c r="L195" t="s">
        <v>738</v>
      </c>
      <c r="M195" s="6" t="s">
        <v>739</v>
      </c>
      <c r="N195">
        <v>920</v>
      </c>
      <c r="O195">
        <v>120</v>
      </c>
      <c r="P195">
        <v>10</v>
      </c>
      <c r="Q195">
        <v>10</v>
      </c>
      <c r="R195">
        <v>0</v>
      </c>
      <c r="S195">
        <f t="shared" si="14"/>
        <v>2</v>
      </c>
      <c r="T195">
        <f t="shared" si="15"/>
        <v>-3</v>
      </c>
      <c r="U195">
        <f t="shared" si="17"/>
        <v>110009</v>
      </c>
      <c r="V195" t="e">
        <f>VLOOKUP($A195,精英副本客户端!$A$2:$O$406,10,0)</f>
        <v>#N/A</v>
      </c>
      <c r="W195" t="e">
        <f>VLOOKUP($A195,精英副本客户端!$A$2:$O$406,11,0)</f>
        <v>#N/A</v>
      </c>
      <c r="X195" t="e">
        <f>VLOOKUP($A195,精英副本客户端!$A$2:$O$406,12,0)</f>
        <v>#N/A</v>
      </c>
      <c r="Y195" t="str">
        <f>"敏捷试炼（"&amp;MID(A195,2,3)*1&amp;"）"</f>
        <v>敏捷试炼（1）</v>
      </c>
    </row>
    <row r="196" spans="1:25">
      <c r="A196">
        <f t="shared" si="23"/>
        <v>200102</v>
      </c>
      <c r="B196" t="s">
        <v>1040</v>
      </c>
      <c r="C196">
        <v>0</v>
      </c>
      <c r="D196">
        <v>0</v>
      </c>
      <c r="E196" t="str">
        <f t="shared" si="16"/>
        <v>2001021_1</v>
      </c>
      <c r="F196" t="s">
        <v>213</v>
      </c>
      <c r="G196">
        <v>0</v>
      </c>
      <c r="H196">
        <v>0</v>
      </c>
      <c r="I196">
        <v>0</v>
      </c>
      <c r="J196">
        <v>0</v>
      </c>
      <c r="K196">
        <v>100</v>
      </c>
      <c r="L196" t="s">
        <v>738</v>
      </c>
      <c r="M196" s="6" t="s">
        <v>739</v>
      </c>
      <c r="N196">
        <v>920</v>
      </c>
      <c r="O196">
        <v>120</v>
      </c>
      <c r="P196">
        <v>10</v>
      </c>
      <c r="Q196">
        <v>10</v>
      </c>
      <c r="R196">
        <v>0</v>
      </c>
      <c r="S196">
        <f t="shared" si="14"/>
        <v>2</v>
      </c>
      <c r="T196">
        <f t="shared" si="15"/>
        <v>-3</v>
      </c>
      <c r="U196">
        <f t="shared" si="17"/>
        <v>200101</v>
      </c>
      <c r="V196" t="e">
        <f>VLOOKUP($A196,精英副本客户端!$A$2:$O$406,10,0)</f>
        <v>#N/A</v>
      </c>
      <c r="W196" t="e">
        <f>VLOOKUP($A196,精英副本客户端!$A$2:$O$406,11,0)</f>
        <v>#N/A</v>
      </c>
      <c r="X196" t="e">
        <f>VLOOKUP($A196,精英副本客户端!$A$2:$O$406,12,0)</f>
        <v>#N/A</v>
      </c>
      <c r="Y196" t="str">
        <f t="shared" ref="Y196:Y259" si="24">"敏捷试炼（"&amp;MID(A196,2,3)*1&amp;"）"</f>
        <v>敏捷试炼（1）</v>
      </c>
    </row>
    <row r="197" spans="1:25">
      <c r="A197">
        <f t="shared" si="23"/>
        <v>200103</v>
      </c>
      <c r="B197" t="s">
        <v>1041</v>
      </c>
      <c r="C197">
        <v>0</v>
      </c>
      <c r="D197">
        <v>0</v>
      </c>
      <c r="E197" t="str">
        <f t="shared" si="16"/>
        <v>2001031_1</v>
      </c>
      <c r="F197" t="s">
        <v>213</v>
      </c>
      <c r="G197">
        <v>0</v>
      </c>
      <c r="H197">
        <v>0</v>
      </c>
      <c r="I197">
        <v>0</v>
      </c>
      <c r="J197">
        <v>0</v>
      </c>
      <c r="K197">
        <v>100</v>
      </c>
      <c r="L197" t="s">
        <v>738</v>
      </c>
      <c r="M197" s="6" t="s">
        <v>739</v>
      </c>
      <c r="N197">
        <v>920</v>
      </c>
      <c r="O197">
        <v>120</v>
      </c>
      <c r="P197">
        <v>10</v>
      </c>
      <c r="Q197">
        <v>10</v>
      </c>
      <c r="R197">
        <v>0</v>
      </c>
      <c r="S197">
        <f t="shared" si="14"/>
        <v>2</v>
      </c>
      <c r="T197">
        <f t="shared" si="15"/>
        <v>-3</v>
      </c>
      <c r="U197">
        <f t="shared" si="17"/>
        <v>200102</v>
      </c>
      <c r="V197" t="e">
        <f>VLOOKUP($A197,精英副本客户端!$A$2:$O$406,10,0)</f>
        <v>#N/A</v>
      </c>
      <c r="W197" t="e">
        <f>VLOOKUP($A197,精英副本客户端!$A$2:$O$406,11,0)</f>
        <v>#N/A</v>
      </c>
      <c r="X197" t="e">
        <f>VLOOKUP($A197,精英副本客户端!$A$2:$O$406,12,0)</f>
        <v>#N/A</v>
      </c>
      <c r="Y197" t="str">
        <f t="shared" si="24"/>
        <v>敏捷试炼（1）</v>
      </c>
    </row>
    <row r="198" spans="1:25">
      <c r="A198">
        <f t="shared" si="23"/>
        <v>200104</v>
      </c>
      <c r="B198" t="s">
        <v>1042</v>
      </c>
      <c r="C198">
        <v>0</v>
      </c>
      <c r="D198">
        <v>0</v>
      </c>
      <c r="E198" t="str">
        <f t="shared" si="16"/>
        <v>2001041_1</v>
      </c>
      <c r="F198" t="s">
        <v>213</v>
      </c>
      <c r="G198">
        <v>0</v>
      </c>
      <c r="H198">
        <v>0</v>
      </c>
      <c r="I198">
        <v>0</v>
      </c>
      <c r="J198">
        <v>0</v>
      </c>
      <c r="K198">
        <v>100</v>
      </c>
      <c r="L198" t="s">
        <v>738</v>
      </c>
      <c r="M198" s="6" t="s">
        <v>739</v>
      </c>
      <c r="N198">
        <v>920</v>
      </c>
      <c r="O198">
        <v>120</v>
      </c>
      <c r="P198">
        <v>10</v>
      </c>
      <c r="Q198">
        <v>10</v>
      </c>
      <c r="R198">
        <v>0</v>
      </c>
      <c r="S198">
        <f t="shared" ref="S198:S261" si="25">ROUNDDOWN(A198/100000,0)</f>
        <v>2</v>
      </c>
      <c r="T198">
        <f t="shared" ref="T198:T261" si="26">MID(A198,2,3)-4</f>
        <v>-3</v>
      </c>
      <c r="U198">
        <f t="shared" si="17"/>
        <v>200103</v>
      </c>
      <c r="V198" t="e">
        <f>VLOOKUP($A198,精英副本客户端!$A$2:$O$406,10,0)</f>
        <v>#N/A</v>
      </c>
      <c r="W198" t="e">
        <f>VLOOKUP($A198,精英副本客户端!$A$2:$O$406,11,0)</f>
        <v>#N/A</v>
      </c>
      <c r="X198" t="e">
        <f>VLOOKUP($A198,精英副本客户端!$A$2:$O$406,12,0)</f>
        <v>#N/A</v>
      </c>
      <c r="Y198" t="str">
        <f t="shared" si="24"/>
        <v>敏捷试炼（1）</v>
      </c>
    </row>
    <row r="199" spans="1:25">
      <c r="A199">
        <f t="shared" si="23"/>
        <v>200105</v>
      </c>
      <c r="B199" t="s">
        <v>1043</v>
      </c>
      <c r="C199">
        <v>0</v>
      </c>
      <c r="D199">
        <v>0</v>
      </c>
      <c r="E199" t="str">
        <f t="shared" ref="E199:E262" si="27">A199&amp;"1"&amp;"_1"</f>
        <v>2001051_1</v>
      </c>
      <c r="F199" t="s">
        <v>213</v>
      </c>
      <c r="G199">
        <v>0</v>
      </c>
      <c r="H199">
        <v>0</v>
      </c>
      <c r="I199">
        <v>0</v>
      </c>
      <c r="J199">
        <v>0</v>
      </c>
      <c r="K199">
        <v>100</v>
      </c>
      <c r="L199" t="s">
        <v>738</v>
      </c>
      <c r="M199" s="6" t="s">
        <v>739</v>
      </c>
      <c r="N199">
        <v>920</v>
      </c>
      <c r="O199">
        <v>120</v>
      </c>
      <c r="P199">
        <v>10</v>
      </c>
      <c r="Q199">
        <v>10</v>
      </c>
      <c r="R199">
        <v>0</v>
      </c>
      <c r="S199">
        <f t="shared" si="25"/>
        <v>2</v>
      </c>
      <c r="T199">
        <f t="shared" si="26"/>
        <v>-3</v>
      </c>
      <c r="U199">
        <f t="shared" ref="U199:U262" si="28">A198</f>
        <v>200104</v>
      </c>
      <c r="V199" t="e">
        <f>VLOOKUP($A199,精英副本客户端!$A$2:$O$406,10,0)</f>
        <v>#N/A</v>
      </c>
      <c r="W199" t="e">
        <f>VLOOKUP($A199,精英副本客户端!$A$2:$O$406,11,0)</f>
        <v>#N/A</v>
      </c>
      <c r="X199" t="e">
        <f>VLOOKUP($A199,精英副本客户端!$A$2:$O$406,12,0)</f>
        <v>#N/A</v>
      </c>
      <c r="Y199" t="str">
        <f t="shared" si="24"/>
        <v>敏捷试炼（1）</v>
      </c>
    </row>
    <row r="200" spans="1:25">
      <c r="A200">
        <f t="shared" si="23"/>
        <v>200106</v>
      </c>
      <c r="B200" t="s">
        <v>1044</v>
      </c>
      <c r="C200">
        <v>0</v>
      </c>
      <c r="D200">
        <v>0</v>
      </c>
      <c r="E200" t="str">
        <f t="shared" si="27"/>
        <v>2001061_1</v>
      </c>
      <c r="F200" t="s">
        <v>213</v>
      </c>
      <c r="G200">
        <v>0</v>
      </c>
      <c r="H200">
        <v>0</v>
      </c>
      <c r="I200">
        <v>0</v>
      </c>
      <c r="J200">
        <v>0</v>
      </c>
      <c r="K200">
        <v>100</v>
      </c>
      <c r="L200" t="s">
        <v>738</v>
      </c>
      <c r="M200" s="6" t="s">
        <v>739</v>
      </c>
      <c r="N200">
        <v>920</v>
      </c>
      <c r="O200">
        <v>120</v>
      </c>
      <c r="P200">
        <v>10</v>
      </c>
      <c r="Q200">
        <v>10</v>
      </c>
      <c r="R200">
        <v>0</v>
      </c>
      <c r="S200">
        <f t="shared" si="25"/>
        <v>2</v>
      </c>
      <c r="T200">
        <f t="shared" si="26"/>
        <v>-3</v>
      </c>
      <c r="U200">
        <f t="shared" si="28"/>
        <v>200105</v>
      </c>
      <c r="V200" t="e">
        <f>VLOOKUP($A200,精英副本客户端!$A$2:$O$406,10,0)</f>
        <v>#N/A</v>
      </c>
      <c r="W200" t="e">
        <f>VLOOKUP($A200,精英副本客户端!$A$2:$O$406,11,0)</f>
        <v>#N/A</v>
      </c>
      <c r="X200" t="e">
        <f>VLOOKUP($A200,精英副本客户端!$A$2:$O$406,12,0)</f>
        <v>#N/A</v>
      </c>
      <c r="Y200" t="str">
        <f t="shared" si="24"/>
        <v>敏捷试炼（1）</v>
      </c>
    </row>
    <row r="201" spans="1:25">
      <c r="A201">
        <f t="shared" si="23"/>
        <v>200107</v>
      </c>
      <c r="B201" t="s">
        <v>1045</v>
      </c>
      <c r="C201">
        <v>0</v>
      </c>
      <c r="D201">
        <v>0</v>
      </c>
      <c r="E201" t="str">
        <f t="shared" si="27"/>
        <v>2001071_1</v>
      </c>
      <c r="F201" t="s">
        <v>213</v>
      </c>
      <c r="G201">
        <v>0</v>
      </c>
      <c r="H201">
        <v>0</v>
      </c>
      <c r="I201">
        <v>0</v>
      </c>
      <c r="J201">
        <v>0</v>
      </c>
      <c r="K201">
        <v>100</v>
      </c>
      <c r="L201" t="s">
        <v>738</v>
      </c>
      <c r="M201" s="6" t="s">
        <v>739</v>
      </c>
      <c r="N201">
        <v>920</v>
      </c>
      <c r="O201">
        <v>120</v>
      </c>
      <c r="P201">
        <v>10</v>
      </c>
      <c r="Q201">
        <v>10</v>
      </c>
      <c r="R201">
        <v>0</v>
      </c>
      <c r="S201">
        <f t="shared" si="25"/>
        <v>2</v>
      </c>
      <c r="T201">
        <f t="shared" si="26"/>
        <v>-3</v>
      </c>
      <c r="U201">
        <f t="shared" si="28"/>
        <v>200106</v>
      </c>
      <c r="V201" t="e">
        <f>VLOOKUP($A201,精英副本客户端!$A$2:$O$406,10,0)</f>
        <v>#N/A</v>
      </c>
      <c r="W201" t="e">
        <f>VLOOKUP($A201,精英副本客户端!$A$2:$O$406,11,0)</f>
        <v>#N/A</v>
      </c>
      <c r="X201" t="e">
        <f>VLOOKUP($A201,精英副本客户端!$A$2:$O$406,12,0)</f>
        <v>#N/A</v>
      </c>
      <c r="Y201" t="str">
        <f t="shared" si="24"/>
        <v>敏捷试炼（1）</v>
      </c>
    </row>
    <row r="202" spans="1:25">
      <c r="A202">
        <f t="shared" si="23"/>
        <v>200108</v>
      </c>
      <c r="B202" t="s">
        <v>1046</v>
      </c>
      <c r="C202">
        <v>0</v>
      </c>
      <c r="D202">
        <v>0</v>
      </c>
      <c r="E202" t="str">
        <f t="shared" si="27"/>
        <v>2001081_1</v>
      </c>
      <c r="F202" t="s">
        <v>213</v>
      </c>
      <c r="G202">
        <v>0</v>
      </c>
      <c r="H202">
        <v>0</v>
      </c>
      <c r="I202">
        <v>0</v>
      </c>
      <c r="J202">
        <v>0</v>
      </c>
      <c r="K202">
        <v>100</v>
      </c>
      <c r="L202" t="s">
        <v>738</v>
      </c>
      <c r="M202" s="6" t="s">
        <v>739</v>
      </c>
      <c r="N202">
        <v>920</v>
      </c>
      <c r="O202">
        <v>120</v>
      </c>
      <c r="P202">
        <v>10</v>
      </c>
      <c r="Q202">
        <v>10</v>
      </c>
      <c r="R202">
        <v>0</v>
      </c>
      <c r="S202">
        <f t="shared" si="25"/>
        <v>2</v>
      </c>
      <c r="T202">
        <f t="shared" si="26"/>
        <v>-3</v>
      </c>
      <c r="U202">
        <f t="shared" si="28"/>
        <v>200107</v>
      </c>
      <c r="V202" t="e">
        <f>VLOOKUP($A202,精英副本客户端!$A$2:$O$406,10,0)</f>
        <v>#N/A</v>
      </c>
      <c r="W202" t="e">
        <f>VLOOKUP($A202,精英副本客户端!$A$2:$O$406,11,0)</f>
        <v>#N/A</v>
      </c>
      <c r="X202" t="e">
        <f>VLOOKUP($A202,精英副本客户端!$A$2:$O$406,12,0)</f>
        <v>#N/A</v>
      </c>
      <c r="Y202" t="str">
        <f t="shared" si="24"/>
        <v>敏捷试炼（1）</v>
      </c>
    </row>
    <row r="203" spans="1:25">
      <c r="A203">
        <f t="shared" si="23"/>
        <v>200109</v>
      </c>
      <c r="B203" t="s">
        <v>1047</v>
      </c>
      <c r="C203">
        <v>0</v>
      </c>
      <c r="D203">
        <v>0</v>
      </c>
      <c r="E203" t="str">
        <f t="shared" si="27"/>
        <v>2001091_1</v>
      </c>
      <c r="F203" t="s">
        <v>213</v>
      </c>
      <c r="G203">
        <v>0</v>
      </c>
      <c r="H203">
        <v>0</v>
      </c>
      <c r="I203">
        <v>0</v>
      </c>
      <c r="J203">
        <v>0</v>
      </c>
      <c r="K203">
        <v>100</v>
      </c>
      <c r="L203" t="s">
        <v>738</v>
      </c>
      <c r="M203" s="6" t="s">
        <v>739</v>
      </c>
      <c r="N203">
        <v>920</v>
      </c>
      <c r="O203">
        <v>120</v>
      </c>
      <c r="P203">
        <v>10</v>
      </c>
      <c r="Q203">
        <v>10</v>
      </c>
      <c r="R203">
        <v>0</v>
      </c>
      <c r="S203">
        <f t="shared" si="25"/>
        <v>2</v>
      </c>
      <c r="T203">
        <f t="shared" si="26"/>
        <v>-3</v>
      </c>
      <c r="U203">
        <f t="shared" si="28"/>
        <v>200108</v>
      </c>
      <c r="V203" t="e">
        <f>VLOOKUP($A203,精英副本客户端!$A$2:$O$406,10,0)</f>
        <v>#N/A</v>
      </c>
      <c r="W203" t="e">
        <f>VLOOKUP($A203,精英副本客户端!$A$2:$O$406,11,0)</f>
        <v>#N/A</v>
      </c>
      <c r="X203" t="e">
        <f>VLOOKUP($A203,精英副本客户端!$A$2:$O$406,12,0)</f>
        <v>#N/A</v>
      </c>
      <c r="Y203" t="str">
        <f t="shared" si="24"/>
        <v>敏捷试炼（1）</v>
      </c>
    </row>
    <row r="204" spans="1:25">
      <c r="A204">
        <f t="shared" si="23"/>
        <v>200501</v>
      </c>
      <c r="B204" t="s">
        <v>1039</v>
      </c>
      <c r="C204">
        <v>0</v>
      </c>
      <c r="D204">
        <v>0</v>
      </c>
      <c r="E204" t="str">
        <f t="shared" si="27"/>
        <v>2005011_1</v>
      </c>
      <c r="F204" t="s">
        <v>213</v>
      </c>
      <c r="G204">
        <v>0</v>
      </c>
      <c r="H204">
        <v>0</v>
      </c>
      <c r="I204">
        <v>0</v>
      </c>
      <c r="J204">
        <v>0</v>
      </c>
      <c r="K204">
        <v>100</v>
      </c>
      <c r="L204" t="s">
        <v>738</v>
      </c>
      <c r="M204" s="6" t="s">
        <v>739</v>
      </c>
      <c r="N204">
        <v>920</v>
      </c>
      <c r="O204">
        <v>120</v>
      </c>
      <c r="P204">
        <v>10</v>
      </c>
      <c r="Q204">
        <v>10</v>
      </c>
      <c r="R204">
        <v>0</v>
      </c>
      <c r="S204">
        <f t="shared" si="25"/>
        <v>2</v>
      </c>
      <c r="T204">
        <f t="shared" si="26"/>
        <v>1</v>
      </c>
      <c r="U204">
        <f t="shared" si="28"/>
        <v>200109</v>
      </c>
      <c r="V204" t="e">
        <f>VLOOKUP($A204,精英副本客户端!$A$2:$O$406,10,0)</f>
        <v>#N/A</v>
      </c>
      <c r="W204" t="e">
        <f>VLOOKUP($A204,精英副本客户端!$A$2:$O$406,11,0)</f>
        <v>#N/A</v>
      </c>
      <c r="X204" t="e">
        <f>VLOOKUP($A204,精英副本客户端!$A$2:$O$406,12,0)</f>
        <v>#N/A</v>
      </c>
      <c r="Y204" t="str">
        <f t="shared" si="24"/>
        <v>敏捷试炼（5）</v>
      </c>
    </row>
    <row r="205" spans="1:25">
      <c r="A205">
        <f t="shared" si="23"/>
        <v>200502</v>
      </c>
      <c r="B205" t="s">
        <v>1040</v>
      </c>
      <c r="C205">
        <v>0</v>
      </c>
      <c r="D205">
        <v>0</v>
      </c>
      <c r="E205" t="str">
        <f t="shared" si="27"/>
        <v>2005021_1</v>
      </c>
      <c r="F205" t="s">
        <v>213</v>
      </c>
      <c r="G205">
        <v>0</v>
      </c>
      <c r="H205">
        <v>0</v>
      </c>
      <c r="I205">
        <v>0</v>
      </c>
      <c r="J205">
        <v>0</v>
      </c>
      <c r="K205">
        <v>100</v>
      </c>
      <c r="L205" t="s">
        <v>738</v>
      </c>
      <c r="M205" s="6" t="s">
        <v>739</v>
      </c>
      <c r="N205">
        <v>920</v>
      </c>
      <c r="O205">
        <v>120</v>
      </c>
      <c r="P205">
        <v>10</v>
      </c>
      <c r="Q205">
        <v>10</v>
      </c>
      <c r="R205">
        <v>0</v>
      </c>
      <c r="S205">
        <f t="shared" si="25"/>
        <v>2</v>
      </c>
      <c r="T205">
        <f t="shared" si="26"/>
        <v>1</v>
      </c>
      <c r="U205">
        <f t="shared" si="28"/>
        <v>200501</v>
      </c>
      <c r="V205" t="e">
        <f>VLOOKUP($A205,精英副本客户端!$A$2:$O$406,10,0)</f>
        <v>#N/A</v>
      </c>
      <c r="W205" t="e">
        <f>VLOOKUP($A205,精英副本客户端!$A$2:$O$406,11,0)</f>
        <v>#N/A</v>
      </c>
      <c r="X205" t="e">
        <f>VLOOKUP($A205,精英副本客户端!$A$2:$O$406,12,0)</f>
        <v>#N/A</v>
      </c>
      <c r="Y205" t="str">
        <f t="shared" si="24"/>
        <v>敏捷试炼（5）</v>
      </c>
    </row>
    <row r="206" spans="1:25">
      <c r="A206">
        <f t="shared" si="23"/>
        <v>200503</v>
      </c>
      <c r="B206" t="s">
        <v>1041</v>
      </c>
      <c r="C206">
        <v>0</v>
      </c>
      <c r="D206">
        <v>0</v>
      </c>
      <c r="E206" t="str">
        <f t="shared" si="27"/>
        <v>2005031_1</v>
      </c>
      <c r="F206" t="s">
        <v>213</v>
      </c>
      <c r="G206">
        <v>0</v>
      </c>
      <c r="H206">
        <v>0</v>
      </c>
      <c r="I206">
        <v>0</v>
      </c>
      <c r="J206">
        <v>0</v>
      </c>
      <c r="K206">
        <v>100</v>
      </c>
      <c r="L206" t="s">
        <v>738</v>
      </c>
      <c r="M206" s="6" t="s">
        <v>739</v>
      </c>
      <c r="N206">
        <v>920</v>
      </c>
      <c r="O206">
        <v>120</v>
      </c>
      <c r="P206">
        <v>10</v>
      </c>
      <c r="Q206">
        <v>10</v>
      </c>
      <c r="R206">
        <v>0</v>
      </c>
      <c r="S206">
        <f t="shared" si="25"/>
        <v>2</v>
      </c>
      <c r="T206">
        <f t="shared" si="26"/>
        <v>1</v>
      </c>
      <c r="U206">
        <f t="shared" si="28"/>
        <v>200502</v>
      </c>
      <c r="V206" t="e">
        <f>VLOOKUP($A206,精英副本客户端!$A$2:$O$406,10,0)</f>
        <v>#N/A</v>
      </c>
      <c r="W206" t="e">
        <f>VLOOKUP($A206,精英副本客户端!$A$2:$O$406,11,0)</f>
        <v>#N/A</v>
      </c>
      <c r="X206" t="e">
        <f>VLOOKUP($A206,精英副本客户端!$A$2:$O$406,12,0)</f>
        <v>#N/A</v>
      </c>
      <c r="Y206" t="str">
        <f t="shared" si="24"/>
        <v>敏捷试炼（5）</v>
      </c>
    </row>
    <row r="207" spans="1:25">
      <c r="A207">
        <f t="shared" si="23"/>
        <v>200504</v>
      </c>
      <c r="B207" t="s">
        <v>1042</v>
      </c>
      <c r="C207">
        <v>0</v>
      </c>
      <c r="D207">
        <v>0</v>
      </c>
      <c r="E207" t="str">
        <f t="shared" si="27"/>
        <v>2005041_1</v>
      </c>
      <c r="F207" t="s">
        <v>213</v>
      </c>
      <c r="G207">
        <v>0</v>
      </c>
      <c r="H207">
        <v>0</v>
      </c>
      <c r="I207">
        <v>0</v>
      </c>
      <c r="J207">
        <v>0</v>
      </c>
      <c r="K207">
        <v>100</v>
      </c>
      <c r="L207" t="s">
        <v>738</v>
      </c>
      <c r="M207" s="6" t="s">
        <v>739</v>
      </c>
      <c r="N207">
        <v>920</v>
      </c>
      <c r="O207">
        <v>120</v>
      </c>
      <c r="P207">
        <v>10</v>
      </c>
      <c r="Q207">
        <v>10</v>
      </c>
      <c r="R207">
        <v>0</v>
      </c>
      <c r="S207">
        <f t="shared" si="25"/>
        <v>2</v>
      </c>
      <c r="T207">
        <f t="shared" si="26"/>
        <v>1</v>
      </c>
      <c r="U207">
        <f t="shared" si="28"/>
        <v>200503</v>
      </c>
      <c r="V207" t="e">
        <f>VLOOKUP($A207,精英副本客户端!$A$2:$O$406,10,0)</f>
        <v>#N/A</v>
      </c>
      <c r="W207" t="e">
        <f>VLOOKUP($A207,精英副本客户端!$A$2:$O$406,11,0)</f>
        <v>#N/A</v>
      </c>
      <c r="X207" t="e">
        <f>VLOOKUP($A207,精英副本客户端!$A$2:$O$406,12,0)</f>
        <v>#N/A</v>
      </c>
      <c r="Y207" t="str">
        <f t="shared" si="24"/>
        <v>敏捷试炼（5）</v>
      </c>
    </row>
    <row r="208" spans="1:25">
      <c r="A208">
        <f t="shared" si="23"/>
        <v>200505</v>
      </c>
      <c r="B208" t="s">
        <v>1043</v>
      </c>
      <c r="C208">
        <v>0</v>
      </c>
      <c r="D208">
        <v>0</v>
      </c>
      <c r="E208" t="str">
        <f t="shared" si="27"/>
        <v>2005051_1</v>
      </c>
      <c r="F208" t="s">
        <v>213</v>
      </c>
      <c r="G208">
        <v>0</v>
      </c>
      <c r="H208">
        <v>0</v>
      </c>
      <c r="I208">
        <v>0</v>
      </c>
      <c r="J208">
        <v>0</v>
      </c>
      <c r="K208">
        <v>100</v>
      </c>
      <c r="L208" t="s">
        <v>738</v>
      </c>
      <c r="M208" s="6" t="s">
        <v>739</v>
      </c>
      <c r="N208">
        <v>920</v>
      </c>
      <c r="O208">
        <v>120</v>
      </c>
      <c r="P208">
        <v>10</v>
      </c>
      <c r="Q208">
        <v>10</v>
      </c>
      <c r="R208">
        <v>0</v>
      </c>
      <c r="S208">
        <f t="shared" si="25"/>
        <v>2</v>
      </c>
      <c r="T208">
        <f t="shared" si="26"/>
        <v>1</v>
      </c>
      <c r="U208">
        <f t="shared" si="28"/>
        <v>200504</v>
      </c>
      <c r="V208" t="e">
        <f>VLOOKUP($A208,精英副本客户端!$A$2:$O$406,10,0)</f>
        <v>#N/A</v>
      </c>
      <c r="W208" t="e">
        <f>VLOOKUP($A208,精英副本客户端!$A$2:$O$406,11,0)</f>
        <v>#N/A</v>
      </c>
      <c r="X208" t="e">
        <f>VLOOKUP($A208,精英副本客户端!$A$2:$O$406,12,0)</f>
        <v>#N/A</v>
      </c>
      <c r="Y208" t="str">
        <f t="shared" si="24"/>
        <v>敏捷试炼（5）</v>
      </c>
    </row>
    <row r="209" spans="1:25">
      <c r="A209">
        <f t="shared" si="23"/>
        <v>200506</v>
      </c>
      <c r="B209" t="s">
        <v>1044</v>
      </c>
      <c r="C209">
        <v>0</v>
      </c>
      <c r="D209">
        <v>0</v>
      </c>
      <c r="E209" t="str">
        <f t="shared" si="27"/>
        <v>2005061_1</v>
      </c>
      <c r="F209" t="s">
        <v>213</v>
      </c>
      <c r="G209">
        <v>0</v>
      </c>
      <c r="H209">
        <v>0</v>
      </c>
      <c r="I209">
        <v>0</v>
      </c>
      <c r="J209">
        <v>0</v>
      </c>
      <c r="K209">
        <v>100</v>
      </c>
      <c r="L209" t="s">
        <v>738</v>
      </c>
      <c r="M209" s="6" t="s">
        <v>739</v>
      </c>
      <c r="N209">
        <v>920</v>
      </c>
      <c r="O209">
        <v>120</v>
      </c>
      <c r="P209">
        <v>10</v>
      </c>
      <c r="Q209">
        <v>10</v>
      </c>
      <c r="R209">
        <v>0</v>
      </c>
      <c r="S209">
        <f t="shared" si="25"/>
        <v>2</v>
      </c>
      <c r="T209">
        <f t="shared" si="26"/>
        <v>1</v>
      </c>
      <c r="U209">
        <f t="shared" si="28"/>
        <v>200505</v>
      </c>
      <c r="V209" t="e">
        <f>VLOOKUP($A209,精英副本客户端!$A$2:$O$406,10,0)</f>
        <v>#N/A</v>
      </c>
      <c r="W209" t="e">
        <f>VLOOKUP($A209,精英副本客户端!$A$2:$O$406,11,0)</f>
        <v>#N/A</v>
      </c>
      <c r="X209" t="e">
        <f>VLOOKUP($A209,精英副本客户端!$A$2:$O$406,12,0)</f>
        <v>#N/A</v>
      </c>
      <c r="Y209" t="str">
        <f t="shared" si="24"/>
        <v>敏捷试炼（5）</v>
      </c>
    </row>
    <row r="210" spans="1:25">
      <c r="A210">
        <f t="shared" si="23"/>
        <v>200507</v>
      </c>
      <c r="B210" t="s">
        <v>1045</v>
      </c>
      <c r="C210">
        <v>0</v>
      </c>
      <c r="D210">
        <v>0</v>
      </c>
      <c r="E210" t="str">
        <f t="shared" si="27"/>
        <v>2005071_1</v>
      </c>
      <c r="F210" t="s">
        <v>213</v>
      </c>
      <c r="G210">
        <v>0</v>
      </c>
      <c r="H210">
        <v>0</v>
      </c>
      <c r="I210">
        <v>0</v>
      </c>
      <c r="J210">
        <v>0</v>
      </c>
      <c r="K210">
        <v>100</v>
      </c>
      <c r="L210" t="s">
        <v>738</v>
      </c>
      <c r="M210" s="6" t="s">
        <v>739</v>
      </c>
      <c r="N210">
        <v>920</v>
      </c>
      <c r="O210">
        <v>120</v>
      </c>
      <c r="P210">
        <v>10</v>
      </c>
      <c r="Q210">
        <v>10</v>
      </c>
      <c r="R210">
        <v>0</v>
      </c>
      <c r="S210">
        <f t="shared" si="25"/>
        <v>2</v>
      </c>
      <c r="T210">
        <f t="shared" si="26"/>
        <v>1</v>
      </c>
      <c r="U210">
        <f t="shared" si="28"/>
        <v>200506</v>
      </c>
      <c r="V210" t="e">
        <f>VLOOKUP($A210,精英副本客户端!$A$2:$O$406,10,0)</f>
        <v>#N/A</v>
      </c>
      <c r="W210" t="e">
        <f>VLOOKUP($A210,精英副本客户端!$A$2:$O$406,11,0)</f>
        <v>#N/A</v>
      </c>
      <c r="X210" t="e">
        <f>VLOOKUP($A210,精英副本客户端!$A$2:$O$406,12,0)</f>
        <v>#N/A</v>
      </c>
      <c r="Y210" t="str">
        <f t="shared" si="24"/>
        <v>敏捷试炼（5）</v>
      </c>
    </row>
    <row r="211" spans="1:25">
      <c r="A211">
        <f t="shared" si="23"/>
        <v>200508</v>
      </c>
      <c r="B211" t="s">
        <v>1046</v>
      </c>
      <c r="C211">
        <v>0</v>
      </c>
      <c r="D211">
        <v>0</v>
      </c>
      <c r="E211" t="str">
        <f t="shared" si="27"/>
        <v>2005081_1</v>
      </c>
      <c r="F211" t="s">
        <v>213</v>
      </c>
      <c r="G211">
        <v>0</v>
      </c>
      <c r="H211">
        <v>0</v>
      </c>
      <c r="I211">
        <v>0</v>
      </c>
      <c r="J211">
        <v>0</v>
      </c>
      <c r="K211">
        <v>100</v>
      </c>
      <c r="L211" t="s">
        <v>738</v>
      </c>
      <c r="M211" s="6" t="s">
        <v>739</v>
      </c>
      <c r="N211">
        <v>920</v>
      </c>
      <c r="O211">
        <v>120</v>
      </c>
      <c r="P211">
        <v>10</v>
      </c>
      <c r="Q211">
        <v>10</v>
      </c>
      <c r="R211">
        <v>0</v>
      </c>
      <c r="S211">
        <f t="shared" si="25"/>
        <v>2</v>
      </c>
      <c r="T211">
        <f t="shared" si="26"/>
        <v>1</v>
      </c>
      <c r="U211">
        <f t="shared" si="28"/>
        <v>200507</v>
      </c>
      <c r="V211" t="e">
        <f>VLOOKUP($A211,精英副本客户端!$A$2:$O$406,10,0)</f>
        <v>#N/A</v>
      </c>
      <c r="W211" t="e">
        <f>VLOOKUP($A211,精英副本客户端!$A$2:$O$406,11,0)</f>
        <v>#N/A</v>
      </c>
      <c r="X211" t="e">
        <f>VLOOKUP($A211,精英副本客户端!$A$2:$O$406,12,0)</f>
        <v>#N/A</v>
      </c>
      <c r="Y211" t="str">
        <f t="shared" si="24"/>
        <v>敏捷试炼（5）</v>
      </c>
    </row>
    <row r="212" spans="1:25">
      <c r="A212">
        <f t="shared" si="23"/>
        <v>200509</v>
      </c>
      <c r="B212" t="s">
        <v>1047</v>
      </c>
      <c r="C212">
        <v>0</v>
      </c>
      <c r="D212">
        <v>0</v>
      </c>
      <c r="E212" t="str">
        <f t="shared" si="27"/>
        <v>2005091_1</v>
      </c>
      <c r="F212" t="s">
        <v>213</v>
      </c>
      <c r="G212">
        <v>0</v>
      </c>
      <c r="H212">
        <v>0</v>
      </c>
      <c r="I212">
        <v>0</v>
      </c>
      <c r="J212">
        <v>0</v>
      </c>
      <c r="K212">
        <v>100</v>
      </c>
      <c r="L212" t="s">
        <v>738</v>
      </c>
      <c r="M212" s="6" t="s">
        <v>739</v>
      </c>
      <c r="N212">
        <v>920</v>
      </c>
      <c r="O212">
        <v>120</v>
      </c>
      <c r="P212">
        <v>10</v>
      </c>
      <c r="Q212">
        <v>10</v>
      </c>
      <c r="R212">
        <v>0</v>
      </c>
      <c r="S212">
        <f t="shared" si="25"/>
        <v>2</v>
      </c>
      <c r="T212">
        <f t="shared" si="26"/>
        <v>1</v>
      </c>
      <c r="U212">
        <f t="shared" si="28"/>
        <v>200508</v>
      </c>
      <c r="V212" t="e">
        <f>VLOOKUP($A212,精英副本客户端!$A$2:$O$406,10,0)</f>
        <v>#N/A</v>
      </c>
      <c r="W212" t="e">
        <f>VLOOKUP($A212,精英副本客户端!$A$2:$O$406,11,0)</f>
        <v>#N/A</v>
      </c>
      <c r="X212" t="e">
        <f>VLOOKUP($A212,精英副本客户端!$A$2:$O$406,12,0)</f>
        <v>#N/A</v>
      </c>
      <c r="Y212" t="str">
        <f t="shared" si="24"/>
        <v>敏捷试炼（5）</v>
      </c>
    </row>
    <row r="213" spans="1:25">
      <c r="A213">
        <f t="shared" si="23"/>
        <v>201001</v>
      </c>
      <c r="B213" t="s">
        <v>1039</v>
      </c>
      <c r="C213">
        <v>0</v>
      </c>
      <c r="D213">
        <v>0</v>
      </c>
      <c r="E213" t="str">
        <f t="shared" si="27"/>
        <v>2010011_1</v>
      </c>
      <c r="F213" t="s">
        <v>213</v>
      </c>
      <c r="G213">
        <v>0</v>
      </c>
      <c r="H213">
        <v>0</v>
      </c>
      <c r="I213">
        <v>0</v>
      </c>
      <c r="J213">
        <v>0</v>
      </c>
      <c r="K213">
        <v>100</v>
      </c>
      <c r="L213" t="s">
        <v>738</v>
      </c>
      <c r="M213" s="6" t="s">
        <v>739</v>
      </c>
      <c r="N213">
        <v>920</v>
      </c>
      <c r="O213">
        <v>120</v>
      </c>
      <c r="P213">
        <v>10</v>
      </c>
      <c r="Q213">
        <v>10</v>
      </c>
      <c r="R213">
        <v>0</v>
      </c>
      <c r="S213">
        <f t="shared" si="25"/>
        <v>2</v>
      </c>
      <c r="T213">
        <f t="shared" si="26"/>
        <v>6</v>
      </c>
      <c r="U213">
        <f t="shared" si="28"/>
        <v>200509</v>
      </c>
      <c r="V213" t="e">
        <f>VLOOKUP($A213,精英副本客户端!$A$2:$O$406,10,0)</f>
        <v>#N/A</v>
      </c>
      <c r="W213" t="e">
        <f>VLOOKUP($A213,精英副本客户端!$A$2:$O$406,11,0)</f>
        <v>#N/A</v>
      </c>
      <c r="X213" t="e">
        <f>VLOOKUP($A213,精英副本客户端!$A$2:$O$406,12,0)</f>
        <v>#N/A</v>
      </c>
      <c r="Y213" t="str">
        <f t="shared" si="24"/>
        <v>敏捷试炼（10）</v>
      </c>
    </row>
    <row r="214" spans="1:25">
      <c r="A214">
        <f t="shared" si="23"/>
        <v>201002</v>
      </c>
      <c r="B214" t="s">
        <v>1040</v>
      </c>
      <c r="C214">
        <v>0</v>
      </c>
      <c r="D214">
        <v>0</v>
      </c>
      <c r="E214" t="str">
        <f t="shared" si="27"/>
        <v>2010021_1</v>
      </c>
      <c r="F214" t="s">
        <v>213</v>
      </c>
      <c r="G214">
        <v>0</v>
      </c>
      <c r="H214">
        <v>0</v>
      </c>
      <c r="I214">
        <v>0</v>
      </c>
      <c r="J214">
        <v>0</v>
      </c>
      <c r="K214">
        <v>100</v>
      </c>
      <c r="L214" t="s">
        <v>738</v>
      </c>
      <c r="M214" s="6" t="s">
        <v>739</v>
      </c>
      <c r="N214">
        <v>920</v>
      </c>
      <c r="O214">
        <v>120</v>
      </c>
      <c r="P214">
        <v>10</v>
      </c>
      <c r="Q214">
        <v>10</v>
      </c>
      <c r="R214">
        <v>0</v>
      </c>
      <c r="S214">
        <f t="shared" si="25"/>
        <v>2</v>
      </c>
      <c r="T214">
        <f t="shared" si="26"/>
        <v>6</v>
      </c>
      <c r="U214">
        <f t="shared" si="28"/>
        <v>201001</v>
      </c>
      <c r="V214" t="e">
        <f>VLOOKUP($A214,精英副本客户端!$A$2:$O$406,10,0)</f>
        <v>#N/A</v>
      </c>
      <c r="W214" t="e">
        <f>VLOOKUP($A214,精英副本客户端!$A$2:$O$406,11,0)</f>
        <v>#N/A</v>
      </c>
      <c r="X214" t="e">
        <f>VLOOKUP($A214,精英副本客户端!$A$2:$O$406,12,0)</f>
        <v>#N/A</v>
      </c>
      <c r="Y214" t="str">
        <f t="shared" si="24"/>
        <v>敏捷试炼（10）</v>
      </c>
    </row>
    <row r="215" spans="1:25">
      <c r="A215">
        <f t="shared" si="23"/>
        <v>201003</v>
      </c>
      <c r="B215" t="s">
        <v>1041</v>
      </c>
      <c r="C215">
        <v>0</v>
      </c>
      <c r="D215">
        <v>0</v>
      </c>
      <c r="E215" t="str">
        <f t="shared" si="27"/>
        <v>2010031_1</v>
      </c>
      <c r="F215" t="s">
        <v>213</v>
      </c>
      <c r="G215">
        <v>0</v>
      </c>
      <c r="H215">
        <v>0</v>
      </c>
      <c r="I215">
        <v>0</v>
      </c>
      <c r="J215">
        <v>0</v>
      </c>
      <c r="K215">
        <v>100</v>
      </c>
      <c r="L215" t="s">
        <v>738</v>
      </c>
      <c r="M215" s="6" t="s">
        <v>739</v>
      </c>
      <c r="N215">
        <v>920</v>
      </c>
      <c r="O215">
        <v>120</v>
      </c>
      <c r="P215">
        <v>10</v>
      </c>
      <c r="Q215">
        <v>10</v>
      </c>
      <c r="R215">
        <v>0</v>
      </c>
      <c r="S215">
        <f t="shared" si="25"/>
        <v>2</v>
      </c>
      <c r="T215">
        <f t="shared" si="26"/>
        <v>6</v>
      </c>
      <c r="U215">
        <f t="shared" si="28"/>
        <v>201002</v>
      </c>
      <c r="V215" t="e">
        <f>VLOOKUP($A215,精英副本客户端!$A$2:$O$406,10,0)</f>
        <v>#N/A</v>
      </c>
      <c r="W215" t="e">
        <f>VLOOKUP($A215,精英副本客户端!$A$2:$O$406,11,0)</f>
        <v>#N/A</v>
      </c>
      <c r="X215" t="e">
        <f>VLOOKUP($A215,精英副本客户端!$A$2:$O$406,12,0)</f>
        <v>#N/A</v>
      </c>
      <c r="Y215" t="str">
        <f t="shared" si="24"/>
        <v>敏捷试炼（10）</v>
      </c>
    </row>
    <row r="216" spans="1:25">
      <c r="A216">
        <f t="shared" si="23"/>
        <v>201004</v>
      </c>
      <c r="B216" t="s">
        <v>1042</v>
      </c>
      <c r="C216">
        <v>0</v>
      </c>
      <c r="D216">
        <v>0</v>
      </c>
      <c r="E216" t="str">
        <f t="shared" si="27"/>
        <v>2010041_1</v>
      </c>
      <c r="F216" t="s">
        <v>213</v>
      </c>
      <c r="G216">
        <v>0</v>
      </c>
      <c r="H216">
        <v>0</v>
      </c>
      <c r="I216">
        <v>0</v>
      </c>
      <c r="J216">
        <v>0</v>
      </c>
      <c r="K216">
        <v>100</v>
      </c>
      <c r="L216" t="s">
        <v>738</v>
      </c>
      <c r="M216" s="6" t="s">
        <v>739</v>
      </c>
      <c r="N216">
        <v>920</v>
      </c>
      <c r="O216">
        <v>120</v>
      </c>
      <c r="P216">
        <v>10</v>
      </c>
      <c r="Q216">
        <v>10</v>
      </c>
      <c r="R216">
        <v>0</v>
      </c>
      <c r="S216">
        <f t="shared" si="25"/>
        <v>2</v>
      </c>
      <c r="T216">
        <f t="shared" si="26"/>
        <v>6</v>
      </c>
      <c r="U216">
        <f t="shared" si="28"/>
        <v>201003</v>
      </c>
      <c r="V216" t="e">
        <f>VLOOKUP($A216,精英副本客户端!$A$2:$O$406,10,0)</f>
        <v>#N/A</v>
      </c>
      <c r="W216" t="e">
        <f>VLOOKUP($A216,精英副本客户端!$A$2:$O$406,11,0)</f>
        <v>#N/A</v>
      </c>
      <c r="X216" t="e">
        <f>VLOOKUP($A216,精英副本客户端!$A$2:$O$406,12,0)</f>
        <v>#N/A</v>
      </c>
      <c r="Y216" t="str">
        <f t="shared" si="24"/>
        <v>敏捷试炼（10）</v>
      </c>
    </row>
    <row r="217" spans="1:25">
      <c r="A217">
        <f t="shared" si="23"/>
        <v>201005</v>
      </c>
      <c r="B217" t="s">
        <v>1043</v>
      </c>
      <c r="C217">
        <v>0</v>
      </c>
      <c r="D217">
        <v>0</v>
      </c>
      <c r="E217" t="str">
        <f t="shared" si="27"/>
        <v>2010051_1</v>
      </c>
      <c r="F217" t="s">
        <v>213</v>
      </c>
      <c r="G217">
        <v>0</v>
      </c>
      <c r="H217">
        <v>0</v>
      </c>
      <c r="I217">
        <v>0</v>
      </c>
      <c r="J217">
        <v>0</v>
      </c>
      <c r="K217">
        <v>100</v>
      </c>
      <c r="L217" t="s">
        <v>738</v>
      </c>
      <c r="M217" s="6" t="s">
        <v>739</v>
      </c>
      <c r="N217">
        <v>920</v>
      </c>
      <c r="O217">
        <v>120</v>
      </c>
      <c r="P217">
        <v>10</v>
      </c>
      <c r="Q217">
        <v>10</v>
      </c>
      <c r="R217">
        <v>0</v>
      </c>
      <c r="S217">
        <f t="shared" si="25"/>
        <v>2</v>
      </c>
      <c r="T217">
        <f t="shared" si="26"/>
        <v>6</v>
      </c>
      <c r="U217">
        <f t="shared" si="28"/>
        <v>201004</v>
      </c>
      <c r="V217" t="e">
        <f>VLOOKUP($A217,精英副本客户端!$A$2:$O$406,10,0)</f>
        <v>#N/A</v>
      </c>
      <c r="W217" t="e">
        <f>VLOOKUP($A217,精英副本客户端!$A$2:$O$406,11,0)</f>
        <v>#N/A</v>
      </c>
      <c r="X217" t="e">
        <f>VLOOKUP($A217,精英副本客户端!$A$2:$O$406,12,0)</f>
        <v>#N/A</v>
      </c>
      <c r="Y217" t="str">
        <f t="shared" si="24"/>
        <v>敏捷试炼（10）</v>
      </c>
    </row>
    <row r="218" spans="1:25">
      <c r="A218">
        <f t="shared" si="23"/>
        <v>201006</v>
      </c>
      <c r="B218" t="s">
        <v>1044</v>
      </c>
      <c r="C218">
        <v>0</v>
      </c>
      <c r="D218">
        <v>0</v>
      </c>
      <c r="E218" t="str">
        <f t="shared" si="27"/>
        <v>2010061_1</v>
      </c>
      <c r="F218" t="s">
        <v>213</v>
      </c>
      <c r="G218">
        <v>0</v>
      </c>
      <c r="H218">
        <v>0</v>
      </c>
      <c r="I218">
        <v>0</v>
      </c>
      <c r="J218">
        <v>0</v>
      </c>
      <c r="K218">
        <v>100</v>
      </c>
      <c r="L218" t="s">
        <v>738</v>
      </c>
      <c r="M218" s="6" t="s">
        <v>739</v>
      </c>
      <c r="N218">
        <v>920</v>
      </c>
      <c r="O218">
        <v>120</v>
      </c>
      <c r="P218">
        <v>10</v>
      </c>
      <c r="Q218">
        <v>10</v>
      </c>
      <c r="R218">
        <v>0</v>
      </c>
      <c r="S218">
        <f t="shared" si="25"/>
        <v>2</v>
      </c>
      <c r="T218">
        <f t="shared" si="26"/>
        <v>6</v>
      </c>
      <c r="U218">
        <f t="shared" si="28"/>
        <v>201005</v>
      </c>
      <c r="V218" t="e">
        <f>VLOOKUP($A218,精英副本客户端!$A$2:$O$406,10,0)</f>
        <v>#N/A</v>
      </c>
      <c r="W218" t="e">
        <f>VLOOKUP($A218,精英副本客户端!$A$2:$O$406,11,0)</f>
        <v>#N/A</v>
      </c>
      <c r="X218" t="e">
        <f>VLOOKUP($A218,精英副本客户端!$A$2:$O$406,12,0)</f>
        <v>#N/A</v>
      </c>
      <c r="Y218" t="str">
        <f t="shared" si="24"/>
        <v>敏捷试炼（10）</v>
      </c>
    </row>
    <row r="219" spans="1:25">
      <c r="A219">
        <f t="shared" si="23"/>
        <v>201007</v>
      </c>
      <c r="B219" t="s">
        <v>1045</v>
      </c>
      <c r="C219">
        <v>0</v>
      </c>
      <c r="D219">
        <v>0</v>
      </c>
      <c r="E219" t="str">
        <f t="shared" si="27"/>
        <v>2010071_1</v>
      </c>
      <c r="F219" t="s">
        <v>213</v>
      </c>
      <c r="G219">
        <v>0</v>
      </c>
      <c r="H219">
        <v>0</v>
      </c>
      <c r="I219">
        <v>0</v>
      </c>
      <c r="J219">
        <v>0</v>
      </c>
      <c r="K219">
        <v>100</v>
      </c>
      <c r="L219" t="s">
        <v>738</v>
      </c>
      <c r="M219" s="6" t="s">
        <v>739</v>
      </c>
      <c r="N219">
        <v>920</v>
      </c>
      <c r="O219">
        <v>120</v>
      </c>
      <c r="P219">
        <v>10</v>
      </c>
      <c r="Q219">
        <v>10</v>
      </c>
      <c r="R219">
        <v>0</v>
      </c>
      <c r="S219">
        <f t="shared" si="25"/>
        <v>2</v>
      </c>
      <c r="T219">
        <f t="shared" si="26"/>
        <v>6</v>
      </c>
      <c r="U219">
        <f t="shared" si="28"/>
        <v>201006</v>
      </c>
      <c r="V219" t="e">
        <f>VLOOKUP($A219,精英副本客户端!$A$2:$O$406,10,0)</f>
        <v>#N/A</v>
      </c>
      <c r="W219" t="e">
        <f>VLOOKUP($A219,精英副本客户端!$A$2:$O$406,11,0)</f>
        <v>#N/A</v>
      </c>
      <c r="X219" t="e">
        <f>VLOOKUP($A219,精英副本客户端!$A$2:$O$406,12,0)</f>
        <v>#N/A</v>
      </c>
      <c r="Y219" t="str">
        <f t="shared" si="24"/>
        <v>敏捷试炼（10）</v>
      </c>
    </row>
    <row r="220" spans="1:25">
      <c r="A220">
        <f t="shared" si="23"/>
        <v>201008</v>
      </c>
      <c r="B220" t="s">
        <v>1046</v>
      </c>
      <c r="C220">
        <v>0</v>
      </c>
      <c r="D220">
        <v>0</v>
      </c>
      <c r="E220" t="str">
        <f t="shared" si="27"/>
        <v>2010081_1</v>
      </c>
      <c r="F220" t="s">
        <v>213</v>
      </c>
      <c r="G220">
        <v>0</v>
      </c>
      <c r="H220">
        <v>0</v>
      </c>
      <c r="I220">
        <v>0</v>
      </c>
      <c r="J220">
        <v>0</v>
      </c>
      <c r="K220">
        <v>100</v>
      </c>
      <c r="L220" t="s">
        <v>738</v>
      </c>
      <c r="M220" s="6" t="s">
        <v>739</v>
      </c>
      <c r="N220">
        <v>920</v>
      </c>
      <c r="O220">
        <v>120</v>
      </c>
      <c r="P220">
        <v>10</v>
      </c>
      <c r="Q220">
        <v>10</v>
      </c>
      <c r="R220">
        <v>0</v>
      </c>
      <c r="S220">
        <f t="shared" si="25"/>
        <v>2</v>
      </c>
      <c r="T220">
        <f t="shared" si="26"/>
        <v>6</v>
      </c>
      <c r="U220">
        <f t="shared" si="28"/>
        <v>201007</v>
      </c>
      <c r="V220" t="e">
        <f>VLOOKUP($A220,精英副本客户端!$A$2:$O$406,10,0)</f>
        <v>#N/A</v>
      </c>
      <c r="W220" t="e">
        <f>VLOOKUP($A220,精英副本客户端!$A$2:$O$406,11,0)</f>
        <v>#N/A</v>
      </c>
      <c r="X220" t="e">
        <f>VLOOKUP($A220,精英副本客户端!$A$2:$O$406,12,0)</f>
        <v>#N/A</v>
      </c>
      <c r="Y220" t="str">
        <f t="shared" si="24"/>
        <v>敏捷试炼（10）</v>
      </c>
    </row>
    <row r="221" spans="1:25">
      <c r="A221">
        <f t="shared" si="23"/>
        <v>201009</v>
      </c>
      <c r="B221" t="s">
        <v>1047</v>
      </c>
      <c r="C221">
        <v>0</v>
      </c>
      <c r="D221">
        <v>0</v>
      </c>
      <c r="E221" t="str">
        <f t="shared" si="27"/>
        <v>2010091_1</v>
      </c>
      <c r="F221" t="s">
        <v>213</v>
      </c>
      <c r="G221">
        <v>0</v>
      </c>
      <c r="H221">
        <v>0</v>
      </c>
      <c r="I221">
        <v>0</v>
      </c>
      <c r="J221">
        <v>0</v>
      </c>
      <c r="K221">
        <v>100</v>
      </c>
      <c r="L221" t="s">
        <v>738</v>
      </c>
      <c r="M221" s="6" t="s">
        <v>739</v>
      </c>
      <c r="N221">
        <v>920</v>
      </c>
      <c r="O221">
        <v>120</v>
      </c>
      <c r="P221">
        <v>10</v>
      </c>
      <c r="Q221">
        <v>10</v>
      </c>
      <c r="R221">
        <v>0</v>
      </c>
      <c r="S221">
        <f t="shared" si="25"/>
        <v>2</v>
      </c>
      <c r="T221">
        <f t="shared" si="26"/>
        <v>6</v>
      </c>
      <c r="U221">
        <f t="shared" si="28"/>
        <v>201008</v>
      </c>
      <c r="V221" t="e">
        <f>VLOOKUP($A221,精英副本客户端!$A$2:$O$406,10,0)</f>
        <v>#N/A</v>
      </c>
      <c r="W221" t="e">
        <f>VLOOKUP($A221,精英副本客户端!$A$2:$O$406,11,0)</f>
        <v>#N/A</v>
      </c>
      <c r="X221" t="e">
        <f>VLOOKUP($A221,精英副本客户端!$A$2:$O$406,12,0)</f>
        <v>#N/A</v>
      </c>
      <c r="Y221" t="str">
        <f t="shared" si="24"/>
        <v>敏捷试炼（10）</v>
      </c>
    </row>
    <row r="222" spans="1:25">
      <c r="A222">
        <f t="shared" si="23"/>
        <v>201501</v>
      </c>
      <c r="B222" t="s">
        <v>1039</v>
      </c>
      <c r="C222">
        <v>0</v>
      </c>
      <c r="D222">
        <v>0</v>
      </c>
      <c r="E222" t="str">
        <f t="shared" si="27"/>
        <v>2015011_1</v>
      </c>
      <c r="F222" t="s">
        <v>213</v>
      </c>
      <c r="G222">
        <v>0</v>
      </c>
      <c r="H222">
        <v>0</v>
      </c>
      <c r="I222">
        <v>0</v>
      </c>
      <c r="J222">
        <v>0</v>
      </c>
      <c r="K222">
        <v>100</v>
      </c>
      <c r="L222" t="s">
        <v>738</v>
      </c>
      <c r="M222" s="6" t="s">
        <v>739</v>
      </c>
      <c r="N222">
        <v>920</v>
      </c>
      <c r="O222">
        <v>120</v>
      </c>
      <c r="P222">
        <v>10</v>
      </c>
      <c r="Q222">
        <v>10</v>
      </c>
      <c r="R222">
        <v>0</v>
      </c>
      <c r="S222">
        <f t="shared" si="25"/>
        <v>2</v>
      </c>
      <c r="T222">
        <f t="shared" si="26"/>
        <v>11</v>
      </c>
      <c r="U222">
        <f t="shared" si="28"/>
        <v>201009</v>
      </c>
      <c r="V222" t="e">
        <f>VLOOKUP($A222,精英副本客户端!$A$2:$O$406,10,0)</f>
        <v>#N/A</v>
      </c>
      <c r="W222" t="e">
        <f>VLOOKUP($A222,精英副本客户端!$A$2:$O$406,11,0)</f>
        <v>#N/A</v>
      </c>
      <c r="X222" t="e">
        <f>VLOOKUP($A222,精英副本客户端!$A$2:$O$406,12,0)</f>
        <v>#N/A</v>
      </c>
      <c r="Y222" t="str">
        <f t="shared" si="24"/>
        <v>敏捷试炼（15）</v>
      </c>
    </row>
    <row r="223" spans="1:25">
      <c r="A223">
        <f t="shared" si="23"/>
        <v>201502</v>
      </c>
      <c r="B223" t="s">
        <v>1040</v>
      </c>
      <c r="C223">
        <v>0</v>
      </c>
      <c r="D223">
        <v>0</v>
      </c>
      <c r="E223" t="str">
        <f t="shared" si="27"/>
        <v>2015021_1</v>
      </c>
      <c r="F223" t="s">
        <v>213</v>
      </c>
      <c r="G223">
        <v>0</v>
      </c>
      <c r="H223">
        <v>0</v>
      </c>
      <c r="I223">
        <v>0</v>
      </c>
      <c r="J223">
        <v>0</v>
      </c>
      <c r="K223">
        <v>100</v>
      </c>
      <c r="L223" t="s">
        <v>738</v>
      </c>
      <c r="M223" s="6" t="s">
        <v>739</v>
      </c>
      <c r="N223">
        <v>920</v>
      </c>
      <c r="O223">
        <v>120</v>
      </c>
      <c r="P223">
        <v>10</v>
      </c>
      <c r="Q223">
        <v>10</v>
      </c>
      <c r="R223">
        <v>0</v>
      </c>
      <c r="S223">
        <f t="shared" si="25"/>
        <v>2</v>
      </c>
      <c r="T223">
        <f t="shared" si="26"/>
        <v>11</v>
      </c>
      <c r="U223">
        <f t="shared" si="28"/>
        <v>201501</v>
      </c>
      <c r="V223" t="e">
        <f>VLOOKUP($A223,精英副本客户端!$A$2:$O$406,10,0)</f>
        <v>#N/A</v>
      </c>
      <c r="W223" t="e">
        <f>VLOOKUP($A223,精英副本客户端!$A$2:$O$406,11,0)</f>
        <v>#N/A</v>
      </c>
      <c r="X223" t="e">
        <f>VLOOKUP($A223,精英副本客户端!$A$2:$O$406,12,0)</f>
        <v>#N/A</v>
      </c>
      <c r="Y223" t="str">
        <f t="shared" si="24"/>
        <v>敏捷试炼（15）</v>
      </c>
    </row>
    <row r="224" spans="1:25">
      <c r="A224">
        <f t="shared" si="23"/>
        <v>201503</v>
      </c>
      <c r="B224" t="s">
        <v>1041</v>
      </c>
      <c r="C224">
        <v>0</v>
      </c>
      <c r="D224">
        <v>0</v>
      </c>
      <c r="E224" t="str">
        <f t="shared" si="27"/>
        <v>2015031_1</v>
      </c>
      <c r="F224" t="s">
        <v>213</v>
      </c>
      <c r="G224">
        <v>0</v>
      </c>
      <c r="H224">
        <v>0</v>
      </c>
      <c r="I224">
        <v>0</v>
      </c>
      <c r="J224">
        <v>0</v>
      </c>
      <c r="K224">
        <v>100</v>
      </c>
      <c r="L224" t="s">
        <v>738</v>
      </c>
      <c r="M224" s="6" t="s">
        <v>739</v>
      </c>
      <c r="N224">
        <v>920</v>
      </c>
      <c r="O224">
        <v>120</v>
      </c>
      <c r="P224">
        <v>10</v>
      </c>
      <c r="Q224">
        <v>10</v>
      </c>
      <c r="R224">
        <v>0</v>
      </c>
      <c r="S224">
        <f t="shared" si="25"/>
        <v>2</v>
      </c>
      <c r="T224">
        <f t="shared" si="26"/>
        <v>11</v>
      </c>
      <c r="U224">
        <f t="shared" si="28"/>
        <v>201502</v>
      </c>
      <c r="V224" t="e">
        <f>VLOOKUP($A224,精英副本客户端!$A$2:$O$406,10,0)</f>
        <v>#N/A</v>
      </c>
      <c r="W224" t="e">
        <f>VLOOKUP($A224,精英副本客户端!$A$2:$O$406,11,0)</f>
        <v>#N/A</v>
      </c>
      <c r="X224" t="e">
        <f>VLOOKUP($A224,精英副本客户端!$A$2:$O$406,12,0)</f>
        <v>#N/A</v>
      </c>
      <c r="Y224" t="str">
        <f t="shared" si="24"/>
        <v>敏捷试炼（15）</v>
      </c>
    </row>
    <row r="225" spans="1:25">
      <c r="A225">
        <f t="shared" si="23"/>
        <v>201504</v>
      </c>
      <c r="B225" t="s">
        <v>1042</v>
      </c>
      <c r="C225">
        <v>0</v>
      </c>
      <c r="D225">
        <v>0</v>
      </c>
      <c r="E225" t="str">
        <f t="shared" si="27"/>
        <v>2015041_1</v>
      </c>
      <c r="F225" t="s">
        <v>213</v>
      </c>
      <c r="G225">
        <v>0</v>
      </c>
      <c r="H225">
        <v>0</v>
      </c>
      <c r="I225">
        <v>0</v>
      </c>
      <c r="J225">
        <v>0</v>
      </c>
      <c r="K225">
        <v>100</v>
      </c>
      <c r="L225" t="s">
        <v>738</v>
      </c>
      <c r="M225" s="6" t="s">
        <v>739</v>
      </c>
      <c r="N225">
        <v>920</v>
      </c>
      <c r="O225">
        <v>120</v>
      </c>
      <c r="P225">
        <v>10</v>
      </c>
      <c r="Q225">
        <v>10</v>
      </c>
      <c r="R225">
        <v>0</v>
      </c>
      <c r="S225">
        <f t="shared" si="25"/>
        <v>2</v>
      </c>
      <c r="T225">
        <f t="shared" si="26"/>
        <v>11</v>
      </c>
      <c r="U225">
        <f t="shared" si="28"/>
        <v>201503</v>
      </c>
      <c r="V225" t="e">
        <f>VLOOKUP($A225,精英副本客户端!$A$2:$O$406,10,0)</f>
        <v>#N/A</v>
      </c>
      <c r="W225" t="e">
        <f>VLOOKUP($A225,精英副本客户端!$A$2:$O$406,11,0)</f>
        <v>#N/A</v>
      </c>
      <c r="X225" t="e">
        <f>VLOOKUP($A225,精英副本客户端!$A$2:$O$406,12,0)</f>
        <v>#N/A</v>
      </c>
      <c r="Y225" t="str">
        <f t="shared" si="24"/>
        <v>敏捷试炼（15）</v>
      </c>
    </row>
    <row r="226" spans="1:25">
      <c r="A226">
        <f t="shared" si="23"/>
        <v>201505</v>
      </c>
      <c r="B226" t="s">
        <v>1043</v>
      </c>
      <c r="C226">
        <v>0</v>
      </c>
      <c r="D226">
        <v>0</v>
      </c>
      <c r="E226" t="str">
        <f t="shared" si="27"/>
        <v>2015051_1</v>
      </c>
      <c r="F226" t="s">
        <v>213</v>
      </c>
      <c r="G226">
        <v>0</v>
      </c>
      <c r="H226">
        <v>0</v>
      </c>
      <c r="I226">
        <v>0</v>
      </c>
      <c r="J226">
        <v>0</v>
      </c>
      <c r="K226">
        <v>100</v>
      </c>
      <c r="L226" t="s">
        <v>738</v>
      </c>
      <c r="M226" s="6" t="s">
        <v>739</v>
      </c>
      <c r="N226">
        <v>920</v>
      </c>
      <c r="O226">
        <v>120</v>
      </c>
      <c r="P226">
        <v>10</v>
      </c>
      <c r="Q226">
        <v>10</v>
      </c>
      <c r="R226">
        <v>0</v>
      </c>
      <c r="S226">
        <f t="shared" si="25"/>
        <v>2</v>
      </c>
      <c r="T226">
        <f t="shared" si="26"/>
        <v>11</v>
      </c>
      <c r="U226">
        <f t="shared" si="28"/>
        <v>201504</v>
      </c>
      <c r="V226" t="e">
        <f>VLOOKUP($A226,精英副本客户端!$A$2:$O$406,10,0)</f>
        <v>#N/A</v>
      </c>
      <c r="W226" t="e">
        <f>VLOOKUP($A226,精英副本客户端!$A$2:$O$406,11,0)</f>
        <v>#N/A</v>
      </c>
      <c r="X226" t="e">
        <f>VLOOKUP($A226,精英副本客户端!$A$2:$O$406,12,0)</f>
        <v>#N/A</v>
      </c>
      <c r="Y226" t="str">
        <f t="shared" si="24"/>
        <v>敏捷试炼（15）</v>
      </c>
    </row>
    <row r="227" spans="1:25">
      <c r="A227">
        <f t="shared" ref="A227:A248" si="29">A38+100000</f>
        <v>201506</v>
      </c>
      <c r="B227" t="s">
        <v>1044</v>
      </c>
      <c r="C227">
        <v>0</v>
      </c>
      <c r="D227">
        <v>0</v>
      </c>
      <c r="E227" t="str">
        <f t="shared" si="27"/>
        <v>2015061_1</v>
      </c>
      <c r="F227" t="s">
        <v>213</v>
      </c>
      <c r="G227">
        <v>0</v>
      </c>
      <c r="H227">
        <v>0</v>
      </c>
      <c r="I227">
        <v>0</v>
      </c>
      <c r="J227">
        <v>0</v>
      </c>
      <c r="K227">
        <v>100</v>
      </c>
      <c r="L227" t="s">
        <v>738</v>
      </c>
      <c r="M227" s="6" t="s">
        <v>739</v>
      </c>
      <c r="N227">
        <v>920</v>
      </c>
      <c r="O227">
        <v>120</v>
      </c>
      <c r="P227">
        <v>10</v>
      </c>
      <c r="Q227">
        <v>10</v>
      </c>
      <c r="R227">
        <v>0</v>
      </c>
      <c r="S227">
        <f t="shared" si="25"/>
        <v>2</v>
      </c>
      <c r="T227">
        <f t="shared" si="26"/>
        <v>11</v>
      </c>
      <c r="U227">
        <f t="shared" si="28"/>
        <v>201505</v>
      </c>
      <c r="V227" t="e">
        <f>VLOOKUP($A227,精英副本客户端!$A$2:$O$406,10,0)</f>
        <v>#N/A</v>
      </c>
      <c r="W227" t="e">
        <f>VLOOKUP($A227,精英副本客户端!$A$2:$O$406,11,0)</f>
        <v>#N/A</v>
      </c>
      <c r="X227" t="e">
        <f>VLOOKUP($A227,精英副本客户端!$A$2:$O$406,12,0)</f>
        <v>#N/A</v>
      </c>
      <c r="Y227" t="str">
        <f t="shared" si="24"/>
        <v>敏捷试炼（15）</v>
      </c>
    </row>
    <row r="228" spans="1:25">
      <c r="A228">
        <f t="shared" si="29"/>
        <v>201507</v>
      </c>
      <c r="B228" t="s">
        <v>1045</v>
      </c>
      <c r="C228">
        <v>0</v>
      </c>
      <c r="D228">
        <v>0</v>
      </c>
      <c r="E228" t="str">
        <f t="shared" si="27"/>
        <v>2015071_1</v>
      </c>
      <c r="F228" t="s">
        <v>213</v>
      </c>
      <c r="G228">
        <v>0</v>
      </c>
      <c r="H228">
        <v>0</v>
      </c>
      <c r="I228">
        <v>0</v>
      </c>
      <c r="J228">
        <v>0</v>
      </c>
      <c r="K228">
        <v>100</v>
      </c>
      <c r="L228" t="s">
        <v>738</v>
      </c>
      <c r="M228" s="6" t="s">
        <v>739</v>
      </c>
      <c r="N228">
        <v>920</v>
      </c>
      <c r="O228">
        <v>120</v>
      </c>
      <c r="P228">
        <v>10</v>
      </c>
      <c r="Q228">
        <v>10</v>
      </c>
      <c r="R228">
        <v>0</v>
      </c>
      <c r="S228">
        <f t="shared" si="25"/>
        <v>2</v>
      </c>
      <c r="T228">
        <f t="shared" si="26"/>
        <v>11</v>
      </c>
      <c r="U228">
        <f t="shared" si="28"/>
        <v>201506</v>
      </c>
      <c r="V228" t="e">
        <f>VLOOKUP($A228,精英副本客户端!$A$2:$O$406,10,0)</f>
        <v>#N/A</v>
      </c>
      <c r="W228" t="e">
        <f>VLOOKUP($A228,精英副本客户端!$A$2:$O$406,11,0)</f>
        <v>#N/A</v>
      </c>
      <c r="X228" t="e">
        <f>VLOOKUP($A228,精英副本客户端!$A$2:$O$406,12,0)</f>
        <v>#N/A</v>
      </c>
      <c r="Y228" t="str">
        <f t="shared" si="24"/>
        <v>敏捷试炼（15）</v>
      </c>
    </row>
    <row r="229" spans="1:25">
      <c r="A229">
        <f t="shared" si="29"/>
        <v>201508</v>
      </c>
      <c r="B229" t="s">
        <v>1046</v>
      </c>
      <c r="C229">
        <v>0</v>
      </c>
      <c r="D229">
        <v>0</v>
      </c>
      <c r="E229" t="str">
        <f t="shared" si="27"/>
        <v>2015081_1</v>
      </c>
      <c r="F229" t="s">
        <v>213</v>
      </c>
      <c r="G229">
        <v>0</v>
      </c>
      <c r="H229">
        <v>0</v>
      </c>
      <c r="I229">
        <v>0</v>
      </c>
      <c r="J229">
        <v>0</v>
      </c>
      <c r="K229">
        <v>100</v>
      </c>
      <c r="L229" t="s">
        <v>738</v>
      </c>
      <c r="M229" s="6" t="s">
        <v>739</v>
      </c>
      <c r="N229">
        <v>920</v>
      </c>
      <c r="O229">
        <v>120</v>
      </c>
      <c r="P229">
        <v>10</v>
      </c>
      <c r="Q229">
        <v>10</v>
      </c>
      <c r="R229">
        <v>0</v>
      </c>
      <c r="S229">
        <f t="shared" si="25"/>
        <v>2</v>
      </c>
      <c r="T229">
        <f t="shared" si="26"/>
        <v>11</v>
      </c>
      <c r="U229">
        <f t="shared" si="28"/>
        <v>201507</v>
      </c>
      <c r="V229" t="e">
        <f>VLOOKUP($A229,精英副本客户端!$A$2:$O$406,10,0)</f>
        <v>#N/A</v>
      </c>
      <c r="W229" t="e">
        <f>VLOOKUP($A229,精英副本客户端!$A$2:$O$406,11,0)</f>
        <v>#N/A</v>
      </c>
      <c r="X229" t="e">
        <f>VLOOKUP($A229,精英副本客户端!$A$2:$O$406,12,0)</f>
        <v>#N/A</v>
      </c>
      <c r="Y229" t="str">
        <f t="shared" si="24"/>
        <v>敏捷试炼（15）</v>
      </c>
    </row>
    <row r="230" spans="1:25">
      <c r="A230">
        <f t="shared" si="29"/>
        <v>201509</v>
      </c>
      <c r="B230" t="s">
        <v>1047</v>
      </c>
      <c r="C230">
        <v>0</v>
      </c>
      <c r="D230">
        <v>0</v>
      </c>
      <c r="E230" t="str">
        <f t="shared" si="27"/>
        <v>2015091_1</v>
      </c>
      <c r="F230" t="s">
        <v>213</v>
      </c>
      <c r="G230">
        <v>0</v>
      </c>
      <c r="H230">
        <v>0</v>
      </c>
      <c r="I230">
        <v>0</v>
      </c>
      <c r="J230">
        <v>0</v>
      </c>
      <c r="K230">
        <v>100</v>
      </c>
      <c r="L230" t="s">
        <v>738</v>
      </c>
      <c r="M230" s="6" t="s">
        <v>739</v>
      </c>
      <c r="N230">
        <v>920</v>
      </c>
      <c r="O230">
        <v>120</v>
      </c>
      <c r="P230">
        <v>10</v>
      </c>
      <c r="Q230">
        <v>10</v>
      </c>
      <c r="R230">
        <v>0</v>
      </c>
      <c r="S230">
        <f t="shared" si="25"/>
        <v>2</v>
      </c>
      <c r="T230">
        <f t="shared" si="26"/>
        <v>11</v>
      </c>
      <c r="U230">
        <f t="shared" si="28"/>
        <v>201508</v>
      </c>
      <c r="V230" t="e">
        <f>VLOOKUP($A230,精英副本客户端!$A$2:$O$406,10,0)</f>
        <v>#N/A</v>
      </c>
      <c r="W230" t="e">
        <f>VLOOKUP($A230,精英副本客户端!$A$2:$O$406,11,0)</f>
        <v>#N/A</v>
      </c>
      <c r="X230" t="e">
        <f>VLOOKUP($A230,精英副本客户端!$A$2:$O$406,12,0)</f>
        <v>#N/A</v>
      </c>
      <c r="Y230" t="str">
        <f t="shared" si="24"/>
        <v>敏捷试炼（15）</v>
      </c>
    </row>
    <row r="231" spans="1:25">
      <c r="A231">
        <f t="shared" si="29"/>
        <v>202001</v>
      </c>
      <c r="B231" t="s">
        <v>1039</v>
      </c>
      <c r="C231">
        <v>0</v>
      </c>
      <c r="D231">
        <v>0</v>
      </c>
      <c r="E231" t="str">
        <f t="shared" si="27"/>
        <v>2020011_1</v>
      </c>
      <c r="F231" t="s">
        <v>213</v>
      </c>
      <c r="G231">
        <v>0</v>
      </c>
      <c r="H231">
        <v>0</v>
      </c>
      <c r="I231">
        <v>0</v>
      </c>
      <c r="J231">
        <v>0</v>
      </c>
      <c r="K231">
        <v>100</v>
      </c>
      <c r="L231" t="s">
        <v>738</v>
      </c>
      <c r="M231" s="6" t="s">
        <v>739</v>
      </c>
      <c r="N231">
        <v>920</v>
      </c>
      <c r="O231">
        <v>120</v>
      </c>
      <c r="P231">
        <v>10</v>
      </c>
      <c r="Q231">
        <v>10</v>
      </c>
      <c r="R231">
        <v>0</v>
      </c>
      <c r="S231">
        <f t="shared" si="25"/>
        <v>2</v>
      </c>
      <c r="T231">
        <f t="shared" si="26"/>
        <v>16</v>
      </c>
      <c r="U231">
        <f t="shared" si="28"/>
        <v>201509</v>
      </c>
      <c r="V231" t="e">
        <f>VLOOKUP($A231,精英副本客户端!$A$2:$O$406,10,0)</f>
        <v>#N/A</v>
      </c>
      <c r="W231" t="e">
        <f>VLOOKUP($A231,精英副本客户端!$A$2:$O$406,11,0)</f>
        <v>#N/A</v>
      </c>
      <c r="X231" t="e">
        <f>VLOOKUP($A231,精英副本客户端!$A$2:$O$406,12,0)</f>
        <v>#N/A</v>
      </c>
      <c r="Y231" t="str">
        <f t="shared" si="24"/>
        <v>敏捷试炼（20）</v>
      </c>
    </row>
    <row r="232" spans="1:25">
      <c r="A232">
        <f t="shared" si="29"/>
        <v>202002</v>
      </c>
      <c r="B232" t="s">
        <v>1040</v>
      </c>
      <c r="C232">
        <v>0</v>
      </c>
      <c r="D232">
        <v>0</v>
      </c>
      <c r="E232" t="str">
        <f t="shared" si="27"/>
        <v>2020021_1</v>
      </c>
      <c r="F232" t="s">
        <v>213</v>
      </c>
      <c r="G232">
        <v>0</v>
      </c>
      <c r="H232">
        <v>0</v>
      </c>
      <c r="I232">
        <v>0</v>
      </c>
      <c r="J232">
        <v>0</v>
      </c>
      <c r="K232">
        <v>100</v>
      </c>
      <c r="L232" t="s">
        <v>738</v>
      </c>
      <c r="M232" s="6" t="s">
        <v>739</v>
      </c>
      <c r="N232">
        <v>920</v>
      </c>
      <c r="O232">
        <v>120</v>
      </c>
      <c r="P232">
        <v>10</v>
      </c>
      <c r="Q232">
        <v>10</v>
      </c>
      <c r="R232">
        <v>0</v>
      </c>
      <c r="S232">
        <f t="shared" si="25"/>
        <v>2</v>
      </c>
      <c r="T232">
        <f t="shared" si="26"/>
        <v>16</v>
      </c>
      <c r="U232">
        <f t="shared" si="28"/>
        <v>202001</v>
      </c>
      <c r="V232" t="e">
        <f>VLOOKUP($A232,精英副本客户端!$A$2:$O$406,10,0)</f>
        <v>#N/A</v>
      </c>
      <c r="W232" t="e">
        <f>VLOOKUP($A232,精英副本客户端!$A$2:$O$406,11,0)</f>
        <v>#N/A</v>
      </c>
      <c r="X232" t="e">
        <f>VLOOKUP($A232,精英副本客户端!$A$2:$O$406,12,0)</f>
        <v>#N/A</v>
      </c>
      <c r="Y232" t="str">
        <f t="shared" si="24"/>
        <v>敏捷试炼（20）</v>
      </c>
    </row>
    <row r="233" spans="1:25">
      <c r="A233">
        <f t="shared" si="29"/>
        <v>202003</v>
      </c>
      <c r="B233" t="s">
        <v>1041</v>
      </c>
      <c r="C233">
        <v>0</v>
      </c>
      <c r="D233">
        <v>0</v>
      </c>
      <c r="E233" t="str">
        <f t="shared" si="27"/>
        <v>2020031_1</v>
      </c>
      <c r="F233" t="s">
        <v>213</v>
      </c>
      <c r="G233">
        <v>0</v>
      </c>
      <c r="H233">
        <v>0</v>
      </c>
      <c r="I233">
        <v>0</v>
      </c>
      <c r="J233">
        <v>0</v>
      </c>
      <c r="K233">
        <v>100</v>
      </c>
      <c r="L233" t="s">
        <v>738</v>
      </c>
      <c r="M233" s="6" t="s">
        <v>739</v>
      </c>
      <c r="N233">
        <v>920</v>
      </c>
      <c r="O233">
        <v>120</v>
      </c>
      <c r="P233">
        <v>10</v>
      </c>
      <c r="Q233">
        <v>10</v>
      </c>
      <c r="R233">
        <v>0</v>
      </c>
      <c r="S233">
        <f t="shared" si="25"/>
        <v>2</v>
      </c>
      <c r="T233">
        <f t="shared" si="26"/>
        <v>16</v>
      </c>
      <c r="U233">
        <f t="shared" si="28"/>
        <v>202002</v>
      </c>
      <c r="V233" t="e">
        <f>VLOOKUP($A233,精英副本客户端!$A$2:$O$406,10,0)</f>
        <v>#N/A</v>
      </c>
      <c r="W233" t="e">
        <f>VLOOKUP($A233,精英副本客户端!$A$2:$O$406,11,0)</f>
        <v>#N/A</v>
      </c>
      <c r="X233" t="e">
        <f>VLOOKUP($A233,精英副本客户端!$A$2:$O$406,12,0)</f>
        <v>#N/A</v>
      </c>
      <c r="Y233" t="str">
        <f t="shared" si="24"/>
        <v>敏捷试炼（20）</v>
      </c>
    </row>
    <row r="234" spans="1:25">
      <c r="A234">
        <f t="shared" si="29"/>
        <v>202004</v>
      </c>
      <c r="B234" t="s">
        <v>1042</v>
      </c>
      <c r="C234">
        <v>0</v>
      </c>
      <c r="D234">
        <v>0</v>
      </c>
      <c r="E234" t="str">
        <f t="shared" si="27"/>
        <v>2020041_1</v>
      </c>
      <c r="F234" t="s">
        <v>213</v>
      </c>
      <c r="G234">
        <v>0</v>
      </c>
      <c r="H234">
        <v>0</v>
      </c>
      <c r="I234">
        <v>0</v>
      </c>
      <c r="J234">
        <v>0</v>
      </c>
      <c r="K234">
        <v>100</v>
      </c>
      <c r="L234" t="s">
        <v>738</v>
      </c>
      <c r="M234" s="6" t="s">
        <v>739</v>
      </c>
      <c r="N234">
        <v>920</v>
      </c>
      <c r="O234">
        <v>120</v>
      </c>
      <c r="P234">
        <v>10</v>
      </c>
      <c r="Q234">
        <v>10</v>
      </c>
      <c r="R234">
        <v>0</v>
      </c>
      <c r="S234">
        <f t="shared" si="25"/>
        <v>2</v>
      </c>
      <c r="T234">
        <f t="shared" si="26"/>
        <v>16</v>
      </c>
      <c r="U234">
        <f t="shared" si="28"/>
        <v>202003</v>
      </c>
      <c r="V234" t="e">
        <f>VLOOKUP($A234,精英副本客户端!$A$2:$O$406,10,0)</f>
        <v>#N/A</v>
      </c>
      <c r="W234" t="e">
        <f>VLOOKUP($A234,精英副本客户端!$A$2:$O$406,11,0)</f>
        <v>#N/A</v>
      </c>
      <c r="X234" t="e">
        <f>VLOOKUP($A234,精英副本客户端!$A$2:$O$406,12,0)</f>
        <v>#N/A</v>
      </c>
      <c r="Y234" t="str">
        <f t="shared" si="24"/>
        <v>敏捷试炼（20）</v>
      </c>
    </row>
    <row r="235" spans="1:25">
      <c r="A235">
        <f t="shared" si="29"/>
        <v>202005</v>
      </c>
      <c r="B235" t="s">
        <v>1043</v>
      </c>
      <c r="C235">
        <v>0</v>
      </c>
      <c r="D235">
        <v>0</v>
      </c>
      <c r="E235" t="str">
        <f t="shared" si="27"/>
        <v>2020051_1</v>
      </c>
      <c r="F235" t="s">
        <v>213</v>
      </c>
      <c r="G235">
        <v>0</v>
      </c>
      <c r="H235">
        <v>0</v>
      </c>
      <c r="I235">
        <v>0</v>
      </c>
      <c r="J235">
        <v>0</v>
      </c>
      <c r="K235">
        <v>100</v>
      </c>
      <c r="L235" t="s">
        <v>738</v>
      </c>
      <c r="M235" s="6" t="s">
        <v>739</v>
      </c>
      <c r="N235">
        <v>920</v>
      </c>
      <c r="O235">
        <v>120</v>
      </c>
      <c r="P235">
        <v>10</v>
      </c>
      <c r="Q235">
        <v>10</v>
      </c>
      <c r="R235">
        <v>0</v>
      </c>
      <c r="S235">
        <f t="shared" si="25"/>
        <v>2</v>
      </c>
      <c r="T235">
        <f t="shared" si="26"/>
        <v>16</v>
      </c>
      <c r="U235">
        <f t="shared" si="28"/>
        <v>202004</v>
      </c>
      <c r="V235" t="e">
        <f>VLOOKUP($A235,精英副本客户端!$A$2:$O$406,10,0)</f>
        <v>#N/A</v>
      </c>
      <c r="W235" t="e">
        <f>VLOOKUP($A235,精英副本客户端!$A$2:$O$406,11,0)</f>
        <v>#N/A</v>
      </c>
      <c r="X235" t="e">
        <f>VLOOKUP($A235,精英副本客户端!$A$2:$O$406,12,0)</f>
        <v>#N/A</v>
      </c>
      <c r="Y235" t="str">
        <f t="shared" si="24"/>
        <v>敏捷试炼（20）</v>
      </c>
    </row>
    <row r="236" spans="1:25">
      <c r="A236">
        <f t="shared" si="29"/>
        <v>202006</v>
      </c>
      <c r="B236" t="s">
        <v>1044</v>
      </c>
      <c r="C236">
        <v>0</v>
      </c>
      <c r="D236">
        <v>0</v>
      </c>
      <c r="E236" t="str">
        <f t="shared" si="27"/>
        <v>2020061_1</v>
      </c>
      <c r="F236" t="s">
        <v>213</v>
      </c>
      <c r="G236">
        <v>0</v>
      </c>
      <c r="H236">
        <v>0</v>
      </c>
      <c r="I236">
        <v>0</v>
      </c>
      <c r="J236">
        <v>0</v>
      </c>
      <c r="K236">
        <v>100</v>
      </c>
      <c r="L236" t="s">
        <v>738</v>
      </c>
      <c r="M236" s="6" t="s">
        <v>739</v>
      </c>
      <c r="N236">
        <v>920</v>
      </c>
      <c r="O236">
        <v>120</v>
      </c>
      <c r="P236">
        <v>10</v>
      </c>
      <c r="Q236">
        <v>10</v>
      </c>
      <c r="R236">
        <v>0</v>
      </c>
      <c r="S236">
        <f t="shared" si="25"/>
        <v>2</v>
      </c>
      <c r="T236">
        <f t="shared" si="26"/>
        <v>16</v>
      </c>
      <c r="U236">
        <f t="shared" si="28"/>
        <v>202005</v>
      </c>
      <c r="V236" t="e">
        <f>VLOOKUP($A236,精英副本客户端!$A$2:$O$406,10,0)</f>
        <v>#N/A</v>
      </c>
      <c r="W236" t="e">
        <f>VLOOKUP($A236,精英副本客户端!$A$2:$O$406,11,0)</f>
        <v>#N/A</v>
      </c>
      <c r="X236" t="e">
        <f>VLOOKUP($A236,精英副本客户端!$A$2:$O$406,12,0)</f>
        <v>#N/A</v>
      </c>
      <c r="Y236" t="str">
        <f t="shared" si="24"/>
        <v>敏捷试炼（20）</v>
      </c>
    </row>
    <row r="237" spans="1:25">
      <c r="A237">
        <f t="shared" si="29"/>
        <v>202007</v>
      </c>
      <c r="B237" t="s">
        <v>1045</v>
      </c>
      <c r="C237">
        <v>0</v>
      </c>
      <c r="D237">
        <v>0</v>
      </c>
      <c r="E237" t="str">
        <f t="shared" si="27"/>
        <v>2020071_1</v>
      </c>
      <c r="F237" t="s">
        <v>213</v>
      </c>
      <c r="G237">
        <v>0</v>
      </c>
      <c r="H237">
        <v>0</v>
      </c>
      <c r="I237">
        <v>0</v>
      </c>
      <c r="J237">
        <v>0</v>
      </c>
      <c r="K237">
        <v>100</v>
      </c>
      <c r="L237" t="s">
        <v>738</v>
      </c>
      <c r="M237" s="6" t="s">
        <v>739</v>
      </c>
      <c r="N237">
        <v>920</v>
      </c>
      <c r="O237">
        <v>120</v>
      </c>
      <c r="P237">
        <v>10</v>
      </c>
      <c r="Q237">
        <v>10</v>
      </c>
      <c r="R237">
        <v>0</v>
      </c>
      <c r="S237">
        <f t="shared" si="25"/>
        <v>2</v>
      </c>
      <c r="T237">
        <f t="shared" si="26"/>
        <v>16</v>
      </c>
      <c r="U237">
        <f t="shared" si="28"/>
        <v>202006</v>
      </c>
      <c r="V237" t="e">
        <f>VLOOKUP($A237,精英副本客户端!$A$2:$O$406,10,0)</f>
        <v>#N/A</v>
      </c>
      <c r="W237" t="e">
        <f>VLOOKUP($A237,精英副本客户端!$A$2:$O$406,11,0)</f>
        <v>#N/A</v>
      </c>
      <c r="X237" t="e">
        <f>VLOOKUP($A237,精英副本客户端!$A$2:$O$406,12,0)</f>
        <v>#N/A</v>
      </c>
      <c r="Y237" t="str">
        <f t="shared" si="24"/>
        <v>敏捷试炼（20）</v>
      </c>
    </row>
    <row r="238" spans="1:25">
      <c r="A238">
        <f t="shared" si="29"/>
        <v>202008</v>
      </c>
      <c r="B238" t="s">
        <v>1046</v>
      </c>
      <c r="C238">
        <v>0</v>
      </c>
      <c r="D238">
        <v>0</v>
      </c>
      <c r="E238" t="str">
        <f t="shared" si="27"/>
        <v>2020081_1</v>
      </c>
      <c r="F238" t="s">
        <v>213</v>
      </c>
      <c r="G238">
        <v>0</v>
      </c>
      <c r="H238">
        <v>0</v>
      </c>
      <c r="I238">
        <v>0</v>
      </c>
      <c r="J238">
        <v>0</v>
      </c>
      <c r="K238">
        <v>100</v>
      </c>
      <c r="L238" t="s">
        <v>738</v>
      </c>
      <c r="M238" s="6" t="s">
        <v>739</v>
      </c>
      <c r="N238">
        <v>920</v>
      </c>
      <c r="O238">
        <v>120</v>
      </c>
      <c r="P238">
        <v>10</v>
      </c>
      <c r="Q238">
        <v>10</v>
      </c>
      <c r="R238">
        <v>0</v>
      </c>
      <c r="S238">
        <f t="shared" si="25"/>
        <v>2</v>
      </c>
      <c r="T238">
        <f t="shared" si="26"/>
        <v>16</v>
      </c>
      <c r="U238">
        <f t="shared" si="28"/>
        <v>202007</v>
      </c>
      <c r="V238" t="e">
        <f>VLOOKUP($A238,精英副本客户端!$A$2:$O$406,10,0)</f>
        <v>#N/A</v>
      </c>
      <c r="W238" t="e">
        <f>VLOOKUP($A238,精英副本客户端!$A$2:$O$406,11,0)</f>
        <v>#N/A</v>
      </c>
      <c r="X238" t="e">
        <f>VLOOKUP($A238,精英副本客户端!$A$2:$O$406,12,0)</f>
        <v>#N/A</v>
      </c>
      <c r="Y238" t="str">
        <f t="shared" si="24"/>
        <v>敏捷试炼（20）</v>
      </c>
    </row>
    <row r="239" spans="1:25">
      <c r="A239">
        <f t="shared" si="29"/>
        <v>202009</v>
      </c>
      <c r="B239" t="s">
        <v>1047</v>
      </c>
      <c r="C239">
        <v>0</v>
      </c>
      <c r="D239">
        <v>0</v>
      </c>
      <c r="E239" t="str">
        <f t="shared" si="27"/>
        <v>2020091_1</v>
      </c>
      <c r="F239" t="s">
        <v>213</v>
      </c>
      <c r="G239">
        <v>0</v>
      </c>
      <c r="H239">
        <v>0</v>
      </c>
      <c r="I239">
        <v>0</v>
      </c>
      <c r="J239">
        <v>0</v>
      </c>
      <c r="K239">
        <v>100</v>
      </c>
      <c r="L239" t="s">
        <v>738</v>
      </c>
      <c r="M239" s="6" t="s">
        <v>739</v>
      </c>
      <c r="N239">
        <v>920</v>
      </c>
      <c r="O239">
        <v>120</v>
      </c>
      <c r="P239">
        <v>10</v>
      </c>
      <c r="Q239">
        <v>10</v>
      </c>
      <c r="R239">
        <v>0</v>
      </c>
      <c r="S239">
        <f t="shared" si="25"/>
        <v>2</v>
      </c>
      <c r="T239">
        <f t="shared" si="26"/>
        <v>16</v>
      </c>
      <c r="U239">
        <f t="shared" si="28"/>
        <v>202008</v>
      </c>
      <c r="V239" t="e">
        <f>VLOOKUP($A239,精英副本客户端!$A$2:$O$406,10,0)</f>
        <v>#N/A</v>
      </c>
      <c r="W239" t="e">
        <f>VLOOKUP($A239,精英副本客户端!$A$2:$O$406,11,0)</f>
        <v>#N/A</v>
      </c>
      <c r="X239" t="e">
        <f>VLOOKUP($A239,精英副本客户端!$A$2:$O$406,12,0)</f>
        <v>#N/A</v>
      </c>
      <c r="Y239" t="str">
        <f t="shared" si="24"/>
        <v>敏捷试炼（20）</v>
      </c>
    </row>
    <row r="240" spans="1:25">
      <c r="A240">
        <f t="shared" si="29"/>
        <v>202501</v>
      </c>
      <c r="B240" t="s">
        <v>1039</v>
      </c>
      <c r="C240">
        <v>0</v>
      </c>
      <c r="D240">
        <v>0</v>
      </c>
      <c r="E240" t="str">
        <f t="shared" si="27"/>
        <v>2025011_1</v>
      </c>
      <c r="F240" t="s">
        <v>213</v>
      </c>
      <c r="G240">
        <v>0</v>
      </c>
      <c r="H240">
        <v>0</v>
      </c>
      <c r="I240">
        <v>0</v>
      </c>
      <c r="J240">
        <v>0</v>
      </c>
      <c r="K240">
        <v>100</v>
      </c>
      <c r="L240" t="s">
        <v>738</v>
      </c>
      <c r="M240" s="6" t="s">
        <v>739</v>
      </c>
      <c r="N240">
        <v>920</v>
      </c>
      <c r="O240">
        <v>120</v>
      </c>
      <c r="P240">
        <v>10</v>
      </c>
      <c r="Q240">
        <v>10</v>
      </c>
      <c r="R240">
        <v>0</v>
      </c>
      <c r="S240">
        <f t="shared" si="25"/>
        <v>2</v>
      </c>
      <c r="T240">
        <f t="shared" si="26"/>
        <v>21</v>
      </c>
      <c r="U240">
        <f t="shared" si="28"/>
        <v>202009</v>
      </c>
      <c r="V240" t="e">
        <f>VLOOKUP($A240,精英副本客户端!$A$2:$O$406,10,0)</f>
        <v>#N/A</v>
      </c>
      <c r="W240" t="e">
        <f>VLOOKUP($A240,精英副本客户端!$A$2:$O$406,11,0)</f>
        <v>#N/A</v>
      </c>
      <c r="X240" t="e">
        <f>VLOOKUP($A240,精英副本客户端!$A$2:$O$406,12,0)</f>
        <v>#N/A</v>
      </c>
      <c r="Y240" t="str">
        <f t="shared" si="24"/>
        <v>敏捷试炼（25）</v>
      </c>
    </row>
    <row r="241" spans="1:25">
      <c r="A241">
        <f t="shared" si="29"/>
        <v>202502</v>
      </c>
      <c r="B241" t="s">
        <v>1040</v>
      </c>
      <c r="C241">
        <v>0</v>
      </c>
      <c r="D241">
        <v>0</v>
      </c>
      <c r="E241" t="str">
        <f t="shared" si="27"/>
        <v>2025021_1</v>
      </c>
      <c r="F241" t="s">
        <v>213</v>
      </c>
      <c r="G241">
        <v>0</v>
      </c>
      <c r="H241">
        <v>0</v>
      </c>
      <c r="I241">
        <v>0</v>
      </c>
      <c r="J241">
        <v>0</v>
      </c>
      <c r="K241">
        <v>100</v>
      </c>
      <c r="L241" t="s">
        <v>738</v>
      </c>
      <c r="M241" s="6" t="s">
        <v>739</v>
      </c>
      <c r="N241">
        <v>920</v>
      </c>
      <c r="O241">
        <v>120</v>
      </c>
      <c r="P241">
        <v>10</v>
      </c>
      <c r="Q241">
        <v>10</v>
      </c>
      <c r="R241">
        <v>0</v>
      </c>
      <c r="S241">
        <f t="shared" si="25"/>
        <v>2</v>
      </c>
      <c r="T241">
        <f t="shared" si="26"/>
        <v>21</v>
      </c>
      <c r="U241">
        <f t="shared" si="28"/>
        <v>202501</v>
      </c>
      <c r="V241" t="e">
        <f>VLOOKUP($A241,精英副本客户端!$A$2:$O$406,10,0)</f>
        <v>#N/A</v>
      </c>
      <c r="W241" t="e">
        <f>VLOOKUP($A241,精英副本客户端!$A$2:$O$406,11,0)</f>
        <v>#N/A</v>
      </c>
      <c r="X241" t="e">
        <f>VLOOKUP($A241,精英副本客户端!$A$2:$O$406,12,0)</f>
        <v>#N/A</v>
      </c>
      <c r="Y241" t="str">
        <f t="shared" si="24"/>
        <v>敏捷试炼（25）</v>
      </c>
    </row>
    <row r="242" spans="1:25">
      <c r="A242">
        <f t="shared" si="29"/>
        <v>202503</v>
      </c>
      <c r="B242" t="s">
        <v>1041</v>
      </c>
      <c r="C242">
        <v>0</v>
      </c>
      <c r="D242">
        <v>0</v>
      </c>
      <c r="E242" t="str">
        <f t="shared" si="27"/>
        <v>2025031_1</v>
      </c>
      <c r="F242" t="s">
        <v>213</v>
      </c>
      <c r="G242">
        <v>0</v>
      </c>
      <c r="H242">
        <v>0</v>
      </c>
      <c r="I242">
        <v>0</v>
      </c>
      <c r="J242">
        <v>0</v>
      </c>
      <c r="K242">
        <v>100</v>
      </c>
      <c r="L242" t="s">
        <v>738</v>
      </c>
      <c r="M242" s="6" t="s">
        <v>739</v>
      </c>
      <c r="N242">
        <v>920</v>
      </c>
      <c r="O242">
        <v>120</v>
      </c>
      <c r="P242">
        <v>10</v>
      </c>
      <c r="Q242">
        <v>10</v>
      </c>
      <c r="R242">
        <v>0</v>
      </c>
      <c r="S242">
        <f t="shared" si="25"/>
        <v>2</v>
      </c>
      <c r="T242">
        <f t="shared" si="26"/>
        <v>21</v>
      </c>
      <c r="U242">
        <f t="shared" si="28"/>
        <v>202502</v>
      </c>
      <c r="V242" t="e">
        <f>VLOOKUP($A242,精英副本客户端!$A$2:$O$406,10,0)</f>
        <v>#N/A</v>
      </c>
      <c r="W242" t="e">
        <f>VLOOKUP($A242,精英副本客户端!$A$2:$O$406,11,0)</f>
        <v>#N/A</v>
      </c>
      <c r="X242" t="e">
        <f>VLOOKUP($A242,精英副本客户端!$A$2:$O$406,12,0)</f>
        <v>#N/A</v>
      </c>
      <c r="Y242" t="str">
        <f t="shared" si="24"/>
        <v>敏捷试炼（25）</v>
      </c>
    </row>
    <row r="243" spans="1:25">
      <c r="A243">
        <f t="shared" si="29"/>
        <v>202504</v>
      </c>
      <c r="B243" t="s">
        <v>1042</v>
      </c>
      <c r="C243">
        <v>0</v>
      </c>
      <c r="D243">
        <v>0</v>
      </c>
      <c r="E243" t="str">
        <f t="shared" si="27"/>
        <v>2025041_1</v>
      </c>
      <c r="F243" t="s">
        <v>213</v>
      </c>
      <c r="G243">
        <v>0</v>
      </c>
      <c r="H243">
        <v>0</v>
      </c>
      <c r="I243">
        <v>0</v>
      </c>
      <c r="J243">
        <v>0</v>
      </c>
      <c r="K243">
        <v>100</v>
      </c>
      <c r="L243" t="s">
        <v>738</v>
      </c>
      <c r="M243" s="6" t="s">
        <v>739</v>
      </c>
      <c r="N243">
        <v>920</v>
      </c>
      <c r="O243">
        <v>120</v>
      </c>
      <c r="P243">
        <v>10</v>
      </c>
      <c r="Q243">
        <v>10</v>
      </c>
      <c r="R243">
        <v>0</v>
      </c>
      <c r="S243">
        <f t="shared" si="25"/>
        <v>2</v>
      </c>
      <c r="T243">
        <f t="shared" si="26"/>
        <v>21</v>
      </c>
      <c r="U243">
        <f t="shared" si="28"/>
        <v>202503</v>
      </c>
      <c r="V243" t="e">
        <f>VLOOKUP($A243,精英副本客户端!$A$2:$O$406,10,0)</f>
        <v>#N/A</v>
      </c>
      <c r="W243" t="e">
        <f>VLOOKUP($A243,精英副本客户端!$A$2:$O$406,11,0)</f>
        <v>#N/A</v>
      </c>
      <c r="X243" t="e">
        <f>VLOOKUP($A243,精英副本客户端!$A$2:$O$406,12,0)</f>
        <v>#N/A</v>
      </c>
      <c r="Y243" t="str">
        <f t="shared" si="24"/>
        <v>敏捷试炼（25）</v>
      </c>
    </row>
    <row r="244" spans="1:25">
      <c r="A244">
        <f t="shared" si="29"/>
        <v>202505</v>
      </c>
      <c r="B244" t="s">
        <v>1043</v>
      </c>
      <c r="C244">
        <v>0</v>
      </c>
      <c r="D244">
        <v>0</v>
      </c>
      <c r="E244" t="str">
        <f t="shared" si="27"/>
        <v>2025051_1</v>
      </c>
      <c r="F244" t="s">
        <v>213</v>
      </c>
      <c r="G244">
        <v>0</v>
      </c>
      <c r="H244">
        <v>0</v>
      </c>
      <c r="I244">
        <v>0</v>
      </c>
      <c r="J244">
        <v>0</v>
      </c>
      <c r="K244">
        <v>100</v>
      </c>
      <c r="L244" t="s">
        <v>738</v>
      </c>
      <c r="M244" s="6" t="s">
        <v>739</v>
      </c>
      <c r="N244">
        <v>920</v>
      </c>
      <c r="O244">
        <v>120</v>
      </c>
      <c r="P244">
        <v>10</v>
      </c>
      <c r="Q244">
        <v>10</v>
      </c>
      <c r="R244">
        <v>0</v>
      </c>
      <c r="S244">
        <f t="shared" si="25"/>
        <v>2</v>
      </c>
      <c r="T244">
        <f t="shared" si="26"/>
        <v>21</v>
      </c>
      <c r="U244">
        <f t="shared" si="28"/>
        <v>202504</v>
      </c>
      <c r="V244" t="e">
        <f>VLOOKUP($A244,精英副本客户端!$A$2:$O$406,10,0)</f>
        <v>#N/A</v>
      </c>
      <c r="W244" t="e">
        <f>VLOOKUP($A244,精英副本客户端!$A$2:$O$406,11,0)</f>
        <v>#N/A</v>
      </c>
      <c r="X244" t="e">
        <f>VLOOKUP($A244,精英副本客户端!$A$2:$O$406,12,0)</f>
        <v>#N/A</v>
      </c>
      <c r="Y244" t="str">
        <f t="shared" si="24"/>
        <v>敏捷试炼（25）</v>
      </c>
    </row>
    <row r="245" spans="1:25">
      <c r="A245">
        <f t="shared" si="29"/>
        <v>202506</v>
      </c>
      <c r="B245" t="s">
        <v>1044</v>
      </c>
      <c r="C245">
        <v>0</v>
      </c>
      <c r="D245">
        <v>0</v>
      </c>
      <c r="E245" t="str">
        <f t="shared" si="27"/>
        <v>2025061_1</v>
      </c>
      <c r="F245" t="s">
        <v>213</v>
      </c>
      <c r="G245">
        <v>0</v>
      </c>
      <c r="H245">
        <v>0</v>
      </c>
      <c r="I245">
        <v>0</v>
      </c>
      <c r="J245">
        <v>0</v>
      </c>
      <c r="K245">
        <v>100</v>
      </c>
      <c r="L245" t="s">
        <v>738</v>
      </c>
      <c r="M245" s="6" t="s">
        <v>739</v>
      </c>
      <c r="N245">
        <v>920</v>
      </c>
      <c r="O245">
        <v>120</v>
      </c>
      <c r="P245">
        <v>10</v>
      </c>
      <c r="Q245">
        <v>10</v>
      </c>
      <c r="R245">
        <v>0</v>
      </c>
      <c r="S245">
        <f t="shared" si="25"/>
        <v>2</v>
      </c>
      <c r="T245">
        <f t="shared" si="26"/>
        <v>21</v>
      </c>
      <c r="U245">
        <f t="shared" si="28"/>
        <v>202505</v>
      </c>
      <c r="V245" t="e">
        <f>VLOOKUP($A245,精英副本客户端!$A$2:$O$406,10,0)</f>
        <v>#N/A</v>
      </c>
      <c r="W245" t="e">
        <f>VLOOKUP($A245,精英副本客户端!$A$2:$O$406,11,0)</f>
        <v>#N/A</v>
      </c>
      <c r="X245" t="e">
        <f>VLOOKUP($A245,精英副本客户端!$A$2:$O$406,12,0)</f>
        <v>#N/A</v>
      </c>
      <c r="Y245" t="str">
        <f t="shared" si="24"/>
        <v>敏捷试炼（25）</v>
      </c>
    </row>
    <row r="246" spans="1:25">
      <c r="A246">
        <f t="shared" si="29"/>
        <v>202507</v>
      </c>
      <c r="B246" t="s">
        <v>1045</v>
      </c>
      <c r="C246">
        <v>0</v>
      </c>
      <c r="D246">
        <v>0</v>
      </c>
      <c r="E246" t="str">
        <f t="shared" si="27"/>
        <v>2025071_1</v>
      </c>
      <c r="F246" t="s">
        <v>213</v>
      </c>
      <c r="G246">
        <v>0</v>
      </c>
      <c r="H246">
        <v>0</v>
      </c>
      <c r="I246">
        <v>0</v>
      </c>
      <c r="J246">
        <v>0</v>
      </c>
      <c r="K246">
        <v>100</v>
      </c>
      <c r="L246" t="s">
        <v>738</v>
      </c>
      <c r="M246" s="6" t="s">
        <v>739</v>
      </c>
      <c r="N246">
        <v>920</v>
      </c>
      <c r="O246">
        <v>120</v>
      </c>
      <c r="P246">
        <v>10</v>
      </c>
      <c r="Q246">
        <v>10</v>
      </c>
      <c r="R246">
        <v>0</v>
      </c>
      <c r="S246">
        <f t="shared" si="25"/>
        <v>2</v>
      </c>
      <c r="T246">
        <f t="shared" si="26"/>
        <v>21</v>
      </c>
      <c r="U246">
        <f t="shared" si="28"/>
        <v>202506</v>
      </c>
      <c r="V246" t="e">
        <f>VLOOKUP($A246,精英副本客户端!$A$2:$O$406,10,0)</f>
        <v>#N/A</v>
      </c>
      <c r="W246" t="e">
        <f>VLOOKUP($A246,精英副本客户端!$A$2:$O$406,11,0)</f>
        <v>#N/A</v>
      </c>
      <c r="X246" t="e">
        <f>VLOOKUP($A246,精英副本客户端!$A$2:$O$406,12,0)</f>
        <v>#N/A</v>
      </c>
      <c r="Y246" t="str">
        <f t="shared" si="24"/>
        <v>敏捷试炼（25）</v>
      </c>
    </row>
    <row r="247" spans="1:25">
      <c r="A247">
        <f t="shared" si="29"/>
        <v>202508</v>
      </c>
      <c r="B247" t="s">
        <v>1046</v>
      </c>
      <c r="C247">
        <v>0</v>
      </c>
      <c r="D247">
        <v>0</v>
      </c>
      <c r="E247" t="str">
        <f t="shared" si="27"/>
        <v>2025081_1</v>
      </c>
      <c r="F247" t="s">
        <v>213</v>
      </c>
      <c r="G247">
        <v>0</v>
      </c>
      <c r="H247">
        <v>0</v>
      </c>
      <c r="I247">
        <v>0</v>
      </c>
      <c r="J247">
        <v>0</v>
      </c>
      <c r="K247">
        <v>100</v>
      </c>
      <c r="L247" t="s">
        <v>738</v>
      </c>
      <c r="M247" s="6" t="s">
        <v>739</v>
      </c>
      <c r="N247">
        <v>920</v>
      </c>
      <c r="O247">
        <v>120</v>
      </c>
      <c r="P247">
        <v>10</v>
      </c>
      <c r="Q247">
        <v>10</v>
      </c>
      <c r="R247">
        <v>0</v>
      </c>
      <c r="S247">
        <f t="shared" si="25"/>
        <v>2</v>
      </c>
      <c r="T247">
        <f t="shared" si="26"/>
        <v>21</v>
      </c>
      <c r="U247">
        <f t="shared" si="28"/>
        <v>202507</v>
      </c>
      <c r="V247" t="e">
        <f>VLOOKUP($A247,精英副本客户端!$A$2:$O$406,10,0)</f>
        <v>#N/A</v>
      </c>
      <c r="W247" t="e">
        <f>VLOOKUP($A247,精英副本客户端!$A$2:$O$406,11,0)</f>
        <v>#N/A</v>
      </c>
      <c r="X247" t="e">
        <f>VLOOKUP($A247,精英副本客户端!$A$2:$O$406,12,0)</f>
        <v>#N/A</v>
      </c>
      <c r="Y247" t="str">
        <f t="shared" si="24"/>
        <v>敏捷试炼（25）</v>
      </c>
    </row>
    <row r="248" spans="1:25">
      <c r="A248">
        <f t="shared" si="29"/>
        <v>202509</v>
      </c>
      <c r="B248" t="s">
        <v>1047</v>
      </c>
      <c r="C248">
        <v>0</v>
      </c>
      <c r="D248">
        <v>0</v>
      </c>
      <c r="E248" t="str">
        <f t="shared" si="27"/>
        <v>2025091_1</v>
      </c>
      <c r="F248" t="s">
        <v>213</v>
      </c>
      <c r="G248">
        <v>0</v>
      </c>
      <c r="H248">
        <v>0</v>
      </c>
      <c r="I248">
        <v>0</v>
      </c>
      <c r="J248">
        <v>0</v>
      </c>
      <c r="K248">
        <v>100</v>
      </c>
      <c r="L248" t="s">
        <v>738</v>
      </c>
      <c r="M248" s="6" t="s">
        <v>739</v>
      </c>
      <c r="N248">
        <v>920</v>
      </c>
      <c r="O248">
        <v>120</v>
      </c>
      <c r="P248">
        <v>10</v>
      </c>
      <c r="Q248">
        <v>10</v>
      </c>
      <c r="R248">
        <v>0</v>
      </c>
      <c r="S248">
        <f t="shared" si="25"/>
        <v>2</v>
      </c>
      <c r="T248">
        <f t="shared" si="26"/>
        <v>21</v>
      </c>
      <c r="U248">
        <f t="shared" si="28"/>
        <v>202508</v>
      </c>
      <c r="V248" t="e">
        <f>VLOOKUP($A248,精英副本客户端!$A$2:$O$406,10,0)</f>
        <v>#N/A</v>
      </c>
      <c r="W248" t="e">
        <f>VLOOKUP($A248,精英副本客户端!$A$2:$O$406,11,0)</f>
        <v>#N/A</v>
      </c>
      <c r="X248" t="e">
        <f>VLOOKUP($A248,精英副本客户端!$A$2:$O$406,12,0)</f>
        <v>#N/A</v>
      </c>
      <c r="Y248" t="str">
        <f t="shared" si="24"/>
        <v>敏捷试炼（25）</v>
      </c>
    </row>
    <row r="249" spans="1:25">
      <c r="A249">
        <f t="shared" ref="A249:A259" si="30">A60+100000</f>
        <v>203001</v>
      </c>
      <c r="B249" t="s">
        <v>1064</v>
      </c>
      <c r="C249">
        <v>0</v>
      </c>
      <c r="D249">
        <v>0</v>
      </c>
      <c r="E249" t="str">
        <f t="shared" si="27"/>
        <v>2030011_1</v>
      </c>
      <c r="F249" t="s">
        <v>213</v>
      </c>
      <c r="G249">
        <v>0</v>
      </c>
      <c r="H249">
        <v>0</v>
      </c>
      <c r="I249">
        <v>0</v>
      </c>
      <c r="J249">
        <v>0</v>
      </c>
      <c r="K249">
        <v>100</v>
      </c>
      <c r="L249" t="s">
        <v>738</v>
      </c>
      <c r="M249" s="6" t="s">
        <v>739</v>
      </c>
      <c r="N249">
        <v>920</v>
      </c>
      <c r="O249">
        <v>120</v>
      </c>
      <c r="P249">
        <v>10</v>
      </c>
      <c r="Q249">
        <v>10</v>
      </c>
      <c r="R249">
        <v>0</v>
      </c>
      <c r="S249">
        <f t="shared" si="25"/>
        <v>2</v>
      </c>
      <c r="T249">
        <f>MID(A249,2,3)*1</f>
        <v>30</v>
      </c>
      <c r="U249">
        <f t="shared" si="28"/>
        <v>202509</v>
      </c>
      <c r="V249">
        <f>VLOOKUP($A249,精英副本客户端!$A$2:$O$406,10,0)</f>
        <v>30</v>
      </c>
      <c r="W249">
        <f>VLOOKUP($A249,精英副本客户端!$A$2:$O$406,11,0)</f>
        <v>0</v>
      </c>
      <c r="X249">
        <f>VLOOKUP($A249,精英副本客户端!$A$2:$O$406,12,0)</f>
        <v>1</v>
      </c>
      <c r="Y249" t="str">
        <f t="shared" si="24"/>
        <v>敏捷试炼（30）</v>
      </c>
    </row>
    <row r="250" spans="1:25">
      <c r="A250">
        <f t="shared" si="30"/>
        <v>203002</v>
      </c>
      <c r="B250" t="s">
        <v>1040</v>
      </c>
      <c r="C250">
        <v>0</v>
      </c>
      <c r="D250">
        <v>0</v>
      </c>
      <c r="E250" t="str">
        <f t="shared" si="27"/>
        <v>2030021_1</v>
      </c>
      <c r="F250" t="s">
        <v>213</v>
      </c>
      <c r="G250">
        <v>0</v>
      </c>
      <c r="H250">
        <v>0</v>
      </c>
      <c r="I250">
        <v>0</v>
      </c>
      <c r="J250">
        <v>0</v>
      </c>
      <c r="K250">
        <v>100</v>
      </c>
      <c r="L250" t="s">
        <v>738</v>
      </c>
      <c r="M250" s="6" t="s">
        <v>739</v>
      </c>
      <c r="N250">
        <v>920</v>
      </c>
      <c r="O250">
        <v>120</v>
      </c>
      <c r="P250">
        <v>10</v>
      </c>
      <c r="Q250">
        <v>10</v>
      </c>
      <c r="R250">
        <v>0</v>
      </c>
      <c r="S250">
        <f t="shared" si="25"/>
        <v>2</v>
      </c>
      <c r="T250">
        <f t="shared" ref="T250:T257" si="31">MID(A250,2,3)*1</f>
        <v>30</v>
      </c>
      <c r="U250">
        <f t="shared" si="28"/>
        <v>203001</v>
      </c>
      <c r="V250">
        <f>VLOOKUP($A250,精英副本客户端!$A$2:$O$406,10,0)</f>
        <v>30</v>
      </c>
      <c r="W250">
        <f>VLOOKUP($A250,精英副本客户端!$A$2:$O$406,11,0)</f>
        <v>0</v>
      </c>
      <c r="X250">
        <f>VLOOKUP($A250,精英副本客户端!$A$2:$O$406,12,0)</f>
        <v>1</v>
      </c>
      <c r="Y250" t="str">
        <f t="shared" si="24"/>
        <v>敏捷试炼（30）</v>
      </c>
    </row>
    <row r="251" spans="1:25">
      <c r="A251">
        <f t="shared" si="30"/>
        <v>203003</v>
      </c>
      <c r="B251" t="s">
        <v>1041</v>
      </c>
      <c r="C251">
        <v>0</v>
      </c>
      <c r="D251">
        <v>0</v>
      </c>
      <c r="E251" t="str">
        <f t="shared" si="27"/>
        <v>2030031_1</v>
      </c>
      <c r="F251" t="s">
        <v>213</v>
      </c>
      <c r="G251">
        <v>0</v>
      </c>
      <c r="H251">
        <v>0</v>
      </c>
      <c r="I251">
        <v>0</v>
      </c>
      <c r="J251">
        <v>0</v>
      </c>
      <c r="K251">
        <v>100</v>
      </c>
      <c r="L251" t="s">
        <v>738</v>
      </c>
      <c r="M251" s="6" t="s">
        <v>739</v>
      </c>
      <c r="N251">
        <v>920</v>
      </c>
      <c r="O251">
        <v>120</v>
      </c>
      <c r="P251">
        <v>10</v>
      </c>
      <c r="Q251">
        <v>10</v>
      </c>
      <c r="R251">
        <v>0</v>
      </c>
      <c r="S251">
        <f t="shared" si="25"/>
        <v>2</v>
      </c>
      <c r="T251">
        <f t="shared" si="31"/>
        <v>30</v>
      </c>
      <c r="U251">
        <f t="shared" si="28"/>
        <v>203002</v>
      </c>
      <c r="V251">
        <f>VLOOKUP($A251,精英副本客户端!$A$2:$O$406,10,0)</f>
        <v>31</v>
      </c>
      <c r="W251">
        <f>VLOOKUP($A251,精英副本客户端!$A$2:$O$406,11,0)</f>
        <v>1</v>
      </c>
      <c r="X251">
        <f>VLOOKUP($A251,精英副本客户端!$A$2:$O$406,12,0)</f>
        <v>5</v>
      </c>
      <c r="Y251" t="str">
        <f t="shared" si="24"/>
        <v>敏捷试炼（30）</v>
      </c>
    </row>
    <row r="252" spans="1:25">
      <c r="A252">
        <f t="shared" si="30"/>
        <v>203004</v>
      </c>
      <c r="B252" t="s">
        <v>1042</v>
      </c>
      <c r="C252">
        <v>0</v>
      </c>
      <c r="D252">
        <v>0</v>
      </c>
      <c r="E252" t="str">
        <f t="shared" si="27"/>
        <v>2030041_1</v>
      </c>
      <c r="F252" t="s">
        <v>213</v>
      </c>
      <c r="G252">
        <v>0</v>
      </c>
      <c r="H252">
        <v>0</v>
      </c>
      <c r="I252">
        <v>0</v>
      </c>
      <c r="J252">
        <v>0</v>
      </c>
      <c r="K252">
        <v>100</v>
      </c>
      <c r="L252" t="s">
        <v>738</v>
      </c>
      <c r="M252" s="6" t="s">
        <v>739</v>
      </c>
      <c r="N252">
        <v>920</v>
      </c>
      <c r="O252">
        <v>120</v>
      </c>
      <c r="P252">
        <v>10</v>
      </c>
      <c r="Q252">
        <v>10</v>
      </c>
      <c r="R252">
        <v>0</v>
      </c>
      <c r="S252">
        <f t="shared" si="25"/>
        <v>2</v>
      </c>
      <c r="T252">
        <f t="shared" si="31"/>
        <v>30</v>
      </c>
      <c r="U252">
        <f t="shared" si="28"/>
        <v>203003</v>
      </c>
      <c r="V252">
        <f>VLOOKUP($A252,精英副本客户端!$A$2:$O$406,10,0)</f>
        <v>31</v>
      </c>
      <c r="W252">
        <f>VLOOKUP($A252,精英副本客户端!$A$2:$O$406,11,0)</f>
        <v>0</v>
      </c>
      <c r="X252">
        <f>VLOOKUP($A252,精英副本客户端!$A$2:$O$406,12,0)</f>
        <v>1</v>
      </c>
      <c r="Y252" t="str">
        <f t="shared" si="24"/>
        <v>敏捷试炼（30）</v>
      </c>
    </row>
    <row r="253" spans="1:25">
      <c r="A253">
        <f t="shared" si="30"/>
        <v>203005</v>
      </c>
      <c r="B253" t="s">
        <v>1043</v>
      </c>
      <c r="C253">
        <v>0</v>
      </c>
      <c r="D253">
        <v>0</v>
      </c>
      <c r="E253" t="str">
        <f t="shared" si="27"/>
        <v>2030051_1</v>
      </c>
      <c r="F253" t="s">
        <v>213</v>
      </c>
      <c r="G253">
        <v>0</v>
      </c>
      <c r="H253">
        <v>0</v>
      </c>
      <c r="I253">
        <v>0</v>
      </c>
      <c r="J253">
        <v>0</v>
      </c>
      <c r="K253">
        <v>100</v>
      </c>
      <c r="L253" t="s">
        <v>738</v>
      </c>
      <c r="M253" s="6" t="s">
        <v>739</v>
      </c>
      <c r="N253">
        <v>920</v>
      </c>
      <c r="O253">
        <v>120</v>
      </c>
      <c r="P253">
        <v>10</v>
      </c>
      <c r="Q253">
        <v>10</v>
      </c>
      <c r="R253">
        <v>0</v>
      </c>
      <c r="S253">
        <f t="shared" si="25"/>
        <v>2</v>
      </c>
      <c r="T253">
        <f t="shared" si="31"/>
        <v>30</v>
      </c>
      <c r="U253">
        <f t="shared" si="28"/>
        <v>203004</v>
      </c>
      <c r="V253">
        <f>VLOOKUP($A253,精英副本客户端!$A$2:$O$406,10,0)</f>
        <v>31</v>
      </c>
      <c r="W253">
        <f>VLOOKUP($A253,精英副本客户端!$A$2:$O$406,11,0)</f>
        <v>0</v>
      </c>
      <c r="X253">
        <f>VLOOKUP($A253,精英副本客户端!$A$2:$O$406,12,0)</f>
        <v>1</v>
      </c>
      <c r="Y253" t="str">
        <f t="shared" si="24"/>
        <v>敏捷试炼（30）</v>
      </c>
    </row>
    <row r="254" spans="1:25">
      <c r="A254">
        <f t="shared" si="30"/>
        <v>203006</v>
      </c>
      <c r="B254" t="s">
        <v>1044</v>
      </c>
      <c r="C254">
        <v>0</v>
      </c>
      <c r="D254">
        <v>0</v>
      </c>
      <c r="E254" t="str">
        <f t="shared" si="27"/>
        <v>2030061_1</v>
      </c>
      <c r="F254" t="s">
        <v>213</v>
      </c>
      <c r="G254">
        <v>0</v>
      </c>
      <c r="H254">
        <v>0</v>
      </c>
      <c r="I254">
        <v>0</v>
      </c>
      <c r="J254">
        <v>0</v>
      </c>
      <c r="K254">
        <v>100</v>
      </c>
      <c r="L254" t="s">
        <v>738</v>
      </c>
      <c r="M254" s="6" t="s">
        <v>739</v>
      </c>
      <c r="N254">
        <v>920</v>
      </c>
      <c r="O254">
        <v>120</v>
      </c>
      <c r="P254">
        <v>10</v>
      </c>
      <c r="Q254">
        <v>10</v>
      </c>
      <c r="R254">
        <v>0</v>
      </c>
      <c r="S254">
        <f t="shared" si="25"/>
        <v>2</v>
      </c>
      <c r="T254">
        <f t="shared" si="31"/>
        <v>30</v>
      </c>
      <c r="U254">
        <f t="shared" si="28"/>
        <v>203005</v>
      </c>
      <c r="V254">
        <f>VLOOKUP($A254,精英副本客户端!$A$2:$O$406,10,0)</f>
        <v>32</v>
      </c>
      <c r="W254">
        <f>VLOOKUP($A254,精英副本客户端!$A$2:$O$406,11,0)</f>
        <v>1</v>
      </c>
      <c r="X254">
        <f>VLOOKUP($A254,精英副本客户端!$A$2:$O$406,12,0)</f>
        <v>5</v>
      </c>
      <c r="Y254" t="str">
        <f t="shared" si="24"/>
        <v>敏捷试炼（30）</v>
      </c>
    </row>
    <row r="255" spans="1:25">
      <c r="A255">
        <f t="shared" si="30"/>
        <v>203007</v>
      </c>
      <c r="B255" t="s">
        <v>1045</v>
      </c>
      <c r="C255">
        <v>0</v>
      </c>
      <c r="D255">
        <v>0</v>
      </c>
      <c r="E255" t="str">
        <f t="shared" si="27"/>
        <v>2030071_1</v>
      </c>
      <c r="F255" t="s">
        <v>213</v>
      </c>
      <c r="G255">
        <v>0</v>
      </c>
      <c r="H255">
        <v>0</v>
      </c>
      <c r="I255">
        <v>0</v>
      </c>
      <c r="J255">
        <v>0</v>
      </c>
      <c r="K255">
        <v>100</v>
      </c>
      <c r="L255" t="s">
        <v>738</v>
      </c>
      <c r="M255" s="6" t="s">
        <v>739</v>
      </c>
      <c r="N255">
        <v>920</v>
      </c>
      <c r="O255">
        <v>120</v>
      </c>
      <c r="P255">
        <v>10</v>
      </c>
      <c r="Q255">
        <v>10</v>
      </c>
      <c r="R255">
        <v>0</v>
      </c>
      <c r="S255">
        <f t="shared" si="25"/>
        <v>2</v>
      </c>
      <c r="T255">
        <f t="shared" si="31"/>
        <v>30</v>
      </c>
      <c r="U255">
        <f t="shared" si="28"/>
        <v>203006</v>
      </c>
      <c r="V255">
        <f>VLOOKUP($A255,精英副本客户端!$A$2:$O$406,10,0)</f>
        <v>32</v>
      </c>
      <c r="W255">
        <f>VLOOKUP($A255,精英副本客户端!$A$2:$O$406,11,0)</f>
        <v>0</v>
      </c>
      <c r="X255">
        <f>VLOOKUP($A255,精英副本客户端!$A$2:$O$406,12,0)</f>
        <v>1</v>
      </c>
      <c r="Y255" t="str">
        <f t="shared" si="24"/>
        <v>敏捷试炼（30）</v>
      </c>
    </row>
    <row r="256" spans="1:25">
      <c r="A256">
        <f t="shared" si="30"/>
        <v>203008</v>
      </c>
      <c r="B256" t="s">
        <v>1046</v>
      </c>
      <c r="C256">
        <v>0</v>
      </c>
      <c r="D256">
        <v>0</v>
      </c>
      <c r="E256" t="str">
        <f t="shared" si="27"/>
        <v>2030081_1</v>
      </c>
      <c r="F256" t="s">
        <v>213</v>
      </c>
      <c r="G256">
        <v>0</v>
      </c>
      <c r="H256">
        <v>0</v>
      </c>
      <c r="I256">
        <v>0</v>
      </c>
      <c r="J256">
        <v>0</v>
      </c>
      <c r="K256">
        <v>100</v>
      </c>
      <c r="L256" t="s">
        <v>738</v>
      </c>
      <c r="M256" s="6" t="s">
        <v>739</v>
      </c>
      <c r="N256">
        <v>920</v>
      </c>
      <c r="O256">
        <v>120</v>
      </c>
      <c r="P256">
        <v>10</v>
      </c>
      <c r="Q256">
        <v>10</v>
      </c>
      <c r="R256">
        <v>0</v>
      </c>
      <c r="S256">
        <f t="shared" si="25"/>
        <v>2</v>
      </c>
      <c r="T256">
        <f t="shared" si="31"/>
        <v>30</v>
      </c>
      <c r="U256">
        <f t="shared" si="28"/>
        <v>203007</v>
      </c>
      <c r="V256">
        <f>VLOOKUP($A256,精英副本客户端!$A$2:$O$406,10,0)</f>
        <v>33</v>
      </c>
      <c r="W256">
        <f>VLOOKUP($A256,精英副本客户端!$A$2:$O$406,11,0)</f>
        <v>0</v>
      </c>
      <c r="X256">
        <f>VLOOKUP($A256,精英副本客户端!$A$2:$O$406,12,0)</f>
        <v>1</v>
      </c>
      <c r="Y256" t="str">
        <f t="shared" si="24"/>
        <v>敏捷试炼（30）</v>
      </c>
    </row>
    <row r="257" spans="1:25">
      <c r="A257">
        <f t="shared" si="30"/>
        <v>203009</v>
      </c>
      <c r="B257" t="s">
        <v>1047</v>
      </c>
      <c r="C257">
        <v>0</v>
      </c>
      <c r="D257">
        <v>0</v>
      </c>
      <c r="E257" t="str">
        <f t="shared" si="27"/>
        <v>2030091_1</v>
      </c>
      <c r="F257" t="s">
        <v>213</v>
      </c>
      <c r="G257">
        <v>0</v>
      </c>
      <c r="H257">
        <v>0</v>
      </c>
      <c r="I257">
        <v>0</v>
      </c>
      <c r="J257">
        <v>0</v>
      </c>
      <c r="K257">
        <v>100</v>
      </c>
      <c r="L257" t="s">
        <v>738</v>
      </c>
      <c r="M257" s="6" t="s">
        <v>739</v>
      </c>
      <c r="N257">
        <v>920</v>
      </c>
      <c r="O257">
        <v>120</v>
      </c>
      <c r="P257">
        <v>10</v>
      </c>
      <c r="Q257">
        <v>10</v>
      </c>
      <c r="R257">
        <v>0</v>
      </c>
      <c r="S257">
        <f t="shared" si="25"/>
        <v>2</v>
      </c>
      <c r="T257">
        <f t="shared" si="31"/>
        <v>30</v>
      </c>
      <c r="U257">
        <f t="shared" si="28"/>
        <v>203008</v>
      </c>
      <c r="V257">
        <f>VLOOKUP($A257,精英副本客户端!$A$2:$O$406,10,0)</f>
        <v>34</v>
      </c>
      <c r="W257">
        <f>VLOOKUP($A257,精英副本客户端!$A$2:$O$406,11,0)</f>
        <v>1</v>
      </c>
      <c r="X257">
        <f>VLOOKUP($A257,精英副本客户端!$A$2:$O$406,12,0)</f>
        <v>5</v>
      </c>
      <c r="Y257" t="str">
        <f t="shared" si="24"/>
        <v>敏捷试炼（30）</v>
      </c>
    </row>
    <row r="258" spans="1:25">
      <c r="A258">
        <f t="shared" si="30"/>
        <v>203501</v>
      </c>
      <c r="B258" t="s">
        <v>1064</v>
      </c>
      <c r="C258">
        <v>0</v>
      </c>
      <c r="D258">
        <v>0</v>
      </c>
      <c r="E258" t="str">
        <f t="shared" si="27"/>
        <v>2035011_1</v>
      </c>
      <c r="F258" t="s">
        <v>213</v>
      </c>
      <c r="G258">
        <v>0</v>
      </c>
      <c r="H258">
        <v>0</v>
      </c>
      <c r="I258">
        <v>0</v>
      </c>
      <c r="J258">
        <v>0</v>
      </c>
      <c r="K258">
        <v>100</v>
      </c>
      <c r="L258" t="s">
        <v>738</v>
      </c>
      <c r="M258" s="6" t="s">
        <v>739</v>
      </c>
      <c r="N258">
        <v>920</v>
      </c>
      <c r="O258">
        <v>120</v>
      </c>
      <c r="P258">
        <v>10</v>
      </c>
      <c r="Q258">
        <v>10</v>
      </c>
      <c r="R258">
        <v>0</v>
      </c>
      <c r="S258">
        <f t="shared" si="25"/>
        <v>2</v>
      </c>
      <c r="T258">
        <f t="shared" si="26"/>
        <v>31</v>
      </c>
      <c r="U258">
        <f t="shared" si="28"/>
        <v>203009</v>
      </c>
      <c r="V258">
        <f>VLOOKUP($A258,精英副本客户端!$A$2:$O$406,10,0)</f>
        <v>35</v>
      </c>
      <c r="W258">
        <f>VLOOKUP($A258,精英副本客户端!$A$2:$O$406,11,0)</f>
        <v>0</v>
      </c>
      <c r="X258">
        <f>VLOOKUP($A258,精英副本客户端!$A$2:$O$406,12,0)</f>
        <v>1</v>
      </c>
      <c r="Y258" t="str">
        <f t="shared" si="24"/>
        <v>敏捷试炼（35）</v>
      </c>
    </row>
    <row r="259" spans="1:25">
      <c r="A259">
        <f t="shared" si="30"/>
        <v>203502</v>
      </c>
      <c r="B259" t="s">
        <v>1040</v>
      </c>
      <c r="C259">
        <v>0</v>
      </c>
      <c r="D259">
        <v>0</v>
      </c>
      <c r="E259" t="str">
        <f t="shared" si="27"/>
        <v>2035021_1</v>
      </c>
      <c r="F259" t="s">
        <v>213</v>
      </c>
      <c r="G259">
        <v>0</v>
      </c>
      <c r="H259">
        <v>0</v>
      </c>
      <c r="I259">
        <v>0</v>
      </c>
      <c r="J259">
        <v>0</v>
      </c>
      <c r="K259">
        <v>100</v>
      </c>
      <c r="L259" t="s">
        <v>738</v>
      </c>
      <c r="M259" s="6" t="s">
        <v>739</v>
      </c>
      <c r="N259">
        <v>920</v>
      </c>
      <c r="O259">
        <v>120</v>
      </c>
      <c r="P259">
        <v>10</v>
      </c>
      <c r="Q259">
        <v>10</v>
      </c>
      <c r="R259">
        <v>0</v>
      </c>
      <c r="S259">
        <f t="shared" si="25"/>
        <v>2</v>
      </c>
      <c r="T259">
        <f t="shared" si="26"/>
        <v>31</v>
      </c>
      <c r="U259">
        <f t="shared" si="28"/>
        <v>203501</v>
      </c>
      <c r="V259">
        <f>VLOOKUP($A259,精英副本客户端!$A$2:$O$406,10,0)</f>
        <v>35</v>
      </c>
      <c r="W259">
        <f>VLOOKUP($A259,精英副本客户端!$A$2:$O$406,11,0)</f>
        <v>0</v>
      </c>
      <c r="X259">
        <f>VLOOKUP($A259,精英副本客户端!$A$2:$O$406,12,0)</f>
        <v>1</v>
      </c>
      <c r="Y259" t="str">
        <f t="shared" si="24"/>
        <v>敏捷试炼（35）</v>
      </c>
    </row>
    <row r="260" spans="1:25">
      <c r="A260">
        <f t="shared" ref="A260:A323" si="32">A71+100000</f>
        <v>203503</v>
      </c>
      <c r="B260" t="s">
        <v>1041</v>
      </c>
      <c r="C260">
        <v>0</v>
      </c>
      <c r="D260">
        <v>0</v>
      </c>
      <c r="E260" t="str">
        <f t="shared" si="27"/>
        <v>2035031_1</v>
      </c>
      <c r="F260" t="s">
        <v>213</v>
      </c>
      <c r="G260">
        <v>0</v>
      </c>
      <c r="H260">
        <v>0</v>
      </c>
      <c r="I260">
        <v>0</v>
      </c>
      <c r="J260">
        <v>0</v>
      </c>
      <c r="K260">
        <v>100</v>
      </c>
      <c r="L260" t="s">
        <v>738</v>
      </c>
      <c r="M260" s="6" t="s">
        <v>739</v>
      </c>
      <c r="N260">
        <v>920</v>
      </c>
      <c r="O260">
        <v>120</v>
      </c>
      <c r="P260">
        <v>10</v>
      </c>
      <c r="Q260">
        <v>10</v>
      </c>
      <c r="R260">
        <v>0</v>
      </c>
      <c r="S260">
        <f t="shared" si="25"/>
        <v>2</v>
      </c>
      <c r="T260">
        <f t="shared" si="26"/>
        <v>31</v>
      </c>
      <c r="U260">
        <f t="shared" si="28"/>
        <v>203502</v>
      </c>
      <c r="V260">
        <f>VLOOKUP($A260,精英副本客户端!$A$2:$O$406,10,0)</f>
        <v>36</v>
      </c>
      <c r="W260">
        <f>VLOOKUP($A260,精英副本客户端!$A$2:$O$406,11,0)</f>
        <v>1</v>
      </c>
      <c r="X260">
        <f>VLOOKUP($A260,精英副本客户端!$A$2:$O$406,12,0)</f>
        <v>5</v>
      </c>
      <c r="Y260" t="str">
        <f t="shared" ref="Y260:Y302" si="33">"敏捷试炼（"&amp;MID(A260,2,3)*1&amp;"）"</f>
        <v>敏捷试炼（35）</v>
      </c>
    </row>
    <row r="261" spans="1:25">
      <c r="A261">
        <f t="shared" si="32"/>
        <v>203504</v>
      </c>
      <c r="B261" t="s">
        <v>1042</v>
      </c>
      <c r="C261">
        <v>0</v>
      </c>
      <c r="D261">
        <v>0</v>
      </c>
      <c r="E261" t="str">
        <f t="shared" si="27"/>
        <v>2035041_1</v>
      </c>
      <c r="F261" t="s">
        <v>213</v>
      </c>
      <c r="G261">
        <v>0</v>
      </c>
      <c r="H261">
        <v>0</v>
      </c>
      <c r="I261">
        <v>0</v>
      </c>
      <c r="J261">
        <v>0</v>
      </c>
      <c r="K261">
        <v>100</v>
      </c>
      <c r="L261" t="s">
        <v>738</v>
      </c>
      <c r="M261" s="6" t="s">
        <v>739</v>
      </c>
      <c r="N261">
        <v>920</v>
      </c>
      <c r="O261">
        <v>120</v>
      </c>
      <c r="P261">
        <v>10</v>
      </c>
      <c r="Q261">
        <v>10</v>
      </c>
      <c r="R261">
        <v>0</v>
      </c>
      <c r="S261">
        <f t="shared" si="25"/>
        <v>2</v>
      </c>
      <c r="T261">
        <f t="shared" si="26"/>
        <v>31</v>
      </c>
      <c r="U261">
        <f t="shared" si="28"/>
        <v>203503</v>
      </c>
      <c r="V261">
        <f>VLOOKUP($A261,精英副本客户端!$A$2:$O$406,10,0)</f>
        <v>36</v>
      </c>
      <c r="W261">
        <f>VLOOKUP($A261,精英副本客户端!$A$2:$O$406,11,0)</f>
        <v>0</v>
      </c>
      <c r="X261">
        <f>VLOOKUP($A261,精英副本客户端!$A$2:$O$406,12,0)</f>
        <v>1</v>
      </c>
      <c r="Y261" t="str">
        <f t="shared" si="33"/>
        <v>敏捷试炼（35）</v>
      </c>
    </row>
    <row r="262" spans="1:25">
      <c r="A262">
        <f t="shared" si="32"/>
        <v>203505</v>
      </c>
      <c r="B262" t="s">
        <v>1043</v>
      </c>
      <c r="C262">
        <v>0</v>
      </c>
      <c r="D262">
        <v>0</v>
      </c>
      <c r="E262" t="str">
        <f t="shared" si="27"/>
        <v>2035051_1</v>
      </c>
      <c r="F262" t="s">
        <v>213</v>
      </c>
      <c r="G262">
        <v>0</v>
      </c>
      <c r="H262">
        <v>0</v>
      </c>
      <c r="I262">
        <v>0</v>
      </c>
      <c r="J262">
        <v>0</v>
      </c>
      <c r="K262">
        <v>100</v>
      </c>
      <c r="L262" t="s">
        <v>738</v>
      </c>
      <c r="M262" s="6" t="s">
        <v>739</v>
      </c>
      <c r="N262">
        <v>920</v>
      </c>
      <c r="O262">
        <v>120</v>
      </c>
      <c r="P262">
        <v>10</v>
      </c>
      <c r="Q262">
        <v>10</v>
      </c>
      <c r="R262">
        <v>0</v>
      </c>
      <c r="S262">
        <f t="shared" ref="S262:S325" si="34">ROUNDDOWN(A262/100000,0)</f>
        <v>2</v>
      </c>
      <c r="T262">
        <f t="shared" ref="T262:T325" si="35">MID(A262,2,3)-4</f>
        <v>31</v>
      </c>
      <c r="U262">
        <f t="shared" si="28"/>
        <v>203504</v>
      </c>
      <c r="V262">
        <f>VLOOKUP($A262,精英副本客户端!$A$2:$O$406,10,0)</f>
        <v>36</v>
      </c>
      <c r="W262">
        <f>VLOOKUP($A262,精英副本客户端!$A$2:$O$406,11,0)</f>
        <v>0</v>
      </c>
      <c r="X262">
        <f>VLOOKUP($A262,精英副本客户端!$A$2:$O$406,12,0)</f>
        <v>1</v>
      </c>
      <c r="Y262" t="str">
        <f t="shared" si="33"/>
        <v>敏捷试炼（35）</v>
      </c>
    </row>
    <row r="263" spans="1:25">
      <c r="A263">
        <f t="shared" si="32"/>
        <v>203506</v>
      </c>
      <c r="B263" t="s">
        <v>1044</v>
      </c>
      <c r="C263">
        <v>0</v>
      </c>
      <c r="D263">
        <v>0</v>
      </c>
      <c r="E263" t="str">
        <f t="shared" ref="E263:E326" si="36">A263&amp;"1"&amp;"_1"</f>
        <v>2035061_1</v>
      </c>
      <c r="F263" t="s">
        <v>213</v>
      </c>
      <c r="G263">
        <v>0</v>
      </c>
      <c r="H263">
        <v>0</v>
      </c>
      <c r="I263">
        <v>0</v>
      </c>
      <c r="J263">
        <v>0</v>
      </c>
      <c r="K263">
        <v>100</v>
      </c>
      <c r="L263" t="s">
        <v>738</v>
      </c>
      <c r="M263" s="6" t="s">
        <v>739</v>
      </c>
      <c r="N263">
        <v>920</v>
      </c>
      <c r="O263">
        <v>120</v>
      </c>
      <c r="P263">
        <v>10</v>
      </c>
      <c r="Q263">
        <v>10</v>
      </c>
      <c r="R263">
        <v>0</v>
      </c>
      <c r="S263">
        <f t="shared" si="34"/>
        <v>2</v>
      </c>
      <c r="T263">
        <f t="shared" si="35"/>
        <v>31</v>
      </c>
      <c r="U263">
        <f t="shared" ref="U263:U326" si="37">A262</f>
        <v>203505</v>
      </c>
      <c r="V263">
        <f>VLOOKUP($A263,精英副本客户端!$A$2:$O$406,10,0)</f>
        <v>37</v>
      </c>
      <c r="W263">
        <f>VLOOKUP($A263,精英副本客户端!$A$2:$O$406,11,0)</f>
        <v>1</v>
      </c>
      <c r="X263">
        <f>VLOOKUP($A263,精英副本客户端!$A$2:$O$406,12,0)</f>
        <v>5</v>
      </c>
      <c r="Y263" t="str">
        <f t="shared" si="33"/>
        <v>敏捷试炼（35）</v>
      </c>
    </row>
    <row r="264" spans="1:25">
      <c r="A264">
        <f t="shared" si="32"/>
        <v>203507</v>
      </c>
      <c r="B264" t="s">
        <v>1045</v>
      </c>
      <c r="C264">
        <v>0</v>
      </c>
      <c r="D264">
        <v>0</v>
      </c>
      <c r="E264" t="str">
        <f t="shared" si="36"/>
        <v>2035071_1</v>
      </c>
      <c r="F264" t="s">
        <v>213</v>
      </c>
      <c r="G264">
        <v>0</v>
      </c>
      <c r="H264">
        <v>0</v>
      </c>
      <c r="I264">
        <v>0</v>
      </c>
      <c r="J264">
        <v>0</v>
      </c>
      <c r="K264">
        <v>100</v>
      </c>
      <c r="L264" t="s">
        <v>738</v>
      </c>
      <c r="M264" s="6" t="s">
        <v>739</v>
      </c>
      <c r="N264">
        <v>920</v>
      </c>
      <c r="O264">
        <v>120</v>
      </c>
      <c r="P264">
        <v>10</v>
      </c>
      <c r="Q264">
        <v>10</v>
      </c>
      <c r="R264">
        <v>0</v>
      </c>
      <c r="S264">
        <f t="shared" si="34"/>
        <v>2</v>
      </c>
      <c r="T264">
        <f t="shared" si="35"/>
        <v>31</v>
      </c>
      <c r="U264">
        <f t="shared" si="37"/>
        <v>203506</v>
      </c>
      <c r="V264">
        <f>VLOOKUP($A264,精英副本客户端!$A$2:$O$406,10,0)</f>
        <v>37</v>
      </c>
      <c r="W264">
        <f>VLOOKUP($A264,精英副本客户端!$A$2:$O$406,11,0)</f>
        <v>0</v>
      </c>
      <c r="X264">
        <f>VLOOKUP($A264,精英副本客户端!$A$2:$O$406,12,0)</f>
        <v>1</v>
      </c>
      <c r="Y264" t="str">
        <f t="shared" si="33"/>
        <v>敏捷试炼（35）</v>
      </c>
    </row>
    <row r="265" spans="1:25">
      <c r="A265">
        <f t="shared" si="32"/>
        <v>203508</v>
      </c>
      <c r="B265" t="s">
        <v>1046</v>
      </c>
      <c r="C265">
        <v>0</v>
      </c>
      <c r="D265">
        <v>0</v>
      </c>
      <c r="E265" t="str">
        <f t="shared" si="36"/>
        <v>2035081_1</v>
      </c>
      <c r="F265" t="s">
        <v>213</v>
      </c>
      <c r="G265">
        <v>0</v>
      </c>
      <c r="H265">
        <v>0</v>
      </c>
      <c r="I265">
        <v>0</v>
      </c>
      <c r="J265">
        <v>0</v>
      </c>
      <c r="K265">
        <v>100</v>
      </c>
      <c r="L265" t="s">
        <v>738</v>
      </c>
      <c r="M265" s="6" t="s">
        <v>739</v>
      </c>
      <c r="N265">
        <v>920</v>
      </c>
      <c r="O265">
        <v>120</v>
      </c>
      <c r="P265">
        <v>10</v>
      </c>
      <c r="Q265">
        <v>10</v>
      </c>
      <c r="R265">
        <v>0</v>
      </c>
      <c r="S265">
        <f t="shared" si="34"/>
        <v>2</v>
      </c>
      <c r="T265">
        <f t="shared" si="35"/>
        <v>31</v>
      </c>
      <c r="U265">
        <f t="shared" si="37"/>
        <v>203507</v>
      </c>
      <c r="V265">
        <f>VLOOKUP($A265,精英副本客户端!$A$2:$O$406,10,0)</f>
        <v>38</v>
      </c>
      <c r="W265">
        <f>VLOOKUP($A265,精英副本客户端!$A$2:$O$406,11,0)</f>
        <v>0</v>
      </c>
      <c r="X265">
        <f>VLOOKUP($A265,精英副本客户端!$A$2:$O$406,12,0)</f>
        <v>1</v>
      </c>
      <c r="Y265" t="str">
        <f t="shared" si="33"/>
        <v>敏捷试炼（35）</v>
      </c>
    </row>
    <row r="266" spans="1:25">
      <c r="A266">
        <f t="shared" si="32"/>
        <v>203509</v>
      </c>
      <c r="B266" t="s">
        <v>1047</v>
      </c>
      <c r="C266">
        <v>0</v>
      </c>
      <c r="D266">
        <v>0</v>
      </c>
      <c r="E266" t="str">
        <f t="shared" si="36"/>
        <v>2035091_1</v>
      </c>
      <c r="F266" t="s">
        <v>213</v>
      </c>
      <c r="G266">
        <v>0</v>
      </c>
      <c r="H266">
        <v>0</v>
      </c>
      <c r="I266">
        <v>0</v>
      </c>
      <c r="J266">
        <v>0</v>
      </c>
      <c r="K266">
        <v>100</v>
      </c>
      <c r="L266" t="s">
        <v>738</v>
      </c>
      <c r="M266" s="6" t="s">
        <v>739</v>
      </c>
      <c r="N266">
        <v>920</v>
      </c>
      <c r="O266">
        <v>120</v>
      </c>
      <c r="P266">
        <v>10</v>
      </c>
      <c r="Q266">
        <v>10</v>
      </c>
      <c r="R266">
        <v>0</v>
      </c>
      <c r="S266">
        <f t="shared" si="34"/>
        <v>2</v>
      </c>
      <c r="T266">
        <f t="shared" si="35"/>
        <v>31</v>
      </c>
      <c r="U266">
        <f t="shared" si="37"/>
        <v>203508</v>
      </c>
      <c r="V266">
        <f>VLOOKUP($A266,精英副本客户端!$A$2:$O$406,10,0)</f>
        <v>39</v>
      </c>
      <c r="W266">
        <f>VLOOKUP($A266,精英副本客户端!$A$2:$O$406,11,0)</f>
        <v>1</v>
      </c>
      <c r="X266">
        <f>VLOOKUP($A266,精英副本客户端!$A$2:$O$406,12,0)</f>
        <v>5</v>
      </c>
      <c r="Y266" t="str">
        <f t="shared" si="33"/>
        <v>敏捷试炼（35）</v>
      </c>
    </row>
    <row r="267" spans="1:25">
      <c r="A267">
        <f t="shared" si="32"/>
        <v>204001</v>
      </c>
      <c r="B267" t="s">
        <v>1064</v>
      </c>
      <c r="C267">
        <v>0</v>
      </c>
      <c r="D267">
        <v>0</v>
      </c>
      <c r="E267" t="str">
        <f t="shared" si="36"/>
        <v>2040011_1</v>
      </c>
      <c r="F267" t="s">
        <v>213</v>
      </c>
      <c r="G267">
        <v>0</v>
      </c>
      <c r="H267">
        <v>0</v>
      </c>
      <c r="I267">
        <v>0</v>
      </c>
      <c r="J267">
        <v>0</v>
      </c>
      <c r="K267">
        <v>100</v>
      </c>
      <c r="L267" t="s">
        <v>738</v>
      </c>
      <c r="M267" s="6" t="s">
        <v>739</v>
      </c>
      <c r="N267">
        <v>920</v>
      </c>
      <c r="O267">
        <v>120</v>
      </c>
      <c r="P267">
        <v>10</v>
      </c>
      <c r="Q267">
        <v>10</v>
      </c>
      <c r="R267">
        <v>0</v>
      </c>
      <c r="S267">
        <f t="shared" si="34"/>
        <v>2</v>
      </c>
      <c r="T267">
        <f t="shared" si="35"/>
        <v>36</v>
      </c>
      <c r="U267">
        <f t="shared" si="37"/>
        <v>203509</v>
      </c>
      <c r="V267">
        <f>VLOOKUP($A267,精英副本客户端!$A$2:$O$406,10,0)</f>
        <v>40</v>
      </c>
      <c r="W267">
        <f>VLOOKUP($A267,精英副本客户端!$A$2:$O$406,11,0)</f>
        <v>0</v>
      </c>
      <c r="X267">
        <f>VLOOKUP($A267,精英副本客户端!$A$2:$O$406,12,0)</f>
        <v>1</v>
      </c>
      <c r="Y267" t="str">
        <f t="shared" si="33"/>
        <v>敏捷试炼（40）</v>
      </c>
    </row>
    <row r="268" spans="1:25">
      <c r="A268">
        <f t="shared" si="32"/>
        <v>204002</v>
      </c>
      <c r="B268" t="s">
        <v>1040</v>
      </c>
      <c r="C268">
        <v>0</v>
      </c>
      <c r="D268">
        <v>0</v>
      </c>
      <c r="E268" t="str">
        <f t="shared" si="36"/>
        <v>2040021_1</v>
      </c>
      <c r="F268" t="s">
        <v>213</v>
      </c>
      <c r="G268">
        <v>0</v>
      </c>
      <c r="H268">
        <v>0</v>
      </c>
      <c r="I268">
        <v>0</v>
      </c>
      <c r="J268">
        <v>0</v>
      </c>
      <c r="K268">
        <v>100</v>
      </c>
      <c r="L268" t="s">
        <v>738</v>
      </c>
      <c r="M268" s="6" t="s">
        <v>739</v>
      </c>
      <c r="N268">
        <v>920</v>
      </c>
      <c r="O268">
        <v>120</v>
      </c>
      <c r="P268">
        <v>10</v>
      </c>
      <c r="Q268">
        <v>10</v>
      </c>
      <c r="R268">
        <v>0</v>
      </c>
      <c r="S268">
        <f t="shared" si="34"/>
        <v>2</v>
      </c>
      <c r="T268">
        <f t="shared" si="35"/>
        <v>36</v>
      </c>
      <c r="U268">
        <f t="shared" si="37"/>
        <v>204001</v>
      </c>
      <c r="V268">
        <f>VLOOKUP($A268,精英副本客户端!$A$2:$O$406,10,0)</f>
        <v>40</v>
      </c>
      <c r="W268">
        <f>VLOOKUP($A268,精英副本客户端!$A$2:$O$406,11,0)</f>
        <v>0</v>
      </c>
      <c r="X268">
        <f>VLOOKUP($A268,精英副本客户端!$A$2:$O$406,12,0)</f>
        <v>1</v>
      </c>
      <c r="Y268" t="str">
        <f t="shared" si="33"/>
        <v>敏捷试炼（40）</v>
      </c>
    </row>
    <row r="269" spans="1:25">
      <c r="A269">
        <f t="shared" si="32"/>
        <v>204003</v>
      </c>
      <c r="B269" t="s">
        <v>1041</v>
      </c>
      <c r="C269">
        <v>0</v>
      </c>
      <c r="D269">
        <v>0</v>
      </c>
      <c r="E269" t="str">
        <f t="shared" si="36"/>
        <v>2040031_1</v>
      </c>
      <c r="F269" t="s">
        <v>213</v>
      </c>
      <c r="G269">
        <v>0</v>
      </c>
      <c r="H269">
        <v>0</v>
      </c>
      <c r="I269">
        <v>0</v>
      </c>
      <c r="J269">
        <v>0</v>
      </c>
      <c r="K269">
        <v>100</v>
      </c>
      <c r="L269" t="s">
        <v>738</v>
      </c>
      <c r="M269" s="6" t="s">
        <v>739</v>
      </c>
      <c r="N269">
        <v>920</v>
      </c>
      <c r="O269">
        <v>120</v>
      </c>
      <c r="P269">
        <v>10</v>
      </c>
      <c r="Q269">
        <v>10</v>
      </c>
      <c r="R269">
        <v>0</v>
      </c>
      <c r="S269">
        <f t="shared" si="34"/>
        <v>2</v>
      </c>
      <c r="T269">
        <f t="shared" si="35"/>
        <v>36</v>
      </c>
      <c r="U269">
        <f t="shared" si="37"/>
        <v>204002</v>
      </c>
      <c r="V269">
        <f>VLOOKUP($A269,精英副本客户端!$A$2:$O$406,10,0)</f>
        <v>41</v>
      </c>
      <c r="W269">
        <f>VLOOKUP($A269,精英副本客户端!$A$2:$O$406,11,0)</f>
        <v>1</v>
      </c>
      <c r="X269">
        <f>VLOOKUP($A269,精英副本客户端!$A$2:$O$406,12,0)</f>
        <v>5</v>
      </c>
      <c r="Y269" t="str">
        <f t="shared" si="33"/>
        <v>敏捷试炼（40）</v>
      </c>
    </row>
    <row r="270" spans="1:25">
      <c r="A270">
        <f t="shared" si="32"/>
        <v>204004</v>
      </c>
      <c r="B270" t="s">
        <v>1042</v>
      </c>
      <c r="C270">
        <v>0</v>
      </c>
      <c r="D270">
        <v>0</v>
      </c>
      <c r="E270" t="str">
        <f t="shared" si="36"/>
        <v>2040041_1</v>
      </c>
      <c r="F270" t="s">
        <v>213</v>
      </c>
      <c r="G270">
        <v>0</v>
      </c>
      <c r="H270">
        <v>0</v>
      </c>
      <c r="I270">
        <v>0</v>
      </c>
      <c r="J270">
        <v>0</v>
      </c>
      <c r="K270">
        <v>100</v>
      </c>
      <c r="L270" t="s">
        <v>738</v>
      </c>
      <c r="M270" s="6" t="s">
        <v>739</v>
      </c>
      <c r="N270">
        <v>920</v>
      </c>
      <c r="O270">
        <v>120</v>
      </c>
      <c r="P270">
        <v>10</v>
      </c>
      <c r="Q270">
        <v>10</v>
      </c>
      <c r="R270">
        <v>0</v>
      </c>
      <c r="S270">
        <f t="shared" si="34"/>
        <v>2</v>
      </c>
      <c r="T270">
        <f t="shared" si="35"/>
        <v>36</v>
      </c>
      <c r="U270">
        <f t="shared" si="37"/>
        <v>204003</v>
      </c>
      <c r="V270">
        <f>VLOOKUP($A270,精英副本客户端!$A$2:$O$406,10,0)</f>
        <v>41</v>
      </c>
      <c r="W270">
        <f>VLOOKUP($A270,精英副本客户端!$A$2:$O$406,11,0)</f>
        <v>0</v>
      </c>
      <c r="X270">
        <f>VLOOKUP($A270,精英副本客户端!$A$2:$O$406,12,0)</f>
        <v>1</v>
      </c>
      <c r="Y270" t="str">
        <f t="shared" si="33"/>
        <v>敏捷试炼（40）</v>
      </c>
    </row>
    <row r="271" spans="1:25">
      <c r="A271">
        <f t="shared" si="32"/>
        <v>204005</v>
      </c>
      <c r="B271" t="s">
        <v>1043</v>
      </c>
      <c r="C271">
        <v>0</v>
      </c>
      <c r="D271">
        <v>0</v>
      </c>
      <c r="E271" t="str">
        <f t="shared" si="36"/>
        <v>2040051_1</v>
      </c>
      <c r="F271" t="s">
        <v>213</v>
      </c>
      <c r="G271">
        <v>0</v>
      </c>
      <c r="H271">
        <v>0</v>
      </c>
      <c r="I271">
        <v>0</v>
      </c>
      <c r="J271">
        <v>0</v>
      </c>
      <c r="K271">
        <v>100</v>
      </c>
      <c r="L271" t="s">
        <v>738</v>
      </c>
      <c r="M271" s="6" t="s">
        <v>739</v>
      </c>
      <c r="N271">
        <v>920</v>
      </c>
      <c r="O271">
        <v>120</v>
      </c>
      <c r="P271">
        <v>10</v>
      </c>
      <c r="Q271">
        <v>10</v>
      </c>
      <c r="R271">
        <v>0</v>
      </c>
      <c r="S271">
        <f t="shared" si="34"/>
        <v>2</v>
      </c>
      <c r="T271">
        <f t="shared" si="35"/>
        <v>36</v>
      </c>
      <c r="U271">
        <f t="shared" si="37"/>
        <v>204004</v>
      </c>
      <c r="V271">
        <f>VLOOKUP($A271,精英副本客户端!$A$2:$O$406,10,0)</f>
        <v>41</v>
      </c>
      <c r="W271">
        <f>VLOOKUP($A271,精英副本客户端!$A$2:$O$406,11,0)</f>
        <v>0</v>
      </c>
      <c r="X271">
        <f>VLOOKUP($A271,精英副本客户端!$A$2:$O$406,12,0)</f>
        <v>1</v>
      </c>
      <c r="Y271" t="str">
        <f t="shared" si="33"/>
        <v>敏捷试炼（40）</v>
      </c>
    </row>
    <row r="272" spans="1:25">
      <c r="A272">
        <f t="shared" si="32"/>
        <v>204006</v>
      </c>
      <c r="B272" t="s">
        <v>1044</v>
      </c>
      <c r="C272">
        <v>0</v>
      </c>
      <c r="D272">
        <v>0</v>
      </c>
      <c r="E272" t="str">
        <f t="shared" si="36"/>
        <v>2040061_1</v>
      </c>
      <c r="F272" t="s">
        <v>213</v>
      </c>
      <c r="G272">
        <v>0</v>
      </c>
      <c r="H272">
        <v>0</v>
      </c>
      <c r="I272">
        <v>0</v>
      </c>
      <c r="J272">
        <v>0</v>
      </c>
      <c r="K272">
        <v>100</v>
      </c>
      <c r="L272" t="s">
        <v>738</v>
      </c>
      <c r="M272" s="6" t="s">
        <v>739</v>
      </c>
      <c r="N272">
        <v>920</v>
      </c>
      <c r="O272">
        <v>120</v>
      </c>
      <c r="P272">
        <v>10</v>
      </c>
      <c r="Q272">
        <v>10</v>
      </c>
      <c r="R272">
        <v>0</v>
      </c>
      <c r="S272">
        <f t="shared" si="34"/>
        <v>2</v>
      </c>
      <c r="T272">
        <f t="shared" si="35"/>
        <v>36</v>
      </c>
      <c r="U272">
        <f t="shared" si="37"/>
        <v>204005</v>
      </c>
      <c r="V272">
        <f>VLOOKUP($A272,精英副本客户端!$A$2:$O$406,10,0)</f>
        <v>42</v>
      </c>
      <c r="W272">
        <f>VLOOKUP($A272,精英副本客户端!$A$2:$O$406,11,0)</f>
        <v>1</v>
      </c>
      <c r="X272">
        <f>VLOOKUP($A272,精英副本客户端!$A$2:$O$406,12,0)</f>
        <v>5</v>
      </c>
      <c r="Y272" t="str">
        <f t="shared" si="33"/>
        <v>敏捷试炼（40）</v>
      </c>
    </row>
    <row r="273" spans="1:25">
      <c r="A273">
        <f t="shared" si="32"/>
        <v>204007</v>
      </c>
      <c r="B273" t="s">
        <v>1045</v>
      </c>
      <c r="C273">
        <v>0</v>
      </c>
      <c r="D273">
        <v>0</v>
      </c>
      <c r="E273" t="str">
        <f t="shared" si="36"/>
        <v>2040071_1</v>
      </c>
      <c r="F273" t="s">
        <v>213</v>
      </c>
      <c r="G273">
        <v>0</v>
      </c>
      <c r="H273">
        <v>0</v>
      </c>
      <c r="I273">
        <v>0</v>
      </c>
      <c r="J273">
        <v>0</v>
      </c>
      <c r="K273">
        <v>100</v>
      </c>
      <c r="L273" t="s">
        <v>738</v>
      </c>
      <c r="M273" s="6" t="s">
        <v>739</v>
      </c>
      <c r="N273">
        <v>920</v>
      </c>
      <c r="O273">
        <v>120</v>
      </c>
      <c r="P273">
        <v>10</v>
      </c>
      <c r="Q273">
        <v>10</v>
      </c>
      <c r="R273">
        <v>0</v>
      </c>
      <c r="S273">
        <f t="shared" si="34"/>
        <v>2</v>
      </c>
      <c r="T273">
        <f t="shared" si="35"/>
        <v>36</v>
      </c>
      <c r="U273">
        <f t="shared" si="37"/>
        <v>204006</v>
      </c>
      <c r="V273">
        <f>VLOOKUP($A273,精英副本客户端!$A$2:$O$406,10,0)</f>
        <v>42</v>
      </c>
      <c r="W273">
        <f>VLOOKUP($A273,精英副本客户端!$A$2:$O$406,11,0)</f>
        <v>0</v>
      </c>
      <c r="X273">
        <f>VLOOKUP($A273,精英副本客户端!$A$2:$O$406,12,0)</f>
        <v>1</v>
      </c>
      <c r="Y273" t="str">
        <f t="shared" si="33"/>
        <v>敏捷试炼（40）</v>
      </c>
    </row>
    <row r="274" spans="1:25">
      <c r="A274">
        <f t="shared" si="32"/>
        <v>204008</v>
      </c>
      <c r="B274" t="s">
        <v>1046</v>
      </c>
      <c r="C274">
        <v>0</v>
      </c>
      <c r="D274">
        <v>0</v>
      </c>
      <c r="E274" t="str">
        <f t="shared" si="36"/>
        <v>2040081_1</v>
      </c>
      <c r="F274" t="s">
        <v>213</v>
      </c>
      <c r="G274">
        <v>0</v>
      </c>
      <c r="H274">
        <v>0</v>
      </c>
      <c r="I274">
        <v>0</v>
      </c>
      <c r="J274">
        <v>0</v>
      </c>
      <c r="K274">
        <v>100</v>
      </c>
      <c r="L274" t="s">
        <v>738</v>
      </c>
      <c r="M274" s="6" t="s">
        <v>739</v>
      </c>
      <c r="N274">
        <v>920</v>
      </c>
      <c r="O274">
        <v>120</v>
      </c>
      <c r="P274">
        <v>10</v>
      </c>
      <c r="Q274">
        <v>10</v>
      </c>
      <c r="R274">
        <v>0</v>
      </c>
      <c r="S274">
        <f t="shared" si="34"/>
        <v>2</v>
      </c>
      <c r="T274">
        <f t="shared" si="35"/>
        <v>36</v>
      </c>
      <c r="U274">
        <f t="shared" si="37"/>
        <v>204007</v>
      </c>
      <c r="V274">
        <f>VLOOKUP($A274,精英副本客户端!$A$2:$O$406,10,0)</f>
        <v>43</v>
      </c>
      <c r="W274">
        <f>VLOOKUP($A274,精英副本客户端!$A$2:$O$406,11,0)</f>
        <v>0</v>
      </c>
      <c r="X274">
        <f>VLOOKUP($A274,精英副本客户端!$A$2:$O$406,12,0)</f>
        <v>1</v>
      </c>
      <c r="Y274" t="str">
        <f t="shared" si="33"/>
        <v>敏捷试炼（40）</v>
      </c>
    </row>
    <row r="275" spans="1:25">
      <c r="A275">
        <f t="shared" si="32"/>
        <v>204009</v>
      </c>
      <c r="B275" t="s">
        <v>1047</v>
      </c>
      <c r="C275">
        <v>0</v>
      </c>
      <c r="D275">
        <v>0</v>
      </c>
      <c r="E275" t="str">
        <f t="shared" si="36"/>
        <v>2040091_1</v>
      </c>
      <c r="F275" t="s">
        <v>213</v>
      </c>
      <c r="G275">
        <v>0</v>
      </c>
      <c r="H275">
        <v>0</v>
      </c>
      <c r="I275">
        <v>0</v>
      </c>
      <c r="J275">
        <v>0</v>
      </c>
      <c r="K275">
        <v>100</v>
      </c>
      <c r="L275" t="s">
        <v>738</v>
      </c>
      <c r="M275" s="6" t="s">
        <v>739</v>
      </c>
      <c r="N275">
        <v>920</v>
      </c>
      <c r="O275">
        <v>120</v>
      </c>
      <c r="P275">
        <v>10</v>
      </c>
      <c r="Q275">
        <v>10</v>
      </c>
      <c r="R275">
        <v>0</v>
      </c>
      <c r="S275">
        <f t="shared" si="34"/>
        <v>2</v>
      </c>
      <c r="T275">
        <f t="shared" si="35"/>
        <v>36</v>
      </c>
      <c r="U275">
        <f t="shared" si="37"/>
        <v>204008</v>
      </c>
      <c r="V275">
        <f>VLOOKUP($A275,精英副本客户端!$A$2:$O$406,10,0)</f>
        <v>44</v>
      </c>
      <c r="W275">
        <f>VLOOKUP($A275,精英副本客户端!$A$2:$O$406,11,0)</f>
        <v>1</v>
      </c>
      <c r="X275">
        <f>VLOOKUP($A275,精英副本客户端!$A$2:$O$406,12,0)</f>
        <v>5</v>
      </c>
      <c r="Y275" t="str">
        <f t="shared" si="33"/>
        <v>敏捷试炼（40）</v>
      </c>
    </row>
    <row r="276" spans="1:25">
      <c r="A276">
        <f t="shared" si="32"/>
        <v>204501</v>
      </c>
      <c r="B276" t="s">
        <v>1064</v>
      </c>
      <c r="C276">
        <v>0</v>
      </c>
      <c r="D276">
        <v>0</v>
      </c>
      <c r="E276" t="str">
        <f t="shared" si="36"/>
        <v>2045011_1</v>
      </c>
      <c r="F276" t="s">
        <v>213</v>
      </c>
      <c r="G276">
        <v>0</v>
      </c>
      <c r="H276">
        <v>0</v>
      </c>
      <c r="I276">
        <v>0</v>
      </c>
      <c r="J276">
        <v>0</v>
      </c>
      <c r="K276">
        <v>100</v>
      </c>
      <c r="L276" t="s">
        <v>738</v>
      </c>
      <c r="M276" s="6" t="s">
        <v>739</v>
      </c>
      <c r="N276">
        <v>920</v>
      </c>
      <c r="O276">
        <v>120</v>
      </c>
      <c r="P276">
        <v>10</v>
      </c>
      <c r="Q276">
        <v>10</v>
      </c>
      <c r="R276">
        <v>0</v>
      </c>
      <c r="S276">
        <f t="shared" si="34"/>
        <v>2</v>
      </c>
      <c r="T276">
        <f t="shared" si="35"/>
        <v>41</v>
      </c>
      <c r="U276">
        <f t="shared" si="37"/>
        <v>204009</v>
      </c>
      <c r="V276">
        <f>VLOOKUP($A276,精英副本客户端!$A$2:$O$406,10,0)</f>
        <v>45</v>
      </c>
      <c r="W276">
        <f>VLOOKUP($A276,精英副本客户端!$A$2:$O$406,11,0)</f>
        <v>0</v>
      </c>
      <c r="X276">
        <f>VLOOKUP($A276,精英副本客户端!$A$2:$O$406,12,0)</f>
        <v>1</v>
      </c>
      <c r="Y276" t="str">
        <f t="shared" si="33"/>
        <v>敏捷试炼（45）</v>
      </c>
    </row>
    <row r="277" spans="1:25">
      <c r="A277">
        <f t="shared" si="32"/>
        <v>204502</v>
      </c>
      <c r="B277" t="s">
        <v>1040</v>
      </c>
      <c r="C277">
        <v>0</v>
      </c>
      <c r="D277">
        <v>0</v>
      </c>
      <c r="E277" t="str">
        <f t="shared" si="36"/>
        <v>2045021_1</v>
      </c>
      <c r="F277" t="s">
        <v>213</v>
      </c>
      <c r="G277">
        <v>0</v>
      </c>
      <c r="H277">
        <v>0</v>
      </c>
      <c r="I277">
        <v>0</v>
      </c>
      <c r="J277">
        <v>0</v>
      </c>
      <c r="K277">
        <v>100</v>
      </c>
      <c r="L277" t="s">
        <v>738</v>
      </c>
      <c r="M277" s="6" t="s">
        <v>739</v>
      </c>
      <c r="N277">
        <v>920</v>
      </c>
      <c r="O277">
        <v>120</v>
      </c>
      <c r="P277">
        <v>10</v>
      </c>
      <c r="Q277">
        <v>10</v>
      </c>
      <c r="R277">
        <v>0</v>
      </c>
      <c r="S277">
        <f t="shared" si="34"/>
        <v>2</v>
      </c>
      <c r="T277">
        <f t="shared" si="35"/>
        <v>41</v>
      </c>
      <c r="U277">
        <f t="shared" si="37"/>
        <v>204501</v>
      </c>
      <c r="V277">
        <f>VLOOKUP($A277,精英副本客户端!$A$2:$O$406,10,0)</f>
        <v>45</v>
      </c>
      <c r="W277">
        <f>VLOOKUP($A277,精英副本客户端!$A$2:$O$406,11,0)</f>
        <v>0</v>
      </c>
      <c r="X277">
        <f>VLOOKUP($A277,精英副本客户端!$A$2:$O$406,12,0)</f>
        <v>1</v>
      </c>
      <c r="Y277" t="str">
        <f t="shared" si="33"/>
        <v>敏捷试炼（45）</v>
      </c>
    </row>
    <row r="278" spans="1:25">
      <c r="A278">
        <f t="shared" si="32"/>
        <v>204503</v>
      </c>
      <c r="B278" t="s">
        <v>1041</v>
      </c>
      <c r="C278">
        <v>0</v>
      </c>
      <c r="D278">
        <v>0</v>
      </c>
      <c r="E278" t="str">
        <f t="shared" si="36"/>
        <v>2045031_1</v>
      </c>
      <c r="F278" t="s">
        <v>213</v>
      </c>
      <c r="G278">
        <v>0</v>
      </c>
      <c r="H278">
        <v>0</v>
      </c>
      <c r="I278">
        <v>0</v>
      </c>
      <c r="J278">
        <v>0</v>
      </c>
      <c r="K278">
        <v>100</v>
      </c>
      <c r="L278" t="s">
        <v>738</v>
      </c>
      <c r="M278" s="6" t="s">
        <v>739</v>
      </c>
      <c r="N278">
        <v>920</v>
      </c>
      <c r="O278">
        <v>120</v>
      </c>
      <c r="P278">
        <v>10</v>
      </c>
      <c r="Q278">
        <v>10</v>
      </c>
      <c r="R278">
        <v>0</v>
      </c>
      <c r="S278">
        <f t="shared" si="34"/>
        <v>2</v>
      </c>
      <c r="T278">
        <f t="shared" si="35"/>
        <v>41</v>
      </c>
      <c r="U278">
        <f t="shared" si="37"/>
        <v>204502</v>
      </c>
      <c r="V278">
        <f>VLOOKUP($A278,精英副本客户端!$A$2:$O$406,10,0)</f>
        <v>46</v>
      </c>
      <c r="W278">
        <f>VLOOKUP($A278,精英副本客户端!$A$2:$O$406,11,0)</f>
        <v>1</v>
      </c>
      <c r="X278">
        <f>VLOOKUP($A278,精英副本客户端!$A$2:$O$406,12,0)</f>
        <v>5</v>
      </c>
      <c r="Y278" t="str">
        <f t="shared" si="33"/>
        <v>敏捷试炼（45）</v>
      </c>
    </row>
    <row r="279" spans="1:25">
      <c r="A279">
        <f t="shared" si="32"/>
        <v>204504</v>
      </c>
      <c r="B279" t="s">
        <v>1042</v>
      </c>
      <c r="C279">
        <v>0</v>
      </c>
      <c r="D279">
        <v>0</v>
      </c>
      <c r="E279" t="str">
        <f t="shared" si="36"/>
        <v>2045041_1</v>
      </c>
      <c r="F279" t="s">
        <v>213</v>
      </c>
      <c r="G279">
        <v>0</v>
      </c>
      <c r="H279">
        <v>0</v>
      </c>
      <c r="I279">
        <v>0</v>
      </c>
      <c r="J279">
        <v>0</v>
      </c>
      <c r="K279">
        <v>100</v>
      </c>
      <c r="L279" t="s">
        <v>738</v>
      </c>
      <c r="M279" s="6" t="s">
        <v>739</v>
      </c>
      <c r="N279">
        <v>920</v>
      </c>
      <c r="O279">
        <v>120</v>
      </c>
      <c r="P279">
        <v>10</v>
      </c>
      <c r="Q279">
        <v>10</v>
      </c>
      <c r="R279">
        <v>0</v>
      </c>
      <c r="S279">
        <f t="shared" si="34"/>
        <v>2</v>
      </c>
      <c r="T279">
        <f t="shared" si="35"/>
        <v>41</v>
      </c>
      <c r="U279">
        <f t="shared" si="37"/>
        <v>204503</v>
      </c>
      <c r="V279">
        <f>VLOOKUP($A279,精英副本客户端!$A$2:$O$406,10,0)</f>
        <v>46</v>
      </c>
      <c r="W279">
        <f>VLOOKUP($A279,精英副本客户端!$A$2:$O$406,11,0)</f>
        <v>0</v>
      </c>
      <c r="X279">
        <f>VLOOKUP($A279,精英副本客户端!$A$2:$O$406,12,0)</f>
        <v>1</v>
      </c>
      <c r="Y279" t="str">
        <f t="shared" si="33"/>
        <v>敏捷试炼（45）</v>
      </c>
    </row>
    <row r="280" spans="1:25">
      <c r="A280">
        <f t="shared" si="32"/>
        <v>204505</v>
      </c>
      <c r="B280" t="s">
        <v>1043</v>
      </c>
      <c r="C280">
        <v>0</v>
      </c>
      <c r="D280">
        <v>0</v>
      </c>
      <c r="E280" t="str">
        <f t="shared" si="36"/>
        <v>2045051_1</v>
      </c>
      <c r="F280" t="s">
        <v>213</v>
      </c>
      <c r="G280">
        <v>0</v>
      </c>
      <c r="H280">
        <v>0</v>
      </c>
      <c r="I280">
        <v>0</v>
      </c>
      <c r="J280">
        <v>0</v>
      </c>
      <c r="K280">
        <v>100</v>
      </c>
      <c r="L280" t="s">
        <v>738</v>
      </c>
      <c r="M280" s="6" t="s">
        <v>739</v>
      </c>
      <c r="N280">
        <v>920</v>
      </c>
      <c r="O280">
        <v>120</v>
      </c>
      <c r="P280">
        <v>10</v>
      </c>
      <c r="Q280">
        <v>10</v>
      </c>
      <c r="R280">
        <v>0</v>
      </c>
      <c r="S280">
        <f t="shared" si="34"/>
        <v>2</v>
      </c>
      <c r="T280">
        <f t="shared" si="35"/>
        <v>41</v>
      </c>
      <c r="U280">
        <f t="shared" si="37"/>
        <v>204504</v>
      </c>
      <c r="V280">
        <f>VLOOKUP($A280,精英副本客户端!$A$2:$O$406,10,0)</f>
        <v>46</v>
      </c>
      <c r="W280">
        <f>VLOOKUP($A280,精英副本客户端!$A$2:$O$406,11,0)</f>
        <v>0</v>
      </c>
      <c r="X280">
        <f>VLOOKUP($A280,精英副本客户端!$A$2:$O$406,12,0)</f>
        <v>1</v>
      </c>
      <c r="Y280" t="str">
        <f t="shared" si="33"/>
        <v>敏捷试炼（45）</v>
      </c>
    </row>
    <row r="281" spans="1:25">
      <c r="A281">
        <f t="shared" si="32"/>
        <v>204506</v>
      </c>
      <c r="B281" t="s">
        <v>1044</v>
      </c>
      <c r="C281">
        <v>0</v>
      </c>
      <c r="D281">
        <v>0</v>
      </c>
      <c r="E281" t="str">
        <f t="shared" si="36"/>
        <v>2045061_1</v>
      </c>
      <c r="F281" t="s">
        <v>213</v>
      </c>
      <c r="G281">
        <v>0</v>
      </c>
      <c r="H281">
        <v>0</v>
      </c>
      <c r="I281">
        <v>0</v>
      </c>
      <c r="J281">
        <v>0</v>
      </c>
      <c r="K281">
        <v>100</v>
      </c>
      <c r="L281" t="s">
        <v>738</v>
      </c>
      <c r="M281" s="6" t="s">
        <v>739</v>
      </c>
      <c r="N281">
        <v>920</v>
      </c>
      <c r="O281">
        <v>120</v>
      </c>
      <c r="P281">
        <v>10</v>
      </c>
      <c r="Q281">
        <v>10</v>
      </c>
      <c r="R281">
        <v>0</v>
      </c>
      <c r="S281">
        <f t="shared" si="34"/>
        <v>2</v>
      </c>
      <c r="T281">
        <f t="shared" si="35"/>
        <v>41</v>
      </c>
      <c r="U281">
        <f t="shared" si="37"/>
        <v>204505</v>
      </c>
      <c r="V281">
        <f>VLOOKUP($A281,精英副本客户端!$A$2:$O$406,10,0)</f>
        <v>47</v>
      </c>
      <c r="W281">
        <f>VLOOKUP($A281,精英副本客户端!$A$2:$O$406,11,0)</f>
        <v>1</v>
      </c>
      <c r="X281">
        <f>VLOOKUP($A281,精英副本客户端!$A$2:$O$406,12,0)</f>
        <v>5</v>
      </c>
      <c r="Y281" t="str">
        <f t="shared" si="33"/>
        <v>敏捷试炼（45）</v>
      </c>
    </row>
    <row r="282" spans="1:25">
      <c r="A282">
        <f t="shared" si="32"/>
        <v>204507</v>
      </c>
      <c r="B282" t="s">
        <v>1045</v>
      </c>
      <c r="C282">
        <v>0</v>
      </c>
      <c r="D282">
        <v>0</v>
      </c>
      <c r="E282" t="str">
        <f t="shared" si="36"/>
        <v>2045071_1</v>
      </c>
      <c r="F282" t="s">
        <v>213</v>
      </c>
      <c r="G282">
        <v>0</v>
      </c>
      <c r="H282">
        <v>0</v>
      </c>
      <c r="I282">
        <v>0</v>
      </c>
      <c r="J282">
        <v>0</v>
      </c>
      <c r="K282">
        <v>100</v>
      </c>
      <c r="L282" t="s">
        <v>738</v>
      </c>
      <c r="M282" s="6" t="s">
        <v>739</v>
      </c>
      <c r="N282">
        <v>920</v>
      </c>
      <c r="O282">
        <v>120</v>
      </c>
      <c r="P282">
        <v>10</v>
      </c>
      <c r="Q282">
        <v>10</v>
      </c>
      <c r="R282">
        <v>0</v>
      </c>
      <c r="S282">
        <f t="shared" si="34"/>
        <v>2</v>
      </c>
      <c r="T282">
        <f t="shared" si="35"/>
        <v>41</v>
      </c>
      <c r="U282">
        <f t="shared" si="37"/>
        <v>204506</v>
      </c>
      <c r="V282">
        <f>VLOOKUP($A282,精英副本客户端!$A$2:$O$406,10,0)</f>
        <v>47</v>
      </c>
      <c r="W282">
        <f>VLOOKUP($A282,精英副本客户端!$A$2:$O$406,11,0)</f>
        <v>0</v>
      </c>
      <c r="X282">
        <f>VLOOKUP($A282,精英副本客户端!$A$2:$O$406,12,0)</f>
        <v>1</v>
      </c>
      <c r="Y282" t="str">
        <f t="shared" si="33"/>
        <v>敏捷试炼（45）</v>
      </c>
    </row>
    <row r="283" spans="1:25">
      <c r="A283">
        <f t="shared" si="32"/>
        <v>204508</v>
      </c>
      <c r="B283" t="s">
        <v>1046</v>
      </c>
      <c r="C283">
        <v>0</v>
      </c>
      <c r="D283">
        <v>0</v>
      </c>
      <c r="E283" t="str">
        <f t="shared" si="36"/>
        <v>2045081_1</v>
      </c>
      <c r="F283" t="s">
        <v>213</v>
      </c>
      <c r="G283">
        <v>0</v>
      </c>
      <c r="H283">
        <v>0</v>
      </c>
      <c r="I283">
        <v>0</v>
      </c>
      <c r="J283">
        <v>0</v>
      </c>
      <c r="K283">
        <v>100</v>
      </c>
      <c r="L283" t="s">
        <v>738</v>
      </c>
      <c r="M283" s="6" t="s">
        <v>739</v>
      </c>
      <c r="N283">
        <v>920</v>
      </c>
      <c r="O283">
        <v>120</v>
      </c>
      <c r="P283">
        <v>10</v>
      </c>
      <c r="Q283">
        <v>10</v>
      </c>
      <c r="R283">
        <v>0</v>
      </c>
      <c r="S283">
        <f t="shared" si="34"/>
        <v>2</v>
      </c>
      <c r="T283">
        <f t="shared" si="35"/>
        <v>41</v>
      </c>
      <c r="U283">
        <f t="shared" si="37"/>
        <v>204507</v>
      </c>
      <c r="V283">
        <f>VLOOKUP($A283,精英副本客户端!$A$2:$O$406,10,0)</f>
        <v>48</v>
      </c>
      <c r="W283">
        <f>VLOOKUP($A283,精英副本客户端!$A$2:$O$406,11,0)</f>
        <v>0</v>
      </c>
      <c r="X283">
        <f>VLOOKUP($A283,精英副本客户端!$A$2:$O$406,12,0)</f>
        <v>1</v>
      </c>
      <c r="Y283" t="str">
        <f t="shared" si="33"/>
        <v>敏捷试炼（45）</v>
      </c>
    </row>
    <row r="284" spans="1:25">
      <c r="A284">
        <f t="shared" si="32"/>
        <v>204509</v>
      </c>
      <c r="B284" t="s">
        <v>1047</v>
      </c>
      <c r="C284">
        <v>0</v>
      </c>
      <c r="D284">
        <v>0</v>
      </c>
      <c r="E284" t="str">
        <f t="shared" si="36"/>
        <v>2045091_1</v>
      </c>
      <c r="F284" t="s">
        <v>213</v>
      </c>
      <c r="G284">
        <v>0</v>
      </c>
      <c r="H284">
        <v>0</v>
      </c>
      <c r="I284">
        <v>0</v>
      </c>
      <c r="J284">
        <v>0</v>
      </c>
      <c r="K284">
        <v>100</v>
      </c>
      <c r="L284" t="s">
        <v>738</v>
      </c>
      <c r="M284" s="6" t="s">
        <v>739</v>
      </c>
      <c r="N284">
        <v>920</v>
      </c>
      <c r="O284">
        <v>120</v>
      </c>
      <c r="P284">
        <v>10</v>
      </c>
      <c r="Q284">
        <v>10</v>
      </c>
      <c r="R284">
        <v>0</v>
      </c>
      <c r="S284">
        <f t="shared" si="34"/>
        <v>2</v>
      </c>
      <c r="T284">
        <f t="shared" si="35"/>
        <v>41</v>
      </c>
      <c r="U284">
        <f t="shared" si="37"/>
        <v>204508</v>
      </c>
      <c r="V284">
        <f>VLOOKUP($A284,精英副本客户端!$A$2:$O$406,10,0)</f>
        <v>49</v>
      </c>
      <c r="W284">
        <f>VLOOKUP($A284,精英副本客户端!$A$2:$O$406,11,0)</f>
        <v>1</v>
      </c>
      <c r="X284">
        <f>VLOOKUP($A284,精英副本客户端!$A$2:$O$406,12,0)</f>
        <v>5</v>
      </c>
      <c r="Y284" t="str">
        <f t="shared" si="33"/>
        <v>敏捷试炼（45）</v>
      </c>
    </row>
    <row r="285" spans="1:25">
      <c r="A285">
        <f t="shared" si="32"/>
        <v>205001</v>
      </c>
      <c r="B285" t="s">
        <v>1064</v>
      </c>
      <c r="C285">
        <v>0</v>
      </c>
      <c r="D285">
        <v>0</v>
      </c>
      <c r="E285" t="str">
        <f t="shared" si="36"/>
        <v>2050011_1</v>
      </c>
      <c r="F285" t="s">
        <v>213</v>
      </c>
      <c r="G285">
        <v>0</v>
      </c>
      <c r="H285">
        <v>0</v>
      </c>
      <c r="I285">
        <v>0</v>
      </c>
      <c r="J285">
        <v>0</v>
      </c>
      <c r="K285">
        <v>100</v>
      </c>
      <c r="L285" t="s">
        <v>738</v>
      </c>
      <c r="M285" s="6" t="s">
        <v>739</v>
      </c>
      <c r="N285">
        <v>920</v>
      </c>
      <c r="O285">
        <v>120</v>
      </c>
      <c r="P285">
        <v>10</v>
      </c>
      <c r="Q285">
        <v>10</v>
      </c>
      <c r="R285">
        <v>0</v>
      </c>
      <c r="S285">
        <f t="shared" si="34"/>
        <v>2</v>
      </c>
      <c r="T285">
        <f t="shared" si="35"/>
        <v>46</v>
      </c>
      <c r="U285">
        <f t="shared" si="37"/>
        <v>204509</v>
      </c>
      <c r="V285">
        <f>VLOOKUP($A285,精英副本客户端!$A$2:$O$406,10,0)</f>
        <v>50</v>
      </c>
      <c r="W285">
        <f>VLOOKUP($A285,精英副本客户端!$A$2:$O$406,11,0)</f>
        <v>0</v>
      </c>
      <c r="X285">
        <f>VLOOKUP($A285,精英副本客户端!$A$2:$O$406,12,0)</f>
        <v>1</v>
      </c>
      <c r="Y285" t="str">
        <f t="shared" si="33"/>
        <v>敏捷试炼（50）</v>
      </c>
    </row>
    <row r="286" spans="1:25">
      <c r="A286">
        <f t="shared" si="32"/>
        <v>205002</v>
      </c>
      <c r="B286" t="s">
        <v>1040</v>
      </c>
      <c r="C286">
        <v>0</v>
      </c>
      <c r="D286">
        <v>0</v>
      </c>
      <c r="E286" t="str">
        <f t="shared" si="36"/>
        <v>2050021_1</v>
      </c>
      <c r="F286" t="s">
        <v>213</v>
      </c>
      <c r="G286">
        <v>0</v>
      </c>
      <c r="H286">
        <v>0</v>
      </c>
      <c r="I286">
        <v>0</v>
      </c>
      <c r="J286">
        <v>0</v>
      </c>
      <c r="K286">
        <v>100</v>
      </c>
      <c r="L286" t="s">
        <v>738</v>
      </c>
      <c r="M286" s="6" t="s">
        <v>739</v>
      </c>
      <c r="N286">
        <v>920</v>
      </c>
      <c r="O286">
        <v>120</v>
      </c>
      <c r="P286">
        <v>10</v>
      </c>
      <c r="Q286">
        <v>10</v>
      </c>
      <c r="R286">
        <v>0</v>
      </c>
      <c r="S286">
        <f t="shared" si="34"/>
        <v>2</v>
      </c>
      <c r="T286">
        <f t="shared" si="35"/>
        <v>46</v>
      </c>
      <c r="U286">
        <f t="shared" si="37"/>
        <v>205001</v>
      </c>
      <c r="V286">
        <f>VLOOKUP($A286,精英副本客户端!$A$2:$O$406,10,0)</f>
        <v>50</v>
      </c>
      <c r="W286">
        <f>VLOOKUP($A286,精英副本客户端!$A$2:$O$406,11,0)</f>
        <v>0</v>
      </c>
      <c r="X286">
        <f>VLOOKUP($A286,精英副本客户端!$A$2:$O$406,12,0)</f>
        <v>1</v>
      </c>
      <c r="Y286" t="str">
        <f t="shared" si="33"/>
        <v>敏捷试炼（50）</v>
      </c>
    </row>
    <row r="287" spans="1:25">
      <c r="A287">
        <f t="shared" si="32"/>
        <v>205003</v>
      </c>
      <c r="B287" t="s">
        <v>1041</v>
      </c>
      <c r="C287">
        <v>0</v>
      </c>
      <c r="D287">
        <v>0</v>
      </c>
      <c r="E287" t="str">
        <f t="shared" si="36"/>
        <v>2050031_1</v>
      </c>
      <c r="F287" t="s">
        <v>213</v>
      </c>
      <c r="G287">
        <v>0</v>
      </c>
      <c r="H287">
        <v>0</v>
      </c>
      <c r="I287">
        <v>0</v>
      </c>
      <c r="J287">
        <v>0</v>
      </c>
      <c r="K287">
        <v>100</v>
      </c>
      <c r="L287" t="s">
        <v>738</v>
      </c>
      <c r="M287" s="6" t="s">
        <v>739</v>
      </c>
      <c r="N287">
        <v>920</v>
      </c>
      <c r="O287">
        <v>120</v>
      </c>
      <c r="P287">
        <v>10</v>
      </c>
      <c r="Q287">
        <v>10</v>
      </c>
      <c r="R287">
        <v>0</v>
      </c>
      <c r="S287">
        <f t="shared" si="34"/>
        <v>2</v>
      </c>
      <c r="T287">
        <f t="shared" si="35"/>
        <v>46</v>
      </c>
      <c r="U287">
        <f t="shared" si="37"/>
        <v>205002</v>
      </c>
      <c r="V287">
        <f>VLOOKUP($A287,精英副本客户端!$A$2:$O$406,10,0)</f>
        <v>51</v>
      </c>
      <c r="W287">
        <f>VLOOKUP($A287,精英副本客户端!$A$2:$O$406,11,0)</f>
        <v>1</v>
      </c>
      <c r="X287">
        <f>VLOOKUP($A287,精英副本客户端!$A$2:$O$406,12,0)</f>
        <v>5</v>
      </c>
      <c r="Y287" t="str">
        <f t="shared" si="33"/>
        <v>敏捷试炼（50）</v>
      </c>
    </row>
    <row r="288" spans="1:25">
      <c r="A288">
        <f t="shared" si="32"/>
        <v>205004</v>
      </c>
      <c r="B288" t="s">
        <v>1042</v>
      </c>
      <c r="C288">
        <v>0</v>
      </c>
      <c r="D288">
        <v>0</v>
      </c>
      <c r="E288" t="str">
        <f t="shared" si="36"/>
        <v>2050041_1</v>
      </c>
      <c r="F288" t="s">
        <v>213</v>
      </c>
      <c r="G288">
        <v>0</v>
      </c>
      <c r="H288">
        <v>0</v>
      </c>
      <c r="I288">
        <v>0</v>
      </c>
      <c r="J288">
        <v>0</v>
      </c>
      <c r="K288">
        <v>100</v>
      </c>
      <c r="L288" t="s">
        <v>738</v>
      </c>
      <c r="M288" s="6" t="s">
        <v>739</v>
      </c>
      <c r="N288">
        <v>920</v>
      </c>
      <c r="O288">
        <v>120</v>
      </c>
      <c r="P288">
        <v>10</v>
      </c>
      <c r="Q288">
        <v>10</v>
      </c>
      <c r="R288">
        <v>0</v>
      </c>
      <c r="S288">
        <f t="shared" si="34"/>
        <v>2</v>
      </c>
      <c r="T288">
        <f t="shared" si="35"/>
        <v>46</v>
      </c>
      <c r="U288">
        <f t="shared" si="37"/>
        <v>205003</v>
      </c>
      <c r="V288">
        <f>VLOOKUP($A288,精英副本客户端!$A$2:$O$406,10,0)</f>
        <v>51</v>
      </c>
      <c r="W288">
        <f>VLOOKUP($A288,精英副本客户端!$A$2:$O$406,11,0)</f>
        <v>0</v>
      </c>
      <c r="X288">
        <f>VLOOKUP($A288,精英副本客户端!$A$2:$O$406,12,0)</f>
        <v>1</v>
      </c>
      <c r="Y288" t="str">
        <f t="shared" si="33"/>
        <v>敏捷试炼（50）</v>
      </c>
    </row>
    <row r="289" spans="1:25">
      <c r="A289">
        <f t="shared" si="32"/>
        <v>205005</v>
      </c>
      <c r="B289" t="s">
        <v>1043</v>
      </c>
      <c r="C289">
        <v>0</v>
      </c>
      <c r="D289">
        <v>0</v>
      </c>
      <c r="E289" t="str">
        <f t="shared" si="36"/>
        <v>2050051_1</v>
      </c>
      <c r="F289" t="s">
        <v>213</v>
      </c>
      <c r="G289">
        <v>0</v>
      </c>
      <c r="H289">
        <v>0</v>
      </c>
      <c r="I289">
        <v>0</v>
      </c>
      <c r="J289">
        <v>0</v>
      </c>
      <c r="K289">
        <v>100</v>
      </c>
      <c r="L289" t="s">
        <v>738</v>
      </c>
      <c r="M289" s="6" t="s">
        <v>739</v>
      </c>
      <c r="N289">
        <v>920</v>
      </c>
      <c r="O289">
        <v>120</v>
      </c>
      <c r="P289">
        <v>10</v>
      </c>
      <c r="Q289">
        <v>10</v>
      </c>
      <c r="R289">
        <v>0</v>
      </c>
      <c r="S289">
        <f t="shared" si="34"/>
        <v>2</v>
      </c>
      <c r="T289">
        <f t="shared" si="35"/>
        <v>46</v>
      </c>
      <c r="U289">
        <f t="shared" si="37"/>
        <v>205004</v>
      </c>
      <c r="V289">
        <f>VLOOKUP($A289,精英副本客户端!$A$2:$O$406,10,0)</f>
        <v>51</v>
      </c>
      <c r="W289">
        <f>VLOOKUP($A289,精英副本客户端!$A$2:$O$406,11,0)</f>
        <v>0</v>
      </c>
      <c r="X289">
        <f>VLOOKUP($A289,精英副本客户端!$A$2:$O$406,12,0)</f>
        <v>1</v>
      </c>
      <c r="Y289" t="str">
        <f t="shared" si="33"/>
        <v>敏捷试炼（50）</v>
      </c>
    </row>
    <row r="290" spans="1:25">
      <c r="A290">
        <f t="shared" si="32"/>
        <v>205006</v>
      </c>
      <c r="B290" t="s">
        <v>1044</v>
      </c>
      <c r="C290">
        <v>0</v>
      </c>
      <c r="D290">
        <v>0</v>
      </c>
      <c r="E290" t="str">
        <f t="shared" si="36"/>
        <v>2050061_1</v>
      </c>
      <c r="F290" t="s">
        <v>213</v>
      </c>
      <c r="G290">
        <v>0</v>
      </c>
      <c r="H290">
        <v>0</v>
      </c>
      <c r="I290">
        <v>0</v>
      </c>
      <c r="J290">
        <v>0</v>
      </c>
      <c r="K290">
        <v>100</v>
      </c>
      <c r="L290" t="s">
        <v>738</v>
      </c>
      <c r="M290" s="6" t="s">
        <v>739</v>
      </c>
      <c r="N290">
        <v>920</v>
      </c>
      <c r="O290">
        <v>120</v>
      </c>
      <c r="P290">
        <v>10</v>
      </c>
      <c r="Q290">
        <v>10</v>
      </c>
      <c r="R290">
        <v>0</v>
      </c>
      <c r="S290">
        <f t="shared" si="34"/>
        <v>2</v>
      </c>
      <c r="T290">
        <f t="shared" si="35"/>
        <v>46</v>
      </c>
      <c r="U290">
        <f t="shared" si="37"/>
        <v>205005</v>
      </c>
      <c r="V290">
        <f>VLOOKUP($A290,精英副本客户端!$A$2:$O$406,10,0)</f>
        <v>52</v>
      </c>
      <c r="W290">
        <f>VLOOKUP($A290,精英副本客户端!$A$2:$O$406,11,0)</f>
        <v>1</v>
      </c>
      <c r="X290">
        <f>VLOOKUP($A290,精英副本客户端!$A$2:$O$406,12,0)</f>
        <v>5</v>
      </c>
      <c r="Y290" t="str">
        <f t="shared" si="33"/>
        <v>敏捷试炼（50）</v>
      </c>
    </row>
    <row r="291" spans="1:25">
      <c r="A291">
        <f t="shared" si="32"/>
        <v>205007</v>
      </c>
      <c r="B291" t="s">
        <v>1045</v>
      </c>
      <c r="C291">
        <v>0</v>
      </c>
      <c r="D291">
        <v>0</v>
      </c>
      <c r="E291" t="str">
        <f t="shared" si="36"/>
        <v>2050071_1</v>
      </c>
      <c r="F291" t="s">
        <v>213</v>
      </c>
      <c r="G291">
        <v>0</v>
      </c>
      <c r="H291">
        <v>0</v>
      </c>
      <c r="I291">
        <v>0</v>
      </c>
      <c r="J291">
        <v>0</v>
      </c>
      <c r="K291">
        <v>100</v>
      </c>
      <c r="L291" t="s">
        <v>738</v>
      </c>
      <c r="M291" s="6" t="s">
        <v>739</v>
      </c>
      <c r="N291">
        <v>920</v>
      </c>
      <c r="O291">
        <v>120</v>
      </c>
      <c r="P291">
        <v>10</v>
      </c>
      <c r="Q291">
        <v>10</v>
      </c>
      <c r="R291">
        <v>0</v>
      </c>
      <c r="S291">
        <f t="shared" si="34"/>
        <v>2</v>
      </c>
      <c r="T291">
        <f t="shared" si="35"/>
        <v>46</v>
      </c>
      <c r="U291">
        <f t="shared" si="37"/>
        <v>205006</v>
      </c>
      <c r="V291">
        <f>VLOOKUP($A291,精英副本客户端!$A$2:$O$406,10,0)</f>
        <v>52</v>
      </c>
      <c r="W291">
        <f>VLOOKUP($A291,精英副本客户端!$A$2:$O$406,11,0)</f>
        <v>0</v>
      </c>
      <c r="X291">
        <f>VLOOKUP($A291,精英副本客户端!$A$2:$O$406,12,0)</f>
        <v>1</v>
      </c>
      <c r="Y291" t="str">
        <f t="shared" si="33"/>
        <v>敏捷试炼（50）</v>
      </c>
    </row>
    <row r="292" spans="1:25">
      <c r="A292">
        <f t="shared" si="32"/>
        <v>205008</v>
      </c>
      <c r="B292" t="s">
        <v>1046</v>
      </c>
      <c r="C292">
        <v>0</v>
      </c>
      <c r="D292">
        <v>0</v>
      </c>
      <c r="E292" t="str">
        <f t="shared" si="36"/>
        <v>2050081_1</v>
      </c>
      <c r="F292" t="s">
        <v>213</v>
      </c>
      <c r="G292">
        <v>0</v>
      </c>
      <c r="H292">
        <v>0</v>
      </c>
      <c r="I292">
        <v>0</v>
      </c>
      <c r="J292">
        <v>0</v>
      </c>
      <c r="K292">
        <v>100</v>
      </c>
      <c r="L292" t="s">
        <v>738</v>
      </c>
      <c r="M292" s="6" t="s">
        <v>739</v>
      </c>
      <c r="N292">
        <v>920</v>
      </c>
      <c r="O292">
        <v>120</v>
      </c>
      <c r="P292">
        <v>10</v>
      </c>
      <c r="Q292">
        <v>10</v>
      </c>
      <c r="R292">
        <v>0</v>
      </c>
      <c r="S292">
        <f t="shared" si="34"/>
        <v>2</v>
      </c>
      <c r="T292">
        <f t="shared" si="35"/>
        <v>46</v>
      </c>
      <c r="U292">
        <f t="shared" si="37"/>
        <v>205007</v>
      </c>
      <c r="V292">
        <f>VLOOKUP($A292,精英副本客户端!$A$2:$O$406,10,0)</f>
        <v>53</v>
      </c>
      <c r="W292">
        <f>VLOOKUP($A292,精英副本客户端!$A$2:$O$406,11,0)</f>
        <v>0</v>
      </c>
      <c r="X292">
        <f>VLOOKUP($A292,精英副本客户端!$A$2:$O$406,12,0)</f>
        <v>1</v>
      </c>
      <c r="Y292" t="str">
        <f t="shared" si="33"/>
        <v>敏捷试炼（50）</v>
      </c>
    </row>
    <row r="293" spans="1:25">
      <c r="A293">
        <f t="shared" si="32"/>
        <v>205009</v>
      </c>
      <c r="B293" t="s">
        <v>1047</v>
      </c>
      <c r="C293">
        <v>0</v>
      </c>
      <c r="D293">
        <v>0</v>
      </c>
      <c r="E293" t="str">
        <f t="shared" si="36"/>
        <v>2050091_1</v>
      </c>
      <c r="F293" t="s">
        <v>213</v>
      </c>
      <c r="G293">
        <v>0</v>
      </c>
      <c r="H293">
        <v>0</v>
      </c>
      <c r="I293">
        <v>0</v>
      </c>
      <c r="J293">
        <v>0</v>
      </c>
      <c r="K293">
        <v>100</v>
      </c>
      <c r="L293" t="s">
        <v>738</v>
      </c>
      <c r="M293" s="6" t="s">
        <v>739</v>
      </c>
      <c r="N293">
        <v>920</v>
      </c>
      <c r="O293">
        <v>120</v>
      </c>
      <c r="P293">
        <v>10</v>
      </c>
      <c r="Q293">
        <v>10</v>
      </c>
      <c r="R293">
        <v>0</v>
      </c>
      <c r="S293">
        <f t="shared" si="34"/>
        <v>2</v>
      </c>
      <c r="T293">
        <f t="shared" si="35"/>
        <v>46</v>
      </c>
      <c r="U293">
        <f t="shared" si="37"/>
        <v>205008</v>
      </c>
      <c r="V293">
        <f>VLOOKUP($A293,精英副本客户端!$A$2:$O$406,10,0)</f>
        <v>54</v>
      </c>
      <c r="W293">
        <f>VLOOKUP($A293,精英副本客户端!$A$2:$O$406,11,0)</f>
        <v>1</v>
      </c>
      <c r="X293">
        <f>VLOOKUP($A293,精英副本客户端!$A$2:$O$406,12,0)</f>
        <v>5</v>
      </c>
      <c r="Y293" t="str">
        <f t="shared" si="33"/>
        <v>敏捷试炼（50）</v>
      </c>
    </row>
    <row r="294" spans="1:25">
      <c r="A294">
        <f t="shared" si="32"/>
        <v>205501</v>
      </c>
      <c r="B294" t="s">
        <v>1064</v>
      </c>
      <c r="C294">
        <v>0</v>
      </c>
      <c r="D294">
        <v>0</v>
      </c>
      <c r="E294" t="str">
        <f t="shared" si="36"/>
        <v>2055011_1</v>
      </c>
      <c r="F294" t="s">
        <v>213</v>
      </c>
      <c r="G294">
        <v>0</v>
      </c>
      <c r="H294">
        <v>0</v>
      </c>
      <c r="I294">
        <v>0</v>
      </c>
      <c r="J294">
        <v>0</v>
      </c>
      <c r="K294">
        <v>100</v>
      </c>
      <c r="L294" t="s">
        <v>738</v>
      </c>
      <c r="M294" s="6" t="s">
        <v>739</v>
      </c>
      <c r="N294">
        <v>920</v>
      </c>
      <c r="O294">
        <v>120</v>
      </c>
      <c r="P294">
        <v>10</v>
      </c>
      <c r="Q294">
        <v>10</v>
      </c>
      <c r="R294">
        <v>0</v>
      </c>
      <c r="S294">
        <f t="shared" si="34"/>
        <v>2</v>
      </c>
      <c r="T294">
        <f t="shared" si="35"/>
        <v>51</v>
      </c>
      <c r="U294">
        <f t="shared" si="37"/>
        <v>205009</v>
      </c>
      <c r="V294">
        <f>VLOOKUP($A294,精英副本客户端!$A$2:$O$406,10,0)</f>
        <v>55</v>
      </c>
      <c r="W294">
        <f>VLOOKUP($A294,精英副本客户端!$A$2:$O$406,11,0)</f>
        <v>0</v>
      </c>
      <c r="X294">
        <f>VLOOKUP($A294,精英副本客户端!$A$2:$O$406,12,0)</f>
        <v>1</v>
      </c>
      <c r="Y294" t="str">
        <f t="shared" si="33"/>
        <v>敏捷试炼（55）</v>
      </c>
    </row>
    <row r="295" spans="1:25">
      <c r="A295">
        <f t="shared" si="32"/>
        <v>205502</v>
      </c>
      <c r="B295" t="s">
        <v>1040</v>
      </c>
      <c r="C295">
        <v>0</v>
      </c>
      <c r="D295">
        <v>0</v>
      </c>
      <c r="E295" t="str">
        <f t="shared" si="36"/>
        <v>2055021_1</v>
      </c>
      <c r="F295" t="s">
        <v>213</v>
      </c>
      <c r="G295">
        <v>0</v>
      </c>
      <c r="H295">
        <v>0</v>
      </c>
      <c r="I295">
        <v>0</v>
      </c>
      <c r="J295">
        <v>0</v>
      </c>
      <c r="K295">
        <v>100</v>
      </c>
      <c r="L295" t="s">
        <v>738</v>
      </c>
      <c r="M295" s="6" t="s">
        <v>739</v>
      </c>
      <c r="N295">
        <v>920</v>
      </c>
      <c r="O295">
        <v>120</v>
      </c>
      <c r="P295">
        <v>10</v>
      </c>
      <c r="Q295">
        <v>10</v>
      </c>
      <c r="R295">
        <v>0</v>
      </c>
      <c r="S295">
        <f t="shared" si="34"/>
        <v>2</v>
      </c>
      <c r="T295">
        <f t="shared" si="35"/>
        <v>51</v>
      </c>
      <c r="U295">
        <f t="shared" si="37"/>
        <v>205501</v>
      </c>
      <c r="V295">
        <f>VLOOKUP($A295,精英副本客户端!$A$2:$O$406,10,0)</f>
        <v>55</v>
      </c>
      <c r="W295">
        <f>VLOOKUP($A295,精英副本客户端!$A$2:$O$406,11,0)</f>
        <v>0</v>
      </c>
      <c r="X295">
        <f>VLOOKUP($A295,精英副本客户端!$A$2:$O$406,12,0)</f>
        <v>1</v>
      </c>
      <c r="Y295" t="str">
        <f t="shared" si="33"/>
        <v>敏捷试炼（55）</v>
      </c>
    </row>
    <row r="296" spans="1:25">
      <c r="A296">
        <f t="shared" si="32"/>
        <v>205503</v>
      </c>
      <c r="B296" t="s">
        <v>1041</v>
      </c>
      <c r="C296">
        <v>0</v>
      </c>
      <c r="D296">
        <v>0</v>
      </c>
      <c r="E296" t="str">
        <f t="shared" si="36"/>
        <v>2055031_1</v>
      </c>
      <c r="F296" t="s">
        <v>213</v>
      </c>
      <c r="G296">
        <v>0</v>
      </c>
      <c r="H296">
        <v>0</v>
      </c>
      <c r="I296">
        <v>0</v>
      </c>
      <c r="J296">
        <v>0</v>
      </c>
      <c r="K296">
        <v>100</v>
      </c>
      <c r="L296" t="s">
        <v>738</v>
      </c>
      <c r="M296" s="6" t="s">
        <v>739</v>
      </c>
      <c r="N296">
        <v>920</v>
      </c>
      <c r="O296">
        <v>120</v>
      </c>
      <c r="P296">
        <v>10</v>
      </c>
      <c r="Q296">
        <v>10</v>
      </c>
      <c r="R296">
        <v>0</v>
      </c>
      <c r="S296">
        <f t="shared" si="34"/>
        <v>2</v>
      </c>
      <c r="T296">
        <f t="shared" si="35"/>
        <v>51</v>
      </c>
      <c r="U296">
        <f t="shared" si="37"/>
        <v>205502</v>
      </c>
      <c r="V296">
        <f>VLOOKUP($A296,精英副本客户端!$A$2:$O$406,10,0)</f>
        <v>56</v>
      </c>
      <c r="W296">
        <f>VLOOKUP($A296,精英副本客户端!$A$2:$O$406,11,0)</f>
        <v>1</v>
      </c>
      <c r="X296">
        <f>VLOOKUP($A296,精英副本客户端!$A$2:$O$406,12,0)</f>
        <v>5</v>
      </c>
      <c r="Y296" t="str">
        <f t="shared" si="33"/>
        <v>敏捷试炼（55）</v>
      </c>
    </row>
    <row r="297" spans="1:25">
      <c r="A297">
        <f t="shared" si="32"/>
        <v>205504</v>
      </c>
      <c r="B297" t="s">
        <v>1042</v>
      </c>
      <c r="C297">
        <v>0</v>
      </c>
      <c r="D297">
        <v>0</v>
      </c>
      <c r="E297" t="str">
        <f t="shared" si="36"/>
        <v>2055041_1</v>
      </c>
      <c r="F297" t="s">
        <v>213</v>
      </c>
      <c r="G297">
        <v>0</v>
      </c>
      <c r="H297">
        <v>0</v>
      </c>
      <c r="I297">
        <v>0</v>
      </c>
      <c r="J297">
        <v>0</v>
      </c>
      <c r="K297">
        <v>100</v>
      </c>
      <c r="L297" t="s">
        <v>738</v>
      </c>
      <c r="M297" s="6" t="s">
        <v>739</v>
      </c>
      <c r="N297">
        <v>920</v>
      </c>
      <c r="O297">
        <v>120</v>
      </c>
      <c r="P297">
        <v>10</v>
      </c>
      <c r="Q297">
        <v>10</v>
      </c>
      <c r="R297">
        <v>0</v>
      </c>
      <c r="S297">
        <f t="shared" si="34"/>
        <v>2</v>
      </c>
      <c r="T297">
        <f t="shared" si="35"/>
        <v>51</v>
      </c>
      <c r="U297">
        <f t="shared" si="37"/>
        <v>205503</v>
      </c>
      <c r="V297">
        <f>VLOOKUP($A297,精英副本客户端!$A$2:$O$406,10,0)</f>
        <v>56</v>
      </c>
      <c r="W297">
        <f>VLOOKUP($A297,精英副本客户端!$A$2:$O$406,11,0)</f>
        <v>0</v>
      </c>
      <c r="X297">
        <f>VLOOKUP($A297,精英副本客户端!$A$2:$O$406,12,0)</f>
        <v>1</v>
      </c>
      <c r="Y297" t="str">
        <f t="shared" si="33"/>
        <v>敏捷试炼（55）</v>
      </c>
    </row>
    <row r="298" spans="1:25">
      <c r="A298">
        <f t="shared" si="32"/>
        <v>205505</v>
      </c>
      <c r="B298" t="s">
        <v>1043</v>
      </c>
      <c r="C298">
        <v>0</v>
      </c>
      <c r="D298">
        <v>0</v>
      </c>
      <c r="E298" t="str">
        <f t="shared" si="36"/>
        <v>2055051_1</v>
      </c>
      <c r="F298" t="s">
        <v>213</v>
      </c>
      <c r="G298">
        <v>0</v>
      </c>
      <c r="H298">
        <v>0</v>
      </c>
      <c r="I298">
        <v>0</v>
      </c>
      <c r="J298">
        <v>0</v>
      </c>
      <c r="K298">
        <v>100</v>
      </c>
      <c r="L298" t="s">
        <v>738</v>
      </c>
      <c r="M298" s="6" t="s">
        <v>739</v>
      </c>
      <c r="N298">
        <v>920</v>
      </c>
      <c r="O298">
        <v>120</v>
      </c>
      <c r="P298">
        <v>10</v>
      </c>
      <c r="Q298">
        <v>10</v>
      </c>
      <c r="R298">
        <v>0</v>
      </c>
      <c r="S298">
        <f t="shared" si="34"/>
        <v>2</v>
      </c>
      <c r="T298">
        <f t="shared" si="35"/>
        <v>51</v>
      </c>
      <c r="U298">
        <f t="shared" si="37"/>
        <v>205504</v>
      </c>
      <c r="V298">
        <f>VLOOKUP($A298,精英副本客户端!$A$2:$O$406,10,0)</f>
        <v>56</v>
      </c>
      <c r="W298">
        <f>VLOOKUP($A298,精英副本客户端!$A$2:$O$406,11,0)</f>
        <v>0</v>
      </c>
      <c r="X298">
        <f>VLOOKUP($A298,精英副本客户端!$A$2:$O$406,12,0)</f>
        <v>1</v>
      </c>
      <c r="Y298" t="str">
        <f t="shared" si="33"/>
        <v>敏捷试炼（55）</v>
      </c>
    </row>
    <row r="299" spans="1:25">
      <c r="A299">
        <f t="shared" si="32"/>
        <v>205506</v>
      </c>
      <c r="B299" t="s">
        <v>1044</v>
      </c>
      <c r="C299">
        <v>0</v>
      </c>
      <c r="D299">
        <v>0</v>
      </c>
      <c r="E299" t="str">
        <f t="shared" si="36"/>
        <v>2055061_1</v>
      </c>
      <c r="F299" t="s">
        <v>213</v>
      </c>
      <c r="G299">
        <v>0</v>
      </c>
      <c r="H299">
        <v>0</v>
      </c>
      <c r="I299">
        <v>0</v>
      </c>
      <c r="J299">
        <v>0</v>
      </c>
      <c r="K299">
        <v>100</v>
      </c>
      <c r="L299" t="s">
        <v>738</v>
      </c>
      <c r="M299" s="6" t="s">
        <v>739</v>
      </c>
      <c r="N299">
        <v>920</v>
      </c>
      <c r="O299">
        <v>120</v>
      </c>
      <c r="P299">
        <v>10</v>
      </c>
      <c r="Q299">
        <v>10</v>
      </c>
      <c r="R299">
        <v>0</v>
      </c>
      <c r="S299">
        <f t="shared" si="34"/>
        <v>2</v>
      </c>
      <c r="T299">
        <f t="shared" si="35"/>
        <v>51</v>
      </c>
      <c r="U299">
        <f t="shared" si="37"/>
        <v>205505</v>
      </c>
      <c r="V299">
        <f>VLOOKUP($A299,精英副本客户端!$A$2:$O$406,10,0)</f>
        <v>57</v>
      </c>
      <c r="W299">
        <f>VLOOKUP($A299,精英副本客户端!$A$2:$O$406,11,0)</f>
        <v>1</v>
      </c>
      <c r="X299">
        <f>VLOOKUP($A299,精英副本客户端!$A$2:$O$406,12,0)</f>
        <v>5</v>
      </c>
      <c r="Y299" t="str">
        <f t="shared" si="33"/>
        <v>敏捷试炼（55）</v>
      </c>
    </row>
    <row r="300" spans="1:25">
      <c r="A300">
        <f t="shared" si="32"/>
        <v>205507</v>
      </c>
      <c r="B300" t="s">
        <v>1045</v>
      </c>
      <c r="C300">
        <v>0</v>
      </c>
      <c r="D300">
        <v>0</v>
      </c>
      <c r="E300" t="str">
        <f t="shared" si="36"/>
        <v>2055071_1</v>
      </c>
      <c r="F300" t="s">
        <v>213</v>
      </c>
      <c r="G300">
        <v>0</v>
      </c>
      <c r="H300">
        <v>0</v>
      </c>
      <c r="I300">
        <v>0</v>
      </c>
      <c r="J300">
        <v>0</v>
      </c>
      <c r="K300">
        <v>100</v>
      </c>
      <c r="L300" t="s">
        <v>738</v>
      </c>
      <c r="M300" s="6" t="s">
        <v>739</v>
      </c>
      <c r="N300">
        <v>920</v>
      </c>
      <c r="O300">
        <v>120</v>
      </c>
      <c r="P300">
        <v>10</v>
      </c>
      <c r="Q300">
        <v>10</v>
      </c>
      <c r="R300">
        <v>0</v>
      </c>
      <c r="S300">
        <f t="shared" si="34"/>
        <v>2</v>
      </c>
      <c r="T300">
        <f t="shared" si="35"/>
        <v>51</v>
      </c>
      <c r="U300">
        <f t="shared" si="37"/>
        <v>205506</v>
      </c>
      <c r="V300">
        <f>VLOOKUP($A300,精英副本客户端!$A$2:$O$406,10,0)</f>
        <v>57</v>
      </c>
      <c r="W300">
        <f>VLOOKUP($A300,精英副本客户端!$A$2:$O$406,11,0)</f>
        <v>0</v>
      </c>
      <c r="X300">
        <f>VLOOKUP($A300,精英副本客户端!$A$2:$O$406,12,0)</f>
        <v>1</v>
      </c>
      <c r="Y300" t="str">
        <f t="shared" si="33"/>
        <v>敏捷试炼（55）</v>
      </c>
    </row>
    <row r="301" spans="1:25">
      <c r="A301">
        <f t="shared" si="32"/>
        <v>205508</v>
      </c>
      <c r="B301" t="s">
        <v>1046</v>
      </c>
      <c r="C301">
        <v>0</v>
      </c>
      <c r="D301">
        <v>0</v>
      </c>
      <c r="E301" t="str">
        <f t="shared" si="36"/>
        <v>2055081_1</v>
      </c>
      <c r="F301" t="s">
        <v>213</v>
      </c>
      <c r="G301">
        <v>0</v>
      </c>
      <c r="H301">
        <v>0</v>
      </c>
      <c r="I301">
        <v>0</v>
      </c>
      <c r="J301">
        <v>0</v>
      </c>
      <c r="K301">
        <v>100</v>
      </c>
      <c r="L301" t="s">
        <v>738</v>
      </c>
      <c r="M301" s="6" t="s">
        <v>739</v>
      </c>
      <c r="N301">
        <v>920</v>
      </c>
      <c r="O301">
        <v>120</v>
      </c>
      <c r="P301">
        <v>10</v>
      </c>
      <c r="Q301">
        <v>10</v>
      </c>
      <c r="R301">
        <v>0</v>
      </c>
      <c r="S301">
        <f t="shared" si="34"/>
        <v>2</v>
      </c>
      <c r="T301">
        <f t="shared" si="35"/>
        <v>51</v>
      </c>
      <c r="U301">
        <f t="shared" si="37"/>
        <v>205507</v>
      </c>
      <c r="V301">
        <f>VLOOKUP($A301,精英副本客户端!$A$2:$O$406,10,0)</f>
        <v>58</v>
      </c>
      <c r="W301">
        <f>VLOOKUP($A301,精英副本客户端!$A$2:$O$406,11,0)</f>
        <v>0</v>
      </c>
      <c r="X301">
        <f>VLOOKUP($A301,精英副本客户端!$A$2:$O$406,12,0)</f>
        <v>1</v>
      </c>
      <c r="Y301" t="str">
        <f t="shared" si="33"/>
        <v>敏捷试炼（55）</v>
      </c>
    </row>
    <row r="302" spans="1:25">
      <c r="A302">
        <f t="shared" si="32"/>
        <v>205509</v>
      </c>
      <c r="B302" t="s">
        <v>1047</v>
      </c>
      <c r="C302">
        <v>0</v>
      </c>
      <c r="D302">
        <v>0</v>
      </c>
      <c r="E302" t="str">
        <f t="shared" si="36"/>
        <v>2055091_1</v>
      </c>
      <c r="F302" t="s">
        <v>213</v>
      </c>
      <c r="G302">
        <v>0</v>
      </c>
      <c r="H302">
        <v>0</v>
      </c>
      <c r="I302">
        <v>0</v>
      </c>
      <c r="J302">
        <v>0</v>
      </c>
      <c r="K302">
        <v>100</v>
      </c>
      <c r="L302" t="s">
        <v>738</v>
      </c>
      <c r="M302" s="6" t="s">
        <v>739</v>
      </c>
      <c r="N302">
        <v>920</v>
      </c>
      <c r="O302">
        <v>120</v>
      </c>
      <c r="P302">
        <v>10</v>
      </c>
      <c r="Q302">
        <v>10</v>
      </c>
      <c r="R302">
        <v>0</v>
      </c>
      <c r="S302">
        <f t="shared" si="34"/>
        <v>2</v>
      </c>
      <c r="T302">
        <f t="shared" si="35"/>
        <v>51</v>
      </c>
      <c r="U302">
        <f t="shared" si="37"/>
        <v>205508</v>
      </c>
      <c r="V302">
        <f>VLOOKUP($A302,精英副本客户端!$A$2:$O$406,10,0)</f>
        <v>59</v>
      </c>
      <c r="W302">
        <f>VLOOKUP($A302,精英副本客户端!$A$2:$O$406,11,0)</f>
        <v>1</v>
      </c>
      <c r="X302">
        <f>VLOOKUP($A302,精英副本客户端!$A$2:$O$406,12,0)</f>
        <v>5</v>
      </c>
      <c r="Y302" t="str">
        <f t="shared" si="33"/>
        <v>敏捷试炼（55）</v>
      </c>
    </row>
    <row r="303" spans="1:25">
      <c r="A303">
        <f t="shared" si="32"/>
        <v>206001</v>
      </c>
      <c r="B303" t="s">
        <v>1048</v>
      </c>
      <c r="C303">
        <v>0</v>
      </c>
      <c r="D303">
        <v>0</v>
      </c>
      <c r="E303" t="str">
        <f t="shared" si="36"/>
        <v>2060011_1</v>
      </c>
      <c r="F303" t="s">
        <v>213</v>
      </c>
      <c r="G303">
        <v>0</v>
      </c>
      <c r="H303">
        <v>0</v>
      </c>
      <c r="I303">
        <v>0</v>
      </c>
      <c r="J303">
        <v>0</v>
      </c>
      <c r="K303">
        <v>100</v>
      </c>
      <c r="L303" t="s">
        <v>738</v>
      </c>
      <c r="M303" s="6" t="s">
        <v>739</v>
      </c>
      <c r="N303">
        <v>920</v>
      </c>
      <c r="O303">
        <v>120</v>
      </c>
      <c r="P303">
        <v>10</v>
      </c>
      <c r="Q303">
        <v>10</v>
      </c>
      <c r="R303">
        <v>0</v>
      </c>
      <c r="S303">
        <f t="shared" si="34"/>
        <v>2</v>
      </c>
      <c r="T303">
        <f t="shared" si="35"/>
        <v>56</v>
      </c>
      <c r="U303">
        <f t="shared" si="37"/>
        <v>205509</v>
      </c>
      <c r="V303">
        <f>VLOOKUP($A303,精英副本客户端!$A$2:$O$406,10,0)</f>
        <v>60</v>
      </c>
      <c r="W303">
        <f>VLOOKUP($A303,精英副本客户端!$A$2:$O$406,11,0)</f>
        <v>0</v>
      </c>
      <c r="X303">
        <f>VLOOKUP($A303,精英副本客户端!$A$2:$O$406,12,0)</f>
        <v>1</v>
      </c>
      <c r="Y303" t="str">
        <f>"技巧试炼（"&amp;MID(A303,2,3)*1&amp;"）"</f>
        <v>技巧试炼（60）</v>
      </c>
    </row>
    <row r="304" spans="1:25">
      <c r="A304">
        <f t="shared" si="32"/>
        <v>206002</v>
      </c>
      <c r="B304" t="s">
        <v>1066</v>
      </c>
      <c r="C304">
        <v>0</v>
      </c>
      <c r="D304">
        <v>0</v>
      </c>
      <c r="E304" t="str">
        <f t="shared" si="36"/>
        <v>2060021_1</v>
      </c>
      <c r="F304" t="s">
        <v>213</v>
      </c>
      <c r="G304">
        <v>0</v>
      </c>
      <c r="H304">
        <v>0</v>
      </c>
      <c r="I304">
        <v>0</v>
      </c>
      <c r="J304">
        <v>0</v>
      </c>
      <c r="K304">
        <v>100</v>
      </c>
      <c r="L304" t="s">
        <v>738</v>
      </c>
      <c r="M304" s="6" t="s">
        <v>739</v>
      </c>
      <c r="N304">
        <v>920</v>
      </c>
      <c r="O304">
        <v>120</v>
      </c>
      <c r="P304">
        <v>10</v>
      </c>
      <c r="Q304">
        <v>10</v>
      </c>
      <c r="R304">
        <v>0</v>
      </c>
      <c r="S304">
        <f t="shared" si="34"/>
        <v>2</v>
      </c>
      <c r="T304">
        <f t="shared" si="35"/>
        <v>56</v>
      </c>
      <c r="U304">
        <f t="shared" si="37"/>
        <v>206001</v>
      </c>
      <c r="V304">
        <f>VLOOKUP($A304,精英副本客户端!$A$2:$O$406,10,0)</f>
        <v>60</v>
      </c>
      <c r="W304">
        <f>VLOOKUP($A304,精英副本客户端!$A$2:$O$406,11,0)</f>
        <v>0</v>
      </c>
      <c r="X304">
        <f>VLOOKUP($A304,精英副本客户端!$A$2:$O$406,12,0)</f>
        <v>1</v>
      </c>
      <c r="Y304" t="str">
        <f t="shared" ref="Y304:Y347" si="38">"技巧试炼（"&amp;MID(A304,2,3)*1&amp;"）"</f>
        <v>技巧试炼（60）</v>
      </c>
    </row>
    <row r="305" spans="1:25">
      <c r="A305">
        <f t="shared" si="32"/>
        <v>206003</v>
      </c>
      <c r="B305" t="s">
        <v>1067</v>
      </c>
      <c r="C305">
        <v>0</v>
      </c>
      <c r="D305">
        <v>0</v>
      </c>
      <c r="E305" t="str">
        <f t="shared" si="36"/>
        <v>2060031_1</v>
      </c>
      <c r="F305" t="s">
        <v>213</v>
      </c>
      <c r="G305">
        <v>0</v>
      </c>
      <c r="H305">
        <v>0</v>
      </c>
      <c r="I305">
        <v>0</v>
      </c>
      <c r="J305">
        <v>0</v>
      </c>
      <c r="K305">
        <v>100</v>
      </c>
      <c r="L305" t="s">
        <v>738</v>
      </c>
      <c r="M305" s="6" t="s">
        <v>739</v>
      </c>
      <c r="N305">
        <v>920</v>
      </c>
      <c r="O305">
        <v>120</v>
      </c>
      <c r="P305">
        <v>10</v>
      </c>
      <c r="Q305">
        <v>10</v>
      </c>
      <c r="R305">
        <v>0</v>
      </c>
      <c r="S305">
        <f t="shared" si="34"/>
        <v>2</v>
      </c>
      <c r="T305">
        <f t="shared" si="35"/>
        <v>56</v>
      </c>
      <c r="U305">
        <f t="shared" si="37"/>
        <v>206002</v>
      </c>
      <c r="V305">
        <f>VLOOKUP($A305,精英副本客户端!$A$2:$O$406,10,0)</f>
        <v>61</v>
      </c>
      <c r="W305">
        <f>VLOOKUP($A305,精英副本客户端!$A$2:$O$406,11,0)</f>
        <v>1</v>
      </c>
      <c r="X305">
        <f>VLOOKUP($A305,精英副本客户端!$A$2:$O$406,12,0)</f>
        <v>5</v>
      </c>
      <c r="Y305" t="str">
        <f t="shared" si="38"/>
        <v>技巧试炼（60）</v>
      </c>
    </row>
    <row r="306" spans="1:25">
      <c r="A306">
        <f t="shared" si="32"/>
        <v>206004</v>
      </c>
      <c r="B306" t="s">
        <v>1050</v>
      </c>
      <c r="C306">
        <v>0</v>
      </c>
      <c r="D306">
        <v>0</v>
      </c>
      <c r="E306" t="str">
        <f t="shared" si="36"/>
        <v>2060041_1</v>
      </c>
      <c r="F306" t="s">
        <v>213</v>
      </c>
      <c r="G306">
        <v>0</v>
      </c>
      <c r="H306">
        <v>0</v>
      </c>
      <c r="I306">
        <v>0</v>
      </c>
      <c r="J306">
        <v>0</v>
      </c>
      <c r="K306">
        <v>100</v>
      </c>
      <c r="L306" t="s">
        <v>738</v>
      </c>
      <c r="M306" s="6" t="s">
        <v>739</v>
      </c>
      <c r="N306">
        <v>920</v>
      </c>
      <c r="O306">
        <v>120</v>
      </c>
      <c r="P306">
        <v>10</v>
      </c>
      <c r="Q306">
        <v>10</v>
      </c>
      <c r="R306">
        <v>0</v>
      </c>
      <c r="S306">
        <f t="shared" si="34"/>
        <v>2</v>
      </c>
      <c r="T306">
        <f t="shared" si="35"/>
        <v>56</v>
      </c>
      <c r="U306">
        <f t="shared" si="37"/>
        <v>206003</v>
      </c>
      <c r="V306">
        <f>VLOOKUP($A306,精英副本客户端!$A$2:$O$406,10,0)</f>
        <v>61</v>
      </c>
      <c r="W306">
        <f>VLOOKUP($A306,精英副本客户端!$A$2:$O$406,11,0)</f>
        <v>0</v>
      </c>
      <c r="X306">
        <f>VLOOKUP($A306,精英副本客户端!$A$2:$O$406,12,0)</f>
        <v>1</v>
      </c>
      <c r="Y306" t="str">
        <f t="shared" si="38"/>
        <v>技巧试炼（60）</v>
      </c>
    </row>
    <row r="307" spans="1:25">
      <c r="A307">
        <f t="shared" si="32"/>
        <v>206005</v>
      </c>
      <c r="B307" t="s">
        <v>1051</v>
      </c>
      <c r="C307">
        <v>0</v>
      </c>
      <c r="D307">
        <v>0</v>
      </c>
      <c r="E307" t="str">
        <f t="shared" si="36"/>
        <v>2060051_1</v>
      </c>
      <c r="F307" t="s">
        <v>213</v>
      </c>
      <c r="G307">
        <v>0</v>
      </c>
      <c r="H307">
        <v>0</v>
      </c>
      <c r="I307">
        <v>0</v>
      </c>
      <c r="J307">
        <v>0</v>
      </c>
      <c r="K307">
        <v>100</v>
      </c>
      <c r="L307" t="s">
        <v>738</v>
      </c>
      <c r="M307" s="6" t="s">
        <v>739</v>
      </c>
      <c r="N307">
        <v>920</v>
      </c>
      <c r="O307">
        <v>120</v>
      </c>
      <c r="P307">
        <v>10</v>
      </c>
      <c r="Q307">
        <v>10</v>
      </c>
      <c r="R307">
        <v>0</v>
      </c>
      <c r="S307">
        <f t="shared" si="34"/>
        <v>2</v>
      </c>
      <c r="T307">
        <f t="shared" si="35"/>
        <v>56</v>
      </c>
      <c r="U307">
        <f t="shared" si="37"/>
        <v>206004</v>
      </c>
      <c r="V307">
        <f>VLOOKUP($A307,精英副本客户端!$A$2:$O$406,10,0)</f>
        <v>61</v>
      </c>
      <c r="W307">
        <f>VLOOKUP($A307,精英副本客户端!$A$2:$O$406,11,0)</f>
        <v>0</v>
      </c>
      <c r="X307">
        <f>VLOOKUP($A307,精英副本客户端!$A$2:$O$406,12,0)</f>
        <v>1</v>
      </c>
      <c r="Y307" t="str">
        <f t="shared" si="38"/>
        <v>技巧试炼（60）</v>
      </c>
    </row>
    <row r="308" spans="1:25">
      <c r="A308">
        <f t="shared" si="32"/>
        <v>206006</v>
      </c>
      <c r="B308" t="s">
        <v>1049</v>
      </c>
      <c r="C308">
        <v>0</v>
      </c>
      <c r="D308">
        <v>0</v>
      </c>
      <c r="E308" t="str">
        <f t="shared" si="36"/>
        <v>2060061_1</v>
      </c>
      <c r="F308" t="s">
        <v>213</v>
      </c>
      <c r="G308">
        <v>0</v>
      </c>
      <c r="H308">
        <v>0</v>
      </c>
      <c r="I308">
        <v>0</v>
      </c>
      <c r="J308">
        <v>0</v>
      </c>
      <c r="K308">
        <v>100</v>
      </c>
      <c r="L308" t="s">
        <v>738</v>
      </c>
      <c r="M308" s="6" t="s">
        <v>739</v>
      </c>
      <c r="N308">
        <v>920</v>
      </c>
      <c r="O308">
        <v>120</v>
      </c>
      <c r="P308">
        <v>10</v>
      </c>
      <c r="Q308">
        <v>10</v>
      </c>
      <c r="R308">
        <v>0</v>
      </c>
      <c r="S308">
        <f t="shared" si="34"/>
        <v>2</v>
      </c>
      <c r="T308">
        <f t="shared" si="35"/>
        <v>56</v>
      </c>
      <c r="U308">
        <f t="shared" si="37"/>
        <v>206005</v>
      </c>
      <c r="V308">
        <f>VLOOKUP($A308,精英副本客户端!$A$2:$O$406,10,0)</f>
        <v>62</v>
      </c>
      <c r="W308">
        <f>VLOOKUP($A308,精英副本客户端!$A$2:$O$406,11,0)</f>
        <v>1</v>
      </c>
      <c r="X308">
        <f>VLOOKUP($A308,精英副本客户端!$A$2:$O$406,12,0)</f>
        <v>5</v>
      </c>
      <c r="Y308" t="str">
        <f t="shared" si="38"/>
        <v>技巧试炼（60）</v>
      </c>
    </row>
    <row r="309" spans="1:25">
      <c r="A309">
        <f t="shared" si="32"/>
        <v>206007</v>
      </c>
      <c r="B309" t="s">
        <v>1053</v>
      </c>
      <c r="C309">
        <v>0</v>
      </c>
      <c r="D309">
        <v>0</v>
      </c>
      <c r="E309" t="str">
        <f t="shared" si="36"/>
        <v>2060071_1</v>
      </c>
      <c r="F309" t="s">
        <v>213</v>
      </c>
      <c r="G309">
        <v>0</v>
      </c>
      <c r="H309">
        <v>0</v>
      </c>
      <c r="I309">
        <v>0</v>
      </c>
      <c r="J309">
        <v>0</v>
      </c>
      <c r="K309">
        <v>100</v>
      </c>
      <c r="L309" t="s">
        <v>738</v>
      </c>
      <c r="M309" s="6" t="s">
        <v>739</v>
      </c>
      <c r="N309">
        <v>920</v>
      </c>
      <c r="O309">
        <v>120</v>
      </c>
      <c r="P309">
        <v>10</v>
      </c>
      <c r="Q309">
        <v>10</v>
      </c>
      <c r="R309">
        <v>0</v>
      </c>
      <c r="S309">
        <f t="shared" si="34"/>
        <v>2</v>
      </c>
      <c r="T309">
        <f t="shared" si="35"/>
        <v>56</v>
      </c>
      <c r="U309">
        <f t="shared" si="37"/>
        <v>206006</v>
      </c>
      <c r="V309">
        <f>VLOOKUP($A309,精英副本客户端!$A$2:$O$406,10,0)</f>
        <v>62</v>
      </c>
      <c r="W309">
        <f>VLOOKUP($A309,精英副本客户端!$A$2:$O$406,11,0)</f>
        <v>0</v>
      </c>
      <c r="X309">
        <f>VLOOKUP($A309,精英副本客户端!$A$2:$O$406,12,0)</f>
        <v>1</v>
      </c>
      <c r="Y309" t="str">
        <f t="shared" si="38"/>
        <v>技巧试炼（60）</v>
      </c>
    </row>
    <row r="310" spans="1:25">
      <c r="A310">
        <f t="shared" si="32"/>
        <v>206008</v>
      </c>
      <c r="B310" t="s">
        <v>1054</v>
      </c>
      <c r="C310">
        <v>0</v>
      </c>
      <c r="D310">
        <v>0</v>
      </c>
      <c r="E310" t="str">
        <f t="shared" si="36"/>
        <v>2060081_1</v>
      </c>
      <c r="F310" t="s">
        <v>213</v>
      </c>
      <c r="G310">
        <v>0</v>
      </c>
      <c r="H310">
        <v>0</v>
      </c>
      <c r="I310">
        <v>0</v>
      </c>
      <c r="J310">
        <v>0</v>
      </c>
      <c r="K310">
        <v>100</v>
      </c>
      <c r="L310" t="s">
        <v>738</v>
      </c>
      <c r="M310" s="6" t="s">
        <v>739</v>
      </c>
      <c r="N310">
        <v>920</v>
      </c>
      <c r="O310">
        <v>120</v>
      </c>
      <c r="P310">
        <v>10</v>
      </c>
      <c r="Q310">
        <v>10</v>
      </c>
      <c r="R310">
        <v>0</v>
      </c>
      <c r="S310">
        <f t="shared" si="34"/>
        <v>2</v>
      </c>
      <c r="T310">
        <f t="shared" si="35"/>
        <v>56</v>
      </c>
      <c r="U310">
        <f t="shared" si="37"/>
        <v>206007</v>
      </c>
      <c r="V310">
        <f>VLOOKUP($A310,精英副本客户端!$A$2:$O$406,10,0)</f>
        <v>63</v>
      </c>
      <c r="W310">
        <f>VLOOKUP($A310,精英副本客户端!$A$2:$O$406,11,0)</f>
        <v>0</v>
      </c>
      <c r="X310">
        <f>VLOOKUP($A310,精英副本客户端!$A$2:$O$406,12,0)</f>
        <v>1</v>
      </c>
      <c r="Y310" t="str">
        <f t="shared" si="38"/>
        <v>技巧试炼（60）</v>
      </c>
    </row>
    <row r="311" spans="1:25">
      <c r="A311">
        <f t="shared" si="32"/>
        <v>206009</v>
      </c>
      <c r="B311" t="s">
        <v>1055</v>
      </c>
      <c r="C311">
        <v>0</v>
      </c>
      <c r="D311">
        <v>0</v>
      </c>
      <c r="E311" t="str">
        <f t="shared" si="36"/>
        <v>2060091_1</v>
      </c>
      <c r="F311" t="s">
        <v>213</v>
      </c>
      <c r="G311">
        <v>0</v>
      </c>
      <c r="H311">
        <v>0</v>
      </c>
      <c r="I311">
        <v>0</v>
      </c>
      <c r="J311">
        <v>0</v>
      </c>
      <c r="K311">
        <v>100</v>
      </c>
      <c r="L311" t="s">
        <v>738</v>
      </c>
      <c r="M311" s="6" t="s">
        <v>739</v>
      </c>
      <c r="N311">
        <v>920</v>
      </c>
      <c r="O311">
        <v>120</v>
      </c>
      <c r="P311">
        <v>10</v>
      </c>
      <c r="Q311">
        <v>10</v>
      </c>
      <c r="R311">
        <v>0</v>
      </c>
      <c r="S311">
        <f t="shared" si="34"/>
        <v>2</v>
      </c>
      <c r="T311">
        <f t="shared" si="35"/>
        <v>56</v>
      </c>
      <c r="U311">
        <f t="shared" si="37"/>
        <v>206008</v>
      </c>
      <c r="V311">
        <f>VLOOKUP($A311,精英副本客户端!$A$2:$O$406,10,0)</f>
        <v>64</v>
      </c>
      <c r="W311">
        <f>VLOOKUP($A311,精英副本客户端!$A$2:$O$406,11,0)</f>
        <v>1</v>
      </c>
      <c r="X311">
        <f>VLOOKUP($A311,精英副本客户端!$A$2:$O$406,12,0)</f>
        <v>5</v>
      </c>
      <c r="Y311" t="str">
        <f t="shared" si="38"/>
        <v>技巧试炼（60）</v>
      </c>
    </row>
    <row r="312" spans="1:25">
      <c r="A312">
        <f t="shared" si="32"/>
        <v>206501</v>
      </c>
      <c r="B312" t="s">
        <v>1048</v>
      </c>
      <c r="C312">
        <v>0</v>
      </c>
      <c r="D312">
        <v>0</v>
      </c>
      <c r="E312" t="str">
        <f t="shared" si="36"/>
        <v>2065011_1</v>
      </c>
      <c r="F312" t="s">
        <v>213</v>
      </c>
      <c r="G312">
        <v>0</v>
      </c>
      <c r="H312">
        <v>0</v>
      </c>
      <c r="I312">
        <v>0</v>
      </c>
      <c r="J312">
        <v>0</v>
      </c>
      <c r="K312">
        <v>100</v>
      </c>
      <c r="L312" t="s">
        <v>738</v>
      </c>
      <c r="M312" s="6" t="s">
        <v>739</v>
      </c>
      <c r="N312">
        <v>920</v>
      </c>
      <c r="O312">
        <v>120</v>
      </c>
      <c r="P312">
        <v>10</v>
      </c>
      <c r="Q312">
        <v>10</v>
      </c>
      <c r="R312">
        <v>0</v>
      </c>
      <c r="S312">
        <f t="shared" si="34"/>
        <v>2</v>
      </c>
      <c r="T312">
        <f t="shared" si="35"/>
        <v>61</v>
      </c>
      <c r="U312">
        <f t="shared" si="37"/>
        <v>206009</v>
      </c>
      <c r="V312">
        <f>VLOOKUP($A312,精英副本客户端!$A$2:$O$406,10,0)</f>
        <v>65</v>
      </c>
      <c r="W312">
        <f>VLOOKUP($A312,精英副本客户端!$A$2:$O$406,11,0)</f>
        <v>0</v>
      </c>
      <c r="X312">
        <f>VLOOKUP($A312,精英副本客户端!$A$2:$O$406,12,0)</f>
        <v>1</v>
      </c>
      <c r="Y312" t="str">
        <f t="shared" si="38"/>
        <v>技巧试炼（65）</v>
      </c>
    </row>
    <row r="313" spans="1:25">
      <c r="A313">
        <f t="shared" si="32"/>
        <v>206502</v>
      </c>
      <c r="B313" t="s">
        <v>1066</v>
      </c>
      <c r="C313">
        <v>0</v>
      </c>
      <c r="D313">
        <v>0</v>
      </c>
      <c r="E313" t="str">
        <f t="shared" si="36"/>
        <v>2065021_1</v>
      </c>
      <c r="F313" t="s">
        <v>213</v>
      </c>
      <c r="G313">
        <v>0</v>
      </c>
      <c r="H313">
        <v>0</v>
      </c>
      <c r="I313">
        <v>0</v>
      </c>
      <c r="J313">
        <v>0</v>
      </c>
      <c r="K313">
        <v>100</v>
      </c>
      <c r="L313" t="s">
        <v>738</v>
      </c>
      <c r="M313" s="6" t="s">
        <v>739</v>
      </c>
      <c r="N313">
        <v>920</v>
      </c>
      <c r="O313">
        <v>120</v>
      </c>
      <c r="P313">
        <v>10</v>
      </c>
      <c r="Q313">
        <v>10</v>
      </c>
      <c r="R313">
        <v>0</v>
      </c>
      <c r="S313">
        <f t="shared" si="34"/>
        <v>2</v>
      </c>
      <c r="T313">
        <f t="shared" si="35"/>
        <v>61</v>
      </c>
      <c r="U313">
        <f t="shared" si="37"/>
        <v>206501</v>
      </c>
      <c r="V313">
        <f>VLOOKUP($A313,精英副本客户端!$A$2:$O$406,10,0)</f>
        <v>65</v>
      </c>
      <c r="W313">
        <f>VLOOKUP($A313,精英副本客户端!$A$2:$O$406,11,0)</f>
        <v>0</v>
      </c>
      <c r="X313">
        <f>VLOOKUP($A313,精英副本客户端!$A$2:$O$406,12,0)</f>
        <v>1</v>
      </c>
      <c r="Y313" t="str">
        <f t="shared" si="38"/>
        <v>技巧试炼（65）</v>
      </c>
    </row>
    <row r="314" spans="1:25">
      <c r="A314">
        <f t="shared" si="32"/>
        <v>206503</v>
      </c>
      <c r="B314" t="s">
        <v>1067</v>
      </c>
      <c r="C314">
        <v>0</v>
      </c>
      <c r="D314">
        <v>0</v>
      </c>
      <c r="E314" t="str">
        <f t="shared" si="36"/>
        <v>2065031_1</v>
      </c>
      <c r="F314" t="s">
        <v>213</v>
      </c>
      <c r="G314">
        <v>0</v>
      </c>
      <c r="H314">
        <v>0</v>
      </c>
      <c r="I314">
        <v>0</v>
      </c>
      <c r="J314">
        <v>0</v>
      </c>
      <c r="K314">
        <v>100</v>
      </c>
      <c r="L314" t="s">
        <v>738</v>
      </c>
      <c r="M314" s="6" t="s">
        <v>739</v>
      </c>
      <c r="N314">
        <v>920</v>
      </c>
      <c r="O314">
        <v>120</v>
      </c>
      <c r="P314">
        <v>10</v>
      </c>
      <c r="Q314">
        <v>10</v>
      </c>
      <c r="R314">
        <v>0</v>
      </c>
      <c r="S314">
        <f t="shared" si="34"/>
        <v>2</v>
      </c>
      <c r="T314">
        <f t="shared" si="35"/>
        <v>61</v>
      </c>
      <c r="U314">
        <f t="shared" si="37"/>
        <v>206502</v>
      </c>
      <c r="V314">
        <f>VLOOKUP($A314,精英副本客户端!$A$2:$O$406,10,0)</f>
        <v>66</v>
      </c>
      <c r="W314">
        <f>VLOOKUP($A314,精英副本客户端!$A$2:$O$406,11,0)</f>
        <v>1</v>
      </c>
      <c r="X314">
        <f>VLOOKUP($A314,精英副本客户端!$A$2:$O$406,12,0)</f>
        <v>5</v>
      </c>
      <c r="Y314" t="str">
        <f t="shared" si="38"/>
        <v>技巧试炼（65）</v>
      </c>
    </row>
    <row r="315" spans="1:25">
      <c r="A315">
        <f t="shared" si="32"/>
        <v>206504</v>
      </c>
      <c r="B315" t="s">
        <v>1050</v>
      </c>
      <c r="C315">
        <v>0</v>
      </c>
      <c r="D315">
        <v>0</v>
      </c>
      <c r="E315" t="str">
        <f t="shared" si="36"/>
        <v>2065041_1</v>
      </c>
      <c r="F315" t="s">
        <v>213</v>
      </c>
      <c r="G315">
        <v>0</v>
      </c>
      <c r="H315">
        <v>0</v>
      </c>
      <c r="I315">
        <v>0</v>
      </c>
      <c r="J315">
        <v>0</v>
      </c>
      <c r="K315">
        <v>100</v>
      </c>
      <c r="L315" t="s">
        <v>738</v>
      </c>
      <c r="M315" s="6" t="s">
        <v>739</v>
      </c>
      <c r="N315">
        <v>920</v>
      </c>
      <c r="O315">
        <v>120</v>
      </c>
      <c r="P315">
        <v>10</v>
      </c>
      <c r="Q315">
        <v>10</v>
      </c>
      <c r="R315">
        <v>0</v>
      </c>
      <c r="S315">
        <f t="shared" si="34"/>
        <v>2</v>
      </c>
      <c r="T315">
        <f t="shared" si="35"/>
        <v>61</v>
      </c>
      <c r="U315">
        <f t="shared" si="37"/>
        <v>206503</v>
      </c>
      <c r="V315">
        <f>VLOOKUP($A315,精英副本客户端!$A$2:$O$406,10,0)</f>
        <v>66</v>
      </c>
      <c r="W315">
        <f>VLOOKUP($A315,精英副本客户端!$A$2:$O$406,11,0)</f>
        <v>0</v>
      </c>
      <c r="X315">
        <f>VLOOKUP($A315,精英副本客户端!$A$2:$O$406,12,0)</f>
        <v>1</v>
      </c>
      <c r="Y315" t="str">
        <f t="shared" si="38"/>
        <v>技巧试炼（65）</v>
      </c>
    </row>
    <row r="316" spans="1:25">
      <c r="A316">
        <f t="shared" si="32"/>
        <v>206505</v>
      </c>
      <c r="B316" t="s">
        <v>1051</v>
      </c>
      <c r="C316">
        <v>0</v>
      </c>
      <c r="D316">
        <v>0</v>
      </c>
      <c r="E316" t="str">
        <f t="shared" si="36"/>
        <v>2065051_1</v>
      </c>
      <c r="F316" t="s">
        <v>213</v>
      </c>
      <c r="G316">
        <v>0</v>
      </c>
      <c r="H316">
        <v>0</v>
      </c>
      <c r="I316">
        <v>0</v>
      </c>
      <c r="J316">
        <v>0</v>
      </c>
      <c r="K316">
        <v>100</v>
      </c>
      <c r="L316" t="s">
        <v>738</v>
      </c>
      <c r="M316" s="6" t="s">
        <v>739</v>
      </c>
      <c r="N316">
        <v>920</v>
      </c>
      <c r="O316">
        <v>120</v>
      </c>
      <c r="P316">
        <v>10</v>
      </c>
      <c r="Q316">
        <v>10</v>
      </c>
      <c r="R316">
        <v>0</v>
      </c>
      <c r="S316">
        <f t="shared" si="34"/>
        <v>2</v>
      </c>
      <c r="T316">
        <f t="shared" si="35"/>
        <v>61</v>
      </c>
      <c r="U316">
        <f t="shared" si="37"/>
        <v>206504</v>
      </c>
      <c r="V316">
        <f>VLOOKUP($A316,精英副本客户端!$A$2:$O$406,10,0)</f>
        <v>66</v>
      </c>
      <c r="W316">
        <f>VLOOKUP($A316,精英副本客户端!$A$2:$O$406,11,0)</f>
        <v>0</v>
      </c>
      <c r="X316">
        <f>VLOOKUP($A316,精英副本客户端!$A$2:$O$406,12,0)</f>
        <v>1</v>
      </c>
      <c r="Y316" t="str">
        <f t="shared" si="38"/>
        <v>技巧试炼（65）</v>
      </c>
    </row>
    <row r="317" spans="1:25">
      <c r="A317">
        <f t="shared" si="32"/>
        <v>206506</v>
      </c>
      <c r="B317" t="s">
        <v>1049</v>
      </c>
      <c r="C317">
        <v>0</v>
      </c>
      <c r="D317">
        <v>0</v>
      </c>
      <c r="E317" t="str">
        <f t="shared" si="36"/>
        <v>2065061_1</v>
      </c>
      <c r="F317" t="s">
        <v>213</v>
      </c>
      <c r="G317">
        <v>0</v>
      </c>
      <c r="H317">
        <v>0</v>
      </c>
      <c r="I317">
        <v>0</v>
      </c>
      <c r="J317">
        <v>0</v>
      </c>
      <c r="K317">
        <v>100</v>
      </c>
      <c r="L317" t="s">
        <v>738</v>
      </c>
      <c r="M317" s="6" t="s">
        <v>739</v>
      </c>
      <c r="N317">
        <v>920</v>
      </c>
      <c r="O317">
        <v>120</v>
      </c>
      <c r="P317">
        <v>10</v>
      </c>
      <c r="Q317">
        <v>10</v>
      </c>
      <c r="R317">
        <v>0</v>
      </c>
      <c r="S317">
        <f t="shared" si="34"/>
        <v>2</v>
      </c>
      <c r="T317">
        <f t="shared" si="35"/>
        <v>61</v>
      </c>
      <c r="U317">
        <f t="shared" si="37"/>
        <v>206505</v>
      </c>
      <c r="V317">
        <f>VLOOKUP($A317,精英副本客户端!$A$2:$O$406,10,0)</f>
        <v>67</v>
      </c>
      <c r="W317">
        <f>VLOOKUP($A317,精英副本客户端!$A$2:$O$406,11,0)</f>
        <v>1</v>
      </c>
      <c r="X317">
        <f>VLOOKUP($A317,精英副本客户端!$A$2:$O$406,12,0)</f>
        <v>5</v>
      </c>
      <c r="Y317" t="str">
        <f t="shared" si="38"/>
        <v>技巧试炼（65）</v>
      </c>
    </row>
    <row r="318" spans="1:25">
      <c r="A318">
        <f t="shared" si="32"/>
        <v>206507</v>
      </c>
      <c r="B318" t="s">
        <v>1053</v>
      </c>
      <c r="C318">
        <v>0</v>
      </c>
      <c r="D318">
        <v>0</v>
      </c>
      <c r="E318" t="str">
        <f t="shared" si="36"/>
        <v>2065071_1</v>
      </c>
      <c r="F318" t="s">
        <v>213</v>
      </c>
      <c r="G318">
        <v>0</v>
      </c>
      <c r="H318">
        <v>0</v>
      </c>
      <c r="I318">
        <v>0</v>
      </c>
      <c r="J318">
        <v>0</v>
      </c>
      <c r="K318">
        <v>100</v>
      </c>
      <c r="L318" t="s">
        <v>738</v>
      </c>
      <c r="M318" s="6" t="s">
        <v>739</v>
      </c>
      <c r="N318">
        <v>920</v>
      </c>
      <c r="O318">
        <v>120</v>
      </c>
      <c r="P318">
        <v>10</v>
      </c>
      <c r="Q318">
        <v>10</v>
      </c>
      <c r="R318">
        <v>0</v>
      </c>
      <c r="S318">
        <f t="shared" si="34"/>
        <v>2</v>
      </c>
      <c r="T318">
        <f t="shared" si="35"/>
        <v>61</v>
      </c>
      <c r="U318">
        <f t="shared" si="37"/>
        <v>206506</v>
      </c>
      <c r="V318">
        <f>VLOOKUP($A318,精英副本客户端!$A$2:$O$406,10,0)</f>
        <v>67</v>
      </c>
      <c r="W318">
        <f>VLOOKUP($A318,精英副本客户端!$A$2:$O$406,11,0)</f>
        <v>0</v>
      </c>
      <c r="X318">
        <f>VLOOKUP($A318,精英副本客户端!$A$2:$O$406,12,0)</f>
        <v>1</v>
      </c>
      <c r="Y318" t="str">
        <f t="shared" si="38"/>
        <v>技巧试炼（65）</v>
      </c>
    </row>
    <row r="319" spans="1:25">
      <c r="A319">
        <f t="shared" si="32"/>
        <v>206508</v>
      </c>
      <c r="B319" t="s">
        <v>1054</v>
      </c>
      <c r="C319">
        <v>0</v>
      </c>
      <c r="D319">
        <v>0</v>
      </c>
      <c r="E319" t="str">
        <f t="shared" si="36"/>
        <v>2065081_1</v>
      </c>
      <c r="F319" t="s">
        <v>213</v>
      </c>
      <c r="G319">
        <v>0</v>
      </c>
      <c r="H319">
        <v>0</v>
      </c>
      <c r="I319">
        <v>0</v>
      </c>
      <c r="J319">
        <v>0</v>
      </c>
      <c r="K319">
        <v>100</v>
      </c>
      <c r="L319" t="s">
        <v>738</v>
      </c>
      <c r="M319" s="6" t="s">
        <v>739</v>
      </c>
      <c r="N319">
        <v>920</v>
      </c>
      <c r="O319">
        <v>120</v>
      </c>
      <c r="P319">
        <v>10</v>
      </c>
      <c r="Q319">
        <v>10</v>
      </c>
      <c r="R319">
        <v>0</v>
      </c>
      <c r="S319">
        <f t="shared" si="34"/>
        <v>2</v>
      </c>
      <c r="T319">
        <f t="shared" si="35"/>
        <v>61</v>
      </c>
      <c r="U319">
        <f t="shared" si="37"/>
        <v>206507</v>
      </c>
      <c r="V319">
        <f>VLOOKUP($A319,精英副本客户端!$A$2:$O$406,10,0)</f>
        <v>68</v>
      </c>
      <c r="W319">
        <f>VLOOKUP($A319,精英副本客户端!$A$2:$O$406,11,0)</f>
        <v>0</v>
      </c>
      <c r="X319">
        <f>VLOOKUP($A319,精英副本客户端!$A$2:$O$406,12,0)</f>
        <v>1</v>
      </c>
      <c r="Y319" t="str">
        <f t="shared" si="38"/>
        <v>技巧试炼（65）</v>
      </c>
    </row>
    <row r="320" spans="1:25">
      <c r="A320">
        <f t="shared" si="32"/>
        <v>206509</v>
      </c>
      <c r="B320" t="s">
        <v>1055</v>
      </c>
      <c r="C320">
        <v>0</v>
      </c>
      <c r="D320">
        <v>0</v>
      </c>
      <c r="E320" t="str">
        <f t="shared" si="36"/>
        <v>2065091_1</v>
      </c>
      <c r="F320" t="s">
        <v>213</v>
      </c>
      <c r="G320">
        <v>0</v>
      </c>
      <c r="H320">
        <v>0</v>
      </c>
      <c r="I320">
        <v>0</v>
      </c>
      <c r="J320">
        <v>0</v>
      </c>
      <c r="K320">
        <v>100</v>
      </c>
      <c r="L320" t="s">
        <v>738</v>
      </c>
      <c r="M320" s="6" t="s">
        <v>739</v>
      </c>
      <c r="N320">
        <v>920</v>
      </c>
      <c r="O320">
        <v>120</v>
      </c>
      <c r="P320">
        <v>10</v>
      </c>
      <c r="Q320">
        <v>10</v>
      </c>
      <c r="R320">
        <v>0</v>
      </c>
      <c r="S320">
        <f t="shared" si="34"/>
        <v>2</v>
      </c>
      <c r="T320">
        <f t="shared" si="35"/>
        <v>61</v>
      </c>
      <c r="U320">
        <f t="shared" si="37"/>
        <v>206508</v>
      </c>
      <c r="V320">
        <f>VLOOKUP($A320,精英副本客户端!$A$2:$O$406,10,0)</f>
        <v>69</v>
      </c>
      <c r="W320">
        <f>VLOOKUP($A320,精英副本客户端!$A$2:$O$406,11,0)</f>
        <v>1</v>
      </c>
      <c r="X320">
        <f>VLOOKUP($A320,精英副本客户端!$A$2:$O$406,12,0)</f>
        <v>5</v>
      </c>
      <c r="Y320" t="str">
        <f t="shared" si="38"/>
        <v>技巧试炼（65）</v>
      </c>
    </row>
    <row r="321" spans="1:25">
      <c r="A321">
        <f t="shared" si="32"/>
        <v>207001</v>
      </c>
      <c r="B321" t="s">
        <v>1048</v>
      </c>
      <c r="C321">
        <v>0</v>
      </c>
      <c r="D321">
        <v>0</v>
      </c>
      <c r="E321" t="str">
        <f t="shared" si="36"/>
        <v>2070011_1</v>
      </c>
      <c r="F321" t="s">
        <v>213</v>
      </c>
      <c r="G321">
        <v>0</v>
      </c>
      <c r="H321">
        <v>0</v>
      </c>
      <c r="I321">
        <v>0</v>
      </c>
      <c r="J321">
        <v>0</v>
      </c>
      <c r="K321">
        <v>100</v>
      </c>
      <c r="L321" t="s">
        <v>738</v>
      </c>
      <c r="M321" s="6" t="s">
        <v>739</v>
      </c>
      <c r="N321">
        <v>920</v>
      </c>
      <c r="O321">
        <v>120</v>
      </c>
      <c r="P321">
        <v>10</v>
      </c>
      <c r="Q321">
        <v>10</v>
      </c>
      <c r="R321">
        <v>0</v>
      </c>
      <c r="S321">
        <f t="shared" si="34"/>
        <v>2</v>
      </c>
      <c r="T321">
        <f t="shared" si="35"/>
        <v>66</v>
      </c>
      <c r="U321">
        <f t="shared" si="37"/>
        <v>206509</v>
      </c>
      <c r="V321">
        <f>VLOOKUP($A321,精英副本客户端!$A$2:$O$406,10,0)</f>
        <v>70</v>
      </c>
      <c r="W321">
        <f>VLOOKUP($A321,精英副本客户端!$A$2:$O$406,11,0)</f>
        <v>0</v>
      </c>
      <c r="X321">
        <f>VLOOKUP($A321,精英副本客户端!$A$2:$O$406,12,0)</f>
        <v>1</v>
      </c>
      <c r="Y321" t="str">
        <f t="shared" si="38"/>
        <v>技巧试炼（70）</v>
      </c>
    </row>
    <row r="322" spans="1:25">
      <c r="A322">
        <f t="shared" si="32"/>
        <v>207002</v>
      </c>
      <c r="B322" t="s">
        <v>1066</v>
      </c>
      <c r="C322">
        <v>0</v>
      </c>
      <c r="D322">
        <v>0</v>
      </c>
      <c r="E322" t="str">
        <f t="shared" si="36"/>
        <v>2070021_1</v>
      </c>
      <c r="F322" t="s">
        <v>213</v>
      </c>
      <c r="G322">
        <v>0</v>
      </c>
      <c r="H322">
        <v>0</v>
      </c>
      <c r="I322">
        <v>0</v>
      </c>
      <c r="J322">
        <v>0</v>
      </c>
      <c r="K322">
        <v>100</v>
      </c>
      <c r="L322" t="s">
        <v>738</v>
      </c>
      <c r="M322" s="6" t="s">
        <v>739</v>
      </c>
      <c r="N322">
        <v>920</v>
      </c>
      <c r="O322">
        <v>120</v>
      </c>
      <c r="P322">
        <v>10</v>
      </c>
      <c r="Q322">
        <v>10</v>
      </c>
      <c r="R322">
        <v>0</v>
      </c>
      <c r="S322">
        <f t="shared" si="34"/>
        <v>2</v>
      </c>
      <c r="T322">
        <f t="shared" si="35"/>
        <v>66</v>
      </c>
      <c r="U322">
        <f t="shared" si="37"/>
        <v>207001</v>
      </c>
      <c r="V322">
        <f>VLOOKUP($A322,精英副本客户端!$A$2:$O$406,10,0)</f>
        <v>70</v>
      </c>
      <c r="W322">
        <f>VLOOKUP($A322,精英副本客户端!$A$2:$O$406,11,0)</f>
        <v>0</v>
      </c>
      <c r="X322">
        <f>VLOOKUP($A322,精英副本客户端!$A$2:$O$406,12,0)</f>
        <v>1</v>
      </c>
      <c r="Y322" t="str">
        <f t="shared" si="38"/>
        <v>技巧试炼（70）</v>
      </c>
    </row>
    <row r="323" spans="1:25">
      <c r="A323">
        <f t="shared" si="32"/>
        <v>207003</v>
      </c>
      <c r="B323" t="s">
        <v>1067</v>
      </c>
      <c r="C323">
        <v>0</v>
      </c>
      <c r="D323">
        <v>0</v>
      </c>
      <c r="E323" t="str">
        <f t="shared" si="36"/>
        <v>2070031_1</v>
      </c>
      <c r="F323" t="s">
        <v>213</v>
      </c>
      <c r="G323">
        <v>0</v>
      </c>
      <c r="H323">
        <v>0</v>
      </c>
      <c r="I323">
        <v>0</v>
      </c>
      <c r="J323">
        <v>0</v>
      </c>
      <c r="K323">
        <v>100</v>
      </c>
      <c r="L323" t="s">
        <v>738</v>
      </c>
      <c r="M323" s="6" t="s">
        <v>739</v>
      </c>
      <c r="N323">
        <v>920</v>
      </c>
      <c r="O323">
        <v>120</v>
      </c>
      <c r="P323">
        <v>10</v>
      </c>
      <c r="Q323">
        <v>10</v>
      </c>
      <c r="R323">
        <v>0</v>
      </c>
      <c r="S323">
        <f t="shared" si="34"/>
        <v>2</v>
      </c>
      <c r="T323">
        <f t="shared" si="35"/>
        <v>66</v>
      </c>
      <c r="U323">
        <f t="shared" si="37"/>
        <v>207002</v>
      </c>
      <c r="V323">
        <f>VLOOKUP($A323,精英副本客户端!$A$2:$O$406,10,0)</f>
        <v>71</v>
      </c>
      <c r="W323">
        <f>VLOOKUP($A323,精英副本客户端!$A$2:$O$406,11,0)</f>
        <v>1</v>
      </c>
      <c r="X323">
        <f>VLOOKUP($A323,精英副本客户端!$A$2:$O$406,12,0)</f>
        <v>5</v>
      </c>
      <c r="Y323" t="str">
        <f t="shared" si="38"/>
        <v>技巧试炼（70）</v>
      </c>
    </row>
    <row r="324" spans="1:25">
      <c r="A324">
        <f t="shared" ref="A324:A387" si="39">A135+100000</f>
        <v>207004</v>
      </c>
      <c r="B324" t="s">
        <v>1050</v>
      </c>
      <c r="C324">
        <v>0</v>
      </c>
      <c r="D324">
        <v>0</v>
      </c>
      <c r="E324" t="str">
        <f t="shared" si="36"/>
        <v>2070041_1</v>
      </c>
      <c r="F324" t="s">
        <v>213</v>
      </c>
      <c r="G324">
        <v>0</v>
      </c>
      <c r="H324">
        <v>0</v>
      </c>
      <c r="I324">
        <v>0</v>
      </c>
      <c r="J324">
        <v>0</v>
      </c>
      <c r="K324">
        <v>100</v>
      </c>
      <c r="L324" t="s">
        <v>738</v>
      </c>
      <c r="M324" s="6" t="s">
        <v>739</v>
      </c>
      <c r="N324">
        <v>920</v>
      </c>
      <c r="O324">
        <v>120</v>
      </c>
      <c r="P324">
        <v>10</v>
      </c>
      <c r="Q324">
        <v>10</v>
      </c>
      <c r="R324">
        <v>0</v>
      </c>
      <c r="S324">
        <f t="shared" si="34"/>
        <v>2</v>
      </c>
      <c r="T324">
        <f t="shared" si="35"/>
        <v>66</v>
      </c>
      <c r="U324">
        <f t="shared" si="37"/>
        <v>207003</v>
      </c>
      <c r="V324">
        <f>VLOOKUP($A324,精英副本客户端!$A$2:$O$406,10,0)</f>
        <v>71</v>
      </c>
      <c r="W324">
        <f>VLOOKUP($A324,精英副本客户端!$A$2:$O$406,11,0)</f>
        <v>0</v>
      </c>
      <c r="X324">
        <f>VLOOKUP($A324,精英副本客户端!$A$2:$O$406,12,0)</f>
        <v>1</v>
      </c>
      <c r="Y324" t="str">
        <f t="shared" si="38"/>
        <v>技巧试炼（70）</v>
      </c>
    </row>
    <row r="325" spans="1:25">
      <c r="A325">
        <f t="shared" si="39"/>
        <v>207005</v>
      </c>
      <c r="B325" t="s">
        <v>1051</v>
      </c>
      <c r="C325">
        <v>0</v>
      </c>
      <c r="D325">
        <v>0</v>
      </c>
      <c r="E325" t="str">
        <f t="shared" si="36"/>
        <v>2070051_1</v>
      </c>
      <c r="F325" t="s">
        <v>213</v>
      </c>
      <c r="G325">
        <v>0</v>
      </c>
      <c r="H325">
        <v>0</v>
      </c>
      <c r="I325">
        <v>0</v>
      </c>
      <c r="J325">
        <v>0</v>
      </c>
      <c r="K325">
        <v>100</v>
      </c>
      <c r="L325" t="s">
        <v>738</v>
      </c>
      <c r="M325" s="6" t="s">
        <v>739</v>
      </c>
      <c r="N325">
        <v>920</v>
      </c>
      <c r="O325">
        <v>120</v>
      </c>
      <c r="P325">
        <v>10</v>
      </c>
      <c r="Q325">
        <v>10</v>
      </c>
      <c r="R325">
        <v>0</v>
      </c>
      <c r="S325">
        <f t="shared" si="34"/>
        <v>2</v>
      </c>
      <c r="T325">
        <f t="shared" si="35"/>
        <v>66</v>
      </c>
      <c r="U325">
        <f t="shared" si="37"/>
        <v>207004</v>
      </c>
      <c r="V325">
        <f>VLOOKUP($A325,精英副本客户端!$A$2:$O$406,10,0)</f>
        <v>71</v>
      </c>
      <c r="W325">
        <f>VLOOKUP($A325,精英副本客户端!$A$2:$O$406,11,0)</f>
        <v>0</v>
      </c>
      <c r="X325">
        <f>VLOOKUP($A325,精英副本客户端!$A$2:$O$406,12,0)</f>
        <v>1</v>
      </c>
      <c r="Y325" t="str">
        <f t="shared" si="38"/>
        <v>技巧试炼（70）</v>
      </c>
    </row>
    <row r="326" spans="1:25">
      <c r="A326">
        <f t="shared" si="39"/>
        <v>207006</v>
      </c>
      <c r="B326" t="s">
        <v>1049</v>
      </c>
      <c r="C326">
        <v>0</v>
      </c>
      <c r="D326">
        <v>0</v>
      </c>
      <c r="E326" t="str">
        <f t="shared" si="36"/>
        <v>2070061_1</v>
      </c>
      <c r="F326" t="s">
        <v>213</v>
      </c>
      <c r="G326">
        <v>0</v>
      </c>
      <c r="H326">
        <v>0</v>
      </c>
      <c r="I326">
        <v>0</v>
      </c>
      <c r="J326">
        <v>0</v>
      </c>
      <c r="K326">
        <v>100</v>
      </c>
      <c r="L326" t="s">
        <v>738</v>
      </c>
      <c r="M326" s="6" t="s">
        <v>739</v>
      </c>
      <c r="N326">
        <v>920</v>
      </c>
      <c r="O326">
        <v>120</v>
      </c>
      <c r="P326">
        <v>10</v>
      </c>
      <c r="Q326">
        <v>10</v>
      </c>
      <c r="R326">
        <v>0</v>
      </c>
      <c r="S326">
        <f t="shared" ref="S326:S389" si="40">ROUNDDOWN(A326/100000,0)</f>
        <v>2</v>
      </c>
      <c r="T326">
        <f t="shared" ref="T326:T389" si="41">MID(A326,2,3)-4</f>
        <v>66</v>
      </c>
      <c r="U326">
        <f t="shared" si="37"/>
        <v>207005</v>
      </c>
      <c r="V326">
        <f>VLOOKUP($A326,精英副本客户端!$A$2:$O$406,10,0)</f>
        <v>72</v>
      </c>
      <c r="W326">
        <f>VLOOKUP($A326,精英副本客户端!$A$2:$O$406,11,0)</f>
        <v>1</v>
      </c>
      <c r="X326">
        <f>VLOOKUP($A326,精英副本客户端!$A$2:$O$406,12,0)</f>
        <v>5</v>
      </c>
      <c r="Y326" t="str">
        <f t="shared" si="38"/>
        <v>技巧试炼（70）</v>
      </c>
    </row>
    <row r="327" spans="1:25">
      <c r="A327">
        <f t="shared" si="39"/>
        <v>207007</v>
      </c>
      <c r="B327" t="s">
        <v>1053</v>
      </c>
      <c r="C327">
        <v>0</v>
      </c>
      <c r="D327">
        <v>0</v>
      </c>
      <c r="E327" t="str">
        <f t="shared" ref="E327:E390" si="42">A327&amp;"1"&amp;"_1"</f>
        <v>2070071_1</v>
      </c>
      <c r="F327" t="s">
        <v>213</v>
      </c>
      <c r="G327">
        <v>0</v>
      </c>
      <c r="H327">
        <v>0</v>
      </c>
      <c r="I327">
        <v>0</v>
      </c>
      <c r="J327">
        <v>0</v>
      </c>
      <c r="K327">
        <v>100</v>
      </c>
      <c r="L327" t="s">
        <v>738</v>
      </c>
      <c r="M327" s="6" t="s">
        <v>739</v>
      </c>
      <c r="N327">
        <v>920</v>
      </c>
      <c r="O327">
        <v>120</v>
      </c>
      <c r="P327">
        <v>10</v>
      </c>
      <c r="Q327">
        <v>10</v>
      </c>
      <c r="R327">
        <v>0</v>
      </c>
      <c r="S327">
        <f t="shared" si="40"/>
        <v>2</v>
      </c>
      <c r="T327">
        <f t="shared" si="41"/>
        <v>66</v>
      </c>
      <c r="U327">
        <f t="shared" ref="U327:U390" si="43">A326</f>
        <v>207006</v>
      </c>
      <c r="V327">
        <f>VLOOKUP($A327,精英副本客户端!$A$2:$O$406,10,0)</f>
        <v>72</v>
      </c>
      <c r="W327">
        <f>VLOOKUP($A327,精英副本客户端!$A$2:$O$406,11,0)</f>
        <v>0</v>
      </c>
      <c r="X327">
        <f>VLOOKUP($A327,精英副本客户端!$A$2:$O$406,12,0)</f>
        <v>1</v>
      </c>
      <c r="Y327" t="str">
        <f t="shared" si="38"/>
        <v>技巧试炼（70）</v>
      </c>
    </row>
    <row r="328" spans="1:25">
      <c r="A328">
        <f t="shared" si="39"/>
        <v>207008</v>
      </c>
      <c r="B328" t="s">
        <v>1054</v>
      </c>
      <c r="C328">
        <v>0</v>
      </c>
      <c r="D328">
        <v>0</v>
      </c>
      <c r="E328" t="str">
        <f t="shared" si="42"/>
        <v>2070081_1</v>
      </c>
      <c r="F328" t="s">
        <v>213</v>
      </c>
      <c r="G328">
        <v>0</v>
      </c>
      <c r="H328">
        <v>0</v>
      </c>
      <c r="I328">
        <v>0</v>
      </c>
      <c r="J328">
        <v>0</v>
      </c>
      <c r="K328">
        <v>100</v>
      </c>
      <c r="L328" t="s">
        <v>738</v>
      </c>
      <c r="M328" s="6" t="s">
        <v>739</v>
      </c>
      <c r="N328">
        <v>920</v>
      </c>
      <c r="O328">
        <v>120</v>
      </c>
      <c r="P328">
        <v>10</v>
      </c>
      <c r="Q328">
        <v>10</v>
      </c>
      <c r="R328">
        <v>0</v>
      </c>
      <c r="S328">
        <f t="shared" si="40"/>
        <v>2</v>
      </c>
      <c r="T328">
        <f t="shared" si="41"/>
        <v>66</v>
      </c>
      <c r="U328">
        <f t="shared" si="43"/>
        <v>207007</v>
      </c>
      <c r="V328">
        <f>VLOOKUP($A328,精英副本客户端!$A$2:$O$406,10,0)</f>
        <v>73</v>
      </c>
      <c r="W328">
        <f>VLOOKUP($A328,精英副本客户端!$A$2:$O$406,11,0)</f>
        <v>0</v>
      </c>
      <c r="X328">
        <f>VLOOKUP($A328,精英副本客户端!$A$2:$O$406,12,0)</f>
        <v>1</v>
      </c>
      <c r="Y328" t="str">
        <f t="shared" si="38"/>
        <v>技巧试炼（70）</v>
      </c>
    </row>
    <row r="329" spans="1:25">
      <c r="A329">
        <f t="shared" si="39"/>
        <v>207009</v>
      </c>
      <c r="B329" t="s">
        <v>1055</v>
      </c>
      <c r="C329">
        <v>0</v>
      </c>
      <c r="D329">
        <v>0</v>
      </c>
      <c r="E329" t="str">
        <f t="shared" si="42"/>
        <v>2070091_1</v>
      </c>
      <c r="F329" t="s">
        <v>213</v>
      </c>
      <c r="G329">
        <v>0</v>
      </c>
      <c r="H329">
        <v>0</v>
      </c>
      <c r="I329">
        <v>0</v>
      </c>
      <c r="J329">
        <v>0</v>
      </c>
      <c r="K329">
        <v>100</v>
      </c>
      <c r="L329" t="s">
        <v>738</v>
      </c>
      <c r="M329" s="6" t="s">
        <v>739</v>
      </c>
      <c r="N329">
        <v>920</v>
      </c>
      <c r="O329">
        <v>120</v>
      </c>
      <c r="P329">
        <v>10</v>
      </c>
      <c r="Q329">
        <v>10</v>
      </c>
      <c r="R329">
        <v>0</v>
      </c>
      <c r="S329">
        <f t="shared" si="40"/>
        <v>2</v>
      </c>
      <c r="T329">
        <f t="shared" si="41"/>
        <v>66</v>
      </c>
      <c r="U329">
        <f t="shared" si="43"/>
        <v>207008</v>
      </c>
      <c r="V329">
        <f>VLOOKUP($A329,精英副本客户端!$A$2:$O$406,10,0)</f>
        <v>74</v>
      </c>
      <c r="W329">
        <f>VLOOKUP($A329,精英副本客户端!$A$2:$O$406,11,0)</f>
        <v>1</v>
      </c>
      <c r="X329">
        <f>VLOOKUP($A329,精英副本客户端!$A$2:$O$406,12,0)</f>
        <v>5</v>
      </c>
      <c r="Y329" t="str">
        <f t="shared" si="38"/>
        <v>技巧试炼（70）</v>
      </c>
    </row>
    <row r="330" spans="1:25">
      <c r="A330">
        <f t="shared" si="39"/>
        <v>207501</v>
      </c>
      <c r="B330" t="s">
        <v>1048</v>
      </c>
      <c r="C330">
        <v>0</v>
      </c>
      <c r="D330">
        <v>0</v>
      </c>
      <c r="E330" t="str">
        <f t="shared" si="42"/>
        <v>2075011_1</v>
      </c>
      <c r="F330" t="s">
        <v>213</v>
      </c>
      <c r="G330">
        <v>0</v>
      </c>
      <c r="H330">
        <v>0</v>
      </c>
      <c r="I330">
        <v>0</v>
      </c>
      <c r="J330">
        <v>0</v>
      </c>
      <c r="K330">
        <v>100</v>
      </c>
      <c r="L330" t="s">
        <v>738</v>
      </c>
      <c r="M330" s="6" t="s">
        <v>739</v>
      </c>
      <c r="N330">
        <v>920</v>
      </c>
      <c r="O330">
        <v>120</v>
      </c>
      <c r="P330">
        <v>10</v>
      </c>
      <c r="Q330">
        <v>10</v>
      </c>
      <c r="R330">
        <v>0</v>
      </c>
      <c r="S330">
        <f t="shared" si="40"/>
        <v>2</v>
      </c>
      <c r="T330">
        <f t="shared" si="41"/>
        <v>71</v>
      </c>
      <c r="U330">
        <f t="shared" si="43"/>
        <v>207009</v>
      </c>
      <c r="V330">
        <f>VLOOKUP($A330,精英副本客户端!$A$2:$O$406,10,0)</f>
        <v>75</v>
      </c>
      <c r="W330">
        <f>VLOOKUP($A330,精英副本客户端!$A$2:$O$406,11,0)</f>
        <v>0</v>
      </c>
      <c r="X330">
        <f>VLOOKUP($A330,精英副本客户端!$A$2:$O$406,12,0)</f>
        <v>1</v>
      </c>
      <c r="Y330" t="str">
        <f t="shared" si="38"/>
        <v>技巧试炼（75）</v>
      </c>
    </row>
    <row r="331" spans="1:25">
      <c r="A331">
        <f t="shared" si="39"/>
        <v>207502</v>
      </c>
      <c r="B331" t="s">
        <v>1066</v>
      </c>
      <c r="C331">
        <v>0</v>
      </c>
      <c r="D331">
        <v>0</v>
      </c>
      <c r="E331" t="str">
        <f t="shared" si="42"/>
        <v>2075021_1</v>
      </c>
      <c r="F331" t="s">
        <v>213</v>
      </c>
      <c r="G331">
        <v>0</v>
      </c>
      <c r="H331">
        <v>0</v>
      </c>
      <c r="I331">
        <v>0</v>
      </c>
      <c r="J331">
        <v>0</v>
      </c>
      <c r="K331">
        <v>100</v>
      </c>
      <c r="L331" t="s">
        <v>738</v>
      </c>
      <c r="M331" s="6" t="s">
        <v>739</v>
      </c>
      <c r="N331">
        <v>920</v>
      </c>
      <c r="O331">
        <v>120</v>
      </c>
      <c r="P331">
        <v>10</v>
      </c>
      <c r="Q331">
        <v>10</v>
      </c>
      <c r="R331">
        <v>0</v>
      </c>
      <c r="S331">
        <f t="shared" si="40"/>
        <v>2</v>
      </c>
      <c r="T331">
        <f t="shared" si="41"/>
        <v>71</v>
      </c>
      <c r="U331">
        <f t="shared" si="43"/>
        <v>207501</v>
      </c>
      <c r="V331">
        <f>VLOOKUP($A331,精英副本客户端!$A$2:$O$406,10,0)</f>
        <v>75</v>
      </c>
      <c r="W331">
        <f>VLOOKUP($A331,精英副本客户端!$A$2:$O$406,11,0)</f>
        <v>0</v>
      </c>
      <c r="X331">
        <f>VLOOKUP($A331,精英副本客户端!$A$2:$O$406,12,0)</f>
        <v>1</v>
      </c>
      <c r="Y331" t="str">
        <f t="shared" si="38"/>
        <v>技巧试炼（75）</v>
      </c>
    </row>
    <row r="332" spans="1:25">
      <c r="A332">
        <f t="shared" si="39"/>
        <v>207503</v>
      </c>
      <c r="B332" t="s">
        <v>1067</v>
      </c>
      <c r="C332">
        <v>0</v>
      </c>
      <c r="D332">
        <v>0</v>
      </c>
      <c r="E332" t="str">
        <f t="shared" si="42"/>
        <v>2075031_1</v>
      </c>
      <c r="F332" t="s">
        <v>213</v>
      </c>
      <c r="G332">
        <v>0</v>
      </c>
      <c r="H332">
        <v>0</v>
      </c>
      <c r="I332">
        <v>0</v>
      </c>
      <c r="J332">
        <v>0</v>
      </c>
      <c r="K332">
        <v>100</v>
      </c>
      <c r="L332" t="s">
        <v>738</v>
      </c>
      <c r="M332" s="6" t="s">
        <v>739</v>
      </c>
      <c r="N332">
        <v>920</v>
      </c>
      <c r="O332">
        <v>120</v>
      </c>
      <c r="P332">
        <v>10</v>
      </c>
      <c r="Q332">
        <v>10</v>
      </c>
      <c r="R332">
        <v>0</v>
      </c>
      <c r="S332">
        <f t="shared" si="40"/>
        <v>2</v>
      </c>
      <c r="T332">
        <f t="shared" si="41"/>
        <v>71</v>
      </c>
      <c r="U332">
        <f t="shared" si="43"/>
        <v>207502</v>
      </c>
      <c r="V332">
        <f>VLOOKUP($A332,精英副本客户端!$A$2:$O$406,10,0)</f>
        <v>76</v>
      </c>
      <c r="W332">
        <f>VLOOKUP($A332,精英副本客户端!$A$2:$O$406,11,0)</f>
        <v>1</v>
      </c>
      <c r="X332">
        <f>VLOOKUP($A332,精英副本客户端!$A$2:$O$406,12,0)</f>
        <v>5</v>
      </c>
      <c r="Y332" t="str">
        <f t="shared" si="38"/>
        <v>技巧试炼（75）</v>
      </c>
    </row>
    <row r="333" spans="1:25">
      <c r="A333">
        <f t="shared" si="39"/>
        <v>207504</v>
      </c>
      <c r="B333" t="s">
        <v>1050</v>
      </c>
      <c r="C333">
        <v>0</v>
      </c>
      <c r="D333">
        <v>0</v>
      </c>
      <c r="E333" t="str">
        <f t="shared" si="42"/>
        <v>2075041_1</v>
      </c>
      <c r="F333" t="s">
        <v>213</v>
      </c>
      <c r="G333">
        <v>0</v>
      </c>
      <c r="H333">
        <v>0</v>
      </c>
      <c r="I333">
        <v>0</v>
      </c>
      <c r="J333">
        <v>0</v>
      </c>
      <c r="K333">
        <v>100</v>
      </c>
      <c r="L333" t="s">
        <v>738</v>
      </c>
      <c r="M333" s="6" t="s">
        <v>739</v>
      </c>
      <c r="N333">
        <v>920</v>
      </c>
      <c r="O333">
        <v>120</v>
      </c>
      <c r="P333">
        <v>10</v>
      </c>
      <c r="Q333">
        <v>10</v>
      </c>
      <c r="R333">
        <v>0</v>
      </c>
      <c r="S333">
        <f t="shared" si="40"/>
        <v>2</v>
      </c>
      <c r="T333">
        <f t="shared" si="41"/>
        <v>71</v>
      </c>
      <c r="U333">
        <f t="shared" si="43"/>
        <v>207503</v>
      </c>
      <c r="V333">
        <f>VLOOKUP($A333,精英副本客户端!$A$2:$O$406,10,0)</f>
        <v>76</v>
      </c>
      <c r="W333">
        <f>VLOOKUP($A333,精英副本客户端!$A$2:$O$406,11,0)</f>
        <v>0</v>
      </c>
      <c r="X333">
        <f>VLOOKUP($A333,精英副本客户端!$A$2:$O$406,12,0)</f>
        <v>1</v>
      </c>
      <c r="Y333" t="str">
        <f t="shared" si="38"/>
        <v>技巧试炼（75）</v>
      </c>
    </row>
    <row r="334" spans="1:25">
      <c r="A334">
        <f t="shared" si="39"/>
        <v>207505</v>
      </c>
      <c r="B334" t="s">
        <v>1051</v>
      </c>
      <c r="C334">
        <v>0</v>
      </c>
      <c r="D334">
        <v>0</v>
      </c>
      <c r="E334" t="str">
        <f t="shared" si="42"/>
        <v>2075051_1</v>
      </c>
      <c r="F334" t="s">
        <v>213</v>
      </c>
      <c r="G334">
        <v>0</v>
      </c>
      <c r="H334">
        <v>0</v>
      </c>
      <c r="I334">
        <v>0</v>
      </c>
      <c r="J334">
        <v>0</v>
      </c>
      <c r="K334">
        <v>100</v>
      </c>
      <c r="L334" t="s">
        <v>738</v>
      </c>
      <c r="M334" s="6" t="s">
        <v>739</v>
      </c>
      <c r="N334">
        <v>920</v>
      </c>
      <c r="O334">
        <v>120</v>
      </c>
      <c r="P334">
        <v>10</v>
      </c>
      <c r="Q334">
        <v>10</v>
      </c>
      <c r="R334">
        <v>0</v>
      </c>
      <c r="S334">
        <f t="shared" si="40"/>
        <v>2</v>
      </c>
      <c r="T334">
        <f t="shared" si="41"/>
        <v>71</v>
      </c>
      <c r="U334">
        <f t="shared" si="43"/>
        <v>207504</v>
      </c>
      <c r="V334">
        <f>VLOOKUP($A334,精英副本客户端!$A$2:$O$406,10,0)</f>
        <v>76</v>
      </c>
      <c r="W334">
        <f>VLOOKUP($A334,精英副本客户端!$A$2:$O$406,11,0)</f>
        <v>0</v>
      </c>
      <c r="X334">
        <f>VLOOKUP($A334,精英副本客户端!$A$2:$O$406,12,0)</f>
        <v>1</v>
      </c>
      <c r="Y334" t="str">
        <f t="shared" si="38"/>
        <v>技巧试炼（75）</v>
      </c>
    </row>
    <row r="335" spans="1:25">
      <c r="A335">
        <f t="shared" si="39"/>
        <v>207506</v>
      </c>
      <c r="B335" t="s">
        <v>1049</v>
      </c>
      <c r="C335">
        <v>0</v>
      </c>
      <c r="D335">
        <v>0</v>
      </c>
      <c r="E335" t="str">
        <f t="shared" si="42"/>
        <v>2075061_1</v>
      </c>
      <c r="F335" t="s">
        <v>213</v>
      </c>
      <c r="G335">
        <v>0</v>
      </c>
      <c r="H335">
        <v>0</v>
      </c>
      <c r="I335">
        <v>0</v>
      </c>
      <c r="J335">
        <v>0</v>
      </c>
      <c r="K335">
        <v>100</v>
      </c>
      <c r="L335" t="s">
        <v>738</v>
      </c>
      <c r="M335" s="6" t="s">
        <v>739</v>
      </c>
      <c r="N335">
        <v>920</v>
      </c>
      <c r="O335">
        <v>120</v>
      </c>
      <c r="P335">
        <v>10</v>
      </c>
      <c r="Q335">
        <v>10</v>
      </c>
      <c r="R335">
        <v>0</v>
      </c>
      <c r="S335">
        <f t="shared" si="40"/>
        <v>2</v>
      </c>
      <c r="T335">
        <f t="shared" si="41"/>
        <v>71</v>
      </c>
      <c r="U335">
        <f t="shared" si="43"/>
        <v>207505</v>
      </c>
      <c r="V335">
        <f>VLOOKUP($A335,精英副本客户端!$A$2:$O$406,10,0)</f>
        <v>77</v>
      </c>
      <c r="W335">
        <f>VLOOKUP($A335,精英副本客户端!$A$2:$O$406,11,0)</f>
        <v>1</v>
      </c>
      <c r="X335">
        <f>VLOOKUP($A335,精英副本客户端!$A$2:$O$406,12,0)</f>
        <v>5</v>
      </c>
      <c r="Y335" t="str">
        <f t="shared" si="38"/>
        <v>技巧试炼（75）</v>
      </c>
    </row>
    <row r="336" spans="1:25">
      <c r="A336">
        <f t="shared" si="39"/>
        <v>207507</v>
      </c>
      <c r="B336" t="s">
        <v>1053</v>
      </c>
      <c r="C336">
        <v>0</v>
      </c>
      <c r="D336">
        <v>0</v>
      </c>
      <c r="E336" t="str">
        <f t="shared" si="42"/>
        <v>2075071_1</v>
      </c>
      <c r="F336" t="s">
        <v>213</v>
      </c>
      <c r="G336">
        <v>0</v>
      </c>
      <c r="H336">
        <v>0</v>
      </c>
      <c r="I336">
        <v>0</v>
      </c>
      <c r="J336">
        <v>0</v>
      </c>
      <c r="K336">
        <v>100</v>
      </c>
      <c r="L336" t="s">
        <v>738</v>
      </c>
      <c r="M336" s="6" t="s">
        <v>739</v>
      </c>
      <c r="N336">
        <v>920</v>
      </c>
      <c r="O336">
        <v>120</v>
      </c>
      <c r="P336">
        <v>10</v>
      </c>
      <c r="Q336">
        <v>10</v>
      </c>
      <c r="R336">
        <v>0</v>
      </c>
      <c r="S336">
        <f t="shared" si="40"/>
        <v>2</v>
      </c>
      <c r="T336">
        <f t="shared" si="41"/>
        <v>71</v>
      </c>
      <c r="U336">
        <f t="shared" si="43"/>
        <v>207506</v>
      </c>
      <c r="V336">
        <f>VLOOKUP($A336,精英副本客户端!$A$2:$O$406,10,0)</f>
        <v>77</v>
      </c>
      <c r="W336">
        <f>VLOOKUP($A336,精英副本客户端!$A$2:$O$406,11,0)</f>
        <v>0</v>
      </c>
      <c r="X336">
        <f>VLOOKUP($A336,精英副本客户端!$A$2:$O$406,12,0)</f>
        <v>1</v>
      </c>
      <c r="Y336" t="str">
        <f t="shared" si="38"/>
        <v>技巧试炼（75）</v>
      </c>
    </row>
    <row r="337" spans="1:25">
      <c r="A337">
        <f t="shared" si="39"/>
        <v>207508</v>
      </c>
      <c r="B337" t="s">
        <v>1054</v>
      </c>
      <c r="C337">
        <v>0</v>
      </c>
      <c r="D337">
        <v>0</v>
      </c>
      <c r="E337" t="str">
        <f t="shared" si="42"/>
        <v>2075081_1</v>
      </c>
      <c r="F337" t="s">
        <v>213</v>
      </c>
      <c r="G337">
        <v>0</v>
      </c>
      <c r="H337">
        <v>0</v>
      </c>
      <c r="I337">
        <v>0</v>
      </c>
      <c r="J337">
        <v>0</v>
      </c>
      <c r="K337">
        <v>100</v>
      </c>
      <c r="L337" t="s">
        <v>738</v>
      </c>
      <c r="M337" s="6" t="s">
        <v>739</v>
      </c>
      <c r="N337">
        <v>920</v>
      </c>
      <c r="O337">
        <v>120</v>
      </c>
      <c r="P337">
        <v>10</v>
      </c>
      <c r="Q337">
        <v>10</v>
      </c>
      <c r="R337">
        <v>0</v>
      </c>
      <c r="S337">
        <f t="shared" si="40"/>
        <v>2</v>
      </c>
      <c r="T337">
        <f t="shared" si="41"/>
        <v>71</v>
      </c>
      <c r="U337">
        <f t="shared" si="43"/>
        <v>207507</v>
      </c>
      <c r="V337">
        <f>VLOOKUP($A337,精英副本客户端!$A$2:$O$406,10,0)</f>
        <v>78</v>
      </c>
      <c r="W337">
        <f>VLOOKUP($A337,精英副本客户端!$A$2:$O$406,11,0)</f>
        <v>0</v>
      </c>
      <c r="X337">
        <f>VLOOKUP($A337,精英副本客户端!$A$2:$O$406,12,0)</f>
        <v>1</v>
      </c>
      <c r="Y337" t="str">
        <f t="shared" si="38"/>
        <v>技巧试炼（75）</v>
      </c>
    </row>
    <row r="338" spans="1:25">
      <c r="A338">
        <f t="shared" si="39"/>
        <v>207509</v>
      </c>
      <c r="B338" t="s">
        <v>1055</v>
      </c>
      <c r="C338">
        <v>0</v>
      </c>
      <c r="D338">
        <v>0</v>
      </c>
      <c r="E338" t="str">
        <f t="shared" si="42"/>
        <v>2075091_1</v>
      </c>
      <c r="F338" t="s">
        <v>213</v>
      </c>
      <c r="G338">
        <v>0</v>
      </c>
      <c r="H338">
        <v>0</v>
      </c>
      <c r="I338">
        <v>0</v>
      </c>
      <c r="J338">
        <v>0</v>
      </c>
      <c r="K338">
        <v>100</v>
      </c>
      <c r="L338" t="s">
        <v>738</v>
      </c>
      <c r="M338" s="6" t="s">
        <v>739</v>
      </c>
      <c r="N338">
        <v>920</v>
      </c>
      <c r="O338">
        <v>120</v>
      </c>
      <c r="P338">
        <v>10</v>
      </c>
      <c r="Q338">
        <v>10</v>
      </c>
      <c r="R338">
        <v>0</v>
      </c>
      <c r="S338">
        <f t="shared" si="40"/>
        <v>2</v>
      </c>
      <c r="T338">
        <f t="shared" si="41"/>
        <v>71</v>
      </c>
      <c r="U338">
        <f t="shared" si="43"/>
        <v>207508</v>
      </c>
      <c r="V338">
        <f>VLOOKUP($A338,精英副本客户端!$A$2:$O$406,10,0)</f>
        <v>79</v>
      </c>
      <c r="W338">
        <f>VLOOKUP($A338,精英副本客户端!$A$2:$O$406,11,0)</f>
        <v>1</v>
      </c>
      <c r="X338">
        <f>VLOOKUP($A338,精英副本客户端!$A$2:$O$406,12,0)</f>
        <v>5</v>
      </c>
      <c r="Y338" t="str">
        <f t="shared" si="38"/>
        <v>技巧试炼（75）</v>
      </c>
    </row>
    <row r="339" spans="1:25">
      <c r="A339">
        <f t="shared" si="39"/>
        <v>208001</v>
      </c>
      <c r="B339" t="s">
        <v>1048</v>
      </c>
      <c r="C339">
        <v>0</v>
      </c>
      <c r="D339">
        <v>0</v>
      </c>
      <c r="E339" t="str">
        <f t="shared" si="42"/>
        <v>2080011_1</v>
      </c>
      <c r="F339" t="s">
        <v>213</v>
      </c>
      <c r="G339">
        <v>0</v>
      </c>
      <c r="H339">
        <v>0</v>
      </c>
      <c r="I339">
        <v>0</v>
      </c>
      <c r="J339">
        <v>0</v>
      </c>
      <c r="K339">
        <v>100</v>
      </c>
      <c r="L339" t="s">
        <v>738</v>
      </c>
      <c r="M339" s="6" t="s">
        <v>739</v>
      </c>
      <c r="N339">
        <v>920</v>
      </c>
      <c r="O339">
        <v>120</v>
      </c>
      <c r="P339">
        <v>10</v>
      </c>
      <c r="Q339">
        <v>10</v>
      </c>
      <c r="R339">
        <v>0</v>
      </c>
      <c r="S339">
        <f t="shared" si="40"/>
        <v>2</v>
      </c>
      <c r="T339">
        <f t="shared" si="41"/>
        <v>76</v>
      </c>
      <c r="U339">
        <f t="shared" si="43"/>
        <v>207509</v>
      </c>
      <c r="V339">
        <f>VLOOKUP($A339,精英副本客户端!$A$2:$O$406,10,0)</f>
        <v>80</v>
      </c>
      <c r="W339">
        <f>VLOOKUP($A339,精英副本客户端!$A$2:$O$406,11,0)</f>
        <v>0</v>
      </c>
      <c r="X339">
        <f>VLOOKUP($A339,精英副本客户端!$A$2:$O$406,12,0)</f>
        <v>1</v>
      </c>
      <c r="Y339" t="str">
        <f t="shared" si="38"/>
        <v>技巧试炼（80）</v>
      </c>
    </row>
    <row r="340" spans="1:25">
      <c r="A340">
        <f t="shared" si="39"/>
        <v>208002</v>
      </c>
      <c r="B340" t="s">
        <v>1066</v>
      </c>
      <c r="C340">
        <v>0</v>
      </c>
      <c r="D340">
        <v>0</v>
      </c>
      <c r="E340" t="str">
        <f t="shared" si="42"/>
        <v>2080021_1</v>
      </c>
      <c r="F340" t="s">
        <v>213</v>
      </c>
      <c r="G340">
        <v>0</v>
      </c>
      <c r="H340">
        <v>0</v>
      </c>
      <c r="I340">
        <v>0</v>
      </c>
      <c r="J340">
        <v>0</v>
      </c>
      <c r="K340">
        <v>100</v>
      </c>
      <c r="L340" t="s">
        <v>738</v>
      </c>
      <c r="M340" s="6" t="s">
        <v>739</v>
      </c>
      <c r="N340">
        <v>920</v>
      </c>
      <c r="O340">
        <v>120</v>
      </c>
      <c r="P340">
        <v>10</v>
      </c>
      <c r="Q340">
        <v>10</v>
      </c>
      <c r="R340">
        <v>0</v>
      </c>
      <c r="S340">
        <f t="shared" si="40"/>
        <v>2</v>
      </c>
      <c r="T340">
        <f t="shared" si="41"/>
        <v>76</v>
      </c>
      <c r="U340">
        <f t="shared" si="43"/>
        <v>208001</v>
      </c>
      <c r="V340">
        <f>VLOOKUP($A340,精英副本客户端!$A$2:$O$406,10,0)</f>
        <v>80</v>
      </c>
      <c r="W340">
        <f>VLOOKUP($A340,精英副本客户端!$A$2:$O$406,11,0)</f>
        <v>0</v>
      </c>
      <c r="X340">
        <f>VLOOKUP($A340,精英副本客户端!$A$2:$O$406,12,0)</f>
        <v>1</v>
      </c>
      <c r="Y340" t="str">
        <f t="shared" si="38"/>
        <v>技巧试炼（80）</v>
      </c>
    </row>
    <row r="341" spans="1:25">
      <c r="A341">
        <f t="shared" si="39"/>
        <v>208003</v>
      </c>
      <c r="B341" t="s">
        <v>1067</v>
      </c>
      <c r="C341">
        <v>0</v>
      </c>
      <c r="D341">
        <v>0</v>
      </c>
      <c r="E341" t="str">
        <f t="shared" si="42"/>
        <v>2080031_1</v>
      </c>
      <c r="F341" t="s">
        <v>213</v>
      </c>
      <c r="G341">
        <v>0</v>
      </c>
      <c r="H341">
        <v>0</v>
      </c>
      <c r="I341">
        <v>0</v>
      </c>
      <c r="J341">
        <v>0</v>
      </c>
      <c r="K341">
        <v>100</v>
      </c>
      <c r="L341" t="s">
        <v>738</v>
      </c>
      <c r="M341" s="6" t="s">
        <v>739</v>
      </c>
      <c r="N341">
        <v>920</v>
      </c>
      <c r="O341">
        <v>120</v>
      </c>
      <c r="P341">
        <v>10</v>
      </c>
      <c r="Q341">
        <v>10</v>
      </c>
      <c r="R341">
        <v>0</v>
      </c>
      <c r="S341">
        <f t="shared" si="40"/>
        <v>2</v>
      </c>
      <c r="T341">
        <f t="shared" si="41"/>
        <v>76</v>
      </c>
      <c r="U341">
        <f t="shared" si="43"/>
        <v>208002</v>
      </c>
      <c r="V341">
        <f>VLOOKUP($A341,精英副本客户端!$A$2:$O$406,10,0)</f>
        <v>81</v>
      </c>
      <c r="W341">
        <f>VLOOKUP($A341,精英副本客户端!$A$2:$O$406,11,0)</f>
        <v>1</v>
      </c>
      <c r="X341">
        <f>VLOOKUP($A341,精英副本客户端!$A$2:$O$406,12,0)</f>
        <v>5</v>
      </c>
      <c r="Y341" t="str">
        <f t="shared" si="38"/>
        <v>技巧试炼（80）</v>
      </c>
    </row>
    <row r="342" spans="1:25">
      <c r="A342">
        <f t="shared" si="39"/>
        <v>208004</v>
      </c>
      <c r="B342" t="s">
        <v>1050</v>
      </c>
      <c r="C342">
        <v>0</v>
      </c>
      <c r="D342">
        <v>0</v>
      </c>
      <c r="E342" t="str">
        <f t="shared" si="42"/>
        <v>2080041_1</v>
      </c>
      <c r="F342" t="s">
        <v>213</v>
      </c>
      <c r="G342">
        <v>0</v>
      </c>
      <c r="H342">
        <v>0</v>
      </c>
      <c r="I342">
        <v>0</v>
      </c>
      <c r="J342">
        <v>0</v>
      </c>
      <c r="K342">
        <v>100</v>
      </c>
      <c r="L342" t="s">
        <v>738</v>
      </c>
      <c r="M342" s="6" t="s">
        <v>739</v>
      </c>
      <c r="N342">
        <v>920</v>
      </c>
      <c r="O342">
        <v>120</v>
      </c>
      <c r="P342">
        <v>10</v>
      </c>
      <c r="Q342">
        <v>10</v>
      </c>
      <c r="R342">
        <v>0</v>
      </c>
      <c r="S342">
        <f t="shared" si="40"/>
        <v>2</v>
      </c>
      <c r="T342">
        <f t="shared" si="41"/>
        <v>76</v>
      </c>
      <c r="U342">
        <f t="shared" si="43"/>
        <v>208003</v>
      </c>
      <c r="V342">
        <f>VLOOKUP($A342,精英副本客户端!$A$2:$O$406,10,0)</f>
        <v>81</v>
      </c>
      <c r="W342">
        <f>VLOOKUP($A342,精英副本客户端!$A$2:$O$406,11,0)</f>
        <v>0</v>
      </c>
      <c r="X342">
        <f>VLOOKUP($A342,精英副本客户端!$A$2:$O$406,12,0)</f>
        <v>1</v>
      </c>
      <c r="Y342" t="str">
        <f t="shared" si="38"/>
        <v>技巧试炼（80）</v>
      </c>
    </row>
    <row r="343" spans="1:25">
      <c r="A343">
        <f t="shared" si="39"/>
        <v>208005</v>
      </c>
      <c r="B343" t="s">
        <v>1051</v>
      </c>
      <c r="C343">
        <v>0</v>
      </c>
      <c r="D343">
        <v>0</v>
      </c>
      <c r="E343" t="str">
        <f t="shared" si="42"/>
        <v>2080051_1</v>
      </c>
      <c r="F343" t="s">
        <v>213</v>
      </c>
      <c r="G343">
        <v>0</v>
      </c>
      <c r="H343">
        <v>0</v>
      </c>
      <c r="I343">
        <v>0</v>
      </c>
      <c r="J343">
        <v>0</v>
      </c>
      <c r="K343">
        <v>100</v>
      </c>
      <c r="L343" t="s">
        <v>738</v>
      </c>
      <c r="M343" s="6" t="s">
        <v>739</v>
      </c>
      <c r="N343">
        <v>920</v>
      </c>
      <c r="O343">
        <v>120</v>
      </c>
      <c r="P343">
        <v>10</v>
      </c>
      <c r="Q343">
        <v>10</v>
      </c>
      <c r="R343">
        <v>0</v>
      </c>
      <c r="S343">
        <f t="shared" si="40"/>
        <v>2</v>
      </c>
      <c r="T343">
        <f t="shared" si="41"/>
        <v>76</v>
      </c>
      <c r="U343">
        <f t="shared" si="43"/>
        <v>208004</v>
      </c>
      <c r="V343">
        <f>VLOOKUP($A343,精英副本客户端!$A$2:$O$406,10,0)</f>
        <v>81</v>
      </c>
      <c r="W343">
        <f>VLOOKUP($A343,精英副本客户端!$A$2:$O$406,11,0)</f>
        <v>0</v>
      </c>
      <c r="X343">
        <f>VLOOKUP($A343,精英副本客户端!$A$2:$O$406,12,0)</f>
        <v>1</v>
      </c>
      <c r="Y343" t="str">
        <f t="shared" si="38"/>
        <v>技巧试炼（80）</v>
      </c>
    </row>
    <row r="344" spans="1:25">
      <c r="A344">
        <f t="shared" si="39"/>
        <v>208006</v>
      </c>
      <c r="B344" t="s">
        <v>1049</v>
      </c>
      <c r="C344">
        <v>0</v>
      </c>
      <c r="D344">
        <v>0</v>
      </c>
      <c r="E344" t="str">
        <f t="shared" si="42"/>
        <v>2080061_1</v>
      </c>
      <c r="F344" t="s">
        <v>213</v>
      </c>
      <c r="G344">
        <v>0</v>
      </c>
      <c r="H344">
        <v>0</v>
      </c>
      <c r="I344">
        <v>0</v>
      </c>
      <c r="J344">
        <v>0</v>
      </c>
      <c r="K344">
        <v>100</v>
      </c>
      <c r="L344" t="s">
        <v>738</v>
      </c>
      <c r="M344" s="6" t="s">
        <v>739</v>
      </c>
      <c r="N344">
        <v>920</v>
      </c>
      <c r="O344">
        <v>120</v>
      </c>
      <c r="P344">
        <v>10</v>
      </c>
      <c r="Q344">
        <v>10</v>
      </c>
      <c r="R344">
        <v>0</v>
      </c>
      <c r="S344">
        <f t="shared" si="40"/>
        <v>2</v>
      </c>
      <c r="T344">
        <f t="shared" si="41"/>
        <v>76</v>
      </c>
      <c r="U344">
        <f t="shared" si="43"/>
        <v>208005</v>
      </c>
      <c r="V344">
        <f>VLOOKUP($A344,精英副本客户端!$A$2:$O$406,10,0)</f>
        <v>82</v>
      </c>
      <c r="W344">
        <f>VLOOKUP($A344,精英副本客户端!$A$2:$O$406,11,0)</f>
        <v>1</v>
      </c>
      <c r="X344">
        <f>VLOOKUP($A344,精英副本客户端!$A$2:$O$406,12,0)</f>
        <v>5</v>
      </c>
      <c r="Y344" t="str">
        <f t="shared" si="38"/>
        <v>技巧试炼（80）</v>
      </c>
    </row>
    <row r="345" spans="1:25">
      <c r="A345">
        <f t="shared" si="39"/>
        <v>208007</v>
      </c>
      <c r="B345" t="s">
        <v>1053</v>
      </c>
      <c r="C345">
        <v>0</v>
      </c>
      <c r="D345">
        <v>0</v>
      </c>
      <c r="E345" t="str">
        <f t="shared" si="42"/>
        <v>2080071_1</v>
      </c>
      <c r="F345" t="s">
        <v>213</v>
      </c>
      <c r="G345">
        <v>0</v>
      </c>
      <c r="H345">
        <v>0</v>
      </c>
      <c r="I345">
        <v>0</v>
      </c>
      <c r="J345">
        <v>0</v>
      </c>
      <c r="K345">
        <v>100</v>
      </c>
      <c r="L345" t="s">
        <v>738</v>
      </c>
      <c r="M345" s="6" t="s">
        <v>739</v>
      </c>
      <c r="N345">
        <v>920</v>
      </c>
      <c r="O345">
        <v>120</v>
      </c>
      <c r="P345">
        <v>10</v>
      </c>
      <c r="Q345">
        <v>10</v>
      </c>
      <c r="R345">
        <v>0</v>
      </c>
      <c r="S345">
        <f t="shared" si="40"/>
        <v>2</v>
      </c>
      <c r="T345">
        <f t="shared" si="41"/>
        <v>76</v>
      </c>
      <c r="U345">
        <f t="shared" si="43"/>
        <v>208006</v>
      </c>
      <c r="V345">
        <f>VLOOKUP($A345,精英副本客户端!$A$2:$O$406,10,0)</f>
        <v>82</v>
      </c>
      <c r="W345">
        <f>VLOOKUP($A345,精英副本客户端!$A$2:$O$406,11,0)</f>
        <v>0</v>
      </c>
      <c r="X345">
        <f>VLOOKUP($A345,精英副本客户端!$A$2:$O$406,12,0)</f>
        <v>1</v>
      </c>
      <c r="Y345" t="str">
        <f t="shared" si="38"/>
        <v>技巧试炼（80）</v>
      </c>
    </row>
    <row r="346" spans="1:25">
      <c r="A346">
        <f t="shared" si="39"/>
        <v>208008</v>
      </c>
      <c r="B346" t="s">
        <v>1054</v>
      </c>
      <c r="C346">
        <v>0</v>
      </c>
      <c r="D346">
        <v>0</v>
      </c>
      <c r="E346" t="str">
        <f t="shared" si="42"/>
        <v>2080081_1</v>
      </c>
      <c r="F346" t="s">
        <v>213</v>
      </c>
      <c r="G346">
        <v>0</v>
      </c>
      <c r="H346">
        <v>0</v>
      </c>
      <c r="I346">
        <v>0</v>
      </c>
      <c r="J346">
        <v>0</v>
      </c>
      <c r="K346">
        <v>100</v>
      </c>
      <c r="L346" t="s">
        <v>738</v>
      </c>
      <c r="M346" s="6" t="s">
        <v>739</v>
      </c>
      <c r="N346">
        <v>920</v>
      </c>
      <c r="O346">
        <v>120</v>
      </c>
      <c r="P346">
        <v>10</v>
      </c>
      <c r="Q346">
        <v>10</v>
      </c>
      <c r="R346">
        <v>0</v>
      </c>
      <c r="S346">
        <f t="shared" si="40"/>
        <v>2</v>
      </c>
      <c r="T346">
        <f t="shared" si="41"/>
        <v>76</v>
      </c>
      <c r="U346">
        <f t="shared" si="43"/>
        <v>208007</v>
      </c>
      <c r="V346">
        <f>VLOOKUP($A346,精英副本客户端!$A$2:$O$406,10,0)</f>
        <v>83</v>
      </c>
      <c r="W346">
        <f>VLOOKUP($A346,精英副本客户端!$A$2:$O$406,11,0)</f>
        <v>0</v>
      </c>
      <c r="X346">
        <f>VLOOKUP($A346,精英副本客户端!$A$2:$O$406,12,0)</f>
        <v>1</v>
      </c>
      <c r="Y346" t="str">
        <f t="shared" si="38"/>
        <v>技巧试炼（80）</v>
      </c>
    </row>
    <row r="347" spans="1:25">
      <c r="A347">
        <f t="shared" si="39"/>
        <v>208009</v>
      </c>
      <c r="B347" t="s">
        <v>1055</v>
      </c>
      <c r="C347">
        <v>0</v>
      </c>
      <c r="D347">
        <v>0</v>
      </c>
      <c r="E347" t="str">
        <f t="shared" si="42"/>
        <v>2080091_1</v>
      </c>
      <c r="F347" t="s">
        <v>213</v>
      </c>
      <c r="G347">
        <v>0</v>
      </c>
      <c r="H347">
        <v>0</v>
      </c>
      <c r="I347">
        <v>0</v>
      </c>
      <c r="J347">
        <v>0</v>
      </c>
      <c r="K347">
        <v>100</v>
      </c>
      <c r="L347" t="s">
        <v>738</v>
      </c>
      <c r="M347" s="6" t="s">
        <v>739</v>
      </c>
      <c r="N347">
        <v>920</v>
      </c>
      <c r="O347">
        <v>120</v>
      </c>
      <c r="P347">
        <v>10</v>
      </c>
      <c r="Q347">
        <v>10</v>
      </c>
      <c r="R347">
        <v>0</v>
      </c>
      <c r="S347">
        <f t="shared" si="40"/>
        <v>2</v>
      </c>
      <c r="T347">
        <f t="shared" si="41"/>
        <v>76</v>
      </c>
      <c r="U347">
        <f t="shared" si="43"/>
        <v>208008</v>
      </c>
      <c r="V347">
        <f>VLOOKUP($A347,精英副本客户端!$A$2:$O$406,10,0)</f>
        <v>84</v>
      </c>
      <c r="W347">
        <f>VLOOKUP($A347,精英副本客户端!$A$2:$O$406,11,0)</f>
        <v>1</v>
      </c>
      <c r="X347">
        <f>VLOOKUP($A347,精英副本客户端!$A$2:$O$406,12,0)</f>
        <v>5</v>
      </c>
      <c r="Y347" t="str">
        <f t="shared" si="38"/>
        <v>技巧试炼（80）</v>
      </c>
    </row>
    <row r="348" spans="1:25">
      <c r="A348">
        <f t="shared" si="39"/>
        <v>208501</v>
      </c>
      <c r="B348" t="s">
        <v>1068</v>
      </c>
      <c r="C348">
        <v>0</v>
      </c>
      <c r="D348">
        <v>0</v>
      </c>
      <c r="E348" t="str">
        <f t="shared" si="42"/>
        <v>2085011_1</v>
      </c>
      <c r="F348" t="s">
        <v>213</v>
      </c>
      <c r="G348">
        <v>0</v>
      </c>
      <c r="H348">
        <v>0</v>
      </c>
      <c r="I348">
        <v>0</v>
      </c>
      <c r="J348">
        <v>0</v>
      </c>
      <c r="K348">
        <v>100</v>
      </c>
      <c r="L348" t="s">
        <v>738</v>
      </c>
      <c r="M348" s="6" t="s">
        <v>739</v>
      </c>
      <c r="N348">
        <v>920</v>
      </c>
      <c r="O348">
        <v>120</v>
      </c>
      <c r="P348">
        <v>10</v>
      </c>
      <c r="Q348">
        <v>10</v>
      </c>
      <c r="R348">
        <v>0</v>
      </c>
      <c r="S348">
        <f t="shared" si="40"/>
        <v>2</v>
      </c>
      <c r="T348">
        <f t="shared" si="41"/>
        <v>81</v>
      </c>
      <c r="U348">
        <f t="shared" si="43"/>
        <v>208009</v>
      </c>
      <c r="V348">
        <f>VLOOKUP($A348,精英副本客户端!$A$2:$O$406,10,0)</f>
        <v>85</v>
      </c>
      <c r="W348">
        <f>VLOOKUP($A348,精英副本客户端!$A$2:$O$406,11,0)</f>
        <v>0</v>
      </c>
      <c r="X348">
        <f>VLOOKUP($A348,精英副本客户端!$A$2:$O$406,12,0)</f>
        <v>1</v>
      </c>
      <c r="Y348" t="str">
        <f>"沉着试炼（"&amp;MID(A348,2,3)*1&amp;"）"</f>
        <v>沉着试炼（85）</v>
      </c>
    </row>
    <row r="349" spans="1:25">
      <c r="A349">
        <f t="shared" si="39"/>
        <v>208502</v>
      </c>
      <c r="B349" t="s">
        <v>1057</v>
      </c>
      <c r="C349">
        <v>0</v>
      </c>
      <c r="D349">
        <v>0</v>
      </c>
      <c r="E349" t="str">
        <f t="shared" si="42"/>
        <v>2085021_1</v>
      </c>
      <c r="F349" t="s">
        <v>213</v>
      </c>
      <c r="G349">
        <v>0</v>
      </c>
      <c r="H349">
        <v>0</v>
      </c>
      <c r="I349">
        <v>0</v>
      </c>
      <c r="J349">
        <v>0</v>
      </c>
      <c r="K349">
        <v>100</v>
      </c>
      <c r="L349" t="s">
        <v>738</v>
      </c>
      <c r="M349" s="6" t="s">
        <v>739</v>
      </c>
      <c r="N349">
        <v>920</v>
      </c>
      <c r="O349">
        <v>120</v>
      </c>
      <c r="P349">
        <v>10</v>
      </c>
      <c r="Q349">
        <v>10</v>
      </c>
      <c r="R349">
        <v>0</v>
      </c>
      <c r="S349">
        <f t="shared" si="40"/>
        <v>2</v>
      </c>
      <c r="T349">
        <f t="shared" si="41"/>
        <v>81</v>
      </c>
      <c r="U349">
        <f t="shared" si="43"/>
        <v>208501</v>
      </c>
      <c r="V349">
        <f>VLOOKUP($A349,精英副本客户端!$A$2:$O$406,10,0)</f>
        <v>85</v>
      </c>
      <c r="W349">
        <f>VLOOKUP($A349,精英副本客户端!$A$2:$O$406,11,0)</f>
        <v>0</v>
      </c>
      <c r="X349">
        <f>VLOOKUP($A349,精英副本客户端!$A$2:$O$406,12,0)</f>
        <v>1</v>
      </c>
      <c r="Y349" t="str">
        <f t="shared" ref="Y349:Y383" si="44">"沉着试炼（"&amp;MID(A349,2,3)*1&amp;"）"</f>
        <v>沉着试炼（85）</v>
      </c>
    </row>
    <row r="350" spans="1:25">
      <c r="A350">
        <f t="shared" si="39"/>
        <v>208503</v>
      </c>
      <c r="B350" t="s">
        <v>1040</v>
      </c>
      <c r="C350">
        <v>0</v>
      </c>
      <c r="D350">
        <v>0</v>
      </c>
      <c r="E350" t="str">
        <f t="shared" si="42"/>
        <v>2085031_1</v>
      </c>
      <c r="F350" t="s">
        <v>213</v>
      </c>
      <c r="G350">
        <v>0</v>
      </c>
      <c r="H350">
        <v>0</v>
      </c>
      <c r="I350">
        <v>0</v>
      </c>
      <c r="J350">
        <v>0</v>
      </c>
      <c r="K350">
        <v>100</v>
      </c>
      <c r="L350" t="s">
        <v>738</v>
      </c>
      <c r="M350" s="6" t="s">
        <v>739</v>
      </c>
      <c r="N350">
        <v>920</v>
      </c>
      <c r="O350">
        <v>120</v>
      </c>
      <c r="P350">
        <v>10</v>
      </c>
      <c r="Q350">
        <v>10</v>
      </c>
      <c r="R350">
        <v>0</v>
      </c>
      <c r="S350">
        <f t="shared" si="40"/>
        <v>2</v>
      </c>
      <c r="T350">
        <f t="shared" si="41"/>
        <v>81</v>
      </c>
      <c r="U350">
        <f t="shared" si="43"/>
        <v>208502</v>
      </c>
      <c r="V350">
        <f>VLOOKUP($A350,精英副本客户端!$A$2:$O$406,10,0)</f>
        <v>86</v>
      </c>
      <c r="W350">
        <f>VLOOKUP($A350,精英副本客户端!$A$2:$O$406,11,0)</f>
        <v>1</v>
      </c>
      <c r="X350">
        <f>VLOOKUP($A350,精英副本客户端!$A$2:$O$406,12,0)</f>
        <v>5</v>
      </c>
      <c r="Y350" t="str">
        <f t="shared" si="44"/>
        <v>沉着试炼（85）</v>
      </c>
    </row>
    <row r="351" spans="1:25">
      <c r="A351">
        <f t="shared" si="39"/>
        <v>208504</v>
      </c>
      <c r="B351" t="s">
        <v>1058</v>
      </c>
      <c r="C351">
        <v>0</v>
      </c>
      <c r="D351">
        <v>0</v>
      </c>
      <c r="E351" t="str">
        <f t="shared" si="42"/>
        <v>2085041_1</v>
      </c>
      <c r="F351" t="s">
        <v>213</v>
      </c>
      <c r="G351">
        <v>0</v>
      </c>
      <c r="H351">
        <v>0</v>
      </c>
      <c r="I351">
        <v>0</v>
      </c>
      <c r="J351">
        <v>0</v>
      </c>
      <c r="K351">
        <v>100</v>
      </c>
      <c r="L351" t="s">
        <v>738</v>
      </c>
      <c r="M351" s="6" t="s">
        <v>739</v>
      </c>
      <c r="N351">
        <v>920</v>
      </c>
      <c r="O351">
        <v>120</v>
      </c>
      <c r="P351">
        <v>10</v>
      </c>
      <c r="Q351">
        <v>10</v>
      </c>
      <c r="R351">
        <v>0</v>
      </c>
      <c r="S351">
        <f t="shared" si="40"/>
        <v>2</v>
      </c>
      <c r="T351">
        <f t="shared" si="41"/>
        <v>81</v>
      </c>
      <c r="U351">
        <f t="shared" si="43"/>
        <v>208503</v>
      </c>
      <c r="V351">
        <f>VLOOKUP($A351,精英副本客户端!$A$2:$O$406,10,0)</f>
        <v>86</v>
      </c>
      <c r="W351">
        <f>VLOOKUP($A351,精英副本客户端!$A$2:$O$406,11,0)</f>
        <v>0</v>
      </c>
      <c r="X351">
        <f>VLOOKUP($A351,精英副本客户端!$A$2:$O$406,12,0)</f>
        <v>1</v>
      </c>
      <c r="Y351" t="str">
        <f t="shared" si="44"/>
        <v>沉着试炼（85）</v>
      </c>
    </row>
    <row r="352" spans="1:25">
      <c r="A352">
        <f t="shared" si="39"/>
        <v>208505</v>
      </c>
      <c r="B352" t="s">
        <v>1059</v>
      </c>
      <c r="C352">
        <v>0</v>
      </c>
      <c r="D352">
        <v>0</v>
      </c>
      <c r="E352" t="str">
        <f t="shared" si="42"/>
        <v>2085051_1</v>
      </c>
      <c r="F352" t="s">
        <v>213</v>
      </c>
      <c r="G352">
        <v>0</v>
      </c>
      <c r="H352">
        <v>0</v>
      </c>
      <c r="I352">
        <v>0</v>
      </c>
      <c r="J352">
        <v>0</v>
      </c>
      <c r="K352">
        <v>100</v>
      </c>
      <c r="L352" t="s">
        <v>738</v>
      </c>
      <c r="M352" s="6" t="s">
        <v>739</v>
      </c>
      <c r="N352">
        <v>920</v>
      </c>
      <c r="O352">
        <v>120</v>
      </c>
      <c r="P352">
        <v>10</v>
      </c>
      <c r="Q352">
        <v>10</v>
      </c>
      <c r="R352">
        <v>0</v>
      </c>
      <c r="S352">
        <f t="shared" si="40"/>
        <v>2</v>
      </c>
      <c r="T352">
        <f t="shared" si="41"/>
        <v>81</v>
      </c>
      <c r="U352">
        <f t="shared" si="43"/>
        <v>208504</v>
      </c>
      <c r="V352">
        <f>VLOOKUP($A352,精英副本客户端!$A$2:$O$406,10,0)</f>
        <v>86</v>
      </c>
      <c r="W352">
        <f>VLOOKUP($A352,精英副本客户端!$A$2:$O$406,11,0)</f>
        <v>0</v>
      </c>
      <c r="X352">
        <f>VLOOKUP($A352,精英副本客户端!$A$2:$O$406,12,0)</f>
        <v>1</v>
      </c>
      <c r="Y352" t="str">
        <f t="shared" si="44"/>
        <v>沉着试炼（85）</v>
      </c>
    </row>
    <row r="353" spans="1:25">
      <c r="A353">
        <f t="shared" si="39"/>
        <v>208506</v>
      </c>
      <c r="B353" t="s">
        <v>1060</v>
      </c>
      <c r="C353">
        <v>0</v>
      </c>
      <c r="D353">
        <v>0</v>
      </c>
      <c r="E353" t="str">
        <f t="shared" si="42"/>
        <v>2085061_1</v>
      </c>
      <c r="F353" t="s">
        <v>213</v>
      </c>
      <c r="G353">
        <v>0</v>
      </c>
      <c r="H353">
        <v>0</v>
      </c>
      <c r="I353">
        <v>0</v>
      </c>
      <c r="J353">
        <v>0</v>
      </c>
      <c r="K353">
        <v>100</v>
      </c>
      <c r="L353" t="s">
        <v>738</v>
      </c>
      <c r="M353" s="6" t="s">
        <v>739</v>
      </c>
      <c r="N353">
        <v>920</v>
      </c>
      <c r="O353">
        <v>120</v>
      </c>
      <c r="P353">
        <v>10</v>
      </c>
      <c r="Q353">
        <v>10</v>
      </c>
      <c r="R353">
        <v>0</v>
      </c>
      <c r="S353">
        <f t="shared" si="40"/>
        <v>2</v>
      </c>
      <c r="T353">
        <f t="shared" si="41"/>
        <v>81</v>
      </c>
      <c r="U353">
        <f t="shared" si="43"/>
        <v>208505</v>
      </c>
      <c r="V353">
        <f>VLOOKUP($A353,精英副本客户端!$A$2:$O$406,10,0)</f>
        <v>87</v>
      </c>
      <c r="W353">
        <f>VLOOKUP($A353,精英副本客户端!$A$2:$O$406,11,0)</f>
        <v>1</v>
      </c>
      <c r="X353">
        <f>VLOOKUP($A353,精英副本客户端!$A$2:$O$406,12,0)</f>
        <v>5</v>
      </c>
      <c r="Y353" t="str">
        <f t="shared" si="44"/>
        <v>沉着试炼（85）</v>
      </c>
    </row>
    <row r="354" spans="1:25">
      <c r="A354">
        <f t="shared" si="39"/>
        <v>208507</v>
      </c>
      <c r="B354" t="s">
        <v>1061</v>
      </c>
      <c r="C354">
        <v>0</v>
      </c>
      <c r="D354">
        <v>0</v>
      </c>
      <c r="E354" t="str">
        <f t="shared" si="42"/>
        <v>2085071_1</v>
      </c>
      <c r="F354" t="s">
        <v>213</v>
      </c>
      <c r="G354">
        <v>0</v>
      </c>
      <c r="H354">
        <v>0</v>
      </c>
      <c r="I354">
        <v>0</v>
      </c>
      <c r="J354">
        <v>0</v>
      </c>
      <c r="K354">
        <v>100</v>
      </c>
      <c r="L354" t="s">
        <v>738</v>
      </c>
      <c r="M354" s="6" t="s">
        <v>739</v>
      </c>
      <c r="N354">
        <v>920</v>
      </c>
      <c r="O354">
        <v>120</v>
      </c>
      <c r="P354">
        <v>10</v>
      </c>
      <c r="Q354">
        <v>10</v>
      </c>
      <c r="R354">
        <v>0</v>
      </c>
      <c r="S354">
        <f t="shared" si="40"/>
        <v>2</v>
      </c>
      <c r="T354">
        <f t="shared" si="41"/>
        <v>81</v>
      </c>
      <c r="U354">
        <f t="shared" si="43"/>
        <v>208506</v>
      </c>
      <c r="V354">
        <f>VLOOKUP($A354,精英副本客户端!$A$2:$O$406,10,0)</f>
        <v>87</v>
      </c>
      <c r="W354">
        <f>VLOOKUP($A354,精英副本客户端!$A$2:$O$406,11,0)</f>
        <v>0</v>
      </c>
      <c r="X354">
        <f>VLOOKUP($A354,精英副本客户端!$A$2:$O$406,12,0)</f>
        <v>1</v>
      </c>
      <c r="Y354" t="str">
        <f t="shared" si="44"/>
        <v>沉着试炼（85）</v>
      </c>
    </row>
    <row r="355" spans="1:25">
      <c r="A355">
        <f t="shared" si="39"/>
        <v>208508</v>
      </c>
      <c r="B355" t="s">
        <v>1062</v>
      </c>
      <c r="C355">
        <v>0</v>
      </c>
      <c r="D355">
        <v>0</v>
      </c>
      <c r="E355" t="str">
        <f t="shared" si="42"/>
        <v>2085081_1</v>
      </c>
      <c r="F355" t="s">
        <v>213</v>
      </c>
      <c r="G355">
        <v>0</v>
      </c>
      <c r="H355">
        <v>0</v>
      </c>
      <c r="I355">
        <v>0</v>
      </c>
      <c r="J355">
        <v>0</v>
      </c>
      <c r="K355">
        <v>100</v>
      </c>
      <c r="L355" t="s">
        <v>738</v>
      </c>
      <c r="M355" s="6" t="s">
        <v>739</v>
      </c>
      <c r="N355">
        <v>920</v>
      </c>
      <c r="O355">
        <v>120</v>
      </c>
      <c r="P355">
        <v>10</v>
      </c>
      <c r="Q355">
        <v>10</v>
      </c>
      <c r="R355">
        <v>0</v>
      </c>
      <c r="S355">
        <f t="shared" si="40"/>
        <v>2</v>
      </c>
      <c r="T355">
        <f t="shared" si="41"/>
        <v>81</v>
      </c>
      <c r="U355">
        <f t="shared" si="43"/>
        <v>208507</v>
      </c>
      <c r="V355">
        <f>VLOOKUP($A355,精英副本客户端!$A$2:$O$406,10,0)</f>
        <v>88</v>
      </c>
      <c r="W355">
        <f>VLOOKUP($A355,精英副本客户端!$A$2:$O$406,11,0)</f>
        <v>0</v>
      </c>
      <c r="X355">
        <f>VLOOKUP($A355,精英副本客户端!$A$2:$O$406,12,0)</f>
        <v>1</v>
      </c>
      <c r="Y355" t="str">
        <f t="shared" si="44"/>
        <v>沉着试炼（85）</v>
      </c>
    </row>
    <row r="356" spans="1:25">
      <c r="A356">
        <f t="shared" si="39"/>
        <v>208509</v>
      </c>
      <c r="B356" t="s">
        <v>1063</v>
      </c>
      <c r="C356">
        <v>0</v>
      </c>
      <c r="D356">
        <v>0</v>
      </c>
      <c r="E356" t="str">
        <f t="shared" si="42"/>
        <v>2085091_1</v>
      </c>
      <c r="F356" t="s">
        <v>213</v>
      </c>
      <c r="G356">
        <v>0</v>
      </c>
      <c r="H356">
        <v>0</v>
      </c>
      <c r="I356">
        <v>0</v>
      </c>
      <c r="J356">
        <v>0</v>
      </c>
      <c r="K356">
        <v>100</v>
      </c>
      <c r="L356" t="s">
        <v>738</v>
      </c>
      <c r="M356" s="6" t="s">
        <v>739</v>
      </c>
      <c r="N356">
        <v>920</v>
      </c>
      <c r="O356">
        <v>120</v>
      </c>
      <c r="P356">
        <v>10</v>
      </c>
      <c r="Q356">
        <v>10</v>
      </c>
      <c r="R356">
        <v>0</v>
      </c>
      <c r="S356">
        <f t="shared" si="40"/>
        <v>2</v>
      </c>
      <c r="T356">
        <f t="shared" si="41"/>
        <v>81</v>
      </c>
      <c r="U356">
        <f t="shared" si="43"/>
        <v>208508</v>
      </c>
      <c r="V356">
        <f>VLOOKUP($A356,精英副本客户端!$A$2:$O$406,10,0)</f>
        <v>89</v>
      </c>
      <c r="W356">
        <f>VLOOKUP($A356,精英副本客户端!$A$2:$O$406,11,0)</f>
        <v>1</v>
      </c>
      <c r="X356">
        <f>VLOOKUP($A356,精英副本客户端!$A$2:$O$406,12,0)</f>
        <v>5</v>
      </c>
      <c r="Y356" t="str">
        <f t="shared" si="44"/>
        <v>沉着试炼（85）</v>
      </c>
    </row>
    <row r="357" spans="1:25">
      <c r="A357">
        <f t="shared" si="39"/>
        <v>209001</v>
      </c>
      <c r="B357" t="s">
        <v>1068</v>
      </c>
      <c r="C357">
        <v>0</v>
      </c>
      <c r="D357">
        <v>0</v>
      </c>
      <c r="E357" t="str">
        <f t="shared" si="42"/>
        <v>2090011_1</v>
      </c>
      <c r="F357" t="s">
        <v>213</v>
      </c>
      <c r="G357">
        <v>0</v>
      </c>
      <c r="H357">
        <v>0</v>
      </c>
      <c r="I357">
        <v>0</v>
      </c>
      <c r="J357">
        <v>0</v>
      </c>
      <c r="K357">
        <v>100</v>
      </c>
      <c r="L357" t="s">
        <v>738</v>
      </c>
      <c r="M357" s="6" t="s">
        <v>739</v>
      </c>
      <c r="N357">
        <v>920</v>
      </c>
      <c r="O357">
        <v>120</v>
      </c>
      <c r="P357">
        <v>10</v>
      </c>
      <c r="Q357">
        <v>10</v>
      </c>
      <c r="R357">
        <v>0</v>
      </c>
      <c r="S357">
        <f t="shared" si="40"/>
        <v>2</v>
      </c>
      <c r="T357">
        <f t="shared" si="41"/>
        <v>86</v>
      </c>
      <c r="U357">
        <f t="shared" si="43"/>
        <v>208509</v>
      </c>
      <c r="V357">
        <f>VLOOKUP($A357,精英副本客户端!$A$2:$O$406,10,0)</f>
        <v>90</v>
      </c>
      <c r="W357">
        <f>VLOOKUP($A357,精英副本客户端!$A$2:$O$406,11,0)</f>
        <v>0</v>
      </c>
      <c r="X357">
        <f>VLOOKUP($A357,精英副本客户端!$A$2:$O$406,12,0)</f>
        <v>1</v>
      </c>
      <c r="Y357" t="str">
        <f t="shared" si="44"/>
        <v>沉着试炼（90）</v>
      </c>
    </row>
    <row r="358" spans="1:25">
      <c r="A358">
        <f t="shared" si="39"/>
        <v>209002</v>
      </c>
      <c r="B358" t="s">
        <v>1057</v>
      </c>
      <c r="C358">
        <v>0</v>
      </c>
      <c r="D358">
        <v>0</v>
      </c>
      <c r="E358" t="str">
        <f t="shared" si="42"/>
        <v>2090021_1</v>
      </c>
      <c r="F358" t="s">
        <v>213</v>
      </c>
      <c r="G358">
        <v>0</v>
      </c>
      <c r="H358">
        <v>0</v>
      </c>
      <c r="I358">
        <v>0</v>
      </c>
      <c r="J358">
        <v>0</v>
      </c>
      <c r="K358">
        <v>100</v>
      </c>
      <c r="L358" t="s">
        <v>738</v>
      </c>
      <c r="M358" s="6" t="s">
        <v>739</v>
      </c>
      <c r="N358">
        <v>920</v>
      </c>
      <c r="O358">
        <v>120</v>
      </c>
      <c r="P358">
        <v>10</v>
      </c>
      <c r="Q358">
        <v>10</v>
      </c>
      <c r="R358">
        <v>0</v>
      </c>
      <c r="S358">
        <f t="shared" si="40"/>
        <v>2</v>
      </c>
      <c r="T358">
        <f t="shared" si="41"/>
        <v>86</v>
      </c>
      <c r="U358">
        <f t="shared" si="43"/>
        <v>209001</v>
      </c>
      <c r="V358">
        <f>VLOOKUP($A358,精英副本客户端!$A$2:$O$406,10,0)</f>
        <v>90</v>
      </c>
      <c r="W358">
        <f>VLOOKUP($A358,精英副本客户端!$A$2:$O$406,11,0)</f>
        <v>0</v>
      </c>
      <c r="X358">
        <f>VLOOKUP($A358,精英副本客户端!$A$2:$O$406,12,0)</f>
        <v>1</v>
      </c>
      <c r="Y358" t="str">
        <f t="shared" si="44"/>
        <v>沉着试炼（90）</v>
      </c>
    </row>
    <row r="359" spans="1:25">
      <c r="A359">
        <f t="shared" si="39"/>
        <v>209003</v>
      </c>
      <c r="B359" t="s">
        <v>1040</v>
      </c>
      <c r="C359">
        <v>0</v>
      </c>
      <c r="D359">
        <v>0</v>
      </c>
      <c r="E359" t="str">
        <f t="shared" si="42"/>
        <v>2090031_1</v>
      </c>
      <c r="F359" t="s">
        <v>213</v>
      </c>
      <c r="G359">
        <v>0</v>
      </c>
      <c r="H359">
        <v>0</v>
      </c>
      <c r="I359">
        <v>0</v>
      </c>
      <c r="J359">
        <v>0</v>
      </c>
      <c r="K359">
        <v>100</v>
      </c>
      <c r="L359" t="s">
        <v>738</v>
      </c>
      <c r="M359" s="6" t="s">
        <v>739</v>
      </c>
      <c r="N359">
        <v>920</v>
      </c>
      <c r="O359">
        <v>120</v>
      </c>
      <c r="P359">
        <v>10</v>
      </c>
      <c r="Q359">
        <v>10</v>
      </c>
      <c r="R359">
        <v>0</v>
      </c>
      <c r="S359">
        <f t="shared" si="40"/>
        <v>2</v>
      </c>
      <c r="T359">
        <f t="shared" si="41"/>
        <v>86</v>
      </c>
      <c r="U359">
        <f t="shared" si="43"/>
        <v>209002</v>
      </c>
      <c r="V359">
        <f>VLOOKUP($A359,精英副本客户端!$A$2:$O$406,10,0)</f>
        <v>91</v>
      </c>
      <c r="W359">
        <f>VLOOKUP($A359,精英副本客户端!$A$2:$O$406,11,0)</f>
        <v>1</v>
      </c>
      <c r="X359">
        <f>VLOOKUP($A359,精英副本客户端!$A$2:$O$406,12,0)</f>
        <v>5</v>
      </c>
      <c r="Y359" t="str">
        <f t="shared" si="44"/>
        <v>沉着试炼（90）</v>
      </c>
    </row>
    <row r="360" spans="1:25">
      <c r="A360">
        <f t="shared" si="39"/>
        <v>209004</v>
      </c>
      <c r="B360" t="s">
        <v>1058</v>
      </c>
      <c r="C360">
        <v>0</v>
      </c>
      <c r="D360">
        <v>0</v>
      </c>
      <c r="E360" t="str">
        <f t="shared" si="42"/>
        <v>2090041_1</v>
      </c>
      <c r="F360" t="s">
        <v>213</v>
      </c>
      <c r="G360">
        <v>0</v>
      </c>
      <c r="H360">
        <v>0</v>
      </c>
      <c r="I360">
        <v>0</v>
      </c>
      <c r="J360">
        <v>0</v>
      </c>
      <c r="K360">
        <v>100</v>
      </c>
      <c r="L360" t="s">
        <v>738</v>
      </c>
      <c r="M360" s="6" t="s">
        <v>739</v>
      </c>
      <c r="N360">
        <v>920</v>
      </c>
      <c r="O360">
        <v>120</v>
      </c>
      <c r="P360">
        <v>10</v>
      </c>
      <c r="Q360">
        <v>10</v>
      </c>
      <c r="R360">
        <v>0</v>
      </c>
      <c r="S360">
        <f t="shared" si="40"/>
        <v>2</v>
      </c>
      <c r="T360">
        <f t="shared" si="41"/>
        <v>86</v>
      </c>
      <c r="U360">
        <f t="shared" si="43"/>
        <v>209003</v>
      </c>
      <c r="V360">
        <f>VLOOKUP($A360,精英副本客户端!$A$2:$O$406,10,0)</f>
        <v>91</v>
      </c>
      <c r="W360">
        <f>VLOOKUP($A360,精英副本客户端!$A$2:$O$406,11,0)</f>
        <v>0</v>
      </c>
      <c r="X360">
        <f>VLOOKUP($A360,精英副本客户端!$A$2:$O$406,12,0)</f>
        <v>1</v>
      </c>
      <c r="Y360" t="str">
        <f t="shared" si="44"/>
        <v>沉着试炼（90）</v>
      </c>
    </row>
    <row r="361" spans="1:25">
      <c r="A361">
        <f t="shared" si="39"/>
        <v>209005</v>
      </c>
      <c r="B361" t="s">
        <v>1059</v>
      </c>
      <c r="C361">
        <v>0</v>
      </c>
      <c r="D361">
        <v>0</v>
      </c>
      <c r="E361" t="str">
        <f t="shared" si="42"/>
        <v>2090051_1</v>
      </c>
      <c r="F361" t="s">
        <v>213</v>
      </c>
      <c r="G361">
        <v>0</v>
      </c>
      <c r="H361">
        <v>0</v>
      </c>
      <c r="I361">
        <v>0</v>
      </c>
      <c r="J361">
        <v>0</v>
      </c>
      <c r="K361">
        <v>100</v>
      </c>
      <c r="L361" t="s">
        <v>738</v>
      </c>
      <c r="M361" s="6" t="s">
        <v>739</v>
      </c>
      <c r="N361">
        <v>920</v>
      </c>
      <c r="O361">
        <v>120</v>
      </c>
      <c r="P361">
        <v>10</v>
      </c>
      <c r="Q361">
        <v>10</v>
      </c>
      <c r="R361">
        <v>0</v>
      </c>
      <c r="S361">
        <f t="shared" si="40"/>
        <v>2</v>
      </c>
      <c r="T361">
        <f t="shared" si="41"/>
        <v>86</v>
      </c>
      <c r="U361">
        <f t="shared" si="43"/>
        <v>209004</v>
      </c>
      <c r="V361">
        <f>VLOOKUP($A361,精英副本客户端!$A$2:$O$406,10,0)</f>
        <v>91</v>
      </c>
      <c r="W361">
        <f>VLOOKUP($A361,精英副本客户端!$A$2:$O$406,11,0)</f>
        <v>0</v>
      </c>
      <c r="X361">
        <f>VLOOKUP($A361,精英副本客户端!$A$2:$O$406,12,0)</f>
        <v>1</v>
      </c>
      <c r="Y361" t="str">
        <f t="shared" si="44"/>
        <v>沉着试炼（90）</v>
      </c>
    </row>
    <row r="362" spans="1:25">
      <c r="A362">
        <f t="shared" si="39"/>
        <v>209006</v>
      </c>
      <c r="B362" t="s">
        <v>1060</v>
      </c>
      <c r="C362">
        <v>0</v>
      </c>
      <c r="D362">
        <v>0</v>
      </c>
      <c r="E362" t="str">
        <f t="shared" si="42"/>
        <v>2090061_1</v>
      </c>
      <c r="F362" t="s">
        <v>213</v>
      </c>
      <c r="G362">
        <v>0</v>
      </c>
      <c r="H362">
        <v>0</v>
      </c>
      <c r="I362">
        <v>0</v>
      </c>
      <c r="J362">
        <v>0</v>
      </c>
      <c r="K362">
        <v>100</v>
      </c>
      <c r="L362" t="s">
        <v>738</v>
      </c>
      <c r="M362" s="6" t="s">
        <v>739</v>
      </c>
      <c r="N362">
        <v>920</v>
      </c>
      <c r="O362">
        <v>120</v>
      </c>
      <c r="P362">
        <v>10</v>
      </c>
      <c r="Q362">
        <v>10</v>
      </c>
      <c r="R362">
        <v>0</v>
      </c>
      <c r="S362">
        <f t="shared" si="40"/>
        <v>2</v>
      </c>
      <c r="T362">
        <f t="shared" si="41"/>
        <v>86</v>
      </c>
      <c r="U362">
        <f t="shared" si="43"/>
        <v>209005</v>
      </c>
      <c r="V362">
        <f>VLOOKUP($A362,精英副本客户端!$A$2:$O$406,10,0)</f>
        <v>92</v>
      </c>
      <c r="W362">
        <f>VLOOKUP($A362,精英副本客户端!$A$2:$O$406,11,0)</f>
        <v>1</v>
      </c>
      <c r="X362">
        <f>VLOOKUP($A362,精英副本客户端!$A$2:$O$406,12,0)</f>
        <v>5</v>
      </c>
      <c r="Y362" t="str">
        <f t="shared" si="44"/>
        <v>沉着试炼（90）</v>
      </c>
    </row>
    <row r="363" spans="1:25">
      <c r="A363">
        <f t="shared" si="39"/>
        <v>209007</v>
      </c>
      <c r="B363" t="s">
        <v>1061</v>
      </c>
      <c r="C363">
        <v>0</v>
      </c>
      <c r="D363">
        <v>0</v>
      </c>
      <c r="E363" t="str">
        <f t="shared" si="42"/>
        <v>2090071_1</v>
      </c>
      <c r="F363" t="s">
        <v>213</v>
      </c>
      <c r="G363">
        <v>0</v>
      </c>
      <c r="H363">
        <v>0</v>
      </c>
      <c r="I363">
        <v>0</v>
      </c>
      <c r="J363">
        <v>0</v>
      </c>
      <c r="K363">
        <v>100</v>
      </c>
      <c r="L363" t="s">
        <v>738</v>
      </c>
      <c r="M363" s="6" t="s">
        <v>739</v>
      </c>
      <c r="N363">
        <v>920</v>
      </c>
      <c r="O363">
        <v>120</v>
      </c>
      <c r="P363">
        <v>10</v>
      </c>
      <c r="Q363">
        <v>10</v>
      </c>
      <c r="R363">
        <v>0</v>
      </c>
      <c r="S363">
        <f t="shared" si="40"/>
        <v>2</v>
      </c>
      <c r="T363">
        <f t="shared" si="41"/>
        <v>86</v>
      </c>
      <c r="U363">
        <f t="shared" si="43"/>
        <v>209006</v>
      </c>
      <c r="V363">
        <f>VLOOKUP($A363,精英副本客户端!$A$2:$O$406,10,0)</f>
        <v>92</v>
      </c>
      <c r="W363">
        <f>VLOOKUP($A363,精英副本客户端!$A$2:$O$406,11,0)</f>
        <v>0</v>
      </c>
      <c r="X363">
        <f>VLOOKUP($A363,精英副本客户端!$A$2:$O$406,12,0)</f>
        <v>1</v>
      </c>
      <c r="Y363" t="str">
        <f t="shared" si="44"/>
        <v>沉着试炼（90）</v>
      </c>
    </row>
    <row r="364" spans="1:25">
      <c r="A364">
        <f t="shared" si="39"/>
        <v>209008</v>
      </c>
      <c r="B364" t="s">
        <v>1062</v>
      </c>
      <c r="C364">
        <v>0</v>
      </c>
      <c r="D364">
        <v>0</v>
      </c>
      <c r="E364" t="str">
        <f t="shared" si="42"/>
        <v>2090081_1</v>
      </c>
      <c r="F364" t="s">
        <v>213</v>
      </c>
      <c r="G364">
        <v>0</v>
      </c>
      <c r="H364">
        <v>0</v>
      </c>
      <c r="I364">
        <v>0</v>
      </c>
      <c r="J364">
        <v>0</v>
      </c>
      <c r="K364">
        <v>100</v>
      </c>
      <c r="L364" t="s">
        <v>738</v>
      </c>
      <c r="M364" s="6" t="s">
        <v>739</v>
      </c>
      <c r="N364">
        <v>920</v>
      </c>
      <c r="O364">
        <v>120</v>
      </c>
      <c r="P364">
        <v>10</v>
      </c>
      <c r="Q364">
        <v>10</v>
      </c>
      <c r="R364">
        <v>0</v>
      </c>
      <c r="S364">
        <f t="shared" si="40"/>
        <v>2</v>
      </c>
      <c r="T364">
        <f t="shared" si="41"/>
        <v>86</v>
      </c>
      <c r="U364">
        <f t="shared" si="43"/>
        <v>209007</v>
      </c>
      <c r="V364">
        <f>VLOOKUP($A364,精英副本客户端!$A$2:$O$406,10,0)</f>
        <v>93</v>
      </c>
      <c r="W364">
        <f>VLOOKUP($A364,精英副本客户端!$A$2:$O$406,11,0)</f>
        <v>0</v>
      </c>
      <c r="X364">
        <f>VLOOKUP($A364,精英副本客户端!$A$2:$O$406,12,0)</f>
        <v>1</v>
      </c>
      <c r="Y364" t="str">
        <f t="shared" si="44"/>
        <v>沉着试炼（90）</v>
      </c>
    </row>
    <row r="365" spans="1:25">
      <c r="A365">
        <f t="shared" si="39"/>
        <v>209009</v>
      </c>
      <c r="B365" t="s">
        <v>1063</v>
      </c>
      <c r="C365">
        <v>0</v>
      </c>
      <c r="D365">
        <v>0</v>
      </c>
      <c r="E365" t="str">
        <f t="shared" si="42"/>
        <v>2090091_1</v>
      </c>
      <c r="F365" t="s">
        <v>213</v>
      </c>
      <c r="G365">
        <v>0</v>
      </c>
      <c r="H365">
        <v>0</v>
      </c>
      <c r="I365">
        <v>0</v>
      </c>
      <c r="J365">
        <v>0</v>
      </c>
      <c r="K365">
        <v>100</v>
      </c>
      <c r="L365" t="s">
        <v>738</v>
      </c>
      <c r="M365" s="6" t="s">
        <v>739</v>
      </c>
      <c r="N365">
        <v>920</v>
      </c>
      <c r="O365">
        <v>120</v>
      </c>
      <c r="P365">
        <v>10</v>
      </c>
      <c r="Q365">
        <v>10</v>
      </c>
      <c r="R365">
        <v>0</v>
      </c>
      <c r="S365">
        <f t="shared" si="40"/>
        <v>2</v>
      </c>
      <c r="T365">
        <f t="shared" si="41"/>
        <v>86</v>
      </c>
      <c r="U365">
        <f t="shared" si="43"/>
        <v>209008</v>
      </c>
      <c r="V365">
        <f>VLOOKUP($A365,精英副本客户端!$A$2:$O$406,10,0)</f>
        <v>94</v>
      </c>
      <c r="W365">
        <f>VLOOKUP($A365,精英副本客户端!$A$2:$O$406,11,0)</f>
        <v>1</v>
      </c>
      <c r="X365">
        <f>VLOOKUP($A365,精英副本客户端!$A$2:$O$406,12,0)</f>
        <v>5</v>
      </c>
      <c r="Y365" t="str">
        <f t="shared" si="44"/>
        <v>沉着试炼（90）</v>
      </c>
    </row>
    <row r="366" spans="1:25">
      <c r="A366">
        <f t="shared" si="39"/>
        <v>209501</v>
      </c>
      <c r="B366" t="s">
        <v>1068</v>
      </c>
      <c r="C366">
        <v>0</v>
      </c>
      <c r="D366">
        <v>0</v>
      </c>
      <c r="E366" t="str">
        <f t="shared" si="42"/>
        <v>2095011_1</v>
      </c>
      <c r="F366" t="s">
        <v>213</v>
      </c>
      <c r="G366">
        <v>0</v>
      </c>
      <c r="H366">
        <v>0</v>
      </c>
      <c r="I366">
        <v>0</v>
      </c>
      <c r="J366">
        <v>0</v>
      </c>
      <c r="K366">
        <v>100</v>
      </c>
      <c r="L366" t="s">
        <v>738</v>
      </c>
      <c r="M366" s="6" t="s">
        <v>739</v>
      </c>
      <c r="N366">
        <v>920</v>
      </c>
      <c r="O366">
        <v>120</v>
      </c>
      <c r="P366">
        <v>10</v>
      </c>
      <c r="Q366">
        <v>10</v>
      </c>
      <c r="R366">
        <v>0</v>
      </c>
      <c r="S366">
        <f t="shared" si="40"/>
        <v>2</v>
      </c>
      <c r="T366">
        <f t="shared" si="41"/>
        <v>91</v>
      </c>
      <c r="U366">
        <f t="shared" si="43"/>
        <v>209009</v>
      </c>
      <c r="V366">
        <f>VLOOKUP($A366,精英副本客户端!$A$2:$O$406,10,0)</f>
        <v>95</v>
      </c>
      <c r="W366">
        <f>VLOOKUP($A366,精英副本客户端!$A$2:$O$406,11,0)</f>
        <v>0</v>
      </c>
      <c r="X366">
        <f>VLOOKUP($A366,精英副本客户端!$A$2:$O$406,12,0)</f>
        <v>1</v>
      </c>
      <c r="Y366" t="str">
        <f t="shared" si="44"/>
        <v>沉着试炼（95）</v>
      </c>
    </row>
    <row r="367" spans="1:25">
      <c r="A367">
        <f t="shared" si="39"/>
        <v>209502</v>
      </c>
      <c r="B367" t="s">
        <v>1057</v>
      </c>
      <c r="C367">
        <v>0</v>
      </c>
      <c r="D367">
        <v>0</v>
      </c>
      <c r="E367" t="str">
        <f t="shared" si="42"/>
        <v>2095021_1</v>
      </c>
      <c r="F367" t="s">
        <v>213</v>
      </c>
      <c r="G367">
        <v>0</v>
      </c>
      <c r="H367">
        <v>0</v>
      </c>
      <c r="I367">
        <v>0</v>
      </c>
      <c r="J367">
        <v>0</v>
      </c>
      <c r="K367">
        <v>100</v>
      </c>
      <c r="L367" t="s">
        <v>738</v>
      </c>
      <c r="M367" s="6" t="s">
        <v>739</v>
      </c>
      <c r="N367">
        <v>920</v>
      </c>
      <c r="O367">
        <v>120</v>
      </c>
      <c r="P367">
        <v>10</v>
      </c>
      <c r="Q367">
        <v>10</v>
      </c>
      <c r="R367">
        <v>0</v>
      </c>
      <c r="S367">
        <f t="shared" si="40"/>
        <v>2</v>
      </c>
      <c r="T367">
        <f t="shared" si="41"/>
        <v>91</v>
      </c>
      <c r="U367">
        <f t="shared" si="43"/>
        <v>209501</v>
      </c>
      <c r="V367">
        <f>VLOOKUP($A367,精英副本客户端!$A$2:$O$406,10,0)</f>
        <v>95</v>
      </c>
      <c r="W367">
        <f>VLOOKUP($A367,精英副本客户端!$A$2:$O$406,11,0)</f>
        <v>0</v>
      </c>
      <c r="X367">
        <f>VLOOKUP($A367,精英副本客户端!$A$2:$O$406,12,0)</f>
        <v>1</v>
      </c>
      <c r="Y367" t="str">
        <f t="shared" si="44"/>
        <v>沉着试炼（95）</v>
      </c>
    </row>
    <row r="368" spans="1:25">
      <c r="A368">
        <f t="shared" si="39"/>
        <v>209503</v>
      </c>
      <c r="B368" t="s">
        <v>1040</v>
      </c>
      <c r="C368">
        <v>0</v>
      </c>
      <c r="D368">
        <v>0</v>
      </c>
      <c r="E368" t="str">
        <f t="shared" si="42"/>
        <v>2095031_1</v>
      </c>
      <c r="F368" t="s">
        <v>213</v>
      </c>
      <c r="G368">
        <v>0</v>
      </c>
      <c r="H368">
        <v>0</v>
      </c>
      <c r="I368">
        <v>0</v>
      </c>
      <c r="J368">
        <v>0</v>
      </c>
      <c r="K368">
        <v>100</v>
      </c>
      <c r="L368" t="s">
        <v>738</v>
      </c>
      <c r="M368" s="6" t="s">
        <v>739</v>
      </c>
      <c r="N368">
        <v>920</v>
      </c>
      <c r="O368">
        <v>120</v>
      </c>
      <c r="P368">
        <v>10</v>
      </c>
      <c r="Q368">
        <v>10</v>
      </c>
      <c r="R368">
        <v>0</v>
      </c>
      <c r="S368">
        <f t="shared" si="40"/>
        <v>2</v>
      </c>
      <c r="T368">
        <f t="shared" si="41"/>
        <v>91</v>
      </c>
      <c r="U368">
        <f t="shared" si="43"/>
        <v>209502</v>
      </c>
      <c r="V368">
        <f>VLOOKUP($A368,精英副本客户端!$A$2:$O$406,10,0)</f>
        <v>96</v>
      </c>
      <c r="W368">
        <f>VLOOKUP($A368,精英副本客户端!$A$2:$O$406,11,0)</f>
        <v>1</v>
      </c>
      <c r="X368">
        <f>VLOOKUP($A368,精英副本客户端!$A$2:$O$406,12,0)</f>
        <v>5</v>
      </c>
      <c r="Y368" t="str">
        <f t="shared" si="44"/>
        <v>沉着试炼（95）</v>
      </c>
    </row>
    <row r="369" spans="1:25">
      <c r="A369">
        <f t="shared" si="39"/>
        <v>209504</v>
      </c>
      <c r="B369" t="s">
        <v>1058</v>
      </c>
      <c r="C369">
        <v>0</v>
      </c>
      <c r="D369">
        <v>0</v>
      </c>
      <c r="E369" t="str">
        <f t="shared" si="42"/>
        <v>2095041_1</v>
      </c>
      <c r="F369" t="s">
        <v>213</v>
      </c>
      <c r="G369">
        <v>0</v>
      </c>
      <c r="H369">
        <v>0</v>
      </c>
      <c r="I369">
        <v>0</v>
      </c>
      <c r="J369">
        <v>0</v>
      </c>
      <c r="K369">
        <v>100</v>
      </c>
      <c r="L369" t="s">
        <v>738</v>
      </c>
      <c r="M369" s="6" t="s">
        <v>739</v>
      </c>
      <c r="N369">
        <v>920</v>
      </c>
      <c r="O369">
        <v>120</v>
      </c>
      <c r="P369">
        <v>10</v>
      </c>
      <c r="Q369">
        <v>10</v>
      </c>
      <c r="R369">
        <v>0</v>
      </c>
      <c r="S369">
        <f t="shared" si="40"/>
        <v>2</v>
      </c>
      <c r="T369">
        <f t="shared" si="41"/>
        <v>91</v>
      </c>
      <c r="U369">
        <f t="shared" si="43"/>
        <v>209503</v>
      </c>
      <c r="V369">
        <f>VLOOKUP($A369,精英副本客户端!$A$2:$O$406,10,0)</f>
        <v>96</v>
      </c>
      <c r="W369">
        <f>VLOOKUP($A369,精英副本客户端!$A$2:$O$406,11,0)</f>
        <v>0</v>
      </c>
      <c r="X369">
        <f>VLOOKUP($A369,精英副本客户端!$A$2:$O$406,12,0)</f>
        <v>1</v>
      </c>
      <c r="Y369" t="str">
        <f t="shared" si="44"/>
        <v>沉着试炼（95）</v>
      </c>
    </row>
    <row r="370" spans="1:25">
      <c r="A370">
        <f t="shared" si="39"/>
        <v>209505</v>
      </c>
      <c r="B370" t="s">
        <v>1059</v>
      </c>
      <c r="C370">
        <v>0</v>
      </c>
      <c r="D370">
        <v>0</v>
      </c>
      <c r="E370" t="str">
        <f t="shared" si="42"/>
        <v>2095051_1</v>
      </c>
      <c r="F370" t="s">
        <v>213</v>
      </c>
      <c r="G370">
        <v>0</v>
      </c>
      <c r="H370">
        <v>0</v>
      </c>
      <c r="I370">
        <v>0</v>
      </c>
      <c r="J370">
        <v>0</v>
      </c>
      <c r="K370">
        <v>100</v>
      </c>
      <c r="L370" t="s">
        <v>738</v>
      </c>
      <c r="M370" s="6" t="s">
        <v>739</v>
      </c>
      <c r="N370">
        <v>920</v>
      </c>
      <c r="O370">
        <v>120</v>
      </c>
      <c r="P370">
        <v>10</v>
      </c>
      <c r="Q370">
        <v>10</v>
      </c>
      <c r="R370">
        <v>0</v>
      </c>
      <c r="S370">
        <f t="shared" si="40"/>
        <v>2</v>
      </c>
      <c r="T370">
        <f t="shared" si="41"/>
        <v>91</v>
      </c>
      <c r="U370">
        <f t="shared" si="43"/>
        <v>209504</v>
      </c>
      <c r="V370">
        <f>VLOOKUP($A370,精英副本客户端!$A$2:$O$406,10,0)</f>
        <v>96</v>
      </c>
      <c r="W370">
        <f>VLOOKUP($A370,精英副本客户端!$A$2:$O$406,11,0)</f>
        <v>0</v>
      </c>
      <c r="X370">
        <f>VLOOKUP($A370,精英副本客户端!$A$2:$O$406,12,0)</f>
        <v>1</v>
      </c>
      <c r="Y370" t="str">
        <f t="shared" si="44"/>
        <v>沉着试炼（95）</v>
      </c>
    </row>
    <row r="371" spans="1:25">
      <c r="A371">
        <f t="shared" si="39"/>
        <v>209506</v>
      </c>
      <c r="B371" t="s">
        <v>1060</v>
      </c>
      <c r="C371">
        <v>0</v>
      </c>
      <c r="D371">
        <v>0</v>
      </c>
      <c r="E371" t="str">
        <f t="shared" si="42"/>
        <v>2095061_1</v>
      </c>
      <c r="F371" t="s">
        <v>213</v>
      </c>
      <c r="G371">
        <v>0</v>
      </c>
      <c r="H371">
        <v>0</v>
      </c>
      <c r="I371">
        <v>0</v>
      </c>
      <c r="J371">
        <v>0</v>
      </c>
      <c r="K371">
        <v>100</v>
      </c>
      <c r="L371" t="s">
        <v>738</v>
      </c>
      <c r="M371" s="6" t="s">
        <v>739</v>
      </c>
      <c r="N371">
        <v>920</v>
      </c>
      <c r="O371">
        <v>120</v>
      </c>
      <c r="P371">
        <v>10</v>
      </c>
      <c r="Q371">
        <v>10</v>
      </c>
      <c r="R371">
        <v>0</v>
      </c>
      <c r="S371">
        <f t="shared" si="40"/>
        <v>2</v>
      </c>
      <c r="T371">
        <f t="shared" si="41"/>
        <v>91</v>
      </c>
      <c r="U371">
        <f t="shared" si="43"/>
        <v>209505</v>
      </c>
      <c r="V371">
        <f>VLOOKUP($A371,精英副本客户端!$A$2:$O$406,10,0)</f>
        <v>97</v>
      </c>
      <c r="W371">
        <f>VLOOKUP($A371,精英副本客户端!$A$2:$O$406,11,0)</f>
        <v>1</v>
      </c>
      <c r="X371">
        <f>VLOOKUP($A371,精英副本客户端!$A$2:$O$406,12,0)</f>
        <v>5</v>
      </c>
      <c r="Y371" t="str">
        <f t="shared" si="44"/>
        <v>沉着试炼（95）</v>
      </c>
    </row>
    <row r="372" spans="1:25">
      <c r="A372">
        <f t="shared" si="39"/>
        <v>209507</v>
      </c>
      <c r="B372" t="s">
        <v>1061</v>
      </c>
      <c r="C372">
        <v>0</v>
      </c>
      <c r="D372">
        <v>0</v>
      </c>
      <c r="E372" t="str">
        <f t="shared" si="42"/>
        <v>2095071_1</v>
      </c>
      <c r="F372" t="s">
        <v>213</v>
      </c>
      <c r="G372">
        <v>0</v>
      </c>
      <c r="H372">
        <v>0</v>
      </c>
      <c r="I372">
        <v>0</v>
      </c>
      <c r="J372">
        <v>0</v>
      </c>
      <c r="K372">
        <v>100</v>
      </c>
      <c r="L372" t="s">
        <v>738</v>
      </c>
      <c r="M372" s="6" t="s">
        <v>739</v>
      </c>
      <c r="N372">
        <v>920</v>
      </c>
      <c r="O372">
        <v>120</v>
      </c>
      <c r="P372">
        <v>10</v>
      </c>
      <c r="Q372">
        <v>10</v>
      </c>
      <c r="R372">
        <v>0</v>
      </c>
      <c r="S372">
        <f t="shared" si="40"/>
        <v>2</v>
      </c>
      <c r="T372">
        <f t="shared" si="41"/>
        <v>91</v>
      </c>
      <c r="U372">
        <f t="shared" si="43"/>
        <v>209506</v>
      </c>
      <c r="V372">
        <f>VLOOKUP($A372,精英副本客户端!$A$2:$O$406,10,0)</f>
        <v>97</v>
      </c>
      <c r="W372">
        <f>VLOOKUP($A372,精英副本客户端!$A$2:$O$406,11,0)</f>
        <v>0</v>
      </c>
      <c r="X372">
        <f>VLOOKUP($A372,精英副本客户端!$A$2:$O$406,12,0)</f>
        <v>1</v>
      </c>
      <c r="Y372" t="str">
        <f t="shared" si="44"/>
        <v>沉着试炼（95）</v>
      </c>
    </row>
    <row r="373" spans="1:25">
      <c r="A373">
        <f t="shared" si="39"/>
        <v>209508</v>
      </c>
      <c r="B373" t="s">
        <v>1062</v>
      </c>
      <c r="C373">
        <v>0</v>
      </c>
      <c r="D373">
        <v>0</v>
      </c>
      <c r="E373" t="str">
        <f t="shared" si="42"/>
        <v>2095081_1</v>
      </c>
      <c r="F373" t="s">
        <v>213</v>
      </c>
      <c r="G373">
        <v>0</v>
      </c>
      <c r="H373">
        <v>0</v>
      </c>
      <c r="I373">
        <v>0</v>
      </c>
      <c r="J373">
        <v>0</v>
      </c>
      <c r="K373">
        <v>100</v>
      </c>
      <c r="L373" t="s">
        <v>738</v>
      </c>
      <c r="M373" s="6" t="s">
        <v>739</v>
      </c>
      <c r="N373">
        <v>920</v>
      </c>
      <c r="O373">
        <v>120</v>
      </c>
      <c r="P373">
        <v>10</v>
      </c>
      <c r="Q373">
        <v>10</v>
      </c>
      <c r="R373">
        <v>0</v>
      </c>
      <c r="S373">
        <f t="shared" si="40"/>
        <v>2</v>
      </c>
      <c r="T373">
        <f t="shared" si="41"/>
        <v>91</v>
      </c>
      <c r="U373">
        <f t="shared" si="43"/>
        <v>209507</v>
      </c>
      <c r="V373">
        <f>VLOOKUP($A373,精英副本客户端!$A$2:$O$406,10,0)</f>
        <v>98</v>
      </c>
      <c r="W373">
        <f>VLOOKUP($A373,精英副本客户端!$A$2:$O$406,11,0)</f>
        <v>0</v>
      </c>
      <c r="X373">
        <f>VLOOKUP($A373,精英副本客户端!$A$2:$O$406,12,0)</f>
        <v>1</v>
      </c>
      <c r="Y373" t="str">
        <f t="shared" si="44"/>
        <v>沉着试炼（95）</v>
      </c>
    </row>
    <row r="374" spans="1:25">
      <c r="A374">
        <f t="shared" si="39"/>
        <v>209509</v>
      </c>
      <c r="B374" t="s">
        <v>1063</v>
      </c>
      <c r="C374">
        <v>0</v>
      </c>
      <c r="D374">
        <v>0</v>
      </c>
      <c r="E374" t="str">
        <f t="shared" si="42"/>
        <v>2095091_1</v>
      </c>
      <c r="F374" t="s">
        <v>213</v>
      </c>
      <c r="G374">
        <v>0</v>
      </c>
      <c r="H374">
        <v>0</v>
      </c>
      <c r="I374">
        <v>0</v>
      </c>
      <c r="J374">
        <v>0</v>
      </c>
      <c r="K374">
        <v>100</v>
      </c>
      <c r="L374" t="s">
        <v>738</v>
      </c>
      <c r="M374" s="6" t="s">
        <v>739</v>
      </c>
      <c r="N374">
        <v>920</v>
      </c>
      <c r="O374">
        <v>120</v>
      </c>
      <c r="P374">
        <v>10</v>
      </c>
      <c r="Q374">
        <v>10</v>
      </c>
      <c r="R374">
        <v>0</v>
      </c>
      <c r="S374">
        <f t="shared" si="40"/>
        <v>2</v>
      </c>
      <c r="T374">
        <f t="shared" si="41"/>
        <v>91</v>
      </c>
      <c r="U374">
        <f t="shared" si="43"/>
        <v>209508</v>
      </c>
      <c r="V374">
        <f>VLOOKUP($A374,精英副本客户端!$A$2:$O$406,10,0)</f>
        <v>99</v>
      </c>
      <c r="W374">
        <f>VLOOKUP($A374,精英副本客户端!$A$2:$O$406,11,0)</f>
        <v>1</v>
      </c>
      <c r="X374">
        <f>VLOOKUP($A374,精英副本客户端!$A$2:$O$406,12,0)</f>
        <v>5</v>
      </c>
      <c r="Y374" t="str">
        <f t="shared" si="44"/>
        <v>沉着试炼（95）</v>
      </c>
    </row>
    <row r="375" spans="1:25">
      <c r="A375">
        <f t="shared" si="39"/>
        <v>210001</v>
      </c>
      <c r="B375" t="s">
        <v>1068</v>
      </c>
      <c r="C375">
        <v>0</v>
      </c>
      <c r="D375">
        <v>0</v>
      </c>
      <c r="E375" t="str">
        <f t="shared" si="42"/>
        <v>2100011_1</v>
      </c>
      <c r="F375" t="s">
        <v>213</v>
      </c>
      <c r="G375">
        <v>0</v>
      </c>
      <c r="H375">
        <v>0</v>
      </c>
      <c r="I375">
        <v>0</v>
      </c>
      <c r="J375">
        <v>0</v>
      </c>
      <c r="K375">
        <v>100</v>
      </c>
      <c r="L375" t="s">
        <v>738</v>
      </c>
      <c r="M375" s="6" t="s">
        <v>739</v>
      </c>
      <c r="N375">
        <v>920</v>
      </c>
      <c r="O375">
        <v>120</v>
      </c>
      <c r="P375">
        <v>10</v>
      </c>
      <c r="Q375">
        <v>10</v>
      </c>
      <c r="R375">
        <v>0</v>
      </c>
      <c r="S375">
        <f t="shared" si="40"/>
        <v>2</v>
      </c>
      <c r="T375">
        <f t="shared" si="41"/>
        <v>96</v>
      </c>
      <c r="U375">
        <f t="shared" si="43"/>
        <v>209509</v>
      </c>
      <c r="V375">
        <f>VLOOKUP($A375,精英副本客户端!$A$2:$O$406,10,0)</f>
        <v>100</v>
      </c>
      <c r="W375">
        <f>VLOOKUP($A375,精英副本客户端!$A$2:$O$406,11,0)</f>
        <v>0</v>
      </c>
      <c r="X375">
        <f>VLOOKUP($A375,精英副本客户端!$A$2:$O$406,12,0)</f>
        <v>1</v>
      </c>
      <c r="Y375" t="str">
        <f t="shared" si="44"/>
        <v>沉着试炼（100）</v>
      </c>
    </row>
    <row r="376" spans="1:25">
      <c r="A376">
        <f t="shared" si="39"/>
        <v>210002</v>
      </c>
      <c r="B376" t="s">
        <v>1057</v>
      </c>
      <c r="C376">
        <v>0</v>
      </c>
      <c r="D376">
        <v>0</v>
      </c>
      <c r="E376" t="str">
        <f t="shared" si="42"/>
        <v>2100021_1</v>
      </c>
      <c r="F376" t="s">
        <v>213</v>
      </c>
      <c r="G376">
        <v>0</v>
      </c>
      <c r="H376">
        <v>0</v>
      </c>
      <c r="I376">
        <v>0</v>
      </c>
      <c r="J376">
        <v>0</v>
      </c>
      <c r="K376">
        <v>100</v>
      </c>
      <c r="L376" t="s">
        <v>738</v>
      </c>
      <c r="M376" s="6" t="s">
        <v>739</v>
      </c>
      <c r="N376">
        <v>920</v>
      </c>
      <c r="O376">
        <v>120</v>
      </c>
      <c r="P376">
        <v>10</v>
      </c>
      <c r="Q376">
        <v>10</v>
      </c>
      <c r="R376">
        <v>0</v>
      </c>
      <c r="S376">
        <f t="shared" si="40"/>
        <v>2</v>
      </c>
      <c r="T376">
        <f t="shared" si="41"/>
        <v>96</v>
      </c>
      <c r="U376">
        <f t="shared" si="43"/>
        <v>210001</v>
      </c>
      <c r="V376">
        <f>VLOOKUP($A376,精英副本客户端!$A$2:$O$406,10,0)</f>
        <v>100</v>
      </c>
      <c r="W376">
        <f>VLOOKUP($A376,精英副本客户端!$A$2:$O$406,11,0)</f>
        <v>0</v>
      </c>
      <c r="X376">
        <f>VLOOKUP($A376,精英副本客户端!$A$2:$O$406,12,0)</f>
        <v>1</v>
      </c>
      <c r="Y376" t="str">
        <f t="shared" si="44"/>
        <v>沉着试炼（100）</v>
      </c>
    </row>
    <row r="377" spans="1:25">
      <c r="A377">
        <f t="shared" si="39"/>
        <v>210003</v>
      </c>
      <c r="B377" t="s">
        <v>1040</v>
      </c>
      <c r="C377">
        <v>0</v>
      </c>
      <c r="D377">
        <v>0</v>
      </c>
      <c r="E377" t="str">
        <f t="shared" si="42"/>
        <v>2100031_1</v>
      </c>
      <c r="F377" t="s">
        <v>213</v>
      </c>
      <c r="G377">
        <v>0</v>
      </c>
      <c r="H377">
        <v>0</v>
      </c>
      <c r="I377">
        <v>0</v>
      </c>
      <c r="J377">
        <v>0</v>
      </c>
      <c r="K377">
        <v>100</v>
      </c>
      <c r="L377" t="s">
        <v>738</v>
      </c>
      <c r="M377" s="6" t="s">
        <v>739</v>
      </c>
      <c r="N377">
        <v>920</v>
      </c>
      <c r="O377">
        <v>120</v>
      </c>
      <c r="P377">
        <v>10</v>
      </c>
      <c r="Q377">
        <v>10</v>
      </c>
      <c r="R377">
        <v>0</v>
      </c>
      <c r="S377">
        <f t="shared" si="40"/>
        <v>2</v>
      </c>
      <c r="T377">
        <f t="shared" si="41"/>
        <v>96</v>
      </c>
      <c r="U377">
        <f t="shared" si="43"/>
        <v>210002</v>
      </c>
      <c r="V377">
        <f>VLOOKUP($A377,精英副本客户端!$A$2:$O$406,10,0)</f>
        <v>101</v>
      </c>
      <c r="W377">
        <f>VLOOKUP($A377,精英副本客户端!$A$2:$O$406,11,0)</f>
        <v>1</v>
      </c>
      <c r="X377">
        <f>VLOOKUP($A377,精英副本客户端!$A$2:$O$406,12,0)</f>
        <v>5</v>
      </c>
      <c r="Y377" t="str">
        <f t="shared" si="44"/>
        <v>沉着试炼（100）</v>
      </c>
    </row>
    <row r="378" spans="1:25">
      <c r="A378">
        <f t="shared" si="39"/>
        <v>210004</v>
      </c>
      <c r="B378" t="s">
        <v>1058</v>
      </c>
      <c r="C378">
        <v>0</v>
      </c>
      <c r="D378">
        <v>0</v>
      </c>
      <c r="E378" t="str">
        <f t="shared" si="42"/>
        <v>2100041_1</v>
      </c>
      <c r="F378" t="s">
        <v>213</v>
      </c>
      <c r="G378">
        <v>0</v>
      </c>
      <c r="H378">
        <v>0</v>
      </c>
      <c r="I378">
        <v>0</v>
      </c>
      <c r="J378">
        <v>0</v>
      </c>
      <c r="K378">
        <v>100</v>
      </c>
      <c r="L378" t="s">
        <v>738</v>
      </c>
      <c r="M378" s="6" t="s">
        <v>739</v>
      </c>
      <c r="N378">
        <v>920</v>
      </c>
      <c r="O378">
        <v>120</v>
      </c>
      <c r="P378">
        <v>10</v>
      </c>
      <c r="Q378">
        <v>10</v>
      </c>
      <c r="R378">
        <v>0</v>
      </c>
      <c r="S378">
        <f t="shared" si="40"/>
        <v>2</v>
      </c>
      <c r="T378">
        <f t="shared" si="41"/>
        <v>96</v>
      </c>
      <c r="U378">
        <f t="shared" si="43"/>
        <v>210003</v>
      </c>
      <c r="V378">
        <f>VLOOKUP($A378,精英副本客户端!$A$2:$O$406,10,0)</f>
        <v>101</v>
      </c>
      <c r="W378">
        <f>VLOOKUP($A378,精英副本客户端!$A$2:$O$406,11,0)</f>
        <v>0</v>
      </c>
      <c r="X378">
        <f>VLOOKUP($A378,精英副本客户端!$A$2:$O$406,12,0)</f>
        <v>1</v>
      </c>
      <c r="Y378" t="str">
        <f t="shared" si="44"/>
        <v>沉着试炼（100）</v>
      </c>
    </row>
    <row r="379" spans="1:25">
      <c r="A379">
        <f t="shared" si="39"/>
        <v>210005</v>
      </c>
      <c r="B379" t="s">
        <v>1059</v>
      </c>
      <c r="C379">
        <v>0</v>
      </c>
      <c r="D379">
        <v>0</v>
      </c>
      <c r="E379" t="str">
        <f t="shared" si="42"/>
        <v>2100051_1</v>
      </c>
      <c r="F379" t="s">
        <v>213</v>
      </c>
      <c r="G379">
        <v>0</v>
      </c>
      <c r="H379">
        <v>0</v>
      </c>
      <c r="I379">
        <v>0</v>
      </c>
      <c r="J379">
        <v>0</v>
      </c>
      <c r="K379">
        <v>100</v>
      </c>
      <c r="L379" t="s">
        <v>738</v>
      </c>
      <c r="M379" s="6" t="s">
        <v>739</v>
      </c>
      <c r="N379">
        <v>920</v>
      </c>
      <c r="O379">
        <v>120</v>
      </c>
      <c r="P379">
        <v>10</v>
      </c>
      <c r="Q379">
        <v>10</v>
      </c>
      <c r="R379">
        <v>0</v>
      </c>
      <c r="S379">
        <f t="shared" si="40"/>
        <v>2</v>
      </c>
      <c r="T379">
        <f t="shared" si="41"/>
        <v>96</v>
      </c>
      <c r="U379">
        <f t="shared" si="43"/>
        <v>210004</v>
      </c>
      <c r="V379">
        <f>VLOOKUP($A379,精英副本客户端!$A$2:$O$406,10,0)</f>
        <v>101</v>
      </c>
      <c r="W379">
        <f>VLOOKUP($A379,精英副本客户端!$A$2:$O$406,11,0)</f>
        <v>0</v>
      </c>
      <c r="X379">
        <f>VLOOKUP($A379,精英副本客户端!$A$2:$O$406,12,0)</f>
        <v>1</v>
      </c>
      <c r="Y379" t="str">
        <f t="shared" si="44"/>
        <v>沉着试炼（100）</v>
      </c>
    </row>
    <row r="380" spans="1:25">
      <c r="A380">
        <f t="shared" si="39"/>
        <v>210006</v>
      </c>
      <c r="B380" t="s">
        <v>1060</v>
      </c>
      <c r="C380">
        <v>0</v>
      </c>
      <c r="D380">
        <v>0</v>
      </c>
      <c r="E380" t="str">
        <f t="shared" si="42"/>
        <v>2100061_1</v>
      </c>
      <c r="F380" t="s">
        <v>213</v>
      </c>
      <c r="G380">
        <v>0</v>
      </c>
      <c r="H380">
        <v>0</v>
      </c>
      <c r="I380">
        <v>0</v>
      </c>
      <c r="J380">
        <v>0</v>
      </c>
      <c r="K380">
        <v>100</v>
      </c>
      <c r="L380" t="s">
        <v>738</v>
      </c>
      <c r="M380" s="6" t="s">
        <v>739</v>
      </c>
      <c r="N380">
        <v>920</v>
      </c>
      <c r="O380">
        <v>120</v>
      </c>
      <c r="P380">
        <v>10</v>
      </c>
      <c r="Q380">
        <v>10</v>
      </c>
      <c r="R380">
        <v>0</v>
      </c>
      <c r="S380">
        <f t="shared" si="40"/>
        <v>2</v>
      </c>
      <c r="T380">
        <f t="shared" si="41"/>
        <v>96</v>
      </c>
      <c r="U380">
        <f t="shared" si="43"/>
        <v>210005</v>
      </c>
      <c r="V380">
        <f>VLOOKUP($A380,精英副本客户端!$A$2:$O$406,10,0)</f>
        <v>102</v>
      </c>
      <c r="W380">
        <f>VLOOKUP($A380,精英副本客户端!$A$2:$O$406,11,0)</f>
        <v>1</v>
      </c>
      <c r="X380">
        <f>VLOOKUP($A380,精英副本客户端!$A$2:$O$406,12,0)</f>
        <v>5</v>
      </c>
      <c r="Y380" t="str">
        <f t="shared" si="44"/>
        <v>沉着试炼（100）</v>
      </c>
    </row>
    <row r="381" spans="1:25">
      <c r="A381">
        <f t="shared" si="39"/>
        <v>210007</v>
      </c>
      <c r="B381" t="s">
        <v>1061</v>
      </c>
      <c r="C381">
        <v>0</v>
      </c>
      <c r="D381">
        <v>0</v>
      </c>
      <c r="E381" t="str">
        <f t="shared" si="42"/>
        <v>2100071_1</v>
      </c>
      <c r="F381" t="s">
        <v>213</v>
      </c>
      <c r="G381">
        <v>0</v>
      </c>
      <c r="H381">
        <v>0</v>
      </c>
      <c r="I381">
        <v>0</v>
      </c>
      <c r="J381">
        <v>0</v>
      </c>
      <c r="K381">
        <v>100</v>
      </c>
      <c r="L381" t="s">
        <v>738</v>
      </c>
      <c r="M381" s="6" t="s">
        <v>739</v>
      </c>
      <c r="N381">
        <v>920</v>
      </c>
      <c r="O381">
        <v>120</v>
      </c>
      <c r="P381">
        <v>10</v>
      </c>
      <c r="Q381">
        <v>10</v>
      </c>
      <c r="R381">
        <v>0</v>
      </c>
      <c r="S381">
        <f t="shared" si="40"/>
        <v>2</v>
      </c>
      <c r="T381">
        <f t="shared" si="41"/>
        <v>96</v>
      </c>
      <c r="U381">
        <f t="shared" si="43"/>
        <v>210006</v>
      </c>
      <c r="V381">
        <f>VLOOKUP($A381,精英副本客户端!$A$2:$O$406,10,0)</f>
        <v>102</v>
      </c>
      <c r="W381">
        <f>VLOOKUP($A381,精英副本客户端!$A$2:$O$406,11,0)</f>
        <v>0</v>
      </c>
      <c r="X381">
        <f>VLOOKUP($A381,精英副本客户端!$A$2:$O$406,12,0)</f>
        <v>1</v>
      </c>
      <c r="Y381" t="str">
        <f t="shared" si="44"/>
        <v>沉着试炼（100）</v>
      </c>
    </row>
    <row r="382" spans="1:25">
      <c r="A382">
        <f t="shared" si="39"/>
        <v>210008</v>
      </c>
      <c r="B382" t="s">
        <v>1062</v>
      </c>
      <c r="C382">
        <v>0</v>
      </c>
      <c r="D382">
        <v>0</v>
      </c>
      <c r="E382" t="str">
        <f t="shared" si="42"/>
        <v>2100081_1</v>
      </c>
      <c r="F382" t="s">
        <v>213</v>
      </c>
      <c r="G382">
        <v>0</v>
      </c>
      <c r="H382">
        <v>0</v>
      </c>
      <c r="I382">
        <v>0</v>
      </c>
      <c r="J382">
        <v>0</v>
      </c>
      <c r="K382">
        <v>100</v>
      </c>
      <c r="L382" t="s">
        <v>738</v>
      </c>
      <c r="M382" s="6" t="s">
        <v>739</v>
      </c>
      <c r="N382">
        <v>920</v>
      </c>
      <c r="O382">
        <v>120</v>
      </c>
      <c r="P382">
        <v>10</v>
      </c>
      <c r="Q382">
        <v>10</v>
      </c>
      <c r="R382">
        <v>0</v>
      </c>
      <c r="S382">
        <f t="shared" si="40"/>
        <v>2</v>
      </c>
      <c r="T382">
        <f t="shared" si="41"/>
        <v>96</v>
      </c>
      <c r="U382">
        <f t="shared" si="43"/>
        <v>210007</v>
      </c>
      <c r="V382">
        <f>VLOOKUP($A382,精英副本客户端!$A$2:$O$406,10,0)</f>
        <v>102</v>
      </c>
      <c r="W382">
        <f>VLOOKUP($A382,精英副本客户端!$A$2:$O$406,11,0)</f>
        <v>0</v>
      </c>
      <c r="X382">
        <f>VLOOKUP($A382,精英副本客户端!$A$2:$O$406,12,0)</f>
        <v>1</v>
      </c>
      <c r="Y382" t="str">
        <f t="shared" si="44"/>
        <v>沉着试炼（100）</v>
      </c>
    </row>
    <row r="383" spans="1:25">
      <c r="A383">
        <f t="shared" si="39"/>
        <v>210009</v>
      </c>
      <c r="B383" t="s">
        <v>1063</v>
      </c>
      <c r="C383">
        <v>0</v>
      </c>
      <c r="D383">
        <v>0</v>
      </c>
      <c r="E383" t="str">
        <f t="shared" si="42"/>
        <v>2100091_1</v>
      </c>
      <c r="F383" t="s">
        <v>213</v>
      </c>
      <c r="G383">
        <v>0</v>
      </c>
      <c r="H383">
        <v>0</v>
      </c>
      <c r="I383">
        <v>0</v>
      </c>
      <c r="J383">
        <v>0</v>
      </c>
      <c r="K383">
        <v>100</v>
      </c>
      <c r="L383" t="s">
        <v>738</v>
      </c>
      <c r="M383" s="6" t="s">
        <v>739</v>
      </c>
      <c r="N383">
        <v>920</v>
      </c>
      <c r="O383">
        <v>120</v>
      </c>
      <c r="P383">
        <v>10</v>
      </c>
      <c r="Q383">
        <v>10</v>
      </c>
      <c r="R383">
        <v>0</v>
      </c>
      <c r="S383">
        <f t="shared" si="40"/>
        <v>2</v>
      </c>
      <c r="T383">
        <f t="shared" si="41"/>
        <v>96</v>
      </c>
      <c r="U383">
        <f t="shared" si="43"/>
        <v>210008</v>
      </c>
      <c r="V383">
        <f>VLOOKUP($A383,精英副本客户端!$A$2:$O$406,10,0)</f>
        <v>102</v>
      </c>
      <c r="W383">
        <f>VLOOKUP($A383,精英副本客户端!$A$2:$O$406,11,0)</f>
        <v>1</v>
      </c>
      <c r="X383">
        <f>VLOOKUP($A383,精英副本客户端!$A$2:$O$406,12,0)</f>
        <v>5</v>
      </c>
      <c r="Y383" t="str">
        <f t="shared" si="44"/>
        <v>沉着试炼（100）</v>
      </c>
    </row>
    <row r="384" spans="1:25">
      <c r="A384">
        <f t="shared" si="39"/>
        <v>300101</v>
      </c>
      <c r="B384" t="s">
        <v>1069</v>
      </c>
      <c r="C384">
        <v>0</v>
      </c>
      <c r="D384">
        <v>0</v>
      </c>
      <c r="E384" t="str">
        <f t="shared" si="42"/>
        <v>3001011_1</v>
      </c>
      <c r="F384" t="s">
        <v>213</v>
      </c>
      <c r="G384">
        <v>0</v>
      </c>
      <c r="H384">
        <v>0</v>
      </c>
      <c r="I384">
        <v>0</v>
      </c>
      <c r="J384">
        <v>0</v>
      </c>
      <c r="K384">
        <v>100</v>
      </c>
      <c r="L384" t="s">
        <v>738</v>
      </c>
      <c r="M384" s="6" t="s">
        <v>739</v>
      </c>
      <c r="N384">
        <v>920</v>
      </c>
      <c r="O384">
        <v>120</v>
      </c>
      <c r="P384">
        <v>10</v>
      </c>
      <c r="Q384">
        <v>10</v>
      </c>
      <c r="R384">
        <v>0</v>
      </c>
      <c r="S384">
        <f t="shared" si="40"/>
        <v>3</v>
      </c>
      <c r="T384">
        <f t="shared" si="41"/>
        <v>-3</v>
      </c>
      <c r="U384">
        <f t="shared" si="43"/>
        <v>210009</v>
      </c>
      <c r="V384" t="e">
        <f>VLOOKUP($A384,精英副本客户端!$A$2:$O$406,10,0)</f>
        <v>#N/A</v>
      </c>
      <c r="W384" t="e">
        <f>VLOOKUP($A384,精英副本客户端!$A$2:$O$406,11,0)</f>
        <v>#N/A</v>
      </c>
      <c r="X384" t="e">
        <f>VLOOKUP($A384,精英副本客户端!$A$2:$O$406,12,0)</f>
        <v>#N/A</v>
      </c>
      <c r="Y384" t="str">
        <f>"知识试炼（"&amp;MID(A384,2,3)*1&amp;"）"</f>
        <v>知识试炼（1）</v>
      </c>
    </row>
    <row r="385" spans="1:25">
      <c r="A385">
        <f t="shared" si="39"/>
        <v>300102</v>
      </c>
      <c r="B385" t="s">
        <v>1040</v>
      </c>
      <c r="C385">
        <v>0</v>
      </c>
      <c r="D385">
        <v>0</v>
      </c>
      <c r="E385" t="str">
        <f t="shared" si="42"/>
        <v>3001021_1</v>
      </c>
      <c r="F385" t="s">
        <v>213</v>
      </c>
      <c r="G385">
        <v>0</v>
      </c>
      <c r="H385">
        <v>0</v>
      </c>
      <c r="I385">
        <v>0</v>
      </c>
      <c r="J385">
        <v>0</v>
      </c>
      <c r="K385">
        <v>100</v>
      </c>
      <c r="L385" t="s">
        <v>738</v>
      </c>
      <c r="M385" s="6" t="s">
        <v>739</v>
      </c>
      <c r="N385">
        <v>920</v>
      </c>
      <c r="O385">
        <v>120</v>
      </c>
      <c r="P385">
        <v>10</v>
      </c>
      <c r="Q385">
        <v>10</v>
      </c>
      <c r="R385">
        <v>0</v>
      </c>
      <c r="S385">
        <f t="shared" si="40"/>
        <v>3</v>
      </c>
      <c r="T385">
        <f t="shared" si="41"/>
        <v>-3</v>
      </c>
      <c r="U385">
        <f t="shared" si="43"/>
        <v>300101</v>
      </c>
      <c r="V385" t="e">
        <f>VLOOKUP($A385,精英副本客户端!$A$2:$O$406,10,0)</f>
        <v>#N/A</v>
      </c>
      <c r="W385" t="e">
        <f>VLOOKUP($A385,精英副本客户端!$A$2:$O$406,11,0)</f>
        <v>#N/A</v>
      </c>
      <c r="X385" t="e">
        <f>VLOOKUP($A385,精英副本客户端!$A$2:$O$406,12,0)</f>
        <v>#N/A</v>
      </c>
      <c r="Y385" t="str">
        <f t="shared" ref="Y385:Y448" si="45">"知识试炼（"&amp;MID(A385,2,3)*1&amp;"）"</f>
        <v>知识试炼（1）</v>
      </c>
    </row>
    <row r="386" spans="1:25">
      <c r="A386">
        <f t="shared" si="39"/>
        <v>300103</v>
      </c>
      <c r="B386" t="s">
        <v>1041</v>
      </c>
      <c r="C386">
        <v>0</v>
      </c>
      <c r="D386">
        <v>0</v>
      </c>
      <c r="E386" t="str">
        <f t="shared" si="42"/>
        <v>3001031_1</v>
      </c>
      <c r="F386" t="s">
        <v>213</v>
      </c>
      <c r="G386">
        <v>0</v>
      </c>
      <c r="H386">
        <v>0</v>
      </c>
      <c r="I386">
        <v>0</v>
      </c>
      <c r="J386">
        <v>0</v>
      </c>
      <c r="K386">
        <v>100</v>
      </c>
      <c r="L386" t="s">
        <v>738</v>
      </c>
      <c r="M386" s="6" t="s">
        <v>739</v>
      </c>
      <c r="N386">
        <v>920</v>
      </c>
      <c r="O386">
        <v>120</v>
      </c>
      <c r="P386">
        <v>10</v>
      </c>
      <c r="Q386">
        <v>10</v>
      </c>
      <c r="R386">
        <v>0</v>
      </c>
      <c r="S386">
        <f t="shared" si="40"/>
        <v>3</v>
      </c>
      <c r="T386">
        <f t="shared" si="41"/>
        <v>-3</v>
      </c>
      <c r="U386">
        <f t="shared" si="43"/>
        <v>300102</v>
      </c>
      <c r="V386" t="e">
        <f>VLOOKUP($A386,精英副本客户端!$A$2:$O$406,10,0)</f>
        <v>#N/A</v>
      </c>
      <c r="W386" t="e">
        <f>VLOOKUP($A386,精英副本客户端!$A$2:$O$406,11,0)</f>
        <v>#N/A</v>
      </c>
      <c r="X386" t="e">
        <f>VLOOKUP($A386,精英副本客户端!$A$2:$O$406,12,0)</f>
        <v>#N/A</v>
      </c>
      <c r="Y386" t="str">
        <f t="shared" si="45"/>
        <v>知识试炼（1）</v>
      </c>
    </row>
    <row r="387" spans="1:25">
      <c r="A387">
        <f t="shared" si="39"/>
        <v>300104</v>
      </c>
      <c r="B387" t="s">
        <v>1042</v>
      </c>
      <c r="C387">
        <v>0</v>
      </c>
      <c r="D387">
        <v>0</v>
      </c>
      <c r="E387" t="str">
        <f t="shared" si="42"/>
        <v>3001041_1</v>
      </c>
      <c r="F387" t="s">
        <v>213</v>
      </c>
      <c r="G387">
        <v>0</v>
      </c>
      <c r="H387">
        <v>0</v>
      </c>
      <c r="I387">
        <v>0</v>
      </c>
      <c r="J387">
        <v>0</v>
      </c>
      <c r="K387">
        <v>100</v>
      </c>
      <c r="L387" t="s">
        <v>738</v>
      </c>
      <c r="M387" s="6" t="s">
        <v>739</v>
      </c>
      <c r="N387">
        <v>920</v>
      </c>
      <c r="O387">
        <v>120</v>
      </c>
      <c r="P387">
        <v>10</v>
      </c>
      <c r="Q387">
        <v>10</v>
      </c>
      <c r="R387">
        <v>0</v>
      </c>
      <c r="S387">
        <f t="shared" si="40"/>
        <v>3</v>
      </c>
      <c r="T387">
        <f t="shared" si="41"/>
        <v>-3</v>
      </c>
      <c r="U387">
        <f t="shared" si="43"/>
        <v>300103</v>
      </c>
      <c r="V387" t="e">
        <f>VLOOKUP($A387,精英副本客户端!$A$2:$O$406,10,0)</f>
        <v>#N/A</v>
      </c>
      <c r="W387" t="e">
        <f>VLOOKUP($A387,精英副本客户端!$A$2:$O$406,11,0)</f>
        <v>#N/A</v>
      </c>
      <c r="X387" t="e">
        <f>VLOOKUP($A387,精英副本客户端!$A$2:$O$406,12,0)</f>
        <v>#N/A</v>
      </c>
      <c r="Y387" t="str">
        <f t="shared" si="45"/>
        <v>知识试炼（1）</v>
      </c>
    </row>
    <row r="388" spans="1:25">
      <c r="A388">
        <f t="shared" ref="A388:A451" si="46">A199+100000</f>
        <v>300105</v>
      </c>
      <c r="B388" t="s">
        <v>1043</v>
      </c>
      <c r="C388">
        <v>0</v>
      </c>
      <c r="D388">
        <v>0</v>
      </c>
      <c r="E388" t="str">
        <f t="shared" si="42"/>
        <v>3001051_1</v>
      </c>
      <c r="F388" t="s">
        <v>213</v>
      </c>
      <c r="G388">
        <v>0</v>
      </c>
      <c r="H388">
        <v>0</v>
      </c>
      <c r="I388">
        <v>0</v>
      </c>
      <c r="J388">
        <v>0</v>
      </c>
      <c r="K388">
        <v>100</v>
      </c>
      <c r="L388" t="s">
        <v>738</v>
      </c>
      <c r="M388" s="6" t="s">
        <v>739</v>
      </c>
      <c r="N388">
        <v>920</v>
      </c>
      <c r="O388">
        <v>120</v>
      </c>
      <c r="P388">
        <v>10</v>
      </c>
      <c r="Q388">
        <v>10</v>
      </c>
      <c r="R388">
        <v>0</v>
      </c>
      <c r="S388">
        <f t="shared" si="40"/>
        <v>3</v>
      </c>
      <c r="T388">
        <f t="shared" si="41"/>
        <v>-3</v>
      </c>
      <c r="U388">
        <f t="shared" si="43"/>
        <v>300104</v>
      </c>
      <c r="V388" t="e">
        <f>VLOOKUP($A388,精英副本客户端!$A$2:$O$406,10,0)</f>
        <v>#N/A</v>
      </c>
      <c r="W388" t="e">
        <f>VLOOKUP($A388,精英副本客户端!$A$2:$O$406,11,0)</f>
        <v>#N/A</v>
      </c>
      <c r="X388" t="e">
        <f>VLOOKUP($A388,精英副本客户端!$A$2:$O$406,12,0)</f>
        <v>#N/A</v>
      </c>
      <c r="Y388" t="str">
        <f t="shared" si="45"/>
        <v>知识试炼（1）</v>
      </c>
    </row>
    <row r="389" spans="1:25">
      <c r="A389">
        <f t="shared" si="46"/>
        <v>300106</v>
      </c>
      <c r="B389" t="s">
        <v>1044</v>
      </c>
      <c r="C389">
        <v>0</v>
      </c>
      <c r="D389">
        <v>0</v>
      </c>
      <c r="E389" t="str">
        <f t="shared" si="42"/>
        <v>3001061_1</v>
      </c>
      <c r="F389" t="s">
        <v>213</v>
      </c>
      <c r="G389">
        <v>0</v>
      </c>
      <c r="H389">
        <v>0</v>
      </c>
      <c r="I389">
        <v>0</v>
      </c>
      <c r="J389">
        <v>0</v>
      </c>
      <c r="K389">
        <v>100</v>
      </c>
      <c r="L389" t="s">
        <v>738</v>
      </c>
      <c r="M389" s="6" t="s">
        <v>739</v>
      </c>
      <c r="N389">
        <v>920</v>
      </c>
      <c r="O389">
        <v>120</v>
      </c>
      <c r="P389">
        <v>10</v>
      </c>
      <c r="Q389">
        <v>10</v>
      </c>
      <c r="R389">
        <v>0</v>
      </c>
      <c r="S389">
        <f t="shared" si="40"/>
        <v>3</v>
      </c>
      <c r="T389">
        <f t="shared" si="41"/>
        <v>-3</v>
      </c>
      <c r="U389">
        <f t="shared" si="43"/>
        <v>300105</v>
      </c>
      <c r="V389" t="e">
        <f>VLOOKUP($A389,精英副本客户端!$A$2:$O$406,10,0)</f>
        <v>#N/A</v>
      </c>
      <c r="W389" t="e">
        <f>VLOOKUP($A389,精英副本客户端!$A$2:$O$406,11,0)</f>
        <v>#N/A</v>
      </c>
      <c r="X389" t="e">
        <f>VLOOKUP($A389,精英副本客户端!$A$2:$O$406,12,0)</f>
        <v>#N/A</v>
      </c>
      <c r="Y389" t="str">
        <f t="shared" si="45"/>
        <v>知识试炼（1）</v>
      </c>
    </row>
    <row r="390" spans="1:25">
      <c r="A390">
        <f t="shared" si="46"/>
        <v>300107</v>
      </c>
      <c r="B390" t="s">
        <v>1045</v>
      </c>
      <c r="C390">
        <v>0</v>
      </c>
      <c r="D390">
        <v>0</v>
      </c>
      <c r="E390" t="str">
        <f t="shared" si="42"/>
        <v>3001071_1</v>
      </c>
      <c r="F390" t="s">
        <v>213</v>
      </c>
      <c r="G390">
        <v>0</v>
      </c>
      <c r="H390">
        <v>0</v>
      </c>
      <c r="I390">
        <v>0</v>
      </c>
      <c r="J390">
        <v>0</v>
      </c>
      <c r="K390">
        <v>100</v>
      </c>
      <c r="L390" t="s">
        <v>738</v>
      </c>
      <c r="M390" s="6" t="s">
        <v>739</v>
      </c>
      <c r="N390">
        <v>920</v>
      </c>
      <c r="O390">
        <v>120</v>
      </c>
      <c r="P390">
        <v>10</v>
      </c>
      <c r="Q390">
        <v>10</v>
      </c>
      <c r="R390">
        <v>0</v>
      </c>
      <c r="S390">
        <f t="shared" ref="S390:S453" si="47">ROUNDDOWN(A390/100000,0)</f>
        <v>3</v>
      </c>
      <c r="T390">
        <f t="shared" ref="T390:T453" si="48">MID(A390,2,3)-4</f>
        <v>-3</v>
      </c>
      <c r="U390">
        <f t="shared" si="43"/>
        <v>300106</v>
      </c>
      <c r="V390" t="e">
        <f>VLOOKUP($A390,精英副本客户端!$A$2:$O$406,10,0)</f>
        <v>#N/A</v>
      </c>
      <c r="W390" t="e">
        <f>VLOOKUP($A390,精英副本客户端!$A$2:$O$406,11,0)</f>
        <v>#N/A</v>
      </c>
      <c r="X390" t="e">
        <f>VLOOKUP($A390,精英副本客户端!$A$2:$O$406,12,0)</f>
        <v>#N/A</v>
      </c>
      <c r="Y390" t="str">
        <f t="shared" si="45"/>
        <v>知识试炼（1）</v>
      </c>
    </row>
    <row r="391" spans="1:25">
      <c r="A391">
        <f t="shared" si="46"/>
        <v>300108</v>
      </c>
      <c r="B391" t="s">
        <v>1046</v>
      </c>
      <c r="C391">
        <v>0</v>
      </c>
      <c r="D391">
        <v>0</v>
      </c>
      <c r="E391" t="str">
        <f t="shared" ref="E391:E454" si="49">A391&amp;"1"&amp;"_1"</f>
        <v>3001081_1</v>
      </c>
      <c r="F391" t="s">
        <v>213</v>
      </c>
      <c r="G391">
        <v>0</v>
      </c>
      <c r="H391">
        <v>0</v>
      </c>
      <c r="I391">
        <v>0</v>
      </c>
      <c r="J391">
        <v>0</v>
      </c>
      <c r="K391">
        <v>100</v>
      </c>
      <c r="L391" t="s">
        <v>738</v>
      </c>
      <c r="M391" s="6" t="s">
        <v>739</v>
      </c>
      <c r="N391">
        <v>920</v>
      </c>
      <c r="O391">
        <v>120</v>
      </c>
      <c r="P391">
        <v>10</v>
      </c>
      <c r="Q391">
        <v>10</v>
      </c>
      <c r="R391">
        <v>0</v>
      </c>
      <c r="S391">
        <f t="shared" si="47"/>
        <v>3</v>
      </c>
      <c r="T391">
        <f t="shared" si="48"/>
        <v>-3</v>
      </c>
      <c r="U391">
        <f t="shared" ref="U391:U454" si="50">A390</f>
        <v>300107</v>
      </c>
      <c r="V391" t="e">
        <f>VLOOKUP($A391,精英副本客户端!$A$2:$O$406,10,0)</f>
        <v>#N/A</v>
      </c>
      <c r="W391" t="e">
        <f>VLOOKUP($A391,精英副本客户端!$A$2:$O$406,11,0)</f>
        <v>#N/A</v>
      </c>
      <c r="X391" t="e">
        <f>VLOOKUP($A391,精英副本客户端!$A$2:$O$406,12,0)</f>
        <v>#N/A</v>
      </c>
      <c r="Y391" t="str">
        <f t="shared" si="45"/>
        <v>知识试炼（1）</v>
      </c>
    </row>
    <row r="392" spans="1:25">
      <c r="A392">
        <f t="shared" si="46"/>
        <v>300109</v>
      </c>
      <c r="B392" t="s">
        <v>1047</v>
      </c>
      <c r="C392">
        <v>0</v>
      </c>
      <c r="D392">
        <v>0</v>
      </c>
      <c r="E392" t="str">
        <f t="shared" si="49"/>
        <v>3001091_1</v>
      </c>
      <c r="F392" t="s">
        <v>213</v>
      </c>
      <c r="G392">
        <v>0</v>
      </c>
      <c r="H392">
        <v>0</v>
      </c>
      <c r="I392">
        <v>0</v>
      </c>
      <c r="J392">
        <v>0</v>
      </c>
      <c r="K392">
        <v>100</v>
      </c>
      <c r="L392" t="s">
        <v>738</v>
      </c>
      <c r="M392" s="6" t="s">
        <v>739</v>
      </c>
      <c r="N392">
        <v>920</v>
      </c>
      <c r="O392">
        <v>120</v>
      </c>
      <c r="P392">
        <v>10</v>
      </c>
      <c r="Q392">
        <v>10</v>
      </c>
      <c r="R392">
        <v>0</v>
      </c>
      <c r="S392">
        <f t="shared" si="47"/>
        <v>3</v>
      </c>
      <c r="T392">
        <f t="shared" si="48"/>
        <v>-3</v>
      </c>
      <c r="U392">
        <f t="shared" si="50"/>
        <v>300108</v>
      </c>
      <c r="V392" t="e">
        <f>VLOOKUP($A392,精英副本客户端!$A$2:$O$406,10,0)</f>
        <v>#N/A</v>
      </c>
      <c r="W392" t="e">
        <f>VLOOKUP($A392,精英副本客户端!$A$2:$O$406,11,0)</f>
        <v>#N/A</v>
      </c>
      <c r="X392" t="e">
        <f>VLOOKUP($A392,精英副本客户端!$A$2:$O$406,12,0)</f>
        <v>#N/A</v>
      </c>
      <c r="Y392" t="str">
        <f t="shared" si="45"/>
        <v>知识试炼（1）</v>
      </c>
    </row>
    <row r="393" spans="1:25">
      <c r="A393">
        <f t="shared" si="46"/>
        <v>300501</v>
      </c>
      <c r="B393" t="s">
        <v>1069</v>
      </c>
      <c r="C393">
        <v>0</v>
      </c>
      <c r="D393">
        <v>0</v>
      </c>
      <c r="E393" t="str">
        <f t="shared" si="49"/>
        <v>3005011_1</v>
      </c>
      <c r="F393" t="s">
        <v>213</v>
      </c>
      <c r="G393">
        <v>0</v>
      </c>
      <c r="H393">
        <v>0</v>
      </c>
      <c r="I393">
        <v>0</v>
      </c>
      <c r="J393">
        <v>0</v>
      </c>
      <c r="K393">
        <v>100</v>
      </c>
      <c r="L393" t="s">
        <v>738</v>
      </c>
      <c r="M393" s="6" t="s">
        <v>739</v>
      </c>
      <c r="N393">
        <v>920</v>
      </c>
      <c r="O393">
        <v>120</v>
      </c>
      <c r="P393">
        <v>10</v>
      </c>
      <c r="Q393">
        <v>10</v>
      </c>
      <c r="R393">
        <v>0</v>
      </c>
      <c r="S393">
        <f t="shared" si="47"/>
        <v>3</v>
      </c>
      <c r="T393">
        <f t="shared" si="48"/>
        <v>1</v>
      </c>
      <c r="U393">
        <f t="shared" si="50"/>
        <v>300109</v>
      </c>
      <c r="V393" t="e">
        <f>VLOOKUP($A393,精英副本客户端!$A$2:$O$406,10,0)</f>
        <v>#N/A</v>
      </c>
      <c r="W393" t="e">
        <f>VLOOKUP($A393,精英副本客户端!$A$2:$O$406,11,0)</f>
        <v>#N/A</v>
      </c>
      <c r="X393" t="e">
        <f>VLOOKUP($A393,精英副本客户端!$A$2:$O$406,12,0)</f>
        <v>#N/A</v>
      </c>
      <c r="Y393" t="str">
        <f t="shared" si="45"/>
        <v>知识试炼（5）</v>
      </c>
    </row>
    <row r="394" spans="1:25">
      <c r="A394">
        <f t="shared" si="46"/>
        <v>300502</v>
      </c>
      <c r="B394" t="s">
        <v>1040</v>
      </c>
      <c r="C394">
        <v>0</v>
      </c>
      <c r="D394">
        <v>0</v>
      </c>
      <c r="E394" t="str">
        <f t="shared" si="49"/>
        <v>3005021_1</v>
      </c>
      <c r="F394" t="s">
        <v>213</v>
      </c>
      <c r="G394">
        <v>0</v>
      </c>
      <c r="H394">
        <v>0</v>
      </c>
      <c r="I394">
        <v>0</v>
      </c>
      <c r="J394">
        <v>0</v>
      </c>
      <c r="K394">
        <v>100</v>
      </c>
      <c r="L394" t="s">
        <v>738</v>
      </c>
      <c r="M394" s="6" t="s">
        <v>739</v>
      </c>
      <c r="N394">
        <v>920</v>
      </c>
      <c r="O394">
        <v>120</v>
      </c>
      <c r="P394">
        <v>10</v>
      </c>
      <c r="Q394">
        <v>10</v>
      </c>
      <c r="R394">
        <v>0</v>
      </c>
      <c r="S394">
        <f t="shared" si="47"/>
        <v>3</v>
      </c>
      <c r="T394">
        <f t="shared" si="48"/>
        <v>1</v>
      </c>
      <c r="U394">
        <f t="shared" si="50"/>
        <v>300501</v>
      </c>
      <c r="V394" t="e">
        <f>VLOOKUP($A394,精英副本客户端!$A$2:$O$406,10,0)</f>
        <v>#N/A</v>
      </c>
      <c r="W394" t="e">
        <f>VLOOKUP($A394,精英副本客户端!$A$2:$O$406,11,0)</f>
        <v>#N/A</v>
      </c>
      <c r="X394" t="e">
        <f>VLOOKUP($A394,精英副本客户端!$A$2:$O$406,12,0)</f>
        <v>#N/A</v>
      </c>
      <c r="Y394" t="str">
        <f t="shared" si="45"/>
        <v>知识试炼（5）</v>
      </c>
    </row>
    <row r="395" spans="1:25">
      <c r="A395">
        <f t="shared" si="46"/>
        <v>300503</v>
      </c>
      <c r="B395" t="s">
        <v>1041</v>
      </c>
      <c r="C395">
        <v>0</v>
      </c>
      <c r="D395">
        <v>0</v>
      </c>
      <c r="E395" t="str">
        <f t="shared" si="49"/>
        <v>3005031_1</v>
      </c>
      <c r="F395" t="s">
        <v>213</v>
      </c>
      <c r="G395">
        <v>0</v>
      </c>
      <c r="H395">
        <v>0</v>
      </c>
      <c r="I395">
        <v>0</v>
      </c>
      <c r="J395">
        <v>0</v>
      </c>
      <c r="K395">
        <v>100</v>
      </c>
      <c r="L395" t="s">
        <v>738</v>
      </c>
      <c r="M395" s="6" t="s">
        <v>739</v>
      </c>
      <c r="N395">
        <v>920</v>
      </c>
      <c r="O395">
        <v>120</v>
      </c>
      <c r="P395">
        <v>10</v>
      </c>
      <c r="Q395">
        <v>10</v>
      </c>
      <c r="R395">
        <v>0</v>
      </c>
      <c r="S395">
        <f t="shared" si="47"/>
        <v>3</v>
      </c>
      <c r="T395">
        <f t="shared" si="48"/>
        <v>1</v>
      </c>
      <c r="U395">
        <f t="shared" si="50"/>
        <v>300502</v>
      </c>
      <c r="V395" t="e">
        <f>VLOOKUP($A395,精英副本客户端!$A$2:$O$406,10,0)</f>
        <v>#N/A</v>
      </c>
      <c r="W395" t="e">
        <f>VLOOKUP($A395,精英副本客户端!$A$2:$O$406,11,0)</f>
        <v>#N/A</v>
      </c>
      <c r="X395" t="e">
        <f>VLOOKUP($A395,精英副本客户端!$A$2:$O$406,12,0)</f>
        <v>#N/A</v>
      </c>
      <c r="Y395" t="str">
        <f t="shared" si="45"/>
        <v>知识试炼（5）</v>
      </c>
    </row>
    <row r="396" spans="1:25">
      <c r="A396">
        <f t="shared" si="46"/>
        <v>300504</v>
      </c>
      <c r="B396" t="s">
        <v>1042</v>
      </c>
      <c r="C396">
        <v>0</v>
      </c>
      <c r="D396">
        <v>0</v>
      </c>
      <c r="E396" t="str">
        <f t="shared" si="49"/>
        <v>3005041_1</v>
      </c>
      <c r="F396" t="s">
        <v>213</v>
      </c>
      <c r="G396">
        <v>0</v>
      </c>
      <c r="H396">
        <v>0</v>
      </c>
      <c r="I396">
        <v>0</v>
      </c>
      <c r="J396">
        <v>0</v>
      </c>
      <c r="K396">
        <v>100</v>
      </c>
      <c r="L396" t="s">
        <v>738</v>
      </c>
      <c r="M396" s="6" t="s">
        <v>739</v>
      </c>
      <c r="N396">
        <v>920</v>
      </c>
      <c r="O396">
        <v>120</v>
      </c>
      <c r="P396">
        <v>10</v>
      </c>
      <c r="Q396">
        <v>10</v>
      </c>
      <c r="R396">
        <v>0</v>
      </c>
      <c r="S396">
        <f t="shared" si="47"/>
        <v>3</v>
      </c>
      <c r="T396">
        <f t="shared" si="48"/>
        <v>1</v>
      </c>
      <c r="U396">
        <f t="shared" si="50"/>
        <v>300503</v>
      </c>
      <c r="V396" t="e">
        <f>VLOOKUP($A396,精英副本客户端!$A$2:$O$406,10,0)</f>
        <v>#N/A</v>
      </c>
      <c r="W396" t="e">
        <f>VLOOKUP($A396,精英副本客户端!$A$2:$O$406,11,0)</f>
        <v>#N/A</v>
      </c>
      <c r="X396" t="e">
        <f>VLOOKUP($A396,精英副本客户端!$A$2:$O$406,12,0)</f>
        <v>#N/A</v>
      </c>
      <c r="Y396" t="str">
        <f t="shared" si="45"/>
        <v>知识试炼（5）</v>
      </c>
    </row>
    <row r="397" spans="1:25">
      <c r="A397">
        <f t="shared" si="46"/>
        <v>300505</v>
      </c>
      <c r="B397" t="s">
        <v>1043</v>
      </c>
      <c r="C397">
        <v>0</v>
      </c>
      <c r="D397">
        <v>0</v>
      </c>
      <c r="E397" t="str">
        <f t="shared" si="49"/>
        <v>3005051_1</v>
      </c>
      <c r="F397" t="s">
        <v>213</v>
      </c>
      <c r="G397">
        <v>0</v>
      </c>
      <c r="H397">
        <v>0</v>
      </c>
      <c r="I397">
        <v>0</v>
      </c>
      <c r="J397">
        <v>0</v>
      </c>
      <c r="K397">
        <v>100</v>
      </c>
      <c r="L397" t="s">
        <v>738</v>
      </c>
      <c r="M397" s="6" t="s">
        <v>739</v>
      </c>
      <c r="N397">
        <v>920</v>
      </c>
      <c r="O397">
        <v>120</v>
      </c>
      <c r="P397">
        <v>10</v>
      </c>
      <c r="Q397">
        <v>10</v>
      </c>
      <c r="R397">
        <v>0</v>
      </c>
      <c r="S397">
        <f t="shared" si="47"/>
        <v>3</v>
      </c>
      <c r="T397">
        <f t="shared" si="48"/>
        <v>1</v>
      </c>
      <c r="U397">
        <f t="shared" si="50"/>
        <v>300504</v>
      </c>
      <c r="V397" t="e">
        <f>VLOOKUP($A397,精英副本客户端!$A$2:$O$406,10,0)</f>
        <v>#N/A</v>
      </c>
      <c r="W397" t="e">
        <f>VLOOKUP($A397,精英副本客户端!$A$2:$O$406,11,0)</f>
        <v>#N/A</v>
      </c>
      <c r="X397" t="e">
        <f>VLOOKUP($A397,精英副本客户端!$A$2:$O$406,12,0)</f>
        <v>#N/A</v>
      </c>
      <c r="Y397" t="str">
        <f t="shared" si="45"/>
        <v>知识试炼（5）</v>
      </c>
    </row>
    <row r="398" spans="1:25">
      <c r="A398">
        <f t="shared" si="46"/>
        <v>300506</v>
      </c>
      <c r="B398" t="s">
        <v>1044</v>
      </c>
      <c r="C398">
        <v>0</v>
      </c>
      <c r="D398">
        <v>0</v>
      </c>
      <c r="E398" t="str">
        <f t="shared" si="49"/>
        <v>3005061_1</v>
      </c>
      <c r="F398" t="s">
        <v>213</v>
      </c>
      <c r="G398">
        <v>0</v>
      </c>
      <c r="H398">
        <v>0</v>
      </c>
      <c r="I398">
        <v>0</v>
      </c>
      <c r="J398">
        <v>0</v>
      </c>
      <c r="K398">
        <v>100</v>
      </c>
      <c r="L398" t="s">
        <v>738</v>
      </c>
      <c r="M398" s="6" t="s">
        <v>739</v>
      </c>
      <c r="N398">
        <v>920</v>
      </c>
      <c r="O398">
        <v>120</v>
      </c>
      <c r="P398">
        <v>10</v>
      </c>
      <c r="Q398">
        <v>10</v>
      </c>
      <c r="R398">
        <v>0</v>
      </c>
      <c r="S398">
        <f t="shared" si="47"/>
        <v>3</v>
      </c>
      <c r="T398">
        <f t="shared" si="48"/>
        <v>1</v>
      </c>
      <c r="U398">
        <f t="shared" si="50"/>
        <v>300505</v>
      </c>
      <c r="V398" t="e">
        <f>VLOOKUP($A398,精英副本客户端!$A$2:$O$406,10,0)</f>
        <v>#N/A</v>
      </c>
      <c r="W398" t="e">
        <f>VLOOKUP($A398,精英副本客户端!$A$2:$O$406,11,0)</f>
        <v>#N/A</v>
      </c>
      <c r="X398" t="e">
        <f>VLOOKUP($A398,精英副本客户端!$A$2:$O$406,12,0)</f>
        <v>#N/A</v>
      </c>
      <c r="Y398" t="str">
        <f t="shared" si="45"/>
        <v>知识试炼（5）</v>
      </c>
    </row>
    <row r="399" spans="1:25">
      <c r="A399">
        <f t="shared" si="46"/>
        <v>300507</v>
      </c>
      <c r="B399" t="s">
        <v>1045</v>
      </c>
      <c r="C399">
        <v>0</v>
      </c>
      <c r="D399">
        <v>0</v>
      </c>
      <c r="E399" t="str">
        <f t="shared" si="49"/>
        <v>3005071_1</v>
      </c>
      <c r="F399" t="s">
        <v>213</v>
      </c>
      <c r="G399">
        <v>0</v>
      </c>
      <c r="H399">
        <v>0</v>
      </c>
      <c r="I399">
        <v>0</v>
      </c>
      <c r="J399">
        <v>0</v>
      </c>
      <c r="K399">
        <v>100</v>
      </c>
      <c r="L399" t="s">
        <v>738</v>
      </c>
      <c r="M399" s="6" t="s">
        <v>739</v>
      </c>
      <c r="N399">
        <v>920</v>
      </c>
      <c r="O399">
        <v>120</v>
      </c>
      <c r="P399">
        <v>10</v>
      </c>
      <c r="Q399">
        <v>10</v>
      </c>
      <c r="R399">
        <v>0</v>
      </c>
      <c r="S399">
        <f t="shared" si="47"/>
        <v>3</v>
      </c>
      <c r="T399">
        <f t="shared" si="48"/>
        <v>1</v>
      </c>
      <c r="U399">
        <f t="shared" si="50"/>
        <v>300506</v>
      </c>
      <c r="V399" t="e">
        <f>VLOOKUP($A399,精英副本客户端!$A$2:$O$406,10,0)</f>
        <v>#N/A</v>
      </c>
      <c r="W399" t="e">
        <f>VLOOKUP($A399,精英副本客户端!$A$2:$O$406,11,0)</f>
        <v>#N/A</v>
      </c>
      <c r="X399" t="e">
        <f>VLOOKUP($A399,精英副本客户端!$A$2:$O$406,12,0)</f>
        <v>#N/A</v>
      </c>
      <c r="Y399" t="str">
        <f t="shared" si="45"/>
        <v>知识试炼（5）</v>
      </c>
    </row>
    <row r="400" spans="1:25">
      <c r="A400">
        <f t="shared" si="46"/>
        <v>300508</v>
      </c>
      <c r="B400" t="s">
        <v>1046</v>
      </c>
      <c r="C400">
        <v>0</v>
      </c>
      <c r="D400">
        <v>0</v>
      </c>
      <c r="E400" t="str">
        <f t="shared" si="49"/>
        <v>3005081_1</v>
      </c>
      <c r="F400" t="s">
        <v>213</v>
      </c>
      <c r="G400">
        <v>0</v>
      </c>
      <c r="H400">
        <v>0</v>
      </c>
      <c r="I400">
        <v>0</v>
      </c>
      <c r="J400">
        <v>0</v>
      </c>
      <c r="K400">
        <v>100</v>
      </c>
      <c r="L400" t="s">
        <v>738</v>
      </c>
      <c r="M400" s="6" t="s">
        <v>739</v>
      </c>
      <c r="N400">
        <v>920</v>
      </c>
      <c r="O400">
        <v>120</v>
      </c>
      <c r="P400">
        <v>10</v>
      </c>
      <c r="Q400">
        <v>10</v>
      </c>
      <c r="R400">
        <v>0</v>
      </c>
      <c r="S400">
        <f t="shared" si="47"/>
        <v>3</v>
      </c>
      <c r="T400">
        <f t="shared" si="48"/>
        <v>1</v>
      </c>
      <c r="U400">
        <f t="shared" si="50"/>
        <v>300507</v>
      </c>
      <c r="V400" t="e">
        <f>VLOOKUP($A400,精英副本客户端!$A$2:$O$406,10,0)</f>
        <v>#N/A</v>
      </c>
      <c r="W400" t="e">
        <f>VLOOKUP($A400,精英副本客户端!$A$2:$O$406,11,0)</f>
        <v>#N/A</v>
      </c>
      <c r="X400" t="e">
        <f>VLOOKUP($A400,精英副本客户端!$A$2:$O$406,12,0)</f>
        <v>#N/A</v>
      </c>
      <c r="Y400" t="str">
        <f t="shared" si="45"/>
        <v>知识试炼（5）</v>
      </c>
    </row>
    <row r="401" spans="1:25">
      <c r="A401">
        <f t="shared" si="46"/>
        <v>300509</v>
      </c>
      <c r="B401" t="s">
        <v>1047</v>
      </c>
      <c r="C401">
        <v>0</v>
      </c>
      <c r="D401">
        <v>0</v>
      </c>
      <c r="E401" t="str">
        <f t="shared" si="49"/>
        <v>3005091_1</v>
      </c>
      <c r="F401" t="s">
        <v>213</v>
      </c>
      <c r="G401">
        <v>0</v>
      </c>
      <c r="H401">
        <v>0</v>
      </c>
      <c r="I401">
        <v>0</v>
      </c>
      <c r="J401">
        <v>0</v>
      </c>
      <c r="K401">
        <v>100</v>
      </c>
      <c r="L401" t="s">
        <v>738</v>
      </c>
      <c r="M401" s="6" t="s">
        <v>739</v>
      </c>
      <c r="N401">
        <v>920</v>
      </c>
      <c r="O401">
        <v>120</v>
      </c>
      <c r="P401">
        <v>10</v>
      </c>
      <c r="Q401">
        <v>10</v>
      </c>
      <c r="R401">
        <v>0</v>
      </c>
      <c r="S401">
        <f t="shared" si="47"/>
        <v>3</v>
      </c>
      <c r="T401">
        <f t="shared" si="48"/>
        <v>1</v>
      </c>
      <c r="U401">
        <f t="shared" si="50"/>
        <v>300508</v>
      </c>
      <c r="V401" t="e">
        <f>VLOOKUP($A401,精英副本客户端!$A$2:$O$406,10,0)</f>
        <v>#N/A</v>
      </c>
      <c r="W401" t="e">
        <f>VLOOKUP($A401,精英副本客户端!$A$2:$O$406,11,0)</f>
        <v>#N/A</v>
      </c>
      <c r="X401" t="e">
        <f>VLOOKUP($A401,精英副本客户端!$A$2:$O$406,12,0)</f>
        <v>#N/A</v>
      </c>
      <c r="Y401" t="str">
        <f t="shared" si="45"/>
        <v>知识试炼（5）</v>
      </c>
    </row>
    <row r="402" spans="1:25">
      <c r="A402">
        <f t="shared" si="46"/>
        <v>301001</v>
      </c>
      <c r="B402" t="s">
        <v>1069</v>
      </c>
      <c r="C402">
        <v>0</v>
      </c>
      <c r="D402">
        <v>0</v>
      </c>
      <c r="E402" t="str">
        <f t="shared" si="49"/>
        <v>3010011_1</v>
      </c>
      <c r="F402" t="s">
        <v>213</v>
      </c>
      <c r="G402">
        <v>0</v>
      </c>
      <c r="H402">
        <v>0</v>
      </c>
      <c r="I402">
        <v>0</v>
      </c>
      <c r="J402">
        <v>0</v>
      </c>
      <c r="K402">
        <v>100</v>
      </c>
      <c r="L402" t="s">
        <v>738</v>
      </c>
      <c r="M402" s="6" t="s">
        <v>739</v>
      </c>
      <c r="N402">
        <v>920</v>
      </c>
      <c r="O402">
        <v>120</v>
      </c>
      <c r="P402">
        <v>10</v>
      </c>
      <c r="Q402">
        <v>10</v>
      </c>
      <c r="R402">
        <v>0</v>
      </c>
      <c r="S402">
        <f t="shared" si="47"/>
        <v>3</v>
      </c>
      <c r="T402">
        <f t="shared" si="48"/>
        <v>6</v>
      </c>
      <c r="U402">
        <f t="shared" si="50"/>
        <v>300509</v>
      </c>
      <c r="V402" t="e">
        <f>VLOOKUP($A402,精英副本客户端!$A$2:$O$406,10,0)</f>
        <v>#N/A</v>
      </c>
      <c r="W402" t="e">
        <f>VLOOKUP($A402,精英副本客户端!$A$2:$O$406,11,0)</f>
        <v>#N/A</v>
      </c>
      <c r="X402" t="e">
        <f>VLOOKUP($A402,精英副本客户端!$A$2:$O$406,12,0)</f>
        <v>#N/A</v>
      </c>
      <c r="Y402" t="str">
        <f t="shared" si="45"/>
        <v>知识试炼（10）</v>
      </c>
    </row>
    <row r="403" spans="1:25">
      <c r="A403">
        <f t="shared" si="46"/>
        <v>301002</v>
      </c>
      <c r="B403" t="s">
        <v>1040</v>
      </c>
      <c r="C403">
        <v>0</v>
      </c>
      <c r="D403">
        <v>0</v>
      </c>
      <c r="E403" t="str">
        <f t="shared" si="49"/>
        <v>3010021_1</v>
      </c>
      <c r="F403" t="s">
        <v>213</v>
      </c>
      <c r="G403">
        <v>0</v>
      </c>
      <c r="H403">
        <v>0</v>
      </c>
      <c r="I403">
        <v>0</v>
      </c>
      <c r="J403">
        <v>0</v>
      </c>
      <c r="K403">
        <v>100</v>
      </c>
      <c r="L403" t="s">
        <v>738</v>
      </c>
      <c r="M403" s="6" t="s">
        <v>739</v>
      </c>
      <c r="N403">
        <v>920</v>
      </c>
      <c r="O403">
        <v>120</v>
      </c>
      <c r="P403">
        <v>10</v>
      </c>
      <c r="Q403">
        <v>10</v>
      </c>
      <c r="R403">
        <v>0</v>
      </c>
      <c r="S403">
        <f t="shared" si="47"/>
        <v>3</v>
      </c>
      <c r="T403">
        <f t="shared" si="48"/>
        <v>6</v>
      </c>
      <c r="U403">
        <f t="shared" si="50"/>
        <v>301001</v>
      </c>
      <c r="V403" t="e">
        <f>VLOOKUP($A403,精英副本客户端!$A$2:$O$406,10,0)</f>
        <v>#N/A</v>
      </c>
      <c r="W403" t="e">
        <f>VLOOKUP($A403,精英副本客户端!$A$2:$O$406,11,0)</f>
        <v>#N/A</v>
      </c>
      <c r="X403" t="e">
        <f>VLOOKUP($A403,精英副本客户端!$A$2:$O$406,12,0)</f>
        <v>#N/A</v>
      </c>
      <c r="Y403" t="str">
        <f t="shared" si="45"/>
        <v>知识试炼（10）</v>
      </c>
    </row>
    <row r="404" spans="1:25">
      <c r="A404">
        <f t="shared" si="46"/>
        <v>301003</v>
      </c>
      <c r="B404" t="s">
        <v>1041</v>
      </c>
      <c r="C404">
        <v>0</v>
      </c>
      <c r="D404">
        <v>0</v>
      </c>
      <c r="E404" t="str">
        <f t="shared" si="49"/>
        <v>3010031_1</v>
      </c>
      <c r="F404" t="s">
        <v>213</v>
      </c>
      <c r="G404">
        <v>0</v>
      </c>
      <c r="H404">
        <v>0</v>
      </c>
      <c r="I404">
        <v>0</v>
      </c>
      <c r="J404">
        <v>0</v>
      </c>
      <c r="K404">
        <v>100</v>
      </c>
      <c r="L404" t="s">
        <v>738</v>
      </c>
      <c r="M404" s="6" t="s">
        <v>739</v>
      </c>
      <c r="N404">
        <v>920</v>
      </c>
      <c r="O404">
        <v>120</v>
      </c>
      <c r="P404">
        <v>10</v>
      </c>
      <c r="Q404">
        <v>10</v>
      </c>
      <c r="R404">
        <v>0</v>
      </c>
      <c r="S404">
        <f t="shared" si="47"/>
        <v>3</v>
      </c>
      <c r="T404">
        <f t="shared" si="48"/>
        <v>6</v>
      </c>
      <c r="U404">
        <f t="shared" si="50"/>
        <v>301002</v>
      </c>
      <c r="V404" t="e">
        <f>VLOOKUP($A404,精英副本客户端!$A$2:$O$406,10,0)</f>
        <v>#N/A</v>
      </c>
      <c r="W404" t="e">
        <f>VLOOKUP($A404,精英副本客户端!$A$2:$O$406,11,0)</f>
        <v>#N/A</v>
      </c>
      <c r="X404" t="e">
        <f>VLOOKUP($A404,精英副本客户端!$A$2:$O$406,12,0)</f>
        <v>#N/A</v>
      </c>
      <c r="Y404" t="str">
        <f t="shared" si="45"/>
        <v>知识试炼（10）</v>
      </c>
    </row>
    <row r="405" spans="1:25">
      <c r="A405">
        <f t="shared" si="46"/>
        <v>301004</v>
      </c>
      <c r="B405" t="s">
        <v>1042</v>
      </c>
      <c r="C405">
        <v>0</v>
      </c>
      <c r="D405">
        <v>0</v>
      </c>
      <c r="E405" t="str">
        <f t="shared" si="49"/>
        <v>3010041_1</v>
      </c>
      <c r="F405" t="s">
        <v>213</v>
      </c>
      <c r="G405">
        <v>0</v>
      </c>
      <c r="H405">
        <v>0</v>
      </c>
      <c r="I405">
        <v>0</v>
      </c>
      <c r="J405">
        <v>0</v>
      </c>
      <c r="K405">
        <v>100</v>
      </c>
      <c r="L405" t="s">
        <v>738</v>
      </c>
      <c r="M405" s="6" t="s">
        <v>739</v>
      </c>
      <c r="N405">
        <v>920</v>
      </c>
      <c r="O405">
        <v>120</v>
      </c>
      <c r="P405">
        <v>10</v>
      </c>
      <c r="Q405">
        <v>10</v>
      </c>
      <c r="R405">
        <v>0</v>
      </c>
      <c r="S405">
        <f t="shared" si="47"/>
        <v>3</v>
      </c>
      <c r="T405">
        <f t="shared" si="48"/>
        <v>6</v>
      </c>
      <c r="U405">
        <f t="shared" si="50"/>
        <v>301003</v>
      </c>
      <c r="V405" t="e">
        <f>VLOOKUP($A405,精英副本客户端!$A$2:$O$406,10,0)</f>
        <v>#N/A</v>
      </c>
      <c r="W405" t="e">
        <f>VLOOKUP($A405,精英副本客户端!$A$2:$O$406,11,0)</f>
        <v>#N/A</v>
      </c>
      <c r="X405" t="e">
        <f>VLOOKUP($A405,精英副本客户端!$A$2:$O$406,12,0)</f>
        <v>#N/A</v>
      </c>
      <c r="Y405" t="str">
        <f t="shared" si="45"/>
        <v>知识试炼（10）</v>
      </c>
    </row>
    <row r="406" spans="1:25">
      <c r="A406">
        <f t="shared" si="46"/>
        <v>301005</v>
      </c>
      <c r="B406" t="s">
        <v>1043</v>
      </c>
      <c r="C406">
        <v>0</v>
      </c>
      <c r="D406">
        <v>0</v>
      </c>
      <c r="E406" t="str">
        <f t="shared" si="49"/>
        <v>3010051_1</v>
      </c>
      <c r="F406" t="s">
        <v>213</v>
      </c>
      <c r="G406">
        <v>0</v>
      </c>
      <c r="H406">
        <v>0</v>
      </c>
      <c r="I406">
        <v>0</v>
      </c>
      <c r="J406">
        <v>0</v>
      </c>
      <c r="K406">
        <v>100</v>
      </c>
      <c r="L406" t="s">
        <v>738</v>
      </c>
      <c r="M406" s="6" t="s">
        <v>739</v>
      </c>
      <c r="N406">
        <v>920</v>
      </c>
      <c r="O406">
        <v>120</v>
      </c>
      <c r="P406">
        <v>10</v>
      </c>
      <c r="Q406">
        <v>10</v>
      </c>
      <c r="R406">
        <v>0</v>
      </c>
      <c r="S406">
        <f t="shared" si="47"/>
        <v>3</v>
      </c>
      <c r="T406">
        <f t="shared" si="48"/>
        <v>6</v>
      </c>
      <c r="U406">
        <f t="shared" si="50"/>
        <v>301004</v>
      </c>
      <c r="V406" t="e">
        <f>VLOOKUP($A406,精英副本客户端!$A$2:$O$406,10,0)</f>
        <v>#N/A</v>
      </c>
      <c r="W406" t="e">
        <f>VLOOKUP($A406,精英副本客户端!$A$2:$O$406,11,0)</f>
        <v>#N/A</v>
      </c>
      <c r="X406" t="e">
        <f>VLOOKUP($A406,精英副本客户端!$A$2:$O$406,12,0)</f>
        <v>#N/A</v>
      </c>
      <c r="Y406" t="str">
        <f t="shared" si="45"/>
        <v>知识试炼（10）</v>
      </c>
    </row>
    <row r="407" spans="1:25">
      <c r="A407">
        <f t="shared" si="46"/>
        <v>301006</v>
      </c>
      <c r="B407" t="s">
        <v>1044</v>
      </c>
      <c r="C407">
        <v>0</v>
      </c>
      <c r="D407">
        <v>0</v>
      </c>
      <c r="E407" t="str">
        <f t="shared" si="49"/>
        <v>3010061_1</v>
      </c>
      <c r="F407" t="s">
        <v>213</v>
      </c>
      <c r="G407">
        <v>0</v>
      </c>
      <c r="H407">
        <v>0</v>
      </c>
      <c r="I407">
        <v>0</v>
      </c>
      <c r="J407">
        <v>0</v>
      </c>
      <c r="K407">
        <v>100</v>
      </c>
      <c r="L407" t="s">
        <v>738</v>
      </c>
      <c r="M407" s="6" t="s">
        <v>739</v>
      </c>
      <c r="N407">
        <v>920</v>
      </c>
      <c r="O407">
        <v>120</v>
      </c>
      <c r="P407">
        <v>10</v>
      </c>
      <c r="Q407">
        <v>10</v>
      </c>
      <c r="R407">
        <v>0</v>
      </c>
      <c r="S407">
        <f t="shared" si="47"/>
        <v>3</v>
      </c>
      <c r="T407">
        <f t="shared" si="48"/>
        <v>6</v>
      </c>
      <c r="U407">
        <f t="shared" si="50"/>
        <v>301005</v>
      </c>
      <c r="V407" t="e">
        <f>VLOOKUP($A407,精英副本客户端!$A$2:$O$406,10,0)</f>
        <v>#N/A</v>
      </c>
      <c r="W407" t="e">
        <f>VLOOKUP($A407,精英副本客户端!$A$2:$O$406,11,0)</f>
        <v>#N/A</v>
      </c>
      <c r="X407" t="e">
        <f>VLOOKUP($A407,精英副本客户端!$A$2:$O$406,12,0)</f>
        <v>#N/A</v>
      </c>
      <c r="Y407" t="str">
        <f t="shared" si="45"/>
        <v>知识试炼（10）</v>
      </c>
    </row>
    <row r="408" spans="1:25">
      <c r="A408">
        <f t="shared" si="46"/>
        <v>301007</v>
      </c>
      <c r="B408" t="s">
        <v>1045</v>
      </c>
      <c r="C408">
        <v>0</v>
      </c>
      <c r="D408">
        <v>0</v>
      </c>
      <c r="E408" t="str">
        <f t="shared" si="49"/>
        <v>3010071_1</v>
      </c>
      <c r="F408" t="s">
        <v>213</v>
      </c>
      <c r="G408">
        <v>0</v>
      </c>
      <c r="H408">
        <v>0</v>
      </c>
      <c r="I408">
        <v>0</v>
      </c>
      <c r="J408">
        <v>0</v>
      </c>
      <c r="K408">
        <v>100</v>
      </c>
      <c r="L408" t="s">
        <v>738</v>
      </c>
      <c r="M408" s="6" t="s">
        <v>739</v>
      </c>
      <c r="N408">
        <v>920</v>
      </c>
      <c r="O408">
        <v>120</v>
      </c>
      <c r="P408">
        <v>10</v>
      </c>
      <c r="Q408">
        <v>10</v>
      </c>
      <c r="R408">
        <v>0</v>
      </c>
      <c r="S408">
        <f t="shared" si="47"/>
        <v>3</v>
      </c>
      <c r="T408">
        <f t="shared" si="48"/>
        <v>6</v>
      </c>
      <c r="U408">
        <f t="shared" si="50"/>
        <v>301006</v>
      </c>
      <c r="V408" t="e">
        <f>VLOOKUP($A408,精英副本客户端!$A$2:$O$406,10,0)</f>
        <v>#N/A</v>
      </c>
      <c r="W408" t="e">
        <f>VLOOKUP($A408,精英副本客户端!$A$2:$O$406,11,0)</f>
        <v>#N/A</v>
      </c>
      <c r="X408" t="e">
        <f>VLOOKUP($A408,精英副本客户端!$A$2:$O$406,12,0)</f>
        <v>#N/A</v>
      </c>
      <c r="Y408" t="str">
        <f t="shared" si="45"/>
        <v>知识试炼（10）</v>
      </c>
    </row>
    <row r="409" spans="1:25">
      <c r="A409">
        <f t="shared" si="46"/>
        <v>301008</v>
      </c>
      <c r="B409" t="s">
        <v>1046</v>
      </c>
      <c r="C409">
        <v>0</v>
      </c>
      <c r="D409">
        <v>0</v>
      </c>
      <c r="E409" t="str">
        <f t="shared" si="49"/>
        <v>3010081_1</v>
      </c>
      <c r="F409" t="s">
        <v>213</v>
      </c>
      <c r="G409">
        <v>0</v>
      </c>
      <c r="H409">
        <v>0</v>
      </c>
      <c r="I409">
        <v>0</v>
      </c>
      <c r="J409">
        <v>0</v>
      </c>
      <c r="K409">
        <v>100</v>
      </c>
      <c r="L409" t="s">
        <v>738</v>
      </c>
      <c r="M409" s="6" t="s">
        <v>739</v>
      </c>
      <c r="N409">
        <v>920</v>
      </c>
      <c r="O409">
        <v>120</v>
      </c>
      <c r="P409">
        <v>10</v>
      </c>
      <c r="Q409">
        <v>10</v>
      </c>
      <c r="R409">
        <v>0</v>
      </c>
      <c r="S409">
        <f t="shared" si="47"/>
        <v>3</v>
      </c>
      <c r="T409">
        <f t="shared" si="48"/>
        <v>6</v>
      </c>
      <c r="U409">
        <f t="shared" si="50"/>
        <v>301007</v>
      </c>
      <c r="V409" t="e">
        <f>VLOOKUP($A409,精英副本客户端!$A$2:$O$406,10,0)</f>
        <v>#N/A</v>
      </c>
      <c r="W409" t="e">
        <f>VLOOKUP($A409,精英副本客户端!$A$2:$O$406,11,0)</f>
        <v>#N/A</v>
      </c>
      <c r="X409" t="e">
        <f>VLOOKUP($A409,精英副本客户端!$A$2:$O$406,12,0)</f>
        <v>#N/A</v>
      </c>
      <c r="Y409" t="str">
        <f t="shared" si="45"/>
        <v>知识试炼（10）</v>
      </c>
    </row>
    <row r="410" spans="1:25">
      <c r="A410">
        <f t="shared" si="46"/>
        <v>301009</v>
      </c>
      <c r="B410" t="s">
        <v>1047</v>
      </c>
      <c r="C410">
        <v>0</v>
      </c>
      <c r="D410">
        <v>0</v>
      </c>
      <c r="E410" t="str">
        <f t="shared" si="49"/>
        <v>3010091_1</v>
      </c>
      <c r="F410" t="s">
        <v>213</v>
      </c>
      <c r="G410">
        <v>0</v>
      </c>
      <c r="H410">
        <v>0</v>
      </c>
      <c r="I410">
        <v>0</v>
      </c>
      <c r="J410">
        <v>0</v>
      </c>
      <c r="K410">
        <v>100</v>
      </c>
      <c r="L410" t="s">
        <v>738</v>
      </c>
      <c r="M410" s="6" t="s">
        <v>739</v>
      </c>
      <c r="N410">
        <v>920</v>
      </c>
      <c r="O410">
        <v>120</v>
      </c>
      <c r="P410">
        <v>10</v>
      </c>
      <c r="Q410">
        <v>10</v>
      </c>
      <c r="R410">
        <v>0</v>
      </c>
      <c r="S410">
        <f t="shared" si="47"/>
        <v>3</v>
      </c>
      <c r="T410">
        <f t="shared" si="48"/>
        <v>6</v>
      </c>
      <c r="U410">
        <f t="shared" si="50"/>
        <v>301008</v>
      </c>
      <c r="V410" t="e">
        <f>VLOOKUP($A410,精英副本客户端!$A$2:$O$406,10,0)</f>
        <v>#N/A</v>
      </c>
      <c r="W410" t="e">
        <f>VLOOKUP($A410,精英副本客户端!$A$2:$O$406,11,0)</f>
        <v>#N/A</v>
      </c>
      <c r="X410" t="e">
        <f>VLOOKUP($A410,精英副本客户端!$A$2:$O$406,12,0)</f>
        <v>#N/A</v>
      </c>
      <c r="Y410" t="str">
        <f t="shared" si="45"/>
        <v>知识试炼（10）</v>
      </c>
    </row>
    <row r="411" spans="1:25">
      <c r="A411">
        <f t="shared" si="46"/>
        <v>301501</v>
      </c>
      <c r="B411" t="s">
        <v>1069</v>
      </c>
      <c r="C411">
        <v>0</v>
      </c>
      <c r="D411">
        <v>0</v>
      </c>
      <c r="E411" t="str">
        <f t="shared" si="49"/>
        <v>3015011_1</v>
      </c>
      <c r="F411" t="s">
        <v>213</v>
      </c>
      <c r="G411">
        <v>0</v>
      </c>
      <c r="H411">
        <v>0</v>
      </c>
      <c r="I411">
        <v>0</v>
      </c>
      <c r="J411">
        <v>0</v>
      </c>
      <c r="K411">
        <v>100</v>
      </c>
      <c r="L411" t="s">
        <v>738</v>
      </c>
      <c r="M411" s="6" t="s">
        <v>739</v>
      </c>
      <c r="N411">
        <v>920</v>
      </c>
      <c r="O411">
        <v>120</v>
      </c>
      <c r="P411">
        <v>10</v>
      </c>
      <c r="Q411">
        <v>10</v>
      </c>
      <c r="R411">
        <v>0</v>
      </c>
      <c r="S411">
        <f t="shared" si="47"/>
        <v>3</v>
      </c>
      <c r="T411">
        <f t="shared" si="48"/>
        <v>11</v>
      </c>
      <c r="U411">
        <f t="shared" si="50"/>
        <v>301009</v>
      </c>
      <c r="V411" t="e">
        <f>VLOOKUP($A411,精英副本客户端!$A$2:$O$406,10,0)</f>
        <v>#N/A</v>
      </c>
      <c r="W411" t="e">
        <f>VLOOKUP($A411,精英副本客户端!$A$2:$O$406,11,0)</f>
        <v>#N/A</v>
      </c>
      <c r="X411" t="e">
        <f>VLOOKUP($A411,精英副本客户端!$A$2:$O$406,12,0)</f>
        <v>#N/A</v>
      </c>
      <c r="Y411" t="str">
        <f t="shared" si="45"/>
        <v>知识试炼（15）</v>
      </c>
    </row>
    <row r="412" spans="1:25">
      <c r="A412">
        <f t="shared" si="46"/>
        <v>301502</v>
      </c>
      <c r="B412" t="s">
        <v>1040</v>
      </c>
      <c r="C412">
        <v>0</v>
      </c>
      <c r="D412">
        <v>0</v>
      </c>
      <c r="E412" t="str">
        <f t="shared" si="49"/>
        <v>3015021_1</v>
      </c>
      <c r="F412" t="s">
        <v>213</v>
      </c>
      <c r="G412">
        <v>0</v>
      </c>
      <c r="H412">
        <v>0</v>
      </c>
      <c r="I412">
        <v>0</v>
      </c>
      <c r="J412">
        <v>0</v>
      </c>
      <c r="K412">
        <v>100</v>
      </c>
      <c r="L412" t="s">
        <v>738</v>
      </c>
      <c r="M412" s="6" t="s">
        <v>739</v>
      </c>
      <c r="N412">
        <v>920</v>
      </c>
      <c r="O412">
        <v>120</v>
      </c>
      <c r="P412">
        <v>10</v>
      </c>
      <c r="Q412">
        <v>10</v>
      </c>
      <c r="R412">
        <v>0</v>
      </c>
      <c r="S412">
        <f t="shared" si="47"/>
        <v>3</v>
      </c>
      <c r="T412">
        <f t="shared" si="48"/>
        <v>11</v>
      </c>
      <c r="U412">
        <f t="shared" si="50"/>
        <v>301501</v>
      </c>
      <c r="V412" t="e">
        <f>VLOOKUP($A412,精英副本客户端!$A$2:$O$406,10,0)</f>
        <v>#N/A</v>
      </c>
      <c r="W412" t="e">
        <f>VLOOKUP($A412,精英副本客户端!$A$2:$O$406,11,0)</f>
        <v>#N/A</v>
      </c>
      <c r="X412" t="e">
        <f>VLOOKUP($A412,精英副本客户端!$A$2:$O$406,12,0)</f>
        <v>#N/A</v>
      </c>
      <c r="Y412" t="str">
        <f t="shared" si="45"/>
        <v>知识试炼（15）</v>
      </c>
    </row>
    <row r="413" spans="1:25">
      <c r="A413">
        <f t="shared" si="46"/>
        <v>301503</v>
      </c>
      <c r="B413" t="s">
        <v>1041</v>
      </c>
      <c r="C413">
        <v>0</v>
      </c>
      <c r="D413">
        <v>0</v>
      </c>
      <c r="E413" t="str">
        <f t="shared" si="49"/>
        <v>3015031_1</v>
      </c>
      <c r="F413" t="s">
        <v>213</v>
      </c>
      <c r="G413">
        <v>0</v>
      </c>
      <c r="H413">
        <v>0</v>
      </c>
      <c r="I413">
        <v>0</v>
      </c>
      <c r="J413">
        <v>0</v>
      </c>
      <c r="K413">
        <v>100</v>
      </c>
      <c r="L413" t="s">
        <v>738</v>
      </c>
      <c r="M413" s="6" t="s">
        <v>739</v>
      </c>
      <c r="N413">
        <v>920</v>
      </c>
      <c r="O413">
        <v>120</v>
      </c>
      <c r="P413">
        <v>10</v>
      </c>
      <c r="Q413">
        <v>10</v>
      </c>
      <c r="R413">
        <v>0</v>
      </c>
      <c r="S413">
        <f t="shared" si="47"/>
        <v>3</v>
      </c>
      <c r="T413">
        <f t="shared" si="48"/>
        <v>11</v>
      </c>
      <c r="U413">
        <f t="shared" si="50"/>
        <v>301502</v>
      </c>
      <c r="V413" t="e">
        <f>VLOOKUP($A413,精英副本客户端!$A$2:$O$406,10,0)</f>
        <v>#N/A</v>
      </c>
      <c r="W413" t="e">
        <f>VLOOKUP($A413,精英副本客户端!$A$2:$O$406,11,0)</f>
        <v>#N/A</v>
      </c>
      <c r="X413" t="e">
        <f>VLOOKUP($A413,精英副本客户端!$A$2:$O$406,12,0)</f>
        <v>#N/A</v>
      </c>
      <c r="Y413" t="str">
        <f t="shared" si="45"/>
        <v>知识试炼（15）</v>
      </c>
    </row>
    <row r="414" spans="1:25">
      <c r="A414">
        <f t="shared" si="46"/>
        <v>301504</v>
      </c>
      <c r="B414" t="s">
        <v>1042</v>
      </c>
      <c r="C414">
        <v>0</v>
      </c>
      <c r="D414">
        <v>0</v>
      </c>
      <c r="E414" t="str">
        <f t="shared" si="49"/>
        <v>3015041_1</v>
      </c>
      <c r="F414" t="s">
        <v>213</v>
      </c>
      <c r="G414">
        <v>0</v>
      </c>
      <c r="H414">
        <v>0</v>
      </c>
      <c r="I414">
        <v>0</v>
      </c>
      <c r="J414">
        <v>0</v>
      </c>
      <c r="K414">
        <v>100</v>
      </c>
      <c r="L414" t="s">
        <v>738</v>
      </c>
      <c r="M414" s="6" t="s">
        <v>739</v>
      </c>
      <c r="N414">
        <v>920</v>
      </c>
      <c r="O414">
        <v>120</v>
      </c>
      <c r="P414">
        <v>10</v>
      </c>
      <c r="Q414">
        <v>10</v>
      </c>
      <c r="R414">
        <v>0</v>
      </c>
      <c r="S414">
        <f t="shared" si="47"/>
        <v>3</v>
      </c>
      <c r="T414">
        <f t="shared" si="48"/>
        <v>11</v>
      </c>
      <c r="U414">
        <f t="shared" si="50"/>
        <v>301503</v>
      </c>
      <c r="V414" t="e">
        <f>VLOOKUP($A414,精英副本客户端!$A$2:$O$406,10,0)</f>
        <v>#N/A</v>
      </c>
      <c r="W414" t="e">
        <f>VLOOKUP($A414,精英副本客户端!$A$2:$O$406,11,0)</f>
        <v>#N/A</v>
      </c>
      <c r="X414" t="e">
        <f>VLOOKUP($A414,精英副本客户端!$A$2:$O$406,12,0)</f>
        <v>#N/A</v>
      </c>
      <c r="Y414" t="str">
        <f t="shared" si="45"/>
        <v>知识试炼（15）</v>
      </c>
    </row>
    <row r="415" spans="1:25">
      <c r="A415">
        <f t="shared" si="46"/>
        <v>301505</v>
      </c>
      <c r="B415" t="s">
        <v>1043</v>
      </c>
      <c r="C415">
        <v>0</v>
      </c>
      <c r="D415">
        <v>0</v>
      </c>
      <c r="E415" t="str">
        <f t="shared" si="49"/>
        <v>3015051_1</v>
      </c>
      <c r="F415" t="s">
        <v>213</v>
      </c>
      <c r="G415">
        <v>0</v>
      </c>
      <c r="H415">
        <v>0</v>
      </c>
      <c r="I415">
        <v>0</v>
      </c>
      <c r="J415">
        <v>0</v>
      </c>
      <c r="K415">
        <v>100</v>
      </c>
      <c r="L415" t="s">
        <v>738</v>
      </c>
      <c r="M415" s="6" t="s">
        <v>739</v>
      </c>
      <c r="N415">
        <v>920</v>
      </c>
      <c r="O415">
        <v>120</v>
      </c>
      <c r="P415">
        <v>10</v>
      </c>
      <c r="Q415">
        <v>10</v>
      </c>
      <c r="R415">
        <v>0</v>
      </c>
      <c r="S415">
        <f t="shared" si="47"/>
        <v>3</v>
      </c>
      <c r="T415">
        <f t="shared" si="48"/>
        <v>11</v>
      </c>
      <c r="U415">
        <f t="shared" si="50"/>
        <v>301504</v>
      </c>
      <c r="V415" t="e">
        <f>VLOOKUP($A415,精英副本客户端!$A$2:$O$406,10,0)</f>
        <v>#N/A</v>
      </c>
      <c r="W415" t="e">
        <f>VLOOKUP($A415,精英副本客户端!$A$2:$O$406,11,0)</f>
        <v>#N/A</v>
      </c>
      <c r="X415" t="e">
        <f>VLOOKUP($A415,精英副本客户端!$A$2:$O$406,12,0)</f>
        <v>#N/A</v>
      </c>
      <c r="Y415" t="str">
        <f t="shared" si="45"/>
        <v>知识试炼（15）</v>
      </c>
    </row>
    <row r="416" spans="1:25">
      <c r="A416">
        <f t="shared" si="46"/>
        <v>301506</v>
      </c>
      <c r="B416" t="s">
        <v>1044</v>
      </c>
      <c r="C416">
        <v>0</v>
      </c>
      <c r="D416">
        <v>0</v>
      </c>
      <c r="E416" t="str">
        <f t="shared" si="49"/>
        <v>3015061_1</v>
      </c>
      <c r="F416" t="s">
        <v>213</v>
      </c>
      <c r="G416">
        <v>0</v>
      </c>
      <c r="H416">
        <v>0</v>
      </c>
      <c r="I416">
        <v>0</v>
      </c>
      <c r="J416">
        <v>0</v>
      </c>
      <c r="K416">
        <v>100</v>
      </c>
      <c r="L416" t="s">
        <v>738</v>
      </c>
      <c r="M416" s="6" t="s">
        <v>739</v>
      </c>
      <c r="N416">
        <v>920</v>
      </c>
      <c r="O416">
        <v>120</v>
      </c>
      <c r="P416">
        <v>10</v>
      </c>
      <c r="Q416">
        <v>10</v>
      </c>
      <c r="R416">
        <v>0</v>
      </c>
      <c r="S416">
        <f t="shared" si="47"/>
        <v>3</v>
      </c>
      <c r="T416">
        <f t="shared" si="48"/>
        <v>11</v>
      </c>
      <c r="U416">
        <f t="shared" si="50"/>
        <v>301505</v>
      </c>
      <c r="V416" t="e">
        <f>VLOOKUP($A416,精英副本客户端!$A$2:$O$406,10,0)</f>
        <v>#N/A</v>
      </c>
      <c r="W416" t="e">
        <f>VLOOKUP($A416,精英副本客户端!$A$2:$O$406,11,0)</f>
        <v>#N/A</v>
      </c>
      <c r="X416" t="e">
        <f>VLOOKUP($A416,精英副本客户端!$A$2:$O$406,12,0)</f>
        <v>#N/A</v>
      </c>
      <c r="Y416" t="str">
        <f t="shared" si="45"/>
        <v>知识试炼（15）</v>
      </c>
    </row>
    <row r="417" spans="1:25">
      <c r="A417">
        <f t="shared" si="46"/>
        <v>301507</v>
      </c>
      <c r="B417" t="s">
        <v>1045</v>
      </c>
      <c r="C417">
        <v>0</v>
      </c>
      <c r="D417">
        <v>0</v>
      </c>
      <c r="E417" t="str">
        <f t="shared" si="49"/>
        <v>3015071_1</v>
      </c>
      <c r="F417" t="s">
        <v>213</v>
      </c>
      <c r="G417">
        <v>0</v>
      </c>
      <c r="H417">
        <v>0</v>
      </c>
      <c r="I417">
        <v>0</v>
      </c>
      <c r="J417">
        <v>0</v>
      </c>
      <c r="K417">
        <v>100</v>
      </c>
      <c r="L417" t="s">
        <v>738</v>
      </c>
      <c r="M417" s="6" t="s">
        <v>739</v>
      </c>
      <c r="N417">
        <v>920</v>
      </c>
      <c r="O417">
        <v>120</v>
      </c>
      <c r="P417">
        <v>10</v>
      </c>
      <c r="Q417">
        <v>10</v>
      </c>
      <c r="R417">
        <v>0</v>
      </c>
      <c r="S417">
        <f t="shared" si="47"/>
        <v>3</v>
      </c>
      <c r="T417">
        <f t="shared" si="48"/>
        <v>11</v>
      </c>
      <c r="U417">
        <f t="shared" si="50"/>
        <v>301506</v>
      </c>
      <c r="V417" t="e">
        <f>VLOOKUP($A417,精英副本客户端!$A$2:$O$406,10,0)</f>
        <v>#N/A</v>
      </c>
      <c r="W417" t="e">
        <f>VLOOKUP($A417,精英副本客户端!$A$2:$O$406,11,0)</f>
        <v>#N/A</v>
      </c>
      <c r="X417" t="e">
        <f>VLOOKUP($A417,精英副本客户端!$A$2:$O$406,12,0)</f>
        <v>#N/A</v>
      </c>
      <c r="Y417" t="str">
        <f t="shared" si="45"/>
        <v>知识试炼（15）</v>
      </c>
    </row>
    <row r="418" spans="1:25">
      <c r="A418">
        <f t="shared" si="46"/>
        <v>301508</v>
      </c>
      <c r="B418" t="s">
        <v>1046</v>
      </c>
      <c r="C418">
        <v>0</v>
      </c>
      <c r="D418">
        <v>0</v>
      </c>
      <c r="E418" t="str">
        <f t="shared" si="49"/>
        <v>3015081_1</v>
      </c>
      <c r="F418" t="s">
        <v>213</v>
      </c>
      <c r="G418">
        <v>0</v>
      </c>
      <c r="H418">
        <v>0</v>
      </c>
      <c r="I418">
        <v>0</v>
      </c>
      <c r="J418">
        <v>0</v>
      </c>
      <c r="K418">
        <v>100</v>
      </c>
      <c r="L418" t="s">
        <v>738</v>
      </c>
      <c r="M418" s="6" t="s">
        <v>739</v>
      </c>
      <c r="N418">
        <v>920</v>
      </c>
      <c r="O418">
        <v>120</v>
      </c>
      <c r="P418">
        <v>10</v>
      </c>
      <c r="Q418">
        <v>10</v>
      </c>
      <c r="R418">
        <v>0</v>
      </c>
      <c r="S418">
        <f t="shared" si="47"/>
        <v>3</v>
      </c>
      <c r="T418">
        <f t="shared" si="48"/>
        <v>11</v>
      </c>
      <c r="U418">
        <f t="shared" si="50"/>
        <v>301507</v>
      </c>
      <c r="V418" t="e">
        <f>VLOOKUP($A418,精英副本客户端!$A$2:$O$406,10,0)</f>
        <v>#N/A</v>
      </c>
      <c r="W418" t="e">
        <f>VLOOKUP($A418,精英副本客户端!$A$2:$O$406,11,0)</f>
        <v>#N/A</v>
      </c>
      <c r="X418" t="e">
        <f>VLOOKUP($A418,精英副本客户端!$A$2:$O$406,12,0)</f>
        <v>#N/A</v>
      </c>
      <c r="Y418" t="str">
        <f t="shared" si="45"/>
        <v>知识试炼（15）</v>
      </c>
    </row>
    <row r="419" spans="1:25">
      <c r="A419">
        <f t="shared" si="46"/>
        <v>301509</v>
      </c>
      <c r="B419" t="s">
        <v>1047</v>
      </c>
      <c r="C419">
        <v>0</v>
      </c>
      <c r="D419">
        <v>0</v>
      </c>
      <c r="E419" t="str">
        <f t="shared" si="49"/>
        <v>3015091_1</v>
      </c>
      <c r="F419" t="s">
        <v>213</v>
      </c>
      <c r="G419">
        <v>0</v>
      </c>
      <c r="H419">
        <v>0</v>
      </c>
      <c r="I419">
        <v>0</v>
      </c>
      <c r="J419">
        <v>0</v>
      </c>
      <c r="K419">
        <v>100</v>
      </c>
      <c r="L419" t="s">
        <v>738</v>
      </c>
      <c r="M419" s="6" t="s">
        <v>739</v>
      </c>
      <c r="N419">
        <v>920</v>
      </c>
      <c r="O419">
        <v>120</v>
      </c>
      <c r="P419">
        <v>10</v>
      </c>
      <c r="Q419">
        <v>10</v>
      </c>
      <c r="R419">
        <v>0</v>
      </c>
      <c r="S419">
        <f t="shared" si="47"/>
        <v>3</v>
      </c>
      <c r="T419">
        <f t="shared" si="48"/>
        <v>11</v>
      </c>
      <c r="U419">
        <f t="shared" si="50"/>
        <v>301508</v>
      </c>
      <c r="V419" t="e">
        <f>VLOOKUP($A419,精英副本客户端!$A$2:$O$406,10,0)</f>
        <v>#N/A</v>
      </c>
      <c r="W419" t="e">
        <f>VLOOKUP($A419,精英副本客户端!$A$2:$O$406,11,0)</f>
        <v>#N/A</v>
      </c>
      <c r="X419" t="e">
        <f>VLOOKUP($A419,精英副本客户端!$A$2:$O$406,12,0)</f>
        <v>#N/A</v>
      </c>
      <c r="Y419" t="str">
        <f t="shared" si="45"/>
        <v>知识试炼（15）</v>
      </c>
    </row>
    <row r="420" spans="1:25">
      <c r="A420">
        <f t="shared" si="46"/>
        <v>302001</v>
      </c>
      <c r="B420" t="s">
        <v>1069</v>
      </c>
      <c r="C420">
        <v>0</v>
      </c>
      <c r="D420">
        <v>0</v>
      </c>
      <c r="E420" t="str">
        <f t="shared" si="49"/>
        <v>3020011_1</v>
      </c>
      <c r="F420" t="s">
        <v>213</v>
      </c>
      <c r="G420">
        <v>0</v>
      </c>
      <c r="H420">
        <v>0</v>
      </c>
      <c r="I420">
        <v>0</v>
      </c>
      <c r="J420">
        <v>0</v>
      </c>
      <c r="K420">
        <v>100</v>
      </c>
      <c r="L420" t="s">
        <v>738</v>
      </c>
      <c r="M420" s="6" t="s">
        <v>739</v>
      </c>
      <c r="N420">
        <v>920</v>
      </c>
      <c r="O420">
        <v>120</v>
      </c>
      <c r="P420">
        <v>10</v>
      </c>
      <c r="Q420">
        <v>10</v>
      </c>
      <c r="R420">
        <v>0</v>
      </c>
      <c r="S420">
        <f t="shared" si="47"/>
        <v>3</v>
      </c>
      <c r="T420">
        <f t="shared" si="48"/>
        <v>16</v>
      </c>
      <c r="U420">
        <f t="shared" si="50"/>
        <v>301509</v>
      </c>
      <c r="V420" t="e">
        <f>VLOOKUP($A420,精英副本客户端!$A$2:$O$406,10,0)</f>
        <v>#N/A</v>
      </c>
      <c r="W420" t="e">
        <f>VLOOKUP($A420,精英副本客户端!$A$2:$O$406,11,0)</f>
        <v>#N/A</v>
      </c>
      <c r="X420" t="e">
        <f>VLOOKUP($A420,精英副本客户端!$A$2:$O$406,12,0)</f>
        <v>#N/A</v>
      </c>
      <c r="Y420" t="str">
        <f t="shared" si="45"/>
        <v>知识试炼（20）</v>
      </c>
    </row>
    <row r="421" spans="1:25">
      <c r="A421">
        <f t="shared" si="46"/>
        <v>302002</v>
      </c>
      <c r="B421" t="s">
        <v>1040</v>
      </c>
      <c r="C421">
        <v>0</v>
      </c>
      <c r="D421">
        <v>0</v>
      </c>
      <c r="E421" t="str">
        <f t="shared" si="49"/>
        <v>3020021_1</v>
      </c>
      <c r="F421" t="s">
        <v>213</v>
      </c>
      <c r="G421">
        <v>0</v>
      </c>
      <c r="H421">
        <v>0</v>
      </c>
      <c r="I421">
        <v>0</v>
      </c>
      <c r="J421">
        <v>0</v>
      </c>
      <c r="K421">
        <v>100</v>
      </c>
      <c r="L421" t="s">
        <v>738</v>
      </c>
      <c r="M421" s="6" t="s">
        <v>739</v>
      </c>
      <c r="N421">
        <v>920</v>
      </c>
      <c r="O421">
        <v>120</v>
      </c>
      <c r="P421">
        <v>10</v>
      </c>
      <c r="Q421">
        <v>10</v>
      </c>
      <c r="R421">
        <v>0</v>
      </c>
      <c r="S421">
        <f t="shared" si="47"/>
        <v>3</v>
      </c>
      <c r="T421">
        <f t="shared" si="48"/>
        <v>16</v>
      </c>
      <c r="U421">
        <f t="shared" si="50"/>
        <v>302001</v>
      </c>
      <c r="V421" t="e">
        <f>VLOOKUP($A421,精英副本客户端!$A$2:$O$406,10,0)</f>
        <v>#N/A</v>
      </c>
      <c r="W421" t="e">
        <f>VLOOKUP($A421,精英副本客户端!$A$2:$O$406,11,0)</f>
        <v>#N/A</v>
      </c>
      <c r="X421" t="e">
        <f>VLOOKUP($A421,精英副本客户端!$A$2:$O$406,12,0)</f>
        <v>#N/A</v>
      </c>
      <c r="Y421" t="str">
        <f t="shared" si="45"/>
        <v>知识试炼（20）</v>
      </c>
    </row>
    <row r="422" spans="1:25">
      <c r="A422">
        <f t="shared" si="46"/>
        <v>302003</v>
      </c>
      <c r="B422" t="s">
        <v>1041</v>
      </c>
      <c r="C422">
        <v>0</v>
      </c>
      <c r="D422">
        <v>0</v>
      </c>
      <c r="E422" t="str">
        <f t="shared" si="49"/>
        <v>3020031_1</v>
      </c>
      <c r="F422" t="s">
        <v>213</v>
      </c>
      <c r="G422">
        <v>0</v>
      </c>
      <c r="H422">
        <v>0</v>
      </c>
      <c r="I422">
        <v>0</v>
      </c>
      <c r="J422">
        <v>0</v>
      </c>
      <c r="K422">
        <v>100</v>
      </c>
      <c r="L422" t="s">
        <v>738</v>
      </c>
      <c r="M422" s="6" t="s">
        <v>739</v>
      </c>
      <c r="N422">
        <v>920</v>
      </c>
      <c r="O422">
        <v>120</v>
      </c>
      <c r="P422">
        <v>10</v>
      </c>
      <c r="Q422">
        <v>10</v>
      </c>
      <c r="R422">
        <v>0</v>
      </c>
      <c r="S422">
        <f t="shared" si="47"/>
        <v>3</v>
      </c>
      <c r="T422">
        <f t="shared" si="48"/>
        <v>16</v>
      </c>
      <c r="U422">
        <f t="shared" si="50"/>
        <v>302002</v>
      </c>
      <c r="V422" t="e">
        <f>VLOOKUP($A422,精英副本客户端!$A$2:$O$406,10,0)</f>
        <v>#N/A</v>
      </c>
      <c r="W422" t="e">
        <f>VLOOKUP($A422,精英副本客户端!$A$2:$O$406,11,0)</f>
        <v>#N/A</v>
      </c>
      <c r="X422" t="e">
        <f>VLOOKUP($A422,精英副本客户端!$A$2:$O$406,12,0)</f>
        <v>#N/A</v>
      </c>
      <c r="Y422" t="str">
        <f t="shared" si="45"/>
        <v>知识试炼（20）</v>
      </c>
    </row>
    <row r="423" spans="1:25">
      <c r="A423">
        <f t="shared" si="46"/>
        <v>302004</v>
      </c>
      <c r="B423" t="s">
        <v>1042</v>
      </c>
      <c r="C423">
        <v>0</v>
      </c>
      <c r="D423">
        <v>0</v>
      </c>
      <c r="E423" t="str">
        <f t="shared" si="49"/>
        <v>3020041_1</v>
      </c>
      <c r="F423" t="s">
        <v>213</v>
      </c>
      <c r="G423">
        <v>0</v>
      </c>
      <c r="H423">
        <v>0</v>
      </c>
      <c r="I423">
        <v>0</v>
      </c>
      <c r="J423">
        <v>0</v>
      </c>
      <c r="K423">
        <v>100</v>
      </c>
      <c r="L423" t="s">
        <v>738</v>
      </c>
      <c r="M423" s="6" t="s">
        <v>739</v>
      </c>
      <c r="N423">
        <v>920</v>
      </c>
      <c r="O423">
        <v>120</v>
      </c>
      <c r="P423">
        <v>10</v>
      </c>
      <c r="Q423">
        <v>10</v>
      </c>
      <c r="R423">
        <v>0</v>
      </c>
      <c r="S423">
        <f t="shared" si="47"/>
        <v>3</v>
      </c>
      <c r="T423">
        <f t="shared" si="48"/>
        <v>16</v>
      </c>
      <c r="U423">
        <f t="shared" si="50"/>
        <v>302003</v>
      </c>
      <c r="V423" t="e">
        <f>VLOOKUP($A423,精英副本客户端!$A$2:$O$406,10,0)</f>
        <v>#N/A</v>
      </c>
      <c r="W423" t="e">
        <f>VLOOKUP($A423,精英副本客户端!$A$2:$O$406,11,0)</f>
        <v>#N/A</v>
      </c>
      <c r="X423" t="e">
        <f>VLOOKUP($A423,精英副本客户端!$A$2:$O$406,12,0)</f>
        <v>#N/A</v>
      </c>
      <c r="Y423" t="str">
        <f t="shared" si="45"/>
        <v>知识试炼（20）</v>
      </c>
    </row>
    <row r="424" spans="1:25">
      <c r="A424">
        <f t="shared" si="46"/>
        <v>302005</v>
      </c>
      <c r="B424" t="s">
        <v>1043</v>
      </c>
      <c r="C424">
        <v>0</v>
      </c>
      <c r="D424">
        <v>0</v>
      </c>
      <c r="E424" t="str">
        <f t="shared" si="49"/>
        <v>3020051_1</v>
      </c>
      <c r="F424" t="s">
        <v>213</v>
      </c>
      <c r="G424">
        <v>0</v>
      </c>
      <c r="H424">
        <v>0</v>
      </c>
      <c r="I424">
        <v>0</v>
      </c>
      <c r="J424">
        <v>0</v>
      </c>
      <c r="K424">
        <v>100</v>
      </c>
      <c r="L424" t="s">
        <v>738</v>
      </c>
      <c r="M424" s="6" t="s">
        <v>739</v>
      </c>
      <c r="N424">
        <v>920</v>
      </c>
      <c r="O424">
        <v>120</v>
      </c>
      <c r="P424">
        <v>10</v>
      </c>
      <c r="Q424">
        <v>10</v>
      </c>
      <c r="R424">
        <v>0</v>
      </c>
      <c r="S424">
        <f t="shared" si="47"/>
        <v>3</v>
      </c>
      <c r="T424">
        <f t="shared" si="48"/>
        <v>16</v>
      </c>
      <c r="U424">
        <f t="shared" si="50"/>
        <v>302004</v>
      </c>
      <c r="V424" t="e">
        <f>VLOOKUP($A424,精英副本客户端!$A$2:$O$406,10,0)</f>
        <v>#N/A</v>
      </c>
      <c r="W424" t="e">
        <f>VLOOKUP($A424,精英副本客户端!$A$2:$O$406,11,0)</f>
        <v>#N/A</v>
      </c>
      <c r="X424" t="e">
        <f>VLOOKUP($A424,精英副本客户端!$A$2:$O$406,12,0)</f>
        <v>#N/A</v>
      </c>
      <c r="Y424" t="str">
        <f t="shared" si="45"/>
        <v>知识试炼（20）</v>
      </c>
    </row>
    <row r="425" spans="1:25">
      <c r="A425">
        <f t="shared" si="46"/>
        <v>302006</v>
      </c>
      <c r="B425" t="s">
        <v>1044</v>
      </c>
      <c r="C425">
        <v>0</v>
      </c>
      <c r="D425">
        <v>0</v>
      </c>
      <c r="E425" t="str">
        <f t="shared" si="49"/>
        <v>3020061_1</v>
      </c>
      <c r="F425" t="s">
        <v>213</v>
      </c>
      <c r="G425">
        <v>0</v>
      </c>
      <c r="H425">
        <v>0</v>
      </c>
      <c r="I425">
        <v>0</v>
      </c>
      <c r="J425">
        <v>0</v>
      </c>
      <c r="K425">
        <v>100</v>
      </c>
      <c r="L425" t="s">
        <v>738</v>
      </c>
      <c r="M425" s="6" t="s">
        <v>739</v>
      </c>
      <c r="N425">
        <v>920</v>
      </c>
      <c r="O425">
        <v>120</v>
      </c>
      <c r="P425">
        <v>10</v>
      </c>
      <c r="Q425">
        <v>10</v>
      </c>
      <c r="R425">
        <v>0</v>
      </c>
      <c r="S425">
        <f t="shared" si="47"/>
        <v>3</v>
      </c>
      <c r="T425">
        <f t="shared" si="48"/>
        <v>16</v>
      </c>
      <c r="U425">
        <f t="shared" si="50"/>
        <v>302005</v>
      </c>
      <c r="V425" t="e">
        <f>VLOOKUP($A425,精英副本客户端!$A$2:$O$406,10,0)</f>
        <v>#N/A</v>
      </c>
      <c r="W425" t="e">
        <f>VLOOKUP($A425,精英副本客户端!$A$2:$O$406,11,0)</f>
        <v>#N/A</v>
      </c>
      <c r="X425" t="e">
        <f>VLOOKUP($A425,精英副本客户端!$A$2:$O$406,12,0)</f>
        <v>#N/A</v>
      </c>
      <c r="Y425" t="str">
        <f t="shared" si="45"/>
        <v>知识试炼（20）</v>
      </c>
    </row>
    <row r="426" spans="1:25">
      <c r="A426">
        <f t="shared" si="46"/>
        <v>302007</v>
      </c>
      <c r="B426" t="s">
        <v>1045</v>
      </c>
      <c r="C426">
        <v>0</v>
      </c>
      <c r="D426">
        <v>0</v>
      </c>
      <c r="E426" t="str">
        <f t="shared" si="49"/>
        <v>3020071_1</v>
      </c>
      <c r="F426" t="s">
        <v>213</v>
      </c>
      <c r="G426">
        <v>0</v>
      </c>
      <c r="H426">
        <v>0</v>
      </c>
      <c r="I426">
        <v>0</v>
      </c>
      <c r="J426">
        <v>0</v>
      </c>
      <c r="K426">
        <v>100</v>
      </c>
      <c r="L426" t="s">
        <v>738</v>
      </c>
      <c r="M426" s="6" t="s">
        <v>739</v>
      </c>
      <c r="N426">
        <v>920</v>
      </c>
      <c r="O426">
        <v>120</v>
      </c>
      <c r="P426">
        <v>10</v>
      </c>
      <c r="Q426">
        <v>10</v>
      </c>
      <c r="R426">
        <v>0</v>
      </c>
      <c r="S426">
        <f t="shared" si="47"/>
        <v>3</v>
      </c>
      <c r="T426">
        <f t="shared" si="48"/>
        <v>16</v>
      </c>
      <c r="U426">
        <f t="shared" si="50"/>
        <v>302006</v>
      </c>
      <c r="V426" t="e">
        <f>VLOOKUP($A426,精英副本客户端!$A$2:$O$406,10,0)</f>
        <v>#N/A</v>
      </c>
      <c r="W426" t="e">
        <f>VLOOKUP($A426,精英副本客户端!$A$2:$O$406,11,0)</f>
        <v>#N/A</v>
      </c>
      <c r="X426" t="e">
        <f>VLOOKUP($A426,精英副本客户端!$A$2:$O$406,12,0)</f>
        <v>#N/A</v>
      </c>
      <c r="Y426" t="str">
        <f t="shared" si="45"/>
        <v>知识试炼（20）</v>
      </c>
    </row>
    <row r="427" spans="1:25">
      <c r="A427">
        <f t="shared" si="46"/>
        <v>302008</v>
      </c>
      <c r="B427" t="s">
        <v>1046</v>
      </c>
      <c r="C427">
        <v>0</v>
      </c>
      <c r="D427">
        <v>0</v>
      </c>
      <c r="E427" t="str">
        <f t="shared" si="49"/>
        <v>3020081_1</v>
      </c>
      <c r="F427" t="s">
        <v>213</v>
      </c>
      <c r="G427">
        <v>0</v>
      </c>
      <c r="H427">
        <v>0</v>
      </c>
      <c r="I427">
        <v>0</v>
      </c>
      <c r="J427">
        <v>0</v>
      </c>
      <c r="K427">
        <v>100</v>
      </c>
      <c r="L427" t="s">
        <v>738</v>
      </c>
      <c r="M427" s="6" t="s">
        <v>739</v>
      </c>
      <c r="N427">
        <v>920</v>
      </c>
      <c r="O427">
        <v>120</v>
      </c>
      <c r="P427">
        <v>10</v>
      </c>
      <c r="Q427">
        <v>10</v>
      </c>
      <c r="R427">
        <v>0</v>
      </c>
      <c r="S427">
        <f t="shared" si="47"/>
        <v>3</v>
      </c>
      <c r="T427">
        <f t="shared" si="48"/>
        <v>16</v>
      </c>
      <c r="U427">
        <f t="shared" si="50"/>
        <v>302007</v>
      </c>
      <c r="V427" t="e">
        <f>VLOOKUP($A427,精英副本客户端!$A$2:$O$406,10,0)</f>
        <v>#N/A</v>
      </c>
      <c r="W427" t="e">
        <f>VLOOKUP($A427,精英副本客户端!$A$2:$O$406,11,0)</f>
        <v>#N/A</v>
      </c>
      <c r="X427" t="e">
        <f>VLOOKUP($A427,精英副本客户端!$A$2:$O$406,12,0)</f>
        <v>#N/A</v>
      </c>
      <c r="Y427" t="str">
        <f t="shared" si="45"/>
        <v>知识试炼（20）</v>
      </c>
    </row>
    <row r="428" spans="1:25">
      <c r="A428">
        <f t="shared" si="46"/>
        <v>302009</v>
      </c>
      <c r="B428" t="s">
        <v>1047</v>
      </c>
      <c r="C428">
        <v>0</v>
      </c>
      <c r="D428">
        <v>0</v>
      </c>
      <c r="E428" t="str">
        <f t="shared" si="49"/>
        <v>3020091_1</v>
      </c>
      <c r="F428" t="s">
        <v>213</v>
      </c>
      <c r="G428">
        <v>0</v>
      </c>
      <c r="H428">
        <v>0</v>
      </c>
      <c r="I428">
        <v>0</v>
      </c>
      <c r="J428">
        <v>0</v>
      </c>
      <c r="K428">
        <v>100</v>
      </c>
      <c r="L428" t="s">
        <v>738</v>
      </c>
      <c r="M428" s="6" t="s">
        <v>739</v>
      </c>
      <c r="N428">
        <v>920</v>
      </c>
      <c r="O428">
        <v>120</v>
      </c>
      <c r="P428">
        <v>10</v>
      </c>
      <c r="Q428">
        <v>10</v>
      </c>
      <c r="R428">
        <v>0</v>
      </c>
      <c r="S428">
        <f t="shared" si="47"/>
        <v>3</v>
      </c>
      <c r="T428">
        <f t="shared" si="48"/>
        <v>16</v>
      </c>
      <c r="U428">
        <f t="shared" si="50"/>
        <v>302008</v>
      </c>
      <c r="V428" t="e">
        <f>VLOOKUP($A428,精英副本客户端!$A$2:$O$406,10,0)</f>
        <v>#N/A</v>
      </c>
      <c r="W428" t="e">
        <f>VLOOKUP($A428,精英副本客户端!$A$2:$O$406,11,0)</f>
        <v>#N/A</v>
      </c>
      <c r="X428" t="e">
        <f>VLOOKUP($A428,精英副本客户端!$A$2:$O$406,12,0)</f>
        <v>#N/A</v>
      </c>
      <c r="Y428" t="str">
        <f t="shared" si="45"/>
        <v>知识试炼（20）</v>
      </c>
    </row>
    <row r="429" spans="1:25">
      <c r="A429">
        <f t="shared" si="46"/>
        <v>302501</v>
      </c>
      <c r="B429" t="s">
        <v>1069</v>
      </c>
      <c r="C429">
        <v>0</v>
      </c>
      <c r="D429">
        <v>0</v>
      </c>
      <c r="E429" t="str">
        <f t="shared" si="49"/>
        <v>3025011_1</v>
      </c>
      <c r="F429" t="s">
        <v>213</v>
      </c>
      <c r="G429">
        <v>0</v>
      </c>
      <c r="H429">
        <v>0</v>
      </c>
      <c r="I429">
        <v>0</v>
      </c>
      <c r="J429">
        <v>0</v>
      </c>
      <c r="K429">
        <v>100</v>
      </c>
      <c r="L429" t="s">
        <v>738</v>
      </c>
      <c r="M429" s="6" t="s">
        <v>739</v>
      </c>
      <c r="N429">
        <v>920</v>
      </c>
      <c r="O429">
        <v>120</v>
      </c>
      <c r="P429">
        <v>10</v>
      </c>
      <c r="Q429">
        <v>10</v>
      </c>
      <c r="R429">
        <v>0</v>
      </c>
      <c r="S429">
        <f t="shared" si="47"/>
        <v>3</v>
      </c>
      <c r="T429">
        <f t="shared" si="48"/>
        <v>21</v>
      </c>
      <c r="U429">
        <f t="shared" si="50"/>
        <v>302009</v>
      </c>
      <c r="V429" t="e">
        <f>VLOOKUP($A429,精英副本客户端!$A$2:$O$406,10,0)</f>
        <v>#N/A</v>
      </c>
      <c r="W429" t="e">
        <f>VLOOKUP($A429,精英副本客户端!$A$2:$O$406,11,0)</f>
        <v>#N/A</v>
      </c>
      <c r="X429" t="e">
        <f>VLOOKUP($A429,精英副本客户端!$A$2:$O$406,12,0)</f>
        <v>#N/A</v>
      </c>
      <c r="Y429" t="str">
        <f t="shared" si="45"/>
        <v>知识试炼（25）</v>
      </c>
    </row>
    <row r="430" spans="1:25">
      <c r="A430">
        <f t="shared" si="46"/>
        <v>302502</v>
      </c>
      <c r="B430" t="s">
        <v>1040</v>
      </c>
      <c r="C430">
        <v>0</v>
      </c>
      <c r="D430">
        <v>0</v>
      </c>
      <c r="E430" t="str">
        <f t="shared" si="49"/>
        <v>3025021_1</v>
      </c>
      <c r="F430" t="s">
        <v>213</v>
      </c>
      <c r="G430">
        <v>0</v>
      </c>
      <c r="H430">
        <v>0</v>
      </c>
      <c r="I430">
        <v>0</v>
      </c>
      <c r="J430">
        <v>0</v>
      </c>
      <c r="K430">
        <v>100</v>
      </c>
      <c r="L430" t="s">
        <v>738</v>
      </c>
      <c r="M430" s="6" t="s">
        <v>739</v>
      </c>
      <c r="N430">
        <v>920</v>
      </c>
      <c r="O430">
        <v>120</v>
      </c>
      <c r="P430">
        <v>10</v>
      </c>
      <c r="Q430">
        <v>10</v>
      </c>
      <c r="R430">
        <v>0</v>
      </c>
      <c r="S430">
        <f t="shared" si="47"/>
        <v>3</v>
      </c>
      <c r="T430">
        <f t="shared" si="48"/>
        <v>21</v>
      </c>
      <c r="U430">
        <f t="shared" si="50"/>
        <v>302501</v>
      </c>
      <c r="V430" t="e">
        <f>VLOOKUP($A430,精英副本客户端!$A$2:$O$406,10,0)</f>
        <v>#N/A</v>
      </c>
      <c r="W430" t="e">
        <f>VLOOKUP($A430,精英副本客户端!$A$2:$O$406,11,0)</f>
        <v>#N/A</v>
      </c>
      <c r="X430" t="e">
        <f>VLOOKUP($A430,精英副本客户端!$A$2:$O$406,12,0)</f>
        <v>#N/A</v>
      </c>
      <c r="Y430" t="str">
        <f t="shared" si="45"/>
        <v>知识试炼（25）</v>
      </c>
    </row>
    <row r="431" spans="1:25">
      <c r="A431">
        <f t="shared" si="46"/>
        <v>302503</v>
      </c>
      <c r="B431" t="s">
        <v>1041</v>
      </c>
      <c r="C431">
        <v>0</v>
      </c>
      <c r="D431">
        <v>0</v>
      </c>
      <c r="E431" t="str">
        <f t="shared" si="49"/>
        <v>3025031_1</v>
      </c>
      <c r="F431" t="s">
        <v>213</v>
      </c>
      <c r="G431">
        <v>0</v>
      </c>
      <c r="H431">
        <v>0</v>
      </c>
      <c r="I431">
        <v>0</v>
      </c>
      <c r="J431">
        <v>0</v>
      </c>
      <c r="K431">
        <v>100</v>
      </c>
      <c r="L431" t="s">
        <v>738</v>
      </c>
      <c r="M431" s="6" t="s">
        <v>739</v>
      </c>
      <c r="N431">
        <v>920</v>
      </c>
      <c r="O431">
        <v>120</v>
      </c>
      <c r="P431">
        <v>10</v>
      </c>
      <c r="Q431">
        <v>10</v>
      </c>
      <c r="R431">
        <v>0</v>
      </c>
      <c r="S431">
        <f t="shared" si="47"/>
        <v>3</v>
      </c>
      <c r="T431">
        <f t="shared" si="48"/>
        <v>21</v>
      </c>
      <c r="U431">
        <f t="shared" si="50"/>
        <v>302502</v>
      </c>
      <c r="V431" t="e">
        <f>VLOOKUP($A431,精英副本客户端!$A$2:$O$406,10,0)</f>
        <v>#N/A</v>
      </c>
      <c r="W431" t="e">
        <f>VLOOKUP($A431,精英副本客户端!$A$2:$O$406,11,0)</f>
        <v>#N/A</v>
      </c>
      <c r="X431" t="e">
        <f>VLOOKUP($A431,精英副本客户端!$A$2:$O$406,12,0)</f>
        <v>#N/A</v>
      </c>
      <c r="Y431" t="str">
        <f t="shared" si="45"/>
        <v>知识试炼（25）</v>
      </c>
    </row>
    <row r="432" spans="1:25">
      <c r="A432">
        <f t="shared" si="46"/>
        <v>302504</v>
      </c>
      <c r="B432" t="s">
        <v>1042</v>
      </c>
      <c r="C432">
        <v>0</v>
      </c>
      <c r="D432">
        <v>0</v>
      </c>
      <c r="E432" t="str">
        <f t="shared" si="49"/>
        <v>3025041_1</v>
      </c>
      <c r="F432" t="s">
        <v>213</v>
      </c>
      <c r="G432">
        <v>0</v>
      </c>
      <c r="H432">
        <v>0</v>
      </c>
      <c r="I432">
        <v>0</v>
      </c>
      <c r="J432">
        <v>0</v>
      </c>
      <c r="K432">
        <v>100</v>
      </c>
      <c r="L432" t="s">
        <v>738</v>
      </c>
      <c r="M432" s="6" t="s">
        <v>739</v>
      </c>
      <c r="N432">
        <v>920</v>
      </c>
      <c r="O432">
        <v>120</v>
      </c>
      <c r="P432">
        <v>10</v>
      </c>
      <c r="Q432">
        <v>10</v>
      </c>
      <c r="R432">
        <v>0</v>
      </c>
      <c r="S432">
        <f t="shared" si="47"/>
        <v>3</v>
      </c>
      <c r="T432">
        <f t="shared" si="48"/>
        <v>21</v>
      </c>
      <c r="U432">
        <f t="shared" si="50"/>
        <v>302503</v>
      </c>
      <c r="V432" t="e">
        <f>VLOOKUP($A432,精英副本客户端!$A$2:$O$406,10,0)</f>
        <v>#N/A</v>
      </c>
      <c r="W432" t="e">
        <f>VLOOKUP($A432,精英副本客户端!$A$2:$O$406,11,0)</f>
        <v>#N/A</v>
      </c>
      <c r="X432" t="e">
        <f>VLOOKUP($A432,精英副本客户端!$A$2:$O$406,12,0)</f>
        <v>#N/A</v>
      </c>
      <c r="Y432" t="str">
        <f t="shared" si="45"/>
        <v>知识试炼（25）</v>
      </c>
    </row>
    <row r="433" spans="1:25">
      <c r="A433">
        <f t="shared" si="46"/>
        <v>302505</v>
      </c>
      <c r="B433" t="s">
        <v>1043</v>
      </c>
      <c r="C433">
        <v>0</v>
      </c>
      <c r="D433">
        <v>0</v>
      </c>
      <c r="E433" t="str">
        <f t="shared" si="49"/>
        <v>3025051_1</v>
      </c>
      <c r="F433" t="s">
        <v>213</v>
      </c>
      <c r="G433">
        <v>0</v>
      </c>
      <c r="H433">
        <v>0</v>
      </c>
      <c r="I433">
        <v>0</v>
      </c>
      <c r="J433">
        <v>0</v>
      </c>
      <c r="K433">
        <v>100</v>
      </c>
      <c r="L433" t="s">
        <v>738</v>
      </c>
      <c r="M433" s="6" t="s">
        <v>739</v>
      </c>
      <c r="N433">
        <v>920</v>
      </c>
      <c r="O433">
        <v>120</v>
      </c>
      <c r="P433">
        <v>10</v>
      </c>
      <c r="Q433">
        <v>10</v>
      </c>
      <c r="R433">
        <v>0</v>
      </c>
      <c r="S433">
        <f t="shared" si="47"/>
        <v>3</v>
      </c>
      <c r="T433">
        <f t="shared" si="48"/>
        <v>21</v>
      </c>
      <c r="U433">
        <f t="shared" si="50"/>
        <v>302504</v>
      </c>
      <c r="V433" t="e">
        <f>VLOOKUP($A433,精英副本客户端!$A$2:$O$406,10,0)</f>
        <v>#N/A</v>
      </c>
      <c r="W433" t="e">
        <f>VLOOKUP($A433,精英副本客户端!$A$2:$O$406,11,0)</f>
        <v>#N/A</v>
      </c>
      <c r="X433" t="e">
        <f>VLOOKUP($A433,精英副本客户端!$A$2:$O$406,12,0)</f>
        <v>#N/A</v>
      </c>
      <c r="Y433" t="str">
        <f t="shared" si="45"/>
        <v>知识试炼（25）</v>
      </c>
    </row>
    <row r="434" spans="1:25">
      <c r="A434">
        <f t="shared" si="46"/>
        <v>302506</v>
      </c>
      <c r="B434" t="s">
        <v>1044</v>
      </c>
      <c r="C434">
        <v>0</v>
      </c>
      <c r="D434">
        <v>0</v>
      </c>
      <c r="E434" t="str">
        <f t="shared" si="49"/>
        <v>3025061_1</v>
      </c>
      <c r="F434" t="s">
        <v>213</v>
      </c>
      <c r="G434">
        <v>0</v>
      </c>
      <c r="H434">
        <v>0</v>
      </c>
      <c r="I434">
        <v>0</v>
      </c>
      <c r="J434">
        <v>0</v>
      </c>
      <c r="K434">
        <v>100</v>
      </c>
      <c r="L434" t="s">
        <v>738</v>
      </c>
      <c r="M434" s="6" t="s">
        <v>739</v>
      </c>
      <c r="N434">
        <v>920</v>
      </c>
      <c r="O434">
        <v>120</v>
      </c>
      <c r="P434">
        <v>10</v>
      </c>
      <c r="Q434">
        <v>10</v>
      </c>
      <c r="R434">
        <v>0</v>
      </c>
      <c r="S434">
        <f t="shared" si="47"/>
        <v>3</v>
      </c>
      <c r="T434">
        <f t="shared" si="48"/>
        <v>21</v>
      </c>
      <c r="U434">
        <f t="shared" si="50"/>
        <v>302505</v>
      </c>
      <c r="V434" t="e">
        <f>VLOOKUP($A434,精英副本客户端!$A$2:$O$406,10,0)</f>
        <v>#N/A</v>
      </c>
      <c r="W434" t="e">
        <f>VLOOKUP($A434,精英副本客户端!$A$2:$O$406,11,0)</f>
        <v>#N/A</v>
      </c>
      <c r="X434" t="e">
        <f>VLOOKUP($A434,精英副本客户端!$A$2:$O$406,12,0)</f>
        <v>#N/A</v>
      </c>
      <c r="Y434" t="str">
        <f t="shared" si="45"/>
        <v>知识试炼（25）</v>
      </c>
    </row>
    <row r="435" spans="1:25">
      <c r="A435">
        <f t="shared" si="46"/>
        <v>302507</v>
      </c>
      <c r="B435" t="s">
        <v>1045</v>
      </c>
      <c r="C435">
        <v>0</v>
      </c>
      <c r="D435">
        <v>0</v>
      </c>
      <c r="E435" t="str">
        <f t="shared" si="49"/>
        <v>3025071_1</v>
      </c>
      <c r="F435" t="s">
        <v>213</v>
      </c>
      <c r="G435">
        <v>0</v>
      </c>
      <c r="H435">
        <v>0</v>
      </c>
      <c r="I435">
        <v>0</v>
      </c>
      <c r="J435">
        <v>0</v>
      </c>
      <c r="K435">
        <v>100</v>
      </c>
      <c r="L435" t="s">
        <v>738</v>
      </c>
      <c r="M435" s="6" t="s">
        <v>739</v>
      </c>
      <c r="N435">
        <v>920</v>
      </c>
      <c r="O435">
        <v>120</v>
      </c>
      <c r="P435">
        <v>10</v>
      </c>
      <c r="Q435">
        <v>10</v>
      </c>
      <c r="R435">
        <v>0</v>
      </c>
      <c r="S435">
        <f t="shared" si="47"/>
        <v>3</v>
      </c>
      <c r="T435">
        <f t="shared" si="48"/>
        <v>21</v>
      </c>
      <c r="U435">
        <f t="shared" si="50"/>
        <v>302506</v>
      </c>
      <c r="V435" t="e">
        <f>VLOOKUP($A435,精英副本客户端!$A$2:$O$406,10,0)</f>
        <v>#N/A</v>
      </c>
      <c r="W435" t="e">
        <f>VLOOKUP($A435,精英副本客户端!$A$2:$O$406,11,0)</f>
        <v>#N/A</v>
      </c>
      <c r="X435" t="e">
        <f>VLOOKUP($A435,精英副本客户端!$A$2:$O$406,12,0)</f>
        <v>#N/A</v>
      </c>
      <c r="Y435" t="str">
        <f t="shared" si="45"/>
        <v>知识试炼（25）</v>
      </c>
    </row>
    <row r="436" spans="1:25">
      <c r="A436">
        <f t="shared" si="46"/>
        <v>302508</v>
      </c>
      <c r="B436" t="s">
        <v>1046</v>
      </c>
      <c r="C436">
        <v>0</v>
      </c>
      <c r="D436">
        <v>0</v>
      </c>
      <c r="E436" t="str">
        <f t="shared" si="49"/>
        <v>3025081_1</v>
      </c>
      <c r="F436" t="s">
        <v>213</v>
      </c>
      <c r="G436">
        <v>0</v>
      </c>
      <c r="H436">
        <v>0</v>
      </c>
      <c r="I436">
        <v>0</v>
      </c>
      <c r="J436">
        <v>0</v>
      </c>
      <c r="K436">
        <v>100</v>
      </c>
      <c r="L436" t="s">
        <v>738</v>
      </c>
      <c r="M436" s="6" t="s">
        <v>739</v>
      </c>
      <c r="N436">
        <v>920</v>
      </c>
      <c r="O436">
        <v>120</v>
      </c>
      <c r="P436">
        <v>10</v>
      </c>
      <c r="Q436">
        <v>10</v>
      </c>
      <c r="R436">
        <v>0</v>
      </c>
      <c r="S436">
        <f t="shared" si="47"/>
        <v>3</v>
      </c>
      <c r="T436">
        <f t="shared" si="48"/>
        <v>21</v>
      </c>
      <c r="U436">
        <f t="shared" si="50"/>
        <v>302507</v>
      </c>
      <c r="V436" t="e">
        <f>VLOOKUP($A436,精英副本客户端!$A$2:$O$406,10,0)</f>
        <v>#N/A</v>
      </c>
      <c r="W436" t="e">
        <f>VLOOKUP($A436,精英副本客户端!$A$2:$O$406,11,0)</f>
        <v>#N/A</v>
      </c>
      <c r="X436" t="e">
        <f>VLOOKUP($A436,精英副本客户端!$A$2:$O$406,12,0)</f>
        <v>#N/A</v>
      </c>
      <c r="Y436" t="str">
        <f t="shared" si="45"/>
        <v>知识试炼（25）</v>
      </c>
    </row>
    <row r="437" spans="1:25">
      <c r="A437">
        <f t="shared" si="46"/>
        <v>302509</v>
      </c>
      <c r="B437" t="s">
        <v>1047</v>
      </c>
      <c r="C437">
        <v>0</v>
      </c>
      <c r="D437">
        <v>0</v>
      </c>
      <c r="E437" t="str">
        <f t="shared" si="49"/>
        <v>3025091_1</v>
      </c>
      <c r="F437" t="s">
        <v>213</v>
      </c>
      <c r="G437">
        <v>0</v>
      </c>
      <c r="H437">
        <v>0</v>
      </c>
      <c r="I437">
        <v>0</v>
      </c>
      <c r="J437">
        <v>0</v>
      </c>
      <c r="K437">
        <v>100</v>
      </c>
      <c r="L437" t="s">
        <v>738</v>
      </c>
      <c r="M437" s="6" t="s">
        <v>739</v>
      </c>
      <c r="N437">
        <v>920</v>
      </c>
      <c r="O437">
        <v>120</v>
      </c>
      <c r="P437">
        <v>10</v>
      </c>
      <c r="Q437">
        <v>10</v>
      </c>
      <c r="R437">
        <v>0</v>
      </c>
      <c r="S437">
        <f t="shared" si="47"/>
        <v>3</v>
      </c>
      <c r="T437">
        <f t="shared" si="48"/>
        <v>21</v>
      </c>
      <c r="U437">
        <f t="shared" si="50"/>
        <v>302508</v>
      </c>
      <c r="V437" t="e">
        <f>VLOOKUP($A437,精英副本客户端!$A$2:$O$406,10,0)</f>
        <v>#N/A</v>
      </c>
      <c r="W437" t="e">
        <f>VLOOKUP($A437,精英副本客户端!$A$2:$O$406,11,0)</f>
        <v>#N/A</v>
      </c>
      <c r="X437" t="e">
        <f>VLOOKUP($A437,精英副本客户端!$A$2:$O$406,12,0)</f>
        <v>#N/A</v>
      </c>
      <c r="Y437" t="str">
        <f t="shared" si="45"/>
        <v>知识试炼（25）</v>
      </c>
    </row>
    <row r="438" spans="1:25">
      <c r="A438">
        <f t="shared" si="46"/>
        <v>303001</v>
      </c>
      <c r="B438" t="s">
        <v>1069</v>
      </c>
      <c r="C438">
        <v>0</v>
      </c>
      <c r="D438">
        <v>0</v>
      </c>
      <c r="E438" t="str">
        <f t="shared" si="49"/>
        <v>3030011_1</v>
      </c>
      <c r="F438" t="s">
        <v>213</v>
      </c>
      <c r="G438">
        <v>0</v>
      </c>
      <c r="H438">
        <v>0</v>
      </c>
      <c r="I438">
        <v>0</v>
      </c>
      <c r="J438">
        <v>0</v>
      </c>
      <c r="K438">
        <v>100</v>
      </c>
      <c r="L438" t="s">
        <v>738</v>
      </c>
      <c r="M438" s="6" t="s">
        <v>739</v>
      </c>
      <c r="N438">
        <v>920</v>
      </c>
      <c r="O438">
        <v>120</v>
      </c>
      <c r="P438">
        <v>10</v>
      </c>
      <c r="Q438">
        <v>10</v>
      </c>
      <c r="R438">
        <v>0</v>
      </c>
      <c r="S438">
        <f t="shared" si="47"/>
        <v>3</v>
      </c>
      <c r="T438">
        <f>MID(A438,2,3)*1</f>
        <v>30</v>
      </c>
      <c r="U438">
        <f t="shared" si="50"/>
        <v>302509</v>
      </c>
      <c r="V438">
        <f>VLOOKUP($A438,精英副本客户端!$A$2:$O$406,10,0)</f>
        <v>30</v>
      </c>
      <c r="W438">
        <f>VLOOKUP($A438,精英副本客户端!$A$2:$O$406,11,0)</f>
        <v>0</v>
      </c>
      <c r="X438">
        <f>VLOOKUP($A438,精英副本客户端!$A$2:$O$406,12,0)</f>
        <v>1</v>
      </c>
      <c r="Y438" t="str">
        <f t="shared" si="45"/>
        <v>知识试炼（30）</v>
      </c>
    </row>
    <row r="439" spans="1:25">
      <c r="A439">
        <f t="shared" si="46"/>
        <v>303002</v>
      </c>
      <c r="B439" t="s">
        <v>1040</v>
      </c>
      <c r="C439">
        <v>0</v>
      </c>
      <c r="D439">
        <v>0</v>
      </c>
      <c r="E439" t="str">
        <f t="shared" si="49"/>
        <v>3030021_1</v>
      </c>
      <c r="F439" t="s">
        <v>213</v>
      </c>
      <c r="G439">
        <v>0</v>
      </c>
      <c r="H439">
        <v>0</v>
      </c>
      <c r="I439">
        <v>0</v>
      </c>
      <c r="J439">
        <v>0</v>
      </c>
      <c r="K439">
        <v>100</v>
      </c>
      <c r="L439" t="s">
        <v>738</v>
      </c>
      <c r="M439" s="6" t="s">
        <v>739</v>
      </c>
      <c r="N439">
        <v>920</v>
      </c>
      <c r="O439">
        <v>120</v>
      </c>
      <c r="P439">
        <v>10</v>
      </c>
      <c r="Q439">
        <v>10</v>
      </c>
      <c r="R439">
        <v>0</v>
      </c>
      <c r="S439">
        <f t="shared" si="47"/>
        <v>3</v>
      </c>
      <c r="T439">
        <f t="shared" ref="T439:T446" si="51">MID(A439,2,3)*1</f>
        <v>30</v>
      </c>
      <c r="U439">
        <f t="shared" si="50"/>
        <v>303001</v>
      </c>
      <c r="V439">
        <f>VLOOKUP($A439,精英副本客户端!$A$2:$O$406,10,0)</f>
        <v>30</v>
      </c>
      <c r="W439">
        <f>VLOOKUP($A439,精英副本客户端!$A$2:$O$406,11,0)</f>
        <v>0</v>
      </c>
      <c r="X439">
        <f>VLOOKUP($A439,精英副本客户端!$A$2:$O$406,12,0)</f>
        <v>1</v>
      </c>
      <c r="Y439" t="str">
        <f t="shared" si="45"/>
        <v>知识试炼（30）</v>
      </c>
    </row>
    <row r="440" spans="1:25">
      <c r="A440">
        <f t="shared" si="46"/>
        <v>303003</v>
      </c>
      <c r="B440" t="s">
        <v>1041</v>
      </c>
      <c r="C440">
        <v>0</v>
      </c>
      <c r="D440">
        <v>0</v>
      </c>
      <c r="E440" t="str">
        <f t="shared" si="49"/>
        <v>3030031_1</v>
      </c>
      <c r="F440" t="s">
        <v>213</v>
      </c>
      <c r="G440">
        <v>0</v>
      </c>
      <c r="H440">
        <v>0</v>
      </c>
      <c r="I440">
        <v>0</v>
      </c>
      <c r="J440">
        <v>0</v>
      </c>
      <c r="K440">
        <v>100</v>
      </c>
      <c r="L440" t="s">
        <v>738</v>
      </c>
      <c r="M440" s="6" t="s">
        <v>739</v>
      </c>
      <c r="N440">
        <v>920</v>
      </c>
      <c r="O440">
        <v>120</v>
      </c>
      <c r="P440">
        <v>10</v>
      </c>
      <c r="Q440">
        <v>10</v>
      </c>
      <c r="R440">
        <v>0</v>
      </c>
      <c r="S440">
        <f t="shared" si="47"/>
        <v>3</v>
      </c>
      <c r="T440">
        <f t="shared" si="51"/>
        <v>30</v>
      </c>
      <c r="U440">
        <f t="shared" si="50"/>
        <v>303002</v>
      </c>
      <c r="V440">
        <f>VLOOKUP($A440,精英副本客户端!$A$2:$O$406,10,0)</f>
        <v>31</v>
      </c>
      <c r="W440">
        <f>VLOOKUP($A440,精英副本客户端!$A$2:$O$406,11,0)</f>
        <v>1</v>
      </c>
      <c r="X440">
        <f>VLOOKUP($A440,精英副本客户端!$A$2:$O$406,12,0)</f>
        <v>5</v>
      </c>
      <c r="Y440" t="str">
        <f t="shared" si="45"/>
        <v>知识试炼（30）</v>
      </c>
    </row>
    <row r="441" spans="1:25">
      <c r="A441">
        <f t="shared" si="46"/>
        <v>303004</v>
      </c>
      <c r="B441" t="s">
        <v>1042</v>
      </c>
      <c r="C441">
        <v>0</v>
      </c>
      <c r="D441">
        <v>0</v>
      </c>
      <c r="E441" t="str">
        <f t="shared" si="49"/>
        <v>3030041_1</v>
      </c>
      <c r="F441" t="s">
        <v>213</v>
      </c>
      <c r="G441">
        <v>0</v>
      </c>
      <c r="H441">
        <v>0</v>
      </c>
      <c r="I441">
        <v>0</v>
      </c>
      <c r="J441">
        <v>0</v>
      </c>
      <c r="K441">
        <v>100</v>
      </c>
      <c r="L441" t="s">
        <v>738</v>
      </c>
      <c r="M441" s="6" t="s">
        <v>739</v>
      </c>
      <c r="N441">
        <v>920</v>
      </c>
      <c r="O441">
        <v>120</v>
      </c>
      <c r="P441">
        <v>10</v>
      </c>
      <c r="Q441">
        <v>10</v>
      </c>
      <c r="R441">
        <v>0</v>
      </c>
      <c r="S441">
        <f t="shared" si="47"/>
        <v>3</v>
      </c>
      <c r="T441">
        <f t="shared" si="51"/>
        <v>30</v>
      </c>
      <c r="U441">
        <f t="shared" si="50"/>
        <v>303003</v>
      </c>
      <c r="V441">
        <f>VLOOKUP($A441,精英副本客户端!$A$2:$O$406,10,0)</f>
        <v>31</v>
      </c>
      <c r="W441">
        <f>VLOOKUP($A441,精英副本客户端!$A$2:$O$406,11,0)</f>
        <v>0</v>
      </c>
      <c r="X441">
        <f>VLOOKUP($A441,精英副本客户端!$A$2:$O$406,12,0)</f>
        <v>1</v>
      </c>
      <c r="Y441" t="str">
        <f t="shared" si="45"/>
        <v>知识试炼（30）</v>
      </c>
    </row>
    <row r="442" spans="1:25">
      <c r="A442">
        <f t="shared" si="46"/>
        <v>303005</v>
      </c>
      <c r="B442" t="s">
        <v>1043</v>
      </c>
      <c r="C442">
        <v>0</v>
      </c>
      <c r="D442">
        <v>0</v>
      </c>
      <c r="E442" t="str">
        <f t="shared" si="49"/>
        <v>3030051_1</v>
      </c>
      <c r="F442" t="s">
        <v>213</v>
      </c>
      <c r="G442">
        <v>0</v>
      </c>
      <c r="H442">
        <v>0</v>
      </c>
      <c r="I442">
        <v>0</v>
      </c>
      <c r="J442">
        <v>0</v>
      </c>
      <c r="K442">
        <v>100</v>
      </c>
      <c r="L442" t="s">
        <v>738</v>
      </c>
      <c r="M442" s="6" t="s">
        <v>739</v>
      </c>
      <c r="N442">
        <v>920</v>
      </c>
      <c r="O442">
        <v>120</v>
      </c>
      <c r="P442">
        <v>10</v>
      </c>
      <c r="Q442">
        <v>10</v>
      </c>
      <c r="R442">
        <v>0</v>
      </c>
      <c r="S442">
        <f t="shared" si="47"/>
        <v>3</v>
      </c>
      <c r="T442">
        <f t="shared" si="51"/>
        <v>30</v>
      </c>
      <c r="U442">
        <f t="shared" si="50"/>
        <v>303004</v>
      </c>
      <c r="V442">
        <f>VLOOKUP($A442,精英副本客户端!$A$2:$O$406,10,0)</f>
        <v>31</v>
      </c>
      <c r="W442">
        <f>VLOOKUP($A442,精英副本客户端!$A$2:$O$406,11,0)</f>
        <v>0</v>
      </c>
      <c r="X442">
        <f>VLOOKUP($A442,精英副本客户端!$A$2:$O$406,12,0)</f>
        <v>1</v>
      </c>
      <c r="Y442" t="str">
        <f t="shared" si="45"/>
        <v>知识试炼（30）</v>
      </c>
    </row>
    <row r="443" spans="1:25">
      <c r="A443">
        <f t="shared" si="46"/>
        <v>303006</v>
      </c>
      <c r="B443" t="s">
        <v>1044</v>
      </c>
      <c r="C443">
        <v>0</v>
      </c>
      <c r="D443">
        <v>0</v>
      </c>
      <c r="E443" t="str">
        <f t="shared" si="49"/>
        <v>3030061_1</v>
      </c>
      <c r="F443" t="s">
        <v>213</v>
      </c>
      <c r="G443">
        <v>0</v>
      </c>
      <c r="H443">
        <v>0</v>
      </c>
      <c r="I443">
        <v>0</v>
      </c>
      <c r="J443">
        <v>0</v>
      </c>
      <c r="K443">
        <v>100</v>
      </c>
      <c r="L443" t="s">
        <v>738</v>
      </c>
      <c r="M443" s="6" t="s">
        <v>739</v>
      </c>
      <c r="N443">
        <v>920</v>
      </c>
      <c r="O443">
        <v>120</v>
      </c>
      <c r="P443">
        <v>10</v>
      </c>
      <c r="Q443">
        <v>10</v>
      </c>
      <c r="R443">
        <v>0</v>
      </c>
      <c r="S443">
        <f t="shared" si="47"/>
        <v>3</v>
      </c>
      <c r="T443">
        <f t="shared" si="51"/>
        <v>30</v>
      </c>
      <c r="U443">
        <f t="shared" si="50"/>
        <v>303005</v>
      </c>
      <c r="V443">
        <f>VLOOKUP($A443,精英副本客户端!$A$2:$O$406,10,0)</f>
        <v>32</v>
      </c>
      <c r="W443">
        <f>VLOOKUP($A443,精英副本客户端!$A$2:$O$406,11,0)</f>
        <v>1</v>
      </c>
      <c r="X443">
        <f>VLOOKUP($A443,精英副本客户端!$A$2:$O$406,12,0)</f>
        <v>5</v>
      </c>
      <c r="Y443" t="str">
        <f t="shared" si="45"/>
        <v>知识试炼（30）</v>
      </c>
    </row>
    <row r="444" spans="1:25">
      <c r="A444">
        <f t="shared" si="46"/>
        <v>303007</v>
      </c>
      <c r="B444" t="s">
        <v>1045</v>
      </c>
      <c r="C444">
        <v>0</v>
      </c>
      <c r="D444">
        <v>0</v>
      </c>
      <c r="E444" t="str">
        <f t="shared" si="49"/>
        <v>3030071_1</v>
      </c>
      <c r="F444" t="s">
        <v>213</v>
      </c>
      <c r="G444">
        <v>0</v>
      </c>
      <c r="H444">
        <v>0</v>
      </c>
      <c r="I444">
        <v>0</v>
      </c>
      <c r="J444">
        <v>0</v>
      </c>
      <c r="K444">
        <v>100</v>
      </c>
      <c r="L444" t="s">
        <v>738</v>
      </c>
      <c r="M444" s="6" t="s">
        <v>739</v>
      </c>
      <c r="N444">
        <v>920</v>
      </c>
      <c r="O444">
        <v>120</v>
      </c>
      <c r="P444">
        <v>10</v>
      </c>
      <c r="Q444">
        <v>10</v>
      </c>
      <c r="R444">
        <v>0</v>
      </c>
      <c r="S444">
        <f t="shared" si="47"/>
        <v>3</v>
      </c>
      <c r="T444">
        <f t="shared" si="51"/>
        <v>30</v>
      </c>
      <c r="U444">
        <f t="shared" si="50"/>
        <v>303006</v>
      </c>
      <c r="V444">
        <f>VLOOKUP($A444,精英副本客户端!$A$2:$O$406,10,0)</f>
        <v>32</v>
      </c>
      <c r="W444">
        <f>VLOOKUP($A444,精英副本客户端!$A$2:$O$406,11,0)</f>
        <v>0</v>
      </c>
      <c r="X444">
        <f>VLOOKUP($A444,精英副本客户端!$A$2:$O$406,12,0)</f>
        <v>1</v>
      </c>
      <c r="Y444" t="str">
        <f t="shared" si="45"/>
        <v>知识试炼（30）</v>
      </c>
    </row>
    <row r="445" spans="1:25">
      <c r="A445">
        <f t="shared" si="46"/>
        <v>303008</v>
      </c>
      <c r="B445" t="s">
        <v>1046</v>
      </c>
      <c r="C445">
        <v>0</v>
      </c>
      <c r="D445">
        <v>0</v>
      </c>
      <c r="E445" t="str">
        <f t="shared" si="49"/>
        <v>3030081_1</v>
      </c>
      <c r="F445" t="s">
        <v>213</v>
      </c>
      <c r="G445">
        <v>0</v>
      </c>
      <c r="H445">
        <v>0</v>
      </c>
      <c r="I445">
        <v>0</v>
      </c>
      <c r="J445">
        <v>0</v>
      </c>
      <c r="K445">
        <v>100</v>
      </c>
      <c r="L445" t="s">
        <v>738</v>
      </c>
      <c r="M445" s="6" t="s">
        <v>739</v>
      </c>
      <c r="N445">
        <v>920</v>
      </c>
      <c r="O445">
        <v>120</v>
      </c>
      <c r="P445">
        <v>10</v>
      </c>
      <c r="Q445">
        <v>10</v>
      </c>
      <c r="R445">
        <v>0</v>
      </c>
      <c r="S445">
        <f t="shared" si="47"/>
        <v>3</v>
      </c>
      <c r="T445">
        <f t="shared" si="51"/>
        <v>30</v>
      </c>
      <c r="U445">
        <f t="shared" si="50"/>
        <v>303007</v>
      </c>
      <c r="V445">
        <f>VLOOKUP($A445,精英副本客户端!$A$2:$O$406,10,0)</f>
        <v>33</v>
      </c>
      <c r="W445">
        <f>VLOOKUP($A445,精英副本客户端!$A$2:$O$406,11,0)</f>
        <v>0</v>
      </c>
      <c r="X445">
        <f>VLOOKUP($A445,精英副本客户端!$A$2:$O$406,12,0)</f>
        <v>1</v>
      </c>
      <c r="Y445" t="str">
        <f t="shared" si="45"/>
        <v>知识试炼（30）</v>
      </c>
    </row>
    <row r="446" spans="1:25">
      <c r="A446">
        <f t="shared" si="46"/>
        <v>303009</v>
      </c>
      <c r="B446" t="s">
        <v>1047</v>
      </c>
      <c r="C446">
        <v>0</v>
      </c>
      <c r="D446">
        <v>0</v>
      </c>
      <c r="E446" t="str">
        <f t="shared" si="49"/>
        <v>3030091_1</v>
      </c>
      <c r="F446" t="s">
        <v>213</v>
      </c>
      <c r="G446">
        <v>0</v>
      </c>
      <c r="H446">
        <v>0</v>
      </c>
      <c r="I446">
        <v>0</v>
      </c>
      <c r="J446">
        <v>0</v>
      </c>
      <c r="K446">
        <v>100</v>
      </c>
      <c r="L446" t="s">
        <v>738</v>
      </c>
      <c r="M446" s="6" t="s">
        <v>739</v>
      </c>
      <c r="N446">
        <v>920</v>
      </c>
      <c r="O446">
        <v>120</v>
      </c>
      <c r="P446">
        <v>10</v>
      </c>
      <c r="Q446">
        <v>10</v>
      </c>
      <c r="R446">
        <v>0</v>
      </c>
      <c r="S446">
        <f t="shared" si="47"/>
        <v>3</v>
      </c>
      <c r="T446">
        <f t="shared" si="51"/>
        <v>30</v>
      </c>
      <c r="U446">
        <f t="shared" si="50"/>
        <v>303008</v>
      </c>
      <c r="V446">
        <f>VLOOKUP($A446,精英副本客户端!$A$2:$O$406,10,0)</f>
        <v>34</v>
      </c>
      <c r="W446">
        <f>VLOOKUP($A446,精英副本客户端!$A$2:$O$406,11,0)</f>
        <v>1</v>
      </c>
      <c r="X446">
        <f>VLOOKUP($A446,精英副本客户端!$A$2:$O$406,12,0)</f>
        <v>5</v>
      </c>
      <c r="Y446" t="str">
        <f t="shared" si="45"/>
        <v>知识试炼（30）</v>
      </c>
    </row>
    <row r="447" spans="1:25">
      <c r="A447">
        <f t="shared" si="46"/>
        <v>303501</v>
      </c>
      <c r="B447" t="s">
        <v>1069</v>
      </c>
      <c r="C447">
        <v>0</v>
      </c>
      <c r="D447">
        <v>0</v>
      </c>
      <c r="E447" t="str">
        <f t="shared" si="49"/>
        <v>3035011_1</v>
      </c>
      <c r="F447" t="s">
        <v>213</v>
      </c>
      <c r="G447">
        <v>0</v>
      </c>
      <c r="H447">
        <v>0</v>
      </c>
      <c r="I447">
        <v>0</v>
      </c>
      <c r="J447">
        <v>0</v>
      </c>
      <c r="K447">
        <v>100</v>
      </c>
      <c r="L447" t="s">
        <v>738</v>
      </c>
      <c r="M447" s="6" t="s">
        <v>739</v>
      </c>
      <c r="N447">
        <v>920</v>
      </c>
      <c r="O447">
        <v>120</v>
      </c>
      <c r="P447">
        <v>10</v>
      </c>
      <c r="Q447">
        <v>10</v>
      </c>
      <c r="R447">
        <v>0</v>
      </c>
      <c r="S447">
        <f t="shared" si="47"/>
        <v>3</v>
      </c>
      <c r="T447">
        <f t="shared" si="48"/>
        <v>31</v>
      </c>
      <c r="U447">
        <f t="shared" si="50"/>
        <v>303009</v>
      </c>
      <c r="V447">
        <f>VLOOKUP($A447,精英副本客户端!$A$2:$O$406,10,0)</f>
        <v>35</v>
      </c>
      <c r="W447">
        <f>VLOOKUP($A447,精英副本客户端!$A$2:$O$406,11,0)</f>
        <v>0</v>
      </c>
      <c r="X447">
        <f>VLOOKUP($A447,精英副本客户端!$A$2:$O$406,12,0)</f>
        <v>1</v>
      </c>
      <c r="Y447" t="str">
        <f t="shared" si="45"/>
        <v>知识试炼（35）</v>
      </c>
    </row>
    <row r="448" spans="1:25">
      <c r="A448">
        <f t="shared" si="46"/>
        <v>303502</v>
      </c>
      <c r="B448" t="s">
        <v>1040</v>
      </c>
      <c r="C448">
        <v>0</v>
      </c>
      <c r="D448">
        <v>0</v>
      </c>
      <c r="E448" t="str">
        <f t="shared" si="49"/>
        <v>3035021_1</v>
      </c>
      <c r="F448" t="s">
        <v>213</v>
      </c>
      <c r="G448">
        <v>0</v>
      </c>
      <c r="H448">
        <v>0</v>
      </c>
      <c r="I448">
        <v>0</v>
      </c>
      <c r="J448">
        <v>0</v>
      </c>
      <c r="K448">
        <v>100</v>
      </c>
      <c r="L448" t="s">
        <v>738</v>
      </c>
      <c r="M448" s="6" t="s">
        <v>739</v>
      </c>
      <c r="N448">
        <v>920</v>
      </c>
      <c r="O448">
        <v>120</v>
      </c>
      <c r="P448">
        <v>10</v>
      </c>
      <c r="Q448">
        <v>10</v>
      </c>
      <c r="R448">
        <v>0</v>
      </c>
      <c r="S448">
        <f t="shared" si="47"/>
        <v>3</v>
      </c>
      <c r="T448">
        <f t="shared" si="48"/>
        <v>31</v>
      </c>
      <c r="U448">
        <f t="shared" si="50"/>
        <v>303501</v>
      </c>
      <c r="V448">
        <f>VLOOKUP($A448,精英副本客户端!$A$2:$O$406,10,0)</f>
        <v>35</v>
      </c>
      <c r="W448">
        <f>VLOOKUP($A448,精英副本客户端!$A$2:$O$406,11,0)</f>
        <v>0</v>
      </c>
      <c r="X448">
        <f>VLOOKUP($A448,精英副本客户端!$A$2:$O$406,12,0)</f>
        <v>1</v>
      </c>
      <c r="Y448" t="str">
        <f t="shared" si="45"/>
        <v>知识试炼（35）</v>
      </c>
    </row>
    <row r="449" spans="1:25">
      <c r="A449">
        <f t="shared" si="46"/>
        <v>303503</v>
      </c>
      <c r="B449" t="s">
        <v>1041</v>
      </c>
      <c r="C449">
        <v>0</v>
      </c>
      <c r="D449">
        <v>0</v>
      </c>
      <c r="E449" t="str">
        <f t="shared" si="49"/>
        <v>3035031_1</v>
      </c>
      <c r="F449" t="s">
        <v>213</v>
      </c>
      <c r="G449">
        <v>0</v>
      </c>
      <c r="H449">
        <v>0</v>
      </c>
      <c r="I449">
        <v>0</v>
      </c>
      <c r="J449">
        <v>0</v>
      </c>
      <c r="K449">
        <v>100</v>
      </c>
      <c r="L449" t="s">
        <v>738</v>
      </c>
      <c r="M449" s="6" t="s">
        <v>739</v>
      </c>
      <c r="N449">
        <v>920</v>
      </c>
      <c r="O449">
        <v>120</v>
      </c>
      <c r="P449">
        <v>10</v>
      </c>
      <c r="Q449">
        <v>10</v>
      </c>
      <c r="R449">
        <v>0</v>
      </c>
      <c r="S449">
        <f t="shared" si="47"/>
        <v>3</v>
      </c>
      <c r="T449">
        <f t="shared" si="48"/>
        <v>31</v>
      </c>
      <c r="U449">
        <f t="shared" si="50"/>
        <v>303502</v>
      </c>
      <c r="V449">
        <f>VLOOKUP($A449,精英副本客户端!$A$2:$O$406,10,0)</f>
        <v>36</v>
      </c>
      <c r="W449">
        <f>VLOOKUP($A449,精英副本客户端!$A$2:$O$406,11,0)</f>
        <v>1</v>
      </c>
      <c r="X449">
        <f>VLOOKUP($A449,精英副本客户端!$A$2:$O$406,12,0)</f>
        <v>5</v>
      </c>
      <c r="Y449" t="str">
        <f t="shared" ref="Y449:Y491" si="52">"知识试炼（"&amp;MID(A449,2,3)*1&amp;"）"</f>
        <v>知识试炼（35）</v>
      </c>
    </row>
    <row r="450" spans="1:25">
      <c r="A450">
        <f t="shared" si="46"/>
        <v>303504</v>
      </c>
      <c r="B450" t="s">
        <v>1042</v>
      </c>
      <c r="C450">
        <v>0</v>
      </c>
      <c r="D450">
        <v>0</v>
      </c>
      <c r="E450" t="str">
        <f t="shared" si="49"/>
        <v>3035041_1</v>
      </c>
      <c r="F450" t="s">
        <v>213</v>
      </c>
      <c r="G450">
        <v>0</v>
      </c>
      <c r="H450">
        <v>0</v>
      </c>
      <c r="I450">
        <v>0</v>
      </c>
      <c r="J450">
        <v>0</v>
      </c>
      <c r="K450">
        <v>100</v>
      </c>
      <c r="L450" t="s">
        <v>738</v>
      </c>
      <c r="M450" s="6" t="s">
        <v>739</v>
      </c>
      <c r="N450">
        <v>920</v>
      </c>
      <c r="O450">
        <v>120</v>
      </c>
      <c r="P450">
        <v>10</v>
      </c>
      <c r="Q450">
        <v>10</v>
      </c>
      <c r="R450">
        <v>0</v>
      </c>
      <c r="S450">
        <f t="shared" si="47"/>
        <v>3</v>
      </c>
      <c r="T450">
        <f t="shared" si="48"/>
        <v>31</v>
      </c>
      <c r="U450">
        <f t="shared" si="50"/>
        <v>303503</v>
      </c>
      <c r="V450">
        <f>VLOOKUP($A450,精英副本客户端!$A$2:$O$406,10,0)</f>
        <v>36</v>
      </c>
      <c r="W450">
        <f>VLOOKUP($A450,精英副本客户端!$A$2:$O$406,11,0)</f>
        <v>0</v>
      </c>
      <c r="X450">
        <f>VLOOKUP($A450,精英副本客户端!$A$2:$O$406,12,0)</f>
        <v>1</v>
      </c>
      <c r="Y450" t="str">
        <f t="shared" si="52"/>
        <v>知识试炼（35）</v>
      </c>
    </row>
    <row r="451" spans="1:25">
      <c r="A451">
        <f t="shared" si="46"/>
        <v>303505</v>
      </c>
      <c r="B451" t="s">
        <v>1043</v>
      </c>
      <c r="C451">
        <v>0</v>
      </c>
      <c r="D451">
        <v>0</v>
      </c>
      <c r="E451" t="str">
        <f t="shared" si="49"/>
        <v>3035051_1</v>
      </c>
      <c r="F451" t="s">
        <v>213</v>
      </c>
      <c r="G451">
        <v>0</v>
      </c>
      <c r="H451">
        <v>0</v>
      </c>
      <c r="I451">
        <v>0</v>
      </c>
      <c r="J451">
        <v>0</v>
      </c>
      <c r="K451">
        <v>100</v>
      </c>
      <c r="L451" t="s">
        <v>738</v>
      </c>
      <c r="M451" s="6" t="s">
        <v>739</v>
      </c>
      <c r="N451">
        <v>920</v>
      </c>
      <c r="O451">
        <v>120</v>
      </c>
      <c r="P451">
        <v>10</v>
      </c>
      <c r="Q451">
        <v>10</v>
      </c>
      <c r="R451">
        <v>0</v>
      </c>
      <c r="S451">
        <f t="shared" si="47"/>
        <v>3</v>
      </c>
      <c r="T451">
        <f t="shared" si="48"/>
        <v>31</v>
      </c>
      <c r="U451">
        <f t="shared" si="50"/>
        <v>303504</v>
      </c>
      <c r="V451">
        <f>VLOOKUP($A451,精英副本客户端!$A$2:$O$406,10,0)</f>
        <v>36</v>
      </c>
      <c r="W451">
        <f>VLOOKUP($A451,精英副本客户端!$A$2:$O$406,11,0)</f>
        <v>0</v>
      </c>
      <c r="X451">
        <f>VLOOKUP($A451,精英副本客户端!$A$2:$O$406,12,0)</f>
        <v>1</v>
      </c>
      <c r="Y451" t="str">
        <f t="shared" si="52"/>
        <v>知识试炼（35）</v>
      </c>
    </row>
    <row r="452" spans="1:25">
      <c r="A452">
        <f t="shared" ref="A452:A489" si="53">A263+100000</f>
        <v>303506</v>
      </c>
      <c r="B452" t="s">
        <v>1044</v>
      </c>
      <c r="C452">
        <v>0</v>
      </c>
      <c r="D452">
        <v>0</v>
      </c>
      <c r="E452" t="str">
        <f t="shared" si="49"/>
        <v>3035061_1</v>
      </c>
      <c r="F452" t="s">
        <v>213</v>
      </c>
      <c r="G452">
        <v>0</v>
      </c>
      <c r="H452">
        <v>0</v>
      </c>
      <c r="I452">
        <v>0</v>
      </c>
      <c r="J452">
        <v>0</v>
      </c>
      <c r="K452">
        <v>100</v>
      </c>
      <c r="L452" t="s">
        <v>738</v>
      </c>
      <c r="M452" s="6" t="s">
        <v>739</v>
      </c>
      <c r="N452">
        <v>920</v>
      </c>
      <c r="O452">
        <v>120</v>
      </c>
      <c r="P452">
        <v>10</v>
      </c>
      <c r="Q452">
        <v>10</v>
      </c>
      <c r="R452">
        <v>0</v>
      </c>
      <c r="S452">
        <f t="shared" si="47"/>
        <v>3</v>
      </c>
      <c r="T452">
        <f t="shared" si="48"/>
        <v>31</v>
      </c>
      <c r="U452">
        <f t="shared" si="50"/>
        <v>303505</v>
      </c>
      <c r="V452">
        <f>VLOOKUP($A452,精英副本客户端!$A$2:$O$406,10,0)</f>
        <v>37</v>
      </c>
      <c r="W452">
        <f>VLOOKUP($A452,精英副本客户端!$A$2:$O$406,11,0)</f>
        <v>1</v>
      </c>
      <c r="X452">
        <f>VLOOKUP($A452,精英副本客户端!$A$2:$O$406,12,0)</f>
        <v>5</v>
      </c>
      <c r="Y452" t="str">
        <f t="shared" si="52"/>
        <v>知识试炼（35）</v>
      </c>
    </row>
    <row r="453" spans="1:25">
      <c r="A453">
        <f t="shared" si="53"/>
        <v>303507</v>
      </c>
      <c r="B453" t="s">
        <v>1045</v>
      </c>
      <c r="C453">
        <v>0</v>
      </c>
      <c r="D453">
        <v>0</v>
      </c>
      <c r="E453" t="str">
        <f t="shared" si="49"/>
        <v>3035071_1</v>
      </c>
      <c r="F453" t="s">
        <v>213</v>
      </c>
      <c r="G453">
        <v>0</v>
      </c>
      <c r="H453">
        <v>0</v>
      </c>
      <c r="I453">
        <v>0</v>
      </c>
      <c r="J453">
        <v>0</v>
      </c>
      <c r="K453">
        <v>100</v>
      </c>
      <c r="L453" t="s">
        <v>738</v>
      </c>
      <c r="M453" s="6" t="s">
        <v>739</v>
      </c>
      <c r="N453">
        <v>920</v>
      </c>
      <c r="O453">
        <v>120</v>
      </c>
      <c r="P453">
        <v>10</v>
      </c>
      <c r="Q453">
        <v>10</v>
      </c>
      <c r="R453">
        <v>0</v>
      </c>
      <c r="S453">
        <f t="shared" si="47"/>
        <v>3</v>
      </c>
      <c r="T453">
        <f t="shared" si="48"/>
        <v>31</v>
      </c>
      <c r="U453">
        <f t="shared" si="50"/>
        <v>303506</v>
      </c>
      <c r="V453">
        <f>VLOOKUP($A453,精英副本客户端!$A$2:$O$406,10,0)</f>
        <v>37</v>
      </c>
      <c r="W453">
        <f>VLOOKUP($A453,精英副本客户端!$A$2:$O$406,11,0)</f>
        <v>0</v>
      </c>
      <c r="X453">
        <f>VLOOKUP($A453,精英副本客户端!$A$2:$O$406,12,0)</f>
        <v>1</v>
      </c>
      <c r="Y453" t="str">
        <f t="shared" si="52"/>
        <v>知识试炼（35）</v>
      </c>
    </row>
    <row r="454" spans="1:25">
      <c r="A454">
        <f t="shared" si="53"/>
        <v>303508</v>
      </c>
      <c r="B454" t="s">
        <v>1046</v>
      </c>
      <c r="C454">
        <v>0</v>
      </c>
      <c r="D454">
        <v>0</v>
      </c>
      <c r="E454" t="str">
        <f t="shared" si="49"/>
        <v>3035081_1</v>
      </c>
      <c r="F454" t="s">
        <v>213</v>
      </c>
      <c r="G454">
        <v>0</v>
      </c>
      <c r="H454">
        <v>0</v>
      </c>
      <c r="I454">
        <v>0</v>
      </c>
      <c r="J454">
        <v>0</v>
      </c>
      <c r="K454">
        <v>100</v>
      </c>
      <c r="L454" t="s">
        <v>738</v>
      </c>
      <c r="M454" s="6" t="s">
        <v>739</v>
      </c>
      <c r="N454">
        <v>920</v>
      </c>
      <c r="O454">
        <v>120</v>
      </c>
      <c r="P454">
        <v>10</v>
      </c>
      <c r="Q454">
        <v>10</v>
      </c>
      <c r="R454">
        <v>0</v>
      </c>
      <c r="S454">
        <f t="shared" ref="S454:S517" si="54">ROUNDDOWN(A454/100000,0)</f>
        <v>3</v>
      </c>
      <c r="T454">
        <f t="shared" ref="T454:T517" si="55">MID(A454,2,3)-4</f>
        <v>31</v>
      </c>
      <c r="U454">
        <f t="shared" si="50"/>
        <v>303507</v>
      </c>
      <c r="V454">
        <f>VLOOKUP($A454,精英副本客户端!$A$2:$O$406,10,0)</f>
        <v>38</v>
      </c>
      <c r="W454">
        <f>VLOOKUP($A454,精英副本客户端!$A$2:$O$406,11,0)</f>
        <v>0</v>
      </c>
      <c r="X454">
        <f>VLOOKUP($A454,精英副本客户端!$A$2:$O$406,12,0)</f>
        <v>1</v>
      </c>
      <c r="Y454" t="str">
        <f t="shared" si="52"/>
        <v>知识试炼（35）</v>
      </c>
    </row>
    <row r="455" spans="1:25">
      <c r="A455">
        <f t="shared" si="53"/>
        <v>303509</v>
      </c>
      <c r="B455" t="s">
        <v>1047</v>
      </c>
      <c r="C455">
        <v>0</v>
      </c>
      <c r="D455">
        <v>0</v>
      </c>
      <c r="E455" t="str">
        <f t="shared" ref="E455:E518" si="56">A455&amp;"1"&amp;"_1"</f>
        <v>3035091_1</v>
      </c>
      <c r="F455" t="s">
        <v>213</v>
      </c>
      <c r="G455">
        <v>0</v>
      </c>
      <c r="H455">
        <v>0</v>
      </c>
      <c r="I455">
        <v>0</v>
      </c>
      <c r="J455">
        <v>0</v>
      </c>
      <c r="K455">
        <v>100</v>
      </c>
      <c r="L455" t="s">
        <v>738</v>
      </c>
      <c r="M455" s="6" t="s">
        <v>739</v>
      </c>
      <c r="N455">
        <v>920</v>
      </c>
      <c r="O455">
        <v>120</v>
      </c>
      <c r="P455">
        <v>10</v>
      </c>
      <c r="Q455">
        <v>10</v>
      </c>
      <c r="R455">
        <v>0</v>
      </c>
      <c r="S455">
        <f t="shared" si="54"/>
        <v>3</v>
      </c>
      <c r="T455">
        <f t="shared" si="55"/>
        <v>31</v>
      </c>
      <c r="U455">
        <f t="shared" ref="U455:U518" si="57">A454</f>
        <v>303508</v>
      </c>
      <c r="V455">
        <f>VLOOKUP($A455,精英副本客户端!$A$2:$O$406,10,0)</f>
        <v>39</v>
      </c>
      <c r="W455">
        <f>VLOOKUP($A455,精英副本客户端!$A$2:$O$406,11,0)</f>
        <v>1</v>
      </c>
      <c r="X455">
        <f>VLOOKUP($A455,精英副本客户端!$A$2:$O$406,12,0)</f>
        <v>5</v>
      </c>
      <c r="Y455" t="str">
        <f t="shared" si="52"/>
        <v>知识试炼（35）</v>
      </c>
    </row>
    <row r="456" spans="1:25">
      <c r="A456">
        <f t="shared" si="53"/>
        <v>304001</v>
      </c>
      <c r="B456" t="s">
        <v>1069</v>
      </c>
      <c r="C456">
        <v>0</v>
      </c>
      <c r="D456">
        <v>0</v>
      </c>
      <c r="E456" t="str">
        <f t="shared" si="56"/>
        <v>3040011_1</v>
      </c>
      <c r="F456" t="s">
        <v>213</v>
      </c>
      <c r="G456">
        <v>0</v>
      </c>
      <c r="H456">
        <v>0</v>
      </c>
      <c r="I456">
        <v>0</v>
      </c>
      <c r="J456">
        <v>0</v>
      </c>
      <c r="K456">
        <v>100</v>
      </c>
      <c r="L456" t="s">
        <v>738</v>
      </c>
      <c r="M456" s="6" t="s">
        <v>739</v>
      </c>
      <c r="N456">
        <v>920</v>
      </c>
      <c r="O456">
        <v>120</v>
      </c>
      <c r="P456">
        <v>10</v>
      </c>
      <c r="Q456">
        <v>10</v>
      </c>
      <c r="R456">
        <v>0</v>
      </c>
      <c r="S456">
        <f t="shared" si="54"/>
        <v>3</v>
      </c>
      <c r="T456">
        <f t="shared" si="55"/>
        <v>36</v>
      </c>
      <c r="U456">
        <f t="shared" si="57"/>
        <v>303509</v>
      </c>
      <c r="V456">
        <f>VLOOKUP($A456,精英副本客户端!$A$2:$O$406,10,0)</f>
        <v>40</v>
      </c>
      <c r="W456">
        <f>VLOOKUP($A456,精英副本客户端!$A$2:$O$406,11,0)</f>
        <v>0</v>
      </c>
      <c r="X456">
        <f>VLOOKUP($A456,精英副本客户端!$A$2:$O$406,12,0)</f>
        <v>1</v>
      </c>
      <c r="Y456" t="str">
        <f t="shared" si="52"/>
        <v>知识试炼（40）</v>
      </c>
    </row>
    <row r="457" spans="1:25">
      <c r="A457">
        <f t="shared" si="53"/>
        <v>304002</v>
      </c>
      <c r="B457" t="s">
        <v>1040</v>
      </c>
      <c r="C457">
        <v>0</v>
      </c>
      <c r="D457">
        <v>0</v>
      </c>
      <c r="E457" t="str">
        <f t="shared" si="56"/>
        <v>3040021_1</v>
      </c>
      <c r="F457" t="s">
        <v>213</v>
      </c>
      <c r="G457">
        <v>0</v>
      </c>
      <c r="H457">
        <v>0</v>
      </c>
      <c r="I457">
        <v>0</v>
      </c>
      <c r="J457">
        <v>0</v>
      </c>
      <c r="K457">
        <v>100</v>
      </c>
      <c r="L457" t="s">
        <v>738</v>
      </c>
      <c r="M457" s="6" t="s">
        <v>739</v>
      </c>
      <c r="N457">
        <v>920</v>
      </c>
      <c r="O457">
        <v>120</v>
      </c>
      <c r="P457">
        <v>10</v>
      </c>
      <c r="Q457">
        <v>10</v>
      </c>
      <c r="R457">
        <v>0</v>
      </c>
      <c r="S457">
        <f t="shared" si="54"/>
        <v>3</v>
      </c>
      <c r="T457">
        <f t="shared" si="55"/>
        <v>36</v>
      </c>
      <c r="U457">
        <f t="shared" si="57"/>
        <v>304001</v>
      </c>
      <c r="V457">
        <f>VLOOKUP($A457,精英副本客户端!$A$2:$O$406,10,0)</f>
        <v>40</v>
      </c>
      <c r="W457">
        <f>VLOOKUP($A457,精英副本客户端!$A$2:$O$406,11,0)</f>
        <v>0</v>
      </c>
      <c r="X457">
        <f>VLOOKUP($A457,精英副本客户端!$A$2:$O$406,12,0)</f>
        <v>1</v>
      </c>
      <c r="Y457" t="str">
        <f t="shared" si="52"/>
        <v>知识试炼（40）</v>
      </c>
    </row>
    <row r="458" spans="1:25">
      <c r="A458">
        <f t="shared" si="53"/>
        <v>304003</v>
      </c>
      <c r="B458" t="s">
        <v>1041</v>
      </c>
      <c r="C458">
        <v>0</v>
      </c>
      <c r="D458">
        <v>0</v>
      </c>
      <c r="E458" t="str">
        <f t="shared" si="56"/>
        <v>3040031_1</v>
      </c>
      <c r="F458" t="s">
        <v>213</v>
      </c>
      <c r="G458">
        <v>0</v>
      </c>
      <c r="H458">
        <v>0</v>
      </c>
      <c r="I458">
        <v>0</v>
      </c>
      <c r="J458">
        <v>0</v>
      </c>
      <c r="K458">
        <v>100</v>
      </c>
      <c r="L458" t="s">
        <v>738</v>
      </c>
      <c r="M458" s="6" t="s">
        <v>739</v>
      </c>
      <c r="N458">
        <v>920</v>
      </c>
      <c r="O458">
        <v>120</v>
      </c>
      <c r="P458">
        <v>10</v>
      </c>
      <c r="Q458">
        <v>10</v>
      </c>
      <c r="R458">
        <v>0</v>
      </c>
      <c r="S458">
        <f t="shared" si="54"/>
        <v>3</v>
      </c>
      <c r="T458">
        <f t="shared" si="55"/>
        <v>36</v>
      </c>
      <c r="U458">
        <f t="shared" si="57"/>
        <v>304002</v>
      </c>
      <c r="V458">
        <f>VLOOKUP($A458,精英副本客户端!$A$2:$O$406,10,0)</f>
        <v>41</v>
      </c>
      <c r="W458">
        <f>VLOOKUP($A458,精英副本客户端!$A$2:$O$406,11,0)</f>
        <v>1</v>
      </c>
      <c r="X458">
        <f>VLOOKUP($A458,精英副本客户端!$A$2:$O$406,12,0)</f>
        <v>5</v>
      </c>
      <c r="Y458" t="str">
        <f t="shared" si="52"/>
        <v>知识试炼（40）</v>
      </c>
    </row>
    <row r="459" spans="1:25">
      <c r="A459">
        <f t="shared" si="53"/>
        <v>304004</v>
      </c>
      <c r="B459" t="s">
        <v>1042</v>
      </c>
      <c r="C459">
        <v>0</v>
      </c>
      <c r="D459">
        <v>0</v>
      </c>
      <c r="E459" t="str">
        <f t="shared" si="56"/>
        <v>3040041_1</v>
      </c>
      <c r="F459" t="s">
        <v>213</v>
      </c>
      <c r="G459">
        <v>0</v>
      </c>
      <c r="H459">
        <v>0</v>
      </c>
      <c r="I459">
        <v>0</v>
      </c>
      <c r="J459">
        <v>0</v>
      </c>
      <c r="K459">
        <v>100</v>
      </c>
      <c r="L459" t="s">
        <v>738</v>
      </c>
      <c r="M459" s="6" t="s">
        <v>739</v>
      </c>
      <c r="N459">
        <v>920</v>
      </c>
      <c r="O459">
        <v>120</v>
      </c>
      <c r="P459">
        <v>10</v>
      </c>
      <c r="Q459">
        <v>10</v>
      </c>
      <c r="R459">
        <v>0</v>
      </c>
      <c r="S459">
        <f t="shared" si="54"/>
        <v>3</v>
      </c>
      <c r="T459">
        <f t="shared" si="55"/>
        <v>36</v>
      </c>
      <c r="U459">
        <f t="shared" si="57"/>
        <v>304003</v>
      </c>
      <c r="V459">
        <f>VLOOKUP($A459,精英副本客户端!$A$2:$O$406,10,0)</f>
        <v>41</v>
      </c>
      <c r="W459">
        <f>VLOOKUP($A459,精英副本客户端!$A$2:$O$406,11,0)</f>
        <v>0</v>
      </c>
      <c r="X459">
        <f>VLOOKUP($A459,精英副本客户端!$A$2:$O$406,12,0)</f>
        <v>1</v>
      </c>
      <c r="Y459" t="str">
        <f t="shared" si="52"/>
        <v>知识试炼（40）</v>
      </c>
    </row>
    <row r="460" spans="1:25">
      <c r="A460">
        <f t="shared" si="53"/>
        <v>304005</v>
      </c>
      <c r="B460" t="s">
        <v>1043</v>
      </c>
      <c r="C460">
        <v>0</v>
      </c>
      <c r="D460">
        <v>0</v>
      </c>
      <c r="E460" t="str">
        <f t="shared" si="56"/>
        <v>3040051_1</v>
      </c>
      <c r="F460" t="s">
        <v>213</v>
      </c>
      <c r="G460">
        <v>0</v>
      </c>
      <c r="H460">
        <v>0</v>
      </c>
      <c r="I460">
        <v>0</v>
      </c>
      <c r="J460">
        <v>0</v>
      </c>
      <c r="K460">
        <v>100</v>
      </c>
      <c r="L460" t="s">
        <v>738</v>
      </c>
      <c r="M460" s="6" t="s">
        <v>739</v>
      </c>
      <c r="N460">
        <v>920</v>
      </c>
      <c r="O460">
        <v>120</v>
      </c>
      <c r="P460">
        <v>10</v>
      </c>
      <c r="Q460">
        <v>10</v>
      </c>
      <c r="R460">
        <v>0</v>
      </c>
      <c r="S460">
        <f t="shared" si="54"/>
        <v>3</v>
      </c>
      <c r="T460">
        <f t="shared" si="55"/>
        <v>36</v>
      </c>
      <c r="U460">
        <f t="shared" si="57"/>
        <v>304004</v>
      </c>
      <c r="V460">
        <f>VLOOKUP($A460,精英副本客户端!$A$2:$O$406,10,0)</f>
        <v>41</v>
      </c>
      <c r="W460">
        <f>VLOOKUP($A460,精英副本客户端!$A$2:$O$406,11,0)</f>
        <v>0</v>
      </c>
      <c r="X460">
        <f>VLOOKUP($A460,精英副本客户端!$A$2:$O$406,12,0)</f>
        <v>1</v>
      </c>
      <c r="Y460" t="str">
        <f t="shared" si="52"/>
        <v>知识试炼（40）</v>
      </c>
    </row>
    <row r="461" spans="1:25">
      <c r="A461">
        <f t="shared" si="53"/>
        <v>304006</v>
      </c>
      <c r="B461" t="s">
        <v>1044</v>
      </c>
      <c r="C461">
        <v>0</v>
      </c>
      <c r="D461">
        <v>0</v>
      </c>
      <c r="E461" t="str">
        <f t="shared" si="56"/>
        <v>3040061_1</v>
      </c>
      <c r="F461" t="s">
        <v>213</v>
      </c>
      <c r="G461">
        <v>0</v>
      </c>
      <c r="H461">
        <v>0</v>
      </c>
      <c r="I461">
        <v>0</v>
      </c>
      <c r="J461">
        <v>0</v>
      </c>
      <c r="K461">
        <v>100</v>
      </c>
      <c r="L461" t="s">
        <v>738</v>
      </c>
      <c r="M461" s="6" t="s">
        <v>739</v>
      </c>
      <c r="N461">
        <v>920</v>
      </c>
      <c r="O461">
        <v>120</v>
      </c>
      <c r="P461">
        <v>10</v>
      </c>
      <c r="Q461">
        <v>10</v>
      </c>
      <c r="R461">
        <v>0</v>
      </c>
      <c r="S461">
        <f t="shared" si="54"/>
        <v>3</v>
      </c>
      <c r="T461">
        <f t="shared" si="55"/>
        <v>36</v>
      </c>
      <c r="U461">
        <f t="shared" si="57"/>
        <v>304005</v>
      </c>
      <c r="V461">
        <f>VLOOKUP($A461,精英副本客户端!$A$2:$O$406,10,0)</f>
        <v>42</v>
      </c>
      <c r="W461">
        <f>VLOOKUP($A461,精英副本客户端!$A$2:$O$406,11,0)</f>
        <v>1</v>
      </c>
      <c r="X461">
        <f>VLOOKUP($A461,精英副本客户端!$A$2:$O$406,12,0)</f>
        <v>5</v>
      </c>
      <c r="Y461" t="str">
        <f t="shared" si="52"/>
        <v>知识试炼（40）</v>
      </c>
    </row>
    <row r="462" spans="1:25">
      <c r="A462">
        <f t="shared" si="53"/>
        <v>304007</v>
      </c>
      <c r="B462" t="s">
        <v>1045</v>
      </c>
      <c r="C462">
        <v>0</v>
      </c>
      <c r="D462">
        <v>0</v>
      </c>
      <c r="E462" t="str">
        <f t="shared" si="56"/>
        <v>3040071_1</v>
      </c>
      <c r="F462" t="s">
        <v>213</v>
      </c>
      <c r="G462">
        <v>0</v>
      </c>
      <c r="H462">
        <v>0</v>
      </c>
      <c r="I462">
        <v>0</v>
      </c>
      <c r="J462">
        <v>0</v>
      </c>
      <c r="K462">
        <v>100</v>
      </c>
      <c r="L462" t="s">
        <v>738</v>
      </c>
      <c r="M462" s="6" t="s">
        <v>739</v>
      </c>
      <c r="N462">
        <v>920</v>
      </c>
      <c r="O462">
        <v>120</v>
      </c>
      <c r="P462">
        <v>10</v>
      </c>
      <c r="Q462">
        <v>10</v>
      </c>
      <c r="R462">
        <v>0</v>
      </c>
      <c r="S462">
        <f t="shared" si="54"/>
        <v>3</v>
      </c>
      <c r="T462">
        <f t="shared" si="55"/>
        <v>36</v>
      </c>
      <c r="U462">
        <f t="shared" si="57"/>
        <v>304006</v>
      </c>
      <c r="V462">
        <f>VLOOKUP($A462,精英副本客户端!$A$2:$O$406,10,0)</f>
        <v>42</v>
      </c>
      <c r="W462">
        <f>VLOOKUP($A462,精英副本客户端!$A$2:$O$406,11,0)</f>
        <v>0</v>
      </c>
      <c r="X462">
        <f>VLOOKUP($A462,精英副本客户端!$A$2:$O$406,12,0)</f>
        <v>1</v>
      </c>
      <c r="Y462" t="str">
        <f t="shared" si="52"/>
        <v>知识试炼（40）</v>
      </c>
    </row>
    <row r="463" spans="1:25">
      <c r="A463">
        <f t="shared" si="53"/>
        <v>304008</v>
      </c>
      <c r="B463" t="s">
        <v>1046</v>
      </c>
      <c r="C463">
        <v>0</v>
      </c>
      <c r="D463">
        <v>0</v>
      </c>
      <c r="E463" t="str">
        <f t="shared" si="56"/>
        <v>3040081_1</v>
      </c>
      <c r="F463" t="s">
        <v>213</v>
      </c>
      <c r="G463">
        <v>0</v>
      </c>
      <c r="H463">
        <v>0</v>
      </c>
      <c r="I463">
        <v>0</v>
      </c>
      <c r="J463">
        <v>0</v>
      </c>
      <c r="K463">
        <v>100</v>
      </c>
      <c r="L463" t="s">
        <v>738</v>
      </c>
      <c r="M463" s="6" t="s">
        <v>739</v>
      </c>
      <c r="N463">
        <v>920</v>
      </c>
      <c r="O463">
        <v>120</v>
      </c>
      <c r="P463">
        <v>10</v>
      </c>
      <c r="Q463">
        <v>10</v>
      </c>
      <c r="R463">
        <v>0</v>
      </c>
      <c r="S463">
        <f t="shared" si="54"/>
        <v>3</v>
      </c>
      <c r="T463">
        <f t="shared" si="55"/>
        <v>36</v>
      </c>
      <c r="U463">
        <f t="shared" si="57"/>
        <v>304007</v>
      </c>
      <c r="V463">
        <f>VLOOKUP($A463,精英副本客户端!$A$2:$O$406,10,0)</f>
        <v>43</v>
      </c>
      <c r="W463">
        <f>VLOOKUP($A463,精英副本客户端!$A$2:$O$406,11,0)</f>
        <v>0</v>
      </c>
      <c r="X463">
        <f>VLOOKUP($A463,精英副本客户端!$A$2:$O$406,12,0)</f>
        <v>1</v>
      </c>
      <c r="Y463" t="str">
        <f t="shared" si="52"/>
        <v>知识试炼（40）</v>
      </c>
    </row>
    <row r="464" spans="1:25">
      <c r="A464">
        <f t="shared" si="53"/>
        <v>304009</v>
      </c>
      <c r="B464" t="s">
        <v>1047</v>
      </c>
      <c r="C464">
        <v>0</v>
      </c>
      <c r="D464">
        <v>0</v>
      </c>
      <c r="E464" t="str">
        <f t="shared" si="56"/>
        <v>3040091_1</v>
      </c>
      <c r="F464" t="s">
        <v>213</v>
      </c>
      <c r="G464">
        <v>0</v>
      </c>
      <c r="H464">
        <v>0</v>
      </c>
      <c r="I464">
        <v>0</v>
      </c>
      <c r="J464">
        <v>0</v>
      </c>
      <c r="K464">
        <v>100</v>
      </c>
      <c r="L464" t="s">
        <v>738</v>
      </c>
      <c r="M464" s="6" t="s">
        <v>739</v>
      </c>
      <c r="N464">
        <v>920</v>
      </c>
      <c r="O464">
        <v>120</v>
      </c>
      <c r="P464">
        <v>10</v>
      </c>
      <c r="Q464">
        <v>10</v>
      </c>
      <c r="R464">
        <v>0</v>
      </c>
      <c r="S464">
        <f t="shared" si="54"/>
        <v>3</v>
      </c>
      <c r="T464">
        <f t="shared" si="55"/>
        <v>36</v>
      </c>
      <c r="U464">
        <f t="shared" si="57"/>
        <v>304008</v>
      </c>
      <c r="V464">
        <f>VLOOKUP($A464,精英副本客户端!$A$2:$O$406,10,0)</f>
        <v>44</v>
      </c>
      <c r="W464">
        <f>VLOOKUP($A464,精英副本客户端!$A$2:$O$406,11,0)</f>
        <v>1</v>
      </c>
      <c r="X464">
        <f>VLOOKUP($A464,精英副本客户端!$A$2:$O$406,12,0)</f>
        <v>5</v>
      </c>
      <c r="Y464" t="str">
        <f t="shared" si="52"/>
        <v>知识试炼（40）</v>
      </c>
    </row>
    <row r="465" spans="1:25">
      <c r="A465">
        <f t="shared" si="53"/>
        <v>304501</v>
      </c>
      <c r="B465" t="s">
        <v>1069</v>
      </c>
      <c r="C465">
        <v>0</v>
      </c>
      <c r="D465">
        <v>0</v>
      </c>
      <c r="E465" t="str">
        <f t="shared" si="56"/>
        <v>3045011_1</v>
      </c>
      <c r="F465" t="s">
        <v>213</v>
      </c>
      <c r="G465">
        <v>0</v>
      </c>
      <c r="H465">
        <v>0</v>
      </c>
      <c r="I465">
        <v>0</v>
      </c>
      <c r="J465">
        <v>0</v>
      </c>
      <c r="K465">
        <v>100</v>
      </c>
      <c r="L465" t="s">
        <v>738</v>
      </c>
      <c r="M465" s="6" t="s">
        <v>739</v>
      </c>
      <c r="N465">
        <v>920</v>
      </c>
      <c r="O465">
        <v>120</v>
      </c>
      <c r="P465">
        <v>10</v>
      </c>
      <c r="Q465">
        <v>10</v>
      </c>
      <c r="R465">
        <v>0</v>
      </c>
      <c r="S465">
        <f t="shared" si="54"/>
        <v>3</v>
      </c>
      <c r="T465">
        <f t="shared" si="55"/>
        <v>41</v>
      </c>
      <c r="U465">
        <f t="shared" si="57"/>
        <v>304009</v>
      </c>
      <c r="V465">
        <f>VLOOKUP($A465,精英副本客户端!$A$2:$O$406,10,0)</f>
        <v>45</v>
      </c>
      <c r="W465">
        <f>VLOOKUP($A465,精英副本客户端!$A$2:$O$406,11,0)</f>
        <v>0</v>
      </c>
      <c r="X465">
        <f>VLOOKUP($A465,精英副本客户端!$A$2:$O$406,12,0)</f>
        <v>1</v>
      </c>
      <c r="Y465" t="str">
        <f t="shared" si="52"/>
        <v>知识试炼（45）</v>
      </c>
    </row>
    <row r="466" spans="1:25">
      <c r="A466">
        <f t="shared" si="53"/>
        <v>304502</v>
      </c>
      <c r="B466" t="s">
        <v>1040</v>
      </c>
      <c r="C466">
        <v>0</v>
      </c>
      <c r="D466">
        <v>0</v>
      </c>
      <c r="E466" t="str">
        <f t="shared" si="56"/>
        <v>3045021_1</v>
      </c>
      <c r="F466" t="s">
        <v>213</v>
      </c>
      <c r="G466">
        <v>0</v>
      </c>
      <c r="H466">
        <v>0</v>
      </c>
      <c r="I466">
        <v>0</v>
      </c>
      <c r="J466">
        <v>0</v>
      </c>
      <c r="K466">
        <v>100</v>
      </c>
      <c r="L466" t="s">
        <v>738</v>
      </c>
      <c r="M466" s="6" t="s">
        <v>739</v>
      </c>
      <c r="N466">
        <v>920</v>
      </c>
      <c r="O466">
        <v>120</v>
      </c>
      <c r="P466">
        <v>10</v>
      </c>
      <c r="Q466">
        <v>10</v>
      </c>
      <c r="R466">
        <v>0</v>
      </c>
      <c r="S466">
        <f t="shared" si="54"/>
        <v>3</v>
      </c>
      <c r="T466">
        <f t="shared" si="55"/>
        <v>41</v>
      </c>
      <c r="U466">
        <f t="shared" si="57"/>
        <v>304501</v>
      </c>
      <c r="V466">
        <f>VLOOKUP($A466,精英副本客户端!$A$2:$O$406,10,0)</f>
        <v>45</v>
      </c>
      <c r="W466">
        <f>VLOOKUP($A466,精英副本客户端!$A$2:$O$406,11,0)</f>
        <v>0</v>
      </c>
      <c r="X466">
        <f>VLOOKUP($A466,精英副本客户端!$A$2:$O$406,12,0)</f>
        <v>1</v>
      </c>
      <c r="Y466" t="str">
        <f t="shared" si="52"/>
        <v>知识试炼（45）</v>
      </c>
    </row>
    <row r="467" spans="1:25">
      <c r="A467">
        <f t="shared" si="53"/>
        <v>304503</v>
      </c>
      <c r="B467" t="s">
        <v>1041</v>
      </c>
      <c r="C467">
        <v>0</v>
      </c>
      <c r="D467">
        <v>0</v>
      </c>
      <c r="E467" t="str">
        <f t="shared" si="56"/>
        <v>3045031_1</v>
      </c>
      <c r="F467" t="s">
        <v>213</v>
      </c>
      <c r="G467">
        <v>0</v>
      </c>
      <c r="H467">
        <v>0</v>
      </c>
      <c r="I467">
        <v>0</v>
      </c>
      <c r="J467">
        <v>0</v>
      </c>
      <c r="K467">
        <v>100</v>
      </c>
      <c r="L467" t="s">
        <v>738</v>
      </c>
      <c r="M467" s="6" t="s">
        <v>739</v>
      </c>
      <c r="N467">
        <v>920</v>
      </c>
      <c r="O467">
        <v>120</v>
      </c>
      <c r="P467">
        <v>10</v>
      </c>
      <c r="Q467">
        <v>10</v>
      </c>
      <c r="R467">
        <v>0</v>
      </c>
      <c r="S467">
        <f t="shared" si="54"/>
        <v>3</v>
      </c>
      <c r="T467">
        <f t="shared" si="55"/>
        <v>41</v>
      </c>
      <c r="U467">
        <f t="shared" si="57"/>
        <v>304502</v>
      </c>
      <c r="V467">
        <f>VLOOKUP($A467,精英副本客户端!$A$2:$O$406,10,0)</f>
        <v>46</v>
      </c>
      <c r="W467">
        <f>VLOOKUP($A467,精英副本客户端!$A$2:$O$406,11,0)</f>
        <v>1</v>
      </c>
      <c r="X467">
        <f>VLOOKUP($A467,精英副本客户端!$A$2:$O$406,12,0)</f>
        <v>5</v>
      </c>
      <c r="Y467" t="str">
        <f t="shared" si="52"/>
        <v>知识试炼（45）</v>
      </c>
    </row>
    <row r="468" spans="1:25">
      <c r="A468">
        <f t="shared" si="53"/>
        <v>304504</v>
      </c>
      <c r="B468" t="s">
        <v>1042</v>
      </c>
      <c r="C468">
        <v>0</v>
      </c>
      <c r="D468">
        <v>0</v>
      </c>
      <c r="E468" t="str">
        <f t="shared" si="56"/>
        <v>3045041_1</v>
      </c>
      <c r="F468" t="s">
        <v>213</v>
      </c>
      <c r="G468">
        <v>0</v>
      </c>
      <c r="H468">
        <v>0</v>
      </c>
      <c r="I468">
        <v>0</v>
      </c>
      <c r="J468">
        <v>0</v>
      </c>
      <c r="K468">
        <v>100</v>
      </c>
      <c r="L468" t="s">
        <v>738</v>
      </c>
      <c r="M468" s="6" t="s">
        <v>739</v>
      </c>
      <c r="N468">
        <v>920</v>
      </c>
      <c r="O468">
        <v>120</v>
      </c>
      <c r="P468">
        <v>10</v>
      </c>
      <c r="Q468">
        <v>10</v>
      </c>
      <c r="R468">
        <v>0</v>
      </c>
      <c r="S468">
        <f t="shared" si="54"/>
        <v>3</v>
      </c>
      <c r="T468">
        <f t="shared" si="55"/>
        <v>41</v>
      </c>
      <c r="U468">
        <f t="shared" si="57"/>
        <v>304503</v>
      </c>
      <c r="V468">
        <f>VLOOKUP($A468,精英副本客户端!$A$2:$O$406,10,0)</f>
        <v>46</v>
      </c>
      <c r="W468">
        <f>VLOOKUP($A468,精英副本客户端!$A$2:$O$406,11,0)</f>
        <v>0</v>
      </c>
      <c r="X468">
        <f>VLOOKUP($A468,精英副本客户端!$A$2:$O$406,12,0)</f>
        <v>1</v>
      </c>
      <c r="Y468" t="str">
        <f t="shared" si="52"/>
        <v>知识试炼（45）</v>
      </c>
    </row>
    <row r="469" spans="1:25">
      <c r="A469">
        <f t="shared" si="53"/>
        <v>304505</v>
      </c>
      <c r="B469" t="s">
        <v>1043</v>
      </c>
      <c r="C469">
        <v>0</v>
      </c>
      <c r="D469">
        <v>0</v>
      </c>
      <c r="E469" t="str">
        <f t="shared" si="56"/>
        <v>3045051_1</v>
      </c>
      <c r="F469" t="s">
        <v>213</v>
      </c>
      <c r="G469">
        <v>0</v>
      </c>
      <c r="H469">
        <v>0</v>
      </c>
      <c r="I469">
        <v>0</v>
      </c>
      <c r="J469">
        <v>0</v>
      </c>
      <c r="K469">
        <v>100</v>
      </c>
      <c r="L469" t="s">
        <v>738</v>
      </c>
      <c r="M469" s="6" t="s">
        <v>739</v>
      </c>
      <c r="N469">
        <v>920</v>
      </c>
      <c r="O469">
        <v>120</v>
      </c>
      <c r="P469">
        <v>10</v>
      </c>
      <c r="Q469">
        <v>10</v>
      </c>
      <c r="R469">
        <v>0</v>
      </c>
      <c r="S469">
        <f t="shared" si="54"/>
        <v>3</v>
      </c>
      <c r="T469">
        <f t="shared" si="55"/>
        <v>41</v>
      </c>
      <c r="U469">
        <f t="shared" si="57"/>
        <v>304504</v>
      </c>
      <c r="V469">
        <f>VLOOKUP($A469,精英副本客户端!$A$2:$O$406,10,0)</f>
        <v>46</v>
      </c>
      <c r="W469">
        <f>VLOOKUP($A469,精英副本客户端!$A$2:$O$406,11,0)</f>
        <v>0</v>
      </c>
      <c r="X469">
        <f>VLOOKUP($A469,精英副本客户端!$A$2:$O$406,12,0)</f>
        <v>1</v>
      </c>
      <c r="Y469" t="str">
        <f t="shared" si="52"/>
        <v>知识试炼（45）</v>
      </c>
    </row>
    <row r="470" spans="1:25">
      <c r="A470">
        <f t="shared" si="53"/>
        <v>304506</v>
      </c>
      <c r="B470" t="s">
        <v>1044</v>
      </c>
      <c r="C470">
        <v>0</v>
      </c>
      <c r="D470">
        <v>0</v>
      </c>
      <c r="E470" t="str">
        <f t="shared" si="56"/>
        <v>3045061_1</v>
      </c>
      <c r="F470" t="s">
        <v>213</v>
      </c>
      <c r="G470">
        <v>0</v>
      </c>
      <c r="H470">
        <v>0</v>
      </c>
      <c r="I470">
        <v>0</v>
      </c>
      <c r="J470">
        <v>0</v>
      </c>
      <c r="K470">
        <v>100</v>
      </c>
      <c r="L470" t="s">
        <v>738</v>
      </c>
      <c r="M470" s="6" t="s">
        <v>739</v>
      </c>
      <c r="N470">
        <v>920</v>
      </c>
      <c r="O470">
        <v>120</v>
      </c>
      <c r="P470">
        <v>10</v>
      </c>
      <c r="Q470">
        <v>10</v>
      </c>
      <c r="R470">
        <v>0</v>
      </c>
      <c r="S470">
        <f t="shared" si="54"/>
        <v>3</v>
      </c>
      <c r="T470">
        <f t="shared" si="55"/>
        <v>41</v>
      </c>
      <c r="U470">
        <f t="shared" si="57"/>
        <v>304505</v>
      </c>
      <c r="V470">
        <f>VLOOKUP($A470,精英副本客户端!$A$2:$O$406,10,0)</f>
        <v>47</v>
      </c>
      <c r="W470">
        <f>VLOOKUP($A470,精英副本客户端!$A$2:$O$406,11,0)</f>
        <v>1</v>
      </c>
      <c r="X470">
        <f>VLOOKUP($A470,精英副本客户端!$A$2:$O$406,12,0)</f>
        <v>5</v>
      </c>
      <c r="Y470" t="str">
        <f t="shared" si="52"/>
        <v>知识试炼（45）</v>
      </c>
    </row>
    <row r="471" spans="1:25">
      <c r="A471">
        <f t="shared" si="53"/>
        <v>304507</v>
      </c>
      <c r="B471" t="s">
        <v>1045</v>
      </c>
      <c r="C471">
        <v>0</v>
      </c>
      <c r="D471">
        <v>0</v>
      </c>
      <c r="E471" t="str">
        <f t="shared" si="56"/>
        <v>3045071_1</v>
      </c>
      <c r="F471" t="s">
        <v>213</v>
      </c>
      <c r="G471">
        <v>0</v>
      </c>
      <c r="H471">
        <v>0</v>
      </c>
      <c r="I471">
        <v>0</v>
      </c>
      <c r="J471">
        <v>0</v>
      </c>
      <c r="K471">
        <v>100</v>
      </c>
      <c r="L471" t="s">
        <v>738</v>
      </c>
      <c r="M471" s="6" t="s">
        <v>739</v>
      </c>
      <c r="N471">
        <v>920</v>
      </c>
      <c r="O471">
        <v>120</v>
      </c>
      <c r="P471">
        <v>10</v>
      </c>
      <c r="Q471">
        <v>10</v>
      </c>
      <c r="R471">
        <v>0</v>
      </c>
      <c r="S471">
        <f t="shared" si="54"/>
        <v>3</v>
      </c>
      <c r="T471">
        <f t="shared" si="55"/>
        <v>41</v>
      </c>
      <c r="U471">
        <f t="shared" si="57"/>
        <v>304506</v>
      </c>
      <c r="V471">
        <f>VLOOKUP($A471,精英副本客户端!$A$2:$O$406,10,0)</f>
        <v>47</v>
      </c>
      <c r="W471">
        <f>VLOOKUP($A471,精英副本客户端!$A$2:$O$406,11,0)</f>
        <v>0</v>
      </c>
      <c r="X471">
        <f>VLOOKUP($A471,精英副本客户端!$A$2:$O$406,12,0)</f>
        <v>1</v>
      </c>
      <c r="Y471" t="str">
        <f t="shared" si="52"/>
        <v>知识试炼（45）</v>
      </c>
    </row>
    <row r="472" spans="1:25">
      <c r="A472">
        <f t="shared" si="53"/>
        <v>304508</v>
      </c>
      <c r="B472" t="s">
        <v>1046</v>
      </c>
      <c r="C472">
        <v>0</v>
      </c>
      <c r="D472">
        <v>0</v>
      </c>
      <c r="E472" t="str">
        <f t="shared" si="56"/>
        <v>3045081_1</v>
      </c>
      <c r="F472" t="s">
        <v>213</v>
      </c>
      <c r="G472">
        <v>0</v>
      </c>
      <c r="H472">
        <v>0</v>
      </c>
      <c r="I472">
        <v>0</v>
      </c>
      <c r="J472">
        <v>0</v>
      </c>
      <c r="K472">
        <v>100</v>
      </c>
      <c r="L472" t="s">
        <v>738</v>
      </c>
      <c r="M472" s="6" t="s">
        <v>739</v>
      </c>
      <c r="N472">
        <v>920</v>
      </c>
      <c r="O472">
        <v>120</v>
      </c>
      <c r="P472">
        <v>10</v>
      </c>
      <c r="Q472">
        <v>10</v>
      </c>
      <c r="R472">
        <v>0</v>
      </c>
      <c r="S472">
        <f t="shared" si="54"/>
        <v>3</v>
      </c>
      <c r="T472">
        <f t="shared" si="55"/>
        <v>41</v>
      </c>
      <c r="U472">
        <f t="shared" si="57"/>
        <v>304507</v>
      </c>
      <c r="V472">
        <f>VLOOKUP($A472,精英副本客户端!$A$2:$O$406,10,0)</f>
        <v>48</v>
      </c>
      <c r="W472">
        <f>VLOOKUP($A472,精英副本客户端!$A$2:$O$406,11,0)</f>
        <v>0</v>
      </c>
      <c r="X472">
        <f>VLOOKUP($A472,精英副本客户端!$A$2:$O$406,12,0)</f>
        <v>1</v>
      </c>
      <c r="Y472" t="str">
        <f t="shared" si="52"/>
        <v>知识试炼（45）</v>
      </c>
    </row>
    <row r="473" spans="1:25">
      <c r="A473">
        <f t="shared" si="53"/>
        <v>304509</v>
      </c>
      <c r="B473" t="s">
        <v>1047</v>
      </c>
      <c r="C473">
        <v>0</v>
      </c>
      <c r="D473">
        <v>0</v>
      </c>
      <c r="E473" t="str">
        <f t="shared" si="56"/>
        <v>3045091_1</v>
      </c>
      <c r="F473" t="s">
        <v>213</v>
      </c>
      <c r="G473">
        <v>0</v>
      </c>
      <c r="H473">
        <v>0</v>
      </c>
      <c r="I473">
        <v>0</v>
      </c>
      <c r="J473">
        <v>0</v>
      </c>
      <c r="K473">
        <v>100</v>
      </c>
      <c r="L473" t="s">
        <v>738</v>
      </c>
      <c r="M473" s="6" t="s">
        <v>739</v>
      </c>
      <c r="N473">
        <v>920</v>
      </c>
      <c r="O473">
        <v>120</v>
      </c>
      <c r="P473">
        <v>10</v>
      </c>
      <c r="Q473">
        <v>10</v>
      </c>
      <c r="R473">
        <v>0</v>
      </c>
      <c r="S473">
        <f t="shared" si="54"/>
        <v>3</v>
      </c>
      <c r="T473">
        <f t="shared" si="55"/>
        <v>41</v>
      </c>
      <c r="U473">
        <f t="shared" si="57"/>
        <v>304508</v>
      </c>
      <c r="V473">
        <f>VLOOKUP($A473,精英副本客户端!$A$2:$O$406,10,0)</f>
        <v>49</v>
      </c>
      <c r="W473">
        <f>VLOOKUP($A473,精英副本客户端!$A$2:$O$406,11,0)</f>
        <v>1</v>
      </c>
      <c r="X473">
        <f>VLOOKUP($A473,精英副本客户端!$A$2:$O$406,12,0)</f>
        <v>5</v>
      </c>
      <c r="Y473" t="str">
        <f t="shared" si="52"/>
        <v>知识试炼（45）</v>
      </c>
    </row>
    <row r="474" spans="1:25">
      <c r="A474">
        <f t="shared" si="53"/>
        <v>305001</v>
      </c>
      <c r="B474" t="s">
        <v>1069</v>
      </c>
      <c r="C474">
        <v>0</v>
      </c>
      <c r="D474">
        <v>0</v>
      </c>
      <c r="E474" t="str">
        <f t="shared" si="56"/>
        <v>3050011_1</v>
      </c>
      <c r="F474" t="s">
        <v>213</v>
      </c>
      <c r="G474">
        <v>0</v>
      </c>
      <c r="H474">
        <v>0</v>
      </c>
      <c r="I474">
        <v>0</v>
      </c>
      <c r="J474">
        <v>0</v>
      </c>
      <c r="K474">
        <v>100</v>
      </c>
      <c r="L474" t="s">
        <v>738</v>
      </c>
      <c r="M474" s="6" t="s">
        <v>739</v>
      </c>
      <c r="N474">
        <v>920</v>
      </c>
      <c r="O474">
        <v>120</v>
      </c>
      <c r="P474">
        <v>10</v>
      </c>
      <c r="Q474">
        <v>10</v>
      </c>
      <c r="R474">
        <v>0</v>
      </c>
      <c r="S474">
        <f t="shared" si="54"/>
        <v>3</v>
      </c>
      <c r="T474">
        <f t="shared" si="55"/>
        <v>46</v>
      </c>
      <c r="U474">
        <f t="shared" si="57"/>
        <v>304509</v>
      </c>
      <c r="V474">
        <f>VLOOKUP($A474,精英副本客户端!$A$2:$O$406,10,0)</f>
        <v>50</v>
      </c>
      <c r="W474">
        <f>VLOOKUP($A474,精英副本客户端!$A$2:$O$406,11,0)</f>
        <v>0</v>
      </c>
      <c r="X474">
        <f>VLOOKUP($A474,精英副本客户端!$A$2:$O$406,12,0)</f>
        <v>1</v>
      </c>
      <c r="Y474" t="str">
        <f t="shared" si="52"/>
        <v>知识试炼（50）</v>
      </c>
    </row>
    <row r="475" spans="1:25">
      <c r="A475">
        <f t="shared" si="53"/>
        <v>305002</v>
      </c>
      <c r="B475" t="s">
        <v>1040</v>
      </c>
      <c r="C475">
        <v>0</v>
      </c>
      <c r="D475">
        <v>0</v>
      </c>
      <c r="E475" t="str">
        <f t="shared" si="56"/>
        <v>3050021_1</v>
      </c>
      <c r="F475" t="s">
        <v>213</v>
      </c>
      <c r="G475">
        <v>0</v>
      </c>
      <c r="H475">
        <v>0</v>
      </c>
      <c r="I475">
        <v>0</v>
      </c>
      <c r="J475">
        <v>0</v>
      </c>
      <c r="K475">
        <v>100</v>
      </c>
      <c r="L475" t="s">
        <v>738</v>
      </c>
      <c r="M475" s="6" t="s">
        <v>739</v>
      </c>
      <c r="N475">
        <v>920</v>
      </c>
      <c r="O475">
        <v>120</v>
      </c>
      <c r="P475">
        <v>10</v>
      </c>
      <c r="Q475">
        <v>10</v>
      </c>
      <c r="R475">
        <v>0</v>
      </c>
      <c r="S475">
        <f t="shared" si="54"/>
        <v>3</v>
      </c>
      <c r="T475">
        <f t="shared" si="55"/>
        <v>46</v>
      </c>
      <c r="U475">
        <f t="shared" si="57"/>
        <v>305001</v>
      </c>
      <c r="V475">
        <f>VLOOKUP($A475,精英副本客户端!$A$2:$O$406,10,0)</f>
        <v>50</v>
      </c>
      <c r="W475">
        <f>VLOOKUP($A475,精英副本客户端!$A$2:$O$406,11,0)</f>
        <v>0</v>
      </c>
      <c r="X475">
        <f>VLOOKUP($A475,精英副本客户端!$A$2:$O$406,12,0)</f>
        <v>1</v>
      </c>
      <c r="Y475" t="str">
        <f t="shared" si="52"/>
        <v>知识试炼（50）</v>
      </c>
    </row>
    <row r="476" spans="1:25">
      <c r="A476">
        <f t="shared" si="53"/>
        <v>305003</v>
      </c>
      <c r="B476" t="s">
        <v>1041</v>
      </c>
      <c r="C476">
        <v>0</v>
      </c>
      <c r="D476">
        <v>0</v>
      </c>
      <c r="E476" t="str">
        <f t="shared" si="56"/>
        <v>3050031_1</v>
      </c>
      <c r="F476" t="s">
        <v>213</v>
      </c>
      <c r="G476">
        <v>0</v>
      </c>
      <c r="H476">
        <v>0</v>
      </c>
      <c r="I476">
        <v>0</v>
      </c>
      <c r="J476">
        <v>0</v>
      </c>
      <c r="K476">
        <v>100</v>
      </c>
      <c r="L476" t="s">
        <v>738</v>
      </c>
      <c r="M476" s="6" t="s">
        <v>739</v>
      </c>
      <c r="N476">
        <v>920</v>
      </c>
      <c r="O476">
        <v>120</v>
      </c>
      <c r="P476">
        <v>10</v>
      </c>
      <c r="Q476">
        <v>10</v>
      </c>
      <c r="R476">
        <v>0</v>
      </c>
      <c r="S476">
        <f t="shared" si="54"/>
        <v>3</v>
      </c>
      <c r="T476">
        <f t="shared" si="55"/>
        <v>46</v>
      </c>
      <c r="U476">
        <f t="shared" si="57"/>
        <v>305002</v>
      </c>
      <c r="V476">
        <f>VLOOKUP($A476,精英副本客户端!$A$2:$O$406,10,0)</f>
        <v>51</v>
      </c>
      <c r="W476">
        <f>VLOOKUP($A476,精英副本客户端!$A$2:$O$406,11,0)</f>
        <v>1</v>
      </c>
      <c r="X476">
        <f>VLOOKUP($A476,精英副本客户端!$A$2:$O$406,12,0)</f>
        <v>5</v>
      </c>
      <c r="Y476" t="str">
        <f t="shared" si="52"/>
        <v>知识试炼（50）</v>
      </c>
    </row>
    <row r="477" spans="1:25">
      <c r="A477">
        <f t="shared" si="53"/>
        <v>305004</v>
      </c>
      <c r="B477" t="s">
        <v>1042</v>
      </c>
      <c r="C477">
        <v>0</v>
      </c>
      <c r="D477">
        <v>0</v>
      </c>
      <c r="E477" t="str">
        <f t="shared" si="56"/>
        <v>3050041_1</v>
      </c>
      <c r="F477" t="s">
        <v>213</v>
      </c>
      <c r="G477">
        <v>0</v>
      </c>
      <c r="H477">
        <v>0</v>
      </c>
      <c r="I477">
        <v>0</v>
      </c>
      <c r="J477">
        <v>0</v>
      </c>
      <c r="K477">
        <v>100</v>
      </c>
      <c r="L477" t="s">
        <v>738</v>
      </c>
      <c r="M477" s="6" t="s">
        <v>739</v>
      </c>
      <c r="N477">
        <v>920</v>
      </c>
      <c r="O477">
        <v>120</v>
      </c>
      <c r="P477">
        <v>10</v>
      </c>
      <c r="Q477">
        <v>10</v>
      </c>
      <c r="R477">
        <v>0</v>
      </c>
      <c r="S477">
        <f t="shared" si="54"/>
        <v>3</v>
      </c>
      <c r="T477">
        <f t="shared" si="55"/>
        <v>46</v>
      </c>
      <c r="U477">
        <f t="shared" si="57"/>
        <v>305003</v>
      </c>
      <c r="V477">
        <f>VLOOKUP($A477,精英副本客户端!$A$2:$O$406,10,0)</f>
        <v>51</v>
      </c>
      <c r="W477">
        <f>VLOOKUP($A477,精英副本客户端!$A$2:$O$406,11,0)</f>
        <v>0</v>
      </c>
      <c r="X477">
        <f>VLOOKUP($A477,精英副本客户端!$A$2:$O$406,12,0)</f>
        <v>1</v>
      </c>
      <c r="Y477" t="str">
        <f t="shared" si="52"/>
        <v>知识试炼（50）</v>
      </c>
    </row>
    <row r="478" spans="1:25">
      <c r="A478">
        <f t="shared" si="53"/>
        <v>305005</v>
      </c>
      <c r="B478" t="s">
        <v>1043</v>
      </c>
      <c r="C478">
        <v>0</v>
      </c>
      <c r="D478">
        <v>0</v>
      </c>
      <c r="E478" t="str">
        <f t="shared" si="56"/>
        <v>3050051_1</v>
      </c>
      <c r="F478" t="s">
        <v>213</v>
      </c>
      <c r="G478">
        <v>0</v>
      </c>
      <c r="H478">
        <v>0</v>
      </c>
      <c r="I478">
        <v>0</v>
      </c>
      <c r="J478">
        <v>0</v>
      </c>
      <c r="K478">
        <v>100</v>
      </c>
      <c r="L478" t="s">
        <v>738</v>
      </c>
      <c r="M478" s="6" t="s">
        <v>739</v>
      </c>
      <c r="N478">
        <v>920</v>
      </c>
      <c r="O478">
        <v>120</v>
      </c>
      <c r="P478">
        <v>10</v>
      </c>
      <c r="Q478">
        <v>10</v>
      </c>
      <c r="R478">
        <v>0</v>
      </c>
      <c r="S478">
        <f t="shared" si="54"/>
        <v>3</v>
      </c>
      <c r="T478">
        <f t="shared" si="55"/>
        <v>46</v>
      </c>
      <c r="U478">
        <f t="shared" si="57"/>
        <v>305004</v>
      </c>
      <c r="V478">
        <f>VLOOKUP($A478,精英副本客户端!$A$2:$O$406,10,0)</f>
        <v>51</v>
      </c>
      <c r="W478">
        <f>VLOOKUP($A478,精英副本客户端!$A$2:$O$406,11,0)</f>
        <v>0</v>
      </c>
      <c r="X478">
        <f>VLOOKUP($A478,精英副本客户端!$A$2:$O$406,12,0)</f>
        <v>1</v>
      </c>
      <c r="Y478" t="str">
        <f t="shared" si="52"/>
        <v>知识试炼（50）</v>
      </c>
    </row>
    <row r="479" spans="1:25">
      <c r="A479">
        <f t="shared" si="53"/>
        <v>305006</v>
      </c>
      <c r="B479" t="s">
        <v>1044</v>
      </c>
      <c r="C479">
        <v>0</v>
      </c>
      <c r="D479">
        <v>0</v>
      </c>
      <c r="E479" t="str">
        <f t="shared" si="56"/>
        <v>3050061_1</v>
      </c>
      <c r="F479" t="s">
        <v>213</v>
      </c>
      <c r="G479">
        <v>0</v>
      </c>
      <c r="H479">
        <v>0</v>
      </c>
      <c r="I479">
        <v>0</v>
      </c>
      <c r="J479">
        <v>0</v>
      </c>
      <c r="K479">
        <v>100</v>
      </c>
      <c r="L479" t="s">
        <v>738</v>
      </c>
      <c r="M479" s="6" t="s">
        <v>739</v>
      </c>
      <c r="N479">
        <v>920</v>
      </c>
      <c r="O479">
        <v>120</v>
      </c>
      <c r="P479">
        <v>10</v>
      </c>
      <c r="Q479">
        <v>10</v>
      </c>
      <c r="R479">
        <v>0</v>
      </c>
      <c r="S479">
        <f t="shared" si="54"/>
        <v>3</v>
      </c>
      <c r="T479">
        <f t="shared" si="55"/>
        <v>46</v>
      </c>
      <c r="U479">
        <f t="shared" si="57"/>
        <v>305005</v>
      </c>
      <c r="V479">
        <f>VLOOKUP($A479,精英副本客户端!$A$2:$O$406,10,0)</f>
        <v>52</v>
      </c>
      <c r="W479">
        <f>VLOOKUP($A479,精英副本客户端!$A$2:$O$406,11,0)</f>
        <v>1</v>
      </c>
      <c r="X479">
        <f>VLOOKUP($A479,精英副本客户端!$A$2:$O$406,12,0)</f>
        <v>5</v>
      </c>
      <c r="Y479" t="str">
        <f t="shared" si="52"/>
        <v>知识试炼（50）</v>
      </c>
    </row>
    <row r="480" spans="1:25">
      <c r="A480">
        <f t="shared" si="53"/>
        <v>305007</v>
      </c>
      <c r="B480" t="s">
        <v>1045</v>
      </c>
      <c r="C480">
        <v>0</v>
      </c>
      <c r="D480">
        <v>0</v>
      </c>
      <c r="E480" t="str">
        <f t="shared" si="56"/>
        <v>3050071_1</v>
      </c>
      <c r="F480" t="s">
        <v>213</v>
      </c>
      <c r="G480">
        <v>0</v>
      </c>
      <c r="H480">
        <v>0</v>
      </c>
      <c r="I480">
        <v>0</v>
      </c>
      <c r="J480">
        <v>0</v>
      </c>
      <c r="K480">
        <v>100</v>
      </c>
      <c r="L480" t="s">
        <v>738</v>
      </c>
      <c r="M480" s="6" t="s">
        <v>739</v>
      </c>
      <c r="N480">
        <v>920</v>
      </c>
      <c r="O480">
        <v>120</v>
      </c>
      <c r="P480">
        <v>10</v>
      </c>
      <c r="Q480">
        <v>10</v>
      </c>
      <c r="R480">
        <v>0</v>
      </c>
      <c r="S480">
        <f t="shared" si="54"/>
        <v>3</v>
      </c>
      <c r="T480">
        <f t="shared" si="55"/>
        <v>46</v>
      </c>
      <c r="U480">
        <f t="shared" si="57"/>
        <v>305006</v>
      </c>
      <c r="V480">
        <f>VLOOKUP($A480,精英副本客户端!$A$2:$O$406,10,0)</f>
        <v>52</v>
      </c>
      <c r="W480">
        <f>VLOOKUP($A480,精英副本客户端!$A$2:$O$406,11,0)</f>
        <v>0</v>
      </c>
      <c r="X480">
        <f>VLOOKUP($A480,精英副本客户端!$A$2:$O$406,12,0)</f>
        <v>1</v>
      </c>
      <c r="Y480" t="str">
        <f t="shared" si="52"/>
        <v>知识试炼（50）</v>
      </c>
    </row>
    <row r="481" spans="1:25">
      <c r="A481">
        <f t="shared" si="53"/>
        <v>305008</v>
      </c>
      <c r="B481" t="s">
        <v>1046</v>
      </c>
      <c r="C481">
        <v>0</v>
      </c>
      <c r="D481">
        <v>0</v>
      </c>
      <c r="E481" t="str">
        <f t="shared" si="56"/>
        <v>3050081_1</v>
      </c>
      <c r="F481" t="s">
        <v>213</v>
      </c>
      <c r="G481">
        <v>0</v>
      </c>
      <c r="H481">
        <v>0</v>
      </c>
      <c r="I481">
        <v>0</v>
      </c>
      <c r="J481">
        <v>0</v>
      </c>
      <c r="K481">
        <v>100</v>
      </c>
      <c r="L481" t="s">
        <v>738</v>
      </c>
      <c r="M481" s="6" t="s">
        <v>739</v>
      </c>
      <c r="N481">
        <v>920</v>
      </c>
      <c r="O481">
        <v>120</v>
      </c>
      <c r="P481">
        <v>10</v>
      </c>
      <c r="Q481">
        <v>10</v>
      </c>
      <c r="R481">
        <v>0</v>
      </c>
      <c r="S481">
        <f t="shared" si="54"/>
        <v>3</v>
      </c>
      <c r="T481">
        <f t="shared" si="55"/>
        <v>46</v>
      </c>
      <c r="U481">
        <f t="shared" si="57"/>
        <v>305007</v>
      </c>
      <c r="V481">
        <f>VLOOKUP($A481,精英副本客户端!$A$2:$O$406,10,0)</f>
        <v>53</v>
      </c>
      <c r="W481">
        <f>VLOOKUP($A481,精英副本客户端!$A$2:$O$406,11,0)</f>
        <v>0</v>
      </c>
      <c r="X481">
        <f>VLOOKUP($A481,精英副本客户端!$A$2:$O$406,12,0)</f>
        <v>1</v>
      </c>
      <c r="Y481" t="str">
        <f t="shared" si="52"/>
        <v>知识试炼（50）</v>
      </c>
    </row>
    <row r="482" spans="1:25">
      <c r="A482">
        <f t="shared" si="53"/>
        <v>305009</v>
      </c>
      <c r="B482" t="s">
        <v>1047</v>
      </c>
      <c r="C482">
        <v>0</v>
      </c>
      <c r="D482">
        <v>0</v>
      </c>
      <c r="E482" t="str">
        <f t="shared" si="56"/>
        <v>3050091_1</v>
      </c>
      <c r="F482" t="s">
        <v>213</v>
      </c>
      <c r="G482">
        <v>0</v>
      </c>
      <c r="H482">
        <v>0</v>
      </c>
      <c r="I482">
        <v>0</v>
      </c>
      <c r="J482">
        <v>0</v>
      </c>
      <c r="K482">
        <v>100</v>
      </c>
      <c r="L482" t="s">
        <v>738</v>
      </c>
      <c r="M482" s="6" t="s">
        <v>739</v>
      </c>
      <c r="N482">
        <v>920</v>
      </c>
      <c r="O482">
        <v>120</v>
      </c>
      <c r="P482">
        <v>10</v>
      </c>
      <c r="Q482">
        <v>10</v>
      </c>
      <c r="R482">
        <v>0</v>
      </c>
      <c r="S482">
        <f t="shared" si="54"/>
        <v>3</v>
      </c>
      <c r="T482">
        <f t="shared" si="55"/>
        <v>46</v>
      </c>
      <c r="U482">
        <f t="shared" si="57"/>
        <v>305008</v>
      </c>
      <c r="V482">
        <f>VLOOKUP($A482,精英副本客户端!$A$2:$O$406,10,0)</f>
        <v>54</v>
      </c>
      <c r="W482">
        <f>VLOOKUP($A482,精英副本客户端!$A$2:$O$406,11,0)</f>
        <v>1</v>
      </c>
      <c r="X482">
        <f>VLOOKUP($A482,精英副本客户端!$A$2:$O$406,12,0)</f>
        <v>5</v>
      </c>
      <c r="Y482" t="str">
        <f t="shared" si="52"/>
        <v>知识试炼（50）</v>
      </c>
    </row>
    <row r="483" spans="1:25">
      <c r="A483">
        <f t="shared" si="53"/>
        <v>305501</v>
      </c>
      <c r="B483" t="s">
        <v>1069</v>
      </c>
      <c r="C483">
        <v>0</v>
      </c>
      <c r="D483">
        <v>0</v>
      </c>
      <c r="E483" t="str">
        <f t="shared" si="56"/>
        <v>3055011_1</v>
      </c>
      <c r="F483" t="s">
        <v>213</v>
      </c>
      <c r="G483">
        <v>0</v>
      </c>
      <c r="H483">
        <v>0</v>
      </c>
      <c r="I483">
        <v>0</v>
      </c>
      <c r="J483">
        <v>0</v>
      </c>
      <c r="K483">
        <v>100</v>
      </c>
      <c r="L483" t="s">
        <v>738</v>
      </c>
      <c r="M483" s="6" t="s">
        <v>739</v>
      </c>
      <c r="N483">
        <v>920</v>
      </c>
      <c r="O483">
        <v>120</v>
      </c>
      <c r="P483">
        <v>10</v>
      </c>
      <c r="Q483">
        <v>10</v>
      </c>
      <c r="R483">
        <v>0</v>
      </c>
      <c r="S483">
        <f t="shared" si="54"/>
        <v>3</v>
      </c>
      <c r="T483">
        <f t="shared" si="55"/>
        <v>51</v>
      </c>
      <c r="U483">
        <f t="shared" si="57"/>
        <v>305009</v>
      </c>
      <c r="V483">
        <f>VLOOKUP($A483,精英副本客户端!$A$2:$O$406,10,0)</f>
        <v>55</v>
      </c>
      <c r="W483">
        <f>VLOOKUP($A483,精英副本客户端!$A$2:$O$406,11,0)</f>
        <v>0</v>
      </c>
      <c r="X483">
        <f>VLOOKUP($A483,精英副本客户端!$A$2:$O$406,12,0)</f>
        <v>1</v>
      </c>
      <c r="Y483" t="str">
        <f t="shared" si="52"/>
        <v>知识试炼（55）</v>
      </c>
    </row>
    <row r="484" spans="1:25">
      <c r="A484">
        <f t="shared" si="53"/>
        <v>305502</v>
      </c>
      <c r="B484" t="s">
        <v>1040</v>
      </c>
      <c r="C484">
        <v>0</v>
      </c>
      <c r="D484">
        <v>0</v>
      </c>
      <c r="E484" t="str">
        <f t="shared" si="56"/>
        <v>3055021_1</v>
      </c>
      <c r="F484" t="s">
        <v>213</v>
      </c>
      <c r="G484">
        <v>0</v>
      </c>
      <c r="H484">
        <v>0</v>
      </c>
      <c r="I484">
        <v>0</v>
      </c>
      <c r="J484">
        <v>0</v>
      </c>
      <c r="K484">
        <v>100</v>
      </c>
      <c r="L484" t="s">
        <v>738</v>
      </c>
      <c r="M484" s="6" t="s">
        <v>739</v>
      </c>
      <c r="N484">
        <v>920</v>
      </c>
      <c r="O484">
        <v>120</v>
      </c>
      <c r="P484">
        <v>10</v>
      </c>
      <c r="Q484">
        <v>10</v>
      </c>
      <c r="R484">
        <v>0</v>
      </c>
      <c r="S484">
        <f t="shared" si="54"/>
        <v>3</v>
      </c>
      <c r="T484">
        <f t="shared" si="55"/>
        <v>51</v>
      </c>
      <c r="U484">
        <f t="shared" si="57"/>
        <v>305501</v>
      </c>
      <c r="V484">
        <f>VLOOKUP($A484,精英副本客户端!$A$2:$O$406,10,0)</f>
        <v>55</v>
      </c>
      <c r="W484">
        <f>VLOOKUP($A484,精英副本客户端!$A$2:$O$406,11,0)</f>
        <v>0</v>
      </c>
      <c r="X484">
        <f>VLOOKUP($A484,精英副本客户端!$A$2:$O$406,12,0)</f>
        <v>1</v>
      </c>
      <c r="Y484" t="str">
        <f t="shared" si="52"/>
        <v>知识试炼（55）</v>
      </c>
    </row>
    <row r="485" spans="1:25">
      <c r="A485">
        <f t="shared" si="53"/>
        <v>305503</v>
      </c>
      <c r="B485" t="s">
        <v>1041</v>
      </c>
      <c r="C485">
        <v>0</v>
      </c>
      <c r="D485">
        <v>0</v>
      </c>
      <c r="E485" t="str">
        <f t="shared" si="56"/>
        <v>3055031_1</v>
      </c>
      <c r="F485" t="s">
        <v>213</v>
      </c>
      <c r="G485">
        <v>0</v>
      </c>
      <c r="H485">
        <v>0</v>
      </c>
      <c r="I485">
        <v>0</v>
      </c>
      <c r="J485">
        <v>0</v>
      </c>
      <c r="K485">
        <v>100</v>
      </c>
      <c r="L485" t="s">
        <v>738</v>
      </c>
      <c r="M485" s="6" t="s">
        <v>739</v>
      </c>
      <c r="N485">
        <v>920</v>
      </c>
      <c r="O485">
        <v>120</v>
      </c>
      <c r="P485">
        <v>10</v>
      </c>
      <c r="Q485">
        <v>10</v>
      </c>
      <c r="R485">
        <v>0</v>
      </c>
      <c r="S485">
        <f t="shared" si="54"/>
        <v>3</v>
      </c>
      <c r="T485">
        <f t="shared" si="55"/>
        <v>51</v>
      </c>
      <c r="U485">
        <f t="shared" si="57"/>
        <v>305502</v>
      </c>
      <c r="V485">
        <f>VLOOKUP($A485,精英副本客户端!$A$2:$O$406,10,0)</f>
        <v>56</v>
      </c>
      <c r="W485">
        <f>VLOOKUP($A485,精英副本客户端!$A$2:$O$406,11,0)</f>
        <v>1</v>
      </c>
      <c r="X485">
        <f>VLOOKUP($A485,精英副本客户端!$A$2:$O$406,12,0)</f>
        <v>5</v>
      </c>
      <c r="Y485" t="str">
        <f t="shared" si="52"/>
        <v>知识试炼（55）</v>
      </c>
    </row>
    <row r="486" spans="1:25">
      <c r="A486">
        <f t="shared" si="53"/>
        <v>305504</v>
      </c>
      <c r="B486" t="s">
        <v>1042</v>
      </c>
      <c r="C486">
        <v>0</v>
      </c>
      <c r="D486">
        <v>0</v>
      </c>
      <c r="E486" t="str">
        <f t="shared" si="56"/>
        <v>3055041_1</v>
      </c>
      <c r="F486" t="s">
        <v>213</v>
      </c>
      <c r="G486">
        <v>0</v>
      </c>
      <c r="H486">
        <v>0</v>
      </c>
      <c r="I486">
        <v>0</v>
      </c>
      <c r="J486">
        <v>0</v>
      </c>
      <c r="K486">
        <v>100</v>
      </c>
      <c r="L486" t="s">
        <v>738</v>
      </c>
      <c r="M486" s="6" t="s">
        <v>739</v>
      </c>
      <c r="N486">
        <v>920</v>
      </c>
      <c r="O486">
        <v>120</v>
      </c>
      <c r="P486">
        <v>10</v>
      </c>
      <c r="Q486">
        <v>10</v>
      </c>
      <c r="R486">
        <v>0</v>
      </c>
      <c r="S486">
        <f t="shared" si="54"/>
        <v>3</v>
      </c>
      <c r="T486">
        <f t="shared" si="55"/>
        <v>51</v>
      </c>
      <c r="U486">
        <f t="shared" si="57"/>
        <v>305503</v>
      </c>
      <c r="V486">
        <f>VLOOKUP($A486,精英副本客户端!$A$2:$O$406,10,0)</f>
        <v>56</v>
      </c>
      <c r="W486">
        <f>VLOOKUP($A486,精英副本客户端!$A$2:$O$406,11,0)</f>
        <v>0</v>
      </c>
      <c r="X486">
        <f>VLOOKUP($A486,精英副本客户端!$A$2:$O$406,12,0)</f>
        <v>1</v>
      </c>
      <c r="Y486" t="str">
        <f t="shared" si="52"/>
        <v>知识试炼（55）</v>
      </c>
    </row>
    <row r="487" spans="1:25">
      <c r="A487">
        <f t="shared" si="53"/>
        <v>305505</v>
      </c>
      <c r="B487" t="s">
        <v>1043</v>
      </c>
      <c r="C487">
        <v>0</v>
      </c>
      <c r="D487">
        <v>0</v>
      </c>
      <c r="E487" t="str">
        <f t="shared" si="56"/>
        <v>3055051_1</v>
      </c>
      <c r="F487" t="s">
        <v>213</v>
      </c>
      <c r="G487">
        <v>0</v>
      </c>
      <c r="H487">
        <v>0</v>
      </c>
      <c r="I487">
        <v>0</v>
      </c>
      <c r="J487">
        <v>0</v>
      </c>
      <c r="K487">
        <v>100</v>
      </c>
      <c r="L487" t="s">
        <v>738</v>
      </c>
      <c r="M487" s="6" t="s">
        <v>739</v>
      </c>
      <c r="N487">
        <v>920</v>
      </c>
      <c r="O487">
        <v>120</v>
      </c>
      <c r="P487">
        <v>10</v>
      </c>
      <c r="Q487">
        <v>10</v>
      </c>
      <c r="R487">
        <v>0</v>
      </c>
      <c r="S487">
        <f t="shared" si="54"/>
        <v>3</v>
      </c>
      <c r="T487">
        <f t="shared" si="55"/>
        <v>51</v>
      </c>
      <c r="U487">
        <f t="shared" si="57"/>
        <v>305504</v>
      </c>
      <c r="V487">
        <f>VLOOKUP($A487,精英副本客户端!$A$2:$O$406,10,0)</f>
        <v>56</v>
      </c>
      <c r="W487">
        <f>VLOOKUP($A487,精英副本客户端!$A$2:$O$406,11,0)</f>
        <v>0</v>
      </c>
      <c r="X487">
        <f>VLOOKUP($A487,精英副本客户端!$A$2:$O$406,12,0)</f>
        <v>1</v>
      </c>
      <c r="Y487" t="str">
        <f t="shared" si="52"/>
        <v>知识试炼（55）</v>
      </c>
    </row>
    <row r="488" spans="1:25">
      <c r="A488">
        <f t="shared" si="53"/>
        <v>305506</v>
      </c>
      <c r="B488" t="s">
        <v>1044</v>
      </c>
      <c r="C488">
        <v>0</v>
      </c>
      <c r="D488">
        <v>0</v>
      </c>
      <c r="E488" t="str">
        <f t="shared" si="56"/>
        <v>3055061_1</v>
      </c>
      <c r="F488" t="s">
        <v>213</v>
      </c>
      <c r="G488">
        <v>0</v>
      </c>
      <c r="H488">
        <v>0</v>
      </c>
      <c r="I488">
        <v>0</v>
      </c>
      <c r="J488">
        <v>0</v>
      </c>
      <c r="K488">
        <v>100</v>
      </c>
      <c r="L488" t="s">
        <v>738</v>
      </c>
      <c r="M488" s="6" t="s">
        <v>739</v>
      </c>
      <c r="N488">
        <v>920</v>
      </c>
      <c r="O488">
        <v>120</v>
      </c>
      <c r="P488">
        <v>10</v>
      </c>
      <c r="Q488">
        <v>10</v>
      </c>
      <c r="R488">
        <v>0</v>
      </c>
      <c r="S488">
        <f t="shared" si="54"/>
        <v>3</v>
      </c>
      <c r="T488">
        <f t="shared" si="55"/>
        <v>51</v>
      </c>
      <c r="U488">
        <f t="shared" si="57"/>
        <v>305505</v>
      </c>
      <c r="V488">
        <f>VLOOKUP($A488,精英副本客户端!$A$2:$O$406,10,0)</f>
        <v>57</v>
      </c>
      <c r="W488">
        <f>VLOOKUP($A488,精英副本客户端!$A$2:$O$406,11,0)</f>
        <v>1</v>
      </c>
      <c r="X488">
        <f>VLOOKUP($A488,精英副本客户端!$A$2:$O$406,12,0)</f>
        <v>5</v>
      </c>
      <c r="Y488" t="str">
        <f t="shared" si="52"/>
        <v>知识试炼（55）</v>
      </c>
    </row>
    <row r="489" spans="1:25">
      <c r="A489">
        <f t="shared" si="53"/>
        <v>305507</v>
      </c>
      <c r="B489" t="s">
        <v>1045</v>
      </c>
      <c r="C489">
        <v>0</v>
      </c>
      <c r="D489">
        <v>0</v>
      </c>
      <c r="E489" t="str">
        <f t="shared" si="56"/>
        <v>3055071_1</v>
      </c>
      <c r="F489" t="s">
        <v>213</v>
      </c>
      <c r="G489">
        <v>0</v>
      </c>
      <c r="H489">
        <v>0</v>
      </c>
      <c r="I489">
        <v>0</v>
      </c>
      <c r="J489">
        <v>0</v>
      </c>
      <c r="K489">
        <v>100</v>
      </c>
      <c r="L489" t="s">
        <v>738</v>
      </c>
      <c r="M489" s="6" t="s">
        <v>739</v>
      </c>
      <c r="N489">
        <v>920</v>
      </c>
      <c r="O489">
        <v>120</v>
      </c>
      <c r="P489">
        <v>10</v>
      </c>
      <c r="Q489">
        <v>10</v>
      </c>
      <c r="R489">
        <v>0</v>
      </c>
      <c r="S489">
        <f t="shared" si="54"/>
        <v>3</v>
      </c>
      <c r="T489">
        <f t="shared" si="55"/>
        <v>51</v>
      </c>
      <c r="U489">
        <f t="shared" si="57"/>
        <v>305506</v>
      </c>
      <c r="V489">
        <f>VLOOKUP($A489,精英副本客户端!$A$2:$O$406,10,0)</f>
        <v>57</v>
      </c>
      <c r="W489">
        <f>VLOOKUP($A489,精英副本客户端!$A$2:$O$406,11,0)</f>
        <v>0</v>
      </c>
      <c r="X489">
        <f>VLOOKUP($A489,精英副本客户端!$A$2:$O$406,12,0)</f>
        <v>1</v>
      </c>
      <c r="Y489" t="str">
        <f t="shared" si="52"/>
        <v>知识试炼（55）</v>
      </c>
    </row>
    <row r="490" spans="1:25">
      <c r="A490">
        <f>A301+100000</f>
        <v>305508</v>
      </c>
      <c r="B490" t="s">
        <v>1046</v>
      </c>
      <c r="C490">
        <v>0</v>
      </c>
      <c r="D490">
        <v>0</v>
      </c>
      <c r="E490" t="str">
        <f t="shared" si="56"/>
        <v>3055081_1</v>
      </c>
      <c r="F490" t="s">
        <v>213</v>
      </c>
      <c r="G490">
        <v>0</v>
      </c>
      <c r="H490">
        <v>0</v>
      </c>
      <c r="I490">
        <v>0</v>
      </c>
      <c r="J490">
        <v>0</v>
      </c>
      <c r="K490">
        <v>100</v>
      </c>
      <c r="L490" t="s">
        <v>738</v>
      </c>
      <c r="M490" s="6" t="s">
        <v>739</v>
      </c>
      <c r="N490">
        <v>920</v>
      </c>
      <c r="O490">
        <v>120</v>
      </c>
      <c r="P490">
        <v>10</v>
      </c>
      <c r="Q490">
        <v>10</v>
      </c>
      <c r="R490">
        <v>0</v>
      </c>
      <c r="S490">
        <f t="shared" si="54"/>
        <v>3</v>
      </c>
      <c r="T490">
        <f t="shared" si="55"/>
        <v>51</v>
      </c>
      <c r="U490">
        <f t="shared" si="57"/>
        <v>305507</v>
      </c>
      <c r="V490">
        <f>VLOOKUP($A490,精英副本客户端!$A$2:$O$406,10,0)</f>
        <v>58</v>
      </c>
      <c r="W490">
        <f>VLOOKUP($A490,精英副本客户端!$A$2:$O$406,11,0)</f>
        <v>0</v>
      </c>
      <c r="X490">
        <f>VLOOKUP($A490,精英副本客户端!$A$2:$O$406,12,0)</f>
        <v>1</v>
      </c>
      <c r="Y490" t="str">
        <f t="shared" si="52"/>
        <v>知识试炼（55）</v>
      </c>
    </row>
    <row r="491" spans="1:25">
      <c r="A491">
        <f t="shared" ref="A491:A554" si="58">A302+100000</f>
        <v>305509</v>
      </c>
      <c r="B491" t="s">
        <v>1047</v>
      </c>
      <c r="C491">
        <v>0</v>
      </c>
      <c r="D491">
        <v>0</v>
      </c>
      <c r="E491" t="str">
        <f t="shared" si="56"/>
        <v>3055091_1</v>
      </c>
      <c r="F491" t="s">
        <v>213</v>
      </c>
      <c r="G491">
        <v>0</v>
      </c>
      <c r="H491">
        <v>0</v>
      </c>
      <c r="I491">
        <v>0</v>
      </c>
      <c r="J491">
        <v>0</v>
      </c>
      <c r="K491">
        <v>100</v>
      </c>
      <c r="L491" t="s">
        <v>738</v>
      </c>
      <c r="M491" s="6" t="s">
        <v>739</v>
      </c>
      <c r="N491">
        <v>920</v>
      </c>
      <c r="O491">
        <v>120</v>
      </c>
      <c r="P491">
        <v>10</v>
      </c>
      <c r="Q491">
        <v>10</v>
      </c>
      <c r="R491">
        <v>0</v>
      </c>
      <c r="S491">
        <f t="shared" si="54"/>
        <v>3</v>
      </c>
      <c r="T491">
        <f t="shared" si="55"/>
        <v>51</v>
      </c>
      <c r="U491">
        <f t="shared" si="57"/>
        <v>305508</v>
      </c>
      <c r="V491">
        <f>VLOOKUP($A491,精英副本客户端!$A$2:$O$406,10,0)</f>
        <v>59</v>
      </c>
      <c r="W491">
        <f>VLOOKUP($A491,精英副本客户端!$A$2:$O$406,11,0)</f>
        <v>1</v>
      </c>
      <c r="X491">
        <f>VLOOKUP($A491,精英副本客户端!$A$2:$O$406,12,0)</f>
        <v>5</v>
      </c>
      <c r="Y491" t="str">
        <f t="shared" si="52"/>
        <v>知识试炼（55）</v>
      </c>
    </row>
    <row r="492" spans="1:25">
      <c r="A492">
        <f t="shared" si="58"/>
        <v>306001</v>
      </c>
      <c r="B492" t="s">
        <v>1048</v>
      </c>
      <c r="C492">
        <v>0</v>
      </c>
      <c r="D492">
        <v>0</v>
      </c>
      <c r="E492" t="str">
        <f t="shared" si="56"/>
        <v>3060011_1</v>
      </c>
      <c r="F492" t="s">
        <v>213</v>
      </c>
      <c r="G492">
        <v>0</v>
      </c>
      <c r="H492">
        <v>0</v>
      </c>
      <c r="I492">
        <v>0</v>
      </c>
      <c r="J492">
        <v>0</v>
      </c>
      <c r="K492">
        <v>100</v>
      </c>
      <c r="L492" t="s">
        <v>738</v>
      </c>
      <c r="M492" s="6" t="s">
        <v>739</v>
      </c>
      <c r="N492">
        <v>920</v>
      </c>
      <c r="O492">
        <v>120</v>
      </c>
      <c r="P492">
        <v>10</v>
      </c>
      <c r="Q492">
        <v>10</v>
      </c>
      <c r="R492">
        <v>0</v>
      </c>
      <c r="S492">
        <f t="shared" si="54"/>
        <v>3</v>
      </c>
      <c r="T492">
        <f t="shared" si="55"/>
        <v>56</v>
      </c>
      <c r="U492">
        <f t="shared" si="57"/>
        <v>305509</v>
      </c>
      <c r="V492">
        <f>VLOOKUP($A492,精英副本客户端!$A$2:$O$406,10,0)</f>
        <v>60</v>
      </c>
      <c r="W492">
        <f>VLOOKUP($A492,精英副本客户端!$A$2:$O$406,11,0)</f>
        <v>0</v>
      </c>
      <c r="X492">
        <f>VLOOKUP($A492,精英副本客户端!$A$2:$O$406,12,0)</f>
        <v>1</v>
      </c>
      <c r="Y492" t="str">
        <f>"智慧试炼（"&amp;MID(A492,2,3)*1&amp;"）"</f>
        <v>智慧试炼（60）</v>
      </c>
    </row>
    <row r="493" spans="1:25">
      <c r="A493">
        <f t="shared" si="58"/>
        <v>306002</v>
      </c>
      <c r="B493" t="s">
        <v>1070</v>
      </c>
      <c r="C493">
        <v>0</v>
      </c>
      <c r="D493">
        <v>0</v>
      </c>
      <c r="E493" t="str">
        <f t="shared" si="56"/>
        <v>3060021_1</v>
      </c>
      <c r="F493" t="s">
        <v>213</v>
      </c>
      <c r="G493">
        <v>0</v>
      </c>
      <c r="H493">
        <v>0</v>
      </c>
      <c r="I493">
        <v>0</v>
      </c>
      <c r="J493">
        <v>0</v>
      </c>
      <c r="K493">
        <v>100</v>
      </c>
      <c r="L493" t="s">
        <v>738</v>
      </c>
      <c r="M493" s="6" t="s">
        <v>739</v>
      </c>
      <c r="N493">
        <v>920</v>
      </c>
      <c r="O493">
        <v>120</v>
      </c>
      <c r="P493">
        <v>10</v>
      </c>
      <c r="Q493">
        <v>10</v>
      </c>
      <c r="R493">
        <v>0</v>
      </c>
      <c r="S493">
        <f t="shared" si="54"/>
        <v>3</v>
      </c>
      <c r="T493">
        <f t="shared" si="55"/>
        <v>56</v>
      </c>
      <c r="U493">
        <f t="shared" si="57"/>
        <v>306001</v>
      </c>
      <c r="V493">
        <f>VLOOKUP($A493,精英副本客户端!$A$2:$O$406,10,0)</f>
        <v>60</v>
      </c>
      <c r="W493">
        <f>VLOOKUP($A493,精英副本客户端!$A$2:$O$406,11,0)</f>
        <v>0</v>
      </c>
      <c r="X493">
        <f>VLOOKUP($A493,精英副本客户端!$A$2:$O$406,12,0)</f>
        <v>1</v>
      </c>
      <c r="Y493" t="str">
        <f t="shared" ref="Y493:Y536" si="59">"智慧试炼（"&amp;MID(A493,2,3)*1&amp;"）"</f>
        <v>智慧试炼（60）</v>
      </c>
    </row>
    <row r="494" spans="1:25">
      <c r="A494">
        <f t="shared" si="58"/>
        <v>306003</v>
      </c>
      <c r="B494" t="s">
        <v>1071</v>
      </c>
      <c r="C494">
        <v>0</v>
      </c>
      <c r="D494">
        <v>0</v>
      </c>
      <c r="E494" t="str">
        <f t="shared" si="56"/>
        <v>3060031_1</v>
      </c>
      <c r="F494" t="s">
        <v>213</v>
      </c>
      <c r="G494">
        <v>0</v>
      </c>
      <c r="H494">
        <v>0</v>
      </c>
      <c r="I494">
        <v>0</v>
      </c>
      <c r="J494">
        <v>0</v>
      </c>
      <c r="K494">
        <v>100</v>
      </c>
      <c r="L494" t="s">
        <v>738</v>
      </c>
      <c r="M494" s="6" t="s">
        <v>739</v>
      </c>
      <c r="N494">
        <v>920</v>
      </c>
      <c r="O494">
        <v>120</v>
      </c>
      <c r="P494">
        <v>10</v>
      </c>
      <c r="Q494">
        <v>10</v>
      </c>
      <c r="R494">
        <v>0</v>
      </c>
      <c r="S494">
        <f t="shared" si="54"/>
        <v>3</v>
      </c>
      <c r="T494">
        <f t="shared" si="55"/>
        <v>56</v>
      </c>
      <c r="U494">
        <f t="shared" si="57"/>
        <v>306002</v>
      </c>
      <c r="V494">
        <f>VLOOKUP($A494,精英副本客户端!$A$2:$O$406,10,0)</f>
        <v>61</v>
      </c>
      <c r="W494">
        <f>VLOOKUP($A494,精英副本客户端!$A$2:$O$406,11,0)</f>
        <v>1</v>
      </c>
      <c r="X494">
        <f>VLOOKUP($A494,精英副本客户端!$A$2:$O$406,12,0)</f>
        <v>5</v>
      </c>
      <c r="Y494" t="str">
        <f t="shared" si="59"/>
        <v>智慧试炼（60）</v>
      </c>
    </row>
    <row r="495" spans="1:25">
      <c r="A495">
        <f t="shared" si="58"/>
        <v>306004</v>
      </c>
      <c r="B495" t="s">
        <v>1050</v>
      </c>
      <c r="C495">
        <v>0</v>
      </c>
      <c r="D495">
        <v>0</v>
      </c>
      <c r="E495" t="str">
        <f t="shared" si="56"/>
        <v>3060041_1</v>
      </c>
      <c r="F495" t="s">
        <v>213</v>
      </c>
      <c r="G495">
        <v>0</v>
      </c>
      <c r="H495">
        <v>0</v>
      </c>
      <c r="I495">
        <v>0</v>
      </c>
      <c r="J495">
        <v>0</v>
      </c>
      <c r="K495">
        <v>100</v>
      </c>
      <c r="L495" t="s">
        <v>738</v>
      </c>
      <c r="M495" s="6" t="s">
        <v>739</v>
      </c>
      <c r="N495">
        <v>920</v>
      </c>
      <c r="O495">
        <v>120</v>
      </c>
      <c r="P495">
        <v>10</v>
      </c>
      <c r="Q495">
        <v>10</v>
      </c>
      <c r="R495">
        <v>0</v>
      </c>
      <c r="S495">
        <f t="shared" si="54"/>
        <v>3</v>
      </c>
      <c r="T495">
        <f t="shared" si="55"/>
        <v>56</v>
      </c>
      <c r="U495">
        <f t="shared" si="57"/>
        <v>306003</v>
      </c>
      <c r="V495">
        <f>VLOOKUP($A495,精英副本客户端!$A$2:$O$406,10,0)</f>
        <v>61</v>
      </c>
      <c r="W495">
        <f>VLOOKUP($A495,精英副本客户端!$A$2:$O$406,11,0)</f>
        <v>0</v>
      </c>
      <c r="X495">
        <f>VLOOKUP($A495,精英副本客户端!$A$2:$O$406,12,0)</f>
        <v>1</v>
      </c>
      <c r="Y495" t="str">
        <f t="shared" si="59"/>
        <v>智慧试炼（60）</v>
      </c>
    </row>
    <row r="496" spans="1:25">
      <c r="A496">
        <f t="shared" si="58"/>
        <v>306005</v>
      </c>
      <c r="B496" t="s">
        <v>1051</v>
      </c>
      <c r="C496">
        <v>0</v>
      </c>
      <c r="D496">
        <v>0</v>
      </c>
      <c r="E496" t="str">
        <f t="shared" si="56"/>
        <v>3060051_1</v>
      </c>
      <c r="F496" t="s">
        <v>213</v>
      </c>
      <c r="G496">
        <v>0</v>
      </c>
      <c r="H496">
        <v>0</v>
      </c>
      <c r="I496">
        <v>0</v>
      </c>
      <c r="J496">
        <v>0</v>
      </c>
      <c r="K496">
        <v>100</v>
      </c>
      <c r="L496" t="s">
        <v>738</v>
      </c>
      <c r="M496" s="6" t="s">
        <v>739</v>
      </c>
      <c r="N496">
        <v>920</v>
      </c>
      <c r="O496">
        <v>120</v>
      </c>
      <c r="P496">
        <v>10</v>
      </c>
      <c r="Q496">
        <v>10</v>
      </c>
      <c r="R496">
        <v>0</v>
      </c>
      <c r="S496">
        <f t="shared" si="54"/>
        <v>3</v>
      </c>
      <c r="T496">
        <f t="shared" si="55"/>
        <v>56</v>
      </c>
      <c r="U496">
        <f t="shared" si="57"/>
        <v>306004</v>
      </c>
      <c r="V496">
        <f>VLOOKUP($A496,精英副本客户端!$A$2:$O$406,10,0)</f>
        <v>61</v>
      </c>
      <c r="W496">
        <f>VLOOKUP($A496,精英副本客户端!$A$2:$O$406,11,0)</f>
        <v>0</v>
      </c>
      <c r="X496">
        <f>VLOOKUP($A496,精英副本客户端!$A$2:$O$406,12,0)</f>
        <v>1</v>
      </c>
      <c r="Y496" t="str">
        <f t="shared" si="59"/>
        <v>智慧试炼（60）</v>
      </c>
    </row>
    <row r="497" spans="1:25">
      <c r="A497">
        <f t="shared" si="58"/>
        <v>306006</v>
      </c>
      <c r="B497" t="s">
        <v>1049</v>
      </c>
      <c r="C497">
        <v>0</v>
      </c>
      <c r="D497">
        <v>0</v>
      </c>
      <c r="E497" t="str">
        <f t="shared" si="56"/>
        <v>3060061_1</v>
      </c>
      <c r="F497" t="s">
        <v>213</v>
      </c>
      <c r="G497">
        <v>0</v>
      </c>
      <c r="H497">
        <v>0</v>
      </c>
      <c r="I497">
        <v>0</v>
      </c>
      <c r="J497">
        <v>0</v>
      </c>
      <c r="K497">
        <v>100</v>
      </c>
      <c r="L497" t="s">
        <v>738</v>
      </c>
      <c r="M497" s="6" t="s">
        <v>739</v>
      </c>
      <c r="N497">
        <v>920</v>
      </c>
      <c r="O497">
        <v>120</v>
      </c>
      <c r="P497">
        <v>10</v>
      </c>
      <c r="Q497">
        <v>10</v>
      </c>
      <c r="R497">
        <v>0</v>
      </c>
      <c r="S497">
        <f t="shared" si="54"/>
        <v>3</v>
      </c>
      <c r="T497">
        <f t="shared" si="55"/>
        <v>56</v>
      </c>
      <c r="U497">
        <f t="shared" si="57"/>
        <v>306005</v>
      </c>
      <c r="V497">
        <f>VLOOKUP($A497,精英副本客户端!$A$2:$O$406,10,0)</f>
        <v>62</v>
      </c>
      <c r="W497">
        <f>VLOOKUP($A497,精英副本客户端!$A$2:$O$406,11,0)</f>
        <v>1</v>
      </c>
      <c r="X497">
        <f>VLOOKUP($A497,精英副本客户端!$A$2:$O$406,12,0)</f>
        <v>5</v>
      </c>
      <c r="Y497" t="str">
        <f t="shared" si="59"/>
        <v>智慧试炼（60）</v>
      </c>
    </row>
    <row r="498" spans="1:25">
      <c r="A498">
        <f t="shared" si="58"/>
        <v>306007</v>
      </c>
      <c r="B498" t="s">
        <v>1053</v>
      </c>
      <c r="C498">
        <v>0</v>
      </c>
      <c r="D498">
        <v>0</v>
      </c>
      <c r="E498" t="str">
        <f t="shared" si="56"/>
        <v>3060071_1</v>
      </c>
      <c r="F498" t="s">
        <v>213</v>
      </c>
      <c r="G498">
        <v>0</v>
      </c>
      <c r="H498">
        <v>0</v>
      </c>
      <c r="I498">
        <v>0</v>
      </c>
      <c r="J498">
        <v>0</v>
      </c>
      <c r="K498">
        <v>100</v>
      </c>
      <c r="L498" t="s">
        <v>738</v>
      </c>
      <c r="M498" s="6" t="s">
        <v>739</v>
      </c>
      <c r="N498">
        <v>920</v>
      </c>
      <c r="O498">
        <v>120</v>
      </c>
      <c r="P498">
        <v>10</v>
      </c>
      <c r="Q498">
        <v>10</v>
      </c>
      <c r="R498">
        <v>0</v>
      </c>
      <c r="S498">
        <f t="shared" si="54"/>
        <v>3</v>
      </c>
      <c r="T498">
        <f t="shared" si="55"/>
        <v>56</v>
      </c>
      <c r="U498">
        <f t="shared" si="57"/>
        <v>306006</v>
      </c>
      <c r="V498">
        <f>VLOOKUP($A498,精英副本客户端!$A$2:$O$406,10,0)</f>
        <v>62</v>
      </c>
      <c r="W498">
        <f>VLOOKUP($A498,精英副本客户端!$A$2:$O$406,11,0)</f>
        <v>0</v>
      </c>
      <c r="X498">
        <f>VLOOKUP($A498,精英副本客户端!$A$2:$O$406,12,0)</f>
        <v>1</v>
      </c>
      <c r="Y498" t="str">
        <f t="shared" si="59"/>
        <v>智慧试炼（60）</v>
      </c>
    </row>
    <row r="499" spans="1:25">
      <c r="A499">
        <f t="shared" si="58"/>
        <v>306008</v>
      </c>
      <c r="B499" t="s">
        <v>1054</v>
      </c>
      <c r="C499">
        <v>0</v>
      </c>
      <c r="D499">
        <v>0</v>
      </c>
      <c r="E499" t="str">
        <f t="shared" si="56"/>
        <v>3060081_1</v>
      </c>
      <c r="F499" t="s">
        <v>213</v>
      </c>
      <c r="G499">
        <v>0</v>
      </c>
      <c r="H499">
        <v>0</v>
      </c>
      <c r="I499">
        <v>0</v>
      </c>
      <c r="J499">
        <v>0</v>
      </c>
      <c r="K499">
        <v>100</v>
      </c>
      <c r="L499" t="s">
        <v>738</v>
      </c>
      <c r="M499" s="6" t="s">
        <v>739</v>
      </c>
      <c r="N499">
        <v>920</v>
      </c>
      <c r="O499">
        <v>120</v>
      </c>
      <c r="P499">
        <v>10</v>
      </c>
      <c r="Q499">
        <v>10</v>
      </c>
      <c r="R499">
        <v>0</v>
      </c>
      <c r="S499">
        <f t="shared" si="54"/>
        <v>3</v>
      </c>
      <c r="T499">
        <f t="shared" si="55"/>
        <v>56</v>
      </c>
      <c r="U499">
        <f t="shared" si="57"/>
        <v>306007</v>
      </c>
      <c r="V499">
        <f>VLOOKUP($A499,精英副本客户端!$A$2:$O$406,10,0)</f>
        <v>63</v>
      </c>
      <c r="W499">
        <f>VLOOKUP($A499,精英副本客户端!$A$2:$O$406,11,0)</f>
        <v>0</v>
      </c>
      <c r="X499">
        <f>VLOOKUP($A499,精英副本客户端!$A$2:$O$406,12,0)</f>
        <v>1</v>
      </c>
      <c r="Y499" t="str">
        <f t="shared" si="59"/>
        <v>智慧试炼（60）</v>
      </c>
    </row>
    <row r="500" spans="1:25">
      <c r="A500">
        <f t="shared" si="58"/>
        <v>306009</v>
      </c>
      <c r="B500" t="s">
        <v>1055</v>
      </c>
      <c r="C500">
        <v>0</v>
      </c>
      <c r="D500">
        <v>0</v>
      </c>
      <c r="E500" t="str">
        <f t="shared" si="56"/>
        <v>3060091_1</v>
      </c>
      <c r="F500" t="s">
        <v>213</v>
      </c>
      <c r="G500">
        <v>0</v>
      </c>
      <c r="H500">
        <v>0</v>
      </c>
      <c r="I500">
        <v>0</v>
      </c>
      <c r="J500">
        <v>0</v>
      </c>
      <c r="K500">
        <v>100</v>
      </c>
      <c r="L500" t="s">
        <v>738</v>
      </c>
      <c r="M500" s="6" t="s">
        <v>739</v>
      </c>
      <c r="N500">
        <v>920</v>
      </c>
      <c r="O500">
        <v>120</v>
      </c>
      <c r="P500">
        <v>10</v>
      </c>
      <c r="Q500">
        <v>10</v>
      </c>
      <c r="R500">
        <v>0</v>
      </c>
      <c r="S500">
        <f t="shared" si="54"/>
        <v>3</v>
      </c>
      <c r="T500">
        <f t="shared" si="55"/>
        <v>56</v>
      </c>
      <c r="U500">
        <f t="shared" si="57"/>
        <v>306008</v>
      </c>
      <c r="V500">
        <f>VLOOKUP($A500,精英副本客户端!$A$2:$O$406,10,0)</f>
        <v>64</v>
      </c>
      <c r="W500">
        <f>VLOOKUP($A500,精英副本客户端!$A$2:$O$406,11,0)</f>
        <v>1</v>
      </c>
      <c r="X500">
        <f>VLOOKUP($A500,精英副本客户端!$A$2:$O$406,12,0)</f>
        <v>5</v>
      </c>
      <c r="Y500" t="str">
        <f t="shared" si="59"/>
        <v>智慧试炼（60）</v>
      </c>
    </row>
    <row r="501" spans="1:25">
      <c r="A501">
        <f t="shared" si="58"/>
        <v>306501</v>
      </c>
      <c r="B501" t="s">
        <v>1048</v>
      </c>
      <c r="C501">
        <v>0</v>
      </c>
      <c r="D501">
        <v>0</v>
      </c>
      <c r="E501" t="str">
        <f t="shared" si="56"/>
        <v>3065011_1</v>
      </c>
      <c r="F501" t="s">
        <v>213</v>
      </c>
      <c r="G501">
        <v>0</v>
      </c>
      <c r="H501">
        <v>0</v>
      </c>
      <c r="I501">
        <v>0</v>
      </c>
      <c r="J501">
        <v>0</v>
      </c>
      <c r="K501">
        <v>100</v>
      </c>
      <c r="L501" t="s">
        <v>738</v>
      </c>
      <c r="M501" s="6" t="s">
        <v>739</v>
      </c>
      <c r="N501">
        <v>920</v>
      </c>
      <c r="O501">
        <v>120</v>
      </c>
      <c r="P501">
        <v>10</v>
      </c>
      <c r="Q501">
        <v>10</v>
      </c>
      <c r="R501">
        <v>0</v>
      </c>
      <c r="S501">
        <f t="shared" si="54"/>
        <v>3</v>
      </c>
      <c r="T501">
        <f t="shared" si="55"/>
        <v>61</v>
      </c>
      <c r="U501">
        <f t="shared" si="57"/>
        <v>306009</v>
      </c>
      <c r="V501">
        <f>VLOOKUP($A501,精英副本客户端!$A$2:$O$406,10,0)</f>
        <v>65</v>
      </c>
      <c r="W501">
        <f>VLOOKUP($A501,精英副本客户端!$A$2:$O$406,11,0)</f>
        <v>0</v>
      </c>
      <c r="X501">
        <f>VLOOKUP($A501,精英副本客户端!$A$2:$O$406,12,0)</f>
        <v>1</v>
      </c>
      <c r="Y501" t="str">
        <f t="shared" si="59"/>
        <v>智慧试炼（65）</v>
      </c>
    </row>
    <row r="502" spans="1:25">
      <c r="A502">
        <f t="shared" si="58"/>
        <v>306502</v>
      </c>
      <c r="B502" t="s">
        <v>1070</v>
      </c>
      <c r="C502">
        <v>0</v>
      </c>
      <c r="D502">
        <v>0</v>
      </c>
      <c r="E502" t="str">
        <f t="shared" si="56"/>
        <v>3065021_1</v>
      </c>
      <c r="F502" t="s">
        <v>213</v>
      </c>
      <c r="G502">
        <v>0</v>
      </c>
      <c r="H502">
        <v>0</v>
      </c>
      <c r="I502">
        <v>0</v>
      </c>
      <c r="J502">
        <v>0</v>
      </c>
      <c r="K502">
        <v>100</v>
      </c>
      <c r="L502" t="s">
        <v>738</v>
      </c>
      <c r="M502" s="6" t="s">
        <v>739</v>
      </c>
      <c r="N502">
        <v>920</v>
      </c>
      <c r="O502">
        <v>120</v>
      </c>
      <c r="P502">
        <v>10</v>
      </c>
      <c r="Q502">
        <v>10</v>
      </c>
      <c r="R502">
        <v>0</v>
      </c>
      <c r="S502">
        <f t="shared" si="54"/>
        <v>3</v>
      </c>
      <c r="T502">
        <f t="shared" si="55"/>
        <v>61</v>
      </c>
      <c r="U502">
        <f t="shared" si="57"/>
        <v>306501</v>
      </c>
      <c r="V502">
        <f>VLOOKUP($A502,精英副本客户端!$A$2:$O$406,10,0)</f>
        <v>65</v>
      </c>
      <c r="W502">
        <f>VLOOKUP($A502,精英副本客户端!$A$2:$O$406,11,0)</f>
        <v>0</v>
      </c>
      <c r="X502">
        <f>VLOOKUP($A502,精英副本客户端!$A$2:$O$406,12,0)</f>
        <v>1</v>
      </c>
      <c r="Y502" t="str">
        <f t="shared" si="59"/>
        <v>智慧试炼（65）</v>
      </c>
    </row>
    <row r="503" spans="1:25">
      <c r="A503">
        <f t="shared" si="58"/>
        <v>306503</v>
      </c>
      <c r="B503" t="s">
        <v>1071</v>
      </c>
      <c r="C503">
        <v>0</v>
      </c>
      <c r="D503">
        <v>0</v>
      </c>
      <c r="E503" t="str">
        <f t="shared" si="56"/>
        <v>3065031_1</v>
      </c>
      <c r="F503" t="s">
        <v>213</v>
      </c>
      <c r="G503">
        <v>0</v>
      </c>
      <c r="H503">
        <v>0</v>
      </c>
      <c r="I503">
        <v>0</v>
      </c>
      <c r="J503">
        <v>0</v>
      </c>
      <c r="K503">
        <v>100</v>
      </c>
      <c r="L503" t="s">
        <v>738</v>
      </c>
      <c r="M503" s="6" t="s">
        <v>739</v>
      </c>
      <c r="N503">
        <v>920</v>
      </c>
      <c r="O503">
        <v>120</v>
      </c>
      <c r="P503">
        <v>10</v>
      </c>
      <c r="Q503">
        <v>10</v>
      </c>
      <c r="R503">
        <v>0</v>
      </c>
      <c r="S503">
        <f t="shared" si="54"/>
        <v>3</v>
      </c>
      <c r="T503">
        <f t="shared" si="55"/>
        <v>61</v>
      </c>
      <c r="U503">
        <f t="shared" si="57"/>
        <v>306502</v>
      </c>
      <c r="V503">
        <f>VLOOKUP($A503,精英副本客户端!$A$2:$O$406,10,0)</f>
        <v>66</v>
      </c>
      <c r="W503">
        <f>VLOOKUP($A503,精英副本客户端!$A$2:$O$406,11,0)</f>
        <v>1</v>
      </c>
      <c r="X503">
        <f>VLOOKUP($A503,精英副本客户端!$A$2:$O$406,12,0)</f>
        <v>5</v>
      </c>
      <c r="Y503" t="str">
        <f t="shared" si="59"/>
        <v>智慧试炼（65）</v>
      </c>
    </row>
    <row r="504" spans="1:25">
      <c r="A504">
        <f t="shared" si="58"/>
        <v>306504</v>
      </c>
      <c r="B504" t="s">
        <v>1050</v>
      </c>
      <c r="C504">
        <v>0</v>
      </c>
      <c r="D504">
        <v>0</v>
      </c>
      <c r="E504" t="str">
        <f t="shared" si="56"/>
        <v>3065041_1</v>
      </c>
      <c r="F504" t="s">
        <v>213</v>
      </c>
      <c r="G504">
        <v>0</v>
      </c>
      <c r="H504">
        <v>0</v>
      </c>
      <c r="I504">
        <v>0</v>
      </c>
      <c r="J504">
        <v>0</v>
      </c>
      <c r="K504">
        <v>100</v>
      </c>
      <c r="L504" t="s">
        <v>738</v>
      </c>
      <c r="M504" s="6" t="s">
        <v>739</v>
      </c>
      <c r="N504">
        <v>920</v>
      </c>
      <c r="O504">
        <v>120</v>
      </c>
      <c r="P504">
        <v>10</v>
      </c>
      <c r="Q504">
        <v>10</v>
      </c>
      <c r="R504">
        <v>0</v>
      </c>
      <c r="S504">
        <f t="shared" si="54"/>
        <v>3</v>
      </c>
      <c r="T504">
        <f t="shared" si="55"/>
        <v>61</v>
      </c>
      <c r="U504">
        <f t="shared" si="57"/>
        <v>306503</v>
      </c>
      <c r="V504">
        <f>VLOOKUP($A504,精英副本客户端!$A$2:$O$406,10,0)</f>
        <v>66</v>
      </c>
      <c r="W504">
        <f>VLOOKUP($A504,精英副本客户端!$A$2:$O$406,11,0)</f>
        <v>0</v>
      </c>
      <c r="X504">
        <f>VLOOKUP($A504,精英副本客户端!$A$2:$O$406,12,0)</f>
        <v>1</v>
      </c>
      <c r="Y504" t="str">
        <f t="shared" si="59"/>
        <v>智慧试炼（65）</v>
      </c>
    </row>
    <row r="505" spans="1:25">
      <c r="A505">
        <f t="shared" si="58"/>
        <v>306505</v>
      </c>
      <c r="B505" t="s">
        <v>1051</v>
      </c>
      <c r="C505">
        <v>0</v>
      </c>
      <c r="D505">
        <v>0</v>
      </c>
      <c r="E505" t="str">
        <f t="shared" si="56"/>
        <v>3065051_1</v>
      </c>
      <c r="F505" t="s">
        <v>213</v>
      </c>
      <c r="G505">
        <v>0</v>
      </c>
      <c r="H505">
        <v>0</v>
      </c>
      <c r="I505">
        <v>0</v>
      </c>
      <c r="J505">
        <v>0</v>
      </c>
      <c r="K505">
        <v>100</v>
      </c>
      <c r="L505" t="s">
        <v>738</v>
      </c>
      <c r="M505" s="6" t="s">
        <v>739</v>
      </c>
      <c r="N505">
        <v>920</v>
      </c>
      <c r="O505">
        <v>120</v>
      </c>
      <c r="P505">
        <v>10</v>
      </c>
      <c r="Q505">
        <v>10</v>
      </c>
      <c r="R505">
        <v>0</v>
      </c>
      <c r="S505">
        <f t="shared" si="54"/>
        <v>3</v>
      </c>
      <c r="T505">
        <f t="shared" si="55"/>
        <v>61</v>
      </c>
      <c r="U505">
        <f t="shared" si="57"/>
        <v>306504</v>
      </c>
      <c r="V505">
        <f>VLOOKUP($A505,精英副本客户端!$A$2:$O$406,10,0)</f>
        <v>66</v>
      </c>
      <c r="W505">
        <f>VLOOKUP($A505,精英副本客户端!$A$2:$O$406,11,0)</f>
        <v>0</v>
      </c>
      <c r="X505">
        <f>VLOOKUP($A505,精英副本客户端!$A$2:$O$406,12,0)</f>
        <v>1</v>
      </c>
      <c r="Y505" t="str">
        <f t="shared" si="59"/>
        <v>智慧试炼（65）</v>
      </c>
    </row>
    <row r="506" spans="1:25">
      <c r="A506">
        <f t="shared" si="58"/>
        <v>306506</v>
      </c>
      <c r="B506" t="s">
        <v>1049</v>
      </c>
      <c r="C506">
        <v>0</v>
      </c>
      <c r="D506">
        <v>0</v>
      </c>
      <c r="E506" t="str">
        <f t="shared" si="56"/>
        <v>3065061_1</v>
      </c>
      <c r="F506" t="s">
        <v>213</v>
      </c>
      <c r="G506">
        <v>0</v>
      </c>
      <c r="H506">
        <v>0</v>
      </c>
      <c r="I506">
        <v>0</v>
      </c>
      <c r="J506">
        <v>0</v>
      </c>
      <c r="K506">
        <v>100</v>
      </c>
      <c r="L506" t="s">
        <v>738</v>
      </c>
      <c r="M506" s="6" t="s">
        <v>739</v>
      </c>
      <c r="N506">
        <v>920</v>
      </c>
      <c r="O506">
        <v>120</v>
      </c>
      <c r="P506">
        <v>10</v>
      </c>
      <c r="Q506">
        <v>10</v>
      </c>
      <c r="R506">
        <v>0</v>
      </c>
      <c r="S506">
        <f t="shared" si="54"/>
        <v>3</v>
      </c>
      <c r="T506">
        <f t="shared" si="55"/>
        <v>61</v>
      </c>
      <c r="U506">
        <f t="shared" si="57"/>
        <v>306505</v>
      </c>
      <c r="V506">
        <f>VLOOKUP($A506,精英副本客户端!$A$2:$O$406,10,0)</f>
        <v>67</v>
      </c>
      <c r="W506">
        <f>VLOOKUP($A506,精英副本客户端!$A$2:$O$406,11,0)</f>
        <v>1</v>
      </c>
      <c r="X506">
        <f>VLOOKUP($A506,精英副本客户端!$A$2:$O$406,12,0)</f>
        <v>5</v>
      </c>
      <c r="Y506" t="str">
        <f t="shared" si="59"/>
        <v>智慧试炼（65）</v>
      </c>
    </row>
    <row r="507" spans="1:25">
      <c r="A507">
        <f t="shared" si="58"/>
        <v>306507</v>
      </c>
      <c r="B507" t="s">
        <v>1053</v>
      </c>
      <c r="C507">
        <v>0</v>
      </c>
      <c r="D507">
        <v>0</v>
      </c>
      <c r="E507" t="str">
        <f t="shared" si="56"/>
        <v>3065071_1</v>
      </c>
      <c r="F507" t="s">
        <v>213</v>
      </c>
      <c r="G507">
        <v>0</v>
      </c>
      <c r="H507">
        <v>0</v>
      </c>
      <c r="I507">
        <v>0</v>
      </c>
      <c r="J507">
        <v>0</v>
      </c>
      <c r="K507">
        <v>100</v>
      </c>
      <c r="L507" t="s">
        <v>738</v>
      </c>
      <c r="M507" s="6" t="s">
        <v>739</v>
      </c>
      <c r="N507">
        <v>920</v>
      </c>
      <c r="O507">
        <v>120</v>
      </c>
      <c r="P507">
        <v>10</v>
      </c>
      <c r="Q507">
        <v>10</v>
      </c>
      <c r="R507">
        <v>0</v>
      </c>
      <c r="S507">
        <f t="shared" si="54"/>
        <v>3</v>
      </c>
      <c r="T507">
        <f t="shared" si="55"/>
        <v>61</v>
      </c>
      <c r="U507">
        <f t="shared" si="57"/>
        <v>306506</v>
      </c>
      <c r="V507">
        <f>VLOOKUP($A507,精英副本客户端!$A$2:$O$406,10,0)</f>
        <v>67</v>
      </c>
      <c r="W507">
        <f>VLOOKUP($A507,精英副本客户端!$A$2:$O$406,11,0)</f>
        <v>0</v>
      </c>
      <c r="X507">
        <f>VLOOKUP($A507,精英副本客户端!$A$2:$O$406,12,0)</f>
        <v>1</v>
      </c>
      <c r="Y507" t="str">
        <f t="shared" si="59"/>
        <v>智慧试炼（65）</v>
      </c>
    </row>
    <row r="508" spans="1:25">
      <c r="A508">
        <f t="shared" si="58"/>
        <v>306508</v>
      </c>
      <c r="B508" t="s">
        <v>1054</v>
      </c>
      <c r="C508">
        <v>0</v>
      </c>
      <c r="D508">
        <v>0</v>
      </c>
      <c r="E508" t="str">
        <f t="shared" si="56"/>
        <v>3065081_1</v>
      </c>
      <c r="F508" t="s">
        <v>213</v>
      </c>
      <c r="G508">
        <v>0</v>
      </c>
      <c r="H508">
        <v>0</v>
      </c>
      <c r="I508">
        <v>0</v>
      </c>
      <c r="J508">
        <v>0</v>
      </c>
      <c r="K508">
        <v>100</v>
      </c>
      <c r="L508" t="s">
        <v>738</v>
      </c>
      <c r="M508" s="6" t="s">
        <v>739</v>
      </c>
      <c r="N508">
        <v>920</v>
      </c>
      <c r="O508">
        <v>120</v>
      </c>
      <c r="P508">
        <v>10</v>
      </c>
      <c r="Q508">
        <v>10</v>
      </c>
      <c r="R508">
        <v>0</v>
      </c>
      <c r="S508">
        <f t="shared" si="54"/>
        <v>3</v>
      </c>
      <c r="T508">
        <f t="shared" si="55"/>
        <v>61</v>
      </c>
      <c r="U508">
        <f t="shared" si="57"/>
        <v>306507</v>
      </c>
      <c r="V508">
        <f>VLOOKUP($A508,精英副本客户端!$A$2:$O$406,10,0)</f>
        <v>68</v>
      </c>
      <c r="W508">
        <f>VLOOKUP($A508,精英副本客户端!$A$2:$O$406,11,0)</f>
        <v>0</v>
      </c>
      <c r="X508">
        <f>VLOOKUP($A508,精英副本客户端!$A$2:$O$406,12,0)</f>
        <v>1</v>
      </c>
      <c r="Y508" t="str">
        <f t="shared" si="59"/>
        <v>智慧试炼（65）</v>
      </c>
    </row>
    <row r="509" spans="1:25">
      <c r="A509">
        <f t="shared" si="58"/>
        <v>306509</v>
      </c>
      <c r="B509" t="s">
        <v>1055</v>
      </c>
      <c r="C509">
        <v>0</v>
      </c>
      <c r="D509">
        <v>0</v>
      </c>
      <c r="E509" t="str">
        <f t="shared" si="56"/>
        <v>3065091_1</v>
      </c>
      <c r="F509" t="s">
        <v>213</v>
      </c>
      <c r="G509">
        <v>0</v>
      </c>
      <c r="H509">
        <v>0</v>
      </c>
      <c r="I509">
        <v>0</v>
      </c>
      <c r="J509">
        <v>0</v>
      </c>
      <c r="K509">
        <v>100</v>
      </c>
      <c r="L509" t="s">
        <v>738</v>
      </c>
      <c r="M509" s="6" t="s">
        <v>739</v>
      </c>
      <c r="N509">
        <v>920</v>
      </c>
      <c r="O509">
        <v>120</v>
      </c>
      <c r="P509">
        <v>10</v>
      </c>
      <c r="Q509">
        <v>10</v>
      </c>
      <c r="R509">
        <v>0</v>
      </c>
      <c r="S509">
        <f t="shared" si="54"/>
        <v>3</v>
      </c>
      <c r="T509">
        <f t="shared" si="55"/>
        <v>61</v>
      </c>
      <c r="U509">
        <f t="shared" si="57"/>
        <v>306508</v>
      </c>
      <c r="V509">
        <f>VLOOKUP($A509,精英副本客户端!$A$2:$O$406,10,0)</f>
        <v>69</v>
      </c>
      <c r="W509">
        <f>VLOOKUP($A509,精英副本客户端!$A$2:$O$406,11,0)</f>
        <v>1</v>
      </c>
      <c r="X509">
        <f>VLOOKUP($A509,精英副本客户端!$A$2:$O$406,12,0)</f>
        <v>5</v>
      </c>
      <c r="Y509" t="str">
        <f t="shared" si="59"/>
        <v>智慧试炼（65）</v>
      </c>
    </row>
    <row r="510" spans="1:25">
      <c r="A510">
        <f t="shared" si="58"/>
        <v>307001</v>
      </c>
      <c r="B510" t="s">
        <v>1048</v>
      </c>
      <c r="C510">
        <v>0</v>
      </c>
      <c r="D510">
        <v>0</v>
      </c>
      <c r="E510" t="str">
        <f t="shared" si="56"/>
        <v>3070011_1</v>
      </c>
      <c r="F510" t="s">
        <v>213</v>
      </c>
      <c r="G510">
        <v>0</v>
      </c>
      <c r="H510">
        <v>0</v>
      </c>
      <c r="I510">
        <v>0</v>
      </c>
      <c r="J510">
        <v>0</v>
      </c>
      <c r="K510">
        <v>100</v>
      </c>
      <c r="L510" t="s">
        <v>738</v>
      </c>
      <c r="M510" s="6" t="s">
        <v>739</v>
      </c>
      <c r="N510">
        <v>920</v>
      </c>
      <c r="O510">
        <v>120</v>
      </c>
      <c r="P510">
        <v>10</v>
      </c>
      <c r="Q510">
        <v>10</v>
      </c>
      <c r="R510">
        <v>0</v>
      </c>
      <c r="S510">
        <f t="shared" si="54"/>
        <v>3</v>
      </c>
      <c r="T510">
        <f t="shared" si="55"/>
        <v>66</v>
      </c>
      <c r="U510">
        <f t="shared" si="57"/>
        <v>306509</v>
      </c>
      <c r="V510">
        <f>VLOOKUP($A510,精英副本客户端!$A$2:$O$406,10,0)</f>
        <v>70</v>
      </c>
      <c r="W510">
        <f>VLOOKUP($A510,精英副本客户端!$A$2:$O$406,11,0)</f>
        <v>0</v>
      </c>
      <c r="X510">
        <f>VLOOKUP($A510,精英副本客户端!$A$2:$O$406,12,0)</f>
        <v>1</v>
      </c>
      <c r="Y510" t="str">
        <f t="shared" si="59"/>
        <v>智慧试炼（70）</v>
      </c>
    </row>
    <row r="511" spans="1:25">
      <c r="A511">
        <f t="shared" si="58"/>
        <v>307002</v>
      </c>
      <c r="B511" t="s">
        <v>1070</v>
      </c>
      <c r="C511">
        <v>0</v>
      </c>
      <c r="D511">
        <v>0</v>
      </c>
      <c r="E511" t="str">
        <f t="shared" si="56"/>
        <v>3070021_1</v>
      </c>
      <c r="F511" t="s">
        <v>213</v>
      </c>
      <c r="G511">
        <v>0</v>
      </c>
      <c r="H511">
        <v>0</v>
      </c>
      <c r="I511">
        <v>0</v>
      </c>
      <c r="J511">
        <v>0</v>
      </c>
      <c r="K511">
        <v>100</v>
      </c>
      <c r="L511" t="s">
        <v>738</v>
      </c>
      <c r="M511" s="6" t="s">
        <v>739</v>
      </c>
      <c r="N511">
        <v>920</v>
      </c>
      <c r="O511">
        <v>120</v>
      </c>
      <c r="P511">
        <v>10</v>
      </c>
      <c r="Q511">
        <v>10</v>
      </c>
      <c r="R511">
        <v>0</v>
      </c>
      <c r="S511">
        <f t="shared" si="54"/>
        <v>3</v>
      </c>
      <c r="T511">
        <f t="shared" si="55"/>
        <v>66</v>
      </c>
      <c r="U511">
        <f t="shared" si="57"/>
        <v>307001</v>
      </c>
      <c r="V511">
        <f>VLOOKUP($A511,精英副本客户端!$A$2:$O$406,10,0)</f>
        <v>70</v>
      </c>
      <c r="W511">
        <f>VLOOKUP($A511,精英副本客户端!$A$2:$O$406,11,0)</f>
        <v>0</v>
      </c>
      <c r="X511">
        <f>VLOOKUP($A511,精英副本客户端!$A$2:$O$406,12,0)</f>
        <v>1</v>
      </c>
      <c r="Y511" t="str">
        <f t="shared" si="59"/>
        <v>智慧试炼（70）</v>
      </c>
    </row>
    <row r="512" spans="1:25">
      <c r="A512">
        <f t="shared" si="58"/>
        <v>307003</v>
      </c>
      <c r="B512" t="s">
        <v>1071</v>
      </c>
      <c r="C512">
        <v>0</v>
      </c>
      <c r="D512">
        <v>0</v>
      </c>
      <c r="E512" t="str">
        <f t="shared" si="56"/>
        <v>3070031_1</v>
      </c>
      <c r="F512" t="s">
        <v>213</v>
      </c>
      <c r="G512">
        <v>0</v>
      </c>
      <c r="H512">
        <v>0</v>
      </c>
      <c r="I512">
        <v>0</v>
      </c>
      <c r="J512">
        <v>0</v>
      </c>
      <c r="K512">
        <v>100</v>
      </c>
      <c r="L512" t="s">
        <v>738</v>
      </c>
      <c r="M512" s="6" t="s">
        <v>739</v>
      </c>
      <c r="N512">
        <v>920</v>
      </c>
      <c r="O512">
        <v>120</v>
      </c>
      <c r="P512">
        <v>10</v>
      </c>
      <c r="Q512">
        <v>10</v>
      </c>
      <c r="R512">
        <v>0</v>
      </c>
      <c r="S512">
        <f t="shared" si="54"/>
        <v>3</v>
      </c>
      <c r="T512">
        <f t="shared" si="55"/>
        <v>66</v>
      </c>
      <c r="U512">
        <f t="shared" si="57"/>
        <v>307002</v>
      </c>
      <c r="V512">
        <f>VLOOKUP($A512,精英副本客户端!$A$2:$O$406,10,0)</f>
        <v>71</v>
      </c>
      <c r="W512">
        <f>VLOOKUP($A512,精英副本客户端!$A$2:$O$406,11,0)</f>
        <v>1</v>
      </c>
      <c r="X512">
        <f>VLOOKUP($A512,精英副本客户端!$A$2:$O$406,12,0)</f>
        <v>5</v>
      </c>
      <c r="Y512" t="str">
        <f t="shared" si="59"/>
        <v>智慧试炼（70）</v>
      </c>
    </row>
    <row r="513" spans="1:25">
      <c r="A513">
        <f t="shared" si="58"/>
        <v>307004</v>
      </c>
      <c r="B513" t="s">
        <v>1050</v>
      </c>
      <c r="C513">
        <v>0</v>
      </c>
      <c r="D513">
        <v>0</v>
      </c>
      <c r="E513" t="str">
        <f t="shared" si="56"/>
        <v>3070041_1</v>
      </c>
      <c r="F513" t="s">
        <v>213</v>
      </c>
      <c r="G513">
        <v>0</v>
      </c>
      <c r="H513">
        <v>0</v>
      </c>
      <c r="I513">
        <v>0</v>
      </c>
      <c r="J513">
        <v>0</v>
      </c>
      <c r="K513">
        <v>100</v>
      </c>
      <c r="L513" t="s">
        <v>738</v>
      </c>
      <c r="M513" s="6" t="s">
        <v>739</v>
      </c>
      <c r="N513">
        <v>920</v>
      </c>
      <c r="O513">
        <v>120</v>
      </c>
      <c r="P513">
        <v>10</v>
      </c>
      <c r="Q513">
        <v>10</v>
      </c>
      <c r="R513">
        <v>0</v>
      </c>
      <c r="S513">
        <f t="shared" si="54"/>
        <v>3</v>
      </c>
      <c r="T513">
        <f t="shared" si="55"/>
        <v>66</v>
      </c>
      <c r="U513">
        <f t="shared" si="57"/>
        <v>307003</v>
      </c>
      <c r="V513">
        <f>VLOOKUP($A513,精英副本客户端!$A$2:$O$406,10,0)</f>
        <v>71</v>
      </c>
      <c r="W513">
        <f>VLOOKUP($A513,精英副本客户端!$A$2:$O$406,11,0)</f>
        <v>0</v>
      </c>
      <c r="X513">
        <f>VLOOKUP($A513,精英副本客户端!$A$2:$O$406,12,0)</f>
        <v>1</v>
      </c>
      <c r="Y513" t="str">
        <f t="shared" si="59"/>
        <v>智慧试炼（70）</v>
      </c>
    </row>
    <row r="514" spans="1:25">
      <c r="A514">
        <f t="shared" si="58"/>
        <v>307005</v>
      </c>
      <c r="B514" t="s">
        <v>1051</v>
      </c>
      <c r="C514">
        <v>0</v>
      </c>
      <c r="D514">
        <v>0</v>
      </c>
      <c r="E514" t="str">
        <f t="shared" si="56"/>
        <v>3070051_1</v>
      </c>
      <c r="F514" t="s">
        <v>213</v>
      </c>
      <c r="G514">
        <v>0</v>
      </c>
      <c r="H514">
        <v>0</v>
      </c>
      <c r="I514">
        <v>0</v>
      </c>
      <c r="J514">
        <v>0</v>
      </c>
      <c r="K514">
        <v>100</v>
      </c>
      <c r="L514" t="s">
        <v>738</v>
      </c>
      <c r="M514" s="6" t="s">
        <v>739</v>
      </c>
      <c r="N514">
        <v>920</v>
      </c>
      <c r="O514">
        <v>120</v>
      </c>
      <c r="P514">
        <v>10</v>
      </c>
      <c r="Q514">
        <v>10</v>
      </c>
      <c r="R514">
        <v>0</v>
      </c>
      <c r="S514">
        <f t="shared" si="54"/>
        <v>3</v>
      </c>
      <c r="T514">
        <f t="shared" si="55"/>
        <v>66</v>
      </c>
      <c r="U514">
        <f t="shared" si="57"/>
        <v>307004</v>
      </c>
      <c r="V514">
        <f>VLOOKUP($A514,精英副本客户端!$A$2:$O$406,10,0)</f>
        <v>71</v>
      </c>
      <c r="W514">
        <f>VLOOKUP($A514,精英副本客户端!$A$2:$O$406,11,0)</f>
        <v>0</v>
      </c>
      <c r="X514">
        <f>VLOOKUP($A514,精英副本客户端!$A$2:$O$406,12,0)</f>
        <v>1</v>
      </c>
      <c r="Y514" t="str">
        <f t="shared" si="59"/>
        <v>智慧试炼（70）</v>
      </c>
    </row>
    <row r="515" spans="1:25">
      <c r="A515">
        <f t="shared" si="58"/>
        <v>307006</v>
      </c>
      <c r="B515" t="s">
        <v>1049</v>
      </c>
      <c r="C515">
        <v>0</v>
      </c>
      <c r="D515">
        <v>0</v>
      </c>
      <c r="E515" t="str">
        <f t="shared" si="56"/>
        <v>3070061_1</v>
      </c>
      <c r="F515" t="s">
        <v>213</v>
      </c>
      <c r="G515">
        <v>0</v>
      </c>
      <c r="H515">
        <v>0</v>
      </c>
      <c r="I515">
        <v>0</v>
      </c>
      <c r="J515">
        <v>0</v>
      </c>
      <c r="K515">
        <v>100</v>
      </c>
      <c r="L515" t="s">
        <v>738</v>
      </c>
      <c r="M515" s="6" t="s">
        <v>739</v>
      </c>
      <c r="N515">
        <v>920</v>
      </c>
      <c r="O515">
        <v>120</v>
      </c>
      <c r="P515">
        <v>10</v>
      </c>
      <c r="Q515">
        <v>10</v>
      </c>
      <c r="R515">
        <v>0</v>
      </c>
      <c r="S515">
        <f t="shared" si="54"/>
        <v>3</v>
      </c>
      <c r="T515">
        <f t="shared" si="55"/>
        <v>66</v>
      </c>
      <c r="U515">
        <f t="shared" si="57"/>
        <v>307005</v>
      </c>
      <c r="V515">
        <f>VLOOKUP($A515,精英副本客户端!$A$2:$O$406,10,0)</f>
        <v>72</v>
      </c>
      <c r="W515">
        <f>VLOOKUP($A515,精英副本客户端!$A$2:$O$406,11,0)</f>
        <v>1</v>
      </c>
      <c r="X515">
        <f>VLOOKUP($A515,精英副本客户端!$A$2:$O$406,12,0)</f>
        <v>5</v>
      </c>
      <c r="Y515" t="str">
        <f t="shared" si="59"/>
        <v>智慧试炼（70）</v>
      </c>
    </row>
    <row r="516" spans="1:25">
      <c r="A516">
        <f t="shared" si="58"/>
        <v>307007</v>
      </c>
      <c r="B516" t="s">
        <v>1053</v>
      </c>
      <c r="C516">
        <v>0</v>
      </c>
      <c r="D516">
        <v>0</v>
      </c>
      <c r="E516" t="str">
        <f t="shared" si="56"/>
        <v>3070071_1</v>
      </c>
      <c r="F516" t="s">
        <v>213</v>
      </c>
      <c r="G516">
        <v>0</v>
      </c>
      <c r="H516">
        <v>0</v>
      </c>
      <c r="I516">
        <v>0</v>
      </c>
      <c r="J516">
        <v>0</v>
      </c>
      <c r="K516">
        <v>100</v>
      </c>
      <c r="L516" t="s">
        <v>738</v>
      </c>
      <c r="M516" s="6" t="s">
        <v>739</v>
      </c>
      <c r="N516">
        <v>920</v>
      </c>
      <c r="O516">
        <v>120</v>
      </c>
      <c r="P516">
        <v>10</v>
      </c>
      <c r="Q516">
        <v>10</v>
      </c>
      <c r="R516">
        <v>0</v>
      </c>
      <c r="S516">
        <f t="shared" si="54"/>
        <v>3</v>
      </c>
      <c r="T516">
        <f t="shared" si="55"/>
        <v>66</v>
      </c>
      <c r="U516">
        <f t="shared" si="57"/>
        <v>307006</v>
      </c>
      <c r="V516">
        <f>VLOOKUP($A516,精英副本客户端!$A$2:$O$406,10,0)</f>
        <v>72</v>
      </c>
      <c r="W516">
        <f>VLOOKUP($A516,精英副本客户端!$A$2:$O$406,11,0)</f>
        <v>0</v>
      </c>
      <c r="X516">
        <f>VLOOKUP($A516,精英副本客户端!$A$2:$O$406,12,0)</f>
        <v>1</v>
      </c>
      <c r="Y516" t="str">
        <f t="shared" si="59"/>
        <v>智慧试炼（70）</v>
      </c>
    </row>
    <row r="517" spans="1:25">
      <c r="A517">
        <f t="shared" si="58"/>
        <v>307008</v>
      </c>
      <c r="B517" t="s">
        <v>1054</v>
      </c>
      <c r="C517">
        <v>0</v>
      </c>
      <c r="D517">
        <v>0</v>
      </c>
      <c r="E517" t="str">
        <f t="shared" si="56"/>
        <v>3070081_1</v>
      </c>
      <c r="F517" t="s">
        <v>213</v>
      </c>
      <c r="G517">
        <v>0</v>
      </c>
      <c r="H517">
        <v>0</v>
      </c>
      <c r="I517">
        <v>0</v>
      </c>
      <c r="J517">
        <v>0</v>
      </c>
      <c r="K517">
        <v>100</v>
      </c>
      <c r="L517" t="s">
        <v>738</v>
      </c>
      <c r="M517" s="6" t="s">
        <v>739</v>
      </c>
      <c r="N517">
        <v>920</v>
      </c>
      <c r="O517">
        <v>120</v>
      </c>
      <c r="P517">
        <v>10</v>
      </c>
      <c r="Q517">
        <v>10</v>
      </c>
      <c r="R517">
        <v>0</v>
      </c>
      <c r="S517">
        <f t="shared" si="54"/>
        <v>3</v>
      </c>
      <c r="T517">
        <f t="shared" si="55"/>
        <v>66</v>
      </c>
      <c r="U517">
        <f t="shared" si="57"/>
        <v>307007</v>
      </c>
      <c r="V517">
        <f>VLOOKUP($A517,精英副本客户端!$A$2:$O$406,10,0)</f>
        <v>73</v>
      </c>
      <c r="W517">
        <f>VLOOKUP($A517,精英副本客户端!$A$2:$O$406,11,0)</f>
        <v>0</v>
      </c>
      <c r="X517">
        <f>VLOOKUP($A517,精英副本客户端!$A$2:$O$406,12,0)</f>
        <v>1</v>
      </c>
      <c r="Y517" t="str">
        <f t="shared" si="59"/>
        <v>智慧试炼（70）</v>
      </c>
    </row>
    <row r="518" spans="1:25">
      <c r="A518">
        <f t="shared" si="58"/>
        <v>307009</v>
      </c>
      <c r="B518" t="s">
        <v>1055</v>
      </c>
      <c r="C518">
        <v>0</v>
      </c>
      <c r="D518">
        <v>0</v>
      </c>
      <c r="E518" t="str">
        <f t="shared" si="56"/>
        <v>3070091_1</v>
      </c>
      <c r="F518" t="s">
        <v>213</v>
      </c>
      <c r="G518">
        <v>0</v>
      </c>
      <c r="H518">
        <v>0</v>
      </c>
      <c r="I518">
        <v>0</v>
      </c>
      <c r="J518">
        <v>0</v>
      </c>
      <c r="K518">
        <v>100</v>
      </c>
      <c r="L518" t="s">
        <v>738</v>
      </c>
      <c r="M518" s="6" t="s">
        <v>739</v>
      </c>
      <c r="N518">
        <v>920</v>
      </c>
      <c r="O518">
        <v>120</v>
      </c>
      <c r="P518">
        <v>10</v>
      </c>
      <c r="Q518">
        <v>10</v>
      </c>
      <c r="R518">
        <v>0</v>
      </c>
      <c r="S518">
        <f t="shared" ref="S518:S572" si="60">ROUNDDOWN(A518/100000,0)</f>
        <v>3</v>
      </c>
      <c r="T518">
        <f t="shared" ref="T518:T572" si="61">MID(A518,2,3)-4</f>
        <v>66</v>
      </c>
      <c r="U518">
        <f t="shared" si="57"/>
        <v>307008</v>
      </c>
      <c r="V518">
        <f>VLOOKUP($A518,精英副本客户端!$A$2:$O$406,10,0)</f>
        <v>74</v>
      </c>
      <c r="W518">
        <f>VLOOKUP($A518,精英副本客户端!$A$2:$O$406,11,0)</f>
        <v>1</v>
      </c>
      <c r="X518">
        <f>VLOOKUP($A518,精英副本客户端!$A$2:$O$406,12,0)</f>
        <v>5</v>
      </c>
      <c r="Y518" t="str">
        <f t="shared" si="59"/>
        <v>智慧试炼（70）</v>
      </c>
    </row>
    <row r="519" spans="1:25">
      <c r="A519">
        <f t="shared" si="58"/>
        <v>307501</v>
      </c>
      <c r="B519" t="s">
        <v>1048</v>
      </c>
      <c r="C519">
        <v>0</v>
      </c>
      <c r="D519">
        <v>0</v>
      </c>
      <c r="E519" t="str">
        <f t="shared" ref="E519:E572" si="62">A519&amp;"1"&amp;"_1"</f>
        <v>3075011_1</v>
      </c>
      <c r="F519" t="s">
        <v>213</v>
      </c>
      <c r="G519">
        <v>0</v>
      </c>
      <c r="H519">
        <v>0</v>
      </c>
      <c r="I519">
        <v>0</v>
      </c>
      <c r="J519">
        <v>0</v>
      </c>
      <c r="K519">
        <v>100</v>
      </c>
      <c r="L519" t="s">
        <v>738</v>
      </c>
      <c r="M519" s="6" t="s">
        <v>739</v>
      </c>
      <c r="N519">
        <v>920</v>
      </c>
      <c r="O519">
        <v>120</v>
      </c>
      <c r="P519">
        <v>10</v>
      </c>
      <c r="Q519">
        <v>10</v>
      </c>
      <c r="R519">
        <v>0</v>
      </c>
      <c r="S519">
        <f t="shared" si="60"/>
        <v>3</v>
      </c>
      <c r="T519">
        <f t="shared" si="61"/>
        <v>71</v>
      </c>
      <c r="U519">
        <f t="shared" ref="U519:U572" si="63">A518</f>
        <v>307009</v>
      </c>
      <c r="V519">
        <f>VLOOKUP($A519,精英副本客户端!$A$2:$O$406,10,0)</f>
        <v>75</v>
      </c>
      <c r="W519">
        <f>VLOOKUP($A519,精英副本客户端!$A$2:$O$406,11,0)</f>
        <v>0</v>
      </c>
      <c r="X519">
        <f>VLOOKUP($A519,精英副本客户端!$A$2:$O$406,12,0)</f>
        <v>1</v>
      </c>
      <c r="Y519" t="str">
        <f t="shared" si="59"/>
        <v>智慧试炼（75）</v>
      </c>
    </row>
    <row r="520" spans="1:25">
      <c r="A520">
        <f t="shared" si="58"/>
        <v>307502</v>
      </c>
      <c r="B520" t="s">
        <v>1070</v>
      </c>
      <c r="C520">
        <v>0</v>
      </c>
      <c r="D520">
        <v>0</v>
      </c>
      <c r="E520" t="str">
        <f t="shared" si="62"/>
        <v>3075021_1</v>
      </c>
      <c r="F520" t="s">
        <v>213</v>
      </c>
      <c r="G520">
        <v>0</v>
      </c>
      <c r="H520">
        <v>0</v>
      </c>
      <c r="I520">
        <v>0</v>
      </c>
      <c r="J520">
        <v>0</v>
      </c>
      <c r="K520">
        <v>100</v>
      </c>
      <c r="L520" t="s">
        <v>738</v>
      </c>
      <c r="M520" s="6" t="s">
        <v>739</v>
      </c>
      <c r="N520">
        <v>920</v>
      </c>
      <c r="O520">
        <v>120</v>
      </c>
      <c r="P520">
        <v>10</v>
      </c>
      <c r="Q520">
        <v>10</v>
      </c>
      <c r="R520">
        <v>0</v>
      </c>
      <c r="S520">
        <f t="shared" si="60"/>
        <v>3</v>
      </c>
      <c r="T520">
        <f t="shared" si="61"/>
        <v>71</v>
      </c>
      <c r="U520">
        <f t="shared" si="63"/>
        <v>307501</v>
      </c>
      <c r="V520">
        <f>VLOOKUP($A520,精英副本客户端!$A$2:$O$406,10,0)</f>
        <v>75</v>
      </c>
      <c r="W520">
        <f>VLOOKUP($A520,精英副本客户端!$A$2:$O$406,11,0)</f>
        <v>0</v>
      </c>
      <c r="X520">
        <f>VLOOKUP($A520,精英副本客户端!$A$2:$O$406,12,0)</f>
        <v>1</v>
      </c>
      <c r="Y520" t="str">
        <f t="shared" si="59"/>
        <v>智慧试炼（75）</v>
      </c>
    </row>
    <row r="521" spans="1:25">
      <c r="A521">
        <f t="shared" si="58"/>
        <v>307503</v>
      </c>
      <c r="B521" t="s">
        <v>1071</v>
      </c>
      <c r="C521">
        <v>0</v>
      </c>
      <c r="D521">
        <v>0</v>
      </c>
      <c r="E521" t="str">
        <f t="shared" si="62"/>
        <v>3075031_1</v>
      </c>
      <c r="F521" t="s">
        <v>213</v>
      </c>
      <c r="G521">
        <v>0</v>
      </c>
      <c r="H521">
        <v>0</v>
      </c>
      <c r="I521">
        <v>0</v>
      </c>
      <c r="J521">
        <v>0</v>
      </c>
      <c r="K521">
        <v>100</v>
      </c>
      <c r="L521" t="s">
        <v>738</v>
      </c>
      <c r="M521" s="6" t="s">
        <v>739</v>
      </c>
      <c r="N521">
        <v>920</v>
      </c>
      <c r="O521">
        <v>120</v>
      </c>
      <c r="P521">
        <v>10</v>
      </c>
      <c r="Q521">
        <v>10</v>
      </c>
      <c r="R521">
        <v>0</v>
      </c>
      <c r="S521">
        <f t="shared" si="60"/>
        <v>3</v>
      </c>
      <c r="T521">
        <f t="shared" si="61"/>
        <v>71</v>
      </c>
      <c r="U521">
        <f t="shared" si="63"/>
        <v>307502</v>
      </c>
      <c r="V521">
        <f>VLOOKUP($A521,精英副本客户端!$A$2:$O$406,10,0)</f>
        <v>76</v>
      </c>
      <c r="W521">
        <f>VLOOKUP($A521,精英副本客户端!$A$2:$O$406,11,0)</f>
        <v>1</v>
      </c>
      <c r="X521">
        <f>VLOOKUP($A521,精英副本客户端!$A$2:$O$406,12,0)</f>
        <v>5</v>
      </c>
      <c r="Y521" t="str">
        <f t="shared" si="59"/>
        <v>智慧试炼（75）</v>
      </c>
    </row>
    <row r="522" spans="1:25">
      <c r="A522">
        <f t="shared" si="58"/>
        <v>307504</v>
      </c>
      <c r="B522" t="s">
        <v>1050</v>
      </c>
      <c r="C522">
        <v>0</v>
      </c>
      <c r="D522">
        <v>0</v>
      </c>
      <c r="E522" t="str">
        <f t="shared" si="62"/>
        <v>3075041_1</v>
      </c>
      <c r="F522" t="s">
        <v>213</v>
      </c>
      <c r="G522">
        <v>0</v>
      </c>
      <c r="H522">
        <v>0</v>
      </c>
      <c r="I522">
        <v>0</v>
      </c>
      <c r="J522">
        <v>0</v>
      </c>
      <c r="K522">
        <v>100</v>
      </c>
      <c r="L522" t="s">
        <v>738</v>
      </c>
      <c r="M522" s="6" t="s">
        <v>739</v>
      </c>
      <c r="N522">
        <v>920</v>
      </c>
      <c r="O522">
        <v>120</v>
      </c>
      <c r="P522">
        <v>10</v>
      </c>
      <c r="Q522">
        <v>10</v>
      </c>
      <c r="R522">
        <v>0</v>
      </c>
      <c r="S522">
        <f t="shared" si="60"/>
        <v>3</v>
      </c>
      <c r="T522">
        <f t="shared" si="61"/>
        <v>71</v>
      </c>
      <c r="U522">
        <f t="shared" si="63"/>
        <v>307503</v>
      </c>
      <c r="V522">
        <f>VLOOKUP($A522,精英副本客户端!$A$2:$O$406,10,0)</f>
        <v>76</v>
      </c>
      <c r="W522">
        <f>VLOOKUP($A522,精英副本客户端!$A$2:$O$406,11,0)</f>
        <v>0</v>
      </c>
      <c r="X522">
        <f>VLOOKUP($A522,精英副本客户端!$A$2:$O$406,12,0)</f>
        <v>1</v>
      </c>
      <c r="Y522" t="str">
        <f t="shared" si="59"/>
        <v>智慧试炼（75）</v>
      </c>
    </row>
    <row r="523" spans="1:25">
      <c r="A523">
        <f t="shared" si="58"/>
        <v>307505</v>
      </c>
      <c r="B523" t="s">
        <v>1051</v>
      </c>
      <c r="C523">
        <v>0</v>
      </c>
      <c r="D523">
        <v>0</v>
      </c>
      <c r="E523" t="str">
        <f t="shared" si="62"/>
        <v>3075051_1</v>
      </c>
      <c r="F523" t="s">
        <v>213</v>
      </c>
      <c r="G523">
        <v>0</v>
      </c>
      <c r="H523">
        <v>0</v>
      </c>
      <c r="I523">
        <v>0</v>
      </c>
      <c r="J523">
        <v>0</v>
      </c>
      <c r="K523">
        <v>100</v>
      </c>
      <c r="L523" t="s">
        <v>738</v>
      </c>
      <c r="M523" s="6" t="s">
        <v>739</v>
      </c>
      <c r="N523">
        <v>920</v>
      </c>
      <c r="O523">
        <v>120</v>
      </c>
      <c r="P523">
        <v>10</v>
      </c>
      <c r="Q523">
        <v>10</v>
      </c>
      <c r="R523">
        <v>0</v>
      </c>
      <c r="S523">
        <f t="shared" si="60"/>
        <v>3</v>
      </c>
      <c r="T523">
        <f t="shared" si="61"/>
        <v>71</v>
      </c>
      <c r="U523">
        <f t="shared" si="63"/>
        <v>307504</v>
      </c>
      <c r="V523">
        <f>VLOOKUP($A523,精英副本客户端!$A$2:$O$406,10,0)</f>
        <v>76</v>
      </c>
      <c r="W523">
        <f>VLOOKUP($A523,精英副本客户端!$A$2:$O$406,11,0)</f>
        <v>0</v>
      </c>
      <c r="X523">
        <f>VLOOKUP($A523,精英副本客户端!$A$2:$O$406,12,0)</f>
        <v>1</v>
      </c>
      <c r="Y523" t="str">
        <f t="shared" si="59"/>
        <v>智慧试炼（75）</v>
      </c>
    </row>
    <row r="524" spans="1:25">
      <c r="A524">
        <f t="shared" si="58"/>
        <v>307506</v>
      </c>
      <c r="B524" t="s">
        <v>1049</v>
      </c>
      <c r="C524">
        <v>0</v>
      </c>
      <c r="D524">
        <v>0</v>
      </c>
      <c r="E524" t="str">
        <f t="shared" si="62"/>
        <v>3075061_1</v>
      </c>
      <c r="F524" t="s">
        <v>213</v>
      </c>
      <c r="G524">
        <v>0</v>
      </c>
      <c r="H524">
        <v>0</v>
      </c>
      <c r="I524">
        <v>0</v>
      </c>
      <c r="J524">
        <v>0</v>
      </c>
      <c r="K524">
        <v>100</v>
      </c>
      <c r="L524" t="s">
        <v>738</v>
      </c>
      <c r="M524" s="6" t="s">
        <v>739</v>
      </c>
      <c r="N524">
        <v>920</v>
      </c>
      <c r="O524">
        <v>120</v>
      </c>
      <c r="P524">
        <v>10</v>
      </c>
      <c r="Q524">
        <v>10</v>
      </c>
      <c r="R524">
        <v>0</v>
      </c>
      <c r="S524">
        <f t="shared" si="60"/>
        <v>3</v>
      </c>
      <c r="T524">
        <f t="shared" si="61"/>
        <v>71</v>
      </c>
      <c r="U524">
        <f t="shared" si="63"/>
        <v>307505</v>
      </c>
      <c r="V524">
        <f>VLOOKUP($A524,精英副本客户端!$A$2:$O$406,10,0)</f>
        <v>77</v>
      </c>
      <c r="W524">
        <f>VLOOKUP($A524,精英副本客户端!$A$2:$O$406,11,0)</f>
        <v>1</v>
      </c>
      <c r="X524">
        <f>VLOOKUP($A524,精英副本客户端!$A$2:$O$406,12,0)</f>
        <v>5</v>
      </c>
      <c r="Y524" t="str">
        <f t="shared" si="59"/>
        <v>智慧试炼（75）</v>
      </c>
    </row>
    <row r="525" spans="1:25">
      <c r="A525">
        <f t="shared" si="58"/>
        <v>307507</v>
      </c>
      <c r="B525" t="s">
        <v>1053</v>
      </c>
      <c r="C525">
        <v>0</v>
      </c>
      <c r="D525">
        <v>0</v>
      </c>
      <c r="E525" t="str">
        <f t="shared" si="62"/>
        <v>3075071_1</v>
      </c>
      <c r="F525" t="s">
        <v>213</v>
      </c>
      <c r="G525">
        <v>0</v>
      </c>
      <c r="H525">
        <v>0</v>
      </c>
      <c r="I525">
        <v>0</v>
      </c>
      <c r="J525">
        <v>0</v>
      </c>
      <c r="K525">
        <v>100</v>
      </c>
      <c r="L525" t="s">
        <v>738</v>
      </c>
      <c r="M525" s="6" t="s">
        <v>739</v>
      </c>
      <c r="N525">
        <v>920</v>
      </c>
      <c r="O525">
        <v>120</v>
      </c>
      <c r="P525">
        <v>10</v>
      </c>
      <c r="Q525">
        <v>10</v>
      </c>
      <c r="R525">
        <v>0</v>
      </c>
      <c r="S525">
        <f t="shared" si="60"/>
        <v>3</v>
      </c>
      <c r="T525">
        <f t="shared" si="61"/>
        <v>71</v>
      </c>
      <c r="U525">
        <f t="shared" si="63"/>
        <v>307506</v>
      </c>
      <c r="V525">
        <f>VLOOKUP($A525,精英副本客户端!$A$2:$O$406,10,0)</f>
        <v>77</v>
      </c>
      <c r="W525">
        <f>VLOOKUP($A525,精英副本客户端!$A$2:$O$406,11,0)</f>
        <v>0</v>
      </c>
      <c r="X525">
        <f>VLOOKUP($A525,精英副本客户端!$A$2:$O$406,12,0)</f>
        <v>1</v>
      </c>
      <c r="Y525" t="str">
        <f t="shared" si="59"/>
        <v>智慧试炼（75）</v>
      </c>
    </row>
    <row r="526" spans="1:25">
      <c r="A526">
        <f t="shared" si="58"/>
        <v>307508</v>
      </c>
      <c r="B526" t="s">
        <v>1054</v>
      </c>
      <c r="C526">
        <v>0</v>
      </c>
      <c r="D526">
        <v>0</v>
      </c>
      <c r="E526" t="str">
        <f t="shared" si="62"/>
        <v>3075081_1</v>
      </c>
      <c r="F526" t="s">
        <v>213</v>
      </c>
      <c r="G526">
        <v>0</v>
      </c>
      <c r="H526">
        <v>0</v>
      </c>
      <c r="I526">
        <v>0</v>
      </c>
      <c r="J526">
        <v>0</v>
      </c>
      <c r="K526">
        <v>100</v>
      </c>
      <c r="L526" t="s">
        <v>738</v>
      </c>
      <c r="M526" s="6" t="s">
        <v>739</v>
      </c>
      <c r="N526">
        <v>920</v>
      </c>
      <c r="O526">
        <v>120</v>
      </c>
      <c r="P526">
        <v>10</v>
      </c>
      <c r="Q526">
        <v>10</v>
      </c>
      <c r="R526">
        <v>0</v>
      </c>
      <c r="S526">
        <f t="shared" si="60"/>
        <v>3</v>
      </c>
      <c r="T526">
        <f t="shared" si="61"/>
        <v>71</v>
      </c>
      <c r="U526">
        <f t="shared" si="63"/>
        <v>307507</v>
      </c>
      <c r="V526">
        <f>VLOOKUP($A526,精英副本客户端!$A$2:$O$406,10,0)</f>
        <v>78</v>
      </c>
      <c r="W526">
        <f>VLOOKUP($A526,精英副本客户端!$A$2:$O$406,11,0)</f>
        <v>0</v>
      </c>
      <c r="X526">
        <f>VLOOKUP($A526,精英副本客户端!$A$2:$O$406,12,0)</f>
        <v>1</v>
      </c>
      <c r="Y526" t="str">
        <f t="shared" si="59"/>
        <v>智慧试炼（75）</v>
      </c>
    </row>
    <row r="527" spans="1:25">
      <c r="A527">
        <f t="shared" si="58"/>
        <v>307509</v>
      </c>
      <c r="B527" t="s">
        <v>1055</v>
      </c>
      <c r="C527">
        <v>0</v>
      </c>
      <c r="D527">
        <v>0</v>
      </c>
      <c r="E527" t="str">
        <f t="shared" si="62"/>
        <v>3075091_1</v>
      </c>
      <c r="F527" t="s">
        <v>213</v>
      </c>
      <c r="G527">
        <v>0</v>
      </c>
      <c r="H527">
        <v>0</v>
      </c>
      <c r="I527">
        <v>0</v>
      </c>
      <c r="J527">
        <v>0</v>
      </c>
      <c r="K527">
        <v>100</v>
      </c>
      <c r="L527" t="s">
        <v>738</v>
      </c>
      <c r="M527" s="6" t="s">
        <v>739</v>
      </c>
      <c r="N527">
        <v>920</v>
      </c>
      <c r="O527">
        <v>120</v>
      </c>
      <c r="P527">
        <v>10</v>
      </c>
      <c r="Q527">
        <v>10</v>
      </c>
      <c r="R527">
        <v>0</v>
      </c>
      <c r="S527">
        <f t="shared" si="60"/>
        <v>3</v>
      </c>
      <c r="T527">
        <f t="shared" si="61"/>
        <v>71</v>
      </c>
      <c r="U527">
        <f t="shared" si="63"/>
        <v>307508</v>
      </c>
      <c r="V527">
        <f>VLOOKUP($A527,精英副本客户端!$A$2:$O$406,10,0)</f>
        <v>79</v>
      </c>
      <c r="W527">
        <f>VLOOKUP($A527,精英副本客户端!$A$2:$O$406,11,0)</f>
        <v>1</v>
      </c>
      <c r="X527">
        <f>VLOOKUP($A527,精英副本客户端!$A$2:$O$406,12,0)</f>
        <v>5</v>
      </c>
      <c r="Y527" t="str">
        <f t="shared" si="59"/>
        <v>智慧试炼（75）</v>
      </c>
    </row>
    <row r="528" spans="1:25">
      <c r="A528">
        <f t="shared" si="58"/>
        <v>308001</v>
      </c>
      <c r="B528" t="s">
        <v>1048</v>
      </c>
      <c r="C528">
        <v>0</v>
      </c>
      <c r="D528">
        <v>0</v>
      </c>
      <c r="E528" t="str">
        <f t="shared" si="62"/>
        <v>3080011_1</v>
      </c>
      <c r="F528" t="s">
        <v>213</v>
      </c>
      <c r="G528">
        <v>0</v>
      </c>
      <c r="H528">
        <v>0</v>
      </c>
      <c r="I528">
        <v>0</v>
      </c>
      <c r="J528">
        <v>0</v>
      </c>
      <c r="K528">
        <v>100</v>
      </c>
      <c r="L528" t="s">
        <v>738</v>
      </c>
      <c r="M528" s="6" t="s">
        <v>739</v>
      </c>
      <c r="N528">
        <v>920</v>
      </c>
      <c r="O528">
        <v>120</v>
      </c>
      <c r="P528">
        <v>10</v>
      </c>
      <c r="Q528">
        <v>10</v>
      </c>
      <c r="R528">
        <v>0</v>
      </c>
      <c r="S528">
        <f t="shared" si="60"/>
        <v>3</v>
      </c>
      <c r="T528">
        <f t="shared" si="61"/>
        <v>76</v>
      </c>
      <c r="U528">
        <f t="shared" si="63"/>
        <v>307509</v>
      </c>
      <c r="V528">
        <f>VLOOKUP($A528,精英副本客户端!$A$2:$O$406,10,0)</f>
        <v>80</v>
      </c>
      <c r="W528">
        <f>VLOOKUP($A528,精英副本客户端!$A$2:$O$406,11,0)</f>
        <v>0</v>
      </c>
      <c r="X528">
        <f>VLOOKUP($A528,精英副本客户端!$A$2:$O$406,12,0)</f>
        <v>1</v>
      </c>
      <c r="Y528" t="str">
        <f t="shared" si="59"/>
        <v>智慧试炼（80）</v>
      </c>
    </row>
    <row r="529" spans="1:25">
      <c r="A529">
        <f t="shared" si="58"/>
        <v>308002</v>
      </c>
      <c r="B529" t="s">
        <v>1070</v>
      </c>
      <c r="C529">
        <v>0</v>
      </c>
      <c r="D529">
        <v>0</v>
      </c>
      <c r="E529" t="str">
        <f t="shared" si="62"/>
        <v>3080021_1</v>
      </c>
      <c r="F529" t="s">
        <v>213</v>
      </c>
      <c r="G529">
        <v>0</v>
      </c>
      <c r="H529">
        <v>0</v>
      </c>
      <c r="I529">
        <v>0</v>
      </c>
      <c r="J529">
        <v>0</v>
      </c>
      <c r="K529">
        <v>100</v>
      </c>
      <c r="L529" t="s">
        <v>738</v>
      </c>
      <c r="M529" s="6" t="s">
        <v>739</v>
      </c>
      <c r="N529">
        <v>920</v>
      </c>
      <c r="O529">
        <v>120</v>
      </c>
      <c r="P529">
        <v>10</v>
      </c>
      <c r="Q529">
        <v>10</v>
      </c>
      <c r="R529">
        <v>0</v>
      </c>
      <c r="S529">
        <f t="shared" si="60"/>
        <v>3</v>
      </c>
      <c r="T529">
        <f t="shared" si="61"/>
        <v>76</v>
      </c>
      <c r="U529">
        <f t="shared" si="63"/>
        <v>308001</v>
      </c>
      <c r="V529">
        <f>VLOOKUP($A529,精英副本客户端!$A$2:$O$406,10,0)</f>
        <v>80</v>
      </c>
      <c r="W529">
        <f>VLOOKUP($A529,精英副本客户端!$A$2:$O$406,11,0)</f>
        <v>0</v>
      </c>
      <c r="X529">
        <f>VLOOKUP($A529,精英副本客户端!$A$2:$O$406,12,0)</f>
        <v>1</v>
      </c>
      <c r="Y529" t="str">
        <f t="shared" si="59"/>
        <v>智慧试炼（80）</v>
      </c>
    </row>
    <row r="530" spans="1:25">
      <c r="A530">
        <f t="shared" si="58"/>
        <v>308003</v>
      </c>
      <c r="B530" t="s">
        <v>1071</v>
      </c>
      <c r="C530">
        <v>0</v>
      </c>
      <c r="D530">
        <v>0</v>
      </c>
      <c r="E530" t="str">
        <f t="shared" si="62"/>
        <v>3080031_1</v>
      </c>
      <c r="F530" t="s">
        <v>213</v>
      </c>
      <c r="G530">
        <v>0</v>
      </c>
      <c r="H530">
        <v>0</v>
      </c>
      <c r="I530">
        <v>0</v>
      </c>
      <c r="J530">
        <v>0</v>
      </c>
      <c r="K530">
        <v>100</v>
      </c>
      <c r="L530" t="s">
        <v>738</v>
      </c>
      <c r="M530" s="6" t="s">
        <v>739</v>
      </c>
      <c r="N530">
        <v>920</v>
      </c>
      <c r="O530">
        <v>120</v>
      </c>
      <c r="P530">
        <v>10</v>
      </c>
      <c r="Q530">
        <v>10</v>
      </c>
      <c r="R530">
        <v>0</v>
      </c>
      <c r="S530">
        <f t="shared" si="60"/>
        <v>3</v>
      </c>
      <c r="T530">
        <f t="shared" si="61"/>
        <v>76</v>
      </c>
      <c r="U530">
        <f t="shared" si="63"/>
        <v>308002</v>
      </c>
      <c r="V530">
        <f>VLOOKUP($A530,精英副本客户端!$A$2:$O$406,10,0)</f>
        <v>81</v>
      </c>
      <c r="W530">
        <f>VLOOKUP($A530,精英副本客户端!$A$2:$O$406,11,0)</f>
        <v>1</v>
      </c>
      <c r="X530">
        <f>VLOOKUP($A530,精英副本客户端!$A$2:$O$406,12,0)</f>
        <v>5</v>
      </c>
      <c r="Y530" t="str">
        <f t="shared" si="59"/>
        <v>智慧试炼（80）</v>
      </c>
    </row>
    <row r="531" spans="1:25">
      <c r="A531">
        <f t="shared" si="58"/>
        <v>308004</v>
      </c>
      <c r="B531" t="s">
        <v>1050</v>
      </c>
      <c r="C531">
        <v>0</v>
      </c>
      <c r="D531">
        <v>0</v>
      </c>
      <c r="E531" t="str">
        <f t="shared" si="62"/>
        <v>3080041_1</v>
      </c>
      <c r="F531" t="s">
        <v>213</v>
      </c>
      <c r="G531">
        <v>0</v>
      </c>
      <c r="H531">
        <v>0</v>
      </c>
      <c r="I531">
        <v>0</v>
      </c>
      <c r="J531">
        <v>0</v>
      </c>
      <c r="K531">
        <v>100</v>
      </c>
      <c r="L531" t="s">
        <v>738</v>
      </c>
      <c r="M531" s="6" t="s">
        <v>739</v>
      </c>
      <c r="N531">
        <v>920</v>
      </c>
      <c r="O531">
        <v>120</v>
      </c>
      <c r="P531">
        <v>10</v>
      </c>
      <c r="Q531">
        <v>10</v>
      </c>
      <c r="R531">
        <v>0</v>
      </c>
      <c r="S531">
        <f t="shared" si="60"/>
        <v>3</v>
      </c>
      <c r="T531">
        <f t="shared" si="61"/>
        <v>76</v>
      </c>
      <c r="U531">
        <f t="shared" si="63"/>
        <v>308003</v>
      </c>
      <c r="V531">
        <f>VLOOKUP($A531,精英副本客户端!$A$2:$O$406,10,0)</f>
        <v>81</v>
      </c>
      <c r="W531">
        <f>VLOOKUP($A531,精英副本客户端!$A$2:$O$406,11,0)</f>
        <v>0</v>
      </c>
      <c r="X531">
        <f>VLOOKUP($A531,精英副本客户端!$A$2:$O$406,12,0)</f>
        <v>1</v>
      </c>
      <c r="Y531" t="str">
        <f t="shared" si="59"/>
        <v>智慧试炼（80）</v>
      </c>
    </row>
    <row r="532" spans="1:25">
      <c r="A532">
        <f t="shared" si="58"/>
        <v>308005</v>
      </c>
      <c r="B532" t="s">
        <v>1051</v>
      </c>
      <c r="C532">
        <v>0</v>
      </c>
      <c r="D532">
        <v>0</v>
      </c>
      <c r="E532" t="str">
        <f t="shared" si="62"/>
        <v>3080051_1</v>
      </c>
      <c r="F532" t="s">
        <v>213</v>
      </c>
      <c r="G532">
        <v>0</v>
      </c>
      <c r="H532">
        <v>0</v>
      </c>
      <c r="I532">
        <v>0</v>
      </c>
      <c r="J532">
        <v>0</v>
      </c>
      <c r="K532">
        <v>100</v>
      </c>
      <c r="L532" t="s">
        <v>738</v>
      </c>
      <c r="M532" s="6" t="s">
        <v>739</v>
      </c>
      <c r="N532">
        <v>920</v>
      </c>
      <c r="O532">
        <v>120</v>
      </c>
      <c r="P532">
        <v>10</v>
      </c>
      <c r="Q532">
        <v>10</v>
      </c>
      <c r="R532">
        <v>0</v>
      </c>
      <c r="S532">
        <f t="shared" si="60"/>
        <v>3</v>
      </c>
      <c r="T532">
        <f t="shared" si="61"/>
        <v>76</v>
      </c>
      <c r="U532">
        <f t="shared" si="63"/>
        <v>308004</v>
      </c>
      <c r="V532">
        <f>VLOOKUP($A532,精英副本客户端!$A$2:$O$406,10,0)</f>
        <v>81</v>
      </c>
      <c r="W532">
        <f>VLOOKUP($A532,精英副本客户端!$A$2:$O$406,11,0)</f>
        <v>0</v>
      </c>
      <c r="X532">
        <f>VLOOKUP($A532,精英副本客户端!$A$2:$O$406,12,0)</f>
        <v>1</v>
      </c>
      <c r="Y532" t="str">
        <f t="shared" si="59"/>
        <v>智慧试炼（80）</v>
      </c>
    </row>
    <row r="533" spans="1:25">
      <c r="A533">
        <f t="shared" si="58"/>
        <v>308006</v>
      </c>
      <c r="B533" t="s">
        <v>1049</v>
      </c>
      <c r="C533">
        <v>0</v>
      </c>
      <c r="D533">
        <v>0</v>
      </c>
      <c r="E533" t="str">
        <f t="shared" si="62"/>
        <v>3080061_1</v>
      </c>
      <c r="F533" t="s">
        <v>213</v>
      </c>
      <c r="G533">
        <v>0</v>
      </c>
      <c r="H533">
        <v>0</v>
      </c>
      <c r="I533">
        <v>0</v>
      </c>
      <c r="J533">
        <v>0</v>
      </c>
      <c r="K533">
        <v>100</v>
      </c>
      <c r="L533" t="s">
        <v>738</v>
      </c>
      <c r="M533" s="6" t="s">
        <v>739</v>
      </c>
      <c r="N533">
        <v>920</v>
      </c>
      <c r="O533">
        <v>120</v>
      </c>
      <c r="P533">
        <v>10</v>
      </c>
      <c r="Q533">
        <v>10</v>
      </c>
      <c r="R533">
        <v>0</v>
      </c>
      <c r="S533">
        <f t="shared" si="60"/>
        <v>3</v>
      </c>
      <c r="T533">
        <f t="shared" si="61"/>
        <v>76</v>
      </c>
      <c r="U533">
        <f t="shared" si="63"/>
        <v>308005</v>
      </c>
      <c r="V533">
        <f>VLOOKUP($A533,精英副本客户端!$A$2:$O$406,10,0)</f>
        <v>82</v>
      </c>
      <c r="W533">
        <f>VLOOKUP($A533,精英副本客户端!$A$2:$O$406,11,0)</f>
        <v>1</v>
      </c>
      <c r="X533">
        <f>VLOOKUP($A533,精英副本客户端!$A$2:$O$406,12,0)</f>
        <v>5</v>
      </c>
      <c r="Y533" t="str">
        <f t="shared" si="59"/>
        <v>智慧试炼（80）</v>
      </c>
    </row>
    <row r="534" spans="1:25">
      <c r="A534">
        <f t="shared" si="58"/>
        <v>308007</v>
      </c>
      <c r="B534" t="s">
        <v>1053</v>
      </c>
      <c r="C534">
        <v>0</v>
      </c>
      <c r="D534">
        <v>0</v>
      </c>
      <c r="E534" t="str">
        <f t="shared" si="62"/>
        <v>3080071_1</v>
      </c>
      <c r="F534" t="s">
        <v>213</v>
      </c>
      <c r="G534">
        <v>0</v>
      </c>
      <c r="H534">
        <v>0</v>
      </c>
      <c r="I534">
        <v>0</v>
      </c>
      <c r="J534">
        <v>0</v>
      </c>
      <c r="K534">
        <v>100</v>
      </c>
      <c r="L534" t="s">
        <v>738</v>
      </c>
      <c r="M534" s="6" t="s">
        <v>739</v>
      </c>
      <c r="N534">
        <v>920</v>
      </c>
      <c r="O534">
        <v>120</v>
      </c>
      <c r="P534">
        <v>10</v>
      </c>
      <c r="Q534">
        <v>10</v>
      </c>
      <c r="R534">
        <v>0</v>
      </c>
      <c r="S534">
        <f t="shared" si="60"/>
        <v>3</v>
      </c>
      <c r="T534">
        <f t="shared" si="61"/>
        <v>76</v>
      </c>
      <c r="U534">
        <f t="shared" si="63"/>
        <v>308006</v>
      </c>
      <c r="V534">
        <f>VLOOKUP($A534,精英副本客户端!$A$2:$O$406,10,0)</f>
        <v>82</v>
      </c>
      <c r="W534">
        <f>VLOOKUP($A534,精英副本客户端!$A$2:$O$406,11,0)</f>
        <v>0</v>
      </c>
      <c r="X534">
        <f>VLOOKUP($A534,精英副本客户端!$A$2:$O$406,12,0)</f>
        <v>1</v>
      </c>
      <c r="Y534" t="str">
        <f t="shared" si="59"/>
        <v>智慧试炼（80）</v>
      </c>
    </row>
    <row r="535" spans="1:25">
      <c r="A535">
        <f t="shared" si="58"/>
        <v>308008</v>
      </c>
      <c r="B535" t="s">
        <v>1054</v>
      </c>
      <c r="C535">
        <v>0</v>
      </c>
      <c r="D535">
        <v>0</v>
      </c>
      <c r="E535" t="str">
        <f t="shared" si="62"/>
        <v>3080081_1</v>
      </c>
      <c r="F535" t="s">
        <v>213</v>
      </c>
      <c r="G535">
        <v>0</v>
      </c>
      <c r="H535">
        <v>0</v>
      </c>
      <c r="I535">
        <v>0</v>
      </c>
      <c r="J535">
        <v>0</v>
      </c>
      <c r="K535">
        <v>100</v>
      </c>
      <c r="L535" t="s">
        <v>738</v>
      </c>
      <c r="M535" s="6" t="s">
        <v>739</v>
      </c>
      <c r="N535">
        <v>920</v>
      </c>
      <c r="O535">
        <v>120</v>
      </c>
      <c r="P535">
        <v>10</v>
      </c>
      <c r="Q535">
        <v>10</v>
      </c>
      <c r="R535">
        <v>0</v>
      </c>
      <c r="S535">
        <f t="shared" si="60"/>
        <v>3</v>
      </c>
      <c r="T535">
        <f t="shared" si="61"/>
        <v>76</v>
      </c>
      <c r="U535">
        <f t="shared" si="63"/>
        <v>308007</v>
      </c>
      <c r="V535">
        <f>VLOOKUP($A535,精英副本客户端!$A$2:$O$406,10,0)</f>
        <v>83</v>
      </c>
      <c r="W535">
        <f>VLOOKUP($A535,精英副本客户端!$A$2:$O$406,11,0)</f>
        <v>0</v>
      </c>
      <c r="X535">
        <f>VLOOKUP($A535,精英副本客户端!$A$2:$O$406,12,0)</f>
        <v>1</v>
      </c>
      <c r="Y535" t="str">
        <f t="shared" si="59"/>
        <v>智慧试炼（80）</v>
      </c>
    </row>
    <row r="536" spans="1:25">
      <c r="A536">
        <f t="shared" si="58"/>
        <v>308009</v>
      </c>
      <c r="B536" t="s">
        <v>1055</v>
      </c>
      <c r="C536">
        <v>0</v>
      </c>
      <c r="D536">
        <v>0</v>
      </c>
      <c r="E536" t="str">
        <f t="shared" si="62"/>
        <v>3080091_1</v>
      </c>
      <c r="F536" t="s">
        <v>213</v>
      </c>
      <c r="G536">
        <v>0</v>
      </c>
      <c r="H536">
        <v>0</v>
      </c>
      <c r="I536">
        <v>0</v>
      </c>
      <c r="J536">
        <v>0</v>
      </c>
      <c r="K536">
        <v>100</v>
      </c>
      <c r="L536" t="s">
        <v>738</v>
      </c>
      <c r="M536" s="6" t="s">
        <v>739</v>
      </c>
      <c r="N536">
        <v>920</v>
      </c>
      <c r="O536">
        <v>120</v>
      </c>
      <c r="P536">
        <v>10</v>
      </c>
      <c r="Q536">
        <v>10</v>
      </c>
      <c r="R536">
        <v>0</v>
      </c>
      <c r="S536">
        <f t="shared" si="60"/>
        <v>3</v>
      </c>
      <c r="T536">
        <f t="shared" si="61"/>
        <v>76</v>
      </c>
      <c r="U536">
        <f t="shared" si="63"/>
        <v>308008</v>
      </c>
      <c r="V536">
        <f>VLOOKUP($A536,精英副本客户端!$A$2:$O$406,10,0)</f>
        <v>84</v>
      </c>
      <c r="W536">
        <f>VLOOKUP($A536,精英副本客户端!$A$2:$O$406,11,0)</f>
        <v>1</v>
      </c>
      <c r="X536">
        <f>VLOOKUP($A536,精英副本客户端!$A$2:$O$406,12,0)</f>
        <v>5</v>
      </c>
      <c r="Y536" t="str">
        <f t="shared" si="59"/>
        <v>智慧试炼（80）</v>
      </c>
    </row>
    <row r="537" spans="1:25">
      <c r="A537">
        <f t="shared" si="58"/>
        <v>308501</v>
      </c>
      <c r="B537" t="s">
        <v>1072</v>
      </c>
      <c r="C537">
        <v>0</v>
      </c>
      <c r="D537">
        <v>0</v>
      </c>
      <c r="E537" t="str">
        <f t="shared" si="62"/>
        <v>3085011_1</v>
      </c>
      <c r="F537" t="s">
        <v>213</v>
      </c>
      <c r="G537">
        <v>0</v>
      </c>
      <c r="H537">
        <v>0</v>
      </c>
      <c r="I537">
        <v>0</v>
      </c>
      <c r="J537">
        <v>0</v>
      </c>
      <c r="K537">
        <v>100</v>
      </c>
      <c r="L537" t="s">
        <v>738</v>
      </c>
      <c r="M537" s="6" t="s">
        <v>739</v>
      </c>
      <c r="N537">
        <v>920</v>
      </c>
      <c r="O537">
        <v>120</v>
      </c>
      <c r="P537">
        <v>10</v>
      </c>
      <c r="Q537">
        <v>10</v>
      </c>
      <c r="R537">
        <v>0</v>
      </c>
      <c r="S537">
        <f t="shared" si="60"/>
        <v>3</v>
      </c>
      <c r="T537">
        <f t="shared" si="61"/>
        <v>81</v>
      </c>
      <c r="U537">
        <f t="shared" si="63"/>
        <v>308009</v>
      </c>
      <c r="V537">
        <f>VLOOKUP($A537,精英副本客户端!$A$2:$O$406,10,0)</f>
        <v>85</v>
      </c>
      <c r="W537">
        <f>VLOOKUP($A537,精英副本客户端!$A$2:$O$406,11,0)</f>
        <v>0</v>
      </c>
      <c r="X537">
        <f>VLOOKUP($A537,精英副本客户端!$A$2:$O$406,12,0)</f>
        <v>1</v>
      </c>
      <c r="Y537" t="str">
        <f>"启迪试炼（"&amp;MID(A537,2,3)*1&amp;"）"</f>
        <v>启迪试炼（85）</v>
      </c>
    </row>
    <row r="538" spans="1:25">
      <c r="A538">
        <f t="shared" si="58"/>
        <v>308502</v>
      </c>
      <c r="B538" t="s">
        <v>1057</v>
      </c>
      <c r="C538">
        <v>0</v>
      </c>
      <c r="D538">
        <v>0</v>
      </c>
      <c r="E538" t="str">
        <f t="shared" si="62"/>
        <v>3085021_1</v>
      </c>
      <c r="F538" t="s">
        <v>213</v>
      </c>
      <c r="G538">
        <v>0</v>
      </c>
      <c r="H538">
        <v>0</v>
      </c>
      <c r="I538">
        <v>0</v>
      </c>
      <c r="J538">
        <v>0</v>
      </c>
      <c r="K538">
        <v>100</v>
      </c>
      <c r="L538" t="s">
        <v>738</v>
      </c>
      <c r="M538" s="6" t="s">
        <v>739</v>
      </c>
      <c r="N538">
        <v>920</v>
      </c>
      <c r="O538">
        <v>120</v>
      </c>
      <c r="P538">
        <v>10</v>
      </c>
      <c r="Q538">
        <v>10</v>
      </c>
      <c r="R538">
        <v>0</v>
      </c>
      <c r="S538">
        <f t="shared" si="60"/>
        <v>3</v>
      </c>
      <c r="T538">
        <f t="shared" si="61"/>
        <v>81</v>
      </c>
      <c r="U538">
        <f t="shared" si="63"/>
        <v>308501</v>
      </c>
      <c r="V538">
        <f>VLOOKUP($A538,精英副本客户端!$A$2:$O$406,10,0)</f>
        <v>85</v>
      </c>
      <c r="W538">
        <f>VLOOKUP($A538,精英副本客户端!$A$2:$O$406,11,0)</f>
        <v>0</v>
      </c>
      <c r="X538">
        <f>VLOOKUP($A538,精英副本客户端!$A$2:$O$406,12,0)</f>
        <v>1</v>
      </c>
      <c r="Y538" t="str">
        <f t="shared" ref="Y538:Y572" si="64">"启迪试炼（"&amp;MID(A538,2,3)*1&amp;"）"</f>
        <v>启迪试炼（85）</v>
      </c>
    </row>
    <row r="539" spans="1:25">
      <c r="A539">
        <f t="shared" si="58"/>
        <v>308503</v>
      </c>
      <c r="B539" t="s">
        <v>1040</v>
      </c>
      <c r="C539">
        <v>0</v>
      </c>
      <c r="D539">
        <v>0</v>
      </c>
      <c r="E539" t="str">
        <f t="shared" si="62"/>
        <v>3085031_1</v>
      </c>
      <c r="F539" t="s">
        <v>213</v>
      </c>
      <c r="G539">
        <v>0</v>
      </c>
      <c r="H539">
        <v>0</v>
      </c>
      <c r="I539">
        <v>0</v>
      </c>
      <c r="J539">
        <v>0</v>
      </c>
      <c r="K539">
        <v>100</v>
      </c>
      <c r="L539" t="s">
        <v>738</v>
      </c>
      <c r="M539" s="6" t="s">
        <v>739</v>
      </c>
      <c r="N539">
        <v>920</v>
      </c>
      <c r="O539">
        <v>120</v>
      </c>
      <c r="P539">
        <v>10</v>
      </c>
      <c r="Q539">
        <v>10</v>
      </c>
      <c r="R539">
        <v>0</v>
      </c>
      <c r="S539">
        <f t="shared" si="60"/>
        <v>3</v>
      </c>
      <c r="T539">
        <f t="shared" si="61"/>
        <v>81</v>
      </c>
      <c r="U539">
        <f t="shared" si="63"/>
        <v>308502</v>
      </c>
      <c r="V539">
        <f>VLOOKUP($A539,精英副本客户端!$A$2:$O$406,10,0)</f>
        <v>86</v>
      </c>
      <c r="W539">
        <f>VLOOKUP($A539,精英副本客户端!$A$2:$O$406,11,0)</f>
        <v>1</v>
      </c>
      <c r="X539">
        <f>VLOOKUP($A539,精英副本客户端!$A$2:$O$406,12,0)</f>
        <v>5</v>
      </c>
      <c r="Y539" t="str">
        <f t="shared" si="64"/>
        <v>启迪试炼（85）</v>
      </c>
    </row>
    <row r="540" spans="1:25">
      <c r="A540">
        <f t="shared" si="58"/>
        <v>308504</v>
      </c>
      <c r="B540" t="s">
        <v>1058</v>
      </c>
      <c r="C540">
        <v>0</v>
      </c>
      <c r="D540">
        <v>0</v>
      </c>
      <c r="E540" t="str">
        <f t="shared" si="62"/>
        <v>3085041_1</v>
      </c>
      <c r="F540" t="s">
        <v>213</v>
      </c>
      <c r="G540">
        <v>0</v>
      </c>
      <c r="H540">
        <v>0</v>
      </c>
      <c r="I540">
        <v>0</v>
      </c>
      <c r="J540">
        <v>0</v>
      </c>
      <c r="K540">
        <v>100</v>
      </c>
      <c r="L540" t="s">
        <v>738</v>
      </c>
      <c r="M540" s="6" t="s">
        <v>739</v>
      </c>
      <c r="N540">
        <v>920</v>
      </c>
      <c r="O540">
        <v>120</v>
      </c>
      <c r="P540">
        <v>10</v>
      </c>
      <c r="Q540">
        <v>10</v>
      </c>
      <c r="R540">
        <v>0</v>
      </c>
      <c r="S540">
        <f t="shared" si="60"/>
        <v>3</v>
      </c>
      <c r="T540">
        <f t="shared" si="61"/>
        <v>81</v>
      </c>
      <c r="U540">
        <f t="shared" si="63"/>
        <v>308503</v>
      </c>
      <c r="V540">
        <f>VLOOKUP($A540,精英副本客户端!$A$2:$O$406,10,0)</f>
        <v>86</v>
      </c>
      <c r="W540">
        <f>VLOOKUP($A540,精英副本客户端!$A$2:$O$406,11,0)</f>
        <v>0</v>
      </c>
      <c r="X540">
        <f>VLOOKUP($A540,精英副本客户端!$A$2:$O$406,12,0)</f>
        <v>1</v>
      </c>
      <c r="Y540" t="str">
        <f t="shared" si="64"/>
        <v>启迪试炼（85）</v>
      </c>
    </row>
    <row r="541" spans="1:25">
      <c r="A541">
        <f t="shared" si="58"/>
        <v>308505</v>
      </c>
      <c r="B541" t="s">
        <v>1059</v>
      </c>
      <c r="C541">
        <v>0</v>
      </c>
      <c r="D541">
        <v>0</v>
      </c>
      <c r="E541" t="str">
        <f t="shared" si="62"/>
        <v>3085051_1</v>
      </c>
      <c r="F541" t="s">
        <v>213</v>
      </c>
      <c r="G541">
        <v>0</v>
      </c>
      <c r="H541">
        <v>0</v>
      </c>
      <c r="I541">
        <v>0</v>
      </c>
      <c r="J541">
        <v>0</v>
      </c>
      <c r="K541">
        <v>100</v>
      </c>
      <c r="L541" t="s">
        <v>738</v>
      </c>
      <c r="M541" s="6" t="s">
        <v>739</v>
      </c>
      <c r="N541">
        <v>920</v>
      </c>
      <c r="O541">
        <v>120</v>
      </c>
      <c r="P541">
        <v>10</v>
      </c>
      <c r="Q541">
        <v>10</v>
      </c>
      <c r="R541">
        <v>0</v>
      </c>
      <c r="S541">
        <f t="shared" si="60"/>
        <v>3</v>
      </c>
      <c r="T541">
        <f t="shared" si="61"/>
        <v>81</v>
      </c>
      <c r="U541">
        <f t="shared" si="63"/>
        <v>308504</v>
      </c>
      <c r="V541">
        <f>VLOOKUP($A541,精英副本客户端!$A$2:$O$406,10,0)</f>
        <v>86</v>
      </c>
      <c r="W541">
        <f>VLOOKUP($A541,精英副本客户端!$A$2:$O$406,11,0)</f>
        <v>0</v>
      </c>
      <c r="X541">
        <f>VLOOKUP($A541,精英副本客户端!$A$2:$O$406,12,0)</f>
        <v>1</v>
      </c>
      <c r="Y541" t="str">
        <f t="shared" si="64"/>
        <v>启迪试炼（85）</v>
      </c>
    </row>
    <row r="542" spans="1:25">
      <c r="A542">
        <f t="shared" si="58"/>
        <v>308506</v>
      </c>
      <c r="B542" t="s">
        <v>1060</v>
      </c>
      <c r="C542">
        <v>0</v>
      </c>
      <c r="D542">
        <v>0</v>
      </c>
      <c r="E542" t="str">
        <f t="shared" si="62"/>
        <v>3085061_1</v>
      </c>
      <c r="F542" t="s">
        <v>213</v>
      </c>
      <c r="G542">
        <v>0</v>
      </c>
      <c r="H542">
        <v>0</v>
      </c>
      <c r="I542">
        <v>0</v>
      </c>
      <c r="J542">
        <v>0</v>
      </c>
      <c r="K542">
        <v>100</v>
      </c>
      <c r="L542" t="s">
        <v>738</v>
      </c>
      <c r="M542" s="6" t="s">
        <v>739</v>
      </c>
      <c r="N542">
        <v>920</v>
      </c>
      <c r="O542">
        <v>120</v>
      </c>
      <c r="P542">
        <v>10</v>
      </c>
      <c r="Q542">
        <v>10</v>
      </c>
      <c r="R542">
        <v>0</v>
      </c>
      <c r="S542">
        <f t="shared" si="60"/>
        <v>3</v>
      </c>
      <c r="T542">
        <f t="shared" si="61"/>
        <v>81</v>
      </c>
      <c r="U542">
        <f t="shared" si="63"/>
        <v>308505</v>
      </c>
      <c r="V542">
        <f>VLOOKUP($A542,精英副本客户端!$A$2:$O$406,10,0)</f>
        <v>87</v>
      </c>
      <c r="W542">
        <f>VLOOKUP($A542,精英副本客户端!$A$2:$O$406,11,0)</f>
        <v>1</v>
      </c>
      <c r="X542">
        <f>VLOOKUP($A542,精英副本客户端!$A$2:$O$406,12,0)</f>
        <v>5</v>
      </c>
      <c r="Y542" t="str">
        <f t="shared" si="64"/>
        <v>启迪试炼（85）</v>
      </c>
    </row>
    <row r="543" spans="1:25">
      <c r="A543">
        <f t="shared" si="58"/>
        <v>308507</v>
      </c>
      <c r="B543" t="s">
        <v>1061</v>
      </c>
      <c r="C543">
        <v>0</v>
      </c>
      <c r="D543">
        <v>0</v>
      </c>
      <c r="E543" t="str">
        <f t="shared" si="62"/>
        <v>3085071_1</v>
      </c>
      <c r="F543" t="s">
        <v>213</v>
      </c>
      <c r="G543">
        <v>0</v>
      </c>
      <c r="H543">
        <v>0</v>
      </c>
      <c r="I543">
        <v>0</v>
      </c>
      <c r="J543">
        <v>0</v>
      </c>
      <c r="K543">
        <v>100</v>
      </c>
      <c r="L543" t="s">
        <v>738</v>
      </c>
      <c r="M543" s="6" t="s">
        <v>739</v>
      </c>
      <c r="N543">
        <v>920</v>
      </c>
      <c r="O543">
        <v>120</v>
      </c>
      <c r="P543">
        <v>10</v>
      </c>
      <c r="Q543">
        <v>10</v>
      </c>
      <c r="R543">
        <v>0</v>
      </c>
      <c r="S543">
        <f t="shared" si="60"/>
        <v>3</v>
      </c>
      <c r="T543">
        <f t="shared" si="61"/>
        <v>81</v>
      </c>
      <c r="U543">
        <f t="shared" si="63"/>
        <v>308506</v>
      </c>
      <c r="V543">
        <f>VLOOKUP($A543,精英副本客户端!$A$2:$O$406,10,0)</f>
        <v>87</v>
      </c>
      <c r="W543">
        <f>VLOOKUP($A543,精英副本客户端!$A$2:$O$406,11,0)</f>
        <v>0</v>
      </c>
      <c r="X543">
        <f>VLOOKUP($A543,精英副本客户端!$A$2:$O$406,12,0)</f>
        <v>1</v>
      </c>
      <c r="Y543" t="str">
        <f t="shared" si="64"/>
        <v>启迪试炼（85）</v>
      </c>
    </row>
    <row r="544" spans="1:25">
      <c r="A544">
        <f t="shared" si="58"/>
        <v>308508</v>
      </c>
      <c r="B544" t="s">
        <v>1062</v>
      </c>
      <c r="C544">
        <v>0</v>
      </c>
      <c r="D544">
        <v>0</v>
      </c>
      <c r="E544" t="str">
        <f t="shared" si="62"/>
        <v>3085081_1</v>
      </c>
      <c r="F544" t="s">
        <v>213</v>
      </c>
      <c r="G544">
        <v>0</v>
      </c>
      <c r="H544">
        <v>0</v>
      </c>
      <c r="I544">
        <v>0</v>
      </c>
      <c r="J544">
        <v>0</v>
      </c>
      <c r="K544">
        <v>100</v>
      </c>
      <c r="L544" t="s">
        <v>738</v>
      </c>
      <c r="M544" s="6" t="s">
        <v>739</v>
      </c>
      <c r="N544">
        <v>920</v>
      </c>
      <c r="O544">
        <v>120</v>
      </c>
      <c r="P544">
        <v>10</v>
      </c>
      <c r="Q544">
        <v>10</v>
      </c>
      <c r="R544">
        <v>0</v>
      </c>
      <c r="S544">
        <f t="shared" si="60"/>
        <v>3</v>
      </c>
      <c r="T544">
        <f t="shared" si="61"/>
        <v>81</v>
      </c>
      <c r="U544">
        <f t="shared" si="63"/>
        <v>308507</v>
      </c>
      <c r="V544">
        <f>VLOOKUP($A544,精英副本客户端!$A$2:$O$406,10,0)</f>
        <v>88</v>
      </c>
      <c r="W544">
        <f>VLOOKUP($A544,精英副本客户端!$A$2:$O$406,11,0)</f>
        <v>0</v>
      </c>
      <c r="X544">
        <f>VLOOKUP($A544,精英副本客户端!$A$2:$O$406,12,0)</f>
        <v>1</v>
      </c>
      <c r="Y544" t="str">
        <f t="shared" si="64"/>
        <v>启迪试炼（85）</v>
      </c>
    </row>
    <row r="545" spans="1:25">
      <c r="A545">
        <f t="shared" si="58"/>
        <v>308509</v>
      </c>
      <c r="B545" t="s">
        <v>1063</v>
      </c>
      <c r="C545">
        <v>0</v>
      </c>
      <c r="D545">
        <v>0</v>
      </c>
      <c r="E545" t="str">
        <f t="shared" si="62"/>
        <v>3085091_1</v>
      </c>
      <c r="F545" t="s">
        <v>213</v>
      </c>
      <c r="G545">
        <v>0</v>
      </c>
      <c r="H545">
        <v>0</v>
      </c>
      <c r="I545">
        <v>0</v>
      </c>
      <c r="J545">
        <v>0</v>
      </c>
      <c r="K545">
        <v>100</v>
      </c>
      <c r="L545" t="s">
        <v>738</v>
      </c>
      <c r="M545" s="6" t="s">
        <v>739</v>
      </c>
      <c r="N545">
        <v>920</v>
      </c>
      <c r="O545">
        <v>120</v>
      </c>
      <c r="P545">
        <v>10</v>
      </c>
      <c r="Q545">
        <v>10</v>
      </c>
      <c r="R545">
        <v>0</v>
      </c>
      <c r="S545">
        <f t="shared" si="60"/>
        <v>3</v>
      </c>
      <c r="T545">
        <f t="shared" si="61"/>
        <v>81</v>
      </c>
      <c r="U545">
        <f t="shared" si="63"/>
        <v>308508</v>
      </c>
      <c r="V545">
        <f>VLOOKUP($A545,精英副本客户端!$A$2:$O$406,10,0)</f>
        <v>89</v>
      </c>
      <c r="W545">
        <f>VLOOKUP($A545,精英副本客户端!$A$2:$O$406,11,0)</f>
        <v>1</v>
      </c>
      <c r="X545">
        <f>VLOOKUP($A545,精英副本客户端!$A$2:$O$406,12,0)</f>
        <v>5</v>
      </c>
      <c r="Y545" t="str">
        <f t="shared" si="64"/>
        <v>启迪试炼（85）</v>
      </c>
    </row>
    <row r="546" spans="1:25">
      <c r="A546">
        <f t="shared" si="58"/>
        <v>309001</v>
      </c>
      <c r="B546" t="s">
        <v>1072</v>
      </c>
      <c r="C546">
        <v>0</v>
      </c>
      <c r="D546">
        <v>0</v>
      </c>
      <c r="E546" t="str">
        <f t="shared" si="62"/>
        <v>3090011_1</v>
      </c>
      <c r="F546" t="s">
        <v>213</v>
      </c>
      <c r="G546">
        <v>0</v>
      </c>
      <c r="H546">
        <v>0</v>
      </c>
      <c r="I546">
        <v>0</v>
      </c>
      <c r="J546">
        <v>0</v>
      </c>
      <c r="K546">
        <v>100</v>
      </c>
      <c r="L546" t="s">
        <v>738</v>
      </c>
      <c r="M546" s="6" t="s">
        <v>739</v>
      </c>
      <c r="N546">
        <v>920</v>
      </c>
      <c r="O546">
        <v>120</v>
      </c>
      <c r="P546">
        <v>10</v>
      </c>
      <c r="Q546">
        <v>10</v>
      </c>
      <c r="R546">
        <v>0</v>
      </c>
      <c r="S546">
        <f t="shared" si="60"/>
        <v>3</v>
      </c>
      <c r="T546">
        <f t="shared" si="61"/>
        <v>86</v>
      </c>
      <c r="U546">
        <f t="shared" si="63"/>
        <v>308509</v>
      </c>
      <c r="V546">
        <f>VLOOKUP($A546,精英副本客户端!$A$2:$O$406,10,0)</f>
        <v>90</v>
      </c>
      <c r="W546">
        <f>VLOOKUP($A546,精英副本客户端!$A$2:$O$406,11,0)</f>
        <v>0</v>
      </c>
      <c r="X546">
        <f>VLOOKUP($A546,精英副本客户端!$A$2:$O$406,12,0)</f>
        <v>1</v>
      </c>
      <c r="Y546" t="str">
        <f t="shared" si="64"/>
        <v>启迪试炼（90）</v>
      </c>
    </row>
    <row r="547" spans="1:25">
      <c r="A547">
        <f t="shared" si="58"/>
        <v>309002</v>
      </c>
      <c r="B547" t="s">
        <v>1057</v>
      </c>
      <c r="C547">
        <v>0</v>
      </c>
      <c r="D547">
        <v>0</v>
      </c>
      <c r="E547" t="str">
        <f t="shared" si="62"/>
        <v>3090021_1</v>
      </c>
      <c r="F547" t="s">
        <v>213</v>
      </c>
      <c r="G547">
        <v>0</v>
      </c>
      <c r="H547">
        <v>0</v>
      </c>
      <c r="I547">
        <v>0</v>
      </c>
      <c r="J547">
        <v>0</v>
      </c>
      <c r="K547">
        <v>100</v>
      </c>
      <c r="L547" t="s">
        <v>738</v>
      </c>
      <c r="M547" s="6" t="s">
        <v>739</v>
      </c>
      <c r="N547">
        <v>920</v>
      </c>
      <c r="O547">
        <v>120</v>
      </c>
      <c r="P547">
        <v>10</v>
      </c>
      <c r="Q547">
        <v>10</v>
      </c>
      <c r="R547">
        <v>0</v>
      </c>
      <c r="S547">
        <f t="shared" si="60"/>
        <v>3</v>
      </c>
      <c r="T547">
        <f t="shared" si="61"/>
        <v>86</v>
      </c>
      <c r="U547">
        <f t="shared" si="63"/>
        <v>309001</v>
      </c>
      <c r="V547">
        <f>VLOOKUP($A547,精英副本客户端!$A$2:$O$406,10,0)</f>
        <v>90</v>
      </c>
      <c r="W547">
        <f>VLOOKUP($A547,精英副本客户端!$A$2:$O$406,11,0)</f>
        <v>0</v>
      </c>
      <c r="X547">
        <f>VLOOKUP($A547,精英副本客户端!$A$2:$O$406,12,0)</f>
        <v>1</v>
      </c>
      <c r="Y547" t="str">
        <f t="shared" si="64"/>
        <v>启迪试炼（90）</v>
      </c>
    </row>
    <row r="548" spans="1:25">
      <c r="A548">
        <f t="shared" si="58"/>
        <v>309003</v>
      </c>
      <c r="B548" t="s">
        <v>1040</v>
      </c>
      <c r="C548">
        <v>0</v>
      </c>
      <c r="D548">
        <v>0</v>
      </c>
      <c r="E548" t="str">
        <f t="shared" si="62"/>
        <v>3090031_1</v>
      </c>
      <c r="F548" t="s">
        <v>213</v>
      </c>
      <c r="G548">
        <v>0</v>
      </c>
      <c r="H548">
        <v>0</v>
      </c>
      <c r="I548">
        <v>0</v>
      </c>
      <c r="J548">
        <v>0</v>
      </c>
      <c r="K548">
        <v>100</v>
      </c>
      <c r="L548" t="s">
        <v>738</v>
      </c>
      <c r="M548" s="6" t="s">
        <v>739</v>
      </c>
      <c r="N548">
        <v>920</v>
      </c>
      <c r="O548">
        <v>120</v>
      </c>
      <c r="P548">
        <v>10</v>
      </c>
      <c r="Q548">
        <v>10</v>
      </c>
      <c r="R548">
        <v>0</v>
      </c>
      <c r="S548">
        <f t="shared" si="60"/>
        <v>3</v>
      </c>
      <c r="T548">
        <f t="shared" si="61"/>
        <v>86</v>
      </c>
      <c r="U548">
        <f t="shared" si="63"/>
        <v>309002</v>
      </c>
      <c r="V548">
        <f>VLOOKUP($A548,精英副本客户端!$A$2:$O$406,10,0)</f>
        <v>91</v>
      </c>
      <c r="W548">
        <f>VLOOKUP($A548,精英副本客户端!$A$2:$O$406,11,0)</f>
        <v>1</v>
      </c>
      <c r="X548">
        <f>VLOOKUP($A548,精英副本客户端!$A$2:$O$406,12,0)</f>
        <v>5</v>
      </c>
      <c r="Y548" t="str">
        <f t="shared" si="64"/>
        <v>启迪试炼（90）</v>
      </c>
    </row>
    <row r="549" spans="1:25">
      <c r="A549">
        <f t="shared" si="58"/>
        <v>309004</v>
      </c>
      <c r="B549" t="s">
        <v>1058</v>
      </c>
      <c r="C549">
        <v>0</v>
      </c>
      <c r="D549">
        <v>0</v>
      </c>
      <c r="E549" t="str">
        <f t="shared" si="62"/>
        <v>3090041_1</v>
      </c>
      <c r="F549" t="s">
        <v>213</v>
      </c>
      <c r="G549">
        <v>0</v>
      </c>
      <c r="H549">
        <v>0</v>
      </c>
      <c r="I549">
        <v>0</v>
      </c>
      <c r="J549">
        <v>0</v>
      </c>
      <c r="K549">
        <v>100</v>
      </c>
      <c r="L549" t="s">
        <v>738</v>
      </c>
      <c r="M549" s="6" t="s">
        <v>739</v>
      </c>
      <c r="N549">
        <v>920</v>
      </c>
      <c r="O549">
        <v>120</v>
      </c>
      <c r="P549">
        <v>10</v>
      </c>
      <c r="Q549">
        <v>10</v>
      </c>
      <c r="R549">
        <v>0</v>
      </c>
      <c r="S549">
        <f t="shared" si="60"/>
        <v>3</v>
      </c>
      <c r="T549">
        <f t="shared" si="61"/>
        <v>86</v>
      </c>
      <c r="U549">
        <f t="shared" si="63"/>
        <v>309003</v>
      </c>
      <c r="V549">
        <f>VLOOKUP($A549,精英副本客户端!$A$2:$O$406,10,0)</f>
        <v>91</v>
      </c>
      <c r="W549">
        <f>VLOOKUP($A549,精英副本客户端!$A$2:$O$406,11,0)</f>
        <v>0</v>
      </c>
      <c r="X549">
        <f>VLOOKUP($A549,精英副本客户端!$A$2:$O$406,12,0)</f>
        <v>1</v>
      </c>
      <c r="Y549" t="str">
        <f t="shared" si="64"/>
        <v>启迪试炼（90）</v>
      </c>
    </row>
    <row r="550" spans="1:25">
      <c r="A550">
        <f t="shared" si="58"/>
        <v>309005</v>
      </c>
      <c r="B550" t="s">
        <v>1059</v>
      </c>
      <c r="C550">
        <v>0</v>
      </c>
      <c r="D550">
        <v>0</v>
      </c>
      <c r="E550" t="str">
        <f t="shared" si="62"/>
        <v>3090051_1</v>
      </c>
      <c r="F550" t="s">
        <v>213</v>
      </c>
      <c r="G550">
        <v>0</v>
      </c>
      <c r="H550">
        <v>0</v>
      </c>
      <c r="I550">
        <v>0</v>
      </c>
      <c r="J550">
        <v>0</v>
      </c>
      <c r="K550">
        <v>100</v>
      </c>
      <c r="L550" t="s">
        <v>738</v>
      </c>
      <c r="M550" s="6" t="s">
        <v>739</v>
      </c>
      <c r="N550">
        <v>920</v>
      </c>
      <c r="O550">
        <v>120</v>
      </c>
      <c r="P550">
        <v>10</v>
      </c>
      <c r="Q550">
        <v>10</v>
      </c>
      <c r="R550">
        <v>0</v>
      </c>
      <c r="S550">
        <f t="shared" si="60"/>
        <v>3</v>
      </c>
      <c r="T550">
        <f t="shared" si="61"/>
        <v>86</v>
      </c>
      <c r="U550">
        <f t="shared" si="63"/>
        <v>309004</v>
      </c>
      <c r="V550">
        <f>VLOOKUP($A550,精英副本客户端!$A$2:$O$406,10,0)</f>
        <v>91</v>
      </c>
      <c r="W550">
        <f>VLOOKUP($A550,精英副本客户端!$A$2:$O$406,11,0)</f>
        <v>0</v>
      </c>
      <c r="X550">
        <f>VLOOKUP($A550,精英副本客户端!$A$2:$O$406,12,0)</f>
        <v>1</v>
      </c>
      <c r="Y550" t="str">
        <f t="shared" si="64"/>
        <v>启迪试炼（90）</v>
      </c>
    </row>
    <row r="551" spans="1:25">
      <c r="A551">
        <f t="shared" si="58"/>
        <v>309006</v>
      </c>
      <c r="B551" t="s">
        <v>1060</v>
      </c>
      <c r="C551">
        <v>0</v>
      </c>
      <c r="D551">
        <v>0</v>
      </c>
      <c r="E551" t="str">
        <f t="shared" si="62"/>
        <v>3090061_1</v>
      </c>
      <c r="F551" t="s">
        <v>213</v>
      </c>
      <c r="G551">
        <v>0</v>
      </c>
      <c r="H551">
        <v>0</v>
      </c>
      <c r="I551">
        <v>0</v>
      </c>
      <c r="J551">
        <v>0</v>
      </c>
      <c r="K551">
        <v>100</v>
      </c>
      <c r="L551" t="s">
        <v>738</v>
      </c>
      <c r="M551" s="6" t="s">
        <v>739</v>
      </c>
      <c r="N551">
        <v>920</v>
      </c>
      <c r="O551">
        <v>120</v>
      </c>
      <c r="P551">
        <v>10</v>
      </c>
      <c r="Q551">
        <v>10</v>
      </c>
      <c r="R551">
        <v>0</v>
      </c>
      <c r="S551">
        <f t="shared" si="60"/>
        <v>3</v>
      </c>
      <c r="T551">
        <f t="shared" si="61"/>
        <v>86</v>
      </c>
      <c r="U551">
        <f t="shared" si="63"/>
        <v>309005</v>
      </c>
      <c r="V551">
        <f>VLOOKUP($A551,精英副本客户端!$A$2:$O$406,10,0)</f>
        <v>92</v>
      </c>
      <c r="W551">
        <f>VLOOKUP($A551,精英副本客户端!$A$2:$O$406,11,0)</f>
        <v>1</v>
      </c>
      <c r="X551">
        <f>VLOOKUP($A551,精英副本客户端!$A$2:$O$406,12,0)</f>
        <v>5</v>
      </c>
      <c r="Y551" t="str">
        <f t="shared" si="64"/>
        <v>启迪试炼（90）</v>
      </c>
    </row>
    <row r="552" spans="1:25">
      <c r="A552">
        <f t="shared" si="58"/>
        <v>309007</v>
      </c>
      <c r="B552" t="s">
        <v>1061</v>
      </c>
      <c r="C552">
        <v>0</v>
      </c>
      <c r="D552">
        <v>0</v>
      </c>
      <c r="E552" t="str">
        <f t="shared" si="62"/>
        <v>3090071_1</v>
      </c>
      <c r="F552" t="s">
        <v>213</v>
      </c>
      <c r="G552">
        <v>0</v>
      </c>
      <c r="H552">
        <v>0</v>
      </c>
      <c r="I552">
        <v>0</v>
      </c>
      <c r="J552">
        <v>0</v>
      </c>
      <c r="K552">
        <v>100</v>
      </c>
      <c r="L552" t="s">
        <v>738</v>
      </c>
      <c r="M552" s="6" t="s">
        <v>739</v>
      </c>
      <c r="N552">
        <v>920</v>
      </c>
      <c r="O552">
        <v>120</v>
      </c>
      <c r="P552">
        <v>10</v>
      </c>
      <c r="Q552">
        <v>10</v>
      </c>
      <c r="R552">
        <v>0</v>
      </c>
      <c r="S552">
        <f t="shared" si="60"/>
        <v>3</v>
      </c>
      <c r="T552">
        <f t="shared" si="61"/>
        <v>86</v>
      </c>
      <c r="U552">
        <f t="shared" si="63"/>
        <v>309006</v>
      </c>
      <c r="V552">
        <f>VLOOKUP($A552,精英副本客户端!$A$2:$O$406,10,0)</f>
        <v>92</v>
      </c>
      <c r="W552">
        <f>VLOOKUP($A552,精英副本客户端!$A$2:$O$406,11,0)</f>
        <v>0</v>
      </c>
      <c r="X552">
        <f>VLOOKUP($A552,精英副本客户端!$A$2:$O$406,12,0)</f>
        <v>1</v>
      </c>
      <c r="Y552" t="str">
        <f t="shared" si="64"/>
        <v>启迪试炼（90）</v>
      </c>
    </row>
    <row r="553" spans="1:25">
      <c r="A553">
        <f t="shared" si="58"/>
        <v>309008</v>
      </c>
      <c r="B553" t="s">
        <v>1062</v>
      </c>
      <c r="C553">
        <v>0</v>
      </c>
      <c r="D553">
        <v>0</v>
      </c>
      <c r="E553" t="str">
        <f t="shared" si="62"/>
        <v>3090081_1</v>
      </c>
      <c r="F553" t="s">
        <v>213</v>
      </c>
      <c r="G553">
        <v>0</v>
      </c>
      <c r="H553">
        <v>0</v>
      </c>
      <c r="I553">
        <v>0</v>
      </c>
      <c r="J553">
        <v>0</v>
      </c>
      <c r="K553">
        <v>100</v>
      </c>
      <c r="L553" t="s">
        <v>738</v>
      </c>
      <c r="M553" s="6" t="s">
        <v>739</v>
      </c>
      <c r="N553">
        <v>920</v>
      </c>
      <c r="O553">
        <v>120</v>
      </c>
      <c r="P553">
        <v>10</v>
      </c>
      <c r="Q553">
        <v>10</v>
      </c>
      <c r="R553">
        <v>0</v>
      </c>
      <c r="S553">
        <f t="shared" si="60"/>
        <v>3</v>
      </c>
      <c r="T553">
        <f t="shared" si="61"/>
        <v>86</v>
      </c>
      <c r="U553">
        <f t="shared" si="63"/>
        <v>309007</v>
      </c>
      <c r="V553">
        <f>VLOOKUP($A553,精英副本客户端!$A$2:$O$406,10,0)</f>
        <v>93</v>
      </c>
      <c r="W553">
        <f>VLOOKUP($A553,精英副本客户端!$A$2:$O$406,11,0)</f>
        <v>0</v>
      </c>
      <c r="X553">
        <f>VLOOKUP($A553,精英副本客户端!$A$2:$O$406,12,0)</f>
        <v>1</v>
      </c>
      <c r="Y553" t="str">
        <f t="shared" si="64"/>
        <v>启迪试炼（90）</v>
      </c>
    </row>
    <row r="554" spans="1:25">
      <c r="A554">
        <f t="shared" si="58"/>
        <v>309009</v>
      </c>
      <c r="B554" t="s">
        <v>1063</v>
      </c>
      <c r="C554">
        <v>0</v>
      </c>
      <c r="D554">
        <v>0</v>
      </c>
      <c r="E554" t="str">
        <f t="shared" si="62"/>
        <v>3090091_1</v>
      </c>
      <c r="F554" t="s">
        <v>213</v>
      </c>
      <c r="G554">
        <v>0</v>
      </c>
      <c r="H554">
        <v>0</v>
      </c>
      <c r="I554">
        <v>0</v>
      </c>
      <c r="J554">
        <v>0</v>
      </c>
      <c r="K554">
        <v>100</v>
      </c>
      <c r="L554" t="s">
        <v>738</v>
      </c>
      <c r="M554" s="6" t="s">
        <v>739</v>
      </c>
      <c r="N554">
        <v>920</v>
      </c>
      <c r="O554">
        <v>120</v>
      </c>
      <c r="P554">
        <v>10</v>
      </c>
      <c r="Q554">
        <v>10</v>
      </c>
      <c r="R554">
        <v>0</v>
      </c>
      <c r="S554">
        <f t="shared" si="60"/>
        <v>3</v>
      </c>
      <c r="T554">
        <f t="shared" si="61"/>
        <v>86</v>
      </c>
      <c r="U554">
        <f t="shared" si="63"/>
        <v>309008</v>
      </c>
      <c r="V554">
        <f>VLOOKUP($A554,精英副本客户端!$A$2:$O$406,10,0)</f>
        <v>94</v>
      </c>
      <c r="W554">
        <f>VLOOKUP($A554,精英副本客户端!$A$2:$O$406,11,0)</f>
        <v>1</v>
      </c>
      <c r="X554">
        <f>VLOOKUP($A554,精英副本客户端!$A$2:$O$406,12,0)</f>
        <v>5</v>
      </c>
      <c r="Y554" t="str">
        <f t="shared" si="64"/>
        <v>启迪试炼（90）</v>
      </c>
    </row>
    <row r="555" spans="1:25">
      <c r="A555">
        <f t="shared" ref="A555:A572" si="65">A366+100000</f>
        <v>309501</v>
      </c>
      <c r="B555" t="s">
        <v>1072</v>
      </c>
      <c r="C555">
        <v>0</v>
      </c>
      <c r="D555">
        <v>0</v>
      </c>
      <c r="E555" t="str">
        <f t="shared" si="62"/>
        <v>3095011_1</v>
      </c>
      <c r="F555" t="s">
        <v>213</v>
      </c>
      <c r="G555">
        <v>0</v>
      </c>
      <c r="H555">
        <v>0</v>
      </c>
      <c r="I555">
        <v>0</v>
      </c>
      <c r="J555">
        <v>0</v>
      </c>
      <c r="K555">
        <v>100</v>
      </c>
      <c r="L555" t="s">
        <v>738</v>
      </c>
      <c r="M555" s="6" t="s">
        <v>739</v>
      </c>
      <c r="N555">
        <v>920</v>
      </c>
      <c r="O555">
        <v>120</v>
      </c>
      <c r="P555">
        <v>10</v>
      </c>
      <c r="Q555">
        <v>10</v>
      </c>
      <c r="R555">
        <v>0</v>
      </c>
      <c r="S555">
        <f t="shared" si="60"/>
        <v>3</v>
      </c>
      <c r="T555">
        <f t="shared" si="61"/>
        <v>91</v>
      </c>
      <c r="U555">
        <f t="shared" si="63"/>
        <v>309009</v>
      </c>
      <c r="V555">
        <f>VLOOKUP($A555,精英副本客户端!$A$2:$O$406,10,0)</f>
        <v>95</v>
      </c>
      <c r="W555">
        <f>VLOOKUP($A555,精英副本客户端!$A$2:$O$406,11,0)</f>
        <v>0</v>
      </c>
      <c r="X555">
        <f>VLOOKUP($A555,精英副本客户端!$A$2:$O$406,12,0)</f>
        <v>1</v>
      </c>
      <c r="Y555" t="str">
        <f t="shared" si="64"/>
        <v>启迪试炼（95）</v>
      </c>
    </row>
    <row r="556" spans="1:25">
      <c r="A556">
        <f t="shared" si="65"/>
        <v>309502</v>
      </c>
      <c r="B556" t="s">
        <v>1057</v>
      </c>
      <c r="C556">
        <v>0</v>
      </c>
      <c r="D556">
        <v>0</v>
      </c>
      <c r="E556" t="str">
        <f t="shared" si="62"/>
        <v>3095021_1</v>
      </c>
      <c r="F556" t="s">
        <v>213</v>
      </c>
      <c r="G556">
        <v>0</v>
      </c>
      <c r="H556">
        <v>0</v>
      </c>
      <c r="I556">
        <v>0</v>
      </c>
      <c r="J556">
        <v>0</v>
      </c>
      <c r="K556">
        <v>100</v>
      </c>
      <c r="L556" t="s">
        <v>738</v>
      </c>
      <c r="M556" s="6" t="s">
        <v>739</v>
      </c>
      <c r="N556">
        <v>920</v>
      </c>
      <c r="O556">
        <v>120</v>
      </c>
      <c r="P556">
        <v>10</v>
      </c>
      <c r="Q556">
        <v>10</v>
      </c>
      <c r="R556">
        <v>0</v>
      </c>
      <c r="S556">
        <f t="shared" si="60"/>
        <v>3</v>
      </c>
      <c r="T556">
        <f t="shared" si="61"/>
        <v>91</v>
      </c>
      <c r="U556">
        <f t="shared" si="63"/>
        <v>309501</v>
      </c>
      <c r="V556">
        <f>VLOOKUP($A556,精英副本客户端!$A$2:$O$406,10,0)</f>
        <v>95</v>
      </c>
      <c r="W556">
        <f>VLOOKUP($A556,精英副本客户端!$A$2:$O$406,11,0)</f>
        <v>0</v>
      </c>
      <c r="X556">
        <f>VLOOKUP($A556,精英副本客户端!$A$2:$O$406,12,0)</f>
        <v>1</v>
      </c>
      <c r="Y556" t="str">
        <f t="shared" si="64"/>
        <v>启迪试炼（95）</v>
      </c>
    </row>
    <row r="557" spans="1:25">
      <c r="A557">
        <f t="shared" si="65"/>
        <v>309503</v>
      </c>
      <c r="B557" t="s">
        <v>1040</v>
      </c>
      <c r="C557">
        <v>0</v>
      </c>
      <c r="D557">
        <v>0</v>
      </c>
      <c r="E557" t="str">
        <f t="shared" si="62"/>
        <v>3095031_1</v>
      </c>
      <c r="F557" t="s">
        <v>213</v>
      </c>
      <c r="G557">
        <v>0</v>
      </c>
      <c r="H557">
        <v>0</v>
      </c>
      <c r="I557">
        <v>0</v>
      </c>
      <c r="J557">
        <v>0</v>
      </c>
      <c r="K557">
        <v>100</v>
      </c>
      <c r="L557" t="s">
        <v>738</v>
      </c>
      <c r="M557" s="6" t="s">
        <v>739</v>
      </c>
      <c r="N557">
        <v>920</v>
      </c>
      <c r="O557">
        <v>120</v>
      </c>
      <c r="P557">
        <v>10</v>
      </c>
      <c r="Q557">
        <v>10</v>
      </c>
      <c r="R557">
        <v>0</v>
      </c>
      <c r="S557">
        <f t="shared" si="60"/>
        <v>3</v>
      </c>
      <c r="T557">
        <f t="shared" si="61"/>
        <v>91</v>
      </c>
      <c r="U557">
        <f t="shared" si="63"/>
        <v>309502</v>
      </c>
      <c r="V557">
        <f>VLOOKUP($A557,精英副本客户端!$A$2:$O$406,10,0)</f>
        <v>96</v>
      </c>
      <c r="W557">
        <f>VLOOKUP($A557,精英副本客户端!$A$2:$O$406,11,0)</f>
        <v>1</v>
      </c>
      <c r="X557">
        <f>VLOOKUP($A557,精英副本客户端!$A$2:$O$406,12,0)</f>
        <v>5</v>
      </c>
      <c r="Y557" t="str">
        <f t="shared" si="64"/>
        <v>启迪试炼（95）</v>
      </c>
    </row>
    <row r="558" spans="1:25">
      <c r="A558">
        <f t="shared" si="65"/>
        <v>309504</v>
      </c>
      <c r="B558" t="s">
        <v>1058</v>
      </c>
      <c r="C558">
        <v>0</v>
      </c>
      <c r="D558">
        <v>0</v>
      </c>
      <c r="E558" t="str">
        <f t="shared" si="62"/>
        <v>3095041_1</v>
      </c>
      <c r="F558" t="s">
        <v>213</v>
      </c>
      <c r="G558">
        <v>0</v>
      </c>
      <c r="H558">
        <v>0</v>
      </c>
      <c r="I558">
        <v>0</v>
      </c>
      <c r="J558">
        <v>0</v>
      </c>
      <c r="K558">
        <v>100</v>
      </c>
      <c r="L558" t="s">
        <v>738</v>
      </c>
      <c r="M558" s="6" t="s">
        <v>739</v>
      </c>
      <c r="N558">
        <v>920</v>
      </c>
      <c r="O558">
        <v>120</v>
      </c>
      <c r="P558">
        <v>10</v>
      </c>
      <c r="Q558">
        <v>10</v>
      </c>
      <c r="R558">
        <v>0</v>
      </c>
      <c r="S558">
        <f t="shared" si="60"/>
        <v>3</v>
      </c>
      <c r="T558">
        <f t="shared" si="61"/>
        <v>91</v>
      </c>
      <c r="U558">
        <f t="shared" si="63"/>
        <v>309503</v>
      </c>
      <c r="V558">
        <f>VLOOKUP($A558,精英副本客户端!$A$2:$O$406,10,0)</f>
        <v>96</v>
      </c>
      <c r="W558">
        <f>VLOOKUP($A558,精英副本客户端!$A$2:$O$406,11,0)</f>
        <v>0</v>
      </c>
      <c r="X558">
        <f>VLOOKUP($A558,精英副本客户端!$A$2:$O$406,12,0)</f>
        <v>1</v>
      </c>
      <c r="Y558" t="str">
        <f t="shared" si="64"/>
        <v>启迪试炼（95）</v>
      </c>
    </row>
    <row r="559" spans="1:25">
      <c r="A559">
        <f t="shared" si="65"/>
        <v>309505</v>
      </c>
      <c r="B559" t="s">
        <v>1059</v>
      </c>
      <c r="C559">
        <v>0</v>
      </c>
      <c r="D559">
        <v>0</v>
      </c>
      <c r="E559" t="str">
        <f t="shared" si="62"/>
        <v>3095051_1</v>
      </c>
      <c r="F559" t="s">
        <v>213</v>
      </c>
      <c r="G559">
        <v>0</v>
      </c>
      <c r="H559">
        <v>0</v>
      </c>
      <c r="I559">
        <v>0</v>
      </c>
      <c r="J559">
        <v>0</v>
      </c>
      <c r="K559">
        <v>100</v>
      </c>
      <c r="L559" t="s">
        <v>738</v>
      </c>
      <c r="M559" s="6" t="s">
        <v>739</v>
      </c>
      <c r="N559">
        <v>920</v>
      </c>
      <c r="O559">
        <v>120</v>
      </c>
      <c r="P559">
        <v>10</v>
      </c>
      <c r="Q559">
        <v>10</v>
      </c>
      <c r="R559">
        <v>0</v>
      </c>
      <c r="S559">
        <f t="shared" si="60"/>
        <v>3</v>
      </c>
      <c r="T559">
        <f t="shared" si="61"/>
        <v>91</v>
      </c>
      <c r="U559">
        <f t="shared" si="63"/>
        <v>309504</v>
      </c>
      <c r="V559">
        <f>VLOOKUP($A559,精英副本客户端!$A$2:$O$406,10,0)</f>
        <v>96</v>
      </c>
      <c r="W559">
        <f>VLOOKUP($A559,精英副本客户端!$A$2:$O$406,11,0)</f>
        <v>0</v>
      </c>
      <c r="X559">
        <f>VLOOKUP($A559,精英副本客户端!$A$2:$O$406,12,0)</f>
        <v>1</v>
      </c>
      <c r="Y559" t="str">
        <f t="shared" si="64"/>
        <v>启迪试炼（95）</v>
      </c>
    </row>
    <row r="560" spans="1:25">
      <c r="A560">
        <f t="shared" si="65"/>
        <v>309506</v>
      </c>
      <c r="B560" t="s">
        <v>1060</v>
      </c>
      <c r="C560">
        <v>0</v>
      </c>
      <c r="D560">
        <v>0</v>
      </c>
      <c r="E560" t="str">
        <f t="shared" si="62"/>
        <v>3095061_1</v>
      </c>
      <c r="F560" t="s">
        <v>213</v>
      </c>
      <c r="G560">
        <v>0</v>
      </c>
      <c r="H560">
        <v>0</v>
      </c>
      <c r="I560">
        <v>0</v>
      </c>
      <c r="J560">
        <v>0</v>
      </c>
      <c r="K560">
        <v>100</v>
      </c>
      <c r="L560" t="s">
        <v>738</v>
      </c>
      <c r="M560" s="6" t="s">
        <v>739</v>
      </c>
      <c r="N560">
        <v>920</v>
      </c>
      <c r="O560">
        <v>120</v>
      </c>
      <c r="P560">
        <v>10</v>
      </c>
      <c r="Q560">
        <v>10</v>
      </c>
      <c r="R560">
        <v>0</v>
      </c>
      <c r="S560">
        <f t="shared" si="60"/>
        <v>3</v>
      </c>
      <c r="T560">
        <f t="shared" si="61"/>
        <v>91</v>
      </c>
      <c r="U560">
        <f t="shared" si="63"/>
        <v>309505</v>
      </c>
      <c r="V560">
        <f>VLOOKUP($A560,精英副本客户端!$A$2:$O$406,10,0)</f>
        <v>97</v>
      </c>
      <c r="W560">
        <f>VLOOKUP($A560,精英副本客户端!$A$2:$O$406,11,0)</f>
        <v>1</v>
      </c>
      <c r="X560">
        <f>VLOOKUP($A560,精英副本客户端!$A$2:$O$406,12,0)</f>
        <v>5</v>
      </c>
      <c r="Y560" t="str">
        <f t="shared" si="64"/>
        <v>启迪试炼（95）</v>
      </c>
    </row>
    <row r="561" spans="1:25">
      <c r="A561">
        <f t="shared" si="65"/>
        <v>309507</v>
      </c>
      <c r="B561" t="s">
        <v>1061</v>
      </c>
      <c r="C561">
        <v>0</v>
      </c>
      <c r="D561">
        <v>0</v>
      </c>
      <c r="E561" t="str">
        <f t="shared" si="62"/>
        <v>3095071_1</v>
      </c>
      <c r="F561" t="s">
        <v>213</v>
      </c>
      <c r="G561">
        <v>0</v>
      </c>
      <c r="H561">
        <v>0</v>
      </c>
      <c r="I561">
        <v>0</v>
      </c>
      <c r="J561">
        <v>0</v>
      </c>
      <c r="K561">
        <v>100</v>
      </c>
      <c r="L561" t="s">
        <v>738</v>
      </c>
      <c r="M561" s="6" t="s">
        <v>739</v>
      </c>
      <c r="N561">
        <v>920</v>
      </c>
      <c r="O561">
        <v>120</v>
      </c>
      <c r="P561">
        <v>10</v>
      </c>
      <c r="Q561">
        <v>10</v>
      </c>
      <c r="R561">
        <v>0</v>
      </c>
      <c r="S561">
        <f t="shared" si="60"/>
        <v>3</v>
      </c>
      <c r="T561">
        <f t="shared" si="61"/>
        <v>91</v>
      </c>
      <c r="U561">
        <f t="shared" si="63"/>
        <v>309506</v>
      </c>
      <c r="V561">
        <f>VLOOKUP($A561,精英副本客户端!$A$2:$O$406,10,0)</f>
        <v>97</v>
      </c>
      <c r="W561">
        <f>VLOOKUP($A561,精英副本客户端!$A$2:$O$406,11,0)</f>
        <v>0</v>
      </c>
      <c r="X561">
        <f>VLOOKUP($A561,精英副本客户端!$A$2:$O$406,12,0)</f>
        <v>1</v>
      </c>
      <c r="Y561" t="str">
        <f t="shared" si="64"/>
        <v>启迪试炼（95）</v>
      </c>
    </row>
    <row r="562" spans="1:25">
      <c r="A562">
        <f t="shared" si="65"/>
        <v>309508</v>
      </c>
      <c r="B562" t="s">
        <v>1062</v>
      </c>
      <c r="C562">
        <v>0</v>
      </c>
      <c r="D562">
        <v>0</v>
      </c>
      <c r="E562" t="str">
        <f t="shared" si="62"/>
        <v>3095081_1</v>
      </c>
      <c r="F562" t="s">
        <v>213</v>
      </c>
      <c r="G562">
        <v>0</v>
      </c>
      <c r="H562">
        <v>0</v>
      </c>
      <c r="I562">
        <v>0</v>
      </c>
      <c r="J562">
        <v>0</v>
      </c>
      <c r="K562">
        <v>100</v>
      </c>
      <c r="L562" t="s">
        <v>738</v>
      </c>
      <c r="M562" s="6" t="s">
        <v>739</v>
      </c>
      <c r="N562">
        <v>920</v>
      </c>
      <c r="O562">
        <v>120</v>
      </c>
      <c r="P562">
        <v>10</v>
      </c>
      <c r="Q562">
        <v>10</v>
      </c>
      <c r="R562">
        <v>0</v>
      </c>
      <c r="S562">
        <f t="shared" si="60"/>
        <v>3</v>
      </c>
      <c r="T562">
        <f t="shared" si="61"/>
        <v>91</v>
      </c>
      <c r="U562">
        <f t="shared" si="63"/>
        <v>309507</v>
      </c>
      <c r="V562">
        <f>VLOOKUP($A562,精英副本客户端!$A$2:$O$406,10,0)</f>
        <v>98</v>
      </c>
      <c r="W562">
        <f>VLOOKUP($A562,精英副本客户端!$A$2:$O$406,11,0)</f>
        <v>0</v>
      </c>
      <c r="X562">
        <f>VLOOKUP($A562,精英副本客户端!$A$2:$O$406,12,0)</f>
        <v>1</v>
      </c>
      <c r="Y562" t="str">
        <f t="shared" si="64"/>
        <v>启迪试炼（95）</v>
      </c>
    </row>
    <row r="563" spans="1:25">
      <c r="A563">
        <f t="shared" si="65"/>
        <v>309509</v>
      </c>
      <c r="B563" t="s">
        <v>1063</v>
      </c>
      <c r="C563">
        <v>0</v>
      </c>
      <c r="D563">
        <v>0</v>
      </c>
      <c r="E563" t="str">
        <f t="shared" si="62"/>
        <v>3095091_1</v>
      </c>
      <c r="F563" t="s">
        <v>213</v>
      </c>
      <c r="G563">
        <v>0</v>
      </c>
      <c r="H563">
        <v>0</v>
      </c>
      <c r="I563">
        <v>0</v>
      </c>
      <c r="J563">
        <v>0</v>
      </c>
      <c r="K563">
        <v>100</v>
      </c>
      <c r="L563" t="s">
        <v>738</v>
      </c>
      <c r="M563" s="6" t="s">
        <v>739</v>
      </c>
      <c r="N563">
        <v>920</v>
      </c>
      <c r="O563">
        <v>120</v>
      </c>
      <c r="P563">
        <v>10</v>
      </c>
      <c r="Q563">
        <v>10</v>
      </c>
      <c r="R563">
        <v>0</v>
      </c>
      <c r="S563">
        <f t="shared" si="60"/>
        <v>3</v>
      </c>
      <c r="T563">
        <f t="shared" si="61"/>
        <v>91</v>
      </c>
      <c r="U563">
        <f t="shared" si="63"/>
        <v>309508</v>
      </c>
      <c r="V563">
        <f>VLOOKUP($A563,精英副本客户端!$A$2:$O$406,10,0)</f>
        <v>99</v>
      </c>
      <c r="W563">
        <f>VLOOKUP($A563,精英副本客户端!$A$2:$O$406,11,0)</f>
        <v>1</v>
      </c>
      <c r="X563">
        <f>VLOOKUP($A563,精英副本客户端!$A$2:$O$406,12,0)</f>
        <v>5</v>
      </c>
      <c r="Y563" t="str">
        <f t="shared" si="64"/>
        <v>启迪试炼（95）</v>
      </c>
    </row>
    <row r="564" spans="1:25">
      <c r="A564">
        <f t="shared" si="65"/>
        <v>310001</v>
      </c>
      <c r="B564" t="s">
        <v>1072</v>
      </c>
      <c r="C564">
        <v>0</v>
      </c>
      <c r="D564">
        <v>0</v>
      </c>
      <c r="E564" t="str">
        <f t="shared" si="62"/>
        <v>3100011_1</v>
      </c>
      <c r="F564" t="s">
        <v>213</v>
      </c>
      <c r="G564">
        <v>0</v>
      </c>
      <c r="H564">
        <v>0</v>
      </c>
      <c r="I564">
        <v>0</v>
      </c>
      <c r="J564">
        <v>0</v>
      </c>
      <c r="K564">
        <v>100</v>
      </c>
      <c r="L564" t="s">
        <v>738</v>
      </c>
      <c r="M564" s="6" t="s">
        <v>739</v>
      </c>
      <c r="N564">
        <v>920</v>
      </c>
      <c r="O564">
        <v>120</v>
      </c>
      <c r="P564">
        <v>10</v>
      </c>
      <c r="Q564">
        <v>10</v>
      </c>
      <c r="R564">
        <v>0</v>
      </c>
      <c r="S564">
        <f t="shared" si="60"/>
        <v>3</v>
      </c>
      <c r="T564">
        <f t="shared" si="61"/>
        <v>96</v>
      </c>
      <c r="U564">
        <f t="shared" si="63"/>
        <v>309509</v>
      </c>
      <c r="V564">
        <f>VLOOKUP($A564,精英副本客户端!$A$2:$O$406,10,0)</f>
        <v>100</v>
      </c>
      <c r="W564">
        <f>VLOOKUP($A564,精英副本客户端!$A$2:$O$406,11,0)</f>
        <v>0</v>
      </c>
      <c r="X564">
        <f>VLOOKUP($A564,精英副本客户端!$A$2:$O$406,12,0)</f>
        <v>1</v>
      </c>
      <c r="Y564" t="str">
        <f t="shared" si="64"/>
        <v>启迪试炼（100）</v>
      </c>
    </row>
    <row r="565" spans="1:25">
      <c r="A565">
        <f t="shared" si="65"/>
        <v>310002</v>
      </c>
      <c r="B565" t="s">
        <v>1057</v>
      </c>
      <c r="C565">
        <v>0</v>
      </c>
      <c r="D565">
        <v>0</v>
      </c>
      <c r="E565" t="str">
        <f t="shared" si="62"/>
        <v>3100021_1</v>
      </c>
      <c r="F565" t="s">
        <v>213</v>
      </c>
      <c r="G565">
        <v>0</v>
      </c>
      <c r="H565">
        <v>0</v>
      </c>
      <c r="I565">
        <v>0</v>
      </c>
      <c r="J565">
        <v>0</v>
      </c>
      <c r="K565">
        <v>100</v>
      </c>
      <c r="L565" t="s">
        <v>738</v>
      </c>
      <c r="M565" s="6" t="s">
        <v>739</v>
      </c>
      <c r="N565">
        <v>920</v>
      </c>
      <c r="O565">
        <v>120</v>
      </c>
      <c r="P565">
        <v>10</v>
      </c>
      <c r="Q565">
        <v>10</v>
      </c>
      <c r="R565">
        <v>0</v>
      </c>
      <c r="S565">
        <f t="shared" si="60"/>
        <v>3</v>
      </c>
      <c r="T565">
        <f t="shared" si="61"/>
        <v>96</v>
      </c>
      <c r="U565">
        <f t="shared" si="63"/>
        <v>310001</v>
      </c>
      <c r="V565">
        <f>VLOOKUP($A565,精英副本客户端!$A$2:$O$406,10,0)</f>
        <v>100</v>
      </c>
      <c r="W565">
        <f>VLOOKUP($A565,精英副本客户端!$A$2:$O$406,11,0)</f>
        <v>0</v>
      </c>
      <c r="X565">
        <f>VLOOKUP($A565,精英副本客户端!$A$2:$O$406,12,0)</f>
        <v>1</v>
      </c>
      <c r="Y565" t="str">
        <f t="shared" si="64"/>
        <v>启迪试炼（100）</v>
      </c>
    </row>
    <row r="566" spans="1:25">
      <c r="A566">
        <f t="shared" si="65"/>
        <v>310003</v>
      </c>
      <c r="B566" t="s">
        <v>1040</v>
      </c>
      <c r="C566">
        <v>0</v>
      </c>
      <c r="D566">
        <v>0</v>
      </c>
      <c r="E566" t="str">
        <f t="shared" si="62"/>
        <v>3100031_1</v>
      </c>
      <c r="F566" t="s">
        <v>213</v>
      </c>
      <c r="G566">
        <v>0</v>
      </c>
      <c r="H566">
        <v>0</v>
      </c>
      <c r="I566">
        <v>0</v>
      </c>
      <c r="J566">
        <v>0</v>
      </c>
      <c r="K566">
        <v>100</v>
      </c>
      <c r="L566" t="s">
        <v>738</v>
      </c>
      <c r="M566" s="6" t="s">
        <v>739</v>
      </c>
      <c r="N566">
        <v>920</v>
      </c>
      <c r="O566">
        <v>120</v>
      </c>
      <c r="P566">
        <v>10</v>
      </c>
      <c r="Q566">
        <v>10</v>
      </c>
      <c r="R566">
        <v>0</v>
      </c>
      <c r="S566">
        <f t="shared" si="60"/>
        <v>3</v>
      </c>
      <c r="T566">
        <f t="shared" si="61"/>
        <v>96</v>
      </c>
      <c r="U566">
        <f t="shared" si="63"/>
        <v>310002</v>
      </c>
      <c r="V566">
        <f>VLOOKUP($A566,精英副本客户端!$A$2:$O$406,10,0)</f>
        <v>101</v>
      </c>
      <c r="W566">
        <f>VLOOKUP($A566,精英副本客户端!$A$2:$O$406,11,0)</f>
        <v>1</v>
      </c>
      <c r="X566">
        <f>VLOOKUP($A566,精英副本客户端!$A$2:$O$406,12,0)</f>
        <v>5</v>
      </c>
      <c r="Y566" t="str">
        <f t="shared" si="64"/>
        <v>启迪试炼（100）</v>
      </c>
    </row>
    <row r="567" spans="1:25">
      <c r="A567">
        <f t="shared" si="65"/>
        <v>310004</v>
      </c>
      <c r="B567" t="s">
        <v>1058</v>
      </c>
      <c r="C567">
        <v>0</v>
      </c>
      <c r="D567">
        <v>0</v>
      </c>
      <c r="E567" t="str">
        <f t="shared" si="62"/>
        <v>3100041_1</v>
      </c>
      <c r="F567" t="s">
        <v>213</v>
      </c>
      <c r="G567">
        <v>0</v>
      </c>
      <c r="H567">
        <v>0</v>
      </c>
      <c r="I567">
        <v>0</v>
      </c>
      <c r="J567">
        <v>0</v>
      </c>
      <c r="K567">
        <v>100</v>
      </c>
      <c r="L567" t="s">
        <v>738</v>
      </c>
      <c r="M567" s="6" t="s">
        <v>739</v>
      </c>
      <c r="N567">
        <v>920</v>
      </c>
      <c r="O567">
        <v>120</v>
      </c>
      <c r="P567">
        <v>10</v>
      </c>
      <c r="Q567">
        <v>10</v>
      </c>
      <c r="R567">
        <v>0</v>
      </c>
      <c r="S567">
        <f t="shared" si="60"/>
        <v>3</v>
      </c>
      <c r="T567">
        <f t="shared" si="61"/>
        <v>96</v>
      </c>
      <c r="U567">
        <f t="shared" si="63"/>
        <v>310003</v>
      </c>
      <c r="V567">
        <f>VLOOKUP($A567,精英副本客户端!$A$2:$O$406,10,0)</f>
        <v>101</v>
      </c>
      <c r="W567">
        <f>VLOOKUP($A567,精英副本客户端!$A$2:$O$406,11,0)</f>
        <v>0</v>
      </c>
      <c r="X567">
        <f>VLOOKUP($A567,精英副本客户端!$A$2:$O$406,12,0)</f>
        <v>1</v>
      </c>
      <c r="Y567" t="str">
        <f t="shared" si="64"/>
        <v>启迪试炼（100）</v>
      </c>
    </row>
    <row r="568" spans="1:25">
      <c r="A568">
        <f t="shared" si="65"/>
        <v>310005</v>
      </c>
      <c r="B568" t="s">
        <v>1059</v>
      </c>
      <c r="C568">
        <v>0</v>
      </c>
      <c r="D568">
        <v>0</v>
      </c>
      <c r="E568" t="str">
        <f t="shared" si="62"/>
        <v>3100051_1</v>
      </c>
      <c r="F568" t="s">
        <v>213</v>
      </c>
      <c r="G568">
        <v>0</v>
      </c>
      <c r="H568">
        <v>0</v>
      </c>
      <c r="I568">
        <v>0</v>
      </c>
      <c r="J568">
        <v>0</v>
      </c>
      <c r="K568">
        <v>100</v>
      </c>
      <c r="L568" t="s">
        <v>738</v>
      </c>
      <c r="M568" s="6" t="s">
        <v>739</v>
      </c>
      <c r="N568">
        <v>920</v>
      </c>
      <c r="O568">
        <v>120</v>
      </c>
      <c r="P568">
        <v>10</v>
      </c>
      <c r="Q568">
        <v>10</v>
      </c>
      <c r="R568">
        <v>0</v>
      </c>
      <c r="S568">
        <f t="shared" si="60"/>
        <v>3</v>
      </c>
      <c r="T568">
        <f t="shared" si="61"/>
        <v>96</v>
      </c>
      <c r="U568">
        <f t="shared" si="63"/>
        <v>310004</v>
      </c>
      <c r="V568">
        <f>VLOOKUP($A568,精英副本客户端!$A$2:$O$406,10,0)</f>
        <v>101</v>
      </c>
      <c r="W568">
        <f>VLOOKUP($A568,精英副本客户端!$A$2:$O$406,11,0)</f>
        <v>0</v>
      </c>
      <c r="X568">
        <f>VLOOKUP($A568,精英副本客户端!$A$2:$O$406,12,0)</f>
        <v>1</v>
      </c>
      <c r="Y568" t="str">
        <f t="shared" si="64"/>
        <v>启迪试炼（100）</v>
      </c>
    </row>
    <row r="569" spans="1:25">
      <c r="A569">
        <f t="shared" si="65"/>
        <v>310006</v>
      </c>
      <c r="B569" t="s">
        <v>1060</v>
      </c>
      <c r="C569">
        <v>0</v>
      </c>
      <c r="D569">
        <v>0</v>
      </c>
      <c r="E569" t="str">
        <f t="shared" si="62"/>
        <v>3100061_1</v>
      </c>
      <c r="F569" t="s">
        <v>213</v>
      </c>
      <c r="G569">
        <v>0</v>
      </c>
      <c r="H569">
        <v>0</v>
      </c>
      <c r="I569">
        <v>0</v>
      </c>
      <c r="J569">
        <v>0</v>
      </c>
      <c r="K569">
        <v>100</v>
      </c>
      <c r="L569" t="s">
        <v>738</v>
      </c>
      <c r="M569" s="6" t="s">
        <v>739</v>
      </c>
      <c r="N569">
        <v>920</v>
      </c>
      <c r="O569">
        <v>120</v>
      </c>
      <c r="P569">
        <v>10</v>
      </c>
      <c r="Q569">
        <v>10</v>
      </c>
      <c r="R569">
        <v>0</v>
      </c>
      <c r="S569">
        <f t="shared" si="60"/>
        <v>3</v>
      </c>
      <c r="T569">
        <f t="shared" si="61"/>
        <v>96</v>
      </c>
      <c r="U569">
        <f t="shared" si="63"/>
        <v>310005</v>
      </c>
      <c r="V569">
        <f>VLOOKUP($A569,精英副本客户端!$A$2:$O$406,10,0)</f>
        <v>102</v>
      </c>
      <c r="W569">
        <f>VLOOKUP($A569,精英副本客户端!$A$2:$O$406,11,0)</f>
        <v>1</v>
      </c>
      <c r="X569">
        <f>VLOOKUP($A569,精英副本客户端!$A$2:$O$406,12,0)</f>
        <v>5</v>
      </c>
      <c r="Y569" t="str">
        <f t="shared" si="64"/>
        <v>启迪试炼（100）</v>
      </c>
    </row>
    <row r="570" spans="1:25">
      <c r="A570">
        <f t="shared" si="65"/>
        <v>310007</v>
      </c>
      <c r="B570" t="s">
        <v>1061</v>
      </c>
      <c r="C570">
        <v>0</v>
      </c>
      <c r="D570">
        <v>0</v>
      </c>
      <c r="E570" t="str">
        <f t="shared" si="62"/>
        <v>3100071_1</v>
      </c>
      <c r="F570" t="s">
        <v>213</v>
      </c>
      <c r="G570">
        <v>0</v>
      </c>
      <c r="H570">
        <v>0</v>
      </c>
      <c r="I570">
        <v>0</v>
      </c>
      <c r="J570">
        <v>0</v>
      </c>
      <c r="K570">
        <v>100</v>
      </c>
      <c r="L570" t="s">
        <v>738</v>
      </c>
      <c r="M570" s="6" t="s">
        <v>739</v>
      </c>
      <c r="N570">
        <v>920</v>
      </c>
      <c r="O570">
        <v>120</v>
      </c>
      <c r="P570">
        <v>10</v>
      </c>
      <c r="Q570">
        <v>10</v>
      </c>
      <c r="R570">
        <v>0</v>
      </c>
      <c r="S570">
        <f t="shared" si="60"/>
        <v>3</v>
      </c>
      <c r="T570">
        <f t="shared" si="61"/>
        <v>96</v>
      </c>
      <c r="U570">
        <f t="shared" si="63"/>
        <v>310006</v>
      </c>
      <c r="V570">
        <f>VLOOKUP($A570,精英副本客户端!$A$2:$O$406,10,0)</f>
        <v>102</v>
      </c>
      <c r="W570">
        <f>VLOOKUP($A570,精英副本客户端!$A$2:$O$406,11,0)</f>
        <v>0</v>
      </c>
      <c r="X570">
        <f>VLOOKUP($A570,精英副本客户端!$A$2:$O$406,12,0)</f>
        <v>1</v>
      </c>
      <c r="Y570" t="str">
        <f t="shared" si="64"/>
        <v>启迪试炼（100）</v>
      </c>
    </row>
    <row r="571" spans="1:25">
      <c r="A571">
        <f t="shared" si="65"/>
        <v>310008</v>
      </c>
      <c r="B571" t="s">
        <v>1062</v>
      </c>
      <c r="C571">
        <v>0</v>
      </c>
      <c r="D571">
        <v>0</v>
      </c>
      <c r="E571" t="str">
        <f t="shared" si="62"/>
        <v>3100081_1</v>
      </c>
      <c r="F571" t="s">
        <v>213</v>
      </c>
      <c r="G571">
        <v>0</v>
      </c>
      <c r="H571">
        <v>0</v>
      </c>
      <c r="I571">
        <v>0</v>
      </c>
      <c r="J571">
        <v>0</v>
      </c>
      <c r="K571">
        <v>100</v>
      </c>
      <c r="L571" t="s">
        <v>738</v>
      </c>
      <c r="M571" s="6" t="s">
        <v>739</v>
      </c>
      <c r="N571">
        <v>920</v>
      </c>
      <c r="O571">
        <v>120</v>
      </c>
      <c r="P571">
        <v>10</v>
      </c>
      <c r="Q571">
        <v>10</v>
      </c>
      <c r="R571">
        <v>0</v>
      </c>
      <c r="S571">
        <f t="shared" si="60"/>
        <v>3</v>
      </c>
      <c r="T571">
        <f t="shared" si="61"/>
        <v>96</v>
      </c>
      <c r="U571">
        <f t="shared" si="63"/>
        <v>310007</v>
      </c>
      <c r="V571">
        <f>VLOOKUP($A571,精英副本客户端!$A$2:$O$406,10,0)</f>
        <v>102</v>
      </c>
      <c r="W571">
        <f>VLOOKUP($A571,精英副本客户端!$A$2:$O$406,11,0)</f>
        <v>0</v>
      </c>
      <c r="X571">
        <f>VLOOKUP($A571,精英副本客户端!$A$2:$O$406,12,0)</f>
        <v>1</v>
      </c>
      <c r="Y571" t="str">
        <f t="shared" si="64"/>
        <v>启迪试炼（100）</v>
      </c>
    </row>
    <row r="572" spans="1:25">
      <c r="A572">
        <f t="shared" si="65"/>
        <v>310009</v>
      </c>
      <c r="B572" t="s">
        <v>1063</v>
      </c>
      <c r="C572">
        <v>0</v>
      </c>
      <c r="D572">
        <v>0</v>
      </c>
      <c r="E572" t="str">
        <f t="shared" si="62"/>
        <v>3100091_1</v>
      </c>
      <c r="F572" t="s">
        <v>213</v>
      </c>
      <c r="G572">
        <v>0</v>
      </c>
      <c r="H572">
        <v>0</v>
      </c>
      <c r="I572">
        <v>0</v>
      </c>
      <c r="J572">
        <v>0</v>
      </c>
      <c r="K572">
        <v>100</v>
      </c>
      <c r="L572" t="s">
        <v>738</v>
      </c>
      <c r="M572" s="6" t="s">
        <v>739</v>
      </c>
      <c r="N572">
        <v>920</v>
      </c>
      <c r="O572">
        <v>120</v>
      </c>
      <c r="P572">
        <v>10</v>
      </c>
      <c r="Q572">
        <v>10</v>
      </c>
      <c r="R572">
        <v>0</v>
      </c>
      <c r="S572">
        <f t="shared" si="60"/>
        <v>3</v>
      </c>
      <c r="T572">
        <f t="shared" si="61"/>
        <v>96</v>
      </c>
      <c r="U572">
        <f t="shared" si="63"/>
        <v>310008</v>
      </c>
      <c r="V572">
        <f>VLOOKUP($A572,精英副本客户端!$A$2:$O$406,10,0)</f>
        <v>102</v>
      </c>
      <c r="W572">
        <f>VLOOKUP($A572,精英副本客户端!$A$2:$O$406,11,0)</f>
        <v>1</v>
      </c>
      <c r="X572">
        <f>VLOOKUP($A572,精英副本客户端!$A$2:$O$406,12,0)</f>
        <v>5</v>
      </c>
      <c r="Y572" t="str">
        <f t="shared" si="64"/>
        <v>启迪试炼（100）</v>
      </c>
    </row>
  </sheetData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A406"/>
  <sheetViews>
    <sheetView topLeftCell="A10" workbookViewId="0">
      <selection activeCell="G14" sqref="G14"/>
    </sheetView>
  </sheetViews>
  <sheetFormatPr defaultRowHeight="13.5"/>
  <cols>
    <col min="3" max="4" width="11.625" bestFit="1" customWidth="1"/>
    <col min="7" max="7" width="74.875" customWidth="1"/>
  </cols>
  <sheetData>
    <row r="1" spans="1:27">
      <c r="A1" t="s">
        <v>744</v>
      </c>
      <c r="B1" t="s">
        <v>745</v>
      </c>
      <c r="C1" t="s">
        <v>753</v>
      </c>
      <c r="D1" t="s">
        <v>752</v>
      </c>
      <c r="E1" t="s">
        <v>236</v>
      </c>
      <c r="F1" t="s">
        <v>743</v>
      </c>
      <c r="G1" t="s">
        <v>746</v>
      </c>
      <c r="H1" t="s">
        <v>747</v>
      </c>
      <c r="I1" t="s">
        <v>748</v>
      </c>
      <c r="J1" t="s">
        <v>1035</v>
      </c>
      <c r="K1" t="s">
        <v>750</v>
      </c>
      <c r="L1" t="s">
        <v>751</v>
      </c>
      <c r="M1" t="str">
        <f>精英副本!Y4</f>
        <v>stageName</v>
      </c>
      <c r="N1" t="s">
        <v>808</v>
      </c>
      <c r="O1" t="s">
        <v>809</v>
      </c>
    </row>
    <row r="2" spans="1:27">
      <c r="A2">
        <v>103001</v>
      </c>
      <c r="B2">
        <f t="shared" ref="B2:B12" si="0">ROUNDDOWN(A2/100000,0)</f>
        <v>1</v>
      </c>
      <c r="C2">
        <v>1</v>
      </c>
      <c r="D2">
        <f t="shared" ref="D2:D12" si="1">MID(A2,2,3)*1</f>
        <v>30</v>
      </c>
      <c r="E2">
        <f t="shared" ref="E2:E9" si="2">A3</f>
        <v>103002</v>
      </c>
      <c r="F2">
        <v>0</v>
      </c>
      <c r="G2" t="s">
        <v>831</v>
      </c>
      <c r="H2">
        <f t="shared" ref="H2:H12" si="3">A2*10+1</f>
        <v>1030011</v>
      </c>
      <c r="I2" t="str">
        <f>精英副本!B60</f>
        <v>战士幻象</v>
      </c>
      <c r="J2">
        <f>VLOOKUP(H2,[3]monster.xml!$A$347:$C$835,3,0)</f>
        <v>30</v>
      </c>
      <c r="K2">
        <f>0</f>
        <v>0</v>
      </c>
      <c r="L2">
        <f t="shared" ref="L2:L13" si="4">1+K2*4</f>
        <v>1</v>
      </c>
      <c r="M2" t="str">
        <f>精英副本!Y60</f>
        <v>力量试炼（30）</v>
      </c>
      <c r="N2">
        <f>VLOOKUP(H2,[3]monster.xml!$347:$835,5,0)</f>
        <v>660</v>
      </c>
      <c r="O2">
        <f>N2</f>
        <v>660</v>
      </c>
      <c r="AA2">
        <v>1</v>
      </c>
    </row>
    <row r="3" spans="1:27">
      <c r="A3">
        <v>103002</v>
      </c>
      <c r="B3">
        <f t="shared" si="0"/>
        <v>1</v>
      </c>
      <c r="C3">
        <v>1</v>
      </c>
      <c r="D3">
        <f t="shared" si="1"/>
        <v>30</v>
      </c>
      <c r="E3">
        <f t="shared" si="2"/>
        <v>103003</v>
      </c>
      <c r="F3">
        <f t="shared" ref="F3:F34" si="5">IF(AA2&gt;0,A2,0)</f>
        <v>103001</v>
      </c>
      <c r="G3" t="s">
        <v>832</v>
      </c>
      <c r="H3">
        <f t="shared" si="3"/>
        <v>1030021</v>
      </c>
      <c r="I3" t="str">
        <f>精英副本!B61</f>
        <v>法力风暴</v>
      </c>
      <c r="J3">
        <f>VLOOKUP(H3,[3]monster.xml!$A$347:$C$835,3,0)</f>
        <v>30</v>
      </c>
      <c r="K3">
        <v>0</v>
      </c>
      <c r="L3">
        <f t="shared" si="4"/>
        <v>1</v>
      </c>
      <c r="M3" t="str">
        <f>精英副本!Y61</f>
        <v>力量试炼（30）</v>
      </c>
      <c r="N3">
        <f>VLOOKUP(H3,[3]monster.xml!$347:$835,5,0)</f>
        <v>660</v>
      </c>
      <c r="O3">
        <f t="shared" ref="O3:O66" si="6">N3</f>
        <v>660</v>
      </c>
      <c r="AA3">
        <v>1</v>
      </c>
    </row>
    <row r="4" spans="1:27">
      <c r="A4">
        <v>103003</v>
      </c>
      <c r="B4">
        <f t="shared" si="0"/>
        <v>1</v>
      </c>
      <c r="C4">
        <v>1</v>
      </c>
      <c r="D4">
        <f t="shared" si="1"/>
        <v>30</v>
      </c>
      <c r="E4">
        <f t="shared" si="2"/>
        <v>103004</v>
      </c>
      <c r="F4">
        <f t="shared" si="5"/>
        <v>103002</v>
      </c>
      <c r="G4" t="s">
        <v>833</v>
      </c>
      <c r="H4">
        <f t="shared" si="3"/>
        <v>1030031</v>
      </c>
      <c r="I4" t="str">
        <f>精英副本!B62</f>
        <v>角斗士里奥</v>
      </c>
      <c r="J4">
        <f>VLOOKUP(H4,[3]monster.xml!$A$347:$C$835,3,0)</f>
        <v>31</v>
      </c>
      <c r="K4">
        <v>1</v>
      </c>
      <c r="L4">
        <f t="shared" si="4"/>
        <v>5</v>
      </c>
      <c r="M4" t="str">
        <f>精英副本!Y62</f>
        <v>力量试炼（30）</v>
      </c>
      <c r="N4">
        <f>VLOOKUP(H4,[3]monster.xml!$347:$835,5,0)</f>
        <v>690</v>
      </c>
      <c r="O4">
        <f t="shared" si="6"/>
        <v>690</v>
      </c>
      <c r="AA4">
        <v>1</v>
      </c>
    </row>
    <row r="5" spans="1:27">
      <c r="A5">
        <v>103004</v>
      </c>
      <c r="B5">
        <f t="shared" si="0"/>
        <v>1</v>
      </c>
      <c r="C5">
        <v>1</v>
      </c>
      <c r="D5">
        <f t="shared" si="1"/>
        <v>30</v>
      </c>
      <c r="E5">
        <f t="shared" si="2"/>
        <v>103005</v>
      </c>
      <c r="F5">
        <f t="shared" si="5"/>
        <v>103003</v>
      </c>
      <c r="G5" t="s">
        <v>834</v>
      </c>
      <c r="H5">
        <f t="shared" si="3"/>
        <v>1030041</v>
      </c>
      <c r="I5" t="str">
        <f>精英副本!B63</f>
        <v>荒野游侠</v>
      </c>
      <c r="J5">
        <f>VLOOKUP(H5,[3]monster.xml!$A$347:$C$835,3,0)</f>
        <v>31</v>
      </c>
      <c r="K5">
        <v>0</v>
      </c>
      <c r="L5">
        <f t="shared" si="4"/>
        <v>1</v>
      </c>
      <c r="M5" t="str">
        <f>精英副本!Y63</f>
        <v>力量试炼（30）</v>
      </c>
      <c r="N5">
        <f>VLOOKUP(H5,[3]monster.xml!$347:$835,5,0)</f>
        <v>690</v>
      </c>
      <c r="O5">
        <f t="shared" si="6"/>
        <v>690</v>
      </c>
      <c r="AA5">
        <v>1</v>
      </c>
    </row>
    <row r="6" spans="1:27">
      <c r="A6">
        <v>103005</v>
      </c>
      <c r="B6">
        <f t="shared" si="0"/>
        <v>1</v>
      </c>
      <c r="C6">
        <v>1</v>
      </c>
      <c r="D6">
        <f t="shared" si="1"/>
        <v>30</v>
      </c>
      <c r="E6">
        <f t="shared" si="2"/>
        <v>103006</v>
      </c>
      <c r="F6">
        <f t="shared" si="5"/>
        <v>103004</v>
      </c>
      <c r="G6" t="s">
        <v>835</v>
      </c>
      <c r="H6">
        <f t="shared" si="3"/>
        <v>1030051</v>
      </c>
      <c r="I6" t="str">
        <f>精英副本!B64</f>
        <v>憾地者</v>
      </c>
      <c r="J6">
        <f>VLOOKUP(H6,[3]monster.xml!$A$347:$C$835,3,0)</f>
        <v>31</v>
      </c>
      <c r="K6">
        <v>0</v>
      </c>
      <c r="L6">
        <f t="shared" si="4"/>
        <v>1</v>
      </c>
      <c r="M6" t="str">
        <f>精英副本!Y64</f>
        <v>力量试炼（30）</v>
      </c>
      <c r="N6">
        <f>VLOOKUP(H6,[3]monster.xml!$347:$835,5,0)</f>
        <v>690</v>
      </c>
      <c r="O6">
        <f t="shared" si="6"/>
        <v>690</v>
      </c>
      <c r="AA6">
        <v>1</v>
      </c>
    </row>
    <row r="7" spans="1:27">
      <c r="A7">
        <v>103006</v>
      </c>
      <c r="B7">
        <f t="shared" si="0"/>
        <v>1</v>
      </c>
      <c r="C7">
        <v>1</v>
      </c>
      <c r="D7">
        <f t="shared" si="1"/>
        <v>30</v>
      </c>
      <c r="E7">
        <f t="shared" si="2"/>
        <v>103007</v>
      </c>
      <c r="F7">
        <f t="shared" si="5"/>
        <v>103005</v>
      </c>
      <c r="G7" t="s">
        <v>836</v>
      </c>
      <c r="H7">
        <f t="shared" si="3"/>
        <v>1030061</v>
      </c>
      <c r="I7" t="str">
        <f>精英副本!B65</f>
        <v>拉兹</v>
      </c>
      <c r="J7">
        <f>VLOOKUP(H7,[3]monster.xml!$A$347:$C$835,3,0)</f>
        <v>32</v>
      </c>
      <c r="K7">
        <v>1</v>
      </c>
      <c r="L7">
        <f t="shared" si="4"/>
        <v>5</v>
      </c>
      <c r="M7" t="str">
        <f>精英副本!Y65</f>
        <v>力量试炼（30）</v>
      </c>
      <c r="N7">
        <f>VLOOKUP(H7,[3]monster.xml!$347:$835,5,0)</f>
        <v>720</v>
      </c>
      <c r="O7">
        <f t="shared" si="6"/>
        <v>720</v>
      </c>
      <c r="AA7">
        <v>1</v>
      </c>
    </row>
    <row r="8" spans="1:27">
      <c r="A8">
        <v>103007</v>
      </c>
      <c r="B8">
        <f t="shared" si="0"/>
        <v>1</v>
      </c>
      <c r="C8">
        <v>1</v>
      </c>
      <c r="D8">
        <f t="shared" si="1"/>
        <v>30</v>
      </c>
      <c r="E8">
        <f t="shared" si="2"/>
        <v>103008</v>
      </c>
      <c r="F8">
        <f t="shared" si="5"/>
        <v>103006</v>
      </c>
      <c r="G8" t="s">
        <v>837</v>
      </c>
      <c r="H8">
        <f t="shared" si="3"/>
        <v>1030071</v>
      </c>
      <c r="I8" t="str">
        <f>精英副本!B66</f>
        <v>塔克</v>
      </c>
      <c r="J8">
        <f>VLOOKUP(H8,[3]monster.xml!$A$347:$C$835,3,0)</f>
        <v>32</v>
      </c>
      <c r="K8">
        <v>0</v>
      </c>
      <c r="L8">
        <f t="shared" si="4"/>
        <v>1</v>
      </c>
      <c r="M8" t="str">
        <f>精英副本!Y66</f>
        <v>力量试炼（30）</v>
      </c>
      <c r="N8">
        <f>VLOOKUP(H8,[3]monster.xml!$347:$835,5,0)</f>
        <v>720</v>
      </c>
      <c r="O8">
        <f t="shared" si="6"/>
        <v>720</v>
      </c>
      <c r="AA8">
        <v>1</v>
      </c>
    </row>
    <row r="9" spans="1:27">
      <c r="A9">
        <v>103008</v>
      </c>
      <c r="B9">
        <f t="shared" si="0"/>
        <v>1</v>
      </c>
      <c r="C9">
        <v>1</v>
      </c>
      <c r="D9">
        <f t="shared" si="1"/>
        <v>30</v>
      </c>
      <c r="E9">
        <f t="shared" si="2"/>
        <v>103009</v>
      </c>
      <c r="F9">
        <f t="shared" si="5"/>
        <v>103007</v>
      </c>
      <c r="G9" t="s">
        <v>838</v>
      </c>
      <c r="H9">
        <f t="shared" si="3"/>
        <v>1030081</v>
      </c>
      <c r="I9" t="str">
        <f>精英副本!B67</f>
        <v>狂野安东尼</v>
      </c>
      <c r="J9">
        <f>VLOOKUP(H9,[3]monster.xml!$A$347:$C$835,3,0)</f>
        <v>33</v>
      </c>
      <c r="K9">
        <v>0</v>
      </c>
      <c r="L9">
        <f t="shared" si="4"/>
        <v>1</v>
      </c>
      <c r="M9" t="str">
        <f>精英副本!Y67</f>
        <v>力量试炼（30）</v>
      </c>
      <c r="N9">
        <f>VLOOKUP(H9,[3]monster.xml!$347:$835,5,0)</f>
        <v>750</v>
      </c>
      <c r="O9">
        <f t="shared" si="6"/>
        <v>750</v>
      </c>
      <c r="AA9">
        <v>1</v>
      </c>
    </row>
    <row r="10" spans="1:27">
      <c r="A10">
        <v>103009</v>
      </c>
      <c r="B10">
        <f t="shared" si="0"/>
        <v>1</v>
      </c>
      <c r="C10">
        <v>1</v>
      </c>
      <c r="D10">
        <f t="shared" si="1"/>
        <v>30</v>
      </c>
      <c r="E10">
        <f>IF(F11&gt;0,A11,0)</f>
        <v>0</v>
      </c>
      <c r="F10">
        <f t="shared" si="5"/>
        <v>103008</v>
      </c>
      <c r="G10" t="s">
        <v>839</v>
      </c>
      <c r="H10">
        <f t="shared" si="3"/>
        <v>1030091</v>
      </c>
      <c r="I10" t="str">
        <f>精英副本!B68</f>
        <v>巡林者瑞克</v>
      </c>
      <c r="J10">
        <f>VLOOKUP(H10,[3]monster.xml!$A$347:$C$835,3,0)</f>
        <v>34</v>
      </c>
      <c r="K10">
        <v>1</v>
      </c>
      <c r="L10">
        <f t="shared" si="4"/>
        <v>5</v>
      </c>
      <c r="M10" t="str">
        <f>精英副本!Y68</f>
        <v>力量试炼（30）</v>
      </c>
      <c r="N10">
        <f>VLOOKUP(H10,[3]monster.xml!$347:$835,5,0)</f>
        <v>780</v>
      </c>
      <c r="O10">
        <f t="shared" si="6"/>
        <v>780</v>
      </c>
      <c r="AA10">
        <v>0</v>
      </c>
    </row>
    <row r="11" spans="1:27">
      <c r="A11">
        <f t="shared" ref="A11:A19" si="7">A2+500</f>
        <v>103501</v>
      </c>
      <c r="B11">
        <f t="shared" si="0"/>
        <v>1</v>
      </c>
      <c r="C11">
        <f t="shared" ref="C11:C19" si="8">C2+1</f>
        <v>2</v>
      </c>
      <c r="D11">
        <f t="shared" si="1"/>
        <v>35</v>
      </c>
      <c r="E11">
        <f t="shared" ref="E11:E74" si="9">IF(F12&gt;0,A12,0)</f>
        <v>103502</v>
      </c>
      <c r="F11">
        <f t="shared" si="5"/>
        <v>0</v>
      </c>
      <c r="G11" t="s">
        <v>840</v>
      </c>
      <c r="H11">
        <f t="shared" si="3"/>
        <v>1035011</v>
      </c>
      <c r="I11" t="str">
        <f>精英副本!B69</f>
        <v>战士幻象</v>
      </c>
      <c r="J11">
        <f>VLOOKUP(H11,[3]monster.xml!$A$347:$C$835,3,0)</f>
        <v>35</v>
      </c>
      <c r="K11">
        <f t="shared" ref="K11:K19" si="10">K2</f>
        <v>0</v>
      </c>
      <c r="L11">
        <f t="shared" si="4"/>
        <v>1</v>
      </c>
      <c r="M11" t="str">
        <f>精英副本!Y69</f>
        <v>力量试炼（35）</v>
      </c>
      <c r="N11">
        <f>VLOOKUP(H11,[3]monster.xml!$347:$835,5,0)</f>
        <v>810</v>
      </c>
      <c r="O11">
        <f t="shared" si="6"/>
        <v>810</v>
      </c>
      <c r="AA11">
        <f>AA2</f>
        <v>1</v>
      </c>
    </row>
    <row r="12" spans="1:27">
      <c r="A12">
        <f t="shared" si="7"/>
        <v>103502</v>
      </c>
      <c r="B12">
        <f t="shared" si="0"/>
        <v>1</v>
      </c>
      <c r="C12">
        <f t="shared" si="8"/>
        <v>2</v>
      </c>
      <c r="D12">
        <f t="shared" si="1"/>
        <v>35</v>
      </c>
      <c r="E12">
        <f t="shared" si="9"/>
        <v>103503</v>
      </c>
      <c r="F12">
        <f t="shared" si="5"/>
        <v>103501</v>
      </c>
      <c r="G12" t="s">
        <v>1036</v>
      </c>
      <c r="H12">
        <f t="shared" si="3"/>
        <v>1035021</v>
      </c>
      <c r="I12" t="str">
        <f>精英副本!B70</f>
        <v>法力风暴</v>
      </c>
      <c r="J12">
        <f>VLOOKUP(H12,[3]monster.xml!$A$347:$C$835,3,0)</f>
        <v>35</v>
      </c>
      <c r="K12">
        <f t="shared" si="10"/>
        <v>0</v>
      </c>
      <c r="L12">
        <f t="shared" si="4"/>
        <v>1</v>
      </c>
      <c r="M12" t="str">
        <f>精英副本!Y70</f>
        <v>力量试炼（35）</v>
      </c>
      <c r="N12">
        <f>VLOOKUP(H12,[3]monster.xml!$347:$835,5,0)</f>
        <v>810</v>
      </c>
      <c r="O12">
        <f t="shared" si="6"/>
        <v>810</v>
      </c>
      <c r="AA12">
        <f t="shared" ref="AA12:AA75" si="11">AA3</f>
        <v>1</v>
      </c>
    </row>
    <row r="13" spans="1:27">
      <c r="A13">
        <f t="shared" si="7"/>
        <v>103503</v>
      </c>
      <c r="B13">
        <f t="shared" ref="B13:B76" si="12">ROUNDDOWN(A13/100000,0)</f>
        <v>1</v>
      </c>
      <c r="C13">
        <f t="shared" si="8"/>
        <v>2</v>
      </c>
      <c r="D13">
        <f t="shared" ref="D13:D76" si="13">MID(A13,2,3)*1</f>
        <v>35</v>
      </c>
      <c r="E13">
        <f t="shared" si="9"/>
        <v>103504</v>
      </c>
      <c r="F13">
        <f t="shared" si="5"/>
        <v>103502</v>
      </c>
      <c r="G13" t="s">
        <v>842</v>
      </c>
      <c r="H13">
        <f t="shared" ref="H13:H76" si="14">A13*10+1</f>
        <v>1035031</v>
      </c>
      <c r="I13" t="str">
        <f>精英副本!B71</f>
        <v>角斗士里奥</v>
      </c>
      <c r="J13">
        <f>VLOOKUP(H13,[3]monster.xml!$A$347:$C$835,3,0)</f>
        <v>36</v>
      </c>
      <c r="K13">
        <f t="shared" si="10"/>
        <v>1</v>
      </c>
      <c r="L13">
        <f t="shared" si="4"/>
        <v>5</v>
      </c>
      <c r="M13" t="str">
        <f>精英副本!Y71</f>
        <v>力量试炼（35）</v>
      </c>
      <c r="N13">
        <f>VLOOKUP(H13,[3]monster.xml!$347:$835,5,0)</f>
        <v>840</v>
      </c>
      <c r="O13">
        <f t="shared" si="6"/>
        <v>840</v>
      </c>
      <c r="AA13">
        <f t="shared" si="11"/>
        <v>1</v>
      </c>
    </row>
    <row r="14" spans="1:27">
      <c r="A14">
        <f t="shared" si="7"/>
        <v>103504</v>
      </c>
      <c r="B14">
        <f t="shared" si="12"/>
        <v>1</v>
      </c>
      <c r="C14">
        <f t="shared" si="8"/>
        <v>2</v>
      </c>
      <c r="D14">
        <f t="shared" si="13"/>
        <v>35</v>
      </c>
      <c r="E14">
        <f t="shared" si="9"/>
        <v>103505</v>
      </c>
      <c r="F14">
        <f t="shared" si="5"/>
        <v>103503</v>
      </c>
      <c r="G14" t="s">
        <v>843</v>
      </c>
      <c r="H14">
        <f t="shared" si="14"/>
        <v>1035041</v>
      </c>
      <c r="I14" t="str">
        <f>精英副本!B72</f>
        <v>荒野游侠</v>
      </c>
      <c r="J14">
        <f>VLOOKUP(H14,[3]monster.xml!$A$347:$C$835,3,0)</f>
        <v>36</v>
      </c>
      <c r="K14">
        <f t="shared" si="10"/>
        <v>0</v>
      </c>
      <c r="L14">
        <f t="shared" ref="L14:L77" si="15">1+K14*4</f>
        <v>1</v>
      </c>
      <c r="M14" t="str">
        <f>精英副本!Y72</f>
        <v>力量试炼（35）</v>
      </c>
      <c r="N14">
        <f>VLOOKUP(H14,[3]monster.xml!$347:$835,5,0)</f>
        <v>840</v>
      </c>
      <c r="O14">
        <f t="shared" si="6"/>
        <v>840</v>
      </c>
      <c r="AA14">
        <f t="shared" si="11"/>
        <v>1</v>
      </c>
    </row>
    <row r="15" spans="1:27">
      <c r="A15">
        <f t="shared" si="7"/>
        <v>103505</v>
      </c>
      <c r="B15">
        <f t="shared" si="12"/>
        <v>1</v>
      </c>
      <c r="C15">
        <f t="shared" si="8"/>
        <v>2</v>
      </c>
      <c r="D15">
        <f t="shared" si="13"/>
        <v>35</v>
      </c>
      <c r="E15">
        <f t="shared" si="9"/>
        <v>103506</v>
      </c>
      <c r="F15">
        <f t="shared" si="5"/>
        <v>103504</v>
      </c>
      <c r="G15" t="s">
        <v>844</v>
      </c>
      <c r="H15">
        <f t="shared" si="14"/>
        <v>1035051</v>
      </c>
      <c r="I15" t="str">
        <f>精英副本!B73</f>
        <v>憾地者</v>
      </c>
      <c r="J15">
        <f>VLOOKUP(H15,[3]monster.xml!$A$347:$C$835,3,0)</f>
        <v>36</v>
      </c>
      <c r="K15">
        <f t="shared" si="10"/>
        <v>0</v>
      </c>
      <c r="L15">
        <f t="shared" si="15"/>
        <v>1</v>
      </c>
      <c r="M15" t="str">
        <f>精英副本!Y73</f>
        <v>力量试炼（35）</v>
      </c>
      <c r="N15">
        <f>VLOOKUP(H15,[3]monster.xml!$347:$835,5,0)</f>
        <v>840</v>
      </c>
      <c r="O15">
        <f t="shared" si="6"/>
        <v>840</v>
      </c>
      <c r="AA15">
        <f t="shared" si="11"/>
        <v>1</v>
      </c>
    </row>
    <row r="16" spans="1:27">
      <c r="A16">
        <f t="shared" si="7"/>
        <v>103506</v>
      </c>
      <c r="B16">
        <f t="shared" si="12"/>
        <v>1</v>
      </c>
      <c r="C16">
        <f t="shared" si="8"/>
        <v>2</v>
      </c>
      <c r="D16">
        <f t="shared" si="13"/>
        <v>35</v>
      </c>
      <c r="E16">
        <f t="shared" si="9"/>
        <v>103507</v>
      </c>
      <c r="F16">
        <f t="shared" si="5"/>
        <v>103505</v>
      </c>
      <c r="G16" t="s">
        <v>1073</v>
      </c>
      <c r="H16">
        <f t="shared" si="14"/>
        <v>1035061</v>
      </c>
      <c r="I16" t="str">
        <f>精英副本!B74</f>
        <v>拉兹</v>
      </c>
      <c r="J16">
        <f>VLOOKUP(H16,[3]monster.xml!$A$347:$C$835,3,0)</f>
        <v>37</v>
      </c>
      <c r="K16">
        <f t="shared" si="10"/>
        <v>1</v>
      </c>
      <c r="L16">
        <f t="shared" si="15"/>
        <v>5</v>
      </c>
      <c r="M16" t="str">
        <f>精英副本!Y74</f>
        <v>力量试炼（35）</v>
      </c>
      <c r="N16">
        <f>VLOOKUP(H16,[3]monster.xml!$347:$835,5,0)</f>
        <v>870</v>
      </c>
      <c r="O16">
        <f t="shared" si="6"/>
        <v>870</v>
      </c>
      <c r="AA16">
        <f t="shared" si="11"/>
        <v>1</v>
      </c>
    </row>
    <row r="17" spans="1:27">
      <c r="A17">
        <f t="shared" si="7"/>
        <v>103507</v>
      </c>
      <c r="B17">
        <f t="shared" si="12"/>
        <v>1</v>
      </c>
      <c r="C17">
        <f t="shared" si="8"/>
        <v>2</v>
      </c>
      <c r="D17">
        <f t="shared" si="13"/>
        <v>35</v>
      </c>
      <c r="E17">
        <f t="shared" si="9"/>
        <v>103508</v>
      </c>
      <c r="F17">
        <f t="shared" si="5"/>
        <v>103506</v>
      </c>
      <c r="G17" t="s">
        <v>846</v>
      </c>
      <c r="H17">
        <f t="shared" si="14"/>
        <v>1035071</v>
      </c>
      <c r="I17" t="str">
        <f>精英副本!B75</f>
        <v>塔克</v>
      </c>
      <c r="J17">
        <f>VLOOKUP(H17,[3]monster.xml!$A$347:$C$835,3,0)</f>
        <v>37</v>
      </c>
      <c r="K17">
        <f t="shared" si="10"/>
        <v>0</v>
      </c>
      <c r="L17">
        <f t="shared" si="15"/>
        <v>1</v>
      </c>
      <c r="M17" t="str">
        <f>精英副本!Y75</f>
        <v>力量试炼（35）</v>
      </c>
      <c r="N17">
        <f>VLOOKUP(H17,[3]monster.xml!$347:$835,5,0)</f>
        <v>870</v>
      </c>
      <c r="O17">
        <f t="shared" si="6"/>
        <v>870</v>
      </c>
      <c r="AA17">
        <f t="shared" si="11"/>
        <v>1</v>
      </c>
    </row>
    <row r="18" spans="1:27">
      <c r="A18">
        <f t="shared" si="7"/>
        <v>103508</v>
      </c>
      <c r="B18">
        <f t="shared" si="12"/>
        <v>1</v>
      </c>
      <c r="C18">
        <f t="shared" si="8"/>
        <v>2</v>
      </c>
      <c r="D18">
        <f t="shared" si="13"/>
        <v>35</v>
      </c>
      <c r="E18">
        <f t="shared" si="9"/>
        <v>103509</v>
      </c>
      <c r="F18">
        <f t="shared" si="5"/>
        <v>103507</v>
      </c>
      <c r="G18" t="s">
        <v>847</v>
      </c>
      <c r="H18">
        <f t="shared" si="14"/>
        <v>1035081</v>
      </c>
      <c r="I18" t="str">
        <f>精英副本!B76</f>
        <v>狂野安东尼</v>
      </c>
      <c r="J18">
        <f>VLOOKUP(H18,[3]monster.xml!$A$347:$C$835,3,0)</f>
        <v>38</v>
      </c>
      <c r="K18">
        <f t="shared" si="10"/>
        <v>0</v>
      </c>
      <c r="L18">
        <f t="shared" si="15"/>
        <v>1</v>
      </c>
      <c r="M18" t="str">
        <f>精英副本!Y76</f>
        <v>力量试炼（35）</v>
      </c>
      <c r="N18">
        <f>VLOOKUP(H18,[3]monster.xml!$347:$835,5,0)</f>
        <v>900</v>
      </c>
      <c r="O18">
        <f t="shared" si="6"/>
        <v>900</v>
      </c>
      <c r="AA18">
        <f t="shared" si="11"/>
        <v>1</v>
      </c>
    </row>
    <row r="19" spans="1:27">
      <c r="A19">
        <f t="shared" si="7"/>
        <v>103509</v>
      </c>
      <c r="B19">
        <f t="shared" si="12"/>
        <v>1</v>
      </c>
      <c r="C19">
        <f t="shared" si="8"/>
        <v>2</v>
      </c>
      <c r="D19">
        <f t="shared" si="13"/>
        <v>35</v>
      </c>
      <c r="E19">
        <f t="shared" si="9"/>
        <v>0</v>
      </c>
      <c r="F19">
        <f t="shared" si="5"/>
        <v>103508</v>
      </c>
      <c r="G19" t="s">
        <v>848</v>
      </c>
      <c r="H19">
        <f t="shared" si="14"/>
        <v>1035091</v>
      </c>
      <c r="I19" t="str">
        <f>精英副本!B77</f>
        <v>巡林者瑞克</v>
      </c>
      <c r="J19">
        <f>VLOOKUP(H19,[3]monster.xml!$A$347:$C$835,3,0)</f>
        <v>39</v>
      </c>
      <c r="K19">
        <f t="shared" si="10"/>
        <v>1</v>
      </c>
      <c r="L19">
        <f t="shared" si="15"/>
        <v>5</v>
      </c>
      <c r="M19" t="str">
        <f>精英副本!Y77</f>
        <v>力量试炼（35）</v>
      </c>
      <c r="N19">
        <f>VLOOKUP(H19,[3]monster.xml!$347:$835,5,0)</f>
        <v>930</v>
      </c>
      <c r="O19">
        <f t="shared" si="6"/>
        <v>930</v>
      </c>
      <c r="AA19">
        <f t="shared" si="11"/>
        <v>0</v>
      </c>
    </row>
    <row r="20" spans="1:27">
      <c r="A20">
        <f t="shared" ref="A20:A30" si="16">A11+500</f>
        <v>104001</v>
      </c>
      <c r="B20">
        <f t="shared" si="12"/>
        <v>1</v>
      </c>
      <c r="C20">
        <f t="shared" ref="C20:C30" si="17">C11+1</f>
        <v>3</v>
      </c>
      <c r="D20">
        <f t="shared" si="13"/>
        <v>40</v>
      </c>
      <c r="E20">
        <f t="shared" si="9"/>
        <v>104002</v>
      </c>
      <c r="F20">
        <f t="shared" si="5"/>
        <v>0</v>
      </c>
      <c r="G20" t="s">
        <v>849</v>
      </c>
      <c r="H20">
        <f t="shared" si="14"/>
        <v>1040011</v>
      </c>
      <c r="I20" t="str">
        <f>精英副本!B78</f>
        <v>战士幻象</v>
      </c>
      <c r="J20">
        <f>VLOOKUP(H20,[3]monster.xml!$A$347:$C$835,3,0)</f>
        <v>40</v>
      </c>
      <c r="K20">
        <f t="shared" ref="K20:K21" si="18">K11</f>
        <v>0</v>
      </c>
      <c r="L20">
        <f t="shared" si="15"/>
        <v>1</v>
      </c>
      <c r="M20" t="str">
        <f>精英副本!Y78</f>
        <v>力量试炼（40）</v>
      </c>
      <c r="N20">
        <f>VLOOKUP(H20,[3]monster.xml!$347:$835,5,0)</f>
        <v>960</v>
      </c>
      <c r="O20">
        <f t="shared" si="6"/>
        <v>960</v>
      </c>
      <c r="AA20">
        <f t="shared" si="11"/>
        <v>1</v>
      </c>
    </row>
    <row r="21" spans="1:27">
      <c r="A21">
        <f t="shared" si="16"/>
        <v>104002</v>
      </c>
      <c r="B21">
        <f t="shared" si="12"/>
        <v>1</v>
      </c>
      <c r="C21">
        <f t="shared" si="17"/>
        <v>3</v>
      </c>
      <c r="D21">
        <f t="shared" si="13"/>
        <v>40</v>
      </c>
      <c r="E21">
        <f t="shared" si="9"/>
        <v>104003</v>
      </c>
      <c r="F21">
        <f t="shared" si="5"/>
        <v>104001</v>
      </c>
      <c r="G21" t="s">
        <v>850</v>
      </c>
      <c r="H21">
        <f t="shared" si="14"/>
        <v>1040021</v>
      </c>
      <c r="I21" t="str">
        <f>精英副本!B79</f>
        <v>法力风暴</v>
      </c>
      <c r="J21">
        <f>VLOOKUP(H21,[3]monster.xml!$A$347:$C$835,3,0)</f>
        <v>40</v>
      </c>
      <c r="K21">
        <f t="shared" si="18"/>
        <v>0</v>
      </c>
      <c r="L21">
        <f t="shared" si="15"/>
        <v>1</v>
      </c>
      <c r="M21" t="str">
        <f>精英副本!Y79</f>
        <v>力量试炼（40）</v>
      </c>
      <c r="N21">
        <f>VLOOKUP(H21,[3]monster.xml!$347:$835,5,0)</f>
        <v>960</v>
      </c>
      <c r="O21">
        <f t="shared" si="6"/>
        <v>960</v>
      </c>
      <c r="AA21">
        <f t="shared" si="11"/>
        <v>1</v>
      </c>
    </row>
    <row r="22" spans="1:27">
      <c r="A22">
        <f t="shared" si="16"/>
        <v>104003</v>
      </c>
      <c r="B22">
        <f t="shared" si="12"/>
        <v>1</v>
      </c>
      <c r="C22">
        <f t="shared" si="17"/>
        <v>3</v>
      </c>
      <c r="D22">
        <f t="shared" si="13"/>
        <v>40</v>
      </c>
      <c r="E22">
        <f t="shared" si="9"/>
        <v>104004</v>
      </c>
      <c r="F22">
        <f t="shared" si="5"/>
        <v>104002</v>
      </c>
      <c r="G22" t="s">
        <v>851</v>
      </c>
      <c r="H22">
        <f t="shared" si="14"/>
        <v>1040031</v>
      </c>
      <c r="I22" t="str">
        <f>精英副本!B80</f>
        <v>角斗士里奥</v>
      </c>
      <c r="J22">
        <f>VLOOKUP(H22,[3]monster.xml!$A$347:$C$835,3,0)</f>
        <v>41</v>
      </c>
      <c r="K22">
        <f t="shared" ref="K22:K85" si="19">K13</f>
        <v>1</v>
      </c>
      <c r="L22">
        <f t="shared" si="15"/>
        <v>5</v>
      </c>
      <c r="M22" t="str">
        <f>精英副本!Y80</f>
        <v>力量试炼（40）</v>
      </c>
      <c r="N22">
        <f>VLOOKUP(H22,[3]monster.xml!$347:$835,5,0)</f>
        <v>1000</v>
      </c>
      <c r="O22">
        <f t="shared" si="6"/>
        <v>1000</v>
      </c>
      <c r="AA22">
        <f t="shared" si="11"/>
        <v>1</v>
      </c>
    </row>
    <row r="23" spans="1:27">
      <c r="A23">
        <f t="shared" si="16"/>
        <v>104004</v>
      </c>
      <c r="B23">
        <f t="shared" si="12"/>
        <v>1</v>
      </c>
      <c r="C23">
        <f t="shared" si="17"/>
        <v>3</v>
      </c>
      <c r="D23">
        <f t="shared" si="13"/>
        <v>40</v>
      </c>
      <c r="E23">
        <f t="shared" si="9"/>
        <v>104005</v>
      </c>
      <c r="F23">
        <f t="shared" si="5"/>
        <v>104003</v>
      </c>
      <c r="G23" t="s">
        <v>852</v>
      </c>
      <c r="H23">
        <f t="shared" si="14"/>
        <v>1040041</v>
      </c>
      <c r="I23" t="str">
        <f>精英副本!B81</f>
        <v>荒野游侠</v>
      </c>
      <c r="J23">
        <f>VLOOKUP(H23,[3]monster.xml!$A$347:$C$835,3,0)</f>
        <v>41</v>
      </c>
      <c r="K23">
        <f t="shared" si="19"/>
        <v>0</v>
      </c>
      <c r="L23">
        <f t="shared" si="15"/>
        <v>1</v>
      </c>
      <c r="M23" t="str">
        <f>精英副本!Y81</f>
        <v>力量试炼（40）</v>
      </c>
      <c r="N23">
        <f>VLOOKUP(H23,[3]monster.xml!$347:$835,5,0)</f>
        <v>1000</v>
      </c>
      <c r="O23">
        <f t="shared" si="6"/>
        <v>1000</v>
      </c>
      <c r="AA23">
        <f t="shared" si="11"/>
        <v>1</v>
      </c>
    </row>
    <row r="24" spans="1:27">
      <c r="A24">
        <f t="shared" si="16"/>
        <v>104005</v>
      </c>
      <c r="B24">
        <f t="shared" si="12"/>
        <v>1</v>
      </c>
      <c r="C24">
        <f t="shared" si="17"/>
        <v>3</v>
      </c>
      <c r="D24">
        <f t="shared" si="13"/>
        <v>40</v>
      </c>
      <c r="E24">
        <f t="shared" si="9"/>
        <v>104006</v>
      </c>
      <c r="F24">
        <f t="shared" si="5"/>
        <v>104004</v>
      </c>
      <c r="G24" t="s">
        <v>853</v>
      </c>
      <c r="H24">
        <f t="shared" si="14"/>
        <v>1040051</v>
      </c>
      <c r="I24" t="str">
        <f>精英副本!B82</f>
        <v>憾地者</v>
      </c>
      <c r="J24">
        <f>VLOOKUP(H24,[3]monster.xml!$A$347:$C$835,3,0)</f>
        <v>41</v>
      </c>
      <c r="K24">
        <f t="shared" si="19"/>
        <v>0</v>
      </c>
      <c r="L24">
        <f t="shared" si="15"/>
        <v>1</v>
      </c>
      <c r="M24" t="str">
        <f>精英副本!Y82</f>
        <v>力量试炼（40）</v>
      </c>
      <c r="N24">
        <f>VLOOKUP(H24,[3]monster.xml!$347:$835,5,0)</f>
        <v>1000</v>
      </c>
      <c r="O24">
        <f t="shared" si="6"/>
        <v>1000</v>
      </c>
      <c r="AA24">
        <f t="shared" si="11"/>
        <v>1</v>
      </c>
    </row>
    <row r="25" spans="1:27">
      <c r="A25">
        <f t="shared" si="16"/>
        <v>104006</v>
      </c>
      <c r="B25">
        <f t="shared" si="12"/>
        <v>1</v>
      </c>
      <c r="C25">
        <f t="shared" si="17"/>
        <v>3</v>
      </c>
      <c r="D25">
        <f t="shared" si="13"/>
        <v>40</v>
      </c>
      <c r="E25">
        <f t="shared" si="9"/>
        <v>104007</v>
      </c>
      <c r="F25">
        <f t="shared" si="5"/>
        <v>104005</v>
      </c>
      <c r="G25" t="s">
        <v>854</v>
      </c>
      <c r="H25">
        <f t="shared" si="14"/>
        <v>1040061</v>
      </c>
      <c r="I25" t="str">
        <f>精英副本!B83</f>
        <v>拉兹</v>
      </c>
      <c r="J25">
        <f>VLOOKUP(H25,[3]monster.xml!$A$347:$C$835,3,0)</f>
        <v>42</v>
      </c>
      <c r="K25">
        <f t="shared" si="19"/>
        <v>1</v>
      </c>
      <c r="L25">
        <f t="shared" si="15"/>
        <v>5</v>
      </c>
      <c r="M25" t="str">
        <f>精英副本!Y83</f>
        <v>力量试炼（40）</v>
      </c>
      <c r="N25">
        <f>VLOOKUP(H25,[3]monster.xml!$347:$835,5,0)</f>
        <v>1040</v>
      </c>
      <c r="O25">
        <f t="shared" si="6"/>
        <v>1040</v>
      </c>
      <c r="AA25">
        <f t="shared" si="11"/>
        <v>1</v>
      </c>
    </row>
    <row r="26" spans="1:27">
      <c r="A26">
        <f t="shared" si="16"/>
        <v>104007</v>
      </c>
      <c r="B26">
        <f t="shared" si="12"/>
        <v>1</v>
      </c>
      <c r="C26">
        <f t="shared" si="17"/>
        <v>3</v>
      </c>
      <c r="D26">
        <f t="shared" si="13"/>
        <v>40</v>
      </c>
      <c r="E26">
        <f t="shared" si="9"/>
        <v>104008</v>
      </c>
      <c r="F26">
        <f t="shared" si="5"/>
        <v>104006</v>
      </c>
      <c r="G26" t="s">
        <v>855</v>
      </c>
      <c r="H26">
        <f t="shared" si="14"/>
        <v>1040071</v>
      </c>
      <c r="I26" t="str">
        <f>精英副本!B84</f>
        <v>塔克</v>
      </c>
      <c r="J26">
        <f>VLOOKUP(H26,[3]monster.xml!$A$347:$C$835,3,0)</f>
        <v>42</v>
      </c>
      <c r="K26">
        <f t="shared" si="19"/>
        <v>0</v>
      </c>
      <c r="L26">
        <f t="shared" si="15"/>
        <v>1</v>
      </c>
      <c r="M26" t="str">
        <f>精英副本!Y84</f>
        <v>力量试炼（40）</v>
      </c>
      <c r="N26">
        <f>VLOOKUP(H26,[3]monster.xml!$347:$835,5,0)</f>
        <v>1040</v>
      </c>
      <c r="O26">
        <f t="shared" si="6"/>
        <v>1040</v>
      </c>
      <c r="AA26">
        <f t="shared" si="11"/>
        <v>1</v>
      </c>
    </row>
    <row r="27" spans="1:27">
      <c r="A27">
        <f t="shared" si="16"/>
        <v>104008</v>
      </c>
      <c r="B27">
        <f t="shared" si="12"/>
        <v>1</v>
      </c>
      <c r="C27">
        <f t="shared" si="17"/>
        <v>3</v>
      </c>
      <c r="D27">
        <f t="shared" si="13"/>
        <v>40</v>
      </c>
      <c r="E27">
        <f t="shared" si="9"/>
        <v>104009</v>
      </c>
      <c r="F27">
        <f t="shared" si="5"/>
        <v>104007</v>
      </c>
      <c r="G27" t="s">
        <v>856</v>
      </c>
      <c r="H27">
        <f t="shared" si="14"/>
        <v>1040081</v>
      </c>
      <c r="I27" t="str">
        <f>精英副本!B85</f>
        <v>狂野安东尼</v>
      </c>
      <c r="J27">
        <f>VLOOKUP(H27,[3]monster.xml!$A$347:$C$835,3,0)</f>
        <v>43</v>
      </c>
      <c r="K27">
        <f t="shared" si="19"/>
        <v>0</v>
      </c>
      <c r="L27">
        <f t="shared" si="15"/>
        <v>1</v>
      </c>
      <c r="M27" t="str">
        <f>精英副本!Y85</f>
        <v>力量试炼（40）</v>
      </c>
      <c r="N27">
        <f>VLOOKUP(H27,[3]monster.xml!$347:$835,5,0)</f>
        <v>1080</v>
      </c>
      <c r="O27">
        <f t="shared" si="6"/>
        <v>1080</v>
      </c>
      <c r="AA27">
        <f t="shared" si="11"/>
        <v>1</v>
      </c>
    </row>
    <row r="28" spans="1:27">
      <c r="A28">
        <f t="shared" si="16"/>
        <v>104009</v>
      </c>
      <c r="B28">
        <f t="shared" si="12"/>
        <v>1</v>
      </c>
      <c r="C28">
        <f t="shared" si="17"/>
        <v>3</v>
      </c>
      <c r="D28">
        <f t="shared" si="13"/>
        <v>40</v>
      </c>
      <c r="E28">
        <f t="shared" si="9"/>
        <v>0</v>
      </c>
      <c r="F28">
        <f t="shared" si="5"/>
        <v>104008</v>
      </c>
      <c r="G28" t="s">
        <v>857</v>
      </c>
      <c r="H28">
        <f t="shared" si="14"/>
        <v>1040091</v>
      </c>
      <c r="I28" t="str">
        <f>精英副本!B86</f>
        <v>巡林者瑞克</v>
      </c>
      <c r="J28">
        <f>VLOOKUP(H28,[3]monster.xml!$A$347:$C$835,3,0)</f>
        <v>44</v>
      </c>
      <c r="K28">
        <f t="shared" si="19"/>
        <v>1</v>
      </c>
      <c r="L28">
        <f t="shared" si="15"/>
        <v>5</v>
      </c>
      <c r="M28" t="str">
        <f>精英副本!Y86</f>
        <v>力量试炼（40）</v>
      </c>
      <c r="N28">
        <f>VLOOKUP(H28,[3]monster.xml!$347:$835,5,0)</f>
        <v>1120</v>
      </c>
      <c r="O28">
        <f t="shared" si="6"/>
        <v>1120</v>
      </c>
      <c r="AA28">
        <f t="shared" si="11"/>
        <v>0</v>
      </c>
    </row>
    <row r="29" spans="1:27">
      <c r="A29">
        <f t="shared" si="16"/>
        <v>104501</v>
      </c>
      <c r="B29">
        <f t="shared" si="12"/>
        <v>1</v>
      </c>
      <c r="C29">
        <f t="shared" si="17"/>
        <v>4</v>
      </c>
      <c r="D29">
        <f t="shared" si="13"/>
        <v>45</v>
      </c>
      <c r="E29">
        <f t="shared" si="9"/>
        <v>104502</v>
      </c>
      <c r="F29">
        <f t="shared" si="5"/>
        <v>0</v>
      </c>
      <c r="G29" t="s">
        <v>858</v>
      </c>
      <c r="H29">
        <f t="shared" si="14"/>
        <v>1045011</v>
      </c>
      <c r="I29" t="str">
        <f>精英副本!B87</f>
        <v>战士幻象</v>
      </c>
      <c r="J29">
        <f>VLOOKUP(H29,[3]monster.xml!$A$347:$C$835,3,0)</f>
        <v>45</v>
      </c>
      <c r="K29">
        <f t="shared" si="19"/>
        <v>0</v>
      </c>
      <c r="L29">
        <f t="shared" si="15"/>
        <v>1</v>
      </c>
      <c r="M29" t="str">
        <f>精英副本!Y87</f>
        <v>力量试炼（45）</v>
      </c>
      <c r="N29">
        <f>VLOOKUP(H29,[3]monster.xml!$347:$835,5,0)</f>
        <v>1160</v>
      </c>
      <c r="O29">
        <f t="shared" si="6"/>
        <v>1160</v>
      </c>
      <c r="AA29">
        <f t="shared" si="11"/>
        <v>1</v>
      </c>
    </row>
    <row r="30" spans="1:27">
      <c r="A30">
        <f t="shared" si="16"/>
        <v>104502</v>
      </c>
      <c r="B30">
        <f t="shared" si="12"/>
        <v>1</v>
      </c>
      <c r="C30">
        <f t="shared" si="17"/>
        <v>4</v>
      </c>
      <c r="D30">
        <f t="shared" si="13"/>
        <v>45</v>
      </c>
      <c r="E30">
        <f t="shared" si="9"/>
        <v>104503</v>
      </c>
      <c r="F30">
        <f t="shared" si="5"/>
        <v>104501</v>
      </c>
      <c r="G30" t="s">
        <v>859</v>
      </c>
      <c r="H30">
        <f t="shared" si="14"/>
        <v>1045021</v>
      </c>
      <c r="I30" t="str">
        <f>精英副本!B88</f>
        <v>法力风暴</v>
      </c>
      <c r="J30">
        <f>VLOOKUP(H30,[3]monster.xml!$A$347:$C$835,3,0)</f>
        <v>45</v>
      </c>
      <c r="K30">
        <f t="shared" si="19"/>
        <v>0</v>
      </c>
      <c r="L30">
        <f t="shared" si="15"/>
        <v>1</v>
      </c>
      <c r="M30" t="str">
        <f>精英副本!Y88</f>
        <v>力量试炼（45）</v>
      </c>
      <c r="N30">
        <f>VLOOKUP(H30,[3]monster.xml!$347:$835,5,0)</f>
        <v>1160</v>
      </c>
      <c r="O30">
        <f t="shared" si="6"/>
        <v>1160</v>
      </c>
      <c r="AA30">
        <f t="shared" si="11"/>
        <v>1</v>
      </c>
    </row>
    <row r="31" spans="1:27">
      <c r="A31">
        <f t="shared" ref="A31:A77" si="20">A22+500</f>
        <v>104503</v>
      </c>
      <c r="B31">
        <f t="shared" si="12"/>
        <v>1</v>
      </c>
      <c r="C31">
        <f t="shared" ref="C31:C94" si="21">C22+1</f>
        <v>4</v>
      </c>
      <c r="D31">
        <f t="shared" si="13"/>
        <v>45</v>
      </c>
      <c r="E31">
        <f t="shared" si="9"/>
        <v>104504</v>
      </c>
      <c r="F31">
        <f t="shared" si="5"/>
        <v>104502</v>
      </c>
      <c r="G31" t="s">
        <v>860</v>
      </c>
      <c r="H31">
        <f t="shared" si="14"/>
        <v>1045031</v>
      </c>
      <c r="I31" t="str">
        <f>精英副本!B89</f>
        <v>角斗士里奥</v>
      </c>
      <c r="J31">
        <f>VLOOKUP(H31,[3]monster.xml!$A$347:$C$835,3,0)</f>
        <v>46</v>
      </c>
      <c r="K31">
        <f t="shared" si="19"/>
        <v>1</v>
      </c>
      <c r="L31">
        <f t="shared" si="15"/>
        <v>5</v>
      </c>
      <c r="M31" t="str">
        <f>精英副本!Y89</f>
        <v>力量试炼（45）</v>
      </c>
      <c r="N31">
        <f>VLOOKUP(H31,[3]monster.xml!$347:$835,5,0)</f>
        <v>1200</v>
      </c>
      <c r="O31">
        <f t="shared" si="6"/>
        <v>1200</v>
      </c>
      <c r="AA31">
        <f t="shared" si="11"/>
        <v>1</v>
      </c>
    </row>
    <row r="32" spans="1:27">
      <c r="A32">
        <f t="shared" si="20"/>
        <v>104504</v>
      </c>
      <c r="B32">
        <f t="shared" si="12"/>
        <v>1</v>
      </c>
      <c r="C32">
        <f t="shared" si="21"/>
        <v>4</v>
      </c>
      <c r="D32">
        <f t="shared" si="13"/>
        <v>45</v>
      </c>
      <c r="E32">
        <f t="shared" si="9"/>
        <v>104505</v>
      </c>
      <c r="F32">
        <f t="shared" si="5"/>
        <v>104503</v>
      </c>
      <c r="G32" t="s">
        <v>861</v>
      </c>
      <c r="H32">
        <f t="shared" si="14"/>
        <v>1045041</v>
      </c>
      <c r="I32" t="str">
        <f>精英副本!B90</f>
        <v>荒野游侠</v>
      </c>
      <c r="J32">
        <f>VLOOKUP(H32,[3]monster.xml!$A$347:$C$835,3,0)</f>
        <v>46</v>
      </c>
      <c r="K32">
        <f t="shared" si="19"/>
        <v>0</v>
      </c>
      <c r="L32">
        <f t="shared" si="15"/>
        <v>1</v>
      </c>
      <c r="M32" t="str">
        <f>精英副本!Y90</f>
        <v>力量试炼（45）</v>
      </c>
      <c r="N32">
        <f>VLOOKUP(H32,[3]monster.xml!$347:$835,5,0)</f>
        <v>1200</v>
      </c>
      <c r="O32">
        <f t="shared" si="6"/>
        <v>1200</v>
      </c>
      <c r="AA32">
        <f t="shared" si="11"/>
        <v>1</v>
      </c>
    </row>
    <row r="33" spans="1:27">
      <c r="A33">
        <f t="shared" si="20"/>
        <v>104505</v>
      </c>
      <c r="B33">
        <f t="shared" si="12"/>
        <v>1</v>
      </c>
      <c r="C33">
        <f t="shared" si="21"/>
        <v>4</v>
      </c>
      <c r="D33">
        <f t="shared" si="13"/>
        <v>45</v>
      </c>
      <c r="E33">
        <f t="shared" si="9"/>
        <v>104506</v>
      </c>
      <c r="F33">
        <f t="shared" si="5"/>
        <v>104504</v>
      </c>
      <c r="G33" t="s">
        <v>862</v>
      </c>
      <c r="H33">
        <f t="shared" si="14"/>
        <v>1045051</v>
      </c>
      <c r="I33" t="str">
        <f>精英副本!B91</f>
        <v>憾地者</v>
      </c>
      <c r="J33">
        <f>VLOOKUP(H33,[3]monster.xml!$A$347:$C$835,3,0)</f>
        <v>46</v>
      </c>
      <c r="K33">
        <f t="shared" si="19"/>
        <v>0</v>
      </c>
      <c r="L33">
        <f t="shared" si="15"/>
        <v>1</v>
      </c>
      <c r="M33" t="str">
        <f>精英副本!Y91</f>
        <v>力量试炼（45）</v>
      </c>
      <c r="N33">
        <f>VLOOKUP(H33,[3]monster.xml!$347:$835,5,0)</f>
        <v>1200</v>
      </c>
      <c r="O33">
        <f t="shared" si="6"/>
        <v>1200</v>
      </c>
      <c r="AA33">
        <f t="shared" si="11"/>
        <v>1</v>
      </c>
    </row>
    <row r="34" spans="1:27">
      <c r="A34">
        <f t="shared" si="20"/>
        <v>104506</v>
      </c>
      <c r="B34">
        <f t="shared" si="12"/>
        <v>1</v>
      </c>
      <c r="C34">
        <f t="shared" si="21"/>
        <v>4</v>
      </c>
      <c r="D34">
        <f t="shared" si="13"/>
        <v>45</v>
      </c>
      <c r="E34">
        <f t="shared" si="9"/>
        <v>104507</v>
      </c>
      <c r="F34">
        <f t="shared" si="5"/>
        <v>104505</v>
      </c>
      <c r="G34" t="s">
        <v>863</v>
      </c>
      <c r="H34">
        <f t="shared" si="14"/>
        <v>1045061</v>
      </c>
      <c r="I34" t="str">
        <f>精英副本!B92</f>
        <v>拉兹</v>
      </c>
      <c r="J34">
        <f>VLOOKUP(H34,[3]monster.xml!$A$347:$C$835,3,0)</f>
        <v>47</v>
      </c>
      <c r="K34">
        <f t="shared" si="19"/>
        <v>1</v>
      </c>
      <c r="L34">
        <f t="shared" si="15"/>
        <v>5</v>
      </c>
      <c r="M34" t="str">
        <f>精英副本!Y92</f>
        <v>力量试炼（45）</v>
      </c>
      <c r="N34">
        <f>VLOOKUP(H34,[3]monster.xml!$347:$835,5,0)</f>
        <v>1240</v>
      </c>
      <c r="O34">
        <f t="shared" si="6"/>
        <v>1240</v>
      </c>
      <c r="AA34">
        <f t="shared" si="11"/>
        <v>1</v>
      </c>
    </row>
    <row r="35" spans="1:27">
      <c r="A35">
        <f t="shared" si="20"/>
        <v>104507</v>
      </c>
      <c r="B35">
        <f t="shared" si="12"/>
        <v>1</v>
      </c>
      <c r="C35">
        <f t="shared" si="21"/>
        <v>4</v>
      </c>
      <c r="D35">
        <f t="shared" si="13"/>
        <v>45</v>
      </c>
      <c r="E35">
        <f t="shared" si="9"/>
        <v>104508</v>
      </c>
      <c r="F35">
        <f t="shared" ref="F35:F66" si="22">IF(AA34&gt;0,A34,0)</f>
        <v>104506</v>
      </c>
      <c r="G35" t="s">
        <v>864</v>
      </c>
      <c r="H35">
        <f t="shared" si="14"/>
        <v>1045071</v>
      </c>
      <c r="I35" t="str">
        <f>精英副本!B93</f>
        <v>塔克</v>
      </c>
      <c r="J35">
        <f>VLOOKUP(H35,[3]monster.xml!$A$347:$C$835,3,0)</f>
        <v>47</v>
      </c>
      <c r="K35">
        <f t="shared" si="19"/>
        <v>0</v>
      </c>
      <c r="L35">
        <f t="shared" si="15"/>
        <v>1</v>
      </c>
      <c r="M35" t="str">
        <f>精英副本!Y93</f>
        <v>力量试炼（45）</v>
      </c>
      <c r="N35">
        <f>VLOOKUP(H35,[3]monster.xml!$347:$835,5,0)</f>
        <v>1240</v>
      </c>
      <c r="O35">
        <f t="shared" si="6"/>
        <v>1240</v>
      </c>
      <c r="AA35">
        <f t="shared" si="11"/>
        <v>1</v>
      </c>
    </row>
    <row r="36" spans="1:27">
      <c r="A36">
        <f t="shared" si="20"/>
        <v>104508</v>
      </c>
      <c r="B36">
        <f t="shared" si="12"/>
        <v>1</v>
      </c>
      <c r="C36">
        <f t="shared" si="21"/>
        <v>4</v>
      </c>
      <c r="D36">
        <f t="shared" si="13"/>
        <v>45</v>
      </c>
      <c r="E36">
        <f t="shared" si="9"/>
        <v>104509</v>
      </c>
      <c r="F36">
        <f t="shared" si="22"/>
        <v>104507</v>
      </c>
      <c r="G36" t="s">
        <v>865</v>
      </c>
      <c r="H36">
        <f t="shared" si="14"/>
        <v>1045081</v>
      </c>
      <c r="I36" t="str">
        <f>精英副本!B94</f>
        <v>狂野安东尼</v>
      </c>
      <c r="J36">
        <f>VLOOKUP(H36,[3]monster.xml!$A$347:$C$835,3,0)</f>
        <v>48</v>
      </c>
      <c r="K36">
        <f t="shared" si="19"/>
        <v>0</v>
      </c>
      <c r="L36">
        <f t="shared" si="15"/>
        <v>1</v>
      </c>
      <c r="M36" t="str">
        <f>精英副本!Y94</f>
        <v>力量试炼（45）</v>
      </c>
      <c r="N36">
        <f>VLOOKUP(H36,[3]monster.xml!$347:$835,5,0)</f>
        <v>1280</v>
      </c>
      <c r="O36">
        <f t="shared" si="6"/>
        <v>1280</v>
      </c>
      <c r="AA36">
        <f t="shared" si="11"/>
        <v>1</v>
      </c>
    </row>
    <row r="37" spans="1:27">
      <c r="A37">
        <f t="shared" si="20"/>
        <v>104509</v>
      </c>
      <c r="B37">
        <f t="shared" si="12"/>
        <v>1</v>
      </c>
      <c r="C37">
        <f t="shared" si="21"/>
        <v>4</v>
      </c>
      <c r="D37">
        <f t="shared" si="13"/>
        <v>45</v>
      </c>
      <c r="E37">
        <f t="shared" si="9"/>
        <v>0</v>
      </c>
      <c r="F37">
        <f t="shared" si="22"/>
        <v>104508</v>
      </c>
      <c r="G37" t="s">
        <v>866</v>
      </c>
      <c r="H37">
        <f t="shared" si="14"/>
        <v>1045091</v>
      </c>
      <c r="I37" t="str">
        <f>精英副本!B95</f>
        <v>巡林者瑞克</v>
      </c>
      <c r="J37">
        <f>VLOOKUP(H37,[3]monster.xml!$A$347:$C$835,3,0)</f>
        <v>49</v>
      </c>
      <c r="K37">
        <f t="shared" si="19"/>
        <v>1</v>
      </c>
      <c r="L37">
        <f t="shared" si="15"/>
        <v>5</v>
      </c>
      <c r="M37" t="str">
        <f>精英副本!Y95</f>
        <v>力量试炼（45）</v>
      </c>
      <c r="N37">
        <f>VLOOKUP(H37,[3]monster.xml!$347:$835,5,0)</f>
        <v>1320</v>
      </c>
      <c r="O37">
        <f t="shared" si="6"/>
        <v>1320</v>
      </c>
      <c r="AA37">
        <f t="shared" si="11"/>
        <v>0</v>
      </c>
    </row>
    <row r="38" spans="1:27">
      <c r="A38">
        <f t="shared" si="20"/>
        <v>105001</v>
      </c>
      <c r="B38">
        <f t="shared" si="12"/>
        <v>1</v>
      </c>
      <c r="C38">
        <f t="shared" si="21"/>
        <v>5</v>
      </c>
      <c r="D38">
        <f t="shared" si="13"/>
        <v>50</v>
      </c>
      <c r="E38">
        <f t="shared" si="9"/>
        <v>105002</v>
      </c>
      <c r="F38">
        <f t="shared" si="22"/>
        <v>0</v>
      </c>
      <c r="G38" t="s">
        <v>867</v>
      </c>
      <c r="H38">
        <f t="shared" si="14"/>
        <v>1050011</v>
      </c>
      <c r="I38" t="str">
        <f>精英副本!B96</f>
        <v>战士幻象</v>
      </c>
      <c r="J38">
        <f>VLOOKUP(H38,[3]monster.xml!$A$347:$C$835,3,0)</f>
        <v>50</v>
      </c>
      <c r="K38">
        <f t="shared" si="19"/>
        <v>0</v>
      </c>
      <c r="L38">
        <f t="shared" si="15"/>
        <v>1</v>
      </c>
      <c r="M38" t="str">
        <f>精英副本!Y96</f>
        <v>力量试炼（50）</v>
      </c>
      <c r="N38">
        <f>VLOOKUP(H38,[3]monster.xml!$347:$835,5,0)</f>
        <v>1360</v>
      </c>
      <c r="O38">
        <f t="shared" si="6"/>
        <v>1360</v>
      </c>
      <c r="AA38">
        <f t="shared" si="11"/>
        <v>1</v>
      </c>
    </row>
    <row r="39" spans="1:27">
      <c r="A39">
        <f t="shared" si="20"/>
        <v>105002</v>
      </c>
      <c r="B39">
        <f t="shared" si="12"/>
        <v>1</v>
      </c>
      <c r="C39">
        <f t="shared" si="21"/>
        <v>5</v>
      </c>
      <c r="D39">
        <f t="shared" si="13"/>
        <v>50</v>
      </c>
      <c r="E39">
        <f t="shared" si="9"/>
        <v>105003</v>
      </c>
      <c r="F39">
        <f t="shared" si="22"/>
        <v>105001</v>
      </c>
      <c r="G39" t="s">
        <v>868</v>
      </c>
      <c r="H39">
        <f t="shared" si="14"/>
        <v>1050021</v>
      </c>
      <c r="I39" t="str">
        <f>精英副本!B97</f>
        <v>法力风暴</v>
      </c>
      <c r="J39">
        <f>VLOOKUP(H39,[3]monster.xml!$A$347:$C$835,3,0)</f>
        <v>50</v>
      </c>
      <c r="K39">
        <f t="shared" si="19"/>
        <v>0</v>
      </c>
      <c r="L39">
        <f t="shared" si="15"/>
        <v>1</v>
      </c>
      <c r="M39" t="str">
        <f>精英副本!Y97</f>
        <v>力量试炼（50）</v>
      </c>
      <c r="N39">
        <f>VLOOKUP(H39,[3]monster.xml!$347:$835,5,0)</f>
        <v>1360</v>
      </c>
      <c r="O39">
        <f t="shared" si="6"/>
        <v>1360</v>
      </c>
      <c r="AA39">
        <f t="shared" si="11"/>
        <v>1</v>
      </c>
    </row>
    <row r="40" spans="1:27">
      <c r="A40">
        <f t="shared" si="20"/>
        <v>105003</v>
      </c>
      <c r="B40">
        <f t="shared" si="12"/>
        <v>1</v>
      </c>
      <c r="C40">
        <f t="shared" si="21"/>
        <v>5</v>
      </c>
      <c r="D40">
        <f t="shared" si="13"/>
        <v>50</v>
      </c>
      <c r="E40">
        <f t="shared" si="9"/>
        <v>105004</v>
      </c>
      <c r="F40">
        <f t="shared" si="22"/>
        <v>105002</v>
      </c>
      <c r="G40" t="s">
        <v>869</v>
      </c>
      <c r="H40">
        <f t="shared" si="14"/>
        <v>1050031</v>
      </c>
      <c r="I40" t="str">
        <f>精英副本!B98</f>
        <v>角斗士里奥</v>
      </c>
      <c r="J40">
        <f>VLOOKUP(H40,[3]monster.xml!$A$347:$C$835,3,0)</f>
        <v>51</v>
      </c>
      <c r="K40">
        <f t="shared" si="19"/>
        <v>1</v>
      </c>
      <c r="L40">
        <f t="shared" si="15"/>
        <v>5</v>
      </c>
      <c r="M40" t="str">
        <f>精英副本!Y98</f>
        <v>力量试炼（50）</v>
      </c>
      <c r="N40">
        <f>VLOOKUP(H40,[3]monster.xml!$347:$835,5,0)</f>
        <v>1400</v>
      </c>
      <c r="O40">
        <f t="shared" si="6"/>
        <v>1400</v>
      </c>
      <c r="AA40">
        <f t="shared" si="11"/>
        <v>1</v>
      </c>
    </row>
    <row r="41" spans="1:27">
      <c r="A41">
        <f t="shared" si="20"/>
        <v>105004</v>
      </c>
      <c r="B41">
        <f t="shared" si="12"/>
        <v>1</v>
      </c>
      <c r="C41">
        <f t="shared" si="21"/>
        <v>5</v>
      </c>
      <c r="D41">
        <f t="shared" si="13"/>
        <v>50</v>
      </c>
      <c r="E41">
        <f t="shared" si="9"/>
        <v>105005</v>
      </c>
      <c r="F41">
        <f t="shared" si="22"/>
        <v>105003</v>
      </c>
      <c r="G41" t="s">
        <v>870</v>
      </c>
      <c r="H41">
        <f t="shared" si="14"/>
        <v>1050041</v>
      </c>
      <c r="I41" t="str">
        <f>精英副本!B99</f>
        <v>荒野游侠</v>
      </c>
      <c r="J41">
        <f>VLOOKUP(H41,[3]monster.xml!$A$347:$C$835,3,0)</f>
        <v>51</v>
      </c>
      <c r="K41">
        <f t="shared" si="19"/>
        <v>0</v>
      </c>
      <c r="L41">
        <f t="shared" si="15"/>
        <v>1</v>
      </c>
      <c r="M41" t="str">
        <f>精英副本!Y99</f>
        <v>力量试炼（50）</v>
      </c>
      <c r="N41">
        <f>VLOOKUP(H41,[3]monster.xml!$347:$835,5,0)</f>
        <v>1400</v>
      </c>
      <c r="O41">
        <f t="shared" si="6"/>
        <v>1400</v>
      </c>
      <c r="AA41">
        <f t="shared" si="11"/>
        <v>1</v>
      </c>
    </row>
    <row r="42" spans="1:27">
      <c r="A42">
        <f t="shared" si="20"/>
        <v>105005</v>
      </c>
      <c r="B42">
        <f t="shared" si="12"/>
        <v>1</v>
      </c>
      <c r="C42">
        <f t="shared" si="21"/>
        <v>5</v>
      </c>
      <c r="D42">
        <f t="shared" si="13"/>
        <v>50</v>
      </c>
      <c r="E42">
        <f t="shared" si="9"/>
        <v>105006</v>
      </c>
      <c r="F42">
        <f t="shared" si="22"/>
        <v>105004</v>
      </c>
      <c r="G42" t="s">
        <v>871</v>
      </c>
      <c r="H42">
        <f t="shared" si="14"/>
        <v>1050051</v>
      </c>
      <c r="I42" t="str">
        <f>精英副本!B100</f>
        <v>憾地者</v>
      </c>
      <c r="J42">
        <f>VLOOKUP(H42,[3]monster.xml!$A$347:$C$835,3,0)</f>
        <v>51</v>
      </c>
      <c r="K42">
        <f t="shared" si="19"/>
        <v>0</v>
      </c>
      <c r="L42">
        <f t="shared" si="15"/>
        <v>1</v>
      </c>
      <c r="M42" t="str">
        <f>精英副本!Y100</f>
        <v>力量试炼（50）</v>
      </c>
      <c r="N42">
        <f>VLOOKUP(H42,[3]monster.xml!$347:$835,5,0)</f>
        <v>1400</v>
      </c>
      <c r="O42">
        <f t="shared" si="6"/>
        <v>1400</v>
      </c>
      <c r="AA42">
        <f t="shared" si="11"/>
        <v>1</v>
      </c>
    </row>
    <row r="43" spans="1:27">
      <c r="A43">
        <f t="shared" si="20"/>
        <v>105006</v>
      </c>
      <c r="B43">
        <f t="shared" si="12"/>
        <v>1</v>
      </c>
      <c r="C43">
        <f t="shared" si="21"/>
        <v>5</v>
      </c>
      <c r="D43">
        <f t="shared" si="13"/>
        <v>50</v>
      </c>
      <c r="E43">
        <f t="shared" si="9"/>
        <v>105007</v>
      </c>
      <c r="F43">
        <f t="shared" si="22"/>
        <v>105005</v>
      </c>
      <c r="G43" t="s">
        <v>872</v>
      </c>
      <c r="H43">
        <f t="shared" si="14"/>
        <v>1050061</v>
      </c>
      <c r="I43" t="str">
        <f>精英副本!B101</f>
        <v>拉兹</v>
      </c>
      <c r="J43">
        <f>VLOOKUP(H43,[3]monster.xml!$A$347:$C$835,3,0)</f>
        <v>52</v>
      </c>
      <c r="K43">
        <f t="shared" si="19"/>
        <v>1</v>
      </c>
      <c r="L43">
        <f t="shared" si="15"/>
        <v>5</v>
      </c>
      <c r="M43" t="str">
        <f>精英副本!Y101</f>
        <v>力量试炼（50）</v>
      </c>
      <c r="N43">
        <f>VLOOKUP(H43,[3]monster.xml!$347:$835,5,0)</f>
        <v>1440</v>
      </c>
      <c r="O43">
        <f t="shared" si="6"/>
        <v>1440</v>
      </c>
      <c r="AA43">
        <f t="shared" si="11"/>
        <v>1</v>
      </c>
    </row>
    <row r="44" spans="1:27">
      <c r="A44">
        <f t="shared" si="20"/>
        <v>105007</v>
      </c>
      <c r="B44">
        <f t="shared" si="12"/>
        <v>1</v>
      </c>
      <c r="C44">
        <f t="shared" si="21"/>
        <v>5</v>
      </c>
      <c r="D44">
        <f t="shared" si="13"/>
        <v>50</v>
      </c>
      <c r="E44">
        <f t="shared" si="9"/>
        <v>105008</v>
      </c>
      <c r="F44">
        <f t="shared" si="22"/>
        <v>105006</v>
      </c>
      <c r="G44" t="s">
        <v>873</v>
      </c>
      <c r="H44">
        <f t="shared" si="14"/>
        <v>1050071</v>
      </c>
      <c r="I44" t="str">
        <f>精英副本!B102</f>
        <v>塔克</v>
      </c>
      <c r="J44">
        <f>VLOOKUP(H44,[3]monster.xml!$A$347:$C$835,3,0)</f>
        <v>52</v>
      </c>
      <c r="K44">
        <f t="shared" si="19"/>
        <v>0</v>
      </c>
      <c r="L44">
        <f t="shared" si="15"/>
        <v>1</v>
      </c>
      <c r="M44" t="str">
        <f>精英副本!Y102</f>
        <v>力量试炼（50）</v>
      </c>
      <c r="N44">
        <f>VLOOKUP(H44,[3]monster.xml!$347:$835,5,0)</f>
        <v>1440</v>
      </c>
      <c r="O44">
        <f t="shared" si="6"/>
        <v>1440</v>
      </c>
      <c r="AA44">
        <f t="shared" si="11"/>
        <v>1</v>
      </c>
    </row>
    <row r="45" spans="1:27">
      <c r="A45">
        <f t="shared" si="20"/>
        <v>105008</v>
      </c>
      <c r="B45">
        <f t="shared" si="12"/>
        <v>1</v>
      </c>
      <c r="C45">
        <f t="shared" si="21"/>
        <v>5</v>
      </c>
      <c r="D45">
        <f t="shared" si="13"/>
        <v>50</v>
      </c>
      <c r="E45">
        <f t="shared" si="9"/>
        <v>105009</v>
      </c>
      <c r="F45">
        <f t="shared" si="22"/>
        <v>105007</v>
      </c>
      <c r="G45" t="s">
        <v>874</v>
      </c>
      <c r="H45">
        <f t="shared" si="14"/>
        <v>1050081</v>
      </c>
      <c r="I45" t="str">
        <f>精英副本!B103</f>
        <v>狂野安东尼</v>
      </c>
      <c r="J45">
        <f>VLOOKUP(H45,[3]monster.xml!$A$347:$C$835,3,0)</f>
        <v>53</v>
      </c>
      <c r="K45">
        <f t="shared" si="19"/>
        <v>0</v>
      </c>
      <c r="L45">
        <f t="shared" si="15"/>
        <v>1</v>
      </c>
      <c r="M45" t="str">
        <f>精英副本!Y103</f>
        <v>力量试炼（50）</v>
      </c>
      <c r="N45">
        <f>VLOOKUP(H45,[3]monster.xml!$347:$835,5,0)</f>
        <v>1480</v>
      </c>
      <c r="O45">
        <f t="shared" si="6"/>
        <v>1480</v>
      </c>
      <c r="AA45">
        <f t="shared" si="11"/>
        <v>1</v>
      </c>
    </row>
    <row r="46" spans="1:27">
      <c r="A46">
        <f t="shared" si="20"/>
        <v>105009</v>
      </c>
      <c r="B46">
        <f t="shared" si="12"/>
        <v>1</v>
      </c>
      <c r="C46">
        <f t="shared" si="21"/>
        <v>5</v>
      </c>
      <c r="D46">
        <f t="shared" si="13"/>
        <v>50</v>
      </c>
      <c r="E46">
        <f t="shared" si="9"/>
        <v>0</v>
      </c>
      <c r="F46">
        <f t="shared" si="22"/>
        <v>105008</v>
      </c>
      <c r="G46" t="s">
        <v>875</v>
      </c>
      <c r="H46">
        <f t="shared" si="14"/>
        <v>1050091</v>
      </c>
      <c r="I46" t="str">
        <f>精英副本!B104</f>
        <v>巡林者瑞克</v>
      </c>
      <c r="J46">
        <f>VLOOKUP(H46,[3]monster.xml!$A$347:$C$835,3,0)</f>
        <v>54</v>
      </c>
      <c r="K46">
        <f t="shared" si="19"/>
        <v>1</v>
      </c>
      <c r="L46">
        <f t="shared" si="15"/>
        <v>5</v>
      </c>
      <c r="M46" t="str">
        <f>精英副本!Y104</f>
        <v>力量试炼（50）</v>
      </c>
      <c r="N46">
        <f>VLOOKUP(H46,[3]monster.xml!$347:$835,5,0)</f>
        <v>1520</v>
      </c>
      <c r="O46">
        <f t="shared" si="6"/>
        <v>1520</v>
      </c>
      <c r="AA46">
        <f t="shared" si="11"/>
        <v>0</v>
      </c>
    </row>
    <row r="47" spans="1:27">
      <c r="A47">
        <f t="shared" si="20"/>
        <v>105501</v>
      </c>
      <c r="B47">
        <f t="shared" si="12"/>
        <v>1</v>
      </c>
      <c r="C47">
        <f t="shared" si="21"/>
        <v>6</v>
      </c>
      <c r="D47">
        <f t="shared" si="13"/>
        <v>55</v>
      </c>
      <c r="E47">
        <f t="shared" si="9"/>
        <v>105502</v>
      </c>
      <c r="F47">
        <f t="shared" si="22"/>
        <v>0</v>
      </c>
      <c r="G47" t="s">
        <v>876</v>
      </c>
      <c r="H47">
        <f t="shared" si="14"/>
        <v>1055011</v>
      </c>
      <c r="I47" t="str">
        <f>精英副本!B105</f>
        <v>战士幻象</v>
      </c>
      <c r="J47">
        <f>VLOOKUP(H47,[3]monster.xml!$A$347:$C$835,3,0)</f>
        <v>55</v>
      </c>
      <c r="K47">
        <f t="shared" si="19"/>
        <v>0</v>
      </c>
      <c r="L47">
        <f t="shared" si="15"/>
        <v>1</v>
      </c>
      <c r="M47" t="str">
        <f>精英副本!Y105</f>
        <v>力量试炼（55）</v>
      </c>
      <c r="N47">
        <f>VLOOKUP(H47,[3]monster.xml!$347:$835,5,0)</f>
        <v>1560</v>
      </c>
      <c r="O47">
        <f t="shared" si="6"/>
        <v>1560</v>
      </c>
      <c r="AA47">
        <f t="shared" si="11"/>
        <v>1</v>
      </c>
    </row>
    <row r="48" spans="1:27">
      <c r="A48">
        <f t="shared" si="20"/>
        <v>105502</v>
      </c>
      <c r="B48">
        <f t="shared" si="12"/>
        <v>1</v>
      </c>
      <c r="C48">
        <f t="shared" si="21"/>
        <v>6</v>
      </c>
      <c r="D48">
        <f t="shared" si="13"/>
        <v>55</v>
      </c>
      <c r="E48">
        <f t="shared" si="9"/>
        <v>105503</v>
      </c>
      <c r="F48">
        <f t="shared" si="22"/>
        <v>105501</v>
      </c>
      <c r="G48" t="s">
        <v>877</v>
      </c>
      <c r="H48">
        <f t="shared" si="14"/>
        <v>1055021</v>
      </c>
      <c r="I48" t="str">
        <f>精英副本!B106</f>
        <v>法力风暴</v>
      </c>
      <c r="J48">
        <f>VLOOKUP(H48,[3]monster.xml!$A$347:$C$835,3,0)</f>
        <v>55</v>
      </c>
      <c r="K48">
        <f t="shared" si="19"/>
        <v>0</v>
      </c>
      <c r="L48">
        <f t="shared" si="15"/>
        <v>1</v>
      </c>
      <c r="M48" t="str">
        <f>精英副本!Y106</f>
        <v>力量试炼（55）</v>
      </c>
      <c r="N48">
        <f>VLOOKUP(H48,[3]monster.xml!$347:$835,5,0)</f>
        <v>1560</v>
      </c>
      <c r="O48">
        <f t="shared" si="6"/>
        <v>1560</v>
      </c>
      <c r="AA48">
        <f t="shared" si="11"/>
        <v>1</v>
      </c>
    </row>
    <row r="49" spans="1:27">
      <c r="A49">
        <f t="shared" si="20"/>
        <v>105503</v>
      </c>
      <c r="B49">
        <f t="shared" si="12"/>
        <v>1</v>
      </c>
      <c r="C49">
        <f t="shared" si="21"/>
        <v>6</v>
      </c>
      <c r="D49">
        <f t="shared" si="13"/>
        <v>55</v>
      </c>
      <c r="E49">
        <f t="shared" si="9"/>
        <v>105504</v>
      </c>
      <c r="F49">
        <f t="shared" si="22"/>
        <v>105502</v>
      </c>
      <c r="G49" t="s">
        <v>878</v>
      </c>
      <c r="H49">
        <f t="shared" si="14"/>
        <v>1055031</v>
      </c>
      <c r="I49" t="str">
        <f>精英副本!B107</f>
        <v>角斗士里奥</v>
      </c>
      <c r="J49">
        <f>VLOOKUP(H49,[3]monster.xml!$A$347:$C$835,3,0)</f>
        <v>56</v>
      </c>
      <c r="K49">
        <f t="shared" si="19"/>
        <v>1</v>
      </c>
      <c r="L49">
        <f t="shared" si="15"/>
        <v>5</v>
      </c>
      <c r="M49" t="str">
        <f>精英副本!Y107</f>
        <v>力量试炼（55）</v>
      </c>
      <c r="N49">
        <f>VLOOKUP(H49,[3]monster.xml!$347:$835,5,0)</f>
        <v>1600</v>
      </c>
      <c r="O49">
        <f t="shared" si="6"/>
        <v>1600</v>
      </c>
      <c r="AA49">
        <f t="shared" si="11"/>
        <v>1</v>
      </c>
    </row>
    <row r="50" spans="1:27">
      <c r="A50">
        <f t="shared" si="20"/>
        <v>105504</v>
      </c>
      <c r="B50">
        <f t="shared" si="12"/>
        <v>1</v>
      </c>
      <c r="C50">
        <f t="shared" si="21"/>
        <v>6</v>
      </c>
      <c r="D50">
        <f t="shared" si="13"/>
        <v>55</v>
      </c>
      <c r="E50">
        <f t="shared" si="9"/>
        <v>105505</v>
      </c>
      <c r="F50">
        <f t="shared" si="22"/>
        <v>105503</v>
      </c>
      <c r="G50" t="s">
        <v>879</v>
      </c>
      <c r="H50">
        <f t="shared" si="14"/>
        <v>1055041</v>
      </c>
      <c r="I50" t="str">
        <f>精英副本!B108</f>
        <v>荒野游侠</v>
      </c>
      <c r="J50">
        <f>VLOOKUP(H50,[3]monster.xml!$A$347:$C$835,3,0)</f>
        <v>56</v>
      </c>
      <c r="K50">
        <f t="shared" si="19"/>
        <v>0</v>
      </c>
      <c r="L50">
        <f t="shared" si="15"/>
        <v>1</v>
      </c>
      <c r="M50" t="str">
        <f>精英副本!Y108</f>
        <v>力量试炼（55）</v>
      </c>
      <c r="N50">
        <f>VLOOKUP(H50,[3]monster.xml!$347:$835,5,0)</f>
        <v>1600</v>
      </c>
      <c r="O50">
        <f t="shared" si="6"/>
        <v>1600</v>
      </c>
      <c r="AA50">
        <f t="shared" si="11"/>
        <v>1</v>
      </c>
    </row>
    <row r="51" spans="1:27">
      <c r="A51">
        <f t="shared" si="20"/>
        <v>105505</v>
      </c>
      <c r="B51">
        <f t="shared" si="12"/>
        <v>1</v>
      </c>
      <c r="C51">
        <f t="shared" si="21"/>
        <v>6</v>
      </c>
      <c r="D51">
        <f t="shared" si="13"/>
        <v>55</v>
      </c>
      <c r="E51">
        <f t="shared" si="9"/>
        <v>105506</v>
      </c>
      <c r="F51">
        <f t="shared" si="22"/>
        <v>105504</v>
      </c>
      <c r="G51" t="s">
        <v>880</v>
      </c>
      <c r="H51">
        <f t="shared" si="14"/>
        <v>1055051</v>
      </c>
      <c r="I51" t="str">
        <f>精英副本!B109</f>
        <v>憾地者</v>
      </c>
      <c r="J51">
        <f>VLOOKUP(H51,[3]monster.xml!$A$347:$C$835,3,0)</f>
        <v>56</v>
      </c>
      <c r="K51">
        <f t="shared" si="19"/>
        <v>0</v>
      </c>
      <c r="L51">
        <f t="shared" si="15"/>
        <v>1</v>
      </c>
      <c r="M51" t="str">
        <f>精英副本!Y109</f>
        <v>力量试炼（55）</v>
      </c>
      <c r="N51">
        <f>VLOOKUP(H51,[3]monster.xml!$347:$835,5,0)</f>
        <v>1600</v>
      </c>
      <c r="O51">
        <f t="shared" si="6"/>
        <v>1600</v>
      </c>
      <c r="AA51">
        <f t="shared" si="11"/>
        <v>1</v>
      </c>
    </row>
    <row r="52" spans="1:27">
      <c r="A52">
        <f t="shared" si="20"/>
        <v>105506</v>
      </c>
      <c r="B52">
        <f t="shared" si="12"/>
        <v>1</v>
      </c>
      <c r="C52">
        <f t="shared" si="21"/>
        <v>6</v>
      </c>
      <c r="D52">
        <f t="shared" si="13"/>
        <v>55</v>
      </c>
      <c r="E52">
        <f t="shared" si="9"/>
        <v>105507</v>
      </c>
      <c r="F52">
        <f t="shared" si="22"/>
        <v>105505</v>
      </c>
      <c r="G52" t="s">
        <v>881</v>
      </c>
      <c r="H52">
        <f t="shared" si="14"/>
        <v>1055061</v>
      </c>
      <c r="I52" t="str">
        <f>精英副本!B110</f>
        <v>拉兹</v>
      </c>
      <c r="J52">
        <f>VLOOKUP(H52,[3]monster.xml!$A$347:$C$835,3,0)</f>
        <v>57</v>
      </c>
      <c r="K52">
        <f t="shared" si="19"/>
        <v>1</v>
      </c>
      <c r="L52">
        <f t="shared" si="15"/>
        <v>5</v>
      </c>
      <c r="M52" t="str">
        <f>精英副本!Y110</f>
        <v>力量试炼（55）</v>
      </c>
      <c r="N52">
        <f>VLOOKUP(H52,[3]monster.xml!$347:$835,5,0)</f>
        <v>1640</v>
      </c>
      <c r="O52">
        <f t="shared" si="6"/>
        <v>1640</v>
      </c>
      <c r="AA52">
        <f t="shared" si="11"/>
        <v>1</v>
      </c>
    </row>
    <row r="53" spans="1:27">
      <c r="A53">
        <f t="shared" si="20"/>
        <v>105507</v>
      </c>
      <c r="B53">
        <f t="shared" si="12"/>
        <v>1</v>
      </c>
      <c r="C53">
        <f t="shared" si="21"/>
        <v>6</v>
      </c>
      <c r="D53">
        <f t="shared" si="13"/>
        <v>55</v>
      </c>
      <c r="E53">
        <f t="shared" si="9"/>
        <v>105508</v>
      </c>
      <c r="F53">
        <f t="shared" si="22"/>
        <v>105506</v>
      </c>
      <c r="G53" t="s">
        <v>882</v>
      </c>
      <c r="H53">
        <f t="shared" si="14"/>
        <v>1055071</v>
      </c>
      <c r="I53" t="str">
        <f>精英副本!B111</f>
        <v>塔克</v>
      </c>
      <c r="J53">
        <f>VLOOKUP(H53,[3]monster.xml!$A$347:$C$835,3,0)</f>
        <v>57</v>
      </c>
      <c r="K53">
        <f t="shared" si="19"/>
        <v>0</v>
      </c>
      <c r="L53">
        <f t="shared" si="15"/>
        <v>1</v>
      </c>
      <c r="M53" t="str">
        <f>精英副本!Y111</f>
        <v>力量试炼（55）</v>
      </c>
      <c r="N53">
        <f>VLOOKUP(H53,[3]monster.xml!$347:$835,5,0)</f>
        <v>1640</v>
      </c>
      <c r="O53">
        <f t="shared" si="6"/>
        <v>1640</v>
      </c>
      <c r="AA53">
        <f t="shared" si="11"/>
        <v>1</v>
      </c>
    </row>
    <row r="54" spans="1:27">
      <c r="A54">
        <f t="shared" si="20"/>
        <v>105508</v>
      </c>
      <c r="B54">
        <f t="shared" si="12"/>
        <v>1</v>
      </c>
      <c r="C54">
        <f t="shared" si="21"/>
        <v>6</v>
      </c>
      <c r="D54">
        <f t="shared" si="13"/>
        <v>55</v>
      </c>
      <c r="E54">
        <f t="shared" si="9"/>
        <v>105509</v>
      </c>
      <c r="F54">
        <f t="shared" si="22"/>
        <v>105507</v>
      </c>
      <c r="G54" t="s">
        <v>883</v>
      </c>
      <c r="H54">
        <f t="shared" si="14"/>
        <v>1055081</v>
      </c>
      <c r="I54" t="str">
        <f>精英副本!B112</f>
        <v>狂野安东尼</v>
      </c>
      <c r="J54">
        <f>VLOOKUP(H54,[3]monster.xml!$A$347:$C$835,3,0)</f>
        <v>58</v>
      </c>
      <c r="K54">
        <f t="shared" si="19"/>
        <v>0</v>
      </c>
      <c r="L54">
        <f t="shared" si="15"/>
        <v>1</v>
      </c>
      <c r="M54" t="str">
        <f>精英副本!Y112</f>
        <v>力量试炼（55）</v>
      </c>
      <c r="N54">
        <f>VLOOKUP(H54,[3]monster.xml!$347:$835,5,0)</f>
        <v>1680</v>
      </c>
      <c r="O54">
        <f t="shared" si="6"/>
        <v>1680</v>
      </c>
      <c r="AA54">
        <f t="shared" si="11"/>
        <v>1</v>
      </c>
    </row>
    <row r="55" spans="1:27">
      <c r="A55">
        <f t="shared" si="20"/>
        <v>105509</v>
      </c>
      <c r="B55">
        <f t="shared" si="12"/>
        <v>1</v>
      </c>
      <c r="C55">
        <f t="shared" si="21"/>
        <v>6</v>
      </c>
      <c r="D55">
        <f t="shared" si="13"/>
        <v>55</v>
      </c>
      <c r="E55">
        <f t="shared" si="9"/>
        <v>0</v>
      </c>
      <c r="F55">
        <f t="shared" si="22"/>
        <v>105508</v>
      </c>
      <c r="G55" t="s">
        <v>884</v>
      </c>
      <c r="H55">
        <f t="shared" si="14"/>
        <v>1055091</v>
      </c>
      <c r="I55" t="str">
        <f>精英副本!B113</f>
        <v>巡林者瑞克</v>
      </c>
      <c r="J55">
        <f>VLOOKUP(H55,[3]monster.xml!$A$347:$C$835,3,0)</f>
        <v>59</v>
      </c>
      <c r="K55">
        <f t="shared" si="19"/>
        <v>1</v>
      </c>
      <c r="L55">
        <f t="shared" si="15"/>
        <v>5</v>
      </c>
      <c r="M55" t="str">
        <f>精英副本!Y113</f>
        <v>力量试炼（55）</v>
      </c>
      <c r="N55">
        <f>VLOOKUP(H55,[3]monster.xml!$347:$835,5,0)</f>
        <v>1720</v>
      </c>
      <c r="O55">
        <f t="shared" si="6"/>
        <v>1720</v>
      </c>
      <c r="AA55">
        <f t="shared" si="11"/>
        <v>0</v>
      </c>
    </row>
    <row r="56" spans="1:27">
      <c r="A56">
        <f t="shared" si="20"/>
        <v>106001</v>
      </c>
      <c r="B56">
        <f t="shared" si="12"/>
        <v>1</v>
      </c>
      <c r="C56">
        <f t="shared" si="21"/>
        <v>7</v>
      </c>
      <c r="D56">
        <f t="shared" si="13"/>
        <v>60</v>
      </c>
      <c r="E56">
        <f t="shared" si="9"/>
        <v>106002</v>
      </c>
      <c r="F56">
        <f t="shared" si="22"/>
        <v>0</v>
      </c>
      <c r="G56" t="s">
        <v>885</v>
      </c>
      <c r="H56">
        <f t="shared" si="14"/>
        <v>1060011</v>
      </c>
      <c r="I56" t="str">
        <f>精英副本!B114</f>
        <v>坚定的格雷格</v>
      </c>
      <c r="J56">
        <f>VLOOKUP(H56,[3]monster.xml!$A$347:$C$835,3,0)</f>
        <v>60</v>
      </c>
      <c r="K56">
        <f t="shared" si="19"/>
        <v>0</v>
      </c>
      <c r="L56">
        <f t="shared" si="15"/>
        <v>1</v>
      </c>
      <c r="M56" t="str">
        <f>精英副本!Y114</f>
        <v>勇气试炼（60）</v>
      </c>
      <c r="N56">
        <f>VLOOKUP(H56,[3]monster.xml!$347:$835,5,0)</f>
        <v>1760</v>
      </c>
      <c r="O56">
        <f t="shared" si="6"/>
        <v>1760</v>
      </c>
      <c r="AA56">
        <f t="shared" si="11"/>
        <v>1</v>
      </c>
    </row>
    <row r="57" spans="1:27">
      <c r="A57">
        <f t="shared" si="20"/>
        <v>106002</v>
      </c>
      <c r="B57">
        <f t="shared" si="12"/>
        <v>1</v>
      </c>
      <c r="C57">
        <f t="shared" si="21"/>
        <v>7</v>
      </c>
      <c r="D57">
        <f t="shared" si="13"/>
        <v>60</v>
      </c>
      <c r="E57">
        <f t="shared" si="9"/>
        <v>106003</v>
      </c>
      <c r="F57">
        <f t="shared" si="22"/>
        <v>106001</v>
      </c>
      <c r="G57" t="s">
        <v>886</v>
      </c>
      <c r="H57">
        <f t="shared" si="14"/>
        <v>1060021</v>
      </c>
      <c r="I57" t="str">
        <f>精英副本!B115</f>
        <v>莱恩的倒影</v>
      </c>
      <c r="J57">
        <f>VLOOKUP(H57,[3]monster.xml!$A$347:$C$835,3,0)</f>
        <v>60</v>
      </c>
      <c r="K57">
        <f t="shared" si="19"/>
        <v>0</v>
      </c>
      <c r="L57">
        <f t="shared" si="15"/>
        <v>1</v>
      </c>
      <c r="M57" t="str">
        <f>精英副本!Y115</f>
        <v>勇气试炼（60）</v>
      </c>
      <c r="N57">
        <f>VLOOKUP(H57,[3]monster.xml!$347:$835,5,0)</f>
        <v>1760</v>
      </c>
      <c r="O57">
        <f t="shared" si="6"/>
        <v>1760</v>
      </c>
      <c r="AA57">
        <f t="shared" si="11"/>
        <v>1</v>
      </c>
    </row>
    <row r="58" spans="1:27">
      <c r="A58">
        <f t="shared" si="20"/>
        <v>106003</v>
      </c>
      <c r="B58">
        <f t="shared" si="12"/>
        <v>1</v>
      </c>
      <c r="C58">
        <f t="shared" si="21"/>
        <v>7</v>
      </c>
      <c r="D58">
        <f t="shared" si="13"/>
        <v>60</v>
      </c>
      <c r="E58">
        <f t="shared" si="9"/>
        <v>106004</v>
      </c>
      <c r="F58">
        <f t="shared" si="22"/>
        <v>106002</v>
      </c>
      <c r="G58" t="s">
        <v>887</v>
      </c>
      <c r="H58">
        <f t="shared" si="14"/>
        <v>1060031</v>
      </c>
      <c r="I58" t="str">
        <f>精英副本!B116</f>
        <v>混乱的玛尔达</v>
      </c>
      <c r="J58">
        <f>VLOOKUP(H58,[3]monster.xml!$A$347:$C$835,3,0)</f>
        <v>61</v>
      </c>
      <c r="K58">
        <f t="shared" si="19"/>
        <v>1</v>
      </c>
      <c r="L58">
        <f t="shared" si="15"/>
        <v>5</v>
      </c>
      <c r="M58" t="str">
        <f>精英副本!Y116</f>
        <v>勇气试炼（60）</v>
      </c>
      <c r="N58">
        <f>VLOOKUP(H58,[3]monster.xml!$347:$835,5,0)</f>
        <v>1810</v>
      </c>
      <c r="O58">
        <f t="shared" si="6"/>
        <v>1810</v>
      </c>
      <c r="AA58">
        <f t="shared" si="11"/>
        <v>1</v>
      </c>
    </row>
    <row r="59" spans="1:27">
      <c r="A59">
        <f t="shared" si="20"/>
        <v>106004</v>
      </c>
      <c r="B59">
        <f t="shared" si="12"/>
        <v>1</v>
      </c>
      <c r="C59">
        <f t="shared" si="21"/>
        <v>7</v>
      </c>
      <c r="D59">
        <f t="shared" si="13"/>
        <v>60</v>
      </c>
      <c r="E59">
        <f t="shared" si="9"/>
        <v>106005</v>
      </c>
      <c r="F59">
        <f t="shared" si="22"/>
        <v>106003</v>
      </c>
      <c r="G59" t="s">
        <v>888</v>
      </c>
      <c r="H59">
        <f t="shared" si="14"/>
        <v>1060041</v>
      </c>
      <c r="I59" t="str">
        <f>精英副本!B117</f>
        <v>驯兽师瓦纳</v>
      </c>
      <c r="J59">
        <f>VLOOKUP(H59,[3]monster.xml!$A$347:$C$835,3,0)</f>
        <v>61</v>
      </c>
      <c r="K59">
        <f t="shared" si="19"/>
        <v>0</v>
      </c>
      <c r="L59">
        <f t="shared" si="15"/>
        <v>1</v>
      </c>
      <c r="M59" t="str">
        <f>精英副本!Y117</f>
        <v>勇气试炼（60）</v>
      </c>
      <c r="N59">
        <f>VLOOKUP(H59,[3]monster.xml!$347:$835,5,0)</f>
        <v>1810</v>
      </c>
      <c r="O59">
        <f t="shared" si="6"/>
        <v>1810</v>
      </c>
      <c r="AA59">
        <f t="shared" si="11"/>
        <v>1</v>
      </c>
    </row>
    <row r="60" spans="1:27">
      <c r="A60">
        <f t="shared" si="20"/>
        <v>106005</v>
      </c>
      <c r="B60">
        <f t="shared" si="12"/>
        <v>1</v>
      </c>
      <c r="C60">
        <f t="shared" si="21"/>
        <v>7</v>
      </c>
      <c r="D60">
        <f t="shared" si="13"/>
        <v>60</v>
      </c>
      <c r="E60">
        <f t="shared" si="9"/>
        <v>106006</v>
      </c>
      <c r="F60">
        <f t="shared" si="22"/>
        <v>106004</v>
      </c>
      <c r="G60" t="s">
        <v>889</v>
      </c>
      <c r="H60">
        <f t="shared" si="14"/>
        <v>1060051</v>
      </c>
      <c r="I60" t="str">
        <f>精英副本!B118</f>
        <v>炎之安苏</v>
      </c>
      <c r="J60">
        <f>VLOOKUP(H60,[3]monster.xml!$A$347:$C$835,3,0)</f>
        <v>61</v>
      </c>
      <c r="K60">
        <f t="shared" si="19"/>
        <v>0</v>
      </c>
      <c r="L60">
        <f t="shared" si="15"/>
        <v>1</v>
      </c>
      <c r="M60" t="str">
        <f>精英副本!Y118</f>
        <v>勇气试炼（60）</v>
      </c>
      <c r="N60">
        <f>VLOOKUP(H60,[3]monster.xml!$347:$835,5,0)</f>
        <v>1810</v>
      </c>
      <c r="O60">
        <f t="shared" si="6"/>
        <v>1810</v>
      </c>
      <c r="AA60">
        <f t="shared" si="11"/>
        <v>1</v>
      </c>
    </row>
    <row r="61" spans="1:27">
      <c r="A61">
        <f t="shared" si="20"/>
        <v>106006</v>
      </c>
      <c r="B61">
        <f t="shared" si="12"/>
        <v>1</v>
      </c>
      <c r="C61">
        <f t="shared" si="21"/>
        <v>7</v>
      </c>
      <c r="D61">
        <f t="shared" si="13"/>
        <v>60</v>
      </c>
      <c r="E61">
        <f t="shared" si="9"/>
        <v>106007</v>
      </c>
      <c r="F61">
        <f t="shared" si="22"/>
        <v>106005</v>
      </c>
      <c r="G61" t="s">
        <v>890</v>
      </c>
      <c r="H61">
        <f t="shared" si="14"/>
        <v>1060061</v>
      </c>
      <c r="I61" t="str">
        <f>精英副本!B119</f>
        <v>迅捷的维恩</v>
      </c>
      <c r="J61">
        <f>VLOOKUP(H61,[3]monster.xml!$A$347:$C$835,3,0)</f>
        <v>62</v>
      </c>
      <c r="K61">
        <f t="shared" si="19"/>
        <v>1</v>
      </c>
      <c r="L61">
        <f t="shared" si="15"/>
        <v>5</v>
      </c>
      <c r="M61" t="str">
        <f>精英副本!Y119</f>
        <v>勇气试炼（60）</v>
      </c>
      <c r="N61">
        <f>VLOOKUP(H61,[3]monster.xml!$347:$835,5,0)</f>
        <v>1860</v>
      </c>
      <c r="O61">
        <f t="shared" si="6"/>
        <v>1860</v>
      </c>
      <c r="AA61">
        <f t="shared" si="11"/>
        <v>1</v>
      </c>
    </row>
    <row r="62" spans="1:27">
      <c r="A62">
        <f t="shared" si="20"/>
        <v>106007</v>
      </c>
      <c r="B62">
        <f t="shared" si="12"/>
        <v>1</v>
      </c>
      <c r="C62">
        <f t="shared" si="21"/>
        <v>7</v>
      </c>
      <c r="D62">
        <f t="shared" si="13"/>
        <v>60</v>
      </c>
      <c r="E62">
        <f t="shared" si="9"/>
        <v>106008</v>
      </c>
      <c r="F62">
        <f t="shared" si="22"/>
        <v>106006</v>
      </c>
      <c r="G62" t="s">
        <v>891</v>
      </c>
      <c r="H62">
        <f t="shared" si="14"/>
        <v>1060071</v>
      </c>
      <c r="I62" t="str">
        <f>精英副本!B120</f>
        <v>暮光预言者</v>
      </c>
      <c r="J62">
        <f>VLOOKUP(H62,[3]monster.xml!$A$347:$C$835,3,0)</f>
        <v>62</v>
      </c>
      <c r="K62">
        <f t="shared" si="19"/>
        <v>0</v>
      </c>
      <c r="L62">
        <f t="shared" si="15"/>
        <v>1</v>
      </c>
      <c r="M62" t="str">
        <f>精英副本!Y120</f>
        <v>勇气试炼（60）</v>
      </c>
      <c r="N62">
        <f>VLOOKUP(H62,[3]monster.xml!$347:$835,5,0)</f>
        <v>1860</v>
      </c>
      <c r="O62">
        <f t="shared" si="6"/>
        <v>1860</v>
      </c>
      <c r="AA62">
        <f t="shared" si="11"/>
        <v>1</v>
      </c>
    </row>
    <row r="63" spans="1:27">
      <c r="A63">
        <f t="shared" si="20"/>
        <v>106008</v>
      </c>
      <c r="B63">
        <f t="shared" si="12"/>
        <v>1</v>
      </c>
      <c r="C63">
        <f t="shared" si="21"/>
        <v>7</v>
      </c>
      <c r="D63">
        <f t="shared" si="13"/>
        <v>60</v>
      </c>
      <c r="E63">
        <f t="shared" si="9"/>
        <v>106009</v>
      </c>
      <c r="F63">
        <f t="shared" si="22"/>
        <v>106007</v>
      </c>
      <c r="G63" t="s">
        <v>892</v>
      </c>
      <c r="H63">
        <f t="shared" si="14"/>
        <v>1060081</v>
      </c>
      <c r="I63" t="str">
        <f>精英副本!B121</f>
        <v>卡雷</v>
      </c>
      <c r="J63">
        <f>VLOOKUP(H63,[3]monster.xml!$A$347:$C$835,3,0)</f>
        <v>63</v>
      </c>
      <c r="K63">
        <f t="shared" si="19"/>
        <v>0</v>
      </c>
      <c r="L63">
        <f t="shared" si="15"/>
        <v>1</v>
      </c>
      <c r="M63" t="str">
        <f>精英副本!Y121</f>
        <v>勇气试炼（60）</v>
      </c>
      <c r="N63">
        <f>VLOOKUP(H63,[3]monster.xml!$347:$835,5,0)</f>
        <v>1910</v>
      </c>
      <c r="O63">
        <f t="shared" si="6"/>
        <v>1910</v>
      </c>
      <c r="AA63">
        <f t="shared" si="11"/>
        <v>1</v>
      </c>
    </row>
    <row r="64" spans="1:27">
      <c r="A64">
        <f t="shared" si="20"/>
        <v>106009</v>
      </c>
      <c r="B64">
        <f t="shared" si="12"/>
        <v>1</v>
      </c>
      <c r="C64">
        <f t="shared" si="21"/>
        <v>7</v>
      </c>
      <c r="D64">
        <f t="shared" si="13"/>
        <v>60</v>
      </c>
      <c r="E64">
        <f t="shared" si="9"/>
        <v>0</v>
      </c>
      <c r="F64">
        <f t="shared" si="22"/>
        <v>106008</v>
      </c>
      <c r="G64" t="s">
        <v>893</v>
      </c>
      <c r="H64">
        <f t="shared" si="14"/>
        <v>1060091</v>
      </c>
      <c r="I64" t="str">
        <f>精英副本!B122</f>
        <v>日光费雷尔</v>
      </c>
      <c r="J64">
        <f>VLOOKUP(H64,[3]monster.xml!$A$347:$C$835,3,0)</f>
        <v>64</v>
      </c>
      <c r="K64">
        <f t="shared" si="19"/>
        <v>1</v>
      </c>
      <c r="L64">
        <f t="shared" si="15"/>
        <v>5</v>
      </c>
      <c r="M64" t="str">
        <f>精英副本!Y122</f>
        <v>勇气试炼（60）</v>
      </c>
      <c r="N64">
        <f>VLOOKUP(H64,[3]monster.xml!$347:$835,5,0)</f>
        <v>1960</v>
      </c>
      <c r="O64">
        <f t="shared" si="6"/>
        <v>1960</v>
      </c>
      <c r="AA64">
        <f t="shared" si="11"/>
        <v>0</v>
      </c>
    </row>
    <row r="65" spans="1:27">
      <c r="A65">
        <f t="shared" si="20"/>
        <v>106501</v>
      </c>
      <c r="B65">
        <f t="shared" si="12"/>
        <v>1</v>
      </c>
      <c r="C65">
        <f t="shared" si="21"/>
        <v>8</v>
      </c>
      <c r="D65">
        <f t="shared" si="13"/>
        <v>65</v>
      </c>
      <c r="E65">
        <f t="shared" si="9"/>
        <v>106502</v>
      </c>
      <c r="F65">
        <f t="shared" si="22"/>
        <v>0</v>
      </c>
      <c r="G65" t="s">
        <v>894</v>
      </c>
      <c r="H65">
        <f t="shared" si="14"/>
        <v>1065011</v>
      </c>
      <c r="I65" t="str">
        <f>精英副本!B123</f>
        <v>坚定的格雷格</v>
      </c>
      <c r="J65">
        <f>VLOOKUP(H65,[3]monster.xml!$A$347:$C$835,3,0)</f>
        <v>65</v>
      </c>
      <c r="K65">
        <f t="shared" si="19"/>
        <v>0</v>
      </c>
      <c r="L65">
        <f t="shared" si="15"/>
        <v>1</v>
      </c>
      <c r="M65" t="str">
        <f>精英副本!Y123</f>
        <v>勇气试炼（65）</v>
      </c>
      <c r="N65">
        <f>VLOOKUP(H65,[3]monster.xml!$347:$835,5,0)</f>
        <v>2010</v>
      </c>
      <c r="O65">
        <f t="shared" si="6"/>
        <v>2010</v>
      </c>
      <c r="AA65">
        <f t="shared" si="11"/>
        <v>1</v>
      </c>
    </row>
    <row r="66" spans="1:27">
      <c r="A66">
        <f t="shared" si="20"/>
        <v>106502</v>
      </c>
      <c r="B66">
        <f t="shared" si="12"/>
        <v>1</v>
      </c>
      <c r="C66">
        <f t="shared" si="21"/>
        <v>8</v>
      </c>
      <c r="D66">
        <f t="shared" si="13"/>
        <v>65</v>
      </c>
      <c r="E66">
        <f t="shared" si="9"/>
        <v>106503</v>
      </c>
      <c r="F66">
        <f t="shared" si="22"/>
        <v>106501</v>
      </c>
      <c r="G66" t="s">
        <v>895</v>
      </c>
      <c r="H66">
        <f t="shared" si="14"/>
        <v>1065021</v>
      </c>
      <c r="I66" t="str">
        <f>精英副本!B124</f>
        <v>莱恩的倒影</v>
      </c>
      <c r="J66">
        <f>VLOOKUP(H66,[3]monster.xml!$A$347:$C$835,3,0)</f>
        <v>65</v>
      </c>
      <c r="K66">
        <f t="shared" si="19"/>
        <v>0</v>
      </c>
      <c r="L66">
        <f t="shared" si="15"/>
        <v>1</v>
      </c>
      <c r="M66" t="str">
        <f>精英副本!Y124</f>
        <v>勇气试炼（65）</v>
      </c>
      <c r="N66">
        <f>VLOOKUP(H66,[3]monster.xml!$347:$835,5,0)</f>
        <v>2010</v>
      </c>
      <c r="O66">
        <f t="shared" si="6"/>
        <v>2010</v>
      </c>
      <c r="AA66">
        <f t="shared" si="11"/>
        <v>1</v>
      </c>
    </row>
    <row r="67" spans="1:27">
      <c r="A67">
        <f t="shared" si="20"/>
        <v>106503</v>
      </c>
      <c r="B67">
        <f t="shared" si="12"/>
        <v>1</v>
      </c>
      <c r="C67">
        <f t="shared" si="21"/>
        <v>8</v>
      </c>
      <c r="D67">
        <f t="shared" si="13"/>
        <v>65</v>
      </c>
      <c r="E67">
        <f t="shared" si="9"/>
        <v>106504</v>
      </c>
      <c r="F67">
        <f t="shared" ref="F67:F98" si="23">IF(AA66&gt;0,A66,0)</f>
        <v>106502</v>
      </c>
      <c r="G67" t="s">
        <v>896</v>
      </c>
      <c r="H67">
        <f t="shared" si="14"/>
        <v>1065031</v>
      </c>
      <c r="I67" t="str">
        <f>精英副本!B125</f>
        <v>混乱的玛尔达</v>
      </c>
      <c r="J67">
        <f>VLOOKUP(H67,[3]monster.xml!$A$347:$C$835,3,0)</f>
        <v>66</v>
      </c>
      <c r="K67">
        <f t="shared" si="19"/>
        <v>1</v>
      </c>
      <c r="L67">
        <f t="shared" si="15"/>
        <v>5</v>
      </c>
      <c r="M67" t="str">
        <f>精英副本!Y125</f>
        <v>勇气试炼（65）</v>
      </c>
      <c r="N67">
        <f>VLOOKUP(H67,[3]monster.xml!$347:$835,5,0)</f>
        <v>2060</v>
      </c>
      <c r="O67">
        <f t="shared" ref="O67:O130" si="24">N67</f>
        <v>2060</v>
      </c>
      <c r="AA67">
        <f t="shared" si="11"/>
        <v>1</v>
      </c>
    </row>
    <row r="68" spans="1:27">
      <c r="A68">
        <f t="shared" si="20"/>
        <v>106504</v>
      </c>
      <c r="B68">
        <f t="shared" si="12"/>
        <v>1</v>
      </c>
      <c r="C68">
        <f t="shared" si="21"/>
        <v>8</v>
      </c>
      <c r="D68">
        <f t="shared" si="13"/>
        <v>65</v>
      </c>
      <c r="E68">
        <f t="shared" si="9"/>
        <v>106505</v>
      </c>
      <c r="F68">
        <f t="shared" si="23"/>
        <v>106503</v>
      </c>
      <c r="G68" t="s">
        <v>897</v>
      </c>
      <c r="H68">
        <f t="shared" si="14"/>
        <v>1065041</v>
      </c>
      <c r="I68" t="str">
        <f>精英副本!B126</f>
        <v>驯兽师瓦纳</v>
      </c>
      <c r="J68">
        <f>VLOOKUP(H68,[3]monster.xml!$A$347:$C$835,3,0)</f>
        <v>66</v>
      </c>
      <c r="K68">
        <f t="shared" si="19"/>
        <v>0</v>
      </c>
      <c r="L68">
        <f t="shared" si="15"/>
        <v>1</v>
      </c>
      <c r="M68" t="str">
        <f>精英副本!Y126</f>
        <v>勇气试炼（65）</v>
      </c>
      <c r="N68">
        <f>VLOOKUP(H68,[3]monster.xml!$347:$835,5,0)</f>
        <v>2060</v>
      </c>
      <c r="O68">
        <f t="shared" si="24"/>
        <v>2060</v>
      </c>
      <c r="AA68">
        <f t="shared" si="11"/>
        <v>1</v>
      </c>
    </row>
    <row r="69" spans="1:27">
      <c r="A69">
        <f t="shared" si="20"/>
        <v>106505</v>
      </c>
      <c r="B69">
        <f t="shared" si="12"/>
        <v>1</v>
      </c>
      <c r="C69">
        <f t="shared" si="21"/>
        <v>8</v>
      </c>
      <c r="D69">
        <f t="shared" si="13"/>
        <v>65</v>
      </c>
      <c r="E69">
        <f t="shared" si="9"/>
        <v>106506</v>
      </c>
      <c r="F69">
        <f t="shared" si="23"/>
        <v>106504</v>
      </c>
      <c r="G69" t="s">
        <v>898</v>
      </c>
      <c r="H69">
        <f t="shared" si="14"/>
        <v>1065051</v>
      </c>
      <c r="I69" t="str">
        <f>精英副本!B127</f>
        <v>炎之安苏</v>
      </c>
      <c r="J69">
        <f>VLOOKUP(H69,[3]monster.xml!$A$347:$C$835,3,0)</f>
        <v>66</v>
      </c>
      <c r="K69">
        <f t="shared" si="19"/>
        <v>0</v>
      </c>
      <c r="L69">
        <f t="shared" si="15"/>
        <v>1</v>
      </c>
      <c r="M69" t="str">
        <f>精英副本!Y127</f>
        <v>勇气试炼（65）</v>
      </c>
      <c r="N69">
        <f>VLOOKUP(H69,[3]monster.xml!$347:$835,5,0)</f>
        <v>2060</v>
      </c>
      <c r="O69">
        <f t="shared" si="24"/>
        <v>2060</v>
      </c>
      <c r="AA69">
        <f t="shared" si="11"/>
        <v>1</v>
      </c>
    </row>
    <row r="70" spans="1:27">
      <c r="A70">
        <f t="shared" si="20"/>
        <v>106506</v>
      </c>
      <c r="B70">
        <f t="shared" si="12"/>
        <v>1</v>
      </c>
      <c r="C70">
        <f t="shared" si="21"/>
        <v>8</v>
      </c>
      <c r="D70">
        <f t="shared" si="13"/>
        <v>65</v>
      </c>
      <c r="E70">
        <f t="shared" si="9"/>
        <v>106507</v>
      </c>
      <c r="F70">
        <f t="shared" si="23"/>
        <v>106505</v>
      </c>
      <c r="G70" t="s">
        <v>899</v>
      </c>
      <c r="H70">
        <f t="shared" si="14"/>
        <v>1065061</v>
      </c>
      <c r="I70" t="str">
        <f>精英副本!B128</f>
        <v>迅捷的维恩</v>
      </c>
      <c r="J70">
        <f>VLOOKUP(H70,[3]monster.xml!$A$347:$C$835,3,0)</f>
        <v>67</v>
      </c>
      <c r="K70">
        <f t="shared" si="19"/>
        <v>1</v>
      </c>
      <c r="L70">
        <f t="shared" si="15"/>
        <v>5</v>
      </c>
      <c r="M70" t="str">
        <f>精英副本!Y128</f>
        <v>勇气试炼（65）</v>
      </c>
      <c r="N70">
        <f>VLOOKUP(H70,[3]monster.xml!$347:$835,5,0)</f>
        <v>2110</v>
      </c>
      <c r="O70">
        <f t="shared" si="24"/>
        <v>2110</v>
      </c>
      <c r="AA70">
        <f t="shared" si="11"/>
        <v>1</v>
      </c>
    </row>
    <row r="71" spans="1:27">
      <c r="A71">
        <f t="shared" si="20"/>
        <v>106507</v>
      </c>
      <c r="B71">
        <f t="shared" si="12"/>
        <v>1</v>
      </c>
      <c r="C71">
        <f t="shared" si="21"/>
        <v>8</v>
      </c>
      <c r="D71">
        <f t="shared" si="13"/>
        <v>65</v>
      </c>
      <c r="E71">
        <f t="shared" si="9"/>
        <v>106508</v>
      </c>
      <c r="F71">
        <f t="shared" si="23"/>
        <v>106506</v>
      </c>
      <c r="G71" t="s">
        <v>900</v>
      </c>
      <c r="H71">
        <f t="shared" si="14"/>
        <v>1065071</v>
      </c>
      <c r="I71" t="str">
        <f>精英副本!B129</f>
        <v>暮光预言者</v>
      </c>
      <c r="J71">
        <f>VLOOKUP(H71,[3]monster.xml!$A$347:$C$835,3,0)</f>
        <v>67</v>
      </c>
      <c r="K71">
        <f t="shared" si="19"/>
        <v>0</v>
      </c>
      <c r="L71">
        <f t="shared" si="15"/>
        <v>1</v>
      </c>
      <c r="M71" t="str">
        <f>精英副本!Y129</f>
        <v>勇气试炼（65）</v>
      </c>
      <c r="N71">
        <f>VLOOKUP(H71,[3]monster.xml!$347:$835,5,0)</f>
        <v>2110</v>
      </c>
      <c r="O71">
        <f t="shared" si="24"/>
        <v>2110</v>
      </c>
      <c r="AA71">
        <f t="shared" si="11"/>
        <v>1</v>
      </c>
    </row>
    <row r="72" spans="1:27">
      <c r="A72">
        <f t="shared" si="20"/>
        <v>106508</v>
      </c>
      <c r="B72">
        <f t="shared" si="12"/>
        <v>1</v>
      </c>
      <c r="C72">
        <f t="shared" si="21"/>
        <v>8</v>
      </c>
      <c r="D72">
        <f t="shared" si="13"/>
        <v>65</v>
      </c>
      <c r="E72">
        <f t="shared" si="9"/>
        <v>106509</v>
      </c>
      <c r="F72">
        <f t="shared" si="23"/>
        <v>106507</v>
      </c>
      <c r="G72" t="s">
        <v>901</v>
      </c>
      <c r="H72">
        <f t="shared" si="14"/>
        <v>1065081</v>
      </c>
      <c r="I72" t="str">
        <f>精英副本!B130</f>
        <v>卡雷</v>
      </c>
      <c r="J72">
        <f>VLOOKUP(H72,[3]monster.xml!$A$347:$C$835,3,0)</f>
        <v>68</v>
      </c>
      <c r="K72">
        <f t="shared" si="19"/>
        <v>0</v>
      </c>
      <c r="L72">
        <f t="shared" si="15"/>
        <v>1</v>
      </c>
      <c r="M72" t="str">
        <f>精英副本!Y130</f>
        <v>勇气试炼（65）</v>
      </c>
      <c r="N72">
        <f>VLOOKUP(H72,[3]monster.xml!$347:$835,5,0)</f>
        <v>2160</v>
      </c>
      <c r="O72">
        <f t="shared" si="24"/>
        <v>2160</v>
      </c>
      <c r="AA72">
        <f t="shared" si="11"/>
        <v>1</v>
      </c>
    </row>
    <row r="73" spans="1:27">
      <c r="A73">
        <f t="shared" si="20"/>
        <v>106509</v>
      </c>
      <c r="B73">
        <f t="shared" si="12"/>
        <v>1</v>
      </c>
      <c r="C73">
        <f t="shared" si="21"/>
        <v>8</v>
      </c>
      <c r="D73">
        <f t="shared" si="13"/>
        <v>65</v>
      </c>
      <c r="E73">
        <f t="shared" si="9"/>
        <v>0</v>
      </c>
      <c r="F73">
        <f t="shared" si="23"/>
        <v>106508</v>
      </c>
      <c r="G73" t="s">
        <v>902</v>
      </c>
      <c r="H73">
        <f t="shared" si="14"/>
        <v>1065091</v>
      </c>
      <c r="I73" t="str">
        <f>精英副本!B131</f>
        <v>日光费雷尔</v>
      </c>
      <c r="J73">
        <f>VLOOKUP(H73,[3]monster.xml!$A$347:$C$835,3,0)</f>
        <v>69</v>
      </c>
      <c r="K73">
        <f t="shared" si="19"/>
        <v>1</v>
      </c>
      <c r="L73">
        <f t="shared" si="15"/>
        <v>5</v>
      </c>
      <c r="M73" t="str">
        <f>精英副本!Y131</f>
        <v>勇气试炼（65）</v>
      </c>
      <c r="N73">
        <f>VLOOKUP(H73,[3]monster.xml!$347:$835,5,0)</f>
        <v>2210</v>
      </c>
      <c r="O73">
        <f t="shared" si="24"/>
        <v>2210</v>
      </c>
      <c r="AA73">
        <f t="shared" si="11"/>
        <v>0</v>
      </c>
    </row>
    <row r="74" spans="1:27">
      <c r="A74">
        <f t="shared" si="20"/>
        <v>107001</v>
      </c>
      <c r="B74">
        <f t="shared" si="12"/>
        <v>1</v>
      </c>
      <c r="C74">
        <f t="shared" si="21"/>
        <v>9</v>
      </c>
      <c r="D74">
        <f t="shared" si="13"/>
        <v>70</v>
      </c>
      <c r="E74">
        <f t="shared" si="9"/>
        <v>107002</v>
      </c>
      <c r="F74">
        <f t="shared" si="23"/>
        <v>0</v>
      </c>
      <c r="G74" t="s">
        <v>903</v>
      </c>
      <c r="H74">
        <f t="shared" si="14"/>
        <v>1070011</v>
      </c>
      <c r="I74" t="str">
        <f>精英副本!B132</f>
        <v>坚定的格雷格</v>
      </c>
      <c r="J74">
        <f>VLOOKUP(H74,[3]monster.xml!$A$347:$C$835,3,0)</f>
        <v>70</v>
      </c>
      <c r="K74">
        <f t="shared" si="19"/>
        <v>0</v>
      </c>
      <c r="L74">
        <f t="shared" si="15"/>
        <v>1</v>
      </c>
      <c r="M74" t="str">
        <f>精英副本!Y132</f>
        <v>勇气试炼（70）</v>
      </c>
      <c r="N74">
        <f>VLOOKUP(H74,[3]monster.xml!$347:$835,5,0)</f>
        <v>2260</v>
      </c>
      <c r="O74">
        <f t="shared" si="24"/>
        <v>2260</v>
      </c>
      <c r="AA74">
        <f t="shared" si="11"/>
        <v>1</v>
      </c>
    </row>
    <row r="75" spans="1:27">
      <c r="A75">
        <f t="shared" si="20"/>
        <v>107002</v>
      </c>
      <c r="B75">
        <f t="shared" si="12"/>
        <v>1</v>
      </c>
      <c r="C75">
        <f t="shared" si="21"/>
        <v>9</v>
      </c>
      <c r="D75">
        <f t="shared" si="13"/>
        <v>70</v>
      </c>
      <c r="E75">
        <f t="shared" ref="E75:E138" si="25">IF(F76&gt;0,A76,0)</f>
        <v>107003</v>
      </c>
      <c r="F75">
        <f t="shared" si="23"/>
        <v>107001</v>
      </c>
      <c r="G75" t="s">
        <v>904</v>
      </c>
      <c r="H75">
        <f t="shared" si="14"/>
        <v>1070021</v>
      </c>
      <c r="I75" t="str">
        <f>精英副本!B133</f>
        <v>莱恩的倒影</v>
      </c>
      <c r="J75">
        <f>VLOOKUP(H75,[3]monster.xml!$A$347:$C$835,3,0)</f>
        <v>70</v>
      </c>
      <c r="K75">
        <f t="shared" si="19"/>
        <v>0</v>
      </c>
      <c r="L75">
        <f t="shared" si="15"/>
        <v>1</v>
      </c>
      <c r="M75" t="str">
        <f>精英副本!Y133</f>
        <v>勇气试炼（70）</v>
      </c>
      <c r="N75">
        <f>VLOOKUP(H75,[3]monster.xml!$347:$835,5,0)</f>
        <v>2260</v>
      </c>
      <c r="O75">
        <f t="shared" si="24"/>
        <v>2260</v>
      </c>
      <c r="AA75">
        <f t="shared" si="11"/>
        <v>1</v>
      </c>
    </row>
    <row r="76" spans="1:27">
      <c r="A76">
        <f t="shared" si="20"/>
        <v>107003</v>
      </c>
      <c r="B76">
        <f t="shared" si="12"/>
        <v>1</v>
      </c>
      <c r="C76">
        <f t="shared" si="21"/>
        <v>9</v>
      </c>
      <c r="D76">
        <f t="shared" si="13"/>
        <v>70</v>
      </c>
      <c r="E76">
        <f t="shared" si="25"/>
        <v>107004</v>
      </c>
      <c r="F76">
        <f t="shared" si="23"/>
        <v>107002</v>
      </c>
      <c r="G76" t="s">
        <v>905</v>
      </c>
      <c r="H76">
        <f t="shared" si="14"/>
        <v>1070031</v>
      </c>
      <c r="I76" t="str">
        <f>精英副本!B134</f>
        <v>混乱的玛尔达</v>
      </c>
      <c r="J76">
        <f>VLOOKUP(H76,[3]monster.xml!$A$347:$C$835,3,0)</f>
        <v>71</v>
      </c>
      <c r="K76">
        <f t="shared" si="19"/>
        <v>1</v>
      </c>
      <c r="L76">
        <f t="shared" si="15"/>
        <v>5</v>
      </c>
      <c r="M76" t="str">
        <f>精英副本!Y134</f>
        <v>勇气试炼（70）</v>
      </c>
      <c r="N76">
        <f>VLOOKUP(H76,[3]monster.xml!$347:$835,5,0)</f>
        <v>2320</v>
      </c>
      <c r="O76">
        <f t="shared" si="24"/>
        <v>2320</v>
      </c>
      <c r="AA76">
        <f t="shared" ref="AA76:AA139" si="26">AA67</f>
        <v>1</v>
      </c>
    </row>
    <row r="77" spans="1:27">
      <c r="A77">
        <f t="shared" si="20"/>
        <v>107004</v>
      </c>
      <c r="B77">
        <f t="shared" ref="B77:B136" si="27">ROUNDDOWN(A77/100000,0)</f>
        <v>1</v>
      </c>
      <c r="C77">
        <f t="shared" si="21"/>
        <v>9</v>
      </c>
      <c r="D77">
        <f t="shared" ref="D77:D136" si="28">MID(A77,2,3)*1</f>
        <v>70</v>
      </c>
      <c r="E77">
        <f t="shared" si="25"/>
        <v>107005</v>
      </c>
      <c r="F77">
        <f t="shared" si="23"/>
        <v>107003</v>
      </c>
      <c r="G77" t="s">
        <v>906</v>
      </c>
      <c r="H77">
        <f t="shared" ref="H77:H136" si="29">A77*10+1</f>
        <v>1070041</v>
      </c>
      <c r="I77" t="str">
        <f>精英副本!B135</f>
        <v>驯兽师瓦纳</v>
      </c>
      <c r="J77">
        <f>VLOOKUP(H77,[3]monster.xml!$A$347:$C$835,3,0)</f>
        <v>71</v>
      </c>
      <c r="K77">
        <f t="shared" si="19"/>
        <v>0</v>
      </c>
      <c r="L77">
        <f t="shared" si="15"/>
        <v>1</v>
      </c>
      <c r="M77" t="str">
        <f>精英副本!Y135</f>
        <v>勇气试炼（70）</v>
      </c>
      <c r="N77">
        <f>VLOOKUP(H77,[3]monster.xml!$347:$835,5,0)</f>
        <v>2320</v>
      </c>
      <c r="O77">
        <f t="shared" si="24"/>
        <v>2320</v>
      </c>
      <c r="AA77">
        <f t="shared" si="26"/>
        <v>1</v>
      </c>
    </row>
    <row r="78" spans="1:27">
      <c r="A78">
        <f>A69+500</f>
        <v>107005</v>
      </c>
      <c r="B78">
        <f t="shared" si="27"/>
        <v>1</v>
      </c>
      <c r="C78">
        <f t="shared" si="21"/>
        <v>9</v>
      </c>
      <c r="D78">
        <f t="shared" si="28"/>
        <v>70</v>
      </c>
      <c r="E78">
        <f t="shared" si="25"/>
        <v>107006</v>
      </c>
      <c r="F78">
        <f t="shared" si="23"/>
        <v>107004</v>
      </c>
      <c r="G78" t="s">
        <v>907</v>
      </c>
      <c r="H78">
        <f t="shared" si="29"/>
        <v>1070051</v>
      </c>
      <c r="I78" t="str">
        <f>精英副本!B136</f>
        <v>炎之安苏</v>
      </c>
      <c r="J78">
        <f>VLOOKUP(H78,[3]monster.xml!$A$347:$C$835,3,0)</f>
        <v>71</v>
      </c>
      <c r="K78">
        <f t="shared" si="19"/>
        <v>0</v>
      </c>
      <c r="L78">
        <f t="shared" ref="L78:L136" si="30">1+K78*4</f>
        <v>1</v>
      </c>
      <c r="M78" t="str">
        <f>精英副本!Y136</f>
        <v>勇气试炼（70）</v>
      </c>
      <c r="N78">
        <f>VLOOKUP(H78,[3]monster.xml!$347:$835,5,0)</f>
        <v>2320</v>
      </c>
      <c r="O78">
        <f t="shared" si="24"/>
        <v>2320</v>
      </c>
      <c r="AA78">
        <f t="shared" si="26"/>
        <v>1</v>
      </c>
    </row>
    <row r="79" spans="1:27">
      <c r="A79">
        <f t="shared" ref="A79:A95" si="31">A70+500</f>
        <v>107006</v>
      </c>
      <c r="B79">
        <f t="shared" si="27"/>
        <v>1</v>
      </c>
      <c r="C79">
        <f t="shared" si="21"/>
        <v>9</v>
      </c>
      <c r="D79">
        <f t="shared" si="28"/>
        <v>70</v>
      </c>
      <c r="E79">
        <f t="shared" si="25"/>
        <v>107007</v>
      </c>
      <c r="F79">
        <f t="shared" si="23"/>
        <v>107005</v>
      </c>
      <c r="G79" t="s">
        <v>908</v>
      </c>
      <c r="H79">
        <f t="shared" si="29"/>
        <v>1070061</v>
      </c>
      <c r="I79" t="str">
        <f>精英副本!B137</f>
        <v>迅捷的维恩</v>
      </c>
      <c r="J79">
        <f>VLOOKUP(H79,[3]monster.xml!$A$347:$C$835,3,0)</f>
        <v>72</v>
      </c>
      <c r="K79">
        <f t="shared" si="19"/>
        <v>1</v>
      </c>
      <c r="L79">
        <f t="shared" si="30"/>
        <v>5</v>
      </c>
      <c r="M79" t="str">
        <f>精英副本!Y137</f>
        <v>勇气试炼（70）</v>
      </c>
      <c r="N79">
        <f>VLOOKUP(H79,[3]monster.xml!$347:$835,5,0)</f>
        <v>2380</v>
      </c>
      <c r="O79">
        <f t="shared" si="24"/>
        <v>2380</v>
      </c>
      <c r="AA79">
        <f t="shared" si="26"/>
        <v>1</v>
      </c>
    </row>
    <row r="80" spans="1:27">
      <c r="A80">
        <f t="shared" si="31"/>
        <v>107007</v>
      </c>
      <c r="B80">
        <f t="shared" si="27"/>
        <v>1</v>
      </c>
      <c r="C80">
        <f t="shared" si="21"/>
        <v>9</v>
      </c>
      <c r="D80">
        <f t="shared" si="28"/>
        <v>70</v>
      </c>
      <c r="E80">
        <f t="shared" si="25"/>
        <v>107008</v>
      </c>
      <c r="F80">
        <f t="shared" si="23"/>
        <v>107006</v>
      </c>
      <c r="G80" t="s">
        <v>909</v>
      </c>
      <c r="H80">
        <f t="shared" si="29"/>
        <v>1070071</v>
      </c>
      <c r="I80" t="str">
        <f>精英副本!B138</f>
        <v>暮光预言者</v>
      </c>
      <c r="J80">
        <f>VLOOKUP(H80,[3]monster.xml!$A$347:$C$835,3,0)</f>
        <v>72</v>
      </c>
      <c r="K80">
        <f t="shared" si="19"/>
        <v>0</v>
      </c>
      <c r="L80">
        <f t="shared" si="30"/>
        <v>1</v>
      </c>
      <c r="M80" t="str">
        <f>精英副本!Y138</f>
        <v>勇气试炼（70）</v>
      </c>
      <c r="N80">
        <f>VLOOKUP(H80,[3]monster.xml!$347:$835,5,0)</f>
        <v>2380</v>
      </c>
      <c r="O80">
        <f t="shared" si="24"/>
        <v>2380</v>
      </c>
      <c r="AA80">
        <f t="shared" si="26"/>
        <v>1</v>
      </c>
    </row>
    <row r="81" spans="1:27">
      <c r="A81">
        <f t="shared" si="31"/>
        <v>107008</v>
      </c>
      <c r="B81">
        <f t="shared" si="27"/>
        <v>1</v>
      </c>
      <c r="C81">
        <f t="shared" si="21"/>
        <v>9</v>
      </c>
      <c r="D81">
        <f t="shared" si="28"/>
        <v>70</v>
      </c>
      <c r="E81">
        <f t="shared" si="25"/>
        <v>107009</v>
      </c>
      <c r="F81">
        <f t="shared" si="23"/>
        <v>107007</v>
      </c>
      <c r="G81" t="s">
        <v>910</v>
      </c>
      <c r="H81">
        <f t="shared" si="29"/>
        <v>1070081</v>
      </c>
      <c r="I81" t="str">
        <f>精英副本!B139</f>
        <v>卡雷</v>
      </c>
      <c r="J81">
        <f>VLOOKUP(H81,[3]monster.xml!$A$347:$C$835,3,0)</f>
        <v>73</v>
      </c>
      <c r="K81">
        <f t="shared" si="19"/>
        <v>0</v>
      </c>
      <c r="L81">
        <f t="shared" si="30"/>
        <v>1</v>
      </c>
      <c r="M81" t="str">
        <f>精英副本!Y139</f>
        <v>勇气试炼（70）</v>
      </c>
      <c r="N81">
        <f>VLOOKUP(H81,[3]monster.xml!$347:$835,5,0)</f>
        <v>2440</v>
      </c>
      <c r="O81">
        <f t="shared" si="24"/>
        <v>2440</v>
      </c>
      <c r="AA81">
        <f t="shared" si="26"/>
        <v>1</v>
      </c>
    </row>
    <row r="82" spans="1:27">
      <c r="A82">
        <f t="shared" si="31"/>
        <v>107009</v>
      </c>
      <c r="B82">
        <f t="shared" si="27"/>
        <v>1</v>
      </c>
      <c r="C82">
        <f t="shared" si="21"/>
        <v>9</v>
      </c>
      <c r="D82">
        <f t="shared" si="28"/>
        <v>70</v>
      </c>
      <c r="E82">
        <f t="shared" si="25"/>
        <v>0</v>
      </c>
      <c r="F82">
        <f t="shared" si="23"/>
        <v>107008</v>
      </c>
      <c r="G82" t="s">
        <v>911</v>
      </c>
      <c r="H82">
        <f t="shared" si="29"/>
        <v>1070091</v>
      </c>
      <c r="I82" t="str">
        <f>精英副本!B140</f>
        <v>日光费雷尔</v>
      </c>
      <c r="J82">
        <f>VLOOKUP(H82,[3]monster.xml!$A$347:$C$835,3,0)</f>
        <v>74</v>
      </c>
      <c r="K82">
        <f t="shared" si="19"/>
        <v>1</v>
      </c>
      <c r="L82">
        <f t="shared" si="30"/>
        <v>5</v>
      </c>
      <c r="M82" t="str">
        <f>精英副本!Y140</f>
        <v>勇气试炼（70）</v>
      </c>
      <c r="N82">
        <f>VLOOKUP(H82,[3]monster.xml!$347:$835,5,0)</f>
        <v>2500</v>
      </c>
      <c r="O82">
        <f t="shared" si="24"/>
        <v>2500</v>
      </c>
      <c r="AA82">
        <f t="shared" si="26"/>
        <v>0</v>
      </c>
    </row>
    <row r="83" spans="1:27">
      <c r="A83">
        <f t="shared" si="31"/>
        <v>107501</v>
      </c>
      <c r="B83">
        <f t="shared" si="27"/>
        <v>1</v>
      </c>
      <c r="C83">
        <f t="shared" si="21"/>
        <v>10</v>
      </c>
      <c r="D83">
        <f t="shared" si="28"/>
        <v>75</v>
      </c>
      <c r="E83">
        <f t="shared" si="25"/>
        <v>107502</v>
      </c>
      <c r="F83">
        <f t="shared" si="23"/>
        <v>0</v>
      </c>
      <c r="G83" t="s">
        <v>912</v>
      </c>
      <c r="H83">
        <f t="shared" si="29"/>
        <v>1075011</v>
      </c>
      <c r="I83" t="str">
        <f>精英副本!B141</f>
        <v>坚定的格雷格</v>
      </c>
      <c r="J83">
        <f>VLOOKUP(H83,[3]monster.xml!$A$347:$C$835,3,0)</f>
        <v>75</v>
      </c>
      <c r="K83">
        <f t="shared" si="19"/>
        <v>0</v>
      </c>
      <c r="L83">
        <f t="shared" si="30"/>
        <v>1</v>
      </c>
      <c r="M83" t="str">
        <f>精英副本!Y141</f>
        <v>勇气试炼（75）</v>
      </c>
      <c r="N83">
        <f>VLOOKUP(H83,[3]monster.xml!$347:$835,5,0)</f>
        <v>2560</v>
      </c>
      <c r="O83">
        <f t="shared" si="24"/>
        <v>2560</v>
      </c>
      <c r="AA83">
        <f t="shared" si="26"/>
        <v>1</v>
      </c>
    </row>
    <row r="84" spans="1:27">
      <c r="A84">
        <f t="shared" si="31"/>
        <v>107502</v>
      </c>
      <c r="B84">
        <f t="shared" si="27"/>
        <v>1</v>
      </c>
      <c r="C84">
        <f t="shared" si="21"/>
        <v>10</v>
      </c>
      <c r="D84">
        <f t="shared" si="28"/>
        <v>75</v>
      </c>
      <c r="E84">
        <f t="shared" si="25"/>
        <v>107503</v>
      </c>
      <c r="F84">
        <f t="shared" si="23"/>
        <v>107501</v>
      </c>
      <c r="G84" t="s">
        <v>913</v>
      </c>
      <c r="H84">
        <f t="shared" si="29"/>
        <v>1075021</v>
      </c>
      <c r="I84" t="str">
        <f>精英副本!B142</f>
        <v>莱恩的倒影</v>
      </c>
      <c r="J84">
        <f>VLOOKUP(H84,[3]monster.xml!$A$347:$C$835,3,0)</f>
        <v>75</v>
      </c>
      <c r="K84">
        <f t="shared" si="19"/>
        <v>0</v>
      </c>
      <c r="L84">
        <f t="shared" si="30"/>
        <v>1</v>
      </c>
      <c r="M84" t="str">
        <f>精英副本!Y142</f>
        <v>勇气试炼（75）</v>
      </c>
      <c r="N84">
        <f>VLOOKUP(H84,[3]monster.xml!$347:$835,5,0)</f>
        <v>2560</v>
      </c>
      <c r="O84">
        <f t="shared" si="24"/>
        <v>2560</v>
      </c>
      <c r="AA84">
        <f t="shared" si="26"/>
        <v>1</v>
      </c>
    </row>
    <row r="85" spans="1:27">
      <c r="A85">
        <f t="shared" si="31"/>
        <v>107503</v>
      </c>
      <c r="B85">
        <f t="shared" si="27"/>
        <v>1</v>
      </c>
      <c r="C85">
        <f t="shared" si="21"/>
        <v>10</v>
      </c>
      <c r="D85">
        <f t="shared" si="28"/>
        <v>75</v>
      </c>
      <c r="E85">
        <f t="shared" si="25"/>
        <v>107504</v>
      </c>
      <c r="F85">
        <f t="shared" si="23"/>
        <v>107502</v>
      </c>
      <c r="G85" t="s">
        <v>914</v>
      </c>
      <c r="H85">
        <f t="shared" si="29"/>
        <v>1075031</v>
      </c>
      <c r="I85" t="str">
        <f>精英副本!B143</f>
        <v>混乱的玛尔达</v>
      </c>
      <c r="J85">
        <f>VLOOKUP(H85,[3]monster.xml!$A$347:$C$835,3,0)</f>
        <v>76</v>
      </c>
      <c r="K85">
        <f t="shared" si="19"/>
        <v>1</v>
      </c>
      <c r="L85">
        <f t="shared" si="30"/>
        <v>5</v>
      </c>
      <c r="M85" t="str">
        <f>精英副本!Y143</f>
        <v>勇气试炼（75）</v>
      </c>
      <c r="N85">
        <f>VLOOKUP(H85,[3]monster.xml!$347:$835,5,0)</f>
        <v>2620</v>
      </c>
      <c r="O85">
        <f t="shared" si="24"/>
        <v>2620</v>
      </c>
      <c r="AA85">
        <f t="shared" si="26"/>
        <v>1</v>
      </c>
    </row>
    <row r="86" spans="1:27">
      <c r="A86">
        <f t="shared" si="31"/>
        <v>107504</v>
      </c>
      <c r="B86">
        <f t="shared" si="27"/>
        <v>1</v>
      </c>
      <c r="C86">
        <f t="shared" si="21"/>
        <v>10</v>
      </c>
      <c r="D86">
        <f t="shared" si="28"/>
        <v>75</v>
      </c>
      <c r="E86">
        <f t="shared" si="25"/>
        <v>107505</v>
      </c>
      <c r="F86">
        <f t="shared" si="23"/>
        <v>107503</v>
      </c>
      <c r="G86" t="s">
        <v>915</v>
      </c>
      <c r="H86">
        <f t="shared" si="29"/>
        <v>1075041</v>
      </c>
      <c r="I86" t="str">
        <f>精英副本!B144</f>
        <v>驯兽师瓦纳</v>
      </c>
      <c r="J86">
        <f>VLOOKUP(H86,[3]monster.xml!$A$347:$C$835,3,0)</f>
        <v>76</v>
      </c>
      <c r="K86">
        <f t="shared" ref="K86:K149" si="32">K77</f>
        <v>0</v>
      </c>
      <c r="L86">
        <f t="shared" si="30"/>
        <v>1</v>
      </c>
      <c r="M86" t="str">
        <f>精英副本!Y144</f>
        <v>勇气试炼（75）</v>
      </c>
      <c r="N86">
        <f>VLOOKUP(H86,[3]monster.xml!$347:$835,5,0)</f>
        <v>2620</v>
      </c>
      <c r="O86">
        <f t="shared" si="24"/>
        <v>2620</v>
      </c>
      <c r="AA86">
        <f t="shared" si="26"/>
        <v>1</v>
      </c>
    </row>
    <row r="87" spans="1:27">
      <c r="A87">
        <f t="shared" si="31"/>
        <v>107505</v>
      </c>
      <c r="B87">
        <f t="shared" si="27"/>
        <v>1</v>
      </c>
      <c r="C87">
        <f t="shared" si="21"/>
        <v>10</v>
      </c>
      <c r="D87">
        <f t="shared" si="28"/>
        <v>75</v>
      </c>
      <c r="E87">
        <f t="shared" si="25"/>
        <v>107506</v>
      </c>
      <c r="F87">
        <f t="shared" si="23"/>
        <v>107504</v>
      </c>
      <c r="G87" t="s">
        <v>916</v>
      </c>
      <c r="H87">
        <f t="shared" si="29"/>
        <v>1075051</v>
      </c>
      <c r="I87" t="str">
        <f>精英副本!B145</f>
        <v>炎之安苏</v>
      </c>
      <c r="J87">
        <f>VLOOKUP(H87,[3]monster.xml!$A$347:$C$835,3,0)</f>
        <v>76</v>
      </c>
      <c r="K87">
        <f t="shared" si="32"/>
        <v>0</v>
      </c>
      <c r="L87">
        <f t="shared" si="30"/>
        <v>1</v>
      </c>
      <c r="M87" t="str">
        <f>精英副本!Y145</f>
        <v>勇气试炼（75）</v>
      </c>
      <c r="N87">
        <f>VLOOKUP(H87,[3]monster.xml!$347:$835,5,0)</f>
        <v>2620</v>
      </c>
      <c r="O87">
        <f t="shared" si="24"/>
        <v>2620</v>
      </c>
      <c r="AA87">
        <f t="shared" si="26"/>
        <v>1</v>
      </c>
    </row>
    <row r="88" spans="1:27">
      <c r="A88">
        <f t="shared" si="31"/>
        <v>107506</v>
      </c>
      <c r="B88">
        <f t="shared" si="27"/>
        <v>1</v>
      </c>
      <c r="C88">
        <f t="shared" si="21"/>
        <v>10</v>
      </c>
      <c r="D88">
        <f t="shared" si="28"/>
        <v>75</v>
      </c>
      <c r="E88">
        <f t="shared" si="25"/>
        <v>107507</v>
      </c>
      <c r="F88">
        <f t="shared" si="23"/>
        <v>107505</v>
      </c>
      <c r="G88" t="s">
        <v>917</v>
      </c>
      <c r="H88">
        <f t="shared" si="29"/>
        <v>1075061</v>
      </c>
      <c r="I88" t="str">
        <f>精英副本!B146</f>
        <v>迅捷的维恩</v>
      </c>
      <c r="J88">
        <f>VLOOKUP(H88,[3]monster.xml!$A$347:$C$835,3,0)</f>
        <v>77</v>
      </c>
      <c r="K88">
        <f t="shared" si="32"/>
        <v>1</v>
      </c>
      <c r="L88">
        <f t="shared" si="30"/>
        <v>5</v>
      </c>
      <c r="M88" t="str">
        <f>精英副本!Y146</f>
        <v>勇气试炼（75）</v>
      </c>
      <c r="N88">
        <f>VLOOKUP(H88,[3]monster.xml!$347:$835,5,0)</f>
        <v>2680</v>
      </c>
      <c r="O88">
        <f t="shared" si="24"/>
        <v>2680</v>
      </c>
      <c r="AA88">
        <f t="shared" si="26"/>
        <v>1</v>
      </c>
    </row>
    <row r="89" spans="1:27">
      <c r="A89">
        <f t="shared" si="31"/>
        <v>107507</v>
      </c>
      <c r="B89">
        <f t="shared" si="27"/>
        <v>1</v>
      </c>
      <c r="C89">
        <f t="shared" si="21"/>
        <v>10</v>
      </c>
      <c r="D89">
        <f t="shared" si="28"/>
        <v>75</v>
      </c>
      <c r="E89">
        <f t="shared" si="25"/>
        <v>107508</v>
      </c>
      <c r="F89">
        <f t="shared" si="23"/>
        <v>107506</v>
      </c>
      <c r="G89" t="s">
        <v>918</v>
      </c>
      <c r="H89">
        <f t="shared" si="29"/>
        <v>1075071</v>
      </c>
      <c r="I89" t="str">
        <f>精英副本!B147</f>
        <v>暮光预言者</v>
      </c>
      <c r="J89">
        <f>VLOOKUP(H89,[3]monster.xml!$A$347:$C$835,3,0)</f>
        <v>77</v>
      </c>
      <c r="K89">
        <f t="shared" si="32"/>
        <v>0</v>
      </c>
      <c r="L89">
        <f t="shared" si="30"/>
        <v>1</v>
      </c>
      <c r="M89" t="str">
        <f>精英副本!Y147</f>
        <v>勇气试炼（75）</v>
      </c>
      <c r="N89">
        <f>VLOOKUP(H89,[3]monster.xml!$347:$835,5,0)</f>
        <v>2680</v>
      </c>
      <c r="O89">
        <f t="shared" si="24"/>
        <v>2680</v>
      </c>
      <c r="AA89">
        <f t="shared" si="26"/>
        <v>1</v>
      </c>
    </row>
    <row r="90" spans="1:27">
      <c r="A90">
        <f t="shared" si="31"/>
        <v>107508</v>
      </c>
      <c r="B90">
        <f t="shared" si="27"/>
        <v>1</v>
      </c>
      <c r="C90">
        <f t="shared" si="21"/>
        <v>10</v>
      </c>
      <c r="D90">
        <f t="shared" si="28"/>
        <v>75</v>
      </c>
      <c r="E90">
        <f t="shared" si="25"/>
        <v>107509</v>
      </c>
      <c r="F90">
        <f t="shared" si="23"/>
        <v>107507</v>
      </c>
      <c r="G90" t="s">
        <v>919</v>
      </c>
      <c r="H90">
        <f t="shared" si="29"/>
        <v>1075081</v>
      </c>
      <c r="I90" t="str">
        <f>精英副本!B148</f>
        <v>卡雷</v>
      </c>
      <c r="J90">
        <f>VLOOKUP(H90,[3]monster.xml!$A$347:$C$835,3,0)</f>
        <v>78</v>
      </c>
      <c r="K90">
        <f t="shared" si="32"/>
        <v>0</v>
      </c>
      <c r="L90">
        <f t="shared" si="30"/>
        <v>1</v>
      </c>
      <c r="M90" t="str">
        <f>精英副本!Y148</f>
        <v>勇气试炼（75）</v>
      </c>
      <c r="N90">
        <f>VLOOKUP(H90,[3]monster.xml!$347:$835,5,0)</f>
        <v>2740</v>
      </c>
      <c r="O90">
        <f t="shared" si="24"/>
        <v>2740</v>
      </c>
      <c r="AA90">
        <f t="shared" si="26"/>
        <v>1</v>
      </c>
    </row>
    <row r="91" spans="1:27">
      <c r="A91">
        <f t="shared" si="31"/>
        <v>107509</v>
      </c>
      <c r="B91">
        <f t="shared" si="27"/>
        <v>1</v>
      </c>
      <c r="C91">
        <f t="shared" si="21"/>
        <v>10</v>
      </c>
      <c r="D91">
        <f t="shared" si="28"/>
        <v>75</v>
      </c>
      <c r="E91">
        <f t="shared" si="25"/>
        <v>0</v>
      </c>
      <c r="F91">
        <f t="shared" si="23"/>
        <v>107508</v>
      </c>
      <c r="G91" t="s">
        <v>920</v>
      </c>
      <c r="H91">
        <f t="shared" si="29"/>
        <v>1075091</v>
      </c>
      <c r="I91" t="str">
        <f>精英副本!B149</f>
        <v>日光费雷尔</v>
      </c>
      <c r="J91">
        <f>VLOOKUP(H91,[3]monster.xml!$A$347:$C$835,3,0)</f>
        <v>79</v>
      </c>
      <c r="K91">
        <f t="shared" si="32"/>
        <v>1</v>
      </c>
      <c r="L91">
        <f t="shared" si="30"/>
        <v>5</v>
      </c>
      <c r="M91" t="str">
        <f>精英副本!Y149</f>
        <v>勇气试炼（75）</v>
      </c>
      <c r="N91">
        <f>VLOOKUP(H91,[3]monster.xml!$347:$835,5,0)</f>
        <v>2800</v>
      </c>
      <c r="O91">
        <f t="shared" si="24"/>
        <v>2800</v>
      </c>
      <c r="AA91">
        <f t="shared" si="26"/>
        <v>0</v>
      </c>
    </row>
    <row r="92" spans="1:27">
      <c r="A92">
        <f t="shared" si="31"/>
        <v>108001</v>
      </c>
      <c r="B92">
        <f t="shared" si="27"/>
        <v>1</v>
      </c>
      <c r="C92">
        <f t="shared" si="21"/>
        <v>11</v>
      </c>
      <c r="D92">
        <f t="shared" si="28"/>
        <v>80</v>
      </c>
      <c r="E92">
        <f t="shared" si="25"/>
        <v>108002</v>
      </c>
      <c r="F92">
        <f t="shared" si="23"/>
        <v>0</v>
      </c>
      <c r="G92" t="s">
        <v>921</v>
      </c>
      <c r="H92">
        <f t="shared" si="29"/>
        <v>1080011</v>
      </c>
      <c r="I92" t="str">
        <f>精英副本!B150</f>
        <v>坚定的格雷格</v>
      </c>
      <c r="J92">
        <f>VLOOKUP(H92,[3]monster.xml!$A$347:$C$835,3,0)</f>
        <v>80</v>
      </c>
      <c r="K92">
        <f t="shared" si="32"/>
        <v>0</v>
      </c>
      <c r="L92">
        <f t="shared" si="30"/>
        <v>1</v>
      </c>
      <c r="M92" t="str">
        <f>精英副本!Y150</f>
        <v>勇气试炼（80）</v>
      </c>
      <c r="N92">
        <f>VLOOKUP(H92,[3]monster.xml!$347:$835,5,0)</f>
        <v>3000</v>
      </c>
      <c r="O92">
        <f t="shared" si="24"/>
        <v>3000</v>
      </c>
      <c r="AA92">
        <f t="shared" si="26"/>
        <v>1</v>
      </c>
    </row>
    <row r="93" spans="1:27">
      <c r="A93">
        <f t="shared" si="31"/>
        <v>108002</v>
      </c>
      <c r="B93">
        <f t="shared" si="27"/>
        <v>1</v>
      </c>
      <c r="C93">
        <f t="shared" si="21"/>
        <v>11</v>
      </c>
      <c r="D93">
        <f t="shared" si="28"/>
        <v>80</v>
      </c>
      <c r="E93">
        <f t="shared" si="25"/>
        <v>108003</v>
      </c>
      <c r="F93">
        <f t="shared" si="23"/>
        <v>108001</v>
      </c>
      <c r="G93" t="s">
        <v>922</v>
      </c>
      <c r="H93">
        <f t="shared" si="29"/>
        <v>1080021</v>
      </c>
      <c r="I93" t="str">
        <f>精英副本!B151</f>
        <v>莱恩的倒影</v>
      </c>
      <c r="J93">
        <f>VLOOKUP(H93,[3]monster.xml!$A$347:$C$835,3,0)</f>
        <v>80</v>
      </c>
      <c r="K93">
        <f t="shared" si="32"/>
        <v>0</v>
      </c>
      <c r="L93">
        <f t="shared" si="30"/>
        <v>1</v>
      </c>
      <c r="M93" t="str">
        <f>精英副本!Y151</f>
        <v>勇气试炼（80）</v>
      </c>
      <c r="N93">
        <f>VLOOKUP(H93,[3]monster.xml!$347:$835,5,0)</f>
        <v>3000</v>
      </c>
      <c r="O93">
        <f t="shared" si="24"/>
        <v>3000</v>
      </c>
      <c r="AA93">
        <f t="shared" si="26"/>
        <v>1</v>
      </c>
    </row>
    <row r="94" spans="1:27">
      <c r="A94">
        <f t="shared" si="31"/>
        <v>108003</v>
      </c>
      <c r="B94">
        <f t="shared" si="27"/>
        <v>1</v>
      </c>
      <c r="C94">
        <f t="shared" si="21"/>
        <v>11</v>
      </c>
      <c r="D94">
        <f t="shared" si="28"/>
        <v>80</v>
      </c>
      <c r="E94">
        <f t="shared" si="25"/>
        <v>108004</v>
      </c>
      <c r="F94">
        <f t="shared" si="23"/>
        <v>108002</v>
      </c>
      <c r="G94" t="s">
        <v>923</v>
      </c>
      <c r="H94">
        <f t="shared" si="29"/>
        <v>1080031</v>
      </c>
      <c r="I94" t="str">
        <f>精英副本!B152</f>
        <v>混乱的玛尔达</v>
      </c>
      <c r="J94">
        <f>VLOOKUP(H94,[3]monster.xml!$A$347:$C$835,3,0)</f>
        <v>81</v>
      </c>
      <c r="K94">
        <f t="shared" si="32"/>
        <v>1</v>
      </c>
      <c r="L94">
        <f t="shared" si="30"/>
        <v>5</v>
      </c>
      <c r="M94" t="str">
        <f>精英副本!Y152</f>
        <v>勇气试炼（80）</v>
      </c>
      <c r="N94">
        <f>VLOOKUP(H94,[3]monster.xml!$347:$835,5,0)</f>
        <v>3200</v>
      </c>
      <c r="O94">
        <f t="shared" si="24"/>
        <v>3200</v>
      </c>
      <c r="AA94">
        <f t="shared" si="26"/>
        <v>1</v>
      </c>
    </row>
    <row r="95" spans="1:27">
      <c r="A95">
        <f t="shared" si="31"/>
        <v>108004</v>
      </c>
      <c r="B95">
        <f t="shared" si="27"/>
        <v>1</v>
      </c>
      <c r="C95">
        <f t="shared" ref="C95:C136" si="33">C86+1</f>
        <v>11</v>
      </c>
      <c r="D95">
        <f t="shared" si="28"/>
        <v>80</v>
      </c>
      <c r="E95">
        <f t="shared" si="25"/>
        <v>108005</v>
      </c>
      <c r="F95">
        <f t="shared" si="23"/>
        <v>108003</v>
      </c>
      <c r="G95" t="s">
        <v>924</v>
      </c>
      <c r="H95">
        <f t="shared" si="29"/>
        <v>1080041</v>
      </c>
      <c r="I95" t="str">
        <f>精英副本!B153</f>
        <v>驯兽师瓦纳</v>
      </c>
      <c r="J95">
        <f>VLOOKUP(H95,[3]monster.xml!$A$347:$C$835,3,0)</f>
        <v>81</v>
      </c>
      <c r="K95">
        <f t="shared" si="32"/>
        <v>0</v>
      </c>
      <c r="L95">
        <f t="shared" si="30"/>
        <v>1</v>
      </c>
      <c r="M95" t="str">
        <f>精英副本!Y153</f>
        <v>勇气试炼（80）</v>
      </c>
      <c r="N95">
        <f>VLOOKUP(H95,[3]monster.xml!$347:$835,5,0)</f>
        <v>3200</v>
      </c>
      <c r="O95">
        <f t="shared" si="24"/>
        <v>3200</v>
      </c>
      <c r="AA95">
        <f t="shared" si="26"/>
        <v>1</v>
      </c>
    </row>
    <row r="96" spans="1:27">
      <c r="A96">
        <f>A87+500</f>
        <v>108005</v>
      </c>
      <c r="B96">
        <f t="shared" si="27"/>
        <v>1</v>
      </c>
      <c r="C96">
        <f t="shared" si="33"/>
        <v>11</v>
      </c>
      <c r="D96">
        <f t="shared" si="28"/>
        <v>80</v>
      </c>
      <c r="E96">
        <f t="shared" si="25"/>
        <v>108006</v>
      </c>
      <c r="F96">
        <f t="shared" si="23"/>
        <v>108004</v>
      </c>
      <c r="G96" t="s">
        <v>925</v>
      </c>
      <c r="H96">
        <f t="shared" si="29"/>
        <v>1080051</v>
      </c>
      <c r="I96" t="str">
        <f>精英副本!B154</f>
        <v>炎之安苏</v>
      </c>
      <c r="J96">
        <f>VLOOKUP(H96,[3]monster.xml!$A$347:$C$835,3,0)</f>
        <v>81</v>
      </c>
      <c r="K96">
        <f t="shared" si="32"/>
        <v>0</v>
      </c>
      <c r="L96">
        <f t="shared" si="30"/>
        <v>1</v>
      </c>
      <c r="M96" t="str">
        <f>精英副本!Y154</f>
        <v>勇气试炼（80）</v>
      </c>
      <c r="N96">
        <f>VLOOKUP(H96,[3]monster.xml!$347:$835,5,0)</f>
        <v>3200</v>
      </c>
      <c r="O96">
        <f t="shared" si="24"/>
        <v>3200</v>
      </c>
      <c r="AA96">
        <f t="shared" si="26"/>
        <v>1</v>
      </c>
    </row>
    <row r="97" spans="1:27">
      <c r="A97">
        <f t="shared" ref="A97:A112" si="34">A88+500</f>
        <v>108006</v>
      </c>
      <c r="B97">
        <f t="shared" si="27"/>
        <v>1</v>
      </c>
      <c r="C97">
        <f t="shared" si="33"/>
        <v>11</v>
      </c>
      <c r="D97">
        <f t="shared" si="28"/>
        <v>80</v>
      </c>
      <c r="E97">
        <f t="shared" si="25"/>
        <v>108007</v>
      </c>
      <c r="F97">
        <f t="shared" si="23"/>
        <v>108005</v>
      </c>
      <c r="G97" t="s">
        <v>926</v>
      </c>
      <c r="H97">
        <f t="shared" si="29"/>
        <v>1080061</v>
      </c>
      <c r="I97" t="str">
        <f>精英副本!B155</f>
        <v>迅捷的维恩</v>
      </c>
      <c r="J97">
        <f>VLOOKUP(H97,[3]monster.xml!$A$347:$C$835,3,0)</f>
        <v>82</v>
      </c>
      <c r="K97">
        <f t="shared" si="32"/>
        <v>1</v>
      </c>
      <c r="L97">
        <f t="shared" si="30"/>
        <v>5</v>
      </c>
      <c r="M97" t="str">
        <f>精英副本!Y155</f>
        <v>勇气试炼（80）</v>
      </c>
      <c r="N97">
        <f>VLOOKUP(H97,[3]monster.xml!$347:$835,5,0)</f>
        <v>3400</v>
      </c>
      <c r="O97">
        <f t="shared" si="24"/>
        <v>3400</v>
      </c>
      <c r="AA97">
        <f t="shared" si="26"/>
        <v>1</v>
      </c>
    </row>
    <row r="98" spans="1:27">
      <c r="A98">
        <f t="shared" si="34"/>
        <v>108007</v>
      </c>
      <c r="B98">
        <f t="shared" si="27"/>
        <v>1</v>
      </c>
      <c r="C98">
        <f t="shared" si="33"/>
        <v>11</v>
      </c>
      <c r="D98">
        <f t="shared" si="28"/>
        <v>80</v>
      </c>
      <c r="E98">
        <f t="shared" si="25"/>
        <v>108008</v>
      </c>
      <c r="F98">
        <f t="shared" si="23"/>
        <v>108006</v>
      </c>
      <c r="G98" t="s">
        <v>927</v>
      </c>
      <c r="H98">
        <f t="shared" si="29"/>
        <v>1080071</v>
      </c>
      <c r="I98" t="str">
        <f>精英副本!B156</f>
        <v>暮光预言者</v>
      </c>
      <c r="J98">
        <f>VLOOKUP(H98,[3]monster.xml!$A$347:$C$835,3,0)</f>
        <v>82</v>
      </c>
      <c r="K98">
        <f t="shared" si="32"/>
        <v>0</v>
      </c>
      <c r="L98">
        <f t="shared" si="30"/>
        <v>1</v>
      </c>
      <c r="M98" t="str">
        <f>精英副本!Y156</f>
        <v>勇气试炼（80）</v>
      </c>
      <c r="N98">
        <f>VLOOKUP(H98,[3]monster.xml!$347:$835,5,0)</f>
        <v>3400</v>
      </c>
      <c r="O98">
        <f t="shared" si="24"/>
        <v>3400</v>
      </c>
      <c r="AA98">
        <f t="shared" si="26"/>
        <v>1</v>
      </c>
    </row>
    <row r="99" spans="1:27">
      <c r="A99">
        <f t="shared" si="34"/>
        <v>108008</v>
      </c>
      <c r="B99">
        <f t="shared" si="27"/>
        <v>1</v>
      </c>
      <c r="C99">
        <f t="shared" si="33"/>
        <v>11</v>
      </c>
      <c r="D99">
        <f t="shared" si="28"/>
        <v>80</v>
      </c>
      <c r="E99">
        <f t="shared" si="25"/>
        <v>108009</v>
      </c>
      <c r="F99">
        <f t="shared" ref="F99:F130" si="35">IF(AA98&gt;0,A98,0)</f>
        <v>108007</v>
      </c>
      <c r="G99" t="s">
        <v>928</v>
      </c>
      <c r="H99">
        <f t="shared" si="29"/>
        <v>1080081</v>
      </c>
      <c r="I99" t="str">
        <f>精英副本!B157</f>
        <v>卡雷</v>
      </c>
      <c r="J99">
        <f>VLOOKUP(H99,[3]monster.xml!$A$347:$C$835,3,0)</f>
        <v>83</v>
      </c>
      <c r="K99">
        <f t="shared" si="32"/>
        <v>0</v>
      </c>
      <c r="L99">
        <f t="shared" si="30"/>
        <v>1</v>
      </c>
      <c r="M99" t="str">
        <f>精英副本!Y157</f>
        <v>勇气试炼（80）</v>
      </c>
      <c r="N99">
        <f>VLOOKUP(H99,[3]monster.xml!$347:$835,5,0)</f>
        <v>3600</v>
      </c>
      <c r="O99">
        <f t="shared" si="24"/>
        <v>3600</v>
      </c>
      <c r="AA99">
        <f t="shared" si="26"/>
        <v>1</v>
      </c>
    </row>
    <row r="100" spans="1:27">
      <c r="A100">
        <f t="shared" si="34"/>
        <v>108009</v>
      </c>
      <c r="B100">
        <f t="shared" si="27"/>
        <v>1</v>
      </c>
      <c r="C100">
        <f t="shared" si="33"/>
        <v>11</v>
      </c>
      <c r="D100">
        <f t="shared" si="28"/>
        <v>80</v>
      </c>
      <c r="E100">
        <f t="shared" si="25"/>
        <v>0</v>
      </c>
      <c r="F100">
        <f t="shared" si="35"/>
        <v>108008</v>
      </c>
      <c r="G100" t="s">
        <v>929</v>
      </c>
      <c r="H100">
        <f t="shared" si="29"/>
        <v>1080091</v>
      </c>
      <c r="I100" t="str">
        <f>精英副本!B158</f>
        <v>日光费雷尔</v>
      </c>
      <c r="J100">
        <f>VLOOKUP(H100,[3]monster.xml!$A$347:$C$835,3,0)</f>
        <v>84</v>
      </c>
      <c r="K100">
        <f t="shared" si="32"/>
        <v>1</v>
      </c>
      <c r="L100">
        <f t="shared" si="30"/>
        <v>5</v>
      </c>
      <c r="M100" t="str">
        <f>精英副本!Y158</f>
        <v>勇气试炼（80）</v>
      </c>
      <c r="N100">
        <f>VLOOKUP(H100,[3]monster.xml!$347:$835,5,0)</f>
        <v>3800</v>
      </c>
      <c r="O100">
        <f t="shared" si="24"/>
        <v>3800</v>
      </c>
      <c r="AA100">
        <f t="shared" si="26"/>
        <v>0</v>
      </c>
    </row>
    <row r="101" spans="1:27">
      <c r="A101">
        <f t="shared" si="34"/>
        <v>108501</v>
      </c>
      <c r="B101">
        <f t="shared" si="27"/>
        <v>1</v>
      </c>
      <c r="C101">
        <f t="shared" si="33"/>
        <v>12</v>
      </c>
      <c r="D101">
        <f t="shared" si="28"/>
        <v>85</v>
      </c>
      <c r="E101">
        <f t="shared" si="25"/>
        <v>108502</v>
      </c>
      <c r="F101">
        <f t="shared" si="35"/>
        <v>0</v>
      </c>
      <c r="G101" t="s">
        <v>930</v>
      </c>
      <c r="H101">
        <f t="shared" si="29"/>
        <v>1085011</v>
      </c>
      <c r="I101" t="str">
        <f>精英副本!B159</f>
        <v>疾风克鲁</v>
      </c>
      <c r="J101">
        <f>VLOOKUP(H101,[3]monster.xml!$A$347:$C$835,3,0)</f>
        <v>85</v>
      </c>
      <c r="K101">
        <f t="shared" si="32"/>
        <v>0</v>
      </c>
      <c r="L101">
        <f t="shared" si="30"/>
        <v>1</v>
      </c>
      <c r="M101" t="str">
        <f>精英副本!Y159</f>
        <v>无畏试炼（85）</v>
      </c>
      <c r="N101">
        <f>VLOOKUP(H101,[3]monster.xml!$347:$835,5,0)</f>
        <v>4000</v>
      </c>
      <c r="O101">
        <f t="shared" si="24"/>
        <v>4000</v>
      </c>
      <c r="AA101">
        <f t="shared" si="26"/>
        <v>1</v>
      </c>
    </row>
    <row r="102" spans="1:27">
      <c r="A102">
        <f t="shared" si="34"/>
        <v>108502</v>
      </c>
      <c r="B102">
        <f t="shared" si="27"/>
        <v>1</v>
      </c>
      <c r="C102">
        <f t="shared" si="33"/>
        <v>12</v>
      </c>
      <c r="D102">
        <f t="shared" si="28"/>
        <v>85</v>
      </c>
      <c r="E102">
        <f t="shared" si="25"/>
        <v>108503</v>
      </c>
      <c r="F102">
        <f t="shared" si="35"/>
        <v>108501</v>
      </c>
      <c r="G102" t="s">
        <v>931</v>
      </c>
      <c r="H102">
        <f t="shared" si="29"/>
        <v>1085021</v>
      </c>
      <c r="I102" t="str">
        <f>精英副本!B160</f>
        <v>拨弄的赛亚</v>
      </c>
      <c r="J102">
        <f>VLOOKUP(H102,[3]monster.xml!$A$347:$C$835,3,0)</f>
        <v>85</v>
      </c>
      <c r="K102">
        <f t="shared" si="32"/>
        <v>0</v>
      </c>
      <c r="L102">
        <f t="shared" si="30"/>
        <v>1</v>
      </c>
      <c r="M102" t="str">
        <f>精英副本!Y160</f>
        <v>无畏试炼（85）</v>
      </c>
      <c r="N102">
        <f>VLOOKUP(H102,[3]monster.xml!$347:$835,5,0)</f>
        <v>4000</v>
      </c>
      <c r="O102">
        <f t="shared" si="24"/>
        <v>4000</v>
      </c>
      <c r="AA102">
        <f t="shared" si="26"/>
        <v>1</v>
      </c>
    </row>
    <row r="103" spans="1:27">
      <c r="A103">
        <f t="shared" si="34"/>
        <v>108503</v>
      </c>
      <c r="B103">
        <f t="shared" si="27"/>
        <v>1</v>
      </c>
      <c r="C103">
        <f t="shared" si="33"/>
        <v>12</v>
      </c>
      <c r="D103">
        <f t="shared" si="28"/>
        <v>85</v>
      </c>
      <c r="E103">
        <f t="shared" si="25"/>
        <v>108504</v>
      </c>
      <c r="F103">
        <f t="shared" si="35"/>
        <v>108502</v>
      </c>
      <c r="G103" t="s">
        <v>932</v>
      </c>
      <c r="H103">
        <f t="shared" si="29"/>
        <v>1085031</v>
      </c>
      <c r="I103" t="str">
        <f>精英副本!B161</f>
        <v>法力风暴</v>
      </c>
      <c r="J103">
        <f>VLOOKUP(H103,[3]monster.xml!$A$347:$C$835,3,0)</f>
        <v>86</v>
      </c>
      <c r="K103">
        <f t="shared" si="32"/>
        <v>1</v>
      </c>
      <c r="L103">
        <f t="shared" si="30"/>
        <v>5</v>
      </c>
      <c r="M103" t="str">
        <f>精英副本!Y161</f>
        <v>无畏试炼（85）</v>
      </c>
      <c r="N103">
        <f>VLOOKUP(H103,[3]monster.xml!$347:$835,5,0)</f>
        <v>4200</v>
      </c>
      <c r="O103">
        <f t="shared" si="24"/>
        <v>4200</v>
      </c>
      <c r="AA103">
        <f t="shared" si="26"/>
        <v>1</v>
      </c>
    </row>
    <row r="104" spans="1:27">
      <c r="A104">
        <f t="shared" si="34"/>
        <v>108504</v>
      </c>
      <c r="B104">
        <f t="shared" si="27"/>
        <v>1</v>
      </c>
      <c r="C104">
        <f t="shared" si="33"/>
        <v>12</v>
      </c>
      <c r="D104">
        <f t="shared" si="28"/>
        <v>85</v>
      </c>
      <c r="E104">
        <f t="shared" si="25"/>
        <v>108505</v>
      </c>
      <c r="F104">
        <f t="shared" si="35"/>
        <v>108503</v>
      </c>
      <c r="G104" t="s">
        <v>933</v>
      </c>
      <c r="H104">
        <f t="shared" si="29"/>
        <v>1085041</v>
      </c>
      <c r="I104" t="str">
        <f>精英副本!B162</f>
        <v>火舞者</v>
      </c>
      <c r="J104">
        <f>VLOOKUP(H104,[3]monster.xml!$A$347:$C$835,3,0)</f>
        <v>86</v>
      </c>
      <c r="K104">
        <f t="shared" si="32"/>
        <v>0</v>
      </c>
      <c r="L104">
        <f t="shared" si="30"/>
        <v>1</v>
      </c>
      <c r="M104" t="str">
        <f>精英副本!Y162</f>
        <v>无畏试炼（85）</v>
      </c>
      <c r="N104">
        <f>VLOOKUP(H104,[3]monster.xml!$347:$835,5,0)</f>
        <v>4200</v>
      </c>
      <c r="O104">
        <f t="shared" si="24"/>
        <v>4200</v>
      </c>
      <c r="AA104">
        <f t="shared" si="26"/>
        <v>1</v>
      </c>
    </row>
    <row r="105" spans="1:27">
      <c r="A105">
        <f t="shared" si="34"/>
        <v>108505</v>
      </c>
      <c r="B105">
        <f t="shared" si="27"/>
        <v>1</v>
      </c>
      <c r="C105">
        <f t="shared" si="33"/>
        <v>12</v>
      </c>
      <c r="D105">
        <f t="shared" si="28"/>
        <v>85</v>
      </c>
      <c r="E105">
        <f t="shared" si="25"/>
        <v>108506</v>
      </c>
      <c r="F105">
        <f t="shared" si="35"/>
        <v>108504</v>
      </c>
      <c r="G105" t="s">
        <v>934</v>
      </c>
      <c r="H105">
        <f t="shared" si="29"/>
        <v>1085051</v>
      </c>
      <c r="I105" t="str">
        <f>精英副本!B163</f>
        <v>血誓议会</v>
      </c>
      <c r="J105">
        <f>VLOOKUP(H105,[3]monster.xml!$A$347:$C$835,3,0)</f>
        <v>86</v>
      </c>
      <c r="K105">
        <f t="shared" si="32"/>
        <v>0</v>
      </c>
      <c r="L105">
        <f t="shared" si="30"/>
        <v>1</v>
      </c>
      <c r="M105" t="str">
        <f>精英副本!Y163</f>
        <v>无畏试炼（85）</v>
      </c>
      <c r="N105">
        <f>VLOOKUP(H105,[3]monster.xml!$347:$835,5,0)</f>
        <v>4200</v>
      </c>
      <c r="O105">
        <f t="shared" si="24"/>
        <v>4200</v>
      </c>
      <c r="AA105">
        <f t="shared" si="26"/>
        <v>1</v>
      </c>
    </row>
    <row r="106" spans="1:27">
      <c r="A106">
        <f t="shared" si="34"/>
        <v>108506</v>
      </c>
      <c r="B106">
        <f t="shared" si="27"/>
        <v>1</v>
      </c>
      <c r="C106">
        <f t="shared" si="33"/>
        <v>12</v>
      </c>
      <c r="D106">
        <f t="shared" si="28"/>
        <v>85</v>
      </c>
      <c r="E106">
        <f t="shared" si="25"/>
        <v>108507</v>
      </c>
      <c r="F106">
        <f t="shared" si="35"/>
        <v>108505</v>
      </c>
      <c r="G106" t="s">
        <v>935</v>
      </c>
      <c r="H106">
        <f t="shared" si="29"/>
        <v>1085061</v>
      </c>
      <c r="I106" t="str">
        <f>精英副本!B164</f>
        <v>舞钢者拜伦</v>
      </c>
      <c r="J106">
        <f>VLOOKUP(H106,[3]monster.xml!$A$347:$C$835,3,0)</f>
        <v>87</v>
      </c>
      <c r="K106">
        <f t="shared" si="32"/>
        <v>1</v>
      </c>
      <c r="L106">
        <f t="shared" si="30"/>
        <v>5</v>
      </c>
      <c r="M106" t="str">
        <f>精英副本!Y164</f>
        <v>无畏试炼（85）</v>
      </c>
      <c r="N106">
        <f>VLOOKUP(H106,[3]monster.xml!$347:$835,5,0)</f>
        <v>4400</v>
      </c>
      <c r="O106">
        <f t="shared" si="24"/>
        <v>4400</v>
      </c>
      <c r="AA106">
        <f t="shared" si="26"/>
        <v>1</v>
      </c>
    </row>
    <row r="107" spans="1:27">
      <c r="A107">
        <f t="shared" si="34"/>
        <v>108507</v>
      </c>
      <c r="B107">
        <f t="shared" si="27"/>
        <v>1</v>
      </c>
      <c r="C107">
        <f t="shared" si="33"/>
        <v>12</v>
      </c>
      <c r="D107">
        <f t="shared" si="28"/>
        <v>85</v>
      </c>
      <c r="E107">
        <f t="shared" si="25"/>
        <v>108508</v>
      </c>
      <c r="F107">
        <f t="shared" si="35"/>
        <v>108506</v>
      </c>
      <c r="G107" t="s">
        <v>936</v>
      </c>
      <c r="H107">
        <f t="shared" si="29"/>
        <v>1085071</v>
      </c>
      <c r="I107" t="str">
        <f>精英副本!B165</f>
        <v>风暴之王</v>
      </c>
      <c r="J107">
        <f>VLOOKUP(H107,[3]monster.xml!$A$347:$C$835,3,0)</f>
        <v>87</v>
      </c>
      <c r="K107">
        <f t="shared" si="32"/>
        <v>0</v>
      </c>
      <c r="L107">
        <f t="shared" si="30"/>
        <v>1</v>
      </c>
      <c r="M107" t="str">
        <f>精英副本!Y165</f>
        <v>无畏试炼（85）</v>
      </c>
      <c r="N107">
        <f>VLOOKUP(H107,[3]monster.xml!$347:$835,5,0)</f>
        <v>4400</v>
      </c>
      <c r="O107">
        <f t="shared" si="24"/>
        <v>4400</v>
      </c>
      <c r="AA107">
        <f t="shared" si="26"/>
        <v>1</v>
      </c>
    </row>
    <row r="108" spans="1:27">
      <c r="A108">
        <f t="shared" si="34"/>
        <v>108508</v>
      </c>
      <c r="B108">
        <f t="shared" si="27"/>
        <v>1</v>
      </c>
      <c r="C108">
        <f t="shared" si="33"/>
        <v>12</v>
      </c>
      <c r="D108">
        <f t="shared" si="28"/>
        <v>85</v>
      </c>
      <c r="E108">
        <f t="shared" si="25"/>
        <v>108509</v>
      </c>
      <c r="F108">
        <f t="shared" si="35"/>
        <v>108507</v>
      </c>
      <c r="G108" t="s">
        <v>937</v>
      </c>
      <c r="H108">
        <f t="shared" si="29"/>
        <v>1085081</v>
      </c>
      <c r="I108" t="str">
        <f>精英副本!B166</f>
        <v>雷伊战争使者</v>
      </c>
      <c r="J108">
        <f>VLOOKUP(H108,[3]monster.xml!$A$347:$C$835,3,0)</f>
        <v>88</v>
      </c>
      <c r="K108">
        <f t="shared" si="32"/>
        <v>0</v>
      </c>
      <c r="L108">
        <f t="shared" si="30"/>
        <v>1</v>
      </c>
      <c r="M108" t="str">
        <f>精英副本!Y166</f>
        <v>无畏试炼（85）</v>
      </c>
      <c r="N108">
        <f>VLOOKUP(H108,[3]monster.xml!$347:$835,5,0)</f>
        <v>4600</v>
      </c>
      <c r="O108">
        <f t="shared" si="24"/>
        <v>4600</v>
      </c>
      <c r="AA108">
        <f t="shared" si="26"/>
        <v>1</v>
      </c>
    </row>
    <row r="109" spans="1:27">
      <c r="A109">
        <f t="shared" si="34"/>
        <v>108509</v>
      </c>
      <c r="B109">
        <f t="shared" si="27"/>
        <v>1</v>
      </c>
      <c r="C109">
        <f t="shared" si="33"/>
        <v>12</v>
      </c>
      <c r="D109">
        <f t="shared" si="28"/>
        <v>85</v>
      </c>
      <c r="E109">
        <f t="shared" si="25"/>
        <v>0</v>
      </c>
      <c r="F109">
        <f t="shared" si="35"/>
        <v>108508</v>
      </c>
      <c r="G109" t="s">
        <v>938</v>
      </c>
      <c r="H109">
        <f t="shared" si="29"/>
        <v>1085091</v>
      </c>
      <c r="I109" t="str">
        <f>精英副本!B167</f>
        <v>暴君泰伦</v>
      </c>
      <c r="J109">
        <f>VLOOKUP(H109,[3]monster.xml!$A$347:$C$835,3,0)</f>
        <v>89</v>
      </c>
      <c r="K109">
        <f t="shared" si="32"/>
        <v>1</v>
      </c>
      <c r="L109">
        <f t="shared" si="30"/>
        <v>5</v>
      </c>
      <c r="M109" t="str">
        <f>精英副本!Y167</f>
        <v>无畏试炼（85）</v>
      </c>
      <c r="N109">
        <f>VLOOKUP(H109,[3]monster.xml!$347:$835,5,0)</f>
        <v>4800</v>
      </c>
      <c r="O109">
        <f t="shared" si="24"/>
        <v>4800</v>
      </c>
      <c r="AA109">
        <f t="shared" si="26"/>
        <v>0</v>
      </c>
    </row>
    <row r="110" spans="1:27">
      <c r="A110">
        <f t="shared" si="34"/>
        <v>109001</v>
      </c>
      <c r="B110">
        <f t="shared" si="27"/>
        <v>1</v>
      </c>
      <c r="C110">
        <f t="shared" si="33"/>
        <v>13</v>
      </c>
      <c r="D110">
        <f t="shared" si="28"/>
        <v>90</v>
      </c>
      <c r="E110">
        <f t="shared" si="25"/>
        <v>109002</v>
      </c>
      <c r="F110">
        <f t="shared" si="35"/>
        <v>0</v>
      </c>
      <c r="G110" t="s">
        <v>939</v>
      </c>
      <c r="H110">
        <f t="shared" si="29"/>
        <v>1090011</v>
      </c>
      <c r="I110" t="str">
        <f>精英副本!B168</f>
        <v>疾风克鲁</v>
      </c>
      <c r="J110">
        <f>VLOOKUP(H110,[3]monster.xml!$A$347:$C$835,3,0)</f>
        <v>90</v>
      </c>
      <c r="K110">
        <f t="shared" si="32"/>
        <v>0</v>
      </c>
      <c r="L110">
        <f t="shared" si="30"/>
        <v>1</v>
      </c>
      <c r="M110" t="str">
        <f>精英副本!Y168</f>
        <v>无畏试炼（90）</v>
      </c>
      <c r="N110">
        <f>VLOOKUP(H110,[3]monster.xml!$347:$835,5,0)</f>
        <v>5000</v>
      </c>
      <c r="O110">
        <f t="shared" si="24"/>
        <v>5000</v>
      </c>
      <c r="AA110">
        <f t="shared" si="26"/>
        <v>1</v>
      </c>
    </row>
    <row r="111" spans="1:27">
      <c r="A111">
        <f t="shared" si="34"/>
        <v>109002</v>
      </c>
      <c r="B111">
        <f t="shared" si="27"/>
        <v>1</v>
      </c>
      <c r="C111">
        <f t="shared" si="33"/>
        <v>13</v>
      </c>
      <c r="D111">
        <f t="shared" si="28"/>
        <v>90</v>
      </c>
      <c r="E111">
        <f t="shared" si="25"/>
        <v>109003</v>
      </c>
      <c r="F111">
        <f t="shared" si="35"/>
        <v>109001</v>
      </c>
      <c r="G111" t="s">
        <v>940</v>
      </c>
      <c r="H111">
        <f t="shared" si="29"/>
        <v>1090021</v>
      </c>
      <c r="I111" t="str">
        <f>精英副本!B169</f>
        <v>拨弄的赛亚</v>
      </c>
      <c r="J111">
        <f>VLOOKUP(H111,[3]monster.xml!$A$347:$C$835,3,0)</f>
        <v>90</v>
      </c>
      <c r="K111">
        <f t="shared" si="32"/>
        <v>0</v>
      </c>
      <c r="L111">
        <f t="shared" si="30"/>
        <v>1</v>
      </c>
      <c r="M111" t="str">
        <f>精英副本!Y169</f>
        <v>无畏试炼（90）</v>
      </c>
      <c r="N111">
        <f>VLOOKUP(H111,[3]monster.xml!$347:$835,5,0)</f>
        <v>5000</v>
      </c>
      <c r="O111">
        <f t="shared" si="24"/>
        <v>5000</v>
      </c>
      <c r="AA111">
        <f t="shared" si="26"/>
        <v>1</v>
      </c>
    </row>
    <row r="112" spans="1:27">
      <c r="A112">
        <f t="shared" si="34"/>
        <v>109003</v>
      </c>
      <c r="B112">
        <f t="shared" si="27"/>
        <v>1</v>
      </c>
      <c r="C112">
        <f t="shared" si="33"/>
        <v>13</v>
      </c>
      <c r="D112">
        <f t="shared" si="28"/>
        <v>90</v>
      </c>
      <c r="E112">
        <f t="shared" si="25"/>
        <v>109004</v>
      </c>
      <c r="F112">
        <f t="shared" si="35"/>
        <v>109002</v>
      </c>
      <c r="G112" t="s">
        <v>941</v>
      </c>
      <c r="H112">
        <f t="shared" si="29"/>
        <v>1090031</v>
      </c>
      <c r="I112" t="str">
        <f>精英副本!B170</f>
        <v>法力风暴</v>
      </c>
      <c r="J112">
        <f>VLOOKUP(H112,[3]monster.xml!$A$347:$C$835,3,0)</f>
        <v>91</v>
      </c>
      <c r="K112">
        <f t="shared" si="32"/>
        <v>1</v>
      </c>
      <c r="L112">
        <f t="shared" si="30"/>
        <v>5</v>
      </c>
      <c r="M112" t="str">
        <f>精英副本!Y170</f>
        <v>无畏试炼（90）</v>
      </c>
      <c r="N112">
        <f>VLOOKUP(H112,[3]monster.xml!$347:$835,5,0)</f>
        <v>5200</v>
      </c>
      <c r="O112">
        <f t="shared" si="24"/>
        <v>5200</v>
      </c>
      <c r="AA112">
        <f t="shared" si="26"/>
        <v>1</v>
      </c>
    </row>
    <row r="113" spans="1:27">
      <c r="A113">
        <f>A104+500</f>
        <v>109004</v>
      </c>
      <c r="B113">
        <f t="shared" si="27"/>
        <v>1</v>
      </c>
      <c r="C113">
        <f t="shared" si="33"/>
        <v>13</v>
      </c>
      <c r="D113">
        <f t="shared" si="28"/>
        <v>90</v>
      </c>
      <c r="E113">
        <f t="shared" si="25"/>
        <v>109005</v>
      </c>
      <c r="F113">
        <f t="shared" si="35"/>
        <v>109003</v>
      </c>
      <c r="G113" t="s">
        <v>942</v>
      </c>
      <c r="H113">
        <f t="shared" si="29"/>
        <v>1090041</v>
      </c>
      <c r="I113" t="str">
        <f>精英副本!B171</f>
        <v>火舞者</v>
      </c>
      <c r="J113">
        <f>VLOOKUP(H113,[3]monster.xml!$A$347:$C$835,3,0)</f>
        <v>91</v>
      </c>
      <c r="K113">
        <f t="shared" si="32"/>
        <v>0</v>
      </c>
      <c r="L113">
        <f t="shared" si="30"/>
        <v>1</v>
      </c>
      <c r="M113" t="str">
        <f>精英副本!Y171</f>
        <v>无畏试炼（90）</v>
      </c>
      <c r="N113">
        <f>VLOOKUP(H113,[3]monster.xml!$347:$835,5,0)</f>
        <v>5200</v>
      </c>
      <c r="O113">
        <f t="shared" si="24"/>
        <v>5200</v>
      </c>
      <c r="AA113">
        <f t="shared" si="26"/>
        <v>1</v>
      </c>
    </row>
    <row r="114" spans="1:27">
      <c r="A114">
        <f t="shared" ref="A114:A136" si="36">A105+500</f>
        <v>109005</v>
      </c>
      <c r="B114">
        <f t="shared" si="27"/>
        <v>1</v>
      </c>
      <c r="C114">
        <f t="shared" si="33"/>
        <v>13</v>
      </c>
      <c r="D114">
        <f t="shared" si="28"/>
        <v>90</v>
      </c>
      <c r="E114">
        <f t="shared" si="25"/>
        <v>109006</v>
      </c>
      <c r="F114">
        <f t="shared" si="35"/>
        <v>109004</v>
      </c>
      <c r="G114" t="s">
        <v>943</v>
      </c>
      <c r="H114">
        <f t="shared" si="29"/>
        <v>1090051</v>
      </c>
      <c r="I114" t="str">
        <f>精英副本!B172</f>
        <v>血誓议会</v>
      </c>
      <c r="J114">
        <f>VLOOKUP(H114,[3]monster.xml!$A$347:$C$835,3,0)</f>
        <v>91</v>
      </c>
      <c r="K114">
        <f t="shared" si="32"/>
        <v>0</v>
      </c>
      <c r="L114">
        <f t="shared" si="30"/>
        <v>1</v>
      </c>
      <c r="M114" t="str">
        <f>精英副本!Y172</f>
        <v>无畏试炼（90）</v>
      </c>
      <c r="N114">
        <f>VLOOKUP(H114,[3]monster.xml!$347:$835,5,0)</f>
        <v>5200</v>
      </c>
      <c r="O114">
        <f t="shared" si="24"/>
        <v>5200</v>
      </c>
      <c r="AA114">
        <f t="shared" si="26"/>
        <v>1</v>
      </c>
    </row>
    <row r="115" spans="1:27">
      <c r="A115">
        <f t="shared" si="36"/>
        <v>109006</v>
      </c>
      <c r="B115">
        <f t="shared" si="27"/>
        <v>1</v>
      </c>
      <c r="C115">
        <f t="shared" si="33"/>
        <v>13</v>
      </c>
      <c r="D115">
        <f t="shared" si="28"/>
        <v>90</v>
      </c>
      <c r="E115">
        <f t="shared" si="25"/>
        <v>109007</v>
      </c>
      <c r="F115">
        <f t="shared" si="35"/>
        <v>109005</v>
      </c>
      <c r="G115" t="s">
        <v>944</v>
      </c>
      <c r="H115">
        <f t="shared" si="29"/>
        <v>1090061</v>
      </c>
      <c r="I115" t="str">
        <f>精英副本!B173</f>
        <v>舞钢者拜伦</v>
      </c>
      <c r="J115">
        <f>VLOOKUP(H115,[3]monster.xml!$A$347:$C$835,3,0)</f>
        <v>92</v>
      </c>
      <c r="K115">
        <f t="shared" si="32"/>
        <v>1</v>
      </c>
      <c r="L115">
        <f t="shared" si="30"/>
        <v>5</v>
      </c>
      <c r="M115" t="str">
        <f>精英副本!Y173</f>
        <v>无畏试炼（90）</v>
      </c>
      <c r="N115">
        <f>VLOOKUP(H115,[3]monster.xml!$347:$835,5,0)</f>
        <v>5400</v>
      </c>
      <c r="O115">
        <f t="shared" si="24"/>
        <v>5400</v>
      </c>
      <c r="AA115">
        <f t="shared" si="26"/>
        <v>1</v>
      </c>
    </row>
    <row r="116" spans="1:27">
      <c r="A116">
        <f t="shared" si="36"/>
        <v>109007</v>
      </c>
      <c r="B116">
        <f t="shared" si="27"/>
        <v>1</v>
      </c>
      <c r="C116">
        <f t="shared" si="33"/>
        <v>13</v>
      </c>
      <c r="D116">
        <f t="shared" si="28"/>
        <v>90</v>
      </c>
      <c r="E116">
        <f t="shared" si="25"/>
        <v>109008</v>
      </c>
      <c r="F116">
        <f t="shared" si="35"/>
        <v>109006</v>
      </c>
      <c r="G116" t="s">
        <v>945</v>
      </c>
      <c r="H116">
        <f t="shared" si="29"/>
        <v>1090071</v>
      </c>
      <c r="I116" t="str">
        <f>精英副本!B174</f>
        <v>风暴之王</v>
      </c>
      <c r="J116">
        <f>VLOOKUP(H116,[3]monster.xml!$A$347:$C$835,3,0)</f>
        <v>92</v>
      </c>
      <c r="K116">
        <f t="shared" si="32"/>
        <v>0</v>
      </c>
      <c r="L116">
        <f t="shared" si="30"/>
        <v>1</v>
      </c>
      <c r="M116" t="str">
        <f>精英副本!Y174</f>
        <v>无畏试炼（90）</v>
      </c>
      <c r="N116">
        <f>VLOOKUP(H116,[3]monster.xml!$347:$835,5,0)</f>
        <v>5400</v>
      </c>
      <c r="O116">
        <f t="shared" si="24"/>
        <v>5400</v>
      </c>
      <c r="AA116">
        <f t="shared" si="26"/>
        <v>1</v>
      </c>
    </row>
    <row r="117" spans="1:27">
      <c r="A117">
        <f t="shared" si="36"/>
        <v>109008</v>
      </c>
      <c r="B117">
        <f t="shared" si="27"/>
        <v>1</v>
      </c>
      <c r="C117">
        <f t="shared" si="33"/>
        <v>13</v>
      </c>
      <c r="D117">
        <f t="shared" si="28"/>
        <v>90</v>
      </c>
      <c r="E117">
        <f t="shared" si="25"/>
        <v>109009</v>
      </c>
      <c r="F117">
        <f t="shared" si="35"/>
        <v>109007</v>
      </c>
      <c r="G117" t="s">
        <v>946</v>
      </c>
      <c r="H117">
        <f t="shared" si="29"/>
        <v>1090081</v>
      </c>
      <c r="I117" t="str">
        <f>精英副本!B175</f>
        <v>雷伊战争使者</v>
      </c>
      <c r="J117">
        <f>VLOOKUP(H117,[3]monster.xml!$A$347:$C$835,3,0)</f>
        <v>93</v>
      </c>
      <c r="K117">
        <f t="shared" si="32"/>
        <v>0</v>
      </c>
      <c r="L117">
        <f t="shared" si="30"/>
        <v>1</v>
      </c>
      <c r="M117" t="str">
        <f>精英副本!Y175</f>
        <v>无畏试炼（90）</v>
      </c>
      <c r="N117">
        <f>VLOOKUP(H117,[3]monster.xml!$347:$835,5,0)</f>
        <v>5600</v>
      </c>
      <c r="O117">
        <f t="shared" si="24"/>
        <v>5600</v>
      </c>
      <c r="AA117">
        <f t="shared" si="26"/>
        <v>1</v>
      </c>
    </row>
    <row r="118" spans="1:27">
      <c r="A118">
        <f t="shared" si="36"/>
        <v>109009</v>
      </c>
      <c r="B118">
        <f t="shared" si="27"/>
        <v>1</v>
      </c>
      <c r="C118">
        <f t="shared" si="33"/>
        <v>13</v>
      </c>
      <c r="D118">
        <f t="shared" si="28"/>
        <v>90</v>
      </c>
      <c r="E118">
        <f t="shared" si="25"/>
        <v>0</v>
      </c>
      <c r="F118">
        <f t="shared" si="35"/>
        <v>109008</v>
      </c>
      <c r="G118" t="s">
        <v>947</v>
      </c>
      <c r="H118">
        <f t="shared" si="29"/>
        <v>1090091</v>
      </c>
      <c r="I118" t="str">
        <f>精英副本!B176</f>
        <v>暴君泰伦</v>
      </c>
      <c r="J118">
        <f>VLOOKUP(H118,[3]monster.xml!$A$347:$C$835,3,0)</f>
        <v>94</v>
      </c>
      <c r="K118">
        <f t="shared" si="32"/>
        <v>1</v>
      </c>
      <c r="L118">
        <f t="shared" si="30"/>
        <v>5</v>
      </c>
      <c r="M118" t="str">
        <f>精英副本!Y176</f>
        <v>无畏试炼（90）</v>
      </c>
      <c r="N118">
        <f>VLOOKUP(H118,[3]monster.xml!$347:$835,5,0)</f>
        <v>5800</v>
      </c>
      <c r="O118">
        <f t="shared" si="24"/>
        <v>5800</v>
      </c>
      <c r="AA118">
        <f t="shared" si="26"/>
        <v>0</v>
      </c>
    </row>
    <row r="119" spans="1:27">
      <c r="A119">
        <f t="shared" si="36"/>
        <v>109501</v>
      </c>
      <c r="B119">
        <f t="shared" si="27"/>
        <v>1</v>
      </c>
      <c r="C119">
        <f t="shared" si="33"/>
        <v>14</v>
      </c>
      <c r="D119">
        <f t="shared" si="28"/>
        <v>95</v>
      </c>
      <c r="E119">
        <f t="shared" si="25"/>
        <v>109502</v>
      </c>
      <c r="F119">
        <f t="shared" si="35"/>
        <v>0</v>
      </c>
      <c r="G119" t="s">
        <v>948</v>
      </c>
      <c r="H119">
        <f t="shared" si="29"/>
        <v>1095011</v>
      </c>
      <c r="I119" t="str">
        <f>精英副本!B177</f>
        <v>疾风克鲁</v>
      </c>
      <c r="J119">
        <f>VLOOKUP(H119,[3]monster.xml!$A$347:$C$835,3,0)</f>
        <v>95</v>
      </c>
      <c r="K119">
        <f t="shared" si="32"/>
        <v>0</v>
      </c>
      <c r="L119">
        <f t="shared" si="30"/>
        <v>1</v>
      </c>
      <c r="M119" t="str">
        <f>精英副本!Y177</f>
        <v>无畏试炼（95）</v>
      </c>
      <c r="N119">
        <f>VLOOKUP(H119,[3]monster.xml!$347:$835,5,0)</f>
        <v>6000</v>
      </c>
      <c r="O119">
        <f t="shared" si="24"/>
        <v>6000</v>
      </c>
      <c r="AA119">
        <f t="shared" si="26"/>
        <v>1</v>
      </c>
    </row>
    <row r="120" spans="1:27">
      <c r="A120">
        <f t="shared" si="36"/>
        <v>109502</v>
      </c>
      <c r="B120">
        <f t="shared" si="27"/>
        <v>1</v>
      </c>
      <c r="C120">
        <f t="shared" si="33"/>
        <v>14</v>
      </c>
      <c r="D120">
        <f t="shared" si="28"/>
        <v>95</v>
      </c>
      <c r="E120">
        <f t="shared" si="25"/>
        <v>109503</v>
      </c>
      <c r="F120">
        <f t="shared" si="35"/>
        <v>109501</v>
      </c>
      <c r="G120" t="s">
        <v>949</v>
      </c>
      <c r="H120">
        <f t="shared" si="29"/>
        <v>1095021</v>
      </c>
      <c r="I120" t="str">
        <f>精英副本!B178</f>
        <v>拨弄的赛亚</v>
      </c>
      <c r="J120">
        <f>VLOOKUP(H120,[3]monster.xml!$A$347:$C$835,3,0)</f>
        <v>95</v>
      </c>
      <c r="K120">
        <f t="shared" si="32"/>
        <v>0</v>
      </c>
      <c r="L120">
        <f t="shared" si="30"/>
        <v>1</v>
      </c>
      <c r="M120" t="str">
        <f>精英副本!Y178</f>
        <v>无畏试炼（95）</v>
      </c>
      <c r="N120">
        <f>VLOOKUP(H120,[3]monster.xml!$347:$835,5,0)</f>
        <v>6000</v>
      </c>
      <c r="O120">
        <f t="shared" si="24"/>
        <v>6000</v>
      </c>
      <c r="AA120">
        <f t="shared" si="26"/>
        <v>1</v>
      </c>
    </row>
    <row r="121" spans="1:27">
      <c r="A121">
        <f t="shared" si="36"/>
        <v>109503</v>
      </c>
      <c r="B121">
        <f t="shared" si="27"/>
        <v>1</v>
      </c>
      <c r="C121">
        <f t="shared" si="33"/>
        <v>14</v>
      </c>
      <c r="D121">
        <f t="shared" si="28"/>
        <v>95</v>
      </c>
      <c r="E121">
        <f t="shared" si="25"/>
        <v>109504</v>
      </c>
      <c r="F121">
        <f t="shared" si="35"/>
        <v>109502</v>
      </c>
      <c r="G121" t="s">
        <v>950</v>
      </c>
      <c r="H121">
        <f t="shared" si="29"/>
        <v>1095031</v>
      </c>
      <c r="I121" t="str">
        <f>精英副本!B179</f>
        <v>法力风暴</v>
      </c>
      <c r="J121">
        <f>VLOOKUP(H121,[3]monster.xml!$A$347:$C$835,3,0)</f>
        <v>96</v>
      </c>
      <c r="K121">
        <f t="shared" si="32"/>
        <v>1</v>
      </c>
      <c r="L121">
        <f t="shared" si="30"/>
        <v>5</v>
      </c>
      <c r="M121" t="str">
        <f>精英副本!Y179</f>
        <v>无畏试炼（95）</v>
      </c>
      <c r="N121">
        <f>VLOOKUP(H121,[3]monster.xml!$347:$835,5,0)</f>
        <v>6200</v>
      </c>
      <c r="O121">
        <f t="shared" si="24"/>
        <v>6200</v>
      </c>
      <c r="AA121">
        <f t="shared" si="26"/>
        <v>1</v>
      </c>
    </row>
    <row r="122" spans="1:27">
      <c r="A122">
        <f t="shared" si="36"/>
        <v>109504</v>
      </c>
      <c r="B122">
        <f t="shared" si="27"/>
        <v>1</v>
      </c>
      <c r="C122">
        <f t="shared" si="33"/>
        <v>14</v>
      </c>
      <c r="D122">
        <f t="shared" si="28"/>
        <v>95</v>
      </c>
      <c r="E122">
        <f t="shared" si="25"/>
        <v>109505</v>
      </c>
      <c r="F122">
        <f t="shared" si="35"/>
        <v>109503</v>
      </c>
      <c r="G122" t="s">
        <v>951</v>
      </c>
      <c r="H122">
        <f t="shared" si="29"/>
        <v>1095041</v>
      </c>
      <c r="I122" t="str">
        <f>精英副本!B180</f>
        <v>火舞者</v>
      </c>
      <c r="J122">
        <f>VLOOKUP(H122,[3]monster.xml!$A$347:$C$835,3,0)</f>
        <v>96</v>
      </c>
      <c r="K122">
        <f t="shared" si="32"/>
        <v>0</v>
      </c>
      <c r="L122">
        <f t="shared" si="30"/>
        <v>1</v>
      </c>
      <c r="M122" t="str">
        <f>精英副本!Y180</f>
        <v>无畏试炼（95）</v>
      </c>
      <c r="N122">
        <f>VLOOKUP(H122,[3]monster.xml!$347:$835,5,0)</f>
        <v>6200</v>
      </c>
      <c r="O122">
        <f t="shared" si="24"/>
        <v>6200</v>
      </c>
      <c r="AA122">
        <f t="shared" si="26"/>
        <v>1</v>
      </c>
    </row>
    <row r="123" spans="1:27">
      <c r="A123">
        <f t="shared" si="36"/>
        <v>109505</v>
      </c>
      <c r="B123">
        <f t="shared" si="27"/>
        <v>1</v>
      </c>
      <c r="C123">
        <f t="shared" si="33"/>
        <v>14</v>
      </c>
      <c r="D123">
        <f t="shared" si="28"/>
        <v>95</v>
      </c>
      <c r="E123">
        <f t="shared" si="25"/>
        <v>109506</v>
      </c>
      <c r="F123">
        <f t="shared" si="35"/>
        <v>109504</v>
      </c>
      <c r="G123" t="s">
        <v>952</v>
      </c>
      <c r="H123">
        <f t="shared" si="29"/>
        <v>1095051</v>
      </c>
      <c r="I123" t="str">
        <f>精英副本!B181</f>
        <v>血誓议会</v>
      </c>
      <c r="J123">
        <f>VLOOKUP(H123,[3]monster.xml!$A$347:$C$835,3,0)</f>
        <v>96</v>
      </c>
      <c r="K123">
        <f t="shared" si="32"/>
        <v>0</v>
      </c>
      <c r="L123">
        <f t="shared" si="30"/>
        <v>1</v>
      </c>
      <c r="M123" t="str">
        <f>精英副本!Y181</f>
        <v>无畏试炼（95）</v>
      </c>
      <c r="N123">
        <f>VLOOKUP(H123,[3]monster.xml!$347:$835,5,0)</f>
        <v>6200</v>
      </c>
      <c r="O123">
        <f t="shared" si="24"/>
        <v>6200</v>
      </c>
      <c r="AA123">
        <f t="shared" si="26"/>
        <v>1</v>
      </c>
    </row>
    <row r="124" spans="1:27">
      <c r="A124">
        <f t="shared" si="36"/>
        <v>109506</v>
      </c>
      <c r="B124">
        <f t="shared" si="27"/>
        <v>1</v>
      </c>
      <c r="C124">
        <f t="shared" si="33"/>
        <v>14</v>
      </c>
      <c r="D124">
        <f t="shared" si="28"/>
        <v>95</v>
      </c>
      <c r="E124">
        <f t="shared" si="25"/>
        <v>109507</v>
      </c>
      <c r="F124">
        <f t="shared" si="35"/>
        <v>109505</v>
      </c>
      <c r="G124" t="s">
        <v>953</v>
      </c>
      <c r="H124">
        <f t="shared" si="29"/>
        <v>1095061</v>
      </c>
      <c r="I124" t="str">
        <f>精英副本!B182</f>
        <v>舞钢者拜伦</v>
      </c>
      <c r="J124">
        <f>VLOOKUP(H124,[3]monster.xml!$A$347:$C$835,3,0)</f>
        <v>97</v>
      </c>
      <c r="K124">
        <f t="shared" si="32"/>
        <v>1</v>
      </c>
      <c r="L124">
        <f t="shared" si="30"/>
        <v>5</v>
      </c>
      <c r="M124" t="str">
        <f>精英副本!Y182</f>
        <v>无畏试炼（95）</v>
      </c>
      <c r="N124">
        <f>VLOOKUP(H124,[3]monster.xml!$347:$835,5,0)</f>
        <v>6400</v>
      </c>
      <c r="O124">
        <f t="shared" si="24"/>
        <v>6400</v>
      </c>
      <c r="AA124">
        <f t="shared" si="26"/>
        <v>1</v>
      </c>
    </row>
    <row r="125" spans="1:27">
      <c r="A125">
        <f t="shared" si="36"/>
        <v>109507</v>
      </c>
      <c r="B125">
        <f t="shared" si="27"/>
        <v>1</v>
      </c>
      <c r="C125">
        <f t="shared" si="33"/>
        <v>14</v>
      </c>
      <c r="D125">
        <f t="shared" si="28"/>
        <v>95</v>
      </c>
      <c r="E125">
        <f t="shared" si="25"/>
        <v>109508</v>
      </c>
      <c r="F125">
        <f t="shared" si="35"/>
        <v>109506</v>
      </c>
      <c r="G125" t="s">
        <v>954</v>
      </c>
      <c r="H125">
        <f t="shared" si="29"/>
        <v>1095071</v>
      </c>
      <c r="I125" t="str">
        <f>精英副本!B183</f>
        <v>风暴之王</v>
      </c>
      <c r="J125">
        <f>VLOOKUP(H125,[3]monster.xml!$A$347:$C$835,3,0)</f>
        <v>97</v>
      </c>
      <c r="K125">
        <f t="shared" si="32"/>
        <v>0</v>
      </c>
      <c r="L125">
        <f t="shared" si="30"/>
        <v>1</v>
      </c>
      <c r="M125" t="str">
        <f>精英副本!Y183</f>
        <v>无畏试炼（95）</v>
      </c>
      <c r="N125">
        <f>VLOOKUP(H125,[3]monster.xml!$347:$835,5,0)</f>
        <v>6400</v>
      </c>
      <c r="O125">
        <f t="shared" si="24"/>
        <v>6400</v>
      </c>
      <c r="AA125">
        <f t="shared" si="26"/>
        <v>1</v>
      </c>
    </row>
    <row r="126" spans="1:27">
      <c r="A126">
        <f t="shared" si="36"/>
        <v>109508</v>
      </c>
      <c r="B126">
        <f t="shared" si="27"/>
        <v>1</v>
      </c>
      <c r="C126">
        <f t="shared" si="33"/>
        <v>14</v>
      </c>
      <c r="D126">
        <f t="shared" si="28"/>
        <v>95</v>
      </c>
      <c r="E126">
        <f t="shared" si="25"/>
        <v>109509</v>
      </c>
      <c r="F126">
        <f t="shared" si="35"/>
        <v>109507</v>
      </c>
      <c r="G126" t="s">
        <v>955</v>
      </c>
      <c r="H126">
        <f t="shared" si="29"/>
        <v>1095081</v>
      </c>
      <c r="I126" t="str">
        <f>精英副本!B184</f>
        <v>雷伊战争使者</v>
      </c>
      <c r="J126">
        <f>VLOOKUP(H126,[3]monster.xml!$A$347:$C$835,3,0)</f>
        <v>98</v>
      </c>
      <c r="K126">
        <f t="shared" si="32"/>
        <v>0</v>
      </c>
      <c r="L126">
        <f t="shared" si="30"/>
        <v>1</v>
      </c>
      <c r="M126" t="str">
        <f>精英副本!Y184</f>
        <v>无畏试炼（95）</v>
      </c>
      <c r="N126">
        <f>VLOOKUP(H126,[3]monster.xml!$347:$835,5,0)</f>
        <v>6600</v>
      </c>
      <c r="O126">
        <f t="shared" si="24"/>
        <v>6600</v>
      </c>
      <c r="AA126">
        <f t="shared" si="26"/>
        <v>1</v>
      </c>
    </row>
    <row r="127" spans="1:27">
      <c r="A127">
        <f t="shared" si="36"/>
        <v>109509</v>
      </c>
      <c r="B127">
        <f t="shared" si="27"/>
        <v>1</v>
      </c>
      <c r="C127">
        <f t="shared" si="33"/>
        <v>14</v>
      </c>
      <c r="D127">
        <f t="shared" si="28"/>
        <v>95</v>
      </c>
      <c r="E127">
        <f t="shared" si="25"/>
        <v>0</v>
      </c>
      <c r="F127">
        <f t="shared" si="35"/>
        <v>109508</v>
      </c>
      <c r="G127" t="s">
        <v>956</v>
      </c>
      <c r="H127">
        <f t="shared" si="29"/>
        <v>1095091</v>
      </c>
      <c r="I127" t="str">
        <f>精英副本!B185</f>
        <v>暴君泰伦</v>
      </c>
      <c r="J127">
        <f>VLOOKUP(H127,[3]monster.xml!$A$347:$C$835,3,0)</f>
        <v>99</v>
      </c>
      <c r="K127">
        <f t="shared" si="32"/>
        <v>1</v>
      </c>
      <c r="L127">
        <f t="shared" si="30"/>
        <v>5</v>
      </c>
      <c r="M127" t="str">
        <f>精英副本!Y185</f>
        <v>无畏试炼（95）</v>
      </c>
      <c r="N127">
        <f>VLOOKUP(H127,[3]monster.xml!$347:$835,5,0)</f>
        <v>6800</v>
      </c>
      <c r="O127">
        <f t="shared" si="24"/>
        <v>6800</v>
      </c>
      <c r="AA127">
        <f t="shared" si="26"/>
        <v>0</v>
      </c>
    </row>
    <row r="128" spans="1:27">
      <c r="A128">
        <f t="shared" si="36"/>
        <v>110001</v>
      </c>
      <c r="B128">
        <f t="shared" si="27"/>
        <v>1</v>
      </c>
      <c r="C128">
        <f t="shared" si="33"/>
        <v>15</v>
      </c>
      <c r="D128">
        <f t="shared" si="28"/>
        <v>100</v>
      </c>
      <c r="E128">
        <f t="shared" si="25"/>
        <v>110002</v>
      </c>
      <c r="F128">
        <f t="shared" si="35"/>
        <v>0</v>
      </c>
      <c r="G128" t="s">
        <v>957</v>
      </c>
      <c r="H128">
        <f t="shared" si="29"/>
        <v>1100011</v>
      </c>
      <c r="I128" t="str">
        <f>精英副本!B186</f>
        <v>疾风克鲁</v>
      </c>
      <c r="J128">
        <f>VLOOKUP(H128,[3]monster.xml!$A$347:$C$835,3,0)</f>
        <v>100</v>
      </c>
      <c r="K128">
        <f t="shared" si="32"/>
        <v>0</v>
      </c>
      <c r="L128">
        <f t="shared" si="30"/>
        <v>1</v>
      </c>
      <c r="M128" t="str">
        <f>精英副本!Y186</f>
        <v>无畏试炼（100）</v>
      </c>
      <c r="N128">
        <f>VLOOKUP(H128,[3]monster.xml!$347:$835,5,0)</f>
        <v>7000</v>
      </c>
      <c r="O128">
        <f t="shared" si="24"/>
        <v>7000</v>
      </c>
      <c r="AA128">
        <f t="shared" si="26"/>
        <v>1</v>
      </c>
    </row>
    <row r="129" spans="1:27">
      <c r="A129">
        <f t="shared" si="36"/>
        <v>110002</v>
      </c>
      <c r="B129">
        <f t="shared" si="27"/>
        <v>1</v>
      </c>
      <c r="C129">
        <f t="shared" si="33"/>
        <v>15</v>
      </c>
      <c r="D129">
        <f t="shared" si="28"/>
        <v>100</v>
      </c>
      <c r="E129">
        <f t="shared" si="25"/>
        <v>110003</v>
      </c>
      <c r="F129">
        <f t="shared" si="35"/>
        <v>110001</v>
      </c>
      <c r="G129" t="s">
        <v>958</v>
      </c>
      <c r="H129">
        <f t="shared" si="29"/>
        <v>1100021</v>
      </c>
      <c r="I129" t="str">
        <f>精英副本!B187</f>
        <v>拨弄的赛亚</v>
      </c>
      <c r="J129">
        <f>VLOOKUP(H129,[3]monster.xml!$A$347:$C$835,3,0)</f>
        <v>100</v>
      </c>
      <c r="K129">
        <f t="shared" si="32"/>
        <v>0</v>
      </c>
      <c r="L129">
        <f t="shared" si="30"/>
        <v>1</v>
      </c>
      <c r="M129" t="str">
        <f>精英副本!Y187</f>
        <v>无畏试炼（100）</v>
      </c>
      <c r="N129">
        <f>VLOOKUP(H129,[3]monster.xml!$347:$835,5,0)</f>
        <v>7000</v>
      </c>
      <c r="O129">
        <f t="shared" si="24"/>
        <v>7000</v>
      </c>
      <c r="AA129">
        <f t="shared" si="26"/>
        <v>1</v>
      </c>
    </row>
    <row r="130" spans="1:27">
      <c r="A130">
        <f t="shared" si="36"/>
        <v>110003</v>
      </c>
      <c r="B130">
        <f t="shared" si="27"/>
        <v>1</v>
      </c>
      <c r="C130">
        <f t="shared" si="33"/>
        <v>15</v>
      </c>
      <c r="D130">
        <f t="shared" si="28"/>
        <v>100</v>
      </c>
      <c r="E130">
        <f t="shared" si="25"/>
        <v>110004</v>
      </c>
      <c r="F130">
        <f t="shared" si="35"/>
        <v>110002</v>
      </c>
      <c r="G130" t="s">
        <v>959</v>
      </c>
      <c r="H130">
        <f t="shared" si="29"/>
        <v>1100031</v>
      </c>
      <c r="I130" t="str">
        <f>精英副本!B188</f>
        <v>法力风暴</v>
      </c>
      <c r="J130">
        <f>VLOOKUP(H130,[3]monster.xml!$A$347:$C$835,3,0)</f>
        <v>101</v>
      </c>
      <c r="K130">
        <f t="shared" si="32"/>
        <v>1</v>
      </c>
      <c r="L130">
        <f t="shared" si="30"/>
        <v>5</v>
      </c>
      <c r="M130" t="str">
        <f>精英副本!Y188</f>
        <v>无畏试炼（100）</v>
      </c>
      <c r="N130">
        <f>VLOOKUP(H130,[3]monster.xml!$347:$835,5,0)</f>
        <v>7200</v>
      </c>
      <c r="O130">
        <f t="shared" si="24"/>
        <v>7200</v>
      </c>
      <c r="AA130">
        <f t="shared" si="26"/>
        <v>1</v>
      </c>
    </row>
    <row r="131" spans="1:27">
      <c r="A131">
        <f t="shared" si="36"/>
        <v>110004</v>
      </c>
      <c r="B131">
        <f t="shared" si="27"/>
        <v>1</v>
      </c>
      <c r="C131">
        <f t="shared" si="33"/>
        <v>15</v>
      </c>
      <c r="D131">
        <f t="shared" si="28"/>
        <v>100</v>
      </c>
      <c r="E131">
        <f t="shared" si="25"/>
        <v>110005</v>
      </c>
      <c r="F131">
        <f t="shared" ref="F131:F136" si="37">IF(AA130&gt;0,A130,0)</f>
        <v>110003</v>
      </c>
      <c r="G131" t="s">
        <v>960</v>
      </c>
      <c r="H131">
        <f t="shared" si="29"/>
        <v>1100041</v>
      </c>
      <c r="I131" t="str">
        <f>精英副本!B189</f>
        <v>火舞者</v>
      </c>
      <c r="J131">
        <f>VLOOKUP(H131,[3]monster.xml!$A$347:$C$835,3,0)</f>
        <v>101</v>
      </c>
      <c r="K131">
        <f t="shared" si="32"/>
        <v>0</v>
      </c>
      <c r="L131">
        <f t="shared" si="30"/>
        <v>1</v>
      </c>
      <c r="M131" t="str">
        <f>精英副本!Y189</f>
        <v>无畏试炼（100）</v>
      </c>
      <c r="N131">
        <f>VLOOKUP(H131,[3]monster.xml!$347:$835,5,0)</f>
        <v>7200</v>
      </c>
      <c r="O131">
        <f t="shared" ref="O131:O194" si="38">N131</f>
        <v>7200</v>
      </c>
      <c r="AA131">
        <f t="shared" si="26"/>
        <v>1</v>
      </c>
    </row>
    <row r="132" spans="1:27">
      <c r="A132">
        <f t="shared" si="36"/>
        <v>110005</v>
      </c>
      <c r="B132">
        <f t="shared" si="27"/>
        <v>1</v>
      </c>
      <c r="C132">
        <f t="shared" si="33"/>
        <v>15</v>
      </c>
      <c r="D132">
        <f t="shared" si="28"/>
        <v>100</v>
      </c>
      <c r="E132">
        <f t="shared" si="25"/>
        <v>110006</v>
      </c>
      <c r="F132">
        <f t="shared" si="37"/>
        <v>110004</v>
      </c>
      <c r="G132" t="s">
        <v>961</v>
      </c>
      <c r="H132">
        <f t="shared" si="29"/>
        <v>1100051</v>
      </c>
      <c r="I132" t="str">
        <f>精英副本!B190</f>
        <v>血誓议会</v>
      </c>
      <c r="J132">
        <f>VLOOKUP(H132,[3]monster.xml!$A$347:$C$835,3,0)</f>
        <v>101</v>
      </c>
      <c r="K132">
        <f t="shared" si="32"/>
        <v>0</v>
      </c>
      <c r="L132">
        <f t="shared" si="30"/>
        <v>1</v>
      </c>
      <c r="M132" t="str">
        <f>精英副本!Y190</f>
        <v>无畏试炼（100）</v>
      </c>
      <c r="N132">
        <f>VLOOKUP(H132,[3]monster.xml!$347:$835,5,0)</f>
        <v>7200</v>
      </c>
      <c r="O132">
        <f t="shared" si="38"/>
        <v>7200</v>
      </c>
      <c r="AA132">
        <f t="shared" si="26"/>
        <v>1</v>
      </c>
    </row>
    <row r="133" spans="1:27">
      <c r="A133">
        <f t="shared" si="36"/>
        <v>110006</v>
      </c>
      <c r="B133">
        <f t="shared" si="27"/>
        <v>1</v>
      </c>
      <c r="C133">
        <f t="shared" si="33"/>
        <v>15</v>
      </c>
      <c r="D133">
        <f t="shared" si="28"/>
        <v>100</v>
      </c>
      <c r="E133">
        <f t="shared" si="25"/>
        <v>110007</v>
      </c>
      <c r="F133">
        <f t="shared" si="37"/>
        <v>110005</v>
      </c>
      <c r="G133" t="s">
        <v>962</v>
      </c>
      <c r="H133">
        <f t="shared" si="29"/>
        <v>1100061</v>
      </c>
      <c r="I133" t="str">
        <f>精英副本!B191</f>
        <v>舞钢者拜伦</v>
      </c>
      <c r="J133">
        <f>VLOOKUP(H133,[3]monster.xml!$A$347:$C$835,3,0)</f>
        <v>102</v>
      </c>
      <c r="K133">
        <f t="shared" si="32"/>
        <v>1</v>
      </c>
      <c r="L133">
        <f t="shared" si="30"/>
        <v>5</v>
      </c>
      <c r="M133" t="str">
        <f>精英副本!Y191</f>
        <v>无畏试炼（100）</v>
      </c>
      <c r="N133">
        <f>VLOOKUP(H133,[3]monster.xml!$347:$835,5,0)</f>
        <v>7500</v>
      </c>
      <c r="O133">
        <f t="shared" si="38"/>
        <v>7500</v>
      </c>
      <c r="AA133">
        <f t="shared" si="26"/>
        <v>1</v>
      </c>
    </row>
    <row r="134" spans="1:27">
      <c r="A134">
        <f t="shared" si="36"/>
        <v>110007</v>
      </c>
      <c r="B134">
        <f t="shared" si="27"/>
        <v>1</v>
      </c>
      <c r="C134">
        <f t="shared" si="33"/>
        <v>15</v>
      </c>
      <c r="D134">
        <f t="shared" si="28"/>
        <v>100</v>
      </c>
      <c r="E134">
        <f t="shared" si="25"/>
        <v>110008</v>
      </c>
      <c r="F134">
        <f t="shared" si="37"/>
        <v>110006</v>
      </c>
      <c r="G134" t="s">
        <v>963</v>
      </c>
      <c r="H134">
        <f t="shared" si="29"/>
        <v>1100071</v>
      </c>
      <c r="I134" t="str">
        <f>精英副本!B192</f>
        <v>风暴之王</v>
      </c>
      <c r="J134">
        <f>VLOOKUP(H134,[3]monster.xml!$A$347:$C$835,3,0)</f>
        <v>102</v>
      </c>
      <c r="K134">
        <f t="shared" si="32"/>
        <v>0</v>
      </c>
      <c r="L134">
        <f t="shared" si="30"/>
        <v>1</v>
      </c>
      <c r="M134" t="str">
        <f>精英副本!Y192</f>
        <v>无畏试炼（100）</v>
      </c>
      <c r="N134">
        <f>VLOOKUP(H134,[3]monster.xml!$347:$835,5,0)</f>
        <v>7500</v>
      </c>
      <c r="O134">
        <f t="shared" si="38"/>
        <v>7500</v>
      </c>
      <c r="AA134">
        <f t="shared" si="26"/>
        <v>1</v>
      </c>
    </row>
    <row r="135" spans="1:27">
      <c r="A135">
        <f t="shared" si="36"/>
        <v>110008</v>
      </c>
      <c r="B135">
        <f t="shared" si="27"/>
        <v>1</v>
      </c>
      <c r="C135">
        <f t="shared" si="33"/>
        <v>15</v>
      </c>
      <c r="D135">
        <f t="shared" si="28"/>
        <v>100</v>
      </c>
      <c r="E135">
        <f t="shared" si="25"/>
        <v>110009</v>
      </c>
      <c r="F135">
        <f t="shared" si="37"/>
        <v>110007</v>
      </c>
      <c r="G135" t="s">
        <v>964</v>
      </c>
      <c r="H135">
        <f t="shared" si="29"/>
        <v>1100081</v>
      </c>
      <c r="I135" t="str">
        <f>精英副本!B193</f>
        <v>雷伊战争使者</v>
      </c>
      <c r="J135">
        <f>VLOOKUP(H135,[3]monster.xml!$A$347:$C$835,3,0)</f>
        <v>102</v>
      </c>
      <c r="K135">
        <f t="shared" si="32"/>
        <v>0</v>
      </c>
      <c r="L135">
        <f t="shared" si="30"/>
        <v>1</v>
      </c>
      <c r="M135" t="str">
        <f>精英副本!Y193</f>
        <v>无畏试炼（100）</v>
      </c>
      <c r="N135">
        <f>VLOOKUP(H135,[3]monster.xml!$347:$835,5,0)</f>
        <v>7500</v>
      </c>
      <c r="O135">
        <f t="shared" si="38"/>
        <v>7500</v>
      </c>
      <c r="AA135">
        <f t="shared" si="26"/>
        <v>1</v>
      </c>
    </row>
    <row r="136" spans="1:27">
      <c r="A136">
        <f t="shared" si="36"/>
        <v>110009</v>
      </c>
      <c r="B136">
        <f t="shared" si="27"/>
        <v>1</v>
      </c>
      <c r="C136">
        <f t="shared" si="33"/>
        <v>15</v>
      </c>
      <c r="D136">
        <f t="shared" si="28"/>
        <v>100</v>
      </c>
      <c r="E136">
        <f t="shared" si="25"/>
        <v>0</v>
      </c>
      <c r="F136">
        <f t="shared" si="37"/>
        <v>110008</v>
      </c>
      <c r="G136" t="s">
        <v>965</v>
      </c>
      <c r="H136">
        <f t="shared" si="29"/>
        <v>1100091</v>
      </c>
      <c r="I136" t="str">
        <f>精英副本!B194</f>
        <v>暴君泰伦</v>
      </c>
      <c r="J136">
        <f>VLOOKUP(H136,[3]monster.xml!$A$347:$C$835,3,0)</f>
        <v>102</v>
      </c>
      <c r="K136">
        <f t="shared" si="32"/>
        <v>1</v>
      </c>
      <c r="L136">
        <f t="shared" si="30"/>
        <v>5</v>
      </c>
      <c r="M136" t="str">
        <f>精英副本!Y194</f>
        <v>无畏试炼（100）</v>
      </c>
      <c r="N136">
        <f>VLOOKUP(H136,[3]monster.xml!$347:$835,5,0)</f>
        <v>7500</v>
      </c>
      <c r="O136">
        <f t="shared" si="38"/>
        <v>7500</v>
      </c>
      <c r="AA136">
        <f t="shared" si="26"/>
        <v>0</v>
      </c>
    </row>
    <row r="137" spans="1:27">
      <c r="A137">
        <f t="shared" ref="A137:A145" si="39">A2+100000</f>
        <v>203001</v>
      </c>
      <c r="B137">
        <f t="shared" ref="B137:B150" si="40">ROUNDDOWN(A137/100000,0)</f>
        <v>2</v>
      </c>
      <c r="C137">
        <f t="shared" ref="C137:C145" si="41">C2</f>
        <v>1</v>
      </c>
      <c r="D137">
        <f t="shared" ref="D137:D150" si="42">MID(A137,2,3)*1</f>
        <v>30</v>
      </c>
      <c r="E137">
        <f t="shared" si="25"/>
        <v>203002</v>
      </c>
      <c r="F137">
        <v>0</v>
      </c>
      <c r="G137" t="s">
        <v>831</v>
      </c>
      <c r="H137">
        <f t="shared" ref="H137:H150" si="43">A137*10+1</f>
        <v>2030011</v>
      </c>
      <c r="I137" t="str">
        <f>精英副本!B249</f>
        <v>猎人幻象</v>
      </c>
      <c r="J137">
        <f>VLOOKUP(H137,[3]monster.xml!$A$347:$C$835,3,0)</f>
        <v>30</v>
      </c>
      <c r="K137">
        <f t="shared" si="32"/>
        <v>0</v>
      </c>
      <c r="L137">
        <f t="shared" ref="L137:L200" si="44">1+K137*4</f>
        <v>1</v>
      </c>
      <c r="M137" t="str">
        <f>精英副本!Y249</f>
        <v>敏捷试炼（30）</v>
      </c>
      <c r="N137">
        <f>VLOOKUP(H137,[3]monster.xml!$347:$835,5,0)</f>
        <v>660</v>
      </c>
      <c r="O137">
        <f t="shared" si="38"/>
        <v>660</v>
      </c>
      <c r="AA137">
        <f t="shared" si="26"/>
        <v>1</v>
      </c>
    </row>
    <row r="138" spans="1:27">
      <c r="A138">
        <f t="shared" si="39"/>
        <v>203002</v>
      </c>
      <c r="B138">
        <f t="shared" si="40"/>
        <v>2</v>
      </c>
      <c r="C138">
        <f t="shared" si="41"/>
        <v>1</v>
      </c>
      <c r="D138">
        <f t="shared" si="42"/>
        <v>30</v>
      </c>
      <c r="E138">
        <f t="shared" si="25"/>
        <v>203003</v>
      </c>
      <c r="F138">
        <f t="shared" ref="F138:F201" si="45">IF(AA137&gt;0,A137,0)</f>
        <v>203001</v>
      </c>
      <c r="G138" t="s">
        <v>832</v>
      </c>
      <c r="H138">
        <f t="shared" si="43"/>
        <v>2030021</v>
      </c>
      <c r="I138" t="str">
        <f>精英副本!B250</f>
        <v>法力风暴</v>
      </c>
      <c r="J138">
        <f>VLOOKUP(H138,[3]monster.xml!$A$347:$C$835,3,0)</f>
        <v>30</v>
      </c>
      <c r="K138">
        <f t="shared" si="32"/>
        <v>0</v>
      </c>
      <c r="L138">
        <f t="shared" si="44"/>
        <v>1</v>
      </c>
      <c r="M138" t="str">
        <f>精英副本!Y250</f>
        <v>敏捷试炼（30）</v>
      </c>
      <c r="N138">
        <f>VLOOKUP(H138,[3]monster.xml!$347:$835,5,0)</f>
        <v>660</v>
      </c>
      <c r="O138">
        <f t="shared" si="38"/>
        <v>660</v>
      </c>
      <c r="AA138">
        <f t="shared" si="26"/>
        <v>1</v>
      </c>
    </row>
    <row r="139" spans="1:27">
      <c r="A139">
        <f t="shared" si="39"/>
        <v>203003</v>
      </c>
      <c r="B139">
        <f t="shared" si="40"/>
        <v>2</v>
      </c>
      <c r="C139">
        <f t="shared" si="41"/>
        <v>1</v>
      </c>
      <c r="D139">
        <f t="shared" si="42"/>
        <v>30</v>
      </c>
      <c r="E139">
        <f t="shared" ref="E139:E202" si="46">IF(F140&gt;0,A140,0)</f>
        <v>203004</v>
      </c>
      <c r="F139">
        <f t="shared" si="45"/>
        <v>203002</v>
      </c>
      <c r="G139" t="s">
        <v>833</v>
      </c>
      <c r="H139">
        <f t="shared" si="43"/>
        <v>2030031</v>
      </c>
      <c r="I139" t="str">
        <f>精英副本!B251</f>
        <v>角斗士里奥</v>
      </c>
      <c r="J139">
        <f>VLOOKUP(H139,[3]monster.xml!$A$347:$C$835,3,0)</f>
        <v>31</v>
      </c>
      <c r="K139">
        <f t="shared" si="32"/>
        <v>1</v>
      </c>
      <c r="L139">
        <f t="shared" si="44"/>
        <v>5</v>
      </c>
      <c r="M139" t="str">
        <f>精英副本!Y251</f>
        <v>敏捷试炼（30）</v>
      </c>
      <c r="N139">
        <f>VLOOKUP(H139,[3]monster.xml!$347:$835,5,0)</f>
        <v>690</v>
      </c>
      <c r="O139">
        <f t="shared" si="38"/>
        <v>690</v>
      </c>
      <c r="AA139">
        <f t="shared" si="26"/>
        <v>1</v>
      </c>
    </row>
    <row r="140" spans="1:27">
      <c r="A140">
        <f t="shared" si="39"/>
        <v>203004</v>
      </c>
      <c r="B140">
        <f t="shared" si="40"/>
        <v>2</v>
      </c>
      <c r="C140">
        <f t="shared" si="41"/>
        <v>1</v>
      </c>
      <c r="D140">
        <f t="shared" si="42"/>
        <v>30</v>
      </c>
      <c r="E140">
        <f t="shared" si="46"/>
        <v>203005</v>
      </c>
      <c r="F140">
        <f t="shared" si="45"/>
        <v>203003</v>
      </c>
      <c r="G140" t="s">
        <v>834</v>
      </c>
      <c r="H140">
        <f t="shared" si="43"/>
        <v>2030041</v>
      </c>
      <c r="I140" t="str">
        <f>精英副本!B252</f>
        <v>荒野游侠</v>
      </c>
      <c r="J140">
        <f>VLOOKUP(H140,[3]monster.xml!$A$347:$C$835,3,0)</f>
        <v>31</v>
      </c>
      <c r="K140">
        <f t="shared" si="32"/>
        <v>0</v>
      </c>
      <c r="L140">
        <f t="shared" si="44"/>
        <v>1</v>
      </c>
      <c r="M140" t="str">
        <f>精英副本!Y252</f>
        <v>敏捷试炼（30）</v>
      </c>
      <c r="N140">
        <f>VLOOKUP(H140,[3]monster.xml!$347:$835,5,0)</f>
        <v>690</v>
      </c>
      <c r="O140">
        <f t="shared" si="38"/>
        <v>690</v>
      </c>
      <c r="AA140">
        <f t="shared" ref="AA140:AA203" si="47">AA131</f>
        <v>1</v>
      </c>
    </row>
    <row r="141" spans="1:27">
      <c r="A141">
        <f t="shared" si="39"/>
        <v>203005</v>
      </c>
      <c r="B141">
        <f t="shared" si="40"/>
        <v>2</v>
      </c>
      <c r="C141">
        <f t="shared" si="41"/>
        <v>1</v>
      </c>
      <c r="D141">
        <f t="shared" si="42"/>
        <v>30</v>
      </c>
      <c r="E141">
        <f t="shared" si="46"/>
        <v>203006</v>
      </c>
      <c r="F141">
        <f t="shared" si="45"/>
        <v>203004</v>
      </c>
      <c r="G141" t="s">
        <v>835</v>
      </c>
      <c r="H141">
        <f t="shared" si="43"/>
        <v>2030051</v>
      </c>
      <c r="I141" t="str">
        <f>精英副本!B253</f>
        <v>憾地者</v>
      </c>
      <c r="J141">
        <f>VLOOKUP(H141,[3]monster.xml!$A$347:$C$835,3,0)</f>
        <v>31</v>
      </c>
      <c r="K141">
        <f t="shared" si="32"/>
        <v>0</v>
      </c>
      <c r="L141">
        <f t="shared" si="44"/>
        <v>1</v>
      </c>
      <c r="M141" t="str">
        <f>精英副本!Y253</f>
        <v>敏捷试炼（30）</v>
      </c>
      <c r="N141">
        <f>VLOOKUP(H141,[3]monster.xml!$347:$835,5,0)</f>
        <v>690</v>
      </c>
      <c r="O141">
        <f t="shared" si="38"/>
        <v>690</v>
      </c>
      <c r="AA141">
        <f t="shared" si="47"/>
        <v>1</v>
      </c>
    </row>
    <row r="142" spans="1:27">
      <c r="A142">
        <f t="shared" si="39"/>
        <v>203006</v>
      </c>
      <c r="B142">
        <f t="shared" si="40"/>
        <v>2</v>
      </c>
      <c r="C142">
        <f t="shared" si="41"/>
        <v>1</v>
      </c>
      <c r="D142">
        <f t="shared" si="42"/>
        <v>30</v>
      </c>
      <c r="E142">
        <f t="shared" si="46"/>
        <v>203007</v>
      </c>
      <c r="F142">
        <f t="shared" si="45"/>
        <v>203005</v>
      </c>
      <c r="G142" t="s">
        <v>836</v>
      </c>
      <c r="H142">
        <f t="shared" si="43"/>
        <v>2030061</v>
      </c>
      <c r="I142" t="str">
        <f>精英副本!B254</f>
        <v>拉兹</v>
      </c>
      <c r="J142">
        <f>VLOOKUP(H142,[3]monster.xml!$A$347:$C$835,3,0)</f>
        <v>32</v>
      </c>
      <c r="K142">
        <f t="shared" si="32"/>
        <v>1</v>
      </c>
      <c r="L142">
        <f t="shared" si="44"/>
        <v>5</v>
      </c>
      <c r="M142" t="str">
        <f>精英副本!Y254</f>
        <v>敏捷试炼（30）</v>
      </c>
      <c r="N142">
        <f>VLOOKUP(H142,[3]monster.xml!$347:$835,5,0)</f>
        <v>720</v>
      </c>
      <c r="O142">
        <f t="shared" si="38"/>
        <v>720</v>
      </c>
      <c r="AA142">
        <f t="shared" si="47"/>
        <v>1</v>
      </c>
    </row>
    <row r="143" spans="1:27">
      <c r="A143">
        <f t="shared" si="39"/>
        <v>203007</v>
      </c>
      <c r="B143">
        <f t="shared" si="40"/>
        <v>2</v>
      </c>
      <c r="C143">
        <f t="shared" si="41"/>
        <v>1</v>
      </c>
      <c r="D143">
        <f t="shared" si="42"/>
        <v>30</v>
      </c>
      <c r="E143">
        <f t="shared" si="46"/>
        <v>203008</v>
      </c>
      <c r="F143">
        <f t="shared" si="45"/>
        <v>203006</v>
      </c>
      <c r="G143" t="s">
        <v>966</v>
      </c>
      <c r="H143">
        <f t="shared" si="43"/>
        <v>2030071</v>
      </c>
      <c r="I143" t="str">
        <f>精英副本!B255</f>
        <v>塔克</v>
      </c>
      <c r="J143">
        <f>VLOOKUP(H143,[3]monster.xml!$A$347:$C$835,3,0)</f>
        <v>32</v>
      </c>
      <c r="K143">
        <f t="shared" si="32"/>
        <v>0</v>
      </c>
      <c r="L143">
        <f t="shared" si="44"/>
        <v>1</v>
      </c>
      <c r="M143" t="str">
        <f>精英副本!Y255</f>
        <v>敏捷试炼（30）</v>
      </c>
      <c r="N143">
        <f>VLOOKUP(H143,[3]monster.xml!$347:$835,5,0)</f>
        <v>720</v>
      </c>
      <c r="O143">
        <f t="shared" si="38"/>
        <v>720</v>
      </c>
      <c r="AA143">
        <f t="shared" si="47"/>
        <v>1</v>
      </c>
    </row>
    <row r="144" spans="1:27">
      <c r="A144">
        <f t="shared" si="39"/>
        <v>203008</v>
      </c>
      <c r="B144">
        <f t="shared" si="40"/>
        <v>2</v>
      </c>
      <c r="C144">
        <f t="shared" si="41"/>
        <v>1</v>
      </c>
      <c r="D144">
        <f t="shared" si="42"/>
        <v>30</v>
      </c>
      <c r="E144">
        <f t="shared" si="46"/>
        <v>203009</v>
      </c>
      <c r="F144">
        <f t="shared" si="45"/>
        <v>203007</v>
      </c>
      <c r="G144" t="s">
        <v>838</v>
      </c>
      <c r="H144">
        <f t="shared" si="43"/>
        <v>2030081</v>
      </c>
      <c r="I144" t="str">
        <f>精英副本!B256</f>
        <v>狂野安东尼</v>
      </c>
      <c r="J144">
        <f>VLOOKUP(H144,[3]monster.xml!$A$347:$C$835,3,0)</f>
        <v>33</v>
      </c>
      <c r="K144">
        <f t="shared" si="32"/>
        <v>0</v>
      </c>
      <c r="L144">
        <f t="shared" si="44"/>
        <v>1</v>
      </c>
      <c r="M144" t="str">
        <f>精英副本!Y256</f>
        <v>敏捷试炼（30）</v>
      </c>
      <c r="N144">
        <f>VLOOKUP(H144,[3]monster.xml!$347:$835,5,0)</f>
        <v>750</v>
      </c>
      <c r="O144">
        <f t="shared" si="38"/>
        <v>750</v>
      </c>
      <c r="AA144">
        <f t="shared" si="47"/>
        <v>1</v>
      </c>
    </row>
    <row r="145" spans="1:27">
      <c r="A145">
        <f t="shared" si="39"/>
        <v>203009</v>
      </c>
      <c r="B145">
        <f t="shared" si="40"/>
        <v>2</v>
      </c>
      <c r="C145">
        <f t="shared" si="41"/>
        <v>1</v>
      </c>
      <c r="D145">
        <f t="shared" si="42"/>
        <v>30</v>
      </c>
      <c r="E145">
        <f t="shared" si="46"/>
        <v>0</v>
      </c>
      <c r="F145">
        <f t="shared" si="45"/>
        <v>203008</v>
      </c>
      <c r="G145" t="s">
        <v>967</v>
      </c>
      <c r="H145">
        <f t="shared" si="43"/>
        <v>2030091</v>
      </c>
      <c r="I145" t="str">
        <f>精英副本!B257</f>
        <v>巡林者瑞克</v>
      </c>
      <c r="J145">
        <f>VLOOKUP(H145,[3]monster.xml!$A$347:$C$835,3,0)</f>
        <v>34</v>
      </c>
      <c r="K145">
        <f t="shared" si="32"/>
        <v>1</v>
      </c>
      <c r="L145">
        <f t="shared" si="44"/>
        <v>5</v>
      </c>
      <c r="M145" t="str">
        <f>精英副本!Y257</f>
        <v>敏捷试炼（30）</v>
      </c>
      <c r="N145">
        <f>VLOOKUP(H145,[3]monster.xml!$347:$835,5,0)</f>
        <v>780</v>
      </c>
      <c r="O145">
        <f t="shared" si="38"/>
        <v>780</v>
      </c>
      <c r="AA145">
        <f t="shared" si="47"/>
        <v>0</v>
      </c>
    </row>
    <row r="146" spans="1:27">
      <c r="A146">
        <f t="shared" ref="A146:A147" si="48">A11+100000</f>
        <v>203501</v>
      </c>
      <c r="B146">
        <f t="shared" si="40"/>
        <v>2</v>
      </c>
      <c r="C146">
        <f t="shared" ref="C146:C147" si="49">C11</f>
        <v>2</v>
      </c>
      <c r="D146">
        <f t="shared" si="42"/>
        <v>35</v>
      </c>
      <c r="E146">
        <f t="shared" si="46"/>
        <v>203502</v>
      </c>
      <c r="F146">
        <f t="shared" si="45"/>
        <v>0</v>
      </c>
      <c r="G146" t="s">
        <v>840</v>
      </c>
      <c r="H146">
        <f t="shared" si="43"/>
        <v>2035011</v>
      </c>
      <c r="I146" t="str">
        <f>精英副本!B258</f>
        <v>猎人幻象</v>
      </c>
      <c r="J146">
        <f>VLOOKUP(H146,[3]monster.xml!$A$347:$C$835,3,0)</f>
        <v>35</v>
      </c>
      <c r="K146">
        <f t="shared" si="32"/>
        <v>0</v>
      </c>
      <c r="L146">
        <f t="shared" si="44"/>
        <v>1</v>
      </c>
      <c r="M146" t="str">
        <f>精英副本!Y258</f>
        <v>敏捷试炼（35）</v>
      </c>
      <c r="N146">
        <f>VLOOKUP(H146,[3]monster.xml!$347:$835,5,0)</f>
        <v>810</v>
      </c>
      <c r="O146">
        <f t="shared" si="38"/>
        <v>810</v>
      </c>
      <c r="AA146">
        <f t="shared" si="47"/>
        <v>1</v>
      </c>
    </row>
    <row r="147" spans="1:27">
      <c r="A147">
        <f t="shared" si="48"/>
        <v>203502</v>
      </c>
      <c r="B147">
        <f t="shared" si="40"/>
        <v>2</v>
      </c>
      <c r="C147">
        <f t="shared" si="49"/>
        <v>2</v>
      </c>
      <c r="D147">
        <f t="shared" si="42"/>
        <v>35</v>
      </c>
      <c r="E147">
        <f t="shared" si="46"/>
        <v>203503</v>
      </c>
      <c r="F147">
        <f t="shared" si="45"/>
        <v>203501</v>
      </c>
      <c r="G147" t="s">
        <v>841</v>
      </c>
      <c r="H147">
        <f t="shared" si="43"/>
        <v>2035021</v>
      </c>
      <c r="I147" t="str">
        <f>精英副本!B259</f>
        <v>法力风暴</v>
      </c>
      <c r="J147">
        <f>VLOOKUP(H147,[3]monster.xml!$A$347:$C$835,3,0)</f>
        <v>35</v>
      </c>
      <c r="K147">
        <f t="shared" si="32"/>
        <v>0</v>
      </c>
      <c r="L147">
        <f t="shared" si="44"/>
        <v>1</v>
      </c>
      <c r="M147" t="str">
        <f>精英副本!Y259</f>
        <v>敏捷试炼（35）</v>
      </c>
      <c r="N147">
        <f>VLOOKUP(H147,[3]monster.xml!$347:$835,5,0)</f>
        <v>810</v>
      </c>
      <c r="O147">
        <f t="shared" si="38"/>
        <v>810</v>
      </c>
      <c r="AA147">
        <f t="shared" si="47"/>
        <v>1</v>
      </c>
    </row>
    <row r="148" spans="1:27">
      <c r="A148">
        <f t="shared" ref="A148:A211" si="50">A13+100000</f>
        <v>203503</v>
      </c>
      <c r="B148">
        <f t="shared" si="40"/>
        <v>2</v>
      </c>
      <c r="C148">
        <f t="shared" ref="C148:C211" si="51">C13</f>
        <v>2</v>
      </c>
      <c r="D148">
        <f t="shared" si="42"/>
        <v>35</v>
      </c>
      <c r="E148">
        <f t="shared" si="46"/>
        <v>203504</v>
      </c>
      <c r="F148">
        <f t="shared" si="45"/>
        <v>203502</v>
      </c>
      <c r="G148" t="s">
        <v>842</v>
      </c>
      <c r="H148">
        <f t="shared" si="43"/>
        <v>2035031</v>
      </c>
      <c r="I148" t="str">
        <f>精英副本!B260</f>
        <v>角斗士里奥</v>
      </c>
      <c r="J148">
        <f>VLOOKUP(H148,[3]monster.xml!$A$347:$C$835,3,0)</f>
        <v>36</v>
      </c>
      <c r="K148">
        <f t="shared" si="32"/>
        <v>1</v>
      </c>
      <c r="L148">
        <f t="shared" si="44"/>
        <v>5</v>
      </c>
      <c r="M148" t="str">
        <f>精英副本!Y260</f>
        <v>敏捷试炼（35）</v>
      </c>
      <c r="N148">
        <f>VLOOKUP(H148,[3]monster.xml!$347:$835,5,0)</f>
        <v>840</v>
      </c>
      <c r="O148">
        <f t="shared" si="38"/>
        <v>840</v>
      </c>
      <c r="AA148">
        <f t="shared" si="47"/>
        <v>1</v>
      </c>
    </row>
    <row r="149" spans="1:27">
      <c r="A149">
        <f t="shared" si="50"/>
        <v>203504</v>
      </c>
      <c r="B149">
        <f t="shared" si="40"/>
        <v>2</v>
      </c>
      <c r="C149">
        <f t="shared" si="51"/>
        <v>2</v>
      </c>
      <c r="D149">
        <f t="shared" si="42"/>
        <v>35</v>
      </c>
      <c r="E149">
        <f t="shared" si="46"/>
        <v>203505</v>
      </c>
      <c r="F149">
        <f t="shared" si="45"/>
        <v>203503</v>
      </c>
      <c r="G149" t="s">
        <v>968</v>
      </c>
      <c r="H149">
        <f t="shared" si="43"/>
        <v>2035041</v>
      </c>
      <c r="I149" t="str">
        <f>精英副本!B261</f>
        <v>荒野游侠</v>
      </c>
      <c r="J149">
        <f>VLOOKUP(H149,[3]monster.xml!$A$347:$C$835,3,0)</f>
        <v>36</v>
      </c>
      <c r="K149">
        <f t="shared" si="32"/>
        <v>0</v>
      </c>
      <c r="L149">
        <f t="shared" si="44"/>
        <v>1</v>
      </c>
      <c r="M149" t="str">
        <f>精英副本!Y261</f>
        <v>敏捷试炼（35）</v>
      </c>
      <c r="N149">
        <f>VLOOKUP(H149,[3]monster.xml!$347:$835,5,0)</f>
        <v>840</v>
      </c>
      <c r="O149">
        <f t="shared" si="38"/>
        <v>840</v>
      </c>
      <c r="AA149">
        <f t="shared" si="47"/>
        <v>1</v>
      </c>
    </row>
    <row r="150" spans="1:27">
      <c r="A150">
        <f t="shared" si="50"/>
        <v>203505</v>
      </c>
      <c r="B150">
        <f t="shared" si="40"/>
        <v>2</v>
      </c>
      <c r="C150">
        <f t="shared" si="51"/>
        <v>2</v>
      </c>
      <c r="D150">
        <f t="shared" si="42"/>
        <v>35</v>
      </c>
      <c r="E150">
        <f t="shared" si="46"/>
        <v>203506</v>
      </c>
      <c r="F150">
        <f t="shared" si="45"/>
        <v>203504</v>
      </c>
      <c r="G150" t="s">
        <v>844</v>
      </c>
      <c r="H150">
        <f t="shared" si="43"/>
        <v>2035051</v>
      </c>
      <c r="I150" t="str">
        <f>精英副本!B262</f>
        <v>憾地者</v>
      </c>
      <c r="J150">
        <f>VLOOKUP(H150,[3]monster.xml!$A$347:$C$835,3,0)</f>
        <v>36</v>
      </c>
      <c r="K150">
        <f t="shared" ref="K150:K213" si="52">K141</f>
        <v>0</v>
      </c>
      <c r="L150">
        <f t="shared" si="44"/>
        <v>1</v>
      </c>
      <c r="M150" t="str">
        <f>精英副本!Y262</f>
        <v>敏捷试炼（35）</v>
      </c>
      <c r="N150">
        <f>VLOOKUP(H150,[3]monster.xml!$347:$835,5,0)</f>
        <v>840</v>
      </c>
      <c r="O150">
        <f t="shared" si="38"/>
        <v>840</v>
      </c>
      <c r="AA150">
        <f t="shared" si="47"/>
        <v>1</v>
      </c>
    </row>
    <row r="151" spans="1:27">
      <c r="A151">
        <f t="shared" si="50"/>
        <v>203506</v>
      </c>
      <c r="B151">
        <f t="shared" ref="B151:B214" si="53">ROUNDDOWN(A151/100000,0)</f>
        <v>2</v>
      </c>
      <c r="C151">
        <f t="shared" si="51"/>
        <v>2</v>
      </c>
      <c r="D151">
        <f t="shared" ref="D151:D214" si="54">MID(A151,2,3)*1</f>
        <v>35</v>
      </c>
      <c r="E151">
        <f t="shared" si="46"/>
        <v>203507</v>
      </c>
      <c r="F151">
        <f t="shared" si="45"/>
        <v>203505</v>
      </c>
      <c r="G151" t="s">
        <v>845</v>
      </c>
      <c r="H151">
        <f t="shared" ref="H151:H214" si="55">A151*10+1</f>
        <v>2035061</v>
      </c>
      <c r="I151" t="str">
        <f>精英副本!B263</f>
        <v>拉兹</v>
      </c>
      <c r="J151">
        <f>VLOOKUP(H151,[3]monster.xml!$A$347:$C$835,3,0)</f>
        <v>37</v>
      </c>
      <c r="K151">
        <f t="shared" si="52"/>
        <v>1</v>
      </c>
      <c r="L151">
        <f t="shared" si="44"/>
        <v>5</v>
      </c>
      <c r="M151" t="str">
        <f>精英副本!Y263</f>
        <v>敏捷试炼（35）</v>
      </c>
      <c r="N151">
        <f>VLOOKUP(H151,[3]monster.xml!$347:$835,5,0)</f>
        <v>870</v>
      </c>
      <c r="O151">
        <f t="shared" si="38"/>
        <v>870</v>
      </c>
      <c r="AA151">
        <f t="shared" si="47"/>
        <v>1</v>
      </c>
    </row>
    <row r="152" spans="1:27">
      <c r="A152">
        <f t="shared" si="50"/>
        <v>203507</v>
      </c>
      <c r="B152">
        <f t="shared" si="53"/>
        <v>2</v>
      </c>
      <c r="C152">
        <f t="shared" si="51"/>
        <v>2</v>
      </c>
      <c r="D152">
        <f t="shared" si="54"/>
        <v>35</v>
      </c>
      <c r="E152">
        <f t="shared" si="46"/>
        <v>203508</v>
      </c>
      <c r="F152">
        <f t="shared" si="45"/>
        <v>203506</v>
      </c>
      <c r="G152" t="s">
        <v>846</v>
      </c>
      <c r="H152">
        <f t="shared" si="55"/>
        <v>2035071</v>
      </c>
      <c r="I152" t="str">
        <f>精英副本!B264</f>
        <v>塔克</v>
      </c>
      <c r="J152">
        <f>VLOOKUP(H152,[3]monster.xml!$A$347:$C$835,3,0)</f>
        <v>37</v>
      </c>
      <c r="K152">
        <f t="shared" si="52"/>
        <v>0</v>
      </c>
      <c r="L152">
        <f t="shared" si="44"/>
        <v>1</v>
      </c>
      <c r="M152" t="str">
        <f>精英副本!Y264</f>
        <v>敏捷试炼（35）</v>
      </c>
      <c r="N152">
        <f>VLOOKUP(H152,[3]monster.xml!$347:$835,5,0)</f>
        <v>870</v>
      </c>
      <c r="O152">
        <f t="shared" si="38"/>
        <v>870</v>
      </c>
      <c r="AA152">
        <f t="shared" si="47"/>
        <v>1</v>
      </c>
    </row>
    <row r="153" spans="1:27">
      <c r="A153">
        <f t="shared" si="50"/>
        <v>203508</v>
      </c>
      <c r="B153">
        <f t="shared" si="53"/>
        <v>2</v>
      </c>
      <c r="C153">
        <f t="shared" si="51"/>
        <v>2</v>
      </c>
      <c r="D153">
        <f t="shared" si="54"/>
        <v>35</v>
      </c>
      <c r="E153">
        <f t="shared" si="46"/>
        <v>203509</v>
      </c>
      <c r="F153">
        <f t="shared" si="45"/>
        <v>203507</v>
      </c>
      <c r="G153" t="s">
        <v>847</v>
      </c>
      <c r="H153">
        <f t="shared" si="55"/>
        <v>2035081</v>
      </c>
      <c r="I153" t="str">
        <f>精英副本!B265</f>
        <v>狂野安东尼</v>
      </c>
      <c r="J153">
        <f>VLOOKUP(H153,[3]monster.xml!$A$347:$C$835,3,0)</f>
        <v>38</v>
      </c>
      <c r="K153">
        <f t="shared" si="52"/>
        <v>0</v>
      </c>
      <c r="L153">
        <f t="shared" si="44"/>
        <v>1</v>
      </c>
      <c r="M153" t="str">
        <f>精英副本!Y265</f>
        <v>敏捷试炼（35）</v>
      </c>
      <c r="N153">
        <f>VLOOKUP(H153,[3]monster.xml!$347:$835,5,0)</f>
        <v>900</v>
      </c>
      <c r="O153">
        <f t="shared" si="38"/>
        <v>900</v>
      </c>
      <c r="AA153">
        <f t="shared" si="47"/>
        <v>1</v>
      </c>
    </row>
    <row r="154" spans="1:27">
      <c r="A154">
        <f t="shared" si="50"/>
        <v>203509</v>
      </c>
      <c r="B154">
        <f t="shared" si="53"/>
        <v>2</v>
      </c>
      <c r="C154">
        <f t="shared" si="51"/>
        <v>2</v>
      </c>
      <c r="D154">
        <f t="shared" si="54"/>
        <v>35</v>
      </c>
      <c r="E154">
        <f t="shared" si="46"/>
        <v>0</v>
      </c>
      <c r="F154">
        <f t="shared" si="45"/>
        <v>203508</v>
      </c>
      <c r="G154" t="s">
        <v>969</v>
      </c>
      <c r="H154">
        <f t="shared" si="55"/>
        <v>2035091</v>
      </c>
      <c r="I154" t="str">
        <f>精英副本!B266</f>
        <v>巡林者瑞克</v>
      </c>
      <c r="J154">
        <f>VLOOKUP(H154,[3]monster.xml!$A$347:$C$835,3,0)</f>
        <v>39</v>
      </c>
      <c r="K154">
        <f t="shared" si="52"/>
        <v>1</v>
      </c>
      <c r="L154">
        <f t="shared" si="44"/>
        <v>5</v>
      </c>
      <c r="M154" t="str">
        <f>精英副本!Y266</f>
        <v>敏捷试炼（35）</v>
      </c>
      <c r="N154">
        <f>VLOOKUP(H154,[3]monster.xml!$347:$835,5,0)</f>
        <v>930</v>
      </c>
      <c r="O154">
        <f t="shared" si="38"/>
        <v>930</v>
      </c>
      <c r="AA154">
        <f t="shared" si="47"/>
        <v>0</v>
      </c>
    </row>
    <row r="155" spans="1:27">
      <c r="A155">
        <f t="shared" si="50"/>
        <v>204001</v>
      </c>
      <c r="B155">
        <f t="shared" si="53"/>
        <v>2</v>
      </c>
      <c r="C155">
        <f t="shared" si="51"/>
        <v>3</v>
      </c>
      <c r="D155">
        <f t="shared" si="54"/>
        <v>40</v>
      </c>
      <c r="E155">
        <f t="shared" si="46"/>
        <v>204002</v>
      </c>
      <c r="F155">
        <f t="shared" si="45"/>
        <v>0</v>
      </c>
      <c r="G155" t="s">
        <v>849</v>
      </c>
      <c r="H155">
        <f t="shared" si="55"/>
        <v>2040011</v>
      </c>
      <c r="I155" t="str">
        <f>精英副本!B267</f>
        <v>猎人幻象</v>
      </c>
      <c r="J155">
        <f>VLOOKUP(H155,[3]monster.xml!$A$347:$C$835,3,0)</f>
        <v>40</v>
      </c>
      <c r="K155">
        <f t="shared" si="52"/>
        <v>0</v>
      </c>
      <c r="L155">
        <f t="shared" si="44"/>
        <v>1</v>
      </c>
      <c r="M155" t="str">
        <f>精英副本!Y267</f>
        <v>敏捷试炼（40）</v>
      </c>
      <c r="N155">
        <f>VLOOKUP(H155,[3]monster.xml!$347:$835,5,0)</f>
        <v>960</v>
      </c>
      <c r="O155">
        <f t="shared" si="38"/>
        <v>960</v>
      </c>
      <c r="AA155">
        <f t="shared" si="47"/>
        <v>1</v>
      </c>
    </row>
    <row r="156" spans="1:27">
      <c r="A156">
        <f t="shared" si="50"/>
        <v>204002</v>
      </c>
      <c r="B156">
        <f t="shared" si="53"/>
        <v>2</v>
      </c>
      <c r="C156">
        <f t="shared" si="51"/>
        <v>3</v>
      </c>
      <c r="D156">
        <f t="shared" si="54"/>
        <v>40</v>
      </c>
      <c r="E156">
        <f t="shared" si="46"/>
        <v>204003</v>
      </c>
      <c r="F156">
        <f t="shared" si="45"/>
        <v>204001</v>
      </c>
      <c r="G156" t="s">
        <v>850</v>
      </c>
      <c r="H156">
        <f t="shared" si="55"/>
        <v>2040021</v>
      </c>
      <c r="I156" t="str">
        <f>精英副本!B268</f>
        <v>法力风暴</v>
      </c>
      <c r="J156">
        <f>VLOOKUP(H156,[3]monster.xml!$A$347:$C$835,3,0)</f>
        <v>40</v>
      </c>
      <c r="K156">
        <f t="shared" si="52"/>
        <v>0</v>
      </c>
      <c r="L156">
        <f t="shared" si="44"/>
        <v>1</v>
      </c>
      <c r="M156" t="str">
        <f>精英副本!Y268</f>
        <v>敏捷试炼（40）</v>
      </c>
      <c r="N156">
        <f>VLOOKUP(H156,[3]monster.xml!$347:$835,5,0)</f>
        <v>960</v>
      </c>
      <c r="O156">
        <f t="shared" si="38"/>
        <v>960</v>
      </c>
      <c r="AA156">
        <f t="shared" si="47"/>
        <v>1</v>
      </c>
    </row>
    <row r="157" spans="1:27">
      <c r="A157">
        <f t="shared" si="50"/>
        <v>204003</v>
      </c>
      <c r="B157">
        <f t="shared" si="53"/>
        <v>2</v>
      </c>
      <c r="C157">
        <f t="shared" si="51"/>
        <v>3</v>
      </c>
      <c r="D157">
        <f t="shared" si="54"/>
        <v>40</v>
      </c>
      <c r="E157">
        <f t="shared" si="46"/>
        <v>204004</v>
      </c>
      <c r="F157">
        <f t="shared" si="45"/>
        <v>204002</v>
      </c>
      <c r="G157" t="s">
        <v>851</v>
      </c>
      <c r="H157">
        <f t="shared" si="55"/>
        <v>2040031</v>
      </c>
      <c r="I157" t="str">
        <f>精英副本!B269</f>
        <v>角斗士里奥</v>
      </c>
      <c r="J157">
        <f>VLOOKUP(H157,[3]monster.xml!$A$347:$C$835,3,0)</f>
        <v>41</v>
      </c>
      <c r="K157">
        <f t="shared" si="52"/>
        <v>1</v>
      </c>
      <c r="L157">
        <f t="shared" si="44"/>
        <v>5</v>
      </c>
      <c r="M157" t="str">
        <f>精英副本!Y269</f>
        <v>敏捷试炼（40）</v>
      </c>
      <c r="N157">
        <f>VLOOKUP(H157,[3]monster.xml!$347:$835,5,0)</f>
        <v>1000</v>
      </c>
      <c r="O157">
        <f t="shared" si="38"/>
        <v>1000</v>
      </c>
      <c r="AA157">
        <f t="shared" si="47"/>
        <v>1</v>
      </c>
    </row>
    <row r="158" spans="1:27">
      <c r="A158">
        <f t="shared" si="50"/>
        <v>204004</v>
      </c>
      <c r="B158">
        <f t="shared" si="53"/>
        <v>2</v>
      </c>
      <c r="C158">
        <f t="shared" si="51"/>
        <v>3</v>
      </c>
      <c r="D158">
        <f t="shared" si="54"/>
        <v>40</v>
      </c>
      <c r="E158">
        <f t="shared" si="46"/>
        <v>204005</v>
      </c>
      <c r="F158">
        <f t="shared" si="45"/>
        <v>204003</v>
      </c>
      <c r="G158" t="s">
        <v>852</v>
      </c>
      <c r="H158">
        <f t="shared" si="55"/>
        <v>2040041</v>
      </c>
      <c r="I158" t="str">
        <f>精英副本!B270</f>
        <v>荒野游侠</v>
      </c>
      <c r="J158">
        <f>VLOOKUP(H158,[3]monster.xml!$A$347:$C$835,3,0)</f>
        <v>41</v>
      </c>
      <c r="K158">
        <f t="shared" si="52"/>
        <v>0</v>
      </c>
      <c r="L158">
        <f t="shared" si="44"/>
        <v>1</v>
      </c>
      <c r="M158" t="str">
        <f>精英副本!Y270</f>
        <v>敏捷试炼（40）</v>
      </c>
      <c r="N158">
        <f>VLOOKUP(H158,[3]monster.xml!$347:$835,5,0)</f>
        <v>1000</v>
      </c>
      <c r="O158">
        <f t="shared" si="38"/>
        <v>1000</v>
      </c>
      <c r="AA158">
        <f t="shared" si="47"/>
        <v>1</v>
      </c>
    </row>
    <row r="159" spans="1:27">
      <c r="A159">
        <f t="shared" si="50"/>
        <v>204005</v>
      </c>
      <c r="B159">
        <f t="shared" si="53"/>
        <v>2</v>
      </c>
      <c r="C159">
        <f t="shared" si="51"/>
        <v>3</v>
      </c>
      <c r="D159">
        <f t="shared" si="54"/>
        <v>40</v>
      </c>
      <c r="E159">
        <f t="shared" si="46"/>
        <v>204006</v>
      </c>
      <c r="F159">
        <f t="shared" si="45"/>
        <v>204004</v>
      </c>
      <c r="G159" t="s">
        <v>853</v>
      </c>
      <c r="H159">
        <f t="shared" si="55"/>
        <v>2040051</v>
      </c>
      <c r="I159" t="str">
        <f>精英副本!B271</f>
        <v>憾地者</v>
      </c>
      <c r="J159">
        <f>VLOOKUP(H159,[3]monster.xml!$A$347:$C$835,3,0)</f>
        <v>41</v>
      </c>
      <c r="K159">
        <f t="shared" si="52"/>
        <v>0</v>
      </c>
      <c r="L159">
        <f t="shared" si="44"/>
        <v>1</v>
      </c>
      <c r="M159" t="str">
        <f>精英副本!Y271</f>
        <v>敏捷试炼（40）</v>
      </c>
      <c r="N159">
        <f>VLOOKUP(H159,[3]monster.xml!$347:$835,5,0)</f>
        <v>1000</v>
      </c>
      <c r="O159">
        <f t="shared" si="38"/>
        <v>1000</v>
      </c>
      <c r="AA159">
        <f t="shared" si="47"/>
        <v>1</v>
      </c>
    </row>
    <row r="160" spans="1:27">
      <c r="A160">
        <f t="shared" si="50"/>
        <v>204006</v>
      </c>
      <c r="B160">
        <f t="shared" si="53"/>
        <v>2</v>
      </c>
      <c r="C160">
        <f t="shared" si="51"/>
        <v>3</v>
      </c>
      <c r="D160">
        <f t="shared" si="54"/>
        <v>40</v>
      </c>
      <c r="E160">
        <f t="shared" si="46"/>
        <v>204007</v>
      </c>
      <c r="F160">
        <f t="shared" si="45"/>
        <v>204005</v>
      </c>
      <c r="G160" t="s">
        <v>854</v>
      </c>
      <c r="H160">
        <f t="shared" si="55"/>
        <v>2040061</v>
      </c>
      <c r="I160" t="str">
        <f>精英副本!B272</f>
        <v>拉兹</v>
      </c>
      <c r="J160">
        <f>VLOOKUP(H160,[3]monster.xml!$A$347:$C$835,3,0)</f>
        <v>42</v>
      </c>
      <c r="K160">
        <f t="shared" si="52"/>
        <v>1</v>
      </c>
      <c r="L160">
        <f t="shared" si="44"/>
        <v>5</v>
      </c>
      <c r="M160" t="str">
        <f>精英副本!Y272</f>
        <v>敏捷试炼（40）</v>
      </c>
      <c r="N160">
        <f>VLOOKUP(H160,[3]monster.xml!$347:$835,5,0)</f>
        <v>1040</v>
      </c>
      <c r="O160">
        <f t="shared" si="38"/>
        <v>1040</v>
      </c>
      <c r="AA160">
        <f t="shared" si="47"/>
        <v>1</v>
      </c>
    </row>
    <row r="161" spans="1:27">
      <c r="A161">
        <f t="shared" si="50"/>
        <v>204007</v>
      </c>
      <c r="B161">
        <f t="shared" si="53"/>
        <v>2</v>
      </c>
      <c r="C161">
        <f t="shared" si="51"/>
        <v>3</v>
      </c>
      <c r="D161">
        <f t="shared" si="54"/>
        <v>40</v>
      </c>
      <c r="E161">
        <f t="shared" si="46"/>
        <v>204008</v>
      </c>
      <c r="F161">
        <f t="shared" si="45"/>
        <v>204006</v>
      </c>
      <c r="G161" t="s">
        <v>970</v>
      </c>
      <c r="H161">
        <f t="shared" si="55"/>
        <v>2040071</v>
      </c>
      <c r="I161" t="str">
        <f>精英副本!B273</f>
        <v>塔克</v>
      </c>
      <c r="J161">
        <f>VLOOKUP(H161,[3]monster.xml!$A$347:$C$835,3,0)</f>
        <v>42</v>
      </c>
      <c r="K161">
        <f t="shared" si="52"/>
        <v>0</v>
      </c>
      <c r="L161">
        <f t="shared" si="44"/>
        <v>1</v>
      </c>
      <c r="M161" t="str">
        <f>精英副本!Y273</f>
        <v>敏捷试炼（40）</v>
      </c>
      <c r="N161">
        <f>VLOOKUP(H161,[3]monster.xml!$347:$835,5,0)</f>
        <v>1040</v>
      </c>
      <c r="O161">
        <f t="shared" si="38"/>
        <v>1040</v>
      </c>
      <c r="AA161">
        <f t="shared" si="47"/>
        <v>1</v>
      </c>
    </row>
    <row r="162" spans="1:27">
      <c r="A162">
        <f t="shared" si="50"/>
        <v>204008</v>
      </c>
      <c r="B162">
        <f t="shared" si="53"/>
        <v>2</v>
      </c>
      <c r="C162">
        <f t="shared" si="51"/>
        <v>3</v>
      </c>
      <c r="D162">
        <f t="shared" si="54"/>
        <v>40</v>
      </c>
      <c r="E162">
        <f t="shared" si="46"/>
        <v>204009</v>
      </c>
      <c r="F162">
        <f t="shared" si="45"/>
        <v>204007</v>
      </c>
      <c r="G162" t="s">
        <v>856</v>
      </c>
      <c r="H162">
        <f t="shared" si="55"/>
        <v>2040081</v>
      </c>
      <c r="I162" t="str">
        <f>精英副本!B274</f>
        <v>狂野安东尼</v>
      </c>
      <c r="J162">
        <f>VLOOKUP(H162,[3]monster.xml!$A$347:$C$835,3,0)</f>
        <v>43</v>
      </c>
      <c r="K162">
        <f t="shared" si="52"/>
        <v>0</v>
      </c>
      <c r="L162">
        <f t="shared" si="44"/>
        <v>1</v>
      </c>
      <c r="M162" t="str">
        <f>精英副本!Y274</f>
        <v>敏捷试炼（40）</v>
      </c>
      <c r="N162">
        <f>VLOOKUP(H162,[3]monster.xml!$347:$835,5,0)</f>
        <v>1080</v>
      </c>
      <c r="O162">
        <f t="shared" si="38"/>
        <v>1080</v>
      </c>
      <c r="AA162">
        <f t="shared" si="47"/>
        <v>1</v>
      </c>
    </row>
    <row r="163" spans="1:27">
      <c r="A163">
        <f t="shared" si="50"/>
        <v>204009</v>
      </c>
      <c r="B163">
        <f t="shared" si="53"/>
        <v>2</v>
      </c>
      <c r="C163">
        <f t="shared" si="51"/>
        <v>3</v>
      </c>
      <c r="D163">
        <f t="shared" si="54"/>
        <v>40</v>
      </c>
      <c r="E163">
        <f t="shared" si="46"/>
        <v>0</v>
      </c>
      <c r="F163">
        <f t="shared" si="45"/>
        <v>204008</v>
      </c>
      <c r="G163" t="s">
        <v>971</v>
      </c>
      <c r="H163">
        <f t="shared" si="55"/>
        <v>2040091</v>
      </c>
      <c r="I163" t="str">
        <f>精英副本!B275</f>
        <v>巡林者瑞克</v>
      </c>
      <c r="J163">
        <f>VLOOKUP(H163,[3]monster.xml!$A$347:$C$835,3,0)</f>
        <v>44</v>
      </c>
      <c r="K163">
        <f t="shared" si="52"/>
        <v>1</v>
      </c>
      <c r="L163">
        <f t="shared" si="44"/>
        <v>5</v>
      </c>
      <c r="M163" t="str">
        <f>精英副本!Y275</f>
        <v>敏捷试炼（40）</v>
      </c>
      <c r="N163">
        <f>VLOOKUP(H163,[3]monster.xml!$347:$835,5,0)</f>
        <v>1120</v>
      </c>
      <c r="O163">
        <f t="shared" si="38"/>
        <v>1120</v>
      </c>
      <c r="AA163">
        <f t="shared" si="47"/>
        <v>0</v>
      </c>
    </row>
    <row r="164" spans="1:27">
      <c r="A164">
        <f t="shared" si="50"/>
        <v>204501</v>
      </c>
      <c r="B164">
        <f t="shared" si="53"/>
        <v>2</v>
      </c>
      <c r="C164">
        <f t="shared" si="51"/>
        <v>4</v>
      </c>
      <c r="D164">
        <f t="shared" si="54"/>
        <v>45</v>
      </c>
      <c r="E164">
        <f t="shared" si="46"/>
        <v>204502</v>
      </c>
      <c r="F164">
        <f t="shared" si="45"/>
        <v>0</v>
      </c>
      <c r="G164" t="s">
        <v>858</v>
      </c>
      <c r="H164">
        <f t="shared" si="55"/>
        <v>2045011</v>
      </c>
      <c r="I164" t="str">
        <f>精英副本!B276</f>
        <v>猎人幻象</v>
      </c>
      <c r="J164">
        <f>VLOOKUP(H164,[3]monster.xml!$A$347:$C$835,3,0)</f>
        <v>45</v>
      </c>
      <c r="K164">
        <f t="shared" si="52"/>
        <v>0</v>
      </c>
      <c r="L164">
        <f t="shared" si="44"/>
        <v>1</v>
      </c>
      <c r="M164" t="str">
        <f>精英副本!Y276</f>
        <v>敏捷试炼（45）</v>
      </c>
      <c r="N164">
        <f>VLOOKUP(H164,[3]monster.xml!$347:$835,5,0)</f>
        <v>1160</v>
      </c>
      <c r="O164">
        <f t="shared" si="38"/>
        <v>1160</v>
      </c>
      <c r="AA164">
        <f t="shared" si="47"/>
        <v>1</v>
      </c>
    </row>
    <row r="165" spans="1:27">
      <c r="A165">
        <f t="shared" si="50"/>
        <v>204502</v>
      </c>
      <c r="B165">
        <f t="shared" si="53"/>
        <v>2</v>
      </c>
      <c r="C165">
        <f t="shared" si="51"/>
        <v>4</v>
      </c>
      <c r="D165">
        <f t="shared" si="54"/>
        <v>45</v>
      </c>
      <c r="E165">
        <f t="shared" si="46"/>
        <v>204503</v>
      </c>
      <c r="F165">
        <f t="shared" si="45"/>
        <v>204501</v>
      </c>
      <c r="G165" t="s">
        <v>859</v>
      </c>
      <c r="H165">
        <f t="shared" si="55"/>
        <v>2045021</v>
      </c>
      <c r="I165" t="str">
        <f>精英副本!B277</f>
        <v>法力风暴</v>
      </c>
      <c r="J165">
        <f>VLOOKUP(H165,[3]monster.xml!$A$347:$C$835,3,0)</f>
        <v>45</v>
      </c>
      <c r="K165">
        <f t="shared" si="52"/>
        <v>0</v>
      </c>
      <c r="L165">
        <f t="shared" si="44"/>
        <v>1</v>
      </c>
      <c r="M165" t="str">
        <f>精英副本!Y277</f>
        <v>敏捷试炼（45）</v>
      </c>
      <c r="N165">
        <f>VLOOKUP(H165,[3]monster.xml!$347:$835,5,0)</f>
        <v>1160</v>
      </c>
      <c r="O165">
        <f t="shared" si="38"/>
        <v>1160</v>
      </c>
      <c r="AA165">
        <f t="shared" si="47"/>
        <v>1</v>
      </c>
    </row>
    <row r="166" spans="1:27">
      <c r="A166">
        <f t="shared" si="50"/>
        <v>204503</v>
      </c>
      <c r="B166">
        <f t="shared" si="53"/>
        <v>2</v>
      </c>
      <c r="C166">
        <f t="shared" si="51"/>
        <v>4</v>
      </c>
      <c r="D166">
        <f t="shared" si="54"/>
        <v>45</v>
      </c>
      <c r="E166">
        <f t="shared" si="46"/>
        <v>204504</v>
      </c>
      <c r="F166">
        <f t="shared" si="45"/>
        <v>204502</v>
      </c>
      <c r="G166" t="s">
        <v>860</v>
      </c>
      <c r="H166">
        <f t="shared" si="55"/>
        <v>2045031</v>
      </c>
      <c r="I166" t="str">
        <f>精英副本!B278</f>
        <v>角斗士里奥</v>
      </c>
      <c r="J166">
        <f>VLOOKUP(H166,[3]monster.xml!$A$347:$C$835,3,0)</f>
        <v>46</v>
      </c>
      <c r="K166">
        <f t="shared" si="52"/>
        <v>1</v>
      </c>
      <c r="L166">
        <f t="shared" si="44"/>
        <v>5</v>
      </c>
      <c r="M166" t="str">
        <f>精英副本!Y278</f>
        <v>敏捷试炼（45）</v>
      </c>
      <c r="N166">
        <f>VLOOKUP(H166,[3]monster.xml!$347:$835,5,0)</f>
        <v>1200</v>
      </c>
      <c r="O166">
        <f t="shared" si="38"/>
        <v>1200</v>
      </c>
      <c r="AA166">
        <f t="shared" si="47"/>
        <v>1</v>
      </c>
    </row>
    <row r="167" spans="1:27">
      <c r="A167">
        <f t="shared" si="50"/>
        <v>204504</v>
      </c>
      <c r="B167">
        <f t="shared" si="53"/>
        <v>2</v>
      </c>
      <c r="C167">
        <f t="shared" si="51"/>
        <v>4</v>
      </c>
      <c r="D167">
        <f t="shared" si="54"/>
        <v>45</v>
      </c>
      <c r="E167">
        <f t="shared" si="46"/>
        <v>204505</v>
      </c>
      <c r="F167">
        <f t="shared" si="45"/>
        <v>204503</v>
      </c>
      <c r="G167" t="s">
        <v>861</v>
      </c>
      <c r="H167">
        <f t="shared" si="55"/>
        <v>2045041</v>
      </c>
      <c r="I167" t="str">
        <f>精英副本!B279</f>
        <v>荒野游侠</v>
      </c>
      <c r="J167">
        <f>VLOOKUP(H167,[3]monster.xml!$A$347:$C$835,3,0)</f>
        <v>46</v>
      </c>
      <c r="K167">
        <f t="shared" si="52"/>
        <v>0</v>
      </c>
      <c r="L167">
        <f t="shared" si="44"/>
        <v>1</v>
      </c>
      <c r="M167" t="str">
        <f>精英副本!Y279</f>
        <v>敏捷试炼（45）</v>
      </c>
      <c r="N167">
        <f>VLOOKUP(H167,[3]monster.xml!$347:$835,5,0)</f>
        <v>1200</v>
      </c>
      <c r="O167">
        <f t="shared" si="38"/>
        <v>1200</v>
      </c>
      <c r="AA167">
        <f t="shared" si="47"/>
        <v>1</v>
      </c>
    </row>
    <row r="168" spans="1:27">
      <c r="A168">
        <f t="shared" si="50"/>
        <v>204505</v>
      </c>
      <c r="B168">
        <f t="shared" si="53"/>
        <v>2</v>
      </c>
      <c r="C168">
        <f t="shared" si="51"/>
        <v>4</v>
      </c>
      <c r="D168">
        <f t="shared" si="54"/>
        <v>45</v>
      </c>
      <c r="E168">
        <f t="shared" si="46"/>
        <v>204506</v>
      </c>
      <c r="F168">
        <f t="shared" si="45"/>
        <v>204504</v>
      </c>
      <c r="G168" t="s">
        <v>862</v>
      </c>
      <c r="H168">
        <f t="shared" si="55"/>
        <v>2045051</v>
      </c>
      <c r="I168" t="str">
        <f>精英副本!B280</f>
        <v>憾地者</v>
      </c>
      <c r="J168">
        <f>VLOOKUP(H168,[3]monster.xml!$A$347:$C$835,3,0)</f>
        <v>46</v>
      </c>
      <c r="K168">
        <f t="shared" si="52"/>
        <v>0</v>
      </c>
      <c r="L168">
        <f t="shared" si="44"/>
        <v>1</v>
      </c>
      <c r="M168" t="str">
        <f>精英副本!Y280</f>
        <v>敏捷试炼（45）</v>
      </c>
      <c r="N168">
        <f>VLOOKUP(H168,[3]monster.xml!$347:$835,5,0)</f>
        <v>1200</v>
      </c>
      <c r="O168">
        <f t="shared" si="38"/>
        <v>1200</v>
      </c>
      <c r="AA168">
        <f t="shared" si="47"/>
        <v>1</v>
      </c>
    </row>
    <row r="169" spans="1:27">
      <c r="A169">
        <f t="shared" si="50"/>
        <v>204506</v>
      </c>
      <c r="B169">
        <f t="shared" si="53"/>
        <v>2</v>
      </c>
      <c r="C169">
        <f t="shared" si="51"/>
        <v>4</v>
      </c>
      <c r="D169">
        <f t="shared" si="54"/>
        <v>45</v>
      </c>
      <c r="E169">
        <f t="shared" si="46"/>
        <v>204507</v>
      </c>
      <c r="F169">
        <f t="shared" si="45"/>
        <v>204505</v>
      </c>
      <c r="G169" t="s">
        <v>863</v>
      </c>
      <c r="H169">
        <f t="shared" si="55"/>
        <v>2045061</v>
      </c>
      <c r="I169" t="str">
        <f>精英副本!B281</f>
        <v>拉兹</v>
      </c>
      <c r="J169">
        <f>VLOOKUP(H169,[3]monster.xml!$A$347:$C$835,3,0)</f>
        <v>47</v>
      </c>
      <c r="K169">
        <f t="shared" si="52"/>
        <v>1</v>
      </c>
      <c r="L169">
        <f t="shared" si="44"/>
        <v>5</v>
      </c>
      <c r="M169" t="str">
        <f>精英副本!Y281</f>
        <v>敏捷试炼（45）</v>
      </c>
      <c r="N169">
        <f>VLOOKUP(H169,[3]monster.xml!$347:$835,5,0)</f>
        <v>1240</v>
      </c>
      <c r="O169">
        <f t="shared" si="38"/>
        <v>1240</v>
      </c>
      <c r="AA169">
        <f t="shared" si="47"/>
        <v>1</v>
      </c>
    </row>
    <row r="170" spans="1:27">
      <c r="A170">
        <f t="shared" si="50"/>
        <v>204507</v>
      </c>
      <c r="B170">
        <f t="shared" si="53"/>
        <v>2</v>
      </c>
      <c r="C170">
        <f t="shared" si="51"/>
        <v>4</v>
      </c>
      <c r="D170">
        <f t="shared" si="54"/>
        <v>45</v>
      </c>
      <c r="E170">
        <f t="shared" si="46"/>
        <v>204508</v>
      </c>
      <c r="F170">
        <f t="shared" si="45"/>
        <v>204506</v>
      </c>
      <c r="G170" t="s">
        <v>972</v>
      </c>
      <c r="H170">
        <f t="shared" si="55"/>
        <v>2045071</v>
      </c>
      <c r="I170" t="str">
        <f>精英副本!B282</f>
        <v>塔克</v>
      </c>
      <c r="J170">
        <f>VLOOKUP(H170,[3]monster.xml!$A$347:$C$835,3,0)</f>
        <v>47</v>
      </c>
      <c r="K170">
        <f t="shared" si="52"/>
        <v>0</v>
      </c>
      <c r="L170">
        <f t="shared" si="44"/>
        <v>1</v>
      </c>
      <c r="M170" t="str">
        <f>精英副本!Y282</f>
        <v>敏捷试炼（45）</v>
      </c>
      <c r="N170">
        <f>VLOOKUP(H170,[3]monster.xml!$347:$835,5,0)</f>
        <v>1240</v>
      </c>
      <c r="O170">
        <f t="shared" si="38"/>
        <v>1240</v>
      </c>
      <c r="AA170">
        <f t="shared" si="47"/>
        <v>1</v>
      </c>
    </row>
    <row r="171" spans="1:27">
      <c r="A171">
        <f t="shared" si="50"/>
        <v>204508</v>
      </c>
      <c r="B171">
        <f t="shared" si="53"/>
        <v>2</v>
      </c>
      <c r="C171">
        <f t="shared" si="51"/>
        <v>4</v>
      </c>
      <c r="D171">
        <f t="shared" si="54"/>
        <v>45</v>
      </c>
      <c r="E171">
        <f t="shared" si="46"/>
        <v>204509</v>
      </c>
      <c r="F171">
        <f t="shared" si="45"/>
        <v>204507</v>
      </c>
      <c r="G171" t="s">
        <v>865</v>
      </c>
      <c r="H171">
        <f t="shared" si="55"/>
        <v>2045081</v>
      </c>
      <c r="I171" t="str">
        <f>精英副本!B283</f>
        <v>狂野安东尼</v>
      </c>
      <c r="J171">
        <f>VLOOKUP(H171,[3]monster.xml!$A$347:$C$835,3,0)</f>
        <v>48</v>
      </c>
      <c r="K171">
        <f t="shared" si="52"/>
        <v>0</v>
      </c>
      <c r="L171">
        <f t="shared" si="44"/>
        <v>1</v>
      </c>
      <c r="M171" t="str">
        <f>精英副本!Y283</f>
        <v>敏捷试炼（45）</v>
      </c>
      <c r="N171">
        <f>VLOOKUP(H171,[3]monster.xml!$347:$835,5,0)</f>
        <v>1280</v>
      </c>
      <c r="O171">
        <f t="shared" si="38"/>
        <v>1280</v>
      </c>
      <c r="AA171">
        <f t="shared" si="47"/>
        <v>1</v>
      </c>
    </row>
    <row r="172" spans="1:27">
      <c r="A172">
        <f t="shared" si="50"/>
        <v>204509</v>
      </c>
      <c r="B172">
        <f t="shared" si="53"/>
        <v>2</v>
      </c>
      <c r="C172">
        <f t="shared" si="51"/>
        <v>4</v>
      </c>
      <c r="D172">
        <f t="shared" si="54"/>
        <v>45</v>
      </c>
      <c r="E172">
        <f t="shared" si="46"/>
        <v>0</v>
      </c>
      <c r="F172">
        <f t="shared" si="45"/>
        <v>204508</v>
      </c>
      <c r="G172" t="s">
        <v>973</v>
      </c>
      <c r="H172">
        <f t="shared" si="55"/>
        <v>2045091</v>
      </c>
      <c r="I172" t="str">
        <f>精英副本!B284</f>
        <v>巡林者瑞克</v>
      </c>
      <c r="J172">
        <f>VLOOKUP(H172,[3]monster.xml!$A$347:$C$835,3,0)</f>
        <v>49</v>
      </c>
      <c r="K172">
        <f t="shared" si="52"/>
        <v>1</v>
      </c>
      <c r="L172">
        <f t="shared" si="44"/>
        <v>5</v>
      </c>
      <c r="M172" t="str">
        <f>精英副本!Y284</f>
        <v>敏捷试炼（45）</v>
      </c>
      <c r="N172">
        <f>VLOOKUP(H172,[3]monster.xml!$347:$835,5,0)</f>
        <v>1320</v>
      </c>
      <c r="O172">
        <f t="shared" si="38"/>
        <v>1320</v>
      </c>
      <c r="AA172">
        <f t="shared" si="47"/>
        <v>0</v>
      </c>
    </row>
    <row r="173" spans="1:27">
      <c r="A173">
        <f t="shared" si="50"/>
        <v>205001</v>
      </c>
      <c r="B173">
        <f t="shared" si="53"/>
        <v>2</v>
      </c>
      <c r="C173">
        <f t="shared" si="51"/>
        <v>5</v>
      </c>
      <c r="D173">
        <f t="shared" si="54"/>
        <v>50</v>
      </c>
      <c r="E173">
        <f t="shared" si="46"/>
        <v>205002</v>
      </c>
      <c r="F173">
        <f t="shared" si="45"/>
        <v>0</v>
      </c>
      <c r="G173" t="s">
        <v>867</v>
      </c>
      <c r="H173">
        <f t="shared" si="55"/>
        <v>2050011</v>
      </c>
      <c r="I173" t="str">
        <f>精英副本!B285</f>
        <v>猎人幻象</v>
      </c>
      <c r="J173">
        <f>VLOOKUP(H173,[3]monster.xml!$A$347:$C$835,3,0)</f>
        <v>50</v>
      </c>
      <c r="K173">
        <f t="shared" si="52"/>
        <v>0</v>
      </c>
      <c r="L173">
        <f t="shared" si="44"/>
        <v>1</v>
      </c>
      <c r="M173" t="str">
        <f>精英副本!Y285</f>
        <v>敏捷试炼（50）</v>
      </c>
      <c r="N173">
        <f>VLOOKUP(H173,[3]monster.xml!$347:$835,5,0)</f>
        <v>1360</v>
      </c>
      <c r="O173">
        <f t="shared" si="38"/>
        <v>1360</v>
      </c>
      <c r="AA173">
        <f t="shared" si="47"/>
        <v>1</v>
      </c>
    </row>
    <row r="174" spans="1:27">
      <c r="A174">
        <f t="shared" si="50"/>
        <v>205002</v>
      </c>
      <c r="B174">
        <f t="shared" si="53"/>
        <v>2</v>
      </c>
      <c r="C174">
        <f t="shared" si="51"/>
        <v>5</v>
      </c>
      <c r="D174">
        <f t="shared" si="54"/>
        <v>50</v>
      </c>
      <c r="E174">
        <f t="shared" si="46"/>
        <v>205003</v>
      </c>
      <c r="F174">
        <f t="shared" si="45"/>
        <v>205001</v>
      </c>
      <c r="G174" t="s">
        <v>868</v>
      </c>
      <c r="H174">
        <f t="shared" si="55"/>
        <v>2050021</v>
      </c>
      <c r="I174" t="str">
        <f>精英副本!B286</f>
        <v>法力风暴</v>
      </c>
      <c r="J174">
        <f>VLOOKUP(H174,[3]monster.xml!$A$347:$C$835,3,0)</f>
        <v>50</v>
      </c>
      <c r="K174">
        <f t="shared" si="52"/>
        <v>0</v>
      </c>
      <c r="L174">
        <f t="shared" si="44"/>
        <v>1</v>
      </c>
      <c r="M174" t="str">
        <f>精英副本!Y286</f>
        <v>敏捷试炼（50）</v>
      </c>
      <c r="N174">
        <f>VLOOKUP(H174,[3]monster.xml!$347:$835,5,0)</f>
        <v>1360</v>
      </c>
      <c r="O174">
        <f t="shared" si="38"/>
        <v>1360</v>
      </c>
      <c r="AA174">
        <f t="shared" si="47"/>
        <v>1</v>
      </c>
    </row>
    <row r="175" spans="1:27">
      <c r="A175">
        <f t="shared" si="50"/>
        <v>205003</v>
      </c>
      <c r="B175">
        <f t="shared" si="53"/>
        <v>2</v>
      </c>
      <c r="C175">
        <f t="shared" si="51"/>
        <v>5</v>
      </c>
      <c r="D175">
        <f t="shared" si="54"/>
        <v>50</v>
      </c>
      <c r="E175">
        <f t="shared" si="46"/>
        <v>205004</v>
      </c>
      <c r="F175">
        <f t="shared" si="45"/>
        <v>205002</v>
      </c>
      <c r="G175" t="s">
        <v>869</v>
      </c>
      <c r="H175">
        <f t="shared" si="55"/>
        <v>2050031</v>
      </c>
      <c r="I175" t="str">
        <f>精英副本!B287</f>
        <v>角斗士里奥</v>
      </c>
      <c r="J175">
        <f>VLOOKUP(H175,[3]monster.xml!$A$347:$C$835,3,0)</f>
        <v>51</v>
      </c>
      <c r="K175">
        <f t="shared" si="52"/>
        <v>1</v>
      </c>
      <c r="L175">
        <f t="shared" si="44"/>
        <v>5</v>
      </c>
      <c r="M175" t="str">
        <f>精英副本!Y287</f>
        <v>敏捷试炼（50）</v>
      </c>
      <c r="N175">
        <f>VLOOKUP(H175,[3]monster.xml!$347:$835,5,0)</f>
        <v>1400</v>
      </c>
      <c r="O175">
        <f t="shared" si="38"/>
        <v>1400</v>
      </c>
      <c r="AA175">
        <f t="shared" si="47"/>
        <v>1</v>
      </c>
    </row>
    <row r="176" spans="1:27">
      <c r="A176">
        <f t="shared" si="50"/>
        <v>205004</v>
      </c>
      <c r="B176">
        <f t="shared" si="53"/>
        <v>2</v>
      </c>
      <c r="C176">
        <f t="shared" si="51"/>
        <v>5</v>
      </c>
      <c r="D176">
        <f t="shared" si="54"/>
        <v>50</v>
      </c>
      <c r="E176">
        <f t="shared" si="46"/>
        <v>205005</v>
      </c>
      <c r="F176">
        <f t="shared" si="45"/>
        <v>205003</v>
      </c>
      <c r="G176" t="s">
        <v>870</v>
      </c>
      <c r="H176">
        <f t="shared" si="55"/>
        <v>2050041</v>
      </c>
      <c r="I176" t="str">
        <f>精英副本!B288</f>
        <v>荒野游侠</v>
      </c>
      <c r="J176">
        <f>VLOOKUP(H176,[3]monster.xml!$A$347:$C$835,3,0)</f>
        <v>51</v>
      </c>
      <c r="K176">
        <f t="shared" si="52"/>
        <v>0</v>
      </c>
      <c r="L176">
        <f t="shared" si="44"/>
        <v>1</v>
      </c>
      <c r="M176" t="str">
        <f>精英副本!Y288</f>
        <v>敏捷试炼（50）</v>
      </c>
      <c r="N176">
        <f>VLOOKUP(H176,[3]monster.xml!$347:$835,5,0)</f>
        <v>1400</v>
      </c>
      <c r="O176">
        <f t="shared" si="38"/>
        <v>1400</v>
      </c>
      <c r="AA176">
        <f t="shared" si="47"/>
        <v>1</v>
      </c>
    </row>
    <row r="177" spans="1:27">
      <c r="A177">
        <f t="shared" si="50"/>
        <v>205005</v>
      </c>
      <c r="B177">
        <f t="shared" si="53"/>
        <v>2</v>
      </c>
      <c r="C177">
        <f t="shared" si="51"/>
        <v>5</v>
      </c>
      <c r="D177">
        <f t="shared" si="54"/>
        <v>50</v>
      </c>
      <c r="E177">
        <f t="shared" si="46"/>
        <v>205006</v>
      </c>
      <c r="F177">
        <f t="shared" si="45"/>
        <v>205004</v>
      </c>
      <c r="G177" t="s">
        <v>974</v>
      </c>
      <c r="H177">
        <f t="shared" si="55"/>
        <v>2050051</v>
      </c>
      <c r="I177" t="str">
        <f>精英副本!B289</f>
        <v>憾地者</v>
      </c>
      <c r="J177">
        <f>VLOOKUP(H177,[3]monster.xml!$A$347:$C$835,3,0)</f>
        <v>51</v>
      </c>
      <c r="K177">
        <f t="shared" si="52"/>
        <v>0</v>
      </c>
      <c r="L177">
        <f t="shared" si="44"/>
        <v>1</v>
      </c>
      <c r="M177" t="str">
        <f>精英副本!Y289</f>
        <v>敏捷试炼（50）</v>
      </c>
      <c r="N177">
        <f>VLOOKUP(H177,[3]monster.xml!$347:$835,5,0)</f>
        <v>1400</v>
      </c>
      <c r="O177">
        <f t="shared" si="38"/>
        <v>1400</v>
      </c>
      <c r="AA177">
        <f t="shared" si="47"/>
        <v>1</v>
      </c>
    </row>
    <row r="178" spans="1:27">
      <c r="A178">
        <f t="shared" si="50"/>
        <v>205006</v>
      </c>
      <c r="B178">
        <f t="shared" si="53"/>
        <v>2</v>
      </c>
      <c r="C178">
        <f t="shared" si="51"/>
        <v>5</v>
      </c>
      <c r="D178">
        <f t="shared" si="54"/>
        <v>50</v>
      </c>
      <c r="E178">
        <f t="shared" si="46"/>
        <v>205007</v>
      </c>
      <c r="F178">
        <f t="shared" si="45"/>
        <v>205005</v>
      </c>
      <c r="G178" t="s">
        <v>872</v>
      </c>
      <c r="H178">
        <f t="shared" si="55"/>
        <v>2050061</v>
      </c>
      <c r="I178" t="str">
        <f>精英副本!B290</f>
        <v>拉兹</v>
      </c>
      <c r="J178">
        <f>VLOOKUP(H178,[3]monster.xml!$A$347:$C$835,3,0)</f>
        <v>52</v>
      </c>
      <c r="K178">
        <f t="shared" si="52"/>
        <v>1</v>
      </c>
      <c r="L178">
        <f t="shared" si="44"/>
        <v>5</v>
      </c>
      <c r="M178" t="str">
        <f>精英副本!Y290</f>
        <v>敏捷试炼（50）</v>
      </c>
      <c r="N178">
        <f>VLOOKUP(H178,[3]monster.xml!$347:$835,5,0)</f>
        <v>1440</v>
      </c>
      <c r="O178">
        <f t="shared" si="38"/>
        <v>1440</v>
      </c>
      <c r="AA178">
        <f t="shared" si="47"/>
        <v>1</v>
      </c>
    </row>
    <row r="179" spans="1:27">
      <c r="A179">
        <f t="shared" si="50"/>
        <v>205007</v>
      </c>
      <c r="B179">
        <f t="shared" si="53"/>
        <v>2</v>
      </c>
      <c r="C179">
        <f t="shared" si="51"/>
        <v>5</v>
      </c>
      <c r="D179">
        <f t="shared" si="54"/>
        <v>50</v>
      </c>
      <c r="E179">
        <f t="shared" si="46"/>
        <v>205008</v>
      </c>
      <c r="F179">
        <f t="shared" si="45"/>
        <v>205006</v>
      </c>
      <c r="G179" t="s">
        <v>873</v>
      </c>
      <c r="H179">
        <f t="shared" si="55"/>
        <v>2050071</v>
      </c>
      <c r="I179" t="str">
        <f>精英副本!B291</f>
        <v>塔克</v>
      </c>
      <c r="J179">
        <f>VLOOKUP(H179,[3]monster.xml!$A$347:$C$835,3,0)</f>
        <v>52</v>
      </c>
      <c r="K179">
        <f t="shared" si="52"/>
        <v>0</v>
      </c>
      <c r="L179">
        <f t="shared" si="44"/>
        <v>1</v>
      </c>
      <c r="M179" t="str">
        <f>精英副本!Y291</f>
        <v>敏捷试炼（50）</v>
      </c>
      <c r="N179">
        <f>VLOOKUP(H179,[3]monster.xml!$347:$835,5,0)</f>
        <v>1440</v>
      </c>
      <c r="O179">
        <f t="shared" si="38"/>
        <v>1440</v>
      </c>
      <c r="AA179">
        <f t="shared" si="47"/>
        <v>1</v>
      </c>
    </row>
    <row r="180" spans="1:27">
      <c r="A180">
        <f t="shared" si="50"/>
        <v>205008</v>
      </c>
      <c r="B180">
        <f t="shared" si="53"/>
        <v>2</v>
      </c>
      <c r="C180">
        <f t="shared" si="51"/>
        <v>5</v>
      </c>
      <c r="D180">
        <f t="shared" si="54"/>
        <v>50</v>
      </c>
      <c r="E180">
        <f t="shared" si="46"/>
        <v>205009</v>
      </c>
      <c r="F180">
        <f t="shared" si="45"/>
        <v>205007</v>
      </c>
      <c r="G180" t="s">
        <v>874</v>
      </c>
      <c r="H180">
        <f t="shared" si="55"/>
        <v>2050081</v>
      </c>
      <c r="I180" t="str">
        <f>精英副本!B292</f>
        <v>狂野安东尼</v>
      </c>
      <c r="J180">
        <f>VLOOKUP(H180,[3]monster.xml!$A$347:$C$835,3,0)</f>
        <v>53</v>
      </c>
      <c r="K180">
        <f t="shared" si="52"/>
        <v>0</v>
      </c>
      <c r="L180">
        <f t="shared" si="44"/>
        <v>1</v>
      </c>
      <c r="M180" t="str">
        <f>精英副本!Y292</f>
        <v>敏捷试炼（50）</v>
      </c>
      <c r="N180">
        <f>VLOOKUP(H180,[3]monster.xml!$347:$835,5,0)</f>
        <v>1480</v>
      </c>
      <c r="O180">
        <f t="shared" si="38"/>
        <v>1480</v>
      </c>
      <c r="AA180">
        <f t="shared" si="47"/>
        <v>1</v>
      </c>
    </row>
    <row r="181" spans="1:27">
      <c r="A181">
        <f t="shared" si="50"/>
        <v>205009</v>
      </c>
      <c r="B181">
        <f t="shared" si="53"/>
        <v>2</v>
      </c>
      <c r="C181">
        <f t="shared" si="51"/>
        <v>5</v>
      </c>
      <c r="D181">
        <f t="shared" si="54"/>
        <v>50</v>
      </c>
      <c r="E181">
        <f t="shared" si="46"/>
        <v>0</v>
      </c>
      <c r="F181">
        <f t="shared" si="45"/>
        <v>205008</v>
      </c>
      <c r="G181" t="s">
        <v>975</v>
      </c>
      <c r="H181">
        <f t="shared" si="55"/>
        <v>2050091</v>
      </c>
      <c r="I181" t="str">
        <f>精英副本!B293</f>
        <v>巡林者瑞克</v>
      </c>
      <c r="J181">
        <f>VLOOKUP(H181,[3]monster.xml!$A$347:$C$835,3,0)</f>
        <v>54</v>
      </c>
      <c r="K181">
        <f t="shared" si="52"/>
        <v>1</v>
      </c>
      <c r="L181">
        <f t="shared" si="44"/>
        <v>5</v>
      </c>
      <c r="M181" t="str">
        <f>精英副本!Y293</f>
        <v>敏捷试炼（50）</v>
      </c>
      <c r="N181">
        <f>VLOOKUP(H181,[3]monster.xml!$347:$835,5,0)</f>
        <v>1520</v>
      </c>
      <c r="O181">
        <f t="shared" si="38"/>
        <v>1520</v>
      </c>
      <c r="AA181">
        <f t="shared" si="47"/>
        <v>0</v>
      </c>
    </row>
    <row r="182" spans="1:27">
      <c r="A182">
        <f t="shared" si="50"/>
        <v>205501</v>
      </c>
      <c r="B182">
        <f t="shared" si="53"/>
        <v>2</v>
      </c>
      <c r="C182">
        <f t="shared" si="51"/>
        <v>6</v>
      </c>
      <c r="D182">
        <f t="shared" si="54"/>
        <v>55</v>
      </c>
      <c r="E182">
        <f t="shared" si="46"/>
        <v>205502</v>
      </c>
      <c r="F182">
        <f t="shared" si="45"/>
        <v>0</v>
      </c>
      <c r="G182" t="s">
        <v>876</v>
      </c>
      <c r="H182">
        <f t="shared" si="55"/>
        <v>2055011</v>
      </c>
      <c r="I182" t="str">
        <f>精英副本!B294</f>
        <v>猎人幻象</v>
      </c>
      <c r="J182">
        <f>VLOOKUP(H182,[3]monster.xml!$A$347:$C$835,3,0)</f>
        <v>55</v>
      </c>
      <c r="K182">
        <f t="shared" si="52"/>
        <v>0</v>
      </c>
      <c r="L182">
        <f t="shared" si="44"/>
        <v>1</v>
      </c>
      <c r="M182" t="str">
        <f>精英副本!Y294</f>
        <v>敏捷试炼（55）</v>
      </c>
      <c r="N182">
        <f>VLOOKUP(H182,[3]monster.xml!$347:$835,5,0)</f>
        <v>1560</v>
      </c>
      <c r="O182">
        <f t="shared" si="38"/>
        <v>1560</v>
      </c>
      <c r="AA182">
        <f t="shared" si="47"/>
        <v>1</v>
      </c>
    </row>
    <row r="183" spans="1:27">
      <c r="A183">
        <f t="shared" si="50"/>
        <v>205502</v>
      </c>
      <c r="B183">
        <f t="shared" si="53"/>
        <v>2</v>
      </c>
      <c r="C183">
        <f t="shared" si="51"/>
        <v>6</v>
      </c>
      <c r="D183">
        <f t="shared" si="54"/>
        <v>55</v>
      </c>
      <c r="E183">
        <f t="shared" si="46"/>
        <v>205503</v>
      </c>
      <c r="F183">
        <f t="shared" si="45"/>
        <v>205501</v>
      </c>
      <c r="G183" t="s">
        <v>877</v>
      </c>
      <c r="H183">
        <f t="shared" si="55"/>
        <v>2055021</v>
      </c>
      <c r="I183" t="str">
        <f>精英副本!B295</f>
        <v>法力风暴</v>
      </c>
      <c r="J183">
        <f>VLOOKUP(H183,[3]monster.xml!$A$347:$C$835,3,0)</f>
        <v>55</v>
      </c>
      <c r="K183">
        <f t="shared" si="52"/>
        <v>0</v>
      </c>
      <c r="L183">
        <f t="shared" si="44"/>
        <v>1</v>
      </c>
      <c r="M183" t="str">
        <f>精英副本!Y295</f>
        <v>敏捷试炼（55）</v>
      </c>
      <c r="N183">
        <f>VLOOKUP(H183,[3]monster.xml!$347:$835,5,0)</f>
        <v>1560</v>
      </c>
      <c r="O183">
        <f t="shared" si="38"/>
        <v>1560</v>
      </c>
      <c r="AA183">
        <f t="shared" si="47"/>
        <v>1</v>
      </c>
    </row>
    <row r="184" spans="1:27">
      <c r="A184">
        <f t="shared" si="50"/>
        <v>205503</v>
      </c>
      <c r="B184">
        <f t="shared" si="53"/>
        <v>2</v>
      </c>
      <c r="C184">
        <f t="shared" si="51"/>
        <v>6</v>
      </c>
      <c r="D184">
        <f t="shared" si="54"/>
        <v>55</v>
      </c>
      <c r="E184">
        <f t="shared" si="46"/>
        <v>205504</v>
      </c>
      <c r="F184">
        <f t="shared" si="45"/>
        <v>205502</v>
      </c>
      <c r="G184" t="s">
        <v>976</v>
      </c>
      <c r="H184">
        <f t="shared" si="55"/>
        <v>2055031</v>
      </c>
      <c r="I184" t="str">
        <f>精英副本!B296</f>
        <v>角斗士里奥</v>
      </c>
      <c r="J184">
        <f>VLOOKUP(H184,[3]monster.xml!$A$347:$C$835,3,0)</f>
        <v>56</v>
      </c>
      <c r="K184">
        <f t="shared" si="52"/>
        <v>1</v>
      </c>
      <c r="L184">
        <f t="shared" si="44"/>
        <v>5</v>
      </c>
      <c r="M184" t="str">
        <f>精英副本!Y296</f>
        <v>敏捷试炼（55）</v>
      </c>
      <c r="N184">
        <f>VLOOKUP(H184,[3]monster.xml!$347:$835,5,0)</f>
        <v>1600</v>
      </c>
      <c r="O184">
        <f t="shared" si="38"/>
        <v>1600</v>
      </c>
      <c r="AA184">
        <f t="shared" si="47"/>
        <v>1</v>
      </c>
    </row>
    <row r="185" spans="1:27">
      <c r="A185">
        <f t="shared" si="50"/>
        <v>205504</v>
      </c>
      <c r="B185">
        <f t="shared" si="53"/>
        <v>2</v>
      </c>
      <c r="C185">
        <f t="shared" si="51"/>
        <v>6</v>
      </c>
      <c r="D185">
        <f t="shared" si="54"/>
        <v>55</v>
      </c>
      <c r="E185">
        <f t="shared" si="46"/>
        <v>205505</v>
      </c>
      <c r="F185">
        <f t="shared" si="45"/>
        <v>205503</v>
      </c>
      <c r="G185" t="s">
        <v>879</v>
      </c>
      <c r="H185">
        <f t="shared" si="55"/>
        <v>2055041</v>
      </c>
      <c r="I185" t="str">
        <f>精英副本!B297</f>
        <v>荒野游侠</v>
      </c>
      <c r="J185">
        <f>VLOOKUP(H185,[3]monster.xml!$A$347:$C$835,3,0)</f>
        <v>56</v>
      </c>
      <c r="K185">
        <f t="shared" si="52"/>
        <v>0</v>
      </c>
      <c r="L185">
        <f t="shared" si="44"/>
        <v>1</v>
      </c>
      <c r="M185" t="str">
        <f>精英副本!Y297</f>
        <v>敏捷试炼（55）</v>
      </c>
      <c r="N185">
        <f>VLOOKUP(H185,[3]monster.xml!$347:$835,5,0)</f>
        <v>1600</v>
      </c>
      <c r="O185">
        <f t="shared" si="38"/>
        <v>1600</v>
      </c>
      <c r="AA185">
        <f t="shared" si="47"/>
        <v>1</v>
      </c>
    </row>
    <row r="186" spans="1:27">
      <c r="A186">
        <f t="shared" si="50"/>
        <v>205505</v>
      </c>
      <c r="B186">
        <f t="shared" si="53"/>
        <v>2</v>
      </c>
      <c r="C186">
        <f t="shared" si="51"/>
        <v>6</v>
      </c>
      <c r="D186">
        <f t="shared" si="54"/>
        <v>55</v>
      </c>
      <c r="E186">
        <f t="shared" si="46"/>
        <v>205506</v>
      </c>
      <c r="F186">
        <f t="shared" si="45"/>
        <v>205504</v>
      </c>
      <c r="G186" t="s">
        <v>880</v>
      </c>
      <c r="H186">
        <f t="shared" si="55"/>
        <v>2055051</v>
      </c>
      <c r="I186" t="str">
        <f>精英副本!B298</f>
        <v>憾地者</v>
      </c>
      <c r="J186">
        <f>VLOOKUP(H186,[3]monster.xml!$A$347:$C$835,3,0)</f>
        <v>56</v>
      </c>
      <c r="K186">
        <f t="shared" si="52"/>
        <v>0</v>
      </c>
      <c r="L186">
        <f t="shared" si="44"/>
        <v>1</v>
      </c>
      <c r="M186" t="str">
        <f>精英副本!Y298</f>
        <v>敏捷试炼（55）</v>
      </c>
      <c r="N186">
        <f>VLOOKUP(H186,[3]monster.xml!$347:$835,5,0)</f>
        <v>1600</v>
      </c>
      <c r="O186">
        <f t="shared" si="38"/>
        <v>1600</v>
      </c>
      <c r="AA186">
        <f t="shared" si="47"/>
        <v>1</v>
      </c>
    </row>
    <row r="187" spans="1:27">
      <c r="A187">
        <f t="shared" si="50"/>
        <v>205506</v>
      </c>
      <c r="B187">
        <f t="shared" si="53"/>
        <v>2</v>
      </c>
      <c r="C187">
        <f t="shared" si="51"/>
        <v>6</v>
      </c>
      <c r="D187">
        <f t="shared" si="54"/>
        <v>55</v>
      </c>
      <c r="E187">
        <f t="shared" si="46"/>
        <v>205507</v>
      </c>
      <c r="F187">
        <f t="shared" si="45"/>
        <v>205505</v>
      </c>
      <c r="G187" t="s">
        <v>881</v>
      </c>
      <c r="H187">
        <f t="shared" si="55"/>
        <v>2055061</v>
      </c>
      <c r="I187" t="str">
        <f>精英副本!B299</f>
        <v>拉兹</v>
      </c>
      <c r="J187">
        <f>VLOOKUP(H187,[3]monster.xml!$A$347:$C$835,3,0)</f>
        <v>57</v>
      </c>
      <c r="K187">
        <f t="shared" si="52"/>
        <v>1</v>
      </c>
      <c r="L187">
        <f t="shared" si="44"/>
        <v>5</v>
      </c>
      <c r="M187" t="str">
        <f>精英副本!Y299</f>
        <v>敏捷试炼（55）</v>
      </c>
      <c r="N187">
        <f>VLOOKUP(H187,[3]monster.xml!$347:$835,5,0)</f>
        <v>1640</v>
      </c>
      <c r="O187">
        <f t="shared" si="38"/>
        <v>1640</v>
      </c>
      <c r="AA187">
        <f t="shared" si="47"/>
        <v>1</v>
      </c>
    </row>
    <row r="188" spans="1:27">
      <c r="A188">
        <f t="shared" si="50"/>
        <v>205507</v>
      </c>
      <c r="B188">
        <f t="shared" si="53"/>
        <v>2</v>
      </c>
      <c r="C188">
        <f t="shared" si="51"/>
        <v>6</v>
      </c>
      <c r="D188">
        <f t="shared" si="54"/>
        <v>55</v>
      </c>
      <c r="E188">
        <f t="shared" si="46"/>
        <v>205508</v>
      </c>
      <c r="F188">
        <f t="shared" si="45"/>
        <v>205506</v>
      </c>
      <c r="G188" t="s">
        <v>882</v>
      </c>
      <c r="H188">
        <f t="shared" si="55"/>
        <v>2055071</v>
      </c>
      <c r="I188" t="str">
        <f>精英副本!B300</f>
        <v>塔克</v>
      </c>
      <c r="J188">
        <f>VLOOKUP(H188,[3]monster.xml!$A$347:$C$835,3,0)</f>
        <v>57</v>
      </c>
      <c r="K188">
        <f t="shared" si="52"/>
        <v>0</v>
      </c>
      <c r="L188">
        <f t="shared" si="44"/>
        <v>1</v>
      </c>
      <c r="M188" t="str">
        <f>精英副本!Y300</f>
        <v>敏捷试炼（55）</v>
      </c>
      <c r="N188">
        <f>VLOOKUP(H188,[3]monster.xml!$347:$835,5,0)</f>
        <v>1640</v>
      </c>
      <c r="O188">
        <f t="shared" si="38"/>
        <v>1640</v>
      </c>
      <c r="AA188">
        <f t="shared" si="47"/>
        <v>1</v>
      </c>
    </row>
    <row r="189" spans="1:27">
      <c r="A189">
        <f t="shared" si="50"/>
        <v>205508</v>
      </c>
      <c r="B189">
        <f t="shared" si="53"/>
        <v>2</v>
      </c>
      <c r="C189">
        <f t="shared" si="51"/>
        <v>6</v>
      </c>
      <c r="D189">
        <f t="shared" si="54"/>
        <v>55</v>
      </c>
      <c r="E189">
        <f t="shared" si="46"/>
        <v>205509</v>
      </c>
      <c r="F189">
        <f t="shared" si="45"/>
        <v>205507</v>
      </c>
      <c r="G189" t="s">
        <v>883</v>
      </c>
      <c r="H189">
        <f t="shared" si="55"/>
        <v>2055081</v>
      </c>
      <c r="I189" t="str">
        <f>精英副本!B301</f>
        <v>狂野安东尼</v>
      </c>
      <c r="J189">
        <f>VLOOKUP(H189,[3]monster.xml!$A$347:$C$835,3,0)</f>
        <v>58</v>
      </c>
      <c r="K189">
        <f t="shared" si="52"/>
        <v>0</v>
      </c>
      <c r="L189">
        <f t="shared" si="44"/>
        <v>1</v>
      </c>
      <c r="M189" t="str">
        <f>精英副本!Y301</f>
        <v>敏捷试炼（55）</v>
      </c>
      <c r="N189">
        <f>VLOOKUP(H189,[3]monster.xml!$347:$835,5,0)</f>
        <v>1680</v>
      </c>
      <c r="O189">
        <f t="shared" si="38"/>
        <v>1680</v>
      </c>
      <c r="AA189">
        <f t="shared" si="47"/>
        <v>1</v>
      </c>
    </row>
    <row r="190" spans="1:27">
      <c r="A190">
        <f t="shared" si="50"/>
        <v>205509</v>
      </c>
      <c r="B190">
        <f t="shared" si="53"/>
        <v>2</v>
      </c>
      <c r="C190">
        <f t="shared" si="51"/>
        <v>6</v>
      </c>
      <c r="D190">
        <f t="shared" si="54"/>
        <v>55</v>
      </c>
      <c r="E190">
        <f t="shared" si="46"/>
        <v>0</v>
      </c>
      <c r="F190">
        <f t="shared" si="45"/>
        <v>205508</v>
      </c>
      <c r="G190" t="s">
        <v>977</v>
      </c>
      <c r="H190">
        <f t="shared" si="55"/>
        <v>2055091</v>
      </c>
      <c r="I190" t="str">
        <f>精英副本!B302</f>
        <v>巡林者瑞克</v>
      </c>
      <c r="J190">
        <f>VLOOKUP(H190,[3]monster.xml!$A$347:$C$835,3,0)</f>
        <v>59</v>
      </c>
      <c r="K190">
        <f t="shared" si="52"/>
        <v>1</v>
      </c>
      <c r="L190">
        <f t="shared" si="44"/>
        <v>5</v>
      </c>
      <c r="M190" t="str">
        <f>精英副本!Y302</f>
        <v>敏捷试炼（55）</v>
      </c>
      <c r="N190">
        <f>VLOOKUP(H190,[3]monster.xml!$347:$835,5,0)</f>
        <v>1720</v>
      </c>
      <c r="O190">
        <f t="shared" si="38"/>
        <v>1720</v>
      </c>
      <c r="AA190">
        <f t="shared" si="47"/>
        <v>0</v>
      </c>
    </row>
    <row r="191" spans="1:27">
      <c r="A191">
        <f t="shared" si="50"/>
        <v>206001</v>
      </c>
      <c r="B191">
        <f t="shared" si="53"/>
        <v>2</v>
      </c>
      <c r="C191">
        <f t="shared" si="51"/>
        <v>7</v>
      </c>
      <c r="D191">
        <f t="shared" si="54"/>
        <v>60</v>
      </c>
      <c r="E191">
        <f t="shared" si="46"/>
        <v>206002</v>
      </c>
      <c r="F191">
        <f t="shared" si="45"/>
        <v>0</v>
      </c>
      <c r="G191" t="s">
        <v>885</v>
      </c>
      <c r="H191">
        <f t="shared" si="55"/>
        <v>2060011</v>
      </c>
      <c r="I191" t="str">
        <f>精英副本!B303</f>
        <v>坚定的格雷格</v>
      </c>
      <c r="J191">
        <f>VLOOKUP(H191,[3]monster.xml!$A$347:$C$835,3,0)</f>
        <v>60</v>
      </c>
      <c r="K191">
        <f t="shared" si="52"/>
        <v>0</v>
      </c>
      <c r="L191">
        <f t="shared" si="44"/>
        <v>1</v>
      </c>
      <c r="M191" t="str">
        <f>精英副本!Y303</f>
        <v>技巧试炼（60）</v>
      </c>
      <c r="N191">
        <f>VLOOKUP(H191,[3]monster.xml!$347:$835,5,0)</f>
        <v>1760</v>
      </c>
      <c r="O191">
        <f t="shared" si="38"/>
        <v>1760</v>
      </c>
      <c r="AA191">
        <f t="shared" si="47"/>
        <v>1</v>
      </c>
    </row>
    <row r="192" spans="1:27">
      <c r="A192">
        <f t="shared" si="50"/>
        <v>206002</v>
      </c>
      <c r="B192">
        <f t="shared" si="53"/>
        <v>2</v>
      </c>
      <c r="C192">
        <f t="shared" si="51"/>
        <v>7</v>
      </c>
      <c r="D192">
        <f t="shared" si="54"/>
        <v>60</v>
      </c>
      <c r="E192">
        <f t="shared" si="46"/>
        <v>206003</v>
      </c>
      <c r="F192">
        <f t="shared" si="45"/>
        <v>206001</v>
      </c>
      <c r="G192" t="s">
        <v>886</v>
      </c>
      <c r="H192">
        <f t="shared" si="55"/>
        <v>2060021</v>
      </c>
      <c r="I192" t="str">
        <f>精英副本!B304</f>
        <v>菲德丝的倒影</v>
      </c>
      <c r="J192">
        <f>VLOOKUP(H192,[3]monster.xml!$A$347:$C$835,3,0)</f>
        <v>60</v>
      </c>
      <c r="K192">
        <f t="shared" si="52"/>
        <v>0</v>
      </c>
      <c r="L192">
        <f t="shared" si="44"/>
        <v>1</v>
      </c>
      <c r="M192" t="str">
        <f>精英副本!Y304</f>
        <v>技巧试炼（60）</v>
      </c>
      <c r="N192">
        <f>VLOOKUP(H192,[3]monster.xml!$347:$835,5,0)</f>
        <v>1760</v>
      </c>
      <c r="O192">
        <f t="shared" si="38"/>
        <v>1760</v>
      </c>
      <c r="AA192">
        <f t="shared" si="47"/>
        <v>1</v>
      </c>
    </row>
    <row r="193" spans="1:27">
      <c r="A193">
        <f t="shared" si="50"/>
        <v>206003</v>
      </c>
      <c r="B193">
        <f t="shared" si="53"/>
        <v>2</v>
      </c>
      <c r="C193">
        <f t="shared" si="51"/>
        <v>7</v>
      </c>
      <c r="D193">
        <f t="shared" si="54"/>
        <v>60</v>
      </c>
      <c r="E193">
        <f t="shared" si="46"/>
        <v>206004</v>
      </c>
      <c r="F193">
        <f t="shared" si="45"/>
        <v>206002</v>
      </c>
      <c r="G193" t="s">
        <v>887</v>
      </c>
      <c r="H193">
        <f t="shared" si="55"/>
        <v>2060031</v>
      </c>
      <c r="I193" t="str">
        <f>精英副本!B305</f>
        <v>惊人的盖亚</v>
      </c>
      <c r="J193">
        <f>VLOOKUP(H193,[3]monster.xml!$A$347:$C$835,3,0)</f>
        <v>61</v>
      </c>
      <c r="K193">
        <f t="shared" si="52"/>
        <v>1</v>
      </c>
      <c r="L193">
        <f t="shared" si="44"/>
        <v>5</v>
      </c>
      <c r="M193" t="str">
        <f>精英副本!Y305</f>
        <v>技巧试炼（60）</v>
      </c>
      <c r="N193">
        <f>VLOOKUP(H193,[3]monster.xml!$347:$835,5,0)</f>
        <v>1810</v>
      </c>
      <c r="O193">
        <f t="shared" si="38"/>
        <v>1810</v>
      </c>
      <c r="AA193">
        <f t="shared" si="47"/>
        <v>1</v>
      </c>
    </row>
    <row r="194" spans="1:27">
      <c r="A194">
        <f t="shared" si="50"/>
        <v>206004</v>
      </c>
      <c r="B194">
        <f t="shared" si="53"/>
        <v>2</v>
      </c>
      <c r="C194">
        <f t="shared" si="51"/>
        <v>7</v>
      </c>
      <c r="D194">
        <f t="shared" si="54"/>
        <v>60</v>
      </c>
      <c r="E194">
        <f t="shared" si="46"/>
        <v>206005</v>
      </c>
      <c r="F194">
        <f t="shared" si="45"/>
        <v>206003</v>
      </c>
      <c r="G194" t="s">
        <v>888</v>
      </c>
      <c r="H194">
        <f t="shared" si="55"/>
        <v>2060041</v>
      </c>
      <c r="I194" t="str">
        <f>精英副本!B306</f>
        <v>驯兽师瓦纳</v>
      </c>
      <c r="J194">
        <f>VLOOKUP(H194,[3]monster.xml!$A$347:$C$835,3,0)</f>
        <v>61</v>
      </c>
      <c r="K194">
        <f t="shared" si="52"/>
        <v>0</v>
      </c>
      <c r="L194">
        <f t="shared" si="44"/>
        <v>1</v>
      </c>
      <c r="M194" t="str">
        <f>精英副本!Y306</f>
        <v>技巧试炼（60）</v>
      </c>
      <c r="N194">
        <f>VLOOKUP(H194,[3]monster.xml!$347:$835,5,0)</f>
        <v>1810</v>
      </c>
      <c r="O194">
        <f t="shared" si="38"/>
        <v>1810</v>
      </c>
      <c r="AA194">
        <f t="shared" si="47"/>
        <v>1</v>
      </c>
    </row>
    <row r="195" spans="1:27">
      <c r="A195">
        <f t="shared" si="50"/>
        <v>206005</v>
      </c>
      <c r="B195">
        <f t="shared" si="53"/>
        <v>2</v>
      </c>
      <c r="C195">
        <f t="shared" si="51"/>
        <v>7</v>
      </c>
      <c r="D195">
        <f t="shared" si="54"/>
        <v>60</v>
      </c>
      <c r="E195">
        <f t="shared" si="46"/>
        <v>206006</v>
      </c>
      <c r="F195">
        <f t="shared" si="45"/>
        <v>206004</v>
      </c>
      <c r="G195" t="s">
        <v>889</v>
      </c>
      <c r="H195">
        <f t="shared" si="55"/>
        <v>2060051</v>
      </c>
      <c r="I195" t="str">
        <f>精英副本!B307</f>
        <v>炎之安苏</v>
      </c>
      <c r="J195">
        <f>VLOOKUP(H195,[3]monster.xml!$A$347:$C$835,3,0)</f>
        <v>61</v>
      </c>
      <c r="K195">
        <f t="shared" si="52"/>
        <v>0</v>
      </c>
      <c r="L195">
        <f t="shared" si="44"/>
        <v>1</v>
      </c>
      <c r="M195" t="str">
        <f>精英副本!Y307</f>
        <v>技巧试炼（60）</v>
      </c>
      <c r="N195">
        <f>VLOOKUP(H195,[3]monster.xml!$347:$835,5,0)</f>
        <v>1810</v>
      </c>
      <c r="O195">
        <f t="shared" ref="O195:O258" si="56">N195</f>
        <v>1810</v>
      </c>
      <c r="AA195">
        <f t="shared" si="47"/>
        <v>1</v>
      </c>
    </row>
    <row r="196" spans="1:27">
      <c r="A196">
        <f t="shared" si="50"/>
        <v>206006</v>
      </c>
      <c r="B196">
        <f t="shared" si="53"/>
        <v>2</v>
      </c>
      <c r="C196">
        <f t="shared" si="51"/>
        <v>7</v>
      </c>
      <c r="D196">
        <f t="shared" si="54"/>
        <v>60</v>
      </c>
      <c r="E196">
        <f t="shared" si="46"/>
        <v>206007</v>
      </c>
      <c r="F196">
        <f t="shared" si="45"/>
        <v>206005</v>
      </c>
      <c r="G196" t="s">
        <v>890</v>
      </c>
      <c r="H196">
        <f t="shared" si="55"/>
        <v>2060061</v>
      </c>
      <c r="I196" t="str">
        <f>精英副本!B308</f>
        <v>迅捷的维恩</v>
      </c>
      <c r="J196">
        <f>VLOOKUP(H196,[3]monster.xml!$A$347:$C$835,3,0)</f>
        <v>62</v>
      </c>
      <c r="K196">
        <f t="shared" si="52"/>
        <v>1</v>
      </c>
      <c r="L196">
        <f t="shared" si="44"/>
        <v>5</v>
      </c>
      <c r="M196" t="str">
        <f>精英副本!Y308</f>
        <v>技巧试炼（60）</v>
      </c>
      <c r="N196">
        <f>VLOOKUP(H196,[3]monster.xml!$347:$835,5,0)</f>
        <v>1860</v>
      </c>
      <c r="O196">
        <f t="shared" si="56"/>
        <v>1860</v>
      </c>
      <c r="AA196">
        <f t="shared" si="47"/>
        <v>1</v>
      </c>
    </row>
    <row r="197" spans="1:27">
      <c r="A197">
        <f t="shared" si="50"/>
        <v>206007</v>
      </c>
      <c r="B197">
        <f t="shared" si="53"/>
        <v>2</v>
      </c>
      <c r="C197">
        <f t="shared" si="51"/>
        <v>7</v>
      </c>
      <c r="D197">
        <f t="shared" si="54"/>
        <v>60</v>
      </c>
      <c r="E197">
        <f t="shared" si="46"/>
        <v>206008</v>
      </c>
      <c r="F197">
        <f t="shared" si="45"/>
        <v>206006</v>
      </c>
      <c r="G197" t="s">
        <v>891</v>
      </c>
      <c r="H197">
        <f t="shared" si="55"/>
        <v>2060071</v>
      </c>
      <c r="I197" t="str">
        <f>精英副本!B309</f>
        <v>暮光预言者</v>
      </c>
      <c r="J197">
        <f>VLOOKUP(H197,[3]monster.xml!$A$347:$C$835,3,0)</f>
        <v>62</v>
      </c>
      <c r="K197">
        <f t="shared" si="52"/>
        <v>0</v>
      </c>
      <c r="L197">
        <f t="shared" si="44"/>
        <v>1</v>
      </c>
      <c r="M197" t="str">
        <f>精英副本!Y309</f>
        <v>技巧试炼（60）</v>
      </c>
      <c r="N197">
        <f>VLOOKUP(H197,[3]monster.xml!$347:$835,5,0)</f>
        <v>1860</v>
      </c>
      <c r="O197">
        <f t="shared" si="56"/>
        <v>1860</v>
      </c>
      <c r="AA197">
        <f t="shared" si="47"/>
        <v>1</v>
      </c>
    </row>
    <row r="198" spans="1:27">
      <c r="A198">
        <f t="shared" si="50"/>
        <v>206008</v>
      </c>
      <c r="B198">
        <f t="shared" si="53"/>
        <v>2</v>
      </c>
      <c r="C198">
        <f t="shared" si="51"/>
        <v>7</v>
      </c>
      <c r="D198">
        <f t="shared" si="54"/>
        <v>60</v>
      </c>
      <c r="E198">
        <f t="shared" si="46"/>
        <v>206009</v>
      </c>
      <c r="F198">
        <f t="shared" si="45"/>
        <v>206007</v>
      </c>
      <c r="G198" t="s">
        <v>978</v>
      </c>
      <c r="H198">
        <f t="shared" si="55"/>
        <v>2060081</v>
      </c>
      <c r="I198" t="str">
        <f>精英副本!B310</f>
        <v>卡雷</v>
      </c>
      <c r="J198">
        <f>VLOOKUP(H198,[3]monster.xml!$A$347:$C$835,3,0)</f>
        <v>63</v>
      </c>
      <c r="K198">
        <f t="shared" si="52"/>
        <v>0</v>
      </c>
      <c r="L198">
        <f t="shared" si="44"/>
        <v>1</v>
      </c>
      <c r="M198" t="str">
        <f>精英副本!Y310</f>
        <v>技巧试炼（60）</v>
      </c>
      <c r="N198">
        <f>VLOOKUP(H198,[3]monster.xml!$347:$835,5,0)</f>
        <v>1910</v>
      </c>
      <c r="O198">
        <f t="shared" si="56"/>
        <v>1910</v>
      </c>
      <c r="AA198">
        <f t="shared" si="47"/>
        <v>1</v>
      </c>
    </row>
    <row r="199" spans="1:27">
      <c r="A199">
        <f t="shared" si="50"/>
        <v>206009</v>
      </c>
      <c r="B199">
        <f t="shared" si="53"/>
        <v>2</v>
      </c>
      <c r="C199">
        <f t="shared" si="51"/>
        <v>7</v>
      </c>
      <c r="D199">
        <f t="shared" si="54"/>
        <v>60</v>
      </c>
      <c r="E199">
        <f t="shared" si="46"/>
        <v>0</v>
      </c>
      <c r="F199">
        <f t="shared" si="45"/>
        <v>206008</v>
      </c>
      <c r="G199" t="s">
        <v>979</v>
      </c>
      <c r="H199">
        <f t="shared" si="55"/>
        <v>2060091</v>
      </c>
      <c r="I199" t="str">
        <f>精英副本!B311</f>
        <v>日光费雷尔</v>
      </c>
      <c r="J199">
        <f>VLOOKUP(H199,[3]monster.xml!$A$347:$C$835,3,0)</f>
        <v>64</v>
      </c>
      <c r="K199">
        <f t="shared" si="52"/>
        <v>1</v>
      </c>
      <c r="L199">
        <f t="shared" si="44"/>
        <v>5</v>
      </c>
      <c r="M199" t="str">
        <f>精英副本!Y311</f>
        <v>技巧试炼（60）</v>
      </c>
      <c r="N199">
        <f>VLOOKUP(H199,[3]monster.xml!$347:$835,5,0)</f>
        <v>1960</v>
      </c>
      <c r="O199">
        <f t="shared" si="56"/>
        <v>1960</v>
      </c>
      <c r="AA199">
        <f t="shared" si="47"/>
        <v>0</v>
      </c>
    </row>
    <row r="200" spans="1:27">
      <c r="A200">
        <f t="shared" si="50"/>
        <v>206501</v>
      </c>
      <c r="B200">
        <f t="shared" si="53"/>
        <v>2</v>
      </c>
      <c r="C200">
        <f t="shared" si="51"/>
        <v>8</v>
      </c>
      <c r="D200">
        <f t="shared" si="54"/>
        <v>65</v>
      </c>
      <c r="E200">
        <f t="shared" si="46"/>
        <v>206502</v>
      </c>
      <c r="F200">
        <f t="shared" si="45"/>
        <v>0</v>
      </c>
      <c r="G200" t="s">
        <v>894</v>
      </c>
      <c r="H200">
        <f t="shared" si="55"/>
        <v>2065011</v>
      </c>
      <c r="I200" t="str">
        <f>精英副本!B312</f>
        <v>坚定的格雷格</v>
      </c>
      <c r="J200">
        <f>VLOOKUP(H200,[3]monster.xml!$A$347:$C$835,3,0)</f>
        <v>65</v>
      </c>
      <c r="K200">
        <f t="shared" si="52"/>
        <v>0</v>
      </c>
      <c r="L200">
        <f t="shared" si="44"/>
        <v>1</v>
      </c>
      <c r="M200" t="str">
        <f>精英副本!Y312</f>
        <v>技巧试炼（65）</v>
      </c>
      <c r="N200">
        <f>VLOOKUP(H200,[3]monster.xml!$347:$835,5,0)</f>
        <v>2010</v>
      </c>
      <c r="O200">
        <f t="shared" si="56"/>
        <v>2010</v>
      </c>
      <c r="AA200">
        <f t="shared" si="47"/>
        <v>1</v>
      </c>
    </row>
    <row r="201" spans="1:27">
      <c r="A201">
        <f t="shared" si="50"/>
        <v>206502</v>
      </c>
      <c r="B201">
        <f t="shared" si="53"/>
        <v>2</v>
      </c>
      <c r="C201">
        <f t="shared" si="51"/>
        <v>8</v>
      </c>
      <c r="D201">
        <f t="shared" si="54"/>
        <v>65</v>
      </c>
      <c r="E201">
        <f t="shared" si="46"/>
        <v>206503</v>
      </c>
      <c r="F201">
        <f t="shared" si="45"/>
        <v>206501</v>
      </c>
      <c r="G201" t="s">
        <v>895</v>
      </c>
      <c r="H201">
        <f t="shared" si="55"/>
        <v>2065021</v>
      </c>
      <c r="I201" t="str">
        <f>精英副本!B313</f>
        <v>菲德丝的倒影</v>
      </c>
      <c r="J201">
        <f>VLOOKUP(H201,[3]monster.xml!$A$347:$C$835,3,0)</f>
        <v>65</v>
      </c>
      <c r="K201">
        <f t="shared" si="52"/>
        <v>0</v>
      </c>
      <c r="L201">
        <f t="shared" ref="L201:L264" si="57">1+K201*4</f>
        <v>1</v>
      </c>
      <c r="M201" t="str">
        <f>精英副本!Y313</f>
        <v>技巧试炼（65）</v>
      </c>
      <c r="N201">
        <f>VLOOKUP(H201,[3]monster.xml!$347:$835,5,0)</f>
        <v>2010</v>
      </c>
      <c r="O201">
        <f t="shared" si="56"/>
        <v>2010</v>
      </c>
      <c r="AA201">
        <f t="shared" si="47"/>
        <v>1</v>
      </c>
    </row>
    <row r="202" spans="1:27">
      <c r="A202">
        <f t="shared" si="50"/>
        <v>206503</v>
      </c>
      <c r="B202">
        <f t="shared" si="53"/>
        <v>2</v>
      </c>
      <c r="C202">
        <f t="shared" si="51"/>
        <v>8</v>
      </c>
      <c r="D202">
        <f t="shared" si="54"/>
        <v>65</v>
      </c>
      <c r="E202">
        <f t="shared" si="46"/>
        <v>206504</v>
      </c>
      <c r="F202">
        <f t="shared" ref="F202:F265" si="58">IF(AA201&gt;0,A201,0)</f>
        <v>206502</v>
      </c>
      <c r="G202" t="s">
        <v>980</v>
      </c>
      <c r="H202">
        <f t="shared" si="55"/>
        <v>2065031</v>
      </c>
      <c r="I202" t="str">
        <f>精英副本!B314</f>
        <v>惊人的盖亚</v>
      </c>
      <c r="J202">
        <f>VLOOKUP(H202,[3]monster.xml!$A$347:$C$835,3,0)</f>
        <v>66</v>
      </c>
      <c r="K202">
        <f t="shared" si="52"/>
        <v>1</v>
      </c>
      <c r="L202">
        <f t="shared" si="57"/>
        <v>5</v>
      </c>
      <c r="M202" t="str">
        <f>精英副本!Y314</f>
        <v>技巧试炼（65）</v>
      </c>
      <c r="N202">
        <f>VLOOKUP(H202,[3]monster.xml!$347:$835,5,0)</f>
        <v>2060</v>
      </c>
      <c r="O202">
        <f t="shared" si="56"/>
        <v>2060</v>
      </c>
      <c r="AA202">
        <f t="shared" si="47"/>
        <v>1</v>
      </c>
    </row>
    <row r="203" spans="1:27">
      <c r="A203">
        <f t="shared" si="50"/>
        <v>206504</v>
      </c>
      <c r="B203">
        <f t="shared" si="53"/>
        <v>2</v>
      </c>
      <c r="C203">
        <f t="shared" si="51"/>
        <v>8</v>
      </c>
      <c r="D203">
        <f t="shared" si="54"/>
        <v>65</v>
      </c>
      <c r="E203">
        <f t="shared" ref="E203:E266" si="59">IF(F204&gt;0,A204,0)</f>
        <v>206505</v>
      </c>
      <c r="F203">
        <f t="shared" si="58"/>
        <v>206503</v>
      </c>
      <c r="G203" t="s">
        <v>897</v>
      </c>
      <c r="H203">
        <f t="shared" si="55"/>
        <v>2065041</v>
      </c>
      <c r="I203" t="str">
        <f>精英副本!B315</f>
        <v>驯兽师瓦纳</v>
      </c>
      <c r="J203">
        <f>VLOOKUP(H203,[3]monster.xml!$A$347:$C$835,3,0)</f>
        <v>66</v>
      </c>
      <c r="K203">
        <f t="shared" si="52"/>
        <v>0</v>
      </c>
      <c r="L203">
        <f t="shared" si="57"/>
        <v>1</v>
      </c>
      <c r="M203" t="str">
        <f>精英副本!Y315</f>
        <v>技巧试炼（65）</v>
      </c>
      <c r="N203">
        <f>VLOOKUP(H203,[3]monster.xml!$347:$835,5,0)</f>
        <v>2060</v>
      </c>
      <c r="O203">
        <f t="shared" si="56"/>
        <v>2060</v>
      </c>
      <c r="AA203">
        <f t="shared" si="47"/>
        <v>1</v>
      </c>
    </row>
    <row r="204" spans="1:27">
      <c r="A204">
        <f t="shared" si="50"/>
        <v>206505</v>
      </c>
      <c r="B204">
        <f t="shared" si="53"/>
        <v>2</v>
      </c>
      <c r="C204">
        <f t="shared" si="51"/>
        <v>8</v>
      </c>
      <c r="D204">
        <f t="shared" si="54"/>
        <v>65</v>
      </c>
      <c r="E204">
        <f t="shared" si="59"/>
        <v>206506</v>
      </c>
      <c r="F204">
        <f t="shared" si="58"/>
        <v>206504</v>
      </c>
      <c r="G204" t="s">
        <v>898</v>
      </c>
      <c r="H204">
        <f t="shared" si="55"/>
        <v>2065051</v>
      </c>
      <c r="I204" t="str">
        <f>精英副本!B316</f>
        <v>炎之安苏</v>
      </c>
      <c r="J204">
        <f>VLOOKUP(H204,[3]monster.xml!$A$347:$C$835,3,0)</f>
        <v>66</v>
      </c>
      <c r="K204">
        <f t="shared" si="52"/>
        <v>0</v>
      </c>
      <c r="L204">
        <f t="shared" si="57"/>
        <v>1</v>
      </c>
      <c r="M204" t="str">
        <f>精英副本!Y316</f>
        <v>技巧试炼（65）</v>
      </c>
      <c r="N204">
        <f>VLOOKUP(H204,[3]monster.xml!$347:$835,5,0)</f>
        <v>2060</v>
      </c>
      <c r="O204">
        <f t="shared" si="56"/>
        <v>2060</v>
      </c>
      <c r="AA204">
        <f t="shared" ref="AA204:AA267" si="60">AA195</f>
        <v>1</v>
      </c>
    </row>
    <row r="205" spans="1:27">
      <c r="A205">
        <f t="shared" si="50"/>
        <v>206506</v>
      </c>
      <c r="B205">
        <f t="shared" si="53"/>
        <v>2</v>
      </c>
      <c r="C205">
        <f t="shared" si="51"/>
        <v>8</v>
      </c>
      <c r="D205">
        <f t="shared" si="54"/>
        <v>65</v>
      </c>
      <c r="E205">
        <f t="shared" si="59"/>
        <v>206507</v>
      </c>
      <c r="F205">
        <f t="shared" si="58"/>
        <v>206505</v>
      </c>
      <c r="G205" t="s">
        <v>899</v>
      </c>
      <c r="H205">
        <f t="shared" si="55"/>
        <v>2065061</v>
      </c>
      <c r="I205" t="str">
        <f>精英副本!B317</f>
        <v>迅捷的维恩</v>
      </c>
      <c r="J205">
        <f>VLOOKUP(H205,[3]monster.xml!$A$347:$C$835,3,0)</f>
        <v>67</v>
      </c>
      <c r="K205">
        <f t="shared" si="52"/>
        <v>1</v>
      </c>
      <c r="L205">
        <f t="shared" si="57"/>
        <v>5</v>
      </c>
      <c r="M205" t="str">
        <f>精英副本!Y317</f>
        <v>技巧试炼（65）</v>
      </c>
      <c r="N205">
        <f>VLOOKUP(H205,[3]monster.xml!$347:$835,5,0)</f>
        <v>2110</v>
      </c>
      <c r="O205">
        <f t="shared" si="56"/>
        <v>2110</v>
      </c>
      <c r="AA205">
        <f t="shared" si="60"/>
        <v>1</v>
      </c>
    </row>
    <row r="206" spans="1:27">
      <c r="A206">
        <f t="shared" si="50"/>
        <v>206507</v>
      </c>
      <c r="B206">
        <f t="shared" si="53"/>
        <v>2</v>
      </c>
      <c r="C206">
        <f t="shared" si="51"/>
        <v>8</v>
      </c>
      <c r="D206">
        <f t="shared" si="54"/>
        <v>65</v>
      </c>
      <c r="E206">
        <f t="shared" si="59"/>
        <v>206508</v>
      </c>
      <c r="F206">
        <f t="shared" si="58"/>
        <v>206506</v>
      </c>
      <c r="G206" t="s">
        <v>900</v>
      </c>
      <c r="H206">
        <f t="shared" si="55"/>
        <v>2065071</v>
      </c>
      <c r="I206" t="str">
        <f>精英副本!B318</f>
        <v>暮光预言者</v>
      </c>
      <c r="J206">
        <f>VLOOKUP(H206,[3]monster.xml!$A$347:$C$835,3,0)</f>
        <v>67</v>
      </c>
      <c r="K206">
        <f t="shared" si="52"/>
        <v>0</v>
      </c>
      <c r="L206">
        <f t="shared" si="57"/>
        <v>1</v>
      </c>
      <c r="M206" t="str">
        <f>精英副本!Y318</f>
        <v>技巧试炼（65）</v>
      </c>
      <c r="N206">
        <f>VLOOKUP(H206,[3]monster.xml!$347:$835,5,0)</f>
        <v>2110</v>
      </c>
      <c r="O206">
        <f t="shared" si="56"/>
        <v>2110</v>
      </c>
      <c r="AA206">
        <f t="shared" si="60"/>
        <v>1</v>
      </c>
    </row>
    <row r="207" spans="1:27">
      <c r="A207">
        <f t="shared" si="50"/>
        <v>206508</v>
      </c>
      <c r="B207">
        <f t="shared" si="53"/>
        <v>2</v>
      </c>
      <c r="C207">
        <f t="shared" si="51"/>
        <v>8</v>
      </c>
      <c r="D207">
        <f t="shared" si="54"/>
        <v>65</v>
      </c>
      <c r="E207">
        <f t="shared" si="59"/>
        <v>206509</v>
      </c>
      <c r="F207">
        <f t="shared" si="58"/>
        <v>206507</v>
      </c>
      <c r="G207" t="s">
        <v>901</v>
      </c>
      <c r="H207">
        <f t="shared" si="55"/>
        <v>2065081</v>
      </c>
      <c r="I207" t="str">
        <f>精英副本!B319</f>
        <v>卡雷</v>
      </c>
      <c r="J207">
        <f>VLOOKUP(H207,[3]monster.xml!$A$347:$C$835,3,0)</f>
        <v>68</v>
      </c>
      <c r="K207">
        <f t="shared" si="52"/>
        <v>0</v>
      </c>
      <c r="L207">
        <f t="shared" si="57"/>
        <v>1</v>
      </c>
      <c r="M207" t="str">
        <f>精英副本!Y319</f>
        <v>技巧试炼（65）</v>
      </c>
      <c r="N207">
        <f>VLOOKUP(H207,[3]monster.xml!$347:$835,5,0)</f>
        <v>2160</v>
      </c>
      <c r="O207">
        <f t="shared" si="56"/>
        <v>2160</v>
      </c>
      <c r="AA207">
        <f t="shared" si="60"/>
        <v>1</v>
      </c>
    </row>
    <row r="208" spans="1:27">
      <c r="A208">
        <f t="shared" si="50"/>
        <v>206509</v>
      </c>
      <c r="B208">
        <f t="shared" si="53"/>
        <v>2</v>
      </c>
      <c r="C208">
        <f t="shared" si="51"/>
        <v>8</v>
      </c>
      <c r="D208">
        <f t="shared" si="54"/>
        <v>65</v>
      </c>
      <c r="E208">
        <f t="shared" si="59"/>
        <v>0</v>
      </c>
      <c r="F208">
        <f t="shared" si="58"/>
        <v>206508</v>
      </c>
      <c r="G208" t="s">
        <v>981</v>
      </c>
      <c r="H208">
        <f t="shared" si="55"/>
        <v>2065091</v>
      </c>
      <c r="I208" t="str">
        <f>精英副本!B320</f>
        <v>日光费雷尔</v>
      </c>
      <c r="J208">
        <f>VLOOKUP(H208,[3]monster.xml!$A$347:$C$835,3,0)</f>
        <v>69</v>
      </c>
      <c r="K208">
        <f t="shared" si="52"/>
        <v>1</v>
      </c>
      <c r="L208">
        <f t="shared" si="57"/>
        <v>5</v>
      </c>
      <c r="M208" t="str">
        <f>精英副本!Y320</f>
        <v>技巧试炼（65）</v>
      </c>
      <c r="N208">
        <f>VLOOKUP(H208,[3]monster.xml!$347:$835,5,0)</f>
        <v>2210</v>
      </c>
      <c r="O208">
        <f t="shared" si="56"/>
        <v>2210</v>
      </c>
      <c r="AA208">
        <f t="shared" si="60"/>
        <v>0</v>
      </c>
    </row>
    <row r="209" spans="1:27">
      <c r="A209">
        <f t="shared" si="50"/>
        <v>207001</v>
      </c>
      <c r="B209">
        <f t="shared" si="53"/>
        <v>2</v>
      </c>
      <c r="C209">
        <f t="shared" si="51"/>
        <v>9</v>
      </c>
      <c r="D209">
        <f t="shared" si="54"/>
        <v>70</v>
      </c>
      <c r="E209">
        <f t="shared" si="59"/>
        <v>207002</v>
      </c>
      <c r="F209">
        <f t="shared" si="58"/>
        <v>0</v>
      </c>
      <c r="G209" t="s">
        <v>903</v>
      </c>
      <c r="H209">
        <f t="shared" si="55"/>
        <v>2070011</v>
      </c>
      <c r="I209" t="str">
        <f>精英副本!B321</f>
        <v>坚定的格雷格</v>
      </c>
      <c r="J209">
        <f>VLOOKUP(H209,[3]monster.xml!$A$347:$C$835,3,0)</f>
        <v>70</v>
      </c>
      <c r="K209">
        <f t="shared" si="52"/>
        <v>0</v>
      </c>
      <c r="L209">
        <f t="shared" si="57"/>
        <v>1</v>
      </c>
      <c r="M209" t="str">
        <f>精英副本!Y321</f>
        <v>技巧试炼（70）</v>
      </c>
      <c r="N209">
        <f>VLOOKUP(H209,[3]monster.xml!$347:$835,5,0)</f>
        <v>2260</v>
      </c>
      <c r="O209">
        <f t="shared" si="56"/>
        <v>2260</v>
      </c>
      <c r="AA209">
        <f t="shared" si="60"/>
        <v>1</v>
      </c>
    </row>
    <row r="210" spans="1:27">
      <c r="A210">
        <f t="shared" si="50"/>
        <v>207002</v>
      </c>
      <c r="B210">
        <f t="shared" si="53"/>
        <v>2</v>
      </c>
      <c r="C210">
        <f t="shared" si="51"/>
        <v>9</v>
      </c>
      <c r="D210">
        <f t="shared" si="54"/>
        <v>70</v>
      </c>
      <c r="E210">
        <f t="shared" si="59"/>
        <v>207003</v>
      </c>
      <c r="F210">
        <f t="shared" si="58"/>
        <v>207001</v>
      </c>
      <c r="G210" t="s">
        <v>904</v>
      </c>
      <c r="H210">
        <f t="shared" si="55"/>
        <v>2070021</v>
      </c>
      <c r="I210" t="str">
        <f>精英副本!B322</f>
        <v>菲德丝的倒影</v>
      </c>
      <c r="J210">
        <f>VLOOKUP(H210,[3]monster.xml!$A$347:$C$835,3,0)</f>
        <v>70</v>
      </c>
      <c r="K210">
        <f t="shared" si="52"/>
        <v>0</v>
      </c>
      <c r="L210">
        <f t="shared" si="57"/>
        <v>1</v>
      </c>
      <c r="M210" t="str">
        <f>精英副本!Y322</f>
        <v>技巧试炼（70）</v>
      </c>
      <c r="N210">
        <f>VLOOKUP(H210,[3]monster.xml!$347:$835,5,0)</f>
        <v>2260</v>
      </c>
      <c r="O210">
        <f t="shared" si="56"/>
        <v>2260</v>
      </c>
      <c r="AA210">
        <f t="shared" si="60"/>
        <v>1</v>
      </c>
    </row>
    <row r="211" spans="1:27">
      <c r="A211">
        <f t="shared" si="50"/>
        <v>207003</v>
      </c>
      <c r="B211">
        <f t="shared" si="53"/>
        <v>2</v>
      </c>
      <c r="C211">
        <f t="shared" si="51"/>
        <v>9</v>
      </c>
      <c r="D211">
        <f t="shared" si="54"/>
        <v>70</v>
      </c>
      <c r="E211">
        <f t="shared" si="59"/>
        <v>207004</v>
      </c>
      <c r="F211">
        <f t="shared" si="58"/>
        <v>207002</v>
      </c>
      <c r="G211" t="s">
        <v>905</v>
      </c>
      <c r="H211">
        <f t="shared" si="55"/>
        <v>2070031</v>
      </c>
      <c r="I211" t="str">
        <f>精英副本!B323</f>
        <v>惊人的盖亚</v>
      </c>
      <c r="J211">
        <f>VLOOKUP(H211,[3]monster.xml!$A$347:$C$835,3,0)</f>
        <v>71</v>
      </c>
      <c r="K211">
        <f t="shared" si="52"/>
        <v>1</v>
      </c>
      <c r="L211">
        <f t="shared" si="57"/>
        <v>5</v>
      </c>
      <c r="M211" t="str">
        <f>精英副本!Y323</f>
        <v>技巧试炼（70）</v>
      </c>
      <c r="N211">
        <f>VLOOKUP(H211,[3]monster.xml!$347:$835,5,0)</f>
        <v>2320</v>
      </c>
      <c r="O211">
        <f t="shared" si="56"/>
        <v>2320</v>
      </c>
      <c r="AA211">
        <f t="shared" si="60"/>
        <v>1</v>
      </c>
    </row>
    <row r="212" spans="1:27">
      <c r="A212">
        <f t="shared" ref="A212:A243" si="61">A77+100000</f>
        <v>207004</v>
      </c>
      <c r="B212">
        <f t="shared" si="53"/>
        <v>2</v>
      </c>
      <c r="C212">
        <f t="shared" ref="C212:C243" si="62">C77</f>
        <v>9</v>
      </c>
      <c r="D212">
        <f t="shared" si="54"/>
        <v>70</v>
      </c>
      <c r="E212">
        <f t="shared" si="59"/>
        <v>207005</v>
      </c>
      <c r="F212">
        <f t="shared" si="58"/>
        <v>207003</v>
      </c>
      <c r="G212" t="s">
        <v>982</v>
      </c>
      <c r="H212">
        <f t="shared" si="55"/>
        <v>2070041</v>
      </c>
      <c r="I212" t="str">
        <f>精英副本!B324</f>
        <v>驯兽师瓦纳</v>
      </c>
      <c r="J212">
        <f>VLOOKUP(H212,[3]monster.xml!$A$347:$C$835,3,0)</f>
        <v>71</v>
      </c>
      <c r="K212">
        <f t="shared" si="52"/>
        <v>0</v>
      </c>
      <c r="L212">
        <f t="shared" si="57"/>
        <v>1</v>
      </c>
      <c r="M212" t="str">
        <f>精英副本!Y324</f>
        <v>技巧试炼（70）</v>
      </c>
      <c r="N212">
        <f>VLOOKUP(H212,[3]monster.xml!$347:$835,5,0)</f>
        <v>2320</v>
      </c>
      <c r="O212">
        <f t="shared" si="56"/>
        <v>2320</v>
      </c>
      <c r="AA212">
        <f t="shared" si="60"/>
        <v>1</v>
      </c>
    </row>
    <row r="213" spans="1:27">
      <c r="A213">
        <f t="shared" si="61"/>
        <v>207005</v>
      </c>
      <c r="B213">
        <f t="shared" si="53"/>
        <v>2</v>
      </c>
      <c r="C213">
        <f t="shared" si="62"/>
        <v>9</v>
      </c>
      <c r="D213">
        <f t="shared" si="54"/>
        <v>70</v>
      </c>
      <c r="E213">
        <f t="shared" si="59"/>
        <v>207006</v>
      </c>
      <c r="F213">
        <f t="shared" si="58"/>
        <v>207004</v>
      </c>
      <c r="G213" t="s">
        <v>907</v>
      </c>
      <c r="H213">
        <f t="shared" si="55"/>
        <v>2070051</v>
      </c>
      <c r="I213" t="str">
        <f>精英副本!B325</f>
        <v>炎之安苏</v>
      </c>
      <c r="J213">
        <f>VLOOKUP(H213,[3]monster.xml!$A$347:$C$835,3,0)</f>
        <v>71</v>
      </c>
      <c r="K213">
        <f t="shared" si="52"/>
        <v>0</v>
      </c>
      <c r="L213">
        <f t="shared" si="57"/>
        <v>1</v>
      </c>
      <c r="M213" t="str">
        <f>精英副本!Y325</f>
        <v>技巧试炼（70）</v>
      </c>
      <c r="N213">
        <f>VLOOKUP(H213,[3]monster.xml!$347:$835,5,0)</f>
        <v>2320</v>
      </c>
      <c r="O213">
        <f t="shared" si="56"/>
        <v>2320</v>
      </c>
      <c r="AA213">
        <f t="shared" si="60"/>
        <v>1</v>
      </c>
    </row>
    <row r="214" spans="1:27">
      <c r="A214">
        <f t="shared" si="61"/>
        <v>207006</v>
      </c>
      <c r="B214">
        <f t="shared" si="53"/>
        <v>2</v>
      </c>
      <c r="C214">
        <f t="shared" si="62"/>
        <v>9</v>
      </c>
      <c r="D214">
        <f t="shared" si="54"/>
        <v>70</v>
      </c>
      <c r="E214">
        <f t="shared" si="59"/>
        <v>207007</v>
      </c>
      <c r="F214">
        <f t="shared" si="58"/>
        <v>207005</v>
      </c>
      <c r="G214" t="s">
        <v>908</v>
      </c>
      <c r="H214">
        <f t="shared" si="55"/>
        <v>2070061</v>
      </c>
      <c r="I214" t="str">
        <f>精英副本!B326</f>
        <v>迅捷的维恩</v>
      </c>
      <c r="J214">
        <f>VLOOKUP(H214,[3]monster.xml!$A$347:$C$835,3,0)</f>
        <v>72</v>
      </c>
      <c r="K214">
        <f t="shared" ref="K214:K277" si="63">K205</f>
        <v>1</v>
      </c>
      <c r="L214">
        <f t="shared" si="57"/>
        <v>5</v>
      </c>
      <c r="M214" t="str">
        <f>精英副本!Y326</f>
        <v>技巧试炼（70）</v>
      </c>
      <c r="N214">
        <f>VLOOKUP(H214,[3]monster.xml!$347:$835,5,0)</f>
        <v>2380</v>
      </c>
      <c r="O214">
        <f t="shared" si="56"/>
        <v>2380</v>
      </c>
      <c r="AA214">
        <f t="shared" si="60"/>
        <v>1</v>
      </c>
    </row>
    <row r="215" spans="1:27">
      <c r="A215">
        <f t="shared" si="61"/>
        <v>207007</v>
      </c>
      <c r="B215">
        <f t="shared" ref="B215:B271" si="64">ROUNDDOWN(A215/100000,0)</f>
        <v>2</v>
      </c>
      <c r="C215">
        <f t="shared" si="62"/>
        <v>9</v>
      </c>
      <c r="D215">
        <f t="shared" ref="D215:D271" si="65">MID(A215,2,3)*1</f>
        <v>70</v>
      </c>
      <c r="E215">
        <f t="shared" si="59"/>
        <v>207008</v>
      </c>
      <c r="F215">
        <f t="shared" si="58"/>
        <v>207006</v>
      </c>
      <c r="G215" t="s">
        <v>909</v>
      </c>
      <c r="H215">
        <f t="shared" ref="H215:H271" si="66">A215*10+1</f>
        <v>2070071</v>
      </c>
      <c r="I215" t="str">
        <f>精英副本!B327</f>
        <v>暮光预言者</v>
      </c>
      <c r="J215">
        <f>VLOOKUP(H215,[3]monster.xml!$A$347:$C$835,3,0)</f>
        <v>72</v>
      </c>
      <c r="K215">
        <f t="shared" si="63"/>
        <v>0</v>
      </c>
      <c r="L215">
        <f t="shared" si="57"/>
        <v>1</v>
      </c>
      <c r="M215" t="str">
        <f>精英副本!Y327</f>
        <v>技巧试炼（70）</v>
      </c>
      <c r="N215">
        <f>VLOOKUP(H215,[3]monster.xml!$347:$835,5,0)</f>
        <v>2380</v>
      </c>
      <c r="O215">
        <f t="shared" si="56"/>
        <v>2380</v>
      </c>
      <c r="AA215">
        <f t="shared" si="60"/>
        <v>1</v>
      </c>
    </row>
    <row r="216" spans="1:27">
      <c r="A216">
        <f t="shared" si="61"/>
        <v>207008</v>
      </c>
      <c r="B216">
        <f t="shared" si="64"/>
        <v>2</v>
      </c>
      <c r="C216">
        <f t="shared" si="62"/>
        <v>9</v>
      </c>
      <c r="D216">
        <f t="shared" si="65"/>
        <v>70</v>
      </c>
      <c r="E216">
        <f t="shared" si="59"/>
        <v>207009</v>
      </c>
      <c r="F216">
        <f t="shared" si="58"/>
        <v>207007</v>
      </c>
      <c r="G216" t="s">
        <v>910</v>
      </c>
      <c r="H216">
        <f t="shared" si="66"/>
        <v>2070081</v>
      </c>
      <c r="I216" t="str">
        <f>精英副本!B328</f>
        <v>卡雷</v>
      </c>
      <c r="J216">
        <f>VLOOKUP(H216,[3]monster.xml!$A$347:$C$835,3,0)</f>
        <v>73</v>
      </c>
      <c r="K216">
        <f t="shared" si="63"/>
        <v>0</v>
      </c>
      <c r="L216">
        <f t="shared" si="57"/>
        <v>1</v>
      </c>
      <c r="M216" t="str">
        <f>精英副本!Y328</f>
        <v>技巧试炼（70）</v>
      </c>
      <c r="N216">
        <f>VLOOKUP(H216,[3]monster.xml!$347:$835,5,0)</f>
        <v>2440</v>
      </c>
      <c r="O216">
        <f t="shared" si="56"/>
        <v>2440</v>
      </c>
      <c r="AA216">
        <f t="shared" si="60"/>
        <v>1</v>
      </c>
    </row>
    <row r="217" spans="1:27">
      <c r="A217">
        <f t="shared" si="61"/>
        <v>207009</v>
      </c>
      <c r="B217">
        <f t="shared" si="64"/>
        <v>2</v>
      </c>
      <c r="C217">
        <f t="shared" si="62"/>
        <v>9</v>
      </c>
      <c r="D217">
        <f t="shared" si="65"/>
        <v>70</v>
      </c>
      <c r="E217">
        <f t="shared" si="59"/>
        <v>0</v>
      </c>
      <c r="F217">
        <f t="shared" si="58"/>
        <v>207008</v>
      </c>
      <c r="G217" t="s">
        <v>983</v>
      </c>
      <c r="H217">
        <f t="shared" si="66"/>
        <v>2070091</v>
      </c>
      <c r="I217" t="str">
        <f>精英副本!B329</f>
        <v>日光费雷尔</v>
      </c>
      <c r="J217">
        <f>VLOOKUP(H217,[3]monster.xml!$A$347:$C$835,3,0)</f>
        <v>74</v>
      </c>
      <c r="K217">
        <f t="shared" si="63"/>
        <v>1</v>
      </c>
      <c r="L217">
        <f t="shared" si="57"/>
        <v>5</v>
      </c>
      <c r="M217" t="str">
        <f>精英副本!Y329</f>
        <v>技巧试炼（70）</v>
      </c>
      <c r="N217">
        <f>VLOOKUP(H217,[3]monster.xml!$347:$835,5,0)</f>
        <v>2500</v>
      </c>
      <c r="O217">
        <f t="shared" si="56"/>
        <v>2500</v>
      </c>
      <c r="AA217">
        <f t="shared" si="60"/>
        <v>0</v>
      </c>
    </row>
    <row r="218" spans="1:27">
      <c r="A218">
        <f t="shared" si="61"/>
        <v>207501</v>
      </c>
      <c r="B218">
        <f t="shared" si="64"/>
        <v>2</v>
      </c>
      <c r="C218">
        <f t="shared" si="62"/>
        <v>10</v>
      </c>
      <c r="D218">
        <f t="shared" si="65"/>
        <v>75</v>
      </c>
      <c r="E218">
        <f t="shared" si="59"/>
        <v>207502</v>
      </c>
      <c r="F218">
        <f t="shared" si="58"/>
        <v>0</v>
      </c>
      <c r="G218" t="s">
        <v>912</v>
      </c>
      <c r="H218">
        <f t="shared" si="66"/>
        <v>2075011</v>
      </c>
      <c r="I218" t="str">
        <f>精英副本!B330</f>
        <v>坚定的格雷格</v>
      </c>
      <c r="J218">
        <f>VLOOKUP(H218,[3]monster.xml!$A$347:$C$835,3,0)</f>
        <v>75</v>
      </c>
      <c r="K218">
        <f t="shared" si="63"/>
        <v>0</v>
      </c>
      <c r="L218">
        <f t="shared" si="57"/>
        <v>1</v>
      </c>
      <c r="M218" t="str">
        <f>精英副本!Y330</f>
        <v>技巧试炼（75）</v>
      </c>
      <c r="N218">
        <f>VLOOKUP(H218,[3]monster.xml!$347:$835,5,0)</f>
        <v>2560</v>
      </c>
      <c r="O218">
        <f t="shared" si="56"/>
        <v>2560</v>
      </c>
      <c r="AA218">
        <f t="shared" si="60"/>
        <v>1</v>
      </c>
    </row>
    <row r="219" spans="1:27">
      <c r="A219">
        <f t="shared" si="61"/>
        <v>207502</v>
      </c>
      <c r="B219">
        <f t="shared" si="64"/>
        <v>2</v>
      </c>
      <c r="C219">
        <f t="shared" si="62"/>
        <v>10</v>
      </c>
      <c r="D219">
        <f t="shared" si="65"/>
        <v>75</v>
      </c>
      <c r="E219">
        <f t="shared" si="59"/>
        <v>207503</v>
      </c>
      <c r="F219">
        <f t="shared" si="58"/>
        <v>207501</v>
      </c>
      <c r="G219" t="s">
        <v>984</v>
      </c>
      <c r="H219">
        <f t="shared" si="66"/>
        <v>2075021</v>
      </c>
      <c r="I219" t="str">
        <f>精英副本!B331</f>
        <v>菲德丝的倒影</v>
      </c>
      <c r="J219">
        <f>VLOOKUP(H219,[3]monster.xml!$A$347:$C$835,3,0)</f>
        <v>75</v>
      </c>
      <c r="K219">
        <f t="shared" si="63"/>
        <v>0</v>
      </c>
      <c r="L219">
        <f t="shared" si="57"/>
        <v>1</v>
      </c>
      <c r="M219" t="str">
        <f>精英副本!Y331</f>
        <v>技巧试炼（75）</v>
      </c>
      <c r="N219">
        <f>VLOOKUP(H219,[3]monster.xml!$347:$835,5,0)</f>
        <v>2560</v>
      </c>
      <c r="O219">
        <f t="shared" si="56"/>
        <v>2560</v>
      </c>
      <c r="AA219">
        <f t="shared" si="60"/>
        <v>1</v>
      </c>
    </row>
    <row r="220" spans="1:27">
      <c r="A220">
        <f t="shared" si="61"/>
        <v>207503</v>
      </c>
      <c r="B220">
        <f t="shared" si="64"/>
        <v>2</v>
      </c>
      <c r="C220">
        <f t="shared" si="62"/>
        <v>10</v>
      </c>
      <c r="D220">
        <f t="shared" si="65"/>
        <v>75</v>
      </c>
      <c r="E220">
        <f t="shared" si="59"/>
        <v>207504</v>
      </c>
      <c r="F220">
        <f t="shared" si="58"/>
        <v>207502</v>
      </c>
      <c r="G220" t="s">
        <v>914</v>
      </c>
      <c r="H220">
        <f t="shared" si="66"/>
        <v>2075031</v>
      </c>
      <c r="I220" t="str">
        <f>精英副本!B332</f>
        <v>惊人的盖亚</v>
      </c>
      <c r="J220">
        <f>VLOOKUP(H220,[3]monster.xml!$A$347:$C$835,3,0)</f>
        <v>76</v>
      </c>
      <c r="K220">
        <f t="shared" si="63"/>
        <v>1</v>
      </c>
      <c r="L220">
        <f t="shared" si="57"/>
        <v>5</v>
      </c>
      <c r="M220" t="str">
        <f>精英副本!Y332</f>
        <v>技巧试炼（75）</v>
      </c>
      <c r="N220">
        <f>VLOOKUP(H220,[3]monster.xml!$347:$835,5,0)</f>
        <v>2620</v>
      </c>
      <c r="O220">
        <f t="shared" si="56"/>
        <v>2620</v>
      </c>
      <c r="AA220">
        <f t="shared" si="60"/>
        <v>1</v>
      </c>
    </row>
    <row r="221" spans="1:27">
      <c r="A221">
        <f t="shared" si="61"/>
        <v>207504</v>
      </c>
      <c r="B221">
        <f t="shared" si="64"/>
        <v>2</v>
      </c>
      <c r="C221">
        <f t="shared" si="62"/>
        <v>10</v>
      </c>
      <c r="D221">
        <f t="shared" si="65"/>
        <v>75</v>
      </c>
      <c r="E221">
        <f t="shared" si="59"/>
        <v>207505</v>
      </c>
      <c r="F221">
        <f t="shared" si="58"/>
        <v>207503</v>
      </c>
      <c r="G221" t="s">
        <v>915</v>
      </c>
      <c r="H221">
        <f t="shared" si="66"/>
        <v>2075041</v>
      </c>
      <c r="I221" t="str">
        <f>精英副本!B333</f>
        <v>驯兽师瓦纳</v>
      </c>
      <c r="J221">
        <f>VLOOKUP(H221,[3]monster.xml!$A$347:$C$835,3,0)</f>
        <v>76</v>
      </c>
      <c r="K221">
        <f t="shared" si="63"/>
        <v>0</v>
      </c>
      <c r="L221">
        <f t="shared" si="57"/>
        <v>1</v>
      </c>
      <c r="M221" t="str">
        <f>精英副本!Y333</f>
        <v>技巧试炼（75）</v>
      </c>
      <c r="N221">
        <f>VLOOKUP(H221,[3]monster.xml!$347:$835,5,0)</f>
        <v>2620</v>
      </c>
      <c r="O221">
        <f t="shared" si="56"/>
        <v>2620</v>
      </c>
      <c r="AA221">
        <f t="shared" si="60"/>
        <v>1</v>
      </c>
    </row>
    <row r="222" spans="1:27">
      <c r="A222">
        <f t="shared" si="61"/>
        <v>207505</v>
      </c>
      <c r="B222">
        <f t="shared" si="64"/>
        <v>2</v>
      </c>
      <c r="C222">
        <f t="shared" si="62"/>
        <v>10</v>
      </c>
      <c r="D222">
        <f t="shared" si="65"/>
        <v>75</v>
      </c>
      <c r="E222">
        <f t="shared" si="59"/>
        <v>207506</v>
      </c>
      <c r="F222">
        <f t="shared" si="58"/>
        <v>207504</v>
      </c>
      <c r="G222" t="s">
        <v>916</v>
      </c>
      <c r="H222">
        <f t="shared" si="66"/>
        <v>2075051</v>
      </c>
      <c r="I222" t="str">
        <f>精英副本!B334</f>
        <v>炎之安苏</v>
      </c>
      <c r="J222">
        <f>VLOOKUP(H222,[3]monster.xml!$A$347:$C$835,3,0)</f>
        <v>76</v>
      </c>
      <c r="K222">
        <f t="shared" si="63"/>
        <v>0</v>
      </c>
      <c r="L222">
        <f t="shared" si="57"/>
        <v>1</v>
      </c>
      <c r="M222" t="str">
        <f>精英副本!Y334</f>
        <v>技巧试炼（75）</v>
      </c>
      <c r="N222">
        <f>VLOOKUP(H222,[3]monster.xml!$347:$835,5,0)</f>
        <v>2620</v>
      </c>
      <c r="O222">
        <f t="shared" si="56"/>
        <v>2620</v>
      </c>
      <c r="AA222">
        <f t="shared" si="60"/>
        <v>1</v>
      </c>
    </row>
    <row r="223" spans="1:27">
      <c r="A223">
        <f t="shared" si="61"/>
        <v>207506</v>
      </c>
      <c r="B223">
        <f t="shared" si="64"/>
        <v>2</v>
      </c>
      <c r="C223">
        <f t="shared" si="62"/>
        <v>10</v>
      </c>
      <c r="D223">
        <f t="shared" si="65"/>
        <v>75</v>
      </c>
      <c r="E223">
        <f t="shared" si="59"/>
        <v>207507</v>
      </c>
      <c r="F223">
        <f t="shared" si="58"/>
        <v>207505</v>
      </c>
      <c r="G223" t="s">
        <v>917</v>
      </c>
      <c r="H223">
        <f t="shared" si="66"/>
        <v>2075061</v>
      </c>
      <c r="I223" t="str">
        <f>精英副本!B335</f>
        <v>迅捷的维恩</v>
      </c>
      <c r="J223">
        <f>VLOOKUP(H223,[3]monster.xml!$A$347:$C$835,3,0)</f>
        <v>77</v>
      </c>
      <c r="K223">
        <f t="shared" si="63"/>
        <v>1</v>
      </c>
      <c r="L223">
        <f t="shared" si="57"/>
        <v>5</v>
      </c>
      <c r="M223" t="str">
        <f>精英副本!Y335</f>
        <v>技巧试炼（75）</v>
      </c>
      <c r="N223">
        <f>VLOOKUP(H223,[3]monster.xml!$347:$835,5,0)</f>
        <v>2680</v>
      </c>
      <c r="O223">
        <f t="shared" si="56"/>
        <v>2680</v>
      </c>
      <c r="AA223">
        <f t="shared" si="60"/>
        <v>1</v>
      </c>
    </row>
    <row r="224" spans="1:27">
      <c r="A224">
        <f t="shared" si="61"/>
        <v>207507</v>
      </c>
      <c r="B224">
        <f t="shared" si="64"/>
        <v>2</v>
      </c>
      <c r="C224">
        <f t="shared" si="62"/>
        <v>10</v>
      </c>
      <c r="D224">
        <f t="shared" si="65"/>
        <v>75</v>
      </c>
      <c r="E224">
        <f t="shared" si="59"/>
        <v>207508</v>
      </c>
      <c r="F224">
        <f t="shared" si="58"/>
        <v>207506</v>
      </c>
      <c r="G224" t="s">
        <v>918</v>
      </c>
      <c r="H224">
        <f t="shared" si="66"/>
        <v>2075071</v>
      </c>
      <c r="I224" t="str">
        <f>精英副本!B336</f>
        <v>暮光预言者</v>
      </c>
      <c r="J224">
        <f>VLOOKUP(H224,[3]monster.xml!$A$347:$C$835,3,0)</f>
        <v>77</v>
      </c>
      <c r="K224">
        <f t="shared" si="63"/>
        <v>0</v>
      </c>
      <c r="L224">
        <f t="shared" si="57"/>
        <v>1</v>
      </c>
      <c r="M224" t="str">
        <f>精英副本!Y336</f>
        <v>技巧试炼（75）</v>
      </c>
      <c r="N224">
        <f>VLOOKUP(H224,[3]monster.xml!$347:$835,5,0)</f>
        <v>2680</v>
      </c>
      <c r="O224">
        <f t="shared" si="56"/>
        <v>2680</v>
      </c>
      <c r="AA224">
        <f t="shared" si="60"/>
        <v>1</v>
      </c>
    </row>
    <row r="225" spans="1:27">
      <c r="A225">
        <f t="shared" si="61"/>
        <v>207508</v>
      </c>
      <c r="B225">
        <f t="shared" si="64"/>
        <v>2</v>
      </c>
      <c r="C225">
        <f t="shared" si="62"/>
        <v>10</v>
      </c>
      <c r="D225">
        <f t="shared" si="65"/>
        <v>75</v>
      </c>
      <c r="E225">
        <f t="shared" si="59"/>
        <v>207509</v>
      </c>
      <c r="F225">
        <f t="shared" si="58"/>
        <v>207507</v>
      </c>
      <c r="G225" t="s">
        <v>919</v>
      </c>
      <c r="H225">
        <f t="shared" si="66"/>
        <v>2075081</v>
      </c>
      <c r="I225" t="str">
        <f>精英副本!B337</f>
        <v>卡雷</v>
      </c>
      <c r="J225">
        <f>VLOOKUP(H225,[3]monster.xml!$A$347:$C$835,3,0)</f>
        <v>78</v>
      </c>
      <c r="K225">
        <f t="shared" si="63"/>
        <v>0</v>
      </c>
      <c r="L225">
        <f t="shared" si="57"/>
        <v>1</v>
      </c>
      <c r="M225" t="str">
        <f>精英副本!Y337</f>
        <v>技巧试炼（75）</v>
      </c>
      <c r="N225">
        <f>VLOOKUP(H225,[3]monster.xml!$347:$835,5,0)</f>
        <v>2740</v>
      </c>
      <c r="O225">
        <f t="shared" si="56"/>
        <v>2740</v>
      </c>
      <c r="AA225">
        <f t="shared" si="60"/>
        <v>1</v>
      </c>
    </row>
    <row r="226" spans="1:27">
      <c r="A226">
        <f t="shared" si="61"/>
        <v>207509</v>
      </c>
      <c r="B226">
        <f t="shared" si="64"/>
        <v>2</v>
      </c>
      <c r="C226">
        <f t="shared" si="62"/>
        <v>10</v>
      </c>
      <c r="D226">
        <f t="shared" si="65"/>
        <v>75</v>
      </c>
      <c r="E226">
        <f t="shared" si="59"/>
        <v>0</v>
      </c>
      <c r="F226">
        <f t="shared" si="58"/>
        <v>207508</v>
      </c>
      <c r="G226" t="s">
        <v>985</v>
      </c>
      <c r="H226">
        <f t="shared" si="66"/>
        <v>2075091</v>
      </c>
      <c r="I226" t="str">
        <f>精英副本!B338</f>
        <v>日光费雷尔</v>
      </c>
      <c r="J226">
        <f>VLOOKUP(H226,[3]monster.xml!$A$347:$C$835,3,0)</f>
        <v>79</v>
      </c>
      <c r="K226">
        <f t="shared" si="63"/>
        <v>1</v>
      </c>
      <c r="L226">
        <f t="shared" si="57"/>
        <v>5</v>
      </c>
      <c r="M226" t="str">
        <f>精英副本!Y338</f>
        <v>技巧试炼（75）</v>
      </c>
      <c r="N226">
        <f>VLOOKUP(H226,[3]monster.xml!$347:$835,5,0)</f>
        <v>2800</v>
      </c>
      <c r="O226">
        <f t="shared" si="56"/>
        <v>2800</v>
      </c>
      <c r="AA226">
        <f t="shared" si="60"/>
        <v>0</v>
      </c>
    </row>
    <row r="227" spans="1:27">
      <c r="A227">
        <f t="shared" si="61"/>
        <v>208001</v>
      </c>
      <c r="B227">
        <f t="shared" si="64"/>
        <v>2</v>
      </c>
      <c r="C227">
        <f t="shared" si="62"/>
        <v>11</v>
      </c>
      <c r="D227">
        <f t="shared" si="65"/>
        <v>80</v>
      </c>
      <c r="E227">
        <f t="shared" si="59"/>
        <v>208002</v>
      </c>
      <c r="F227">
        <f t="shared" si="58"/>
        <v>0</v>
      </c>
      <c r="G227" t="s">
        <v>921</v>
      </c>
      <c r="H227">
        <f t="shared" si="66"/>
        <v>2080011</v>
      </c>
      <c r="I227" t="str">
        <f>精英副本!B339</f>
        <v>坚定的格雷格</v>
      </c>
      <c r="J227">
        <f>VLOOKUP(H227,[3]monster.xml!$A$347:$C$835,3,0)</f>
        <v>80</v>
      </c>
      <c r="K227">
        <f t="shared" si="63"/>
        <v>0</v>
      </c>
      <c r="L227">
        <f t="shared" si="57"/>
        <v>1</v>
      </c>
      <c r="M227" t="str">
        <f>精英副本!Y339</f>
        <v>技巧试炼（80）</v>
      </c>
      <c r="N227">
        <f>VLOOKUP(H227,[3]monster.xml!$347:$835,5,0)</f>
        <v>3000</v>
      </c>
      <c r="O227">
        <f t="shared" si="56"/>
        <v>3000</v>
      </c>
      <c r="AA227">
        <f t="shared" si="60"/>
        <v>1</v>
      </c>
    </row>
    <row r="228" spans="1:27">
      <c r="A228">
        <f t="shared" si="61"/>
        <v>208002</v>
      </c>
      <c r="B228">
        <f t="shared" si="64"/>
        <v>2</v>
      </c>
      <c r="C228">
        <f t="shared" si="62"/>
        <v>11</v>
      </c>
      <c r="D228">
        <f t="shared" si="65"/>
        <v>80</v>
      </c>
      <c r="E228">
        <f t="shared" si="59"/>
        <v>208003</v>
      </c>
      <c r="F228">
        <f t="shared" si="58"/>
        <v>208001</v>
      </c>
      <c r="G228" t="s">
        <v>922</v>
      </c>
      <c r="H228">
        <f t="shared" si="66"/>
        <v>2080021</v>
      </c>
      <c r="I228" t="str">
        <f>精英副本!B340</f>
        <v>菲德丝的倒影</v>
      </c>
      <c r="J228">
        <f>VLOOKUP(H228,[3]monster.xml!$A$347:$C$835,3,0)</f>
        <v>80</v>
      </c>
      <c r="K228">
        <f t="shared" si="63"/>
        <v>0</v>
      </c>
      <c r="L228">
        <f t="shared" si="57"/>
        <v>1</v>
      </c>
      <c r="M228" t="str">
        <f>精英副本!Y340</f>
        <v>技巧试炼（80）</v>
      </c>
      <c r="N228">
        <f>VLOOKUP(H228,[3]monster.xml!$347:$835,5,0)</f>
        <v>3000</v>
      </c>
      <c r="O228">
        <f t="shared" si="56"/>
        <v>3000</v>
      </c>
      <c r="AA228">
        <f t="shared" si="60"/>
        <v>1</v>
      </c>
    </row>
    <row r="229" spans="1:27">
      <c r="A229">
        <f t="shared" si="61"/>
        <v>208003</v>
      </c>
      <c r="B229">
        <f t="shared" si="64"/>
        <v>2</v>
      </c>
      <c r="C229">
        <f t="shared" si="62"/>
        <v>11</v>
      </c>
      <c r="D229">
        <f t="shared" si="65"/>
        <v>80</v>
      </c>
      <c r="E229">
        <f t="shared" si="59"/>
        <v>208004</v>
      </c>
      <c r="F229">
        <f t="shared" si="58"/>
        <v>208002</v>
      </c>
      <c r="G229" t="s">
        <v>923</v>
      </c>
      <c r="H229">
        <f t="shared" si="66"/>
        <v>2080031</v>
      </c>
      <c r="I229" t="str">
        <f>精英副本!B341</f>
        <v>惊人的盖亚</v>
      </c>
      <c r="J229">
        <f>VLOOKUP(H229,[3]monster.xml!$A$347:$C$835,3,0)</f>
        <v>81</v>
      </c>
      <c r="K229">
        <f t="shared" si="63"/>
        <v>1</v>
      </c>
      <c r="L229">
        <f t="shared" si="57"/>
        <v>5</v>
      </c>
      <c r="M229" t="str">
        <f>精英副本!Y341</f>
        <v>技巧试炼（80）</v>
      </c>
      <c r="N229">
        <f>VLOOKUP(H229,[3]monster.xml!$347:$835,5,0)</f>
        <v>3200</v>
      </c>
      <c r="O229">
        <f t="shared" si="56"/>
        <v>3200</v>
      </c>
      <c r="AA229">
        <f t="shared" si="60"/>
        <v>1</v>
      </c>
    </row>
    <row r="230" spans="1:27">
      <c r="A230">
        <f t="shared" si="61"/>
        <v>208004</v>
      </c>
      <c r="B230">
        <f t="shared" si="64"/>
        <v>2</v>
      </c>
      <c r="C230">
        <f t="shared" si="62"/>
        <v>11</v>
      </c>
      <c r="D230">
        <f t="shared" si="65"/>
        <v>80</v>
      </c>
      <c r="E230">
        <f t="shared" si="59"/>
        <v>208005</v>
      </c>
      <c r="F230">
        <f t="shared" si="58"/>
        <v>208003</v>
      </c>
      <c r="G230" t="s">
        <v>924</v>
      </c>
      <c r="H230">
        <f t="shared" si="66"/>
        <v>2080041</v>
      </c>
      <c r="I230" t="str">
        <f>精英副本!B342</f>
        <v>驯兽师瓦纳</v>
      </c>
      <c r="J230">
        <f>VLOOKUP(H230,[3]monster.xml!$A$347:$C$835,3,0)</f>
        <v>81</v>
      </c>
      <c r="K230">
        <f t="shared" si="63"/>
        <v>0</v>
      </c>
      <c r="L230">
        <f t="shared" si="57"/>
        <v>1</v>
      </c>
      <c r="M230" t="str">
        <f>精英副本!Y342</f>
        <v>技巧试炼（80）</v>
      </c>
      <c r="N230">
        <f>VLOOKUP(H230,[3]monster.xml!$347:$835,5,0)</f>
        <v>3200</v>
      </c>
      <c r="O230">
        <f t="shared" si="56"/>
        <v>3200</v>
      </c>
      <c r="AA230">
        <f t="shared" si="60"/>
        <v>1</v>
      </c>
    </row>
    <row r="231" spans="1:27">
      <c r="A231">
        <f t="shared" si="61"/>
        <v>208005</v>
      </c>
      <c r="B231">
        <f t="shared" si="64"/>
        <v>2</v>
      </c>
      <c r="C231">
        <f t="shared" si="62"/>
        <v>11</v>
      </c>
      <c r="D231">
        <f t="shared" si="65"/>
        <v>80</v>
      </c>
      <c r="E231">
        <f t="shared" si="59"/>
        <v>208006</v>
      </c>
      <c r="F231">
        <f t="shared" si="58"/>
        <v>208004</v>
      </c>
      <c r="G231" t="s">
        <v>925</v>
      </c>
      <c r="H231">
        <f t="shared" si="66"/>
        <v>2080051</v>
      </c>
      <c r="I231" t="str">
        <f>精英副本!B343</f>
        <v>炎之安苏</v>
      </c>
      <c r="J231">
        <f>VLOOKUP(H231,[3]monster.xml!$A$347:$C$835,3,0)</f>
        <v>81</v>
      </c>
      <c r="K231">
        <f t="shared" si="63"/>
        <v>0</v>
      </c>
      <c r="L231">
        <f t="shared" si="57"/>
        <v>1</v>
      </c>
      <c r="M231" t="str">
        <f>精英副本!Y343</f>
        <v>技巧试炼（80）</v>
      </c>
      <c r="N231">
        <f>VLOOKUP(H231,[3]monster.xml!$347:$835,5,0)</f>
        <v>3200</v>
      </c>
      <c r="O231">
        <f t="shared" si="56"/>
        <v>3200</v>
      </c>
      <c r="AA231">
        <f t="shared" si="60"/>
        <v>1</v>
      </c>
    </row>
    <row r="232" spans="1:27">
      <c r="A232">
        <f t="shared" si="61"/>
        <v>208006</v>
      </c>
      <c r="B232">
        <f t="shared" si="64"/>
        <v>2</v>
      </c>
      <c r="C232">
        <f t="shared" si="62"/>
        <v>11</v>
      </c>
      <c r="D232">
        <f t="shared" si="65"/>
        <v>80</v>
      </c>
      <c r="E232">
        <f t="shared" si="59"/>
        <v>208007</v>
      </c>
      <c r="F232">
        <f t="shared" si="58"/>
        <v>208005</v>
      </c>
      <c r="G232" t="s">
        <v>926</v>
      </c>
      <c r="H232">
        <f t="shared" si="66"/>
        <v>2080061</v>
      </c>
      <c r="I232" t="str">
        <f>精英副本!B344</f>
        <v>迅捷的维恩</v>
      </c>
      <c r="J232">
        <f>VLOOKUP(H232,[3]monster.xml!$A$347:$C$835,3,0)</f>
        <v>82</v>
      </c>
      <c r="K232">
        <f t="shared" si="63"/>
        <v>1</v>
      </c>
      <c r="L232">
        <f t="shared" si="57"/>
        <v>5</v>
      </c>
      <c r="M232" t="str">
        <f>精英副本!Y344</f>
        <v>技巧试炼（80）</v>
      </c>
      <c r="N232">
        <f>VLOOKUP(H232,[3]monster.xml!$347:$835,5,0)</f>
        <v>3400</v>
      </c>
      <c r="O232">
        <f t="shared" si="56"/>
        <v>3400</v>
      </c>
      <c r="AA232">
        <f t="shared" si="60"/>
        <v>1</v>
      </c>
    </row>
    <row r="233" spans="1:27">
      <c r="A233">
        <f t="shared" si="61"/>
        <v>208007</v>
      </c>
      <c r="B233">
        <f t="shared" si="64"/>
        <v>2</v>
      </c>
      <c r="C233">
        <f t="shared" si="62"/>
        <v>11</v>
      </c>
      <c r="D233">
        <f t="shared" si="65"/>
        <v>80</v>
      </c>
      <c r="E233">
        <f t="shared" si="59"/>
        <v>208008</v>
      </c>
      <c r="F233">
        <f t="shared" si="58"/>
        <v>208006</v>
      </c>
      <c r="G233" t="s">
        <v>927</v>
      </c>
      <c r="H233">
        <f t="shared" si="66"/>
        <v>2080071</v>
      </c>
      <c r="I233" t="str">
        <f>精英副本!B345</f>
        <v>暮光预言者</v>
      </c>
      <c r="J233">
        <f>VLOOKUP(H233,[3]monster.xml!$A$347:$C$835,3,0)</f>
        <v>82</v>
      </c>
      <c r="K233">
        <f t="shared" si="63"/>
        <v>0</v>
      </c>
      <c r="L233">
        <f t="shared" si="57"/>
        <v>1</v>
      </c>
      <c r="M233" t="str">
        <f>精英副本!Y345</f>
        <v>技巧试炼（80）</v>
      </c>
      <c r="N233">
        <f>VLOOKUP(H233,[3]monster.xml!$347:$835,5,0)</f>
        <v>3400</v>
      </c>
      <c r="O233">
        <f t="shared" si="56"/>
        <v>3400</v>
      </c>
      <c r="AA233">
        <f t="shared" si="60"/>
        <v>1</v>
      </c>
    </row>
    <row r="234" spans="1:27">
      <c r="A234">
        <f t="shared" si="61"/>
        <v>208008</v>
      </c>
      <c r="B234">
        <f t="shared" si="64"/>
        <v>2</v>
      </c>
      <c r="C234">
        <f t="shared" si="62"/>
        <v>11</v>
      </c>
      <c r="D234">
        <f t="shared" si="65"/>
        <v>80</v>
      </c>
      <c r="E234">
        <f t="shared" si="59"/>
        <v>208009</v>
      </c>
      <c r="F234">
        <f t="shared" si="58"/>
        <v>208007</v>
      </c>
      <c r="G234" t="s">
        <v>928</v>
      </c>
      <c r="H234">
        <f t="shared" si="66"/>
        <v>2080081</v>
      </c>
      <c r="I234" t="str">
        <f>精英副本!B346</f>
        <v>卡雷</v>
      </c>
      <c r="J234">
        <f>VLOOKUP(H234,[3]monster.xml!$A$347:$C$835,3,0)</f>
        <v>83</v>
      </c>
      <c r="K234">
        <f t="shared" si="63"/>
        <v>0</v>
      </c>
      <c r="L234">
        <f t="shared" si="57"/>
        <v>1</v>
      </c>
      <c r="M234" t="str">
        <f>精英副本!Y346</f>
        <v>技巧试炼（80）</v>
      </c>
      <c r="N234">
        <f>VLOOKUP(H234,[3]monster.xml!$347:$835,5,0)</f>
        <v>3600</v>
      </c>
      <c r="O234">
        <f t="shared" si="56"/>
        <v>3600</v>
      </c>
      <c r="AA234">
        <f t="shared" si="60"/>
        <v>1</v>
      </c>
    </row>
    <row r="235" spans="1:27">
      <c r="A235">
        <f t="shared" si="61"/>
        <v>208009</v>
      </c>
      <c r="B235">
        <f t="shared" si="64"/>
        <v>2</v>
      </c>
      <c r="C235">
        <f t="shared" si="62"/>
        <v>11</v>
      </c>
      <c r="D235">
        <f t="shared" si="65"/>
        <v>80</v>
      </c>
      <c r="E235">
        <f t="shared" si="59"/>
        <v>0</v>
      </c>
      <c r="F235">
        <f t="shared" si="58"/>
        <v>208008</v>
      </c>
      <c r="G235" t="s">
        <v>986</v>
      </c>
      <c r="H235">
        <f t="shared" si="66"/>
        <v>2080091</v>
      </c>
      <c r="I235" t="str">
        <f>精英副本!B347</f>
        <v>日光费雷尔</v>
      </c>
      <c r="J235">
        <f>VLOOKUP(H235,[3]monster.xml!$A$347:$C$835,3,0)</f>
        <v>84</v>
      </c>
      <c r="K235">
        <f t="shared" si="63"/>
        <v>1</v>
      </c>
      <c r="L235">
        <f t="shared" si="57"/>
        <v>5</v>
      </c>
      <c r="M235" t="str">
        <f>精英副本!Y347</f>
        <v>技巧试炼（80）</v>
      </c>
      <c r="N235">
        <f>VLOOKUP(H235,[3]monster.xml!$347:$835,5,0)</f>
        <v>3800</v>
      </c>
      <c r="O235">
        <f t="shared" si="56"/>
        <v>3800</v>
      </c>
      <c r="AA235">
        <f t="shared" si="60"/>
        <v>0</v>
      </c>
    </row>
    <row r="236" spans="1:27">
      <c r="A236">
        <f t="shared" si="61"/>
        <v>208501</v>
      </c>
      <c r="B236">
        <f t="shared" si="64"/>
        <v>2</v>
      </c>
      <c r="C236">
        <f t="shared" si="62"/>
        <v>12</v>
      </c>
      <c r="D236">
        <f t="shared" si="65"/>
        <v>85</v>
      </c>
      <c r="E236">
        <f t="shared" si="59"/>
        <v>208502</v>
      </c>
      <c r="F236">
        <f t="shared" si="58"/>
        <v>0</v>
      </c>
      <c r="G236" t="s">
        <v>930</v>
      </c>
      <c r="H236">
        <f t="shared" si="66"/>
        <v>2085011</v>
      </c>
      <c r="I236" t="str">
        <f>精英副本!B348</f>
        <v>咒术大师</v>
      </c>
      <c r="J236">
        <f>VLOOKUP(H236,[3]monster.xml!$A$347:$C$835,3,0)</f>
        <v>85</v>
      </c>
      <c r="K236">
        <f t="shared" si="63"/>
        <v>0</v>
      </c>
      <c r="L236">
        <f t="shared" si="57"/>
        <v>1</v>
      </c>
      <c r="M236" t="str">
        <f>精英副本!Y348</f>
        <v>沉着试炼（85）</v>
      </c>
      <c r="N236">
        <f>VLOOKUP(H236,[3]monster.xml!$347:$835,5,0)</f>
        <v>4000</v>
      </c>
      <c r="O236">
        <f t="shared" si="56"/>
        <v>4000</v>
      </c>
      <c r="AA236">
        <f t="shared" si="60"/>
        <v>1</v>
      </c>
    </row>
    <row r="237" spans="1:27">
      <c r="A237">
        <f t="shared" si="61"/>
        <v>208502</v>
      </c>
      <c r="B237">
        <f t="shared" si="64"/>
        <v>2</v>
      </c>
      <c r="C237">
        <f t="shared" si="62"/>
        <v>12</v>
      </c>
      <c r="D237">
        <f t="shared" si="65"/>
        <v>85</v>
      </c>
      <c r="E237">
        <f t="shared" si="59"/>
        <v>208503</v>
      </c>
      <c r="F237">
        <f t="shared" si="58"/>
        <v>208501</v>
      </c>
      <c r="G237" t="s">
        <v>931</v>
      </c>
      <c r="H237">
        <f t="shared" si="66"/>
        <v>2085021</v>
      </c>
      <c r="I237" t="str">
        <f>精英副本!B349</f>
        <v>拨弄的赛亚</v>
      </c>
      <c r="J237">
        <f>VLOOKUP(H237,[3]monster.xml!$A$347:$C$835,3,0)</f>
        <v>85</v>
      </c>
      <c r="K237">
        <f t="shared" si="63"/>
        <v>0</v>
      </c>
      <c r="L237">
        <f t="shared" si="57"/>
        <v>1</v>
      </c>
      <c r="M237" t="str">
        <f>精英副本!Y349</f>
        <v>沉着试炼（85）</v>
      </c>
      <c r="N237">
        <f>VLOOKUP(H237,[3]monster.xml!$347:$835,5,0)</f>
        <v>4000</v>
      </c>
      <c r="O237">
        <f t="shared" si="56"/>
        <v>4000</v>
      </c>
      <c r="AA237">
        <f t="shared" si="60"/>
        <v>1</v>
      </c>
    </row>
    <row r="238" spans="1:27">
      <c r="A238">
        <f t="shared" si="61"/>
        <v>208503</v>
      </c>
      <c r="B238">
        <f t="shared" si="64"/>
        <v>2</v>
      </c>
      <c r="C238">
        <f t="shared" si="62"/>
        <v>12</v>
      </c>
      <c r="D238">
        <f t="shared" si="65"/>
        <v>85</v>
      </c>
      <c r="E238">
        <f t="shared" si="59"/>
        <v>208504</v>
      </c>
      <c r="F238">
        <f t="shared" si="58"/>
        <v>208502</v>
      </c>
      <c r="G238" t="s">
        <v>932</v>
      </c>
      <c r="H238">
        <f t="shared" si="66"/>
        <v>2085031</v>
      </c>
      <c r="I238" t="str">
        <f>精英副本!B350</f>
        <v>法力风暴</v>
      </c>
      <c r="J238">
        <f>VLOOKUP(H238,[3]monster.xml!$A$347:$C$835,3,0)</f>
        <v>86</v>
      </c>
      <c r="K238">
        <f t="shared" si="63"/>
        <v>1</v>
      </c>
      <c r="L238">
        <f t="shared" si="57"/>
        <v>5</v>
      </c>
      <c r="M238" t="str">
        <f>精英副本!Y350</f>
        <v>沉着试炼（85）</v>
      </c>
      <c r="N238">
        <f>VLOOKUP(H238,[3]monster.xml!$347:$835,5,0)</f>
        <v>4200</v>
      </c>
      <c r="O238">
        <f t="shared" si="56"/>
        <v>4200</v>
      </c>
      <c r="AA238">
        <f t="shared" si="60"/>
        <v>1</v>
      </c>
    </row>
    <row r="239" spans="1:27">
      <c r="A239">
        <f t="shared" si="61"/>
        <v>208504</v>
      </c>
      <c r="B239">
        <f t="shared" si="64"/>
        <v>2</v>
      </c>
      <c r="C239">
        <f t="shared" si="62"/>
        <v>12</v>
      </c>
      <c r="D239">
        <f t="shared" si="65"/>
        <v>85</v>
      </c>
      <c r="E239">
        <f t="shared" si="59"/>
        <v>208505</v>
      </c>
      <c r="F239">
        <f t="shared" si="58"/>
        <v>208503</v>
      </c>
      <c r="G239" t="s">
        <v>933</v>
      </c>
      <c r="H239">
        <f t="shared" si="66"/>
        <v>2085041</v>
      </c>
      <c r="I239" t="str">
        <f>精英副本!B351</f>
        <v>火舞者</v>
      </c>
      <c r="J239">
        <f>VLOOKUP(H239,[3]monster.xml!$A$347:$C$835,3,0)</f>
        <v>86</v>
      </c>
      <c r="K239">
        <f t="shared" si="63"/>
        <v>0</v>
      </c>
      <c r="L239">
        <f t="shared" si="57"/>
        <v>1</v>
      </c>
      <c r="M239" t="str">
        <f>精英副本!Y351</f>
        <v>沉着试炼（85）</v>
      </c>
      <c r="N239">
        <f>VLOOKUP(H239,[3]monster.xml!$347:$835,5,0)</f>
        <v>4200</v>
      </c>
      <c r="O239">
        <f t="shared" si="56"/>
        <v>4200</v>
      </c>
      <c r="AA239">
        <f t="shared" si="60"/>
        <v>1</v>
      </c>
    </row>
    <row r="240" spans="1:27">
      <c r="A240">
        <f t="shared" si="61"/>
        <v>208505</v>
      </c>
      <c r="B240">
        <f t="shared" si="64"/>
        <v>2</v>
      </c>
      <c r="C240">
        <f t="shared" si="62"/>
        <v>12</v>
      </c>
      <c r="D240">
        <f t="shared" si="65"/>
        <v>85</v>
      </c>
      <c r="E240">
        <f t="shared" si="59"/>
        <v>208506</v>
      </c>
      <c r="F240">
        <f t="shared" si="58"/>
        <v>208504</v>
      </c>
      <c r="G240" t="s">
        <v>934</v>
      </c>
      <c r="H240">
        <f t="shared" si="66"/>
        <v>2085051</v>
      </c>
      <c r="I240" t="str">
        <f>精英副本!B352</f>
        <v>血誓议会</v>
      </c>
      <c r="J240">
        <f>VLOOKUP(H240,[3]monster.xml!$A$347:$C$835,3,0)</f>
        <v>86</v>
      </c>
      <c r="K240">
        <f t="shared" si="63"/>
        <v>0</v>
      </c>
      <c r="L240">
        <f t="shared" si="57"/>
        <v>1</v>
      </c>
      <c r="M240" t="str">
        <f>精英副本!Y352</f>
        <v>沉着试炼（85）</v>
      </c>
      <c r="N240">
        <f>VLOOKUP(H240,[3]monster.xml!$347:$835,5,0)</f>
        <v>4200</v>
      </c>
      <c r="O240">
        <f t="shared" si="56"/>
        <v>4200</v>
      </c>
      <c r="AA240">
        <f t="shared" si="60"/>
        <v>1</v>
      </c>
    </row>
    <row r="241" spans="1:27">
      <c r="A241">
        <f t="shared" si="61"/>
        <v>208506</v>
      </c>
      <c r="B241">
        <f t="shared" si="64"/>
        <v>2</v>
      </c>
      <c r="C241">
        <f t="shared" si="62"/>
        <v>12</v>
      </c>
      <c r="D241">
        <f t="shared" si="65"/>
        <v>85</v>
      </c>
      <c r="E241">
        <f t="shared" si="59"/>
        <v>208507</v>
      </c>
      <c r="F241">
        <f t="shared" si="58"/>
        <v>208505</v>
      </c>
      <c r="G241" t="s">
        <v>935</v>
      </c>
      <c r="H241">
        <f t="shared" si="66"/>
        <v>2085061</v>
      </c>
      <c r="I241" t="str">
        <f>精英副本!B353</f>
        <v>舞钢者拜伦</v>
      </c>
      <c r="J241">
        <f>VLOOKUP(H241,[3]monster.xml!$A$347:$C$835,3,0)</f>
        <v>87</v>
      </c>
      <c r="K241">
        <f t="shared" si="63"/>
        <v>1</v>
      </c>
      <c r="L241">
        <f t="shared" si="57"/>
        <v>5</v>
      </c>
      <c r="M241" t="str">
        <f>精英副本!Y353</f>
        <v>沉着试炼（85）</v>
      </c>
      <c r="N241">
        <f>VLOOKUP(H241,[3]monster.xml!$347:$835,5,0)</f>
        <v>4400</v>
      </c>
      <c r="O241">
        <f t="shared" si="56"/>
        <v>4400</v>
      </c>
      <c r="AA241">
        <f t="shared" si="60"/>
        <v>1</v>
      </c>
    </row>
    <row r="242" spans="1:27">
      <c r="A242">
        <f t="shared" si="61"/>
        <v>208507</v>
      </c>
      <c r="B242">
        <f t="shared" si="64"/>
        <v>2</v>
      </c>
      <c r="C242">
        <f t="shared" si="62"/>
        <v>12</v>
      </c>
      <c r="D242">
        <f t="shared" si="65"/>
        <v>85</v>
      </c>
      <c r="E242">
        <f t="shared" si="59"/>
        <v>208508</v>
      </c>
      <c r="F242">
        <f t="shared" si="58"/>
        <v>208506</v>
      </c>
      <c r="G242" t="s">
        <v>936</v>
      </c>
      <c r="H242">
        <f t="shared" si="66"/>
        <v>2085071</v>
      </c>
      <c r="I242" t="str">
        <f>精英副本!B354</f>
        <v>风暴之王</v>
      </c>
      <c r="J242">
        <f>VLOOKUP(H242,[3]monster.xml!$A$347:$C$835,3,0)</f>
        <v>87</v>
      </c>
      <c r="K242">
        <f t="shared" si="63"/>
        <v>0</v>
      </c>
      <c r="L242">
        <f t="shared" si="57"/>
        <v>1</v>
      </c>
      <c r="M242" t="str">
        <f>精英副本!Y354</f>
        <v>沉着试炼（85）</v>
      </c>
      <c r="N242">
        <f>VLOOKUP(H242,[3]monster.xml!$347:$835,5,0)</f>
        <v>4400</v>
      </c>
      <c r="O242">
        <f t="shared" si="56"/>
        <v>4400</v>
      </c>
      <c r="AA242">
        <f t="shared" si="60"/>
        <v>1</v>
      </c>
    </row>
    <row r="243" spans="1:27">
      <c r="A243">
        <f t="shared" si="61"/>
        <v>208508</v>
      </c>
      <c r="B243">
        <f t="shared" si="64"/>
        <v>2</v>
      </c>
      <c r="C243">
        <f t="shared" si="62"/>
        <v>12</v>
      </c>
      <c r="D243">
        <f t="shared" si="65"/>
        <v>85</v>
      </c>
      <c r="E243">
        <f t="shared" si="59"/>
        <v>208509</v>
      </c>
      <c r="F243">
        <f t="shared" si="58"/>
        <v>208507</v>
      </c>
      <c r="G243" t="s">
        <v>937</v>
      </c>
      <c r="H243">
        <f t="shared" si="66"/>
        <v>2085081</v>
      </c>
      <c r="I243" t="str">
        <f>精英副本!B355</f>
        <v>雷伊战争使者</v>
      </c>
      <c r="J243">
        <f>VLOOKUP(H243,[3]monster.xml!$A$347:$C$835,3,0)</f>
        <v>88</v>
      </c>
      <c r="K243">
        <f t="shared" si="63"/>
        <v>0</v>
      </c>
      <c r="L243">
        <f t="shared" si="57"/>
        <v>1</v>
      </c>
      <c r="M243" t="str">
        <f>精英副本!Y355</f>
        <v>沉着试炼（85）</v>
      </c>
      <c r="N243">
        <f>VLOOKUP(H243,[3]monster.xml!$347:$835,5,0)</f>
        <v>4600</v>
      </c>
      <c r="O243">
        <f t="shared" si="56"/>
        <v>4600</v>
      </c>
      <c r="AA243">
        <f t="shared" si="60"/>
        <v>1</v>
      </c>
    </row>
    <row r="244" spans="1:27">
      <c r="A244">
        <f t="shared" ref="A244:A271" si="67">A109+100000</f>
        <v>208509</v>
      </c>
      <c r="B244">
        <f t="shared" si="64"/>
        <v>2</v>
      </c>
      <c r="C244">
        <f t="shared" ref="C244:C271" si="68">C109</f>
        <v>12</v>
      </c>
      <c r="D244">
        <f t="shared" si="65"/>
        <v>85</v>
      </c>
      <c r="E244">
        <f t="shared" si="59"/>
        <v>0</v>
      </c>
      <c r="F244">
        <f t="shared" si="58"/>
        <v>208508</v>
      </c>
      <c r="G244" t="s">
        <v>987</v>
      </c>
      <c r="H244">
        <f t="shared" si="66"/>
        <v>2085091</v>
      </c>
      <c r="I244" t="str">
        <f>精英副本!B356</f>
        <v>暴君泰伦</v>
      </c>
      <c r="J244">
        <f>VLOOKUP(H244,[3]monster.xml!$A$347:$C$835,3,0)</f>
        <v>89</v>
      </c>
      <c r="K244">
        <f t="shared" si="63"/>
        <v>1</v>
      </c>
      <c r="L244">
        <f t="shared" si="57"/>
        <v>5</v>
      </c>
      <c r="M244" t="str">
        <f>精英副本!Y356</f>
        <v>沉着试炼（85）</v>
      </c>
      <c r="N244">
        <f>VLOOKUP(H244,[3]monster.xml!$347:$835,5,0)</f>
        <v>4800</v>
      </c>
      <c r="O244">
        <f t="shared" si="56"/>
        <v>4800</v>
      </c>
      <c r="AA244">
        <f t="shared" si="60"/>
        <v>0</v>
      </c>
    </row>
    <row r="245" spans="1:27">
      <c r="A245">
        <f t="shared" si="67"/>
        <v>209001</v>
      </c>
      <c r="B245">
        <f t="shared" si="64"/>
        <v>2</v>
      </c>
      <c r="C245">
        <f t="shared" si="68"/>
        <v>13</v>
      </c>
      <c r="D245">
        <f t="shared" si="65"/>
        <v>90</v>
      </c>
      <c r="E245">
        <f t="shared" si="59"/>
        <v>209002</v>
      </c>
      <c r="F245">
        <f t="shared" si="58"/>
        <v>0</v>
      </c>
      <c r="G245" t="s">
        <v>939</v>
      </c>
      <c r="H245">
        <f t="shared" si="66"/>
        <v>2090011</v>
      </c>
      <c r="I245" t="str">
        <f>精英副本!B357</f>
        <v>咒术大师</v>
      </c>
      <c r="J245">
        <f>VLOOKUP(H245,[3]monster.xml!$A$347:$C$835,3,0)</f>
        <v>90</v>
      </c>
      <c r="K245">
        <f t="shared" si="63"/>
        <v>0</v>
      </c>
      <c r="L245">
        <f t="shared" si="57"/>
        <v>1</v>
      </c>
      <c r="M245" t="str">
        <f>精英副本!Y357</f>
        <v>沉着试炼（90）</v>
      </c>
      <c r="N245">
        <f>VLOOKUP(H245,[3]monster.xml!$347:$835,5,0)</f>
        <v>5000</v>
      </c>
      <c r="O245">
        <f t="shared" si="56"/>
        <v>5000</v>
      </c>
      <c r="AA245">
        <f t="shared" si="60"/>
        <v>1</v>
      </c>
    </row>
    <row r="246" spans="1:27">
      <c r="A246">
        <f t="shared" si="67"/>
        <v>209002</v>
      </c>
      <c r="B246">
        <f t="shared" si="64"/>
        <v>2</v>
      </c>
      <c r="C246">
        <f t="shared" si="68"/>
        <v>13</v>
      </c>
      <c r="D246">
        <f t="shared" si="65"/>
        <v>90</v>
      </c>
      <c r="E246">
        <f t="shared" si="59"/>
        <v>209003</v>
      </c>
      <c r="F246">
        <f t="shared" si="58"/>
        <v>209001</v>
      </c>
      <c r="G246" t="s">
        <v>940</v>
      </c>
      <c r="H246">
        <f t="shared" si="66"/>
        <v>2090021</v>
      </c>
      <c r="I246" t="str">
        <f>精英副本!B358</f>
        <v>拨弄的赛亚</v>
      </c>
      <c r="J246">
        <f>VLOOKUP(H246,[3]monster.xml!$A$347:$C$835,3,0)</f>
        <v>90</v>
      </c>
      <c r="K246">
        <f t="shared" si="63"/>
        <v>0</v>
      </c>
      <c r="L246">
        <f t="shared" si="57"/>
        <v>1</v>
      </c>
      <c r="M246" t="str">
        <f>精英副本!Y358</f>
        <v>沉着试炼（90）</v>
      </c>
      <c r="N246">
        <f>VLOOKUP(H246,[3]monster.xml!$347:$835,5,0)</f>
        <v>5000</v>
      </c>
      <c r="O246">
        <f t="shared" si="56"/>
        <v>5000</v>
      </c>
      <c r="AA246">
        <f t="shared" si="60"/>
        <v>1</v>
      </c>
    </row>
    <row r="247" spans="1:27">
      <c r="A247">
        <f t="shared" si="67"/>
        <v>209003</v>
      </c>
      <c r="B247">
        <f t="shared" si="64"/>
        <v>2</v>
      </c>
      <c r="C247">
        <f t="shared" si="68"/>
        <v>13</v>
      </c>
      <c r="D247">
        <f t="shared" si="65"/>
        <v>90</v>
      </c>
      <c r="E247">
        <f t="shared" si="59"/>
        <v>209004</v>
      </c>
      <c r="F247">
        <f t="shared" si="58"/>
        <v>209002</v>
      </c>
      <c r="G247" t="s">
        <v>941</v>
      </c>
      <c r="H247">
        <f t="shared" si="66"/>
        <v>2090031</v>
      </c>
      <c r="I247" t="str">
        <f>精英副本!B359</f>
        <v>法力风暴</v>
      </c>
      <c r="J247">
        <f>VLOOKUP(H247,[3]monster.xml!$A$347:$C$835,3,0)</f>
        <v>91</v>
      </c>
      <c r="K247">
        <f t="shared" si="63"/>
        <v>1</v>
      </c>
      <c r="L247">
        <f t="shared" si="57"/>
        <v>5</v>
      </c>
      <c r="M247" t="str">
        <f>精英副本!Y359</f>
        <v>沉着试炼（90）</v>
      </c>
      <c r="N247">
        <f>VLOOKUP(H247,[3]monster.xml!$347:$835,5,0)</f>
        <v>5200</v>
      </c>
      <c r="O247">
        <f t="shared" si="56"/>
        <v>5200</v>
      </c>
      <c r="AA247">
        <f t="shared" si="60"/>
        <v>1</v>
      </c>
    </row>
    <row r="248" spans="1:27">
      <c r="A248">
        <f t="shared" si="67"/>
        <v>209004</v>
      </c>
      <c r="B248">
        <f t="shared" si="64"/>
        <v>2</v>
      </c>
      <c r="C248">
        <f t="shared" si="68"/>
        <v>13</v>
      </c>
      <c r="D248">
        <f t="shared" si="65"/>
        <v>90</v>
      </c>
      <c r="E248">
        <f t="shared" si="59"/>
        <v>209005</v>
      </c>
      <c r="F248">
        <f t="shared" si="58"/>
        <v>209003</v>
      </c>
      <c r="G248" t="s">
        <v>942</v>
      </c>
      <c r="H248">
        <f t="shared" si="66"/>
        <v>2090041</v>
      </c>
      <c r="I248" t="str">
        <f>精英副本!B360</f>
        <v>火舞者</v>
      </c>
      <c r="J248">
        <f>VLOOKUP(H248,[3]monster.xml!$A$347:$C$835,3,0)</f>
        <v>91</v>
      </c>
      <c r="K248">
        <f t="shared" si="63"/>
        <v>0</v>
      </c>
      <c r="L248">
        <f t="shared" si="57"/>
        <v>1</v>
      </c>
      <c r="M248" t="str">
        <f>精英副本!Y360</f>
        <v>沉着试炼（90）</v>
      </c>
      <c r="N248">
        <f>VLOOKUP(H248,[3]monster.xml!$347:$835,5,0)</f>
        <v>5200</v>
      </c>
      <c r="O248">
        <f t="shared" si="56"/>
        <v>5200</v>
      </c>
      <c r="AA248">
        <f t="shared" si="60"/>
        <v>1</v>
      </c>
    </row>
    <row r="249" spans="1:27">
      <c r="A249">
        <f t="shared" si="67"/>
        <v>209005</v>
      </c>
      <c r="B249">
        <f t="shared" si="64"/>
        <v>2</v>
      </c>
      <c r="C249">
        <f t="shared" si="68"/>
        <v>13</v>
      </c>
      <c r="D249">
        <f t="shared" si="65"/>
        <v>90</v>
      </c>
      <c r="E249">
        <f t="shared" si="59"/>
        <v>209006</v>
      </c>
      <c r="F249">
        <f t="shared" si="58"/>
        <v>209004</v>
      </c>
      <c r="G249" t="s">
        <v>943</v>
      </c>
      <c r="H249">
        <f t="shared" si="66"/>
        <v>2090051</v>
      </c>
      <c r="I249" t="str">
        <f>精英副本!B361</f>
        <v>血誓议会</v>
      </c>
      <c r="J249">
        <f>VLOOKUP(H249,[3]monster.xml!$A$347:$C$835,3,0)</f>
        <v>91</v>
      </c>
      <c r="K249">
        <f t="shared" si="63"/>
        <v>0</v>
      </c>
      <c r="L249">
        <f t="shared" si="57"/>
        <v>1</v>
      </c>
      <c r="M249" t="str">
        <f>精英副本!Y361</f>
        <v>沉着试炼（90）</v>
      </c>
      <c r="N249">
        <f>VLOOKUP(H249,[3]monster.xml!$347:$835,5,0)</f>
        <v>5200</v>
      </c>
      <c r="O249">
        <f t="shared" si="56"/>
        <v>5200</v>
      </c>
      <c r="AA249">
        <f t="shared" si="60"/>
        <v>1</v>
      </c>
    </row>
    <row r="250" spans="1:27">
      <c r="A250">
        <f t="shared" si="67"/>
        <v>209006</v>
      </c>
      <c r="B250">
        <f t="shared" si="64"/>
        <v>2</v>
      </c>
      <c r="C250">
        <f t="shared" si="68"/>
        <v>13</v>
      </c>
      <c r="D250">
        <f t="shared" si="65"/>
        <v>90</v>
      </c>
      <c r="E250">
        <f t="shared" si="59"/>
        <v>209007</v>
      </c>
      <c r="F250">
        <f t="shared" si="58"/>
        <v>209005</v>
      </c>
      <c r="G250" t="s">
        <v>944</v>
      </c>
      <c r="H250">
        <f t="shared" si="66"/>
        <v>2090061</v>
      </c>
      <c r="I250" t="str">
        <f>精英副本!B362</f>
        <v>舞钢者拜伦</v>
      </c>
      <c r="J250">
        <f>VLOOKUP(H250,[3]monster.xml!$A$347:$C$835,3,0)</f>
        <v>92</v>
      </c>
      <c r="K250">
        <f t="shared" si="63"/>
        <v>1</v>
      </c>
      <c r="L250">
        <f t="shared" si="57"/>
        <v>5</v>
      </c>
      <c r="M250" t="str">
        <f>精英副本!Y362</f>
        <v>沉着试炼（90）</v>
      </c>
      <c r="N250">
        <f>VLOOKUP(H250,[3]monster.xml!$347:$835,5,0)</f>
        <v>5400</v>
      </c>
      <c r="O250">
        <f t="shared" si="56"/>
        <v>5400</v>
      </c>
      <c r="AA250">
        <f t="shared" si="60"/>
        <v>1</v>
      </c>
    </row>
    <row r="251" spans="1:27">
      <c r="A251">
        <f t="shared" si="67"/>
        <v>209007</v>
      </c>
      <c r="B251">
        <f t="shared" si="64"/>
        <v>2</v>
      </c>
      <c r="C251">
        <f t="shared" si="68"/>
        <v>13</v>
      </c>
      <c r="D251">
        <f t="shared" si="65"/>
        <v>90</v>
      </c>
      <c r="E251">
        <f t="shared" si="59"/>
        <v>209008</v>
      </c>
      <c r="F251">
        <f t="shared" si="58"/>
        <v>209006</v>
      </c>
      <c r="G251" t="s">
        <v>988</v>
      </c>
      <c r="H251">
        <f t="shared" si="66"/>
        <v>2090071</v>
      </c>
      <c r="I251" t="str">
        <f>精英副本!B363</f>
        <v>风暴之王</v>
      </c>
      <c r="J251">
        <f>VLOOKUP(H251,[3]monster.xml!$A$347:$C$835,3,0)</f>
        <v>92</v>
      </c>
      <c r="K251">
        <f t="shared" si="63"/>
        <v>0</v>
      </c>
      <c r="L251">
        <f t="shared" si="57"/>
        <v>1</v>
      </c>
      <c r="M251" t="str">
        <f>精英副本!Y363</f>
        <v>沉着试炼（90）</v>
      </c>
      <c r="N251">
        <f>VLOOKUP(H251,[3]monster.xml!$347:$835,5,0)</f>
        <v>5400</v>
      </c>
      <c r="O251">
        <f t="shared" si="56"/>
        <v>5400</v>
      </c>
      <c r="AA251">
        <f t="shared" si="60"/>
        <v>1</v>
      </c>
    </row>
    <row r="252" spans="1:27">
      <c r="A252">
        <f t="shared" si="67"/>
        <v>209008</v>
      </c>
      <c r="B252">
        <f t="shared" si="64"/>
        <v>2</v>
      </c>
      <c r="C252">
        <f t="shared" si="68"/>
        <v>13</v>
      </c>
      <c r="D252">
        <f t="shared" si="65"/>
        <v>90</v>
      </c>
      <c r="E252">
        <f t="shared" si="59"/>
        <v>209009</v>
      </c>
      <c r="F252">
        <f t="shared" si="58"/>
        <v>209007</v>
      </c>
      <c r="G252" t="s">
        <v>946</v>
      </c>
      <c r="H252">
        <f t="shared" si="66"/>
        <v>2090081</v>
      </c>
      <c r="I252" t="str">
        <f>精英副本!B364</f>
        <v>雷伊战争使者</v>
      </c>
      <c r="J252">
        <f>VLOOKUP(H252,[3]monster.xml!$A$347:$C$835,3,0)</f>
        <v>93</v>
      </c>
      <c r="K252">
        <f t="shared" si="63"/>
        <v>0</v>
      </c>
      <c r="L252">
        <f t="shared" si="57"/>
        <v>1</v>
      </c>
      <c r="M252" t="str">
        <f>精英副本!Y364</f>
        <v>沉着试炼（90）</v>
      </c>
      <c r="N252">
        <f>VLOOKUP(H252,[3]monster.xml!$347:$835,5,0)</f>
        <v>5600</v>
      </c>
      <c r="O252">
        <f t="shared" si="56"/>
        <v>5600</v>
      </c>
      <c r="AA252">
        <f t="shared" si="60"/>
        <v>1</v>
      </c>
    </row>
    <row r="253" spans="1:27">
      <c r="A253">
        <f t="shared" si="67"/>
        <v>209009</v>
      </c>
      <c r="B253">
        <f t="shared" si="64"/>
        <v>2</v>
      </c>
      <c r="C253">
        <f t="shared" si="68"/>
        <v>13</v>
      </c>
      <c r="D253">
        <f t="shared" si="65"/>
        <v>90</v>
      </c>
      <c r="E253">
        <f t="shared" si="59"/>
        <v>0</v>
      </c>
      <c r="F253">
        <f t="shared" si="58"/>
        <v>209008</v>
      </c>
      <c r="G253" t="s">
        <v>989</v>
      </c>
      <c r="H253">
        <f t="shared" si="66"/>
        <v>2090091</v>
      </c>
      <c r="I253" t="str">
        <f>精英副本!B365</f>
        <v>暴君泰伦</v>
      </c>
      <c r="J253">
        <f>VLOOKUP(H253,[3]monster.xml!$A$347:$C$835,3,0)</f>
        <v>94</v>
      </c>
      <c r="K253">
        <f t="shared" si="63"/>
        <v>1</v>
      </c>
      <c r="L253">
        <f t="shared" si="57"/>
        <v>5</v>
      </c>
      <c r="M253" t="str">
        <f>精英副本!Y365</f>
        <v>沉着试炼（90）</v>
      </c>
      <c r="N253">
        <f>VLOOKUP(H253,[3]monster.xml!$347:$835,5,0)</f>
        <v>5800</v>
      </c>
      <c r="O253">
        <f t="shared" si="56"/>
        <v>5800</v>
      </c>
      <c r="AA253">
        <f t="shared" si="60"/>
        <v>0</v>
      </c>
    </row>
    <row r="254" spans="1:27">
      <c r="A254">
        <f t="shared" si="67"/>
        <v>209501</v>
      </c>
      <c r="B254">
        <f t="shared" si="64"/>
        <v>2</v>
      </c>
      <c r="C254">
        <f t="shared" si="68"/>
        <v>14</v>
      </c>
      <c r="D254">
        <f t="shared" si="65"/>
        <v>95</v>
      </c>
      <c r="E254">
        <f t="shared" si="59"/>
        <v>209502</v>
      </c>
      <c r="F254">
        <f t="shared" si="58"/>
        <v>0</v>
      </c>
      <c r="G254" t="s">
        <v>948</v>
      </c>
      <c r="H254">
        <f t="shared" si="66"/>
        <v>2095011</v>
      </c>
      <c r="I254" t="str">
        <f>精英副本!B366</f>
        <v>咒术大师</v>
      </c>
      <c r="J254">
        <f>VLOOKUP(H254,[3]monster.xml!$A$347:$C$835,3,0)</f>
        <v>95</v>
      </c>
      <c r="K254">
        <f t="shared" si="63"/>
        <v>0</v>
      </c>
      <c r="L254">
        <f t="shared" si="57"/>
        <v>1</v>
      </c>
      <c r="M254" t="str">
        <f>精英副本!Y366</f>
        <v>沉着试炼（95）</v>
      </c>
      <c r="N254">
        <f>VLOOKUP(H254,[3]monster.xml!$347:$835,5,0)</f>
        <v>6000</v>
      </c>
      <c r="O254">
        <f t="shared" si="56"/>
        <v>6000</v>
      </c>
      <c r="AA254">
        <f t="shared" si="60"/>
        <v>1</v>
      </c>
    </row>
    <row r="255" spans="1:27">
      <c r="A255">
        <f t="shared" si="67"/>
        <v>209502</v>
      </c>
      <c r="B255">
        <f t="shared" si="64"/>
        <v>2</v>
      </c>
      <c r="C255">
        <f t="shared" si="68"/>
        <v>14</v>
      </c>
      <c r="D255">
        <f t="shared" si="65"/>
        <v>95</v>
      </c>
      <c r="E255">
        <f t="shared" si="59"/>
        <v>209503</v>
      </c>
      <c r="F255">
        <f t="shared" si="58"/>
        <v>209501</v>
      </c>
      <c r="G255" t="s">
        <v>949</v>
      </c>
      <c r="H255">
        <f t="shared" si="66"/>
        <v>2095021</v>
      </c>
      <c r="I255" t="str">
        <f>精英副本!B367</f>
        <v>拨弄的赛亚</v>
      </c>
      <c r="J255">
        <f>VLOOKUP(H255,[3]monster.xml!$A$347:$C$835,3,0)</f>
        <v>95</v>
      </c>
      <c r="K255">
        <f t="shared" si="63"/>
        <v>0</v>
      </c>
      <c r="L255">
        <f t="shared" si="57"/>
        <v>1</v>
      </c>
      <c r="M255" t="str">
        <f>精英副本!Y367</f>
        <v>沉着试炼（95）</v>
      </c>
      <c r="N255">
        <f>VLOOKUP(H255,[3]monster.xml!$347:$835,5,0)</f>
        <v>6000</v>
      </c>
      <c r="O255">
        <f t="shared" si="56"/>
        <v>6000</v>
      </c>
      <c r="AA255">
        <f t="shared" si="60"/>
        <v>1</v>
      </c>
    </row>
    <row r="256" spans="1:27">
      <c r="A256">
        <f t="shared" si="67"/>
        <v>209503</v>
      </c>
      <c r="B256">
        <f t="shared" si="64"/>
        <v>2</v>
      </c>
      <c r="C256">
        <f t="shared" si="68"/>
        <v>14</v>
      </c>
      <c r="D256">
        <f t="shared" si="65"/>
        <v>95</v>
      </c>
      <c r="E256">
        <f t="shared" si="59"/>
        <v>209504</v>
      </c>
      <c r="F256">
        <f t="shared" si="58"/>
        <v>209502</v>
      </c>
      <c r="G256" t="s">
        <v>950</v>
      </c>
      <c r="H256">
        <f t="shared" si="66"/>
        <v>2095031</v>
      </c>
      <c r="I256" t="str">
        <f>精英副本!B368</f>
        <v>法力风暴</v>
      </c>
      <c r="J256">
        <f>VLOOKUP(H256,[3]monster.xml!$A$347:$C$835,3,0)</f>
        <v>96</v>
      </c>
      <c r="K256">
        <f t="shared" si="63"/>
        <v>1</v>
      </c>
      <c r="L256">
        <f t="shared" si="57"/>
        <v>5</v>
      </c>
      <c r="M256" t="str">
        <f>精英副本!Y368</f>
        <v>沉着试炼（95）</v>
      </c>
      <c r="N256">
        <f>VLOOKUP(H256,[3]monster.xml!$347:$835,5,0)</f>
        <v>6200</v>
      </c>
      <c r="O256">
        <f t="shared" si="56"/>
        <v>6200</v>
      </c>
      <c r="AA256">
        <f t="shared" si="60"/>
        <v>1</v>
      </c>
    </row>
    <row r="257" spans="1:27">
      <c r="A257">
        <f t="shared" si="67"/>
        <v>209504</v>
      </c>
      <c r="B257">
        <f t="shared" si="64"/>
        <v>2</v>
      </c>
      <c r="C257">
        <f t="shared" si="68"/>
        <v>14</v>
      </c>
      <c r="D257">
        <f t="shared" si="65"/>
        <v>95</v>
      </c>
      <c r="E257">
        <f t="shared" si="59"/>
        <v>209505</v>
      </c>
      <c r="F257">
        <f t="shared" si="58"/>
        <v>209503</v>
      </c>
      <c r="G257" t="s">
        <v>951</v>
      </c>
      <c r="H257">
        <f t="shared" si="66"/>
        <v>2095041</v>
      </c>
      <c r="I257" t="str">
        <f>精英副本!B369</f>
        <v>火舞者</v>
      </c>
      <c r="J257">
        <f>VLOOKUP(H257,[3]monster.xml!$A$347:$C$835,3,0)</f>
        <v>96</v>
      </c>
      <c r="K257">
        <f t="shared" si="63"/>
        <v>0</v>
      </c>
      <c r="L257">
        <f t="shared" si="57"/>
        <v>1</v>
      </c>
      <c r="M257" t="str">
        <f>精英副本!Y369</f>
        <v>沉着试炼（95）</v>
      </c>
      <c r="N257">
        <f>VLOOKUP(H257,[3]monster.xml!$347:$835,5,0)</f>
        <v>6200</v>
      </c>
      <c r="O257">
        <f t="shared" si="56"/>
        <v>6200</v>
      </c>
      <c r="AA257">
        <f t="shared" si="60"/>
        <v>1</v>
      </c>
    </row>
    <row r="258" spans="1:27">
      <c r="A258">
        <f t="shared" si="67"/>
        <v>209505</v>
      </c>
      <c r="B258">
        <f t="shared" si="64"/>
        <v>2</v>
      </c>
      <c r="C258">
        <f t="shared" si="68"/>
        <v>14</v>
      </c>
      <c r="D258">
        <f t="shared" si="65"/>
        <v>95</v>
      </c>
      <c r="E258">
        <f t="shared" si="59"/>
        <v>209506</v>
      </c>
      <c r="F258">
        <f t="shared" si="58"/>
        <v>209504</v>
      </c>
      <c r="G258" t="s">
        <v>952</v>
      </c>
      <c r="H258">
        <f t="shared" si="66"/>
        <v>2095051</v>
      </c>
      <c r="I258" t="str">
        <f>精英副本!B370</f>
        <v>血誓议会</v>
      </c>
      <c r="J258">
        <f>VLOOKUP(H258,[3]monster.xml!$A$347:$C$835,3,0)</f>
        <v>96</v>
      </c>
      <c r="K258">
        <f t="shared" si="63"/>
        <v>0</v>
      </c>
      <c r="L258">
        <f t="shared" si="57"/>
        <v>1</v>
      </c>
      <c r="M258" t="str">
        <f>精英副本!Y370</f>
        <v>沉着试炼（95）</v>
      </c>
      <c r="N258">
        <f>VLOOKUP(H258,[3]monster.xml!$347:$835,5,0)</f>
        <v>6200</v>
      </c>
      <c r="O258">
        <f t="shared" si="56"/>
        <v>6200</v>
      </c>
      <c r="AA258">
        <f t="shared" si="60"/>
        <v>1</v>
      </c>
    </row>
    <row r="259" spans="1:27">
      <c r="A259">
        <f t="shared" si="67"/>
        <v>209506</v>
      </c>
      <c r="B259">
        <f t="shared" si="64"/>
        <v>2</v>
      </c>
      <c r="C259">
        <f t="shared" si="68"/>
        <v>14</v>
      </c>
      <c r="D259">
        <f t="shared" si="65"/>
        <v>95</v>
      </c>
      <c r="E259">
        <f t="shared" si="59"/>
        <v>209507</v>
      </c>
      <c r="F259">
        <f t="shared" si="58"/>
        <v>209505</v>
      </c>
      <c r="G259" t="s">
        <v>953</v>
      </c>
      <c r="H259">
        <f t="shared" si="66"/>
        <v>2095061</v>
      </c>
      <c r="I259" t="str">
        <f>精英副本!B371</f>
        <v>舞钢者拜伦</v>
      </c>
      <c r="J259">
        <f>VLOOKUP(H259,[3]monster.xml!$A$347:$C$835,3,0)</f>
        <v>97</v>
      </c>
      <c r="K259">
        <f t="shared" si="63"/>
        <v>1</v>
      </c>
      <c r="L259">
        <f t="shared" si="57"/>
        <v>5</v>
      </c>
      <c r="M259" t="str">
        <f>精英副本!Y371</f>
        <v>沉着试炼（95）</v>
      </c>
      <c r="N259">
        <f>VLOOKUP(H259,[3]monster.xml!$347:$835,5,0)</f>
        <v>6400</v>
      </c>
      <c r="O259">
        <f t="shared" ref="O259:O322" si="69">N259</f>
        <v>6400</v>
      </c>
      <c r="AA259">
        <f t="shared" si="60"/>
        <v>1</v>
      </c>
    </row>
    <row r="260" spans="1:27">
      <c r="A260">
        <f t="shared" si="67"/>
        <v>209507</v>
      </c>
      <c r="B260">
        <f t="shared" si="64"/>
        <v>2</v>
      </c>
      <c r="C260">
        <f t="shared" si="68"/>
        <v>14</v>
      </c>
      <c r="D260">
        <f t="shared" si="65"/>
        <v>95</v>
      </c>
      <c r="E260">
        <f t="shared" si="59"/>
        <v>209508</v>
      </c>
      <c r="F260">
        <f t="shared" si="58"/>
        <v>209506</v>
      </c>
      <c r="G260" t="s">
        <v>990</v>
      </c>
      <c r="H260">
        <f t="shared" si="66"/>
        <v>2095071</v>
      </c>
      <c r="I260" t="str">
        <f>精英副本!B372</f>
        <v>风暴之王</v>
      </c>
      <c r="J260">
        <f>VLOOKUP(H260,[3]monster.xml!$A$347:$C$835,3,0)</f>
        <v>97</v>
      </c>
      <c r="K260">
        <f t="shared" si="63"/>
        <v>0</v>
      </c>
      <c r="L260">
        <f t="shared" si="57"/>
        <v>1</v>
      </c>
      <c r="M260" t="str">
        <f>精英副本!Y372</f>
        <v>沉着试炼（95）</v>
      </c>
      <c r="N260">
        <f>VLOOKUP(H260,[3]monster.xml!$347:$835,5,0)</f>
        <v>6400</v>
      </c>
      <c r="O260">
        <f t="shared" si="69"/>
        <v>6400</v>
      </c>
      <c r="AA260">
        <f t="shared" si="60"/>
        <v>1</v>
      </c>
    </row>
    <row r="261" spans="1:27">
      <c r="A261">
        <f t="shared" si="67"/>
        <v>209508</v>
      </c>
      <c r="B261">
        <f t="shared" si="64"/>
        <v>2</v>
      </c>
      <c r="C261">
        <f t="shared" si="68"/>
        <v>14</v>
      </c>
      <c r="D261">
        <f t="shared" si="65"/>
        <v>95</v>
      </c>
      <c r="E261">
        <f t="shared" si="59"/>
        <v>209509</v>
      </c>
      <c r="F261">
        <f t="shared" si="58"/>
        <v>209507</v>
      </c>
      <c r="G261" t="s">
        <v>955</v>
      </c>
      <c r="H261">
        <f t="shared" si="66"/>
        <v>2095081</v>
      </c>
      <c r="I261" t="str">
        <f>精英副本!B373</f>
        <v>雷伊战争使者</v>
      </c>
      <c r="J261">
        <f>VLOOKUP(H261,[3]monster.xml!$A$347:$C$835,3,0)</f>
        <v>98</v>
      </c>
      <c r="K261">
        <f t="shared" si="63"/>
        <v>0</v>
      </c>
      <c r="L261">
        <f t="shared" si="57"/>
        <v>1</v>
      </c>
      <c r="M261" t="str">
        <f>精英副本!Y373</f>
        <v>沉着试炼（95）</v>
      </c>
      <c r="N261">
        <f>VLOOKUP(H261,[3]monster.xml!$347:$835,5,0)</f>
        <v>6600</v>
      </c>
      <c r="O261">
        <f t="shared" si="69"/>
        <v>6600</v>
      </c>
      <c r="AA261">
        <f t="shared" si="60"/>
        <v>1</v>
      </c>
    </row>
    <row r="262" spans="1:27">
      <c r="A262">
        <f t="shared" si="67"/>
        <v>209509</v>
      </c>
      <c r="B262">
        <f t="shared" si="64"/>
        <v>2</v>
      </c>
      <c r="C262">
        <f t="shared" si="68"/>
        <v>14</v>
      </c>
      <c r="D262">
        <f t="shared" si="65"/>
        <v>95</v>
      </c>
      <c r="E262">
        <f t="shared" si="59"/>
        <v>0</v>
      </c>
      <c r="F262">
        <f t="shared" si="58"/>
        <v>209508</v>
      </c>
      <c r="G262" t="s">
        <v>991</v>
      </c>
      <c r="H262">
        <f t="shared" si="66"/>
        <v>2095091</v>
      </c>
      <c r="I262" t="str">
        <f>精英副本!B374</f>
        <v>暴君泰伦</v>
      </c>
      <c r="J262">
        <f>VLOOKUP(H262,[3]monster.xml!$A$347:$C$835,3,0)</f>
        <v>99</v>
      </c>
      <c r="K262">
        <f t="shared" si="63"/>
        <v>1</v>
      </c>
      <c r="L262">
        <f t="shared" si="57"/>
        <v>5</v>
      </c>
      <c r="M262" t="str">
        <f>精英副本!Y374</f>
        <v>沉着试炼（95）</v>
      </c>
      <c r="N262">
        <f>VLOOKUP(H262,[3]monster.xml!$347:$835,5,0)</f>
        <v>6800</v>
      </c>
      <c r="O262">
        <f t="shared" si="69"/>
        <v>6800</v>
      </c>
      <c r="AA262">
        <f t="shared" si="60"/>
        <v>0</v>
      </c>
    </row>
    <row r="263" spans="1:27">
      <c r="A263">
        <f t="shared" si="67"/>
        <v>210001</v>
      </c>
      <c r="B263">
        <f t="shared" si="64"/>
        <v>2</v>
      </c>
      <c r="C263">
        <f t="shared" si="68"/>
        <v>15</v>
      </c>
      <c r="D263">
        <f t="shared" si="65"/>
        <v>100</v>
      </c>
      <c r="E263">
        <f t="shared" si="59"/>
        <v>210002</v>
      </c>
      <c r="F263">
        <f t="shared" si="58"/>
        <v>0</v>
      </c>
      <c r="G263" t="s">
        <v>957</v>
      </c>
      <c r="H263">
        <f t="shared" si="66"/>
        <v>2100011</v>
      </c>
      <c r="I263" t="str">
        <f>精英副本!B375</f>
        <v>咒术大师</v>
      </c>
      <c r="J263">
        <f>VLOOKUP(H263,[3]monster.xml!$A$347:$C$835,3,0)</f>
        <v>100</v>
      </c>
      <c r="K263">
        <f t="shared" si="63"/>
        <v>0</v>
      </c>
      <c r="L263">
        <f t="shared" si="57"/>
        <v>1</v>
      </c>
      <c r="M263" t="str">
        <f>精英副本!Y375</f>
        <v>沉着试炼（100）</v>
      </c>
      <c r="N263">
        <f>VLOOKUP(H263,[3]monster.xml!$347:$835,5,0)</f>
        <v>7000</v>
      </c>
      <c r="O263">
        <f t="shared" si="69"/>
        <v>7000</v>
      </c>
      <c r="AA263">
        <f t="shared" si="60"/>
        <v>1</v>
      </c>
    </row>
    <row r="264" spans="1:27">
      <c r="A264">
        <f t="shared" si="67"/>
        <v>210002</v>
      </c>
      <c r="B264">
        <f t="shared" si="64"/>
        <v>2</v>
      </c>
      <c r="C264">
        <f t="shared" si="68"/>
        <v>15</v>
      </c>
      <c r="D264">
        <f t="shared" si="65"/>
        <v>100</v>
      </c>
      <c r="E264">
        <f t="shared" si="59"/>
        <v>210003</v>
      </c>
      <c r="F264">
        <f t="shared" si="58"/>
        <v>210001</v>
      </c>
      <c r="G264" t="s">
        <v>958</v>
      </c>
      <c r="H264">
        <f t="shared" si="66"/>
        <v>2100021</v>
      </c>
      <c r="I264" t="str">
        <f>精英副本!B376</f>
        <v>拨弄的赛亚</v>
      </c>
      <c r="J264">
        <f>VLOOKUP(H264,[3]monster.xml!$A$347:$C$835,3,0)</f>
        <v>100</v>
      </c>
      <c r="K264">
        <f t="shared" si="63"/>
        <v>0</v>
      </c>
      <c r="L264">
        <f t="shared" si="57"/>
        <v>1</v>
      </c>
      <c r="M264" t="str">
        <f>精英副本!Y376</f>
        <v>沉着试炼（100）</v>
      </c>
      <c r="N264">
        <f>VLOOKUP(H264,[3]monster.xml!$347:$835,5,0)</f>
        <v>7000</v>
      </c>
      <c r="O264">
        <f t="shared" si="69"/>
        <v>7000</v>
      </c>
      <c r="AA264">
        <f t="shared" si="60"/>
        <v>1</v>
      </c>
    </row>
    <row r="265" spans="1:27">
      <c r="A265">
        <f t="shared" si="67"/>
        <v>210003</v>
      </c>
      <c r="B265">
        <f t="shared" si="64"/>
        <v>2</v>
      </c>
      <c r="C265">
        <f t="shared" si="68"/>
        <v>15</v>
      </c>
      <c r="D265">
        <f t="shared" si="65"/>
        <v>100</v>
      </c>
      <c r="E265">
        <f t="shared" si="59"/>
        <v>210004</v>
      </c>
      <c r="F265">
        <f t="shared" si="58"/>
        <v>210002</v>
      </c>
      <c r="G265" t="s">
        <v>959</v>
      </c>
      <c r="H265">
        <f t="shared" si="66"/>
        <v>2100031</v>
      </c>
      <c r="I265" t="str">
        <f>精英副本!B377</f>
        <v>法力风暴</v>
      </c>
      <c r="J265">
        <f>VLOOKUP(H265,[3]monster.xml!$A$347:$C$835,3,0)</f>
        <v>101</v>
      </c>
      <c r="K265">
        <f t="shared" si="63"/>
        <v>1</v>
      </c>
      <c r="L265">
        <f t="shared" ref="L265:L328" si="70">1+K265*4</f>
        <v>5</v>
      </c>
      <c r="M265" t="str">
        <f>精英副本!Y377</f>
        <v>沉着试炼（100）</v>
      </c>
      <c r="N265">
        <f>VLOOKUP(H265,[3]monster.xml!$347:$835,5,0)</f>
        <v>7200</v>
      </c>
      <c r="O265">
        <f t="shared" si="69"/>
        <v>7200</v>
      </c>
      <c r="AA265">
        <f t="shared" si="60"/>
        <v>1</v>
      </c>
    </row>
    <row r="266" spans="1:27">
      <c r="A266">
        <f t="shared" si="67"/>
        <v>210004</v>
      </c>
      <c r="B266">
        <f t="shared" si="64"/>
        <v>2</v>
      </c>
      <c r="C266">
        <f t="shared" si="68"/>
        <v>15</v>
      </c>
      <c r="D266">
        <f t="shared" si="65"/>
        <v>100</v>
      </c>
      <c r="E266">
        <f t="shared" si="59"/>
        <v>210005</v>
      </c>
      <c r="F266">
        <f t="shared" ref="F266:F329" si="71">IF(AA265&gt;0,A265,0)</f>
        <v>210003</v>
      </c>
      <c r="G266" t="s">
        <v>960</v>
      </c>
      <c r="H266">
        <f t="shared" si="66"/>
        <v>2100041</v>
      </c>
      <c r="I266" t="str">
        <f>精英副本!B378</f>
        <v>火舞者</v>
      </c>
      <c r="J266">
        <f>VLOOKUP(H266,[3]monster.xml!$A$347:$C$835,3,0)</f>
        <v>101</v>
      </c>
      <c r="K266">
        <f t="shared" si="63"/>
        <v>0</v>
      </c>
      <c r="L266">
        <f t="shared" si="70"/>
        <v>1</v>
      </c>
      <c r="M266" t="str">
        <f>精英副本!Y378</f>
        <v>沉着试炼（100）</v>
      </c>
      <c r="N266">
        <f>VLOOKUP(H266,[3]monster.xml!$347:$835,5,0)</f>
        <v>7200</v>
      </c>
      <c r="O266">
        <f t="shared" si="69"/>
        <v>7200</v>
      </c>
      <c r="AA266">
        <f t="shared" si="60"/>
        <v>1</v>
      </c>
    </row>
    <row r="267" spans="1:27">
      <c r="A267">
        <f t="shared" si="67"/>
        <v>210005</v>
      </c>
      <c r="B267">
        <f t="shared" si="64"/>
        <v>2</v>
      </c>
      <c r="C267">
        <f t="shared" si="68"/>
        <v>15</v>
      </c>
      <c r="D267">
        <f t="shared" si="65"/>
        <v>100</v>
      </c>
      <c r="E267">
        <f t="shared" ref="E267:E330" si="72">IF(F268&gt;0,A268,0)</f>
        <v>210006</v>
      </c>
      <c r="F267">
        <f t="shared" si="71"/>
        <v>210004</v>
      </c>
      <c r="G267" t="s">
        <v>961</v>
      </c>
      <c r="H267">
        <f t="shared" si="66"/>
        <v>2100051</v>
      </c>
      <c r="I267" t="str">
        <f>精英副本!B379</f>
        <v>血誓议会</v>
      </c>
      <c r="J267">
        <f>VLOOKUP(H267,[3]monster.xml!$A$347:$C$835,3,0)</f>
        <v>101</v>
      </c>
      <c r="K267">
        <f t="shared" si="63"/>
        <v>0</v>
      </c>
      <c r="L267">
        <f t="shared" si="70"/>
        <v>1</v>
      </c>
      <c r="M267" t="str">
        <f>精英副本!Y379</f>
        <v>沉着试炼（100）</v>
      </c>
      <c r="N267">
        <f>VLOOKUP(H267,[3]monster.xml!$347:$835,5,0)</f>
        <v>7200</v>
      </c>
      <c r="O267">
        <f t="shared" si="69"/>
        <v>7200</v>
      </c>
      <c r="AA267">
        <f t="shared" si="60"/>
        <v>1</v>
      </c>
    </row>
    <row r="268" spans="1:27">
      <c r="A268">
        <f t="shared" si="67"/>
        <v>210006</v>
      </c>
      <c r="B268">
        <f t="shared" si="64"/>
        <v>2</v>
      </c>
      <c r="C268">
        <f t="shared" si="68"/>
        <v>15</v>
      </c>
      <c r="D268">
        <f t="shared" si="65"/>
        <v>100</v>
      </c>
      <c r="E268">
        <f t="shared" si="72"/>
        <v>210007</v>
      </c>
      <c r="F268">
        <f t="shared" si="71"/>
        <v>210005</v>
      </c>
      <c r="G268" t="s">
        <v>962</v>
      </c>
      <c r="H268">
        <f t="shared" si="66"/>
        <v>2100061</v>
      </c>
      <c r="I268" t="str">
        <f>精英副本!B380</f>
        <v>舞钢者拜伦</v>
      </c>
      <c r="J268">
        <f>VLOOKUP(H268,[3]monster.xml!$A$347:$C$835,3,0)</f>
        <v>102</v>
      </c>
      <c r="K268">
        <f t="shared" si="63"/>
        <v>1</v>
      </c>
      <c r="L268">
        <f t="shared" si="70"/>
        <v>5</v>
      </c>
      <c r="M268" t="str">
        <f>精英副本!Y380</f>
        <v>沉着试炼（100）</v>
      </c>
      <c r="N268">
        <f>VLOOKUP(H268,[3]monster.xml!$347:$835,5,0)</f>
        <v>7500</v>
      </c>
      <c r="O268">
        <f t="shared" si="69"/>
        <v>7500</v>
      </c>
      <c r="AA268">
        <f t="shared" ref="AA268:AA331" si="73">AA259</f>
        <v>1</v>
      </c>
    </row>
    <row r="269" spans="1:27">
      <c r="A269">
        <f t="shared" si="67"/>
        <v>210007</v>
      </c>
      <c r="B269">
        <f t="shared" si="64"/>
        <v>2</v>
      </c>
      <c r="C269">
        <f t="shared" si="68"/>
        <v>15</v>
      </c>
      <c r="D269">
        <f t="shared" si="65"/>
        <v>100</v>
      </c>
      <c r="E269">
        <f t="shared" si="72"/>
        <v>210008</v>
      </c>
      <c r="F269">
        <f t="shared" si="71"/>
        <v>210006</v>
      </c>
      <c r="G269" t="s">
        <v>992</v>
      </c>
      <c r="H269">
        <f t="shared" si="66"/>
        <v>2100071</v>
      </c>
      <c r="I269" t="str">
        <f>精英副本!B381</f>
        <v>风暴之王</v>
      </c>
      <c r="J269">
        <f>VLOOKUP(H269,[3]monster.xml!$A$347:$C$835,3,0)</f>
        <v>102</v>
      </c>
      <c r="K269">
        <f t="shared" si="63"/>
        <v>0</v>
      </c>
      <c r="L269">
        <f t="shared" si="70"/>
        <v>1</v>
      </c>
      <c r="M269" t="str">
        <f>精英副本!Y381</f>
        <v>沉着试炼（100）</v>
      </c>
      <c r="N269">
        <f>VLOOKUP(H269,[3]monster.xml!$347:$835,5,0)</f>
        <v>7500</v>
      </c>
      <c r="O269">
        <f t="shared" si="69"/>
        <v>7500</v>
      </c>
      <c r="AA269">
        <f t="shared" si="73"/>
        <v>1</v>
      </c>
    </row>
    <row r="270" spans="1:27">
      <c r="A270">
        <f t="shared" si="67"/>
        <v>210008</v>
      </c>
      <c r="B270">
        <f t="shared" si="64"/>
        <v>2</v>
      </c>
      <c r="C270">
        <f t="shared" si="68"/>
        <v>15</v>
      </c>
      <c r="D270">
        <f t="shared" si="65"/>
        <v>100</v>
      </c>
      <c r="E270">
        <f t="shared" si="72"/>
        <v>210009</v>
      </c>
      <c r="F270">
        <f t="shared" si="71"/>
        <v>210007</v>
      </c>
      <c r="G270" t="s">
        <v>964</v>
      </c>
      <c r="H270">
        <f t="shared" si="66"/>
        <v>2100081</v>
      </c>
      <c r="I270" t="str">
        <f>精英副本!B382</f>
        <v>雷伊战争使者</v>
      </c>
      <c r="J270">
        <f>VLOOKUP(H270,[3]monster.xml!$A$347:$C$835,3,0)</f>
        <v>102</v>
      </c>
      <c r="K270">
        <f t="shared" si="63"/>
        <v>0</v>
      </c>
      <c r="L270">
        <f t="shared" si="70"/>
        <v>1</v>
      </c>
      <c r="M270" t="str">
        <f>精英副本!Y382</f>
        <v>沉着试炼（100）</v>
      </c>
      <c r="N270">
        <f>VLOOKUP(H270,[3]monster.xml!$347:$835,5,0)</f>
        <v>7500</v>
      </c>
      <c r="O270">
        <f t="shared" si="69"/>
        <v>7500</v>
      </c>
      <c r="AA270">
        <f t="shared" si="73"/>
        <v>1</v>
      </c>
    </row>
    <row r="271" spans="1:27">
      <c r="A271">
        <f t="shared" si="67"/>
        <v>210009</v>
      </c>
      <c r="B271">
        <f t="shared" si="64"/>
        <v>2</v>
      </c>
      <c r="C271">
        <f t="shared" si="68"/>
        <v>15</v>
      </c>
      <c r="D271">
        <f t="shared" si="65"/>
        <v>100</v>
      </c>
      <c r="E271">
        <f t="shared" si="72"/>
        <v>0</v>
      </c>
      <c r="F271">
        <f t="shared" si="71"/>
        <v>210008</v>
      </c>
      <c r="G271" t="s">
        <v>993</v>
      </c>
      <c r="H271">
        <f t="shared" si="66"/>
        <v>2100091</v>
      </c>
      <c r="I271" t="str">
        <f>精英副本!B383</f>
        <v>暴君泰伦</v>
      </c>
      <c r="J271">
        <f>VLOOKUP(H271,[3]monster.xml!$A$347:$C$835,3,0)</f>
        <v>102</v>
      </c>
      <c r="K271">
        <f t="shared" si="63"/>
        <v>1</v>
      </c>
      <c r="L271">
        <f t="shared" si="70"/>
        <v>5</v>
      </c>
      <c r="M271" t="str">
        <f>精英副本!Y383</f>
        <v>沉着试炼（100）</v>
      </c>
      <c r="N271">
        <f>VLOOKUP(H271,[3]monster.xml!$347:$835,5,0)</f>
        <v>7500</v>
      </c>
      <c r="O271">
        <f t="shared" si="69"/>
        <v>7500</v>
      </c>
      <c r="AA271">
        <f t="shared" si="73"/>
        <v>0</v>
      </c>
    </row>
    <row r="272" spans="1:27">
      <c r="A272">
        <f t="shared" ref="A272:A285" si="74">A137+100000</f>
        <v>303001</v>
      </c>
      <c r="B272">
        <f t="shared" ref="B272:B288" si="75">ROUNDDOWN(A272/100000,0)</f>
        <v>3</v>
      </c>
      <c r="C272">
        <f t="shared" ref="C272:C285" si="76">C137</f>
        <v>1</v>
      </c>
      <c r="D272">
        <f t="shared" ref="D272:D288" si="77">MID(A272,2,3)*1</f>
        <v>30</v>
      </c>
      <c r="E272">
        <f t="shared" si="72"/>
        <v>303002</v>
      </c>
      <c r="F272">
        <f t="shared" si="71"/>
        <v>0</v>
      </c>
      <c r="G272" t="s">
        <v>831</v>
      </c>
      <c r="H272">
        <f t="shared" ref="H272:H288" si="78">A272*10+1</f>
        <v>3030011</v>
      </c>
      <c r="I272" t="str">
        <f>精英副本!B438</f>
        <v>法师幻象</v>
      </c>
      <c r="J272">
        <f>VLOOKUP(H272,[3]monster.xml!$A$347:$C$835,3,0)</f>
        <v>30</v>
      </c>
      <c r="K272">
        <f t="shared" si="63"/>
        <v>0</v>
      </c>
      <c r="L272">
        <f t="shared" si="70"/>
        <v>1</v>
      </c>
      <c r="M272" t="str">
        <f>精英副本!Y438</f>
        <v>知识试炼（30）</v>
      </c>
      <c r="N272">
        <f>VLOOKUP(H272,[3]monster.xml!$347:$835,5,0)</f>
        <v>660</v>
      </c>
      <c r="O272">
        <f t="shared" si="69"/>
        <v>660</v>
      </c>
      <c r="AA272">
        <f t="shared" si="73"/>
        <v>1</v>
      </c>
    </row>
    <row r="273" spans="1:27">
      <c r="A273">
        <f t="shared" si="74"/>
        <v>303002</v>
      </c>
      <c r="B273">
        <f t="shared" si="75"/>
        <v>3</v>
      </c>
      <c r="C273">
        <f t="shared" si="76"/>
        <v>1</v>
      </c>
      <c r="D273">
        <f t="shared" si="77"/>
        <v>30</v>
      </c>
      <c r="E273">
        <f t="shared" si="72"/>
        <v>303003</v>
      </c>
      <c r="F273">
        <f t="shared" si="71"/>
        <v>303001</v>
      </c>
      <c r="G273" t="s">
        <v>832</v>
      </c>
      <c r="H273">
        <f t="shared" si="78"/>
        <v>3030021</v>
      </c>
      <c r="I273" t="str">
        <f>精英副本!B439</f>
        <v>法力风暴</v>
      </c>
      <c r="J273">
        <f>VLOOKUP(H273,[3]monster.xml!$A$347:$C$835,3,0)</f>
        <v>30</v>
      </c>
      <c r="K273">
        <f t="shared" si="63"/>
        <v>0</v>
      </c>
      <c r="L273">
        <f t="shared" si="70"/>
        <v>1</v>
      </c>
      <c r="M273" t="str">
        <f>精英副本!Y439</f>
        <v>知识试炼（30）</v>
      </c>
      <c r="N273">
        <f>VLOOKUP(H273,[3]monster.xml!$347:$835,5,0)</f>
        <v>660</v>
      </c>
      <c r="O273">
        <f t="shared" si="69"/>
        <v>660</v>
      </c>
      <c r="AA273">
        <f t="shared" si="73"/>
        <v>1</v>
      </c>
    </row>
    <row r="274" spans="1:27">
      <c r="A274">
        <f t="shared" si="74"/>
        <v>303003</v>
      </c>
      <c r="B274">
        <f t="shared" si="75"/>
        <v>3</v>
      </c>
      <c r="C274">
        <f t="shared" si="76"/>
        <v>1</v>
      </c>
      <c r="D274">
        <f t="shared" si="77"/>
        <v>30</v>
      </c>
      <c r="E274">
        <f t="shared" si="72"/>
        <v>303004</v>
      </c>
      <c r="F274">
        <f t="shared" si="71"/>
        <v>303002</v>
      </c>
      <c r="G274" t="s">
        <v>833</v>
      </c>
      <c r="H274">
        <f t="shared" si="78"/>
        <v>3030031</v>
      </c>
      <c r="I274" t="str">
        <f>精英副本!B440</f>
        <v>角斗士里奥</v>
      </c>
      <c r="J274">
        <f>VLOOKUP(H274,[3]monster.xml!$A$347:$C$835,3,0)</f>
        <v>31</v>
      </c>
      <c r="K274">
        <f t="shared" si="63"/>
        <v>1</v>
      </c>
      <c r="L274">
        <f t="shared" si="70"/>
        <v>5</v>
      </c>
      <c r="M274" t="str">
        <f>精英副本!Y440</f>
        <v>知识试炼（30）</v>
      </c>
      <c r="N274">
        <f>VLOOKUP(H274,[3]monster.xml!$347:$835,5,0)</f>
        <v>690</v>
      </c>
      <c r="O274">
        <f t="shared" si="69"/>
        <v>690</v>
      </c>
      <c r="AA274">
        <f t="shared" si="73"/>
        <v>1</v>
      </c>
    </row>
    <row r="275" spans="1:27">
      <c r="A275">
        <f t="shared" si="74"/>
        <v>303004</v>
      </c>
      <c r="B275">
        <f t="shared" si="75"/>
        <v>3</v>
      </c>
      <c r="C275">
        <f t="shared" si="76"/>
        <v>1</v>
      </c>
      <c r="D275">
        <f t="shared" si="77"/>
        <v>30</v>
      </c>
      <c r="E275">
        <f t="shared" si="72"/>
        <v>303005</v>
      </c>
      <c r="F275">
        <f t="shared" si="71"/>
        <v>303003</v>
      </c>
      <c r="G275" t="s">
        <v>834</v>
      </c>
      <c r="H275">
        <f t="shared" si="78"/>
        <v>3030041</v>
      </c>
      <c r="I275" t="str">
        <f>精英副本!B441</f>
        <v>荒野游侠</v>
      </c>
      <c r="J275">
        <f>VLOOKUP(H275,[3]monster.xml!$A$347:$C$835,3,0)</f>
        <v>31</v>
      </c>
      <c r="K275">
        <f t="shared" si="63"/>
        <v>0</v>
      </c>
      <c r="L275">
        <f t="shared" si="70"/>
        <v>1</v>
      </c>
      <c r="M275" t="str">
        <f>精英副本!Y441</f>
        <v>知识试炼（30）</v>
      </c>
      <c r="N275">
        <f>VLOOKUP(H275,[3]monster.xml!$347:$835,5,0)</f>
        <v>690</v>
      </c>
      <c r="O275">
        <f t="shared" si="69"/>
        <v>690</v>
      </c>
      <c r="AA275">
        <f t="shared" si="73"/>
        <v>1</v>
      </c>
    </row>
    <row r="276" spans="1:27">
      <c r="A276">
        <f t="shared" si="74"/>
        <v>303005</v>
      </c>
      <c r="B276">
        <f t="shared" si="75"/>
        <v>3</v>
      </c>
      <c r="C276">
        <f t="shared" si="76"/>
        <v>1</v>
      </c>
      <c r="D276">
        <f t="shared" si="77"/>
        <v>30</v>
      </c>
      <c r="E276">
        <f t="shared" si="72"/>
        <v>303006</v>
      </c>
      <c r="F276">
        <f t="shared" si="71"/>
        <v>303004</v>
      </c>
      <c r="G276" t="s">
        <v>835</v>
      </c>
      <c r="H276">
        <f t="shared" si="78"/>
        <v>3030051</v>
      </c>
      <c r="I276" t="str">
        <f>精英副本!B442</f>
        <v>憾地者</v>
      </c>
      <c r="J276">
        <f>VLOOKUP(H276,[3]monster.xml!$A$347:$C$835,3,0)</f>
        <v>31</v>
      </c>
      <c r="K276">
        <f t="shared" si="63"/>
        <v>0</v>
      </c>
      <c r="L276">
        <f t="shared" si="70"/>
        <v>1</v>
      </c>
      <c r="M276" t="str">
        <f>精英副本!Y442</f>
        <v>知识试炼（30）</v>
      </c>
      <c r="N276">
        <f>VLOOKUP(H276,[3]monster.xml!$347:$835,5,0)</f>
        <v>690</v>
      </c>
      <c r="O276">
        <f t="shared" si="69"/>
        <v>690</v>
      </c>
      <c r="AA276">
        <f t="shared" si="73"/>
        <v>1</v>
      </c>
    </row>
    <row r="277" spans="1:27">
      <c r="A277">
        <f t="shared" si="74"/>
        <v>303006</v>
      </c>
      <c r="B277">
        <f t="shared" si="75"/>
        <v>3</v>
      </c>
      <c r="C277">
        <f t="shared" si="76"/>
        <v>1</v>
      </c>
      <c r="D277">
        <f t="shared" si="77"/>
        <v>30</v>
      </c>
      <c r="E277">
        <f t="shared" si="72"/>
        <v>303007</v>
      </c>
      <c r="F277">
        <f t="shared" si="71"/>
        <v>303005</v>
      </c>
      <c r="G277" t="s">
        <v>836</v>
      </c>
      <c r="H277">
        <f t="shared" si="78"/>
        <v>3030061</v>
      </c>
      <c r="I277" t="str">
        <f>精英副本!B443</f>
        <v>拉兹</v>
      </c>
      <c r="J277">
        <f>VLOOKUP(H277,[3]monster.xml!$A$347:$C$835,3,0)</f>
        <v>32</v>
      </c>
      <c r="K277">
        <f t="shared" si="63"/>
        <v>1</v>
      </c>
      <c r="L277">
        <f t="shared" si="70"/>
        <v>5</v>
      </c>
      <c r="M277" t="str">
        <f>精英副本!Y443</f>
        <v>知识试炼（30）</v>
      </c>
      <c r="N277">
        <f>VLOOKUP(H277,[3]monster.xml!$347:$835,5,0)</f>
        <v>720</v>
      </c>
      <c r="O277">
        <f t="shared" si="69"/>
        <v>720</v>
      </c>
      <c r="AA277">
        <f t="shared" si="73"/>
        <v>1</v>
      </c>
    </row>
    <row r="278" spans="1:27">
      <c r="A278">
        <f t="shared" si="74"/>
        <v>303007</v>
      </c>
      <c r="B278">
        <f t="shared" si="75"/>
        <v>3</v>
      </c>
      <c r="C278">
        <f t="shared" si="76"/>
        <v>1</v>
      </c>
      <c r="D278">
        <f t="shared" si="77"/>
        <v>30</v>
      </c>
      <c r="E278">
        <f t="shared" si="72"/>
        <v>303008</v>
      </c>
      <c r="F278">
        <f t="shared" si="71"/>
        <v>303006</v>
      </c>
      <c r="G278" t="s">
        <v>994</v>
      </c>
      <c r="H278">
        <f t="shared" si="78"/>
        <v>3030071</v>
      </c>
      <c r="I278" t="str">
        <f>精英副本!B444</f>
        <v>塔克</v>
      </c>
      <c r="J278">
        <f>VLOOKUP(H278,[3]monster.xml!$A$347:$C$835,3,0)</f>
        <v>32</v>
      </c>
      <c r="K278">
        <f t="shared" ref="K278:K341" si="79">K269</f>
        <v>0</v>
      </c>
      <c r="L278">
        <f t="shared" si="70"/>
        <v>1</v>
      </c>
      <c r="M278" t="str">
        <f>精英副本!Y444</f>
        <v>知识试炼（30）</v>
      </c>
      <c r="N278">
        <f>VLOOKUP(H278,[3]monster.xml!$347:$835,5,0)</f>
        <v>720</v>
      </c>
      <c r="O278">
        <f t="shared" si="69"/>
        <v>720</v>
      </c>
      <c r="AA278">
        <f t="shared" si="73"/>
        <v>1</v>
      </c>
    </row>
    <row r="279" spans="1:27">
      <c r="A279">
        <f t="shared" si="74"/>
        <v>303008</v>
      </c>
      <c r="B279">
        <f t="shared" si="75"/>
        <v>3</v>
      </c>
      <c r="C279">
        <f t="shared" si="76"/>
        <v>1</v>
      </c>
      <c r="D279">
        <f t="shared" si="77"/>
        <v>30</v>
      </c>
      <c r="E279">
        <f t="shared" si="72"/>
        <v>303009</v>
      </c>
      <c r="F279">
        <f t="shared" si="71"/>
        <v>303007</v>
      </c>
      <c r="G279" t="s">
        <v>838</v>
      </c>
      <c r="H279">
        <f t="shared" si="78"/>
        <v>3030081</v>
      </c>
      <c r="I279" t="str">
        <f>精英副本!B445</f>
        <v>狂野安东尼</v>
      </c>
      <c r="J279">
        <f>VLOOKUP(H279,[3]monster.xml!$A$347:$C$835,3,0)</f>
        <v>33</v>
      </c>
      <c r="K279">
        <f t="shared" si="79"/>
        <v>0</v>
      </c>
      <c r="L279">
        <f t="shared" si="70"/>
        <v>1</v>
      </c>
      <c r="M279" t="str">
        <f>精英副本!Y445</f>
        <v>知识试炼（30）</v>
      </c>
      <c r="N279">
        <f>VLOOKUP(H279,[3]monster.xml!$347:$835,5,0)</f>
        <v>750</v>
      </c>
      <c r="O279">
        <f t="shared" si="69"/>
        <v>750</v>
      </c>
      <c r="AA279">
        <f t="shared" si="73"/>
        <v>1</v>
      </c>
    </row>
    <row r="280" spans="1:27">
      <c r="A280">
        <f t="shared" si="74"/>
        <v>303009</v>
      </c>
      <c r="B280">
        <f t="shared" si="75"/>
        <v>3</v>
      </c>
      <c r="C280">
        <f t="shared" si="76"/>
        <v>1</v>
      </c>
      <c r="D280">
        <f t="shared" si="77"/>
        <v>30</v>
      </c>
      <c r="E280">
        <f t="shared" si="72"/>
        <v>0</v>
      </c>
      <c r="F280">
        <f t="shared" si="71"/>
        <v>303008</v>
      </c>
      <c r="G280" t="s">
        <v>995</v>
      </c>
      <c r="H280">
        <f t="shared" si="78"/>
        <v>3030091</v>
      </c>
      <c r="I280" t="str">
        <f>精英副本!B446</f>
        <v>巡林者瑞克</v>
      </c>
      <c r="J280">
        <f>VLOOKUP(H280,[3]monster.xml!$A$347:$C$835,3,0)</f>
        <v>34</v>
      </c>
      <c r="K280">
        <f t="shared" si="79"/>
        <v>1</v>
      </c>
      <c r="L280">
        <f t="shared" si="70"/>
        <v>5</v>
      </c>
      <c r="M280" t="str">
        <f>精英副本!Y446</f>
        <v>知识试炼（30）</v>
      </c>
      <c r="N280">
        <f>VLOOKUP(H280,[3]monster.xml!$347:$835,5,0)</f>
        <v>780</v>
      </c>
      <c r="O280">
        <f t="shared" si="69"/>
        <v>780</v>
      </c>
      <c r="AA280">
        <f t="shared" si="73"/>
        <v>0</v>
      </c>
    </row>
    <row r="281" spans="1:27">
      <c r="A281">
        <f t="shared" si="74"/>
        <v>303501</v>
      </c>
      <c r="B281">
        <f t="shared" si="75"/>
        <v>3</v>
      </c>
      <c r="C281">
        <f t="shared" si="76"/>
        <v>2</v>
      </c>
      <c r="D281">
        <f t="shared" si="77"/>
        <v>35</v>
      </c>
      <c r="E281">
        <f t="shared" si="72"/>
        <v>303502</v>
      </c>
      <c r="F281">
        <f t="shared" si="71"/>
        <v>0</v>
      </c>
      <c r="G281" t="s">
        <v>840</v>
      </c>
      <c r="H281">
        <f t="shared" si="78"/>
        <v>3035011</v>
      </c>
      <c r="I281" t="str">
        <f>精英副本!B447</f>
        <v>法师幻象</v>
      </c>
      <c r="J281">
        <f>VLOOKUP(H281,[3]monster.xml!$A$347:$C$835,3,0)</f>
        <v>35</v>
      </c>
      <c r="K281">
        <f t="shared" si="79"/>
        <v>0</v>
      </c>
      <c r="L281">
        <f t="shared" si="70"/>
        <v>1</v>
      </c>
      <c r="M281" t="str">
        <f>精英副本!Y447</f>
        <v>知识试炼（35）</v>
      </c>
      <c r="N281">
        <f>VLOOKUP(H281,[3]monster.xml!$347:$835,5,0)</f>
        <v>810</v>
      </c>
      <c r="O281">
        <f t="shared" si="69"/>
        <v>810</v>
      </c>
      <c r="AA281">
        <f t="shared" si="73"/>
        <v>1</v>
      </c>
    </row>
    <row r="282" spans="1:27">
      <c r="A282">
        <f t="shared" si="74"/>
        <v>303502</v>
      </c>
      <c r="B282">
        <f t="shared" si="75"/>
        <v>3</v>
      </c>
      <c r="C282">
        <f t="shared" si="76"/>
        <v>2</v>
      </c>
      <c r="D282">
        <f t="shared" si="77"/>
        <v>35</v>
      </c>
      <c r="E282">
        <f t="shared" si="72"/>
        <v>303503</v>
      </c>
      <c r="F282">
        <f t="shared" si="71"/>
        <v>303501</v>
      </c>
      <c r="G282" t="s">
        <v>841</v>
      </c>
      <c r="H282">
        <f t="shared" si="78"/>
        <v>3035021</v>
      </c>
      <c r="I282" t="str">
        <f>精英副本!B448</f>
        <v>法力风暴</v>
      </c>
      <c r="J282">
        <f>VLOOKUP(H282,[3]monster.xml!$A$347:$C$835,3,0)</f>
        <v>35</v>
      </c>
      <c r="K282">
        <f t="shared" si="79"/>
        <v>0</v>
      </c>
      <c r="L282">
        <f t="shared" si="70"/>
        <v>1</v>
      </c>
      <c r="M282" t="str">
        <f>精英副本!Y448</f>
        <v>知识试炼（35）</v>
      </c>
      <c r="N282">
        <f>VLOOKUP(H282,[3]monster.xml!$347:$835,5,0)</f>
        <v>810</v>
      </c>
      <c r="O282">
        <f t="shared" si="69"/>
        <v>810</v>
      </c>
      <c r="AA282">
        <f t="shared" si="73"/>
        <v>1</v>
      </c>
    </row>
    <row r="283" spans="1:27">
      <c r="A283">
        <f t="shared" si="74"/>
        <v>303503</v>
      </c>
      <c r="B283">
        <f t="shared" si="75"/>
        <v>3</v>
      </c>
      <c r="C283">
        <f t="shared" si="76"/>
        <v>2</v>
      </c>
      <c r="D283">
        <f t="shared" si="77"/>
        <v>35</v>
      </c>
      <c r="E283">
        <f t="shared" si="72"/>
        <v>303504</v>
      </c>
      <c r="F283">
        <f t="shared" si="71"/>
        <v>303502</v>
      </c>
      <c r="G283" t="s">
        <v>842</v>
      </c>
      <c r="H283">
        <f t="shared" si="78"/>
        <v>3035031</v>
      </c>
      <c r="I283" t="str">
        <f>精英副本!B449</f>
        <v>角斗士里奥</v>
      </c>
      <c r="J283">
        <f>VLOOKUP(H283,[3]monster.xml!$A$347:$C$835,3,0)</f>
        <v>36</v>
      </c>
      <c r="K283">
        <f t="shared" si="79"/>
        <v>1</v>
      </c>
      <c r="L283">
        <f t="shared" si="70"/>
        <v>5</v>
      </c>
      <c r="M283" t="str">
        <f>精英副本!Y449</f>
        <v>知识试炼（35）</v>
      </c>
      <c r="N283">
        <f>VLOOKUP(H283,[3]monster.xml!$347:$835,5,0)</f>
        <v>840</v>
      </c>
      <c r="O283">
        <f t="shared" si="69"/>
        <v>840</v>
      </c>
      <c r="AA283">
        <f t="shared" si="73"/>
        <v>1</v>
      </c>
    </row>
    <row r="284" spans="1:27">
      <c r="A284">
        <f t="shared" si="74"/>
        <v>303504</v>
      </c>
      <c r="B284">
        <f t="shared" si="75"/>
        <v>3</v>
      </c>
      <c r="C284">
        <f t="shared" si="76"/>
        <v>2</v>
      </c>
      <c r="D284">
        <f t="shared" si="77"/>
        <v>35</v>
      </c>
      <c r="E284">
        <f t="shared" si="72"/>
        <v>303505</v>
      </c>
      <c r="F284">
        <f t="shared" si="71"/>
        <v>303503</v>
      </c>
      <c r="G284" t="s">
        <v>996</v>
      </c>
      <c r="H284">
        <f t="shared" si="78"/>
        <v>3035041</v>
      </c>
      <c r="I284" t="str">
        <f>精英副本!B450</f>
        <v>荒野游侠</v>
      </c>
      <c r="J284">
        <f>VLOOKUP(H284,[3]monster.xml!$A$347:$C$835,3,0)</f>
        <v>36</v>
      </c>
      <c r="K284">
        <f t="shared" si="79"/>
        <v>0</v>
      </c>
      <c r="L284">
        <f t="shared" si="70"/>
        <v>1</v>
      </c>
      <c r="M284" t="str">
        <f>精英副本!Y450</f>
        <v>知识试炼（35）</v>
      </c>
      <c r="N284">
        <f>VLOOKUP(H284,[3]monster.xml!$347:$835,5,0)</f>
        <v>840</v>
      </c>
      <c r="O284">
        <f t="shared" si="69"/>
        <v>840</v>
      </c>
      <c r="AA284">
        <f t="shared" si="73"/>
        <v>1</v>
      </c>
    </row>
    <row r="285" spans="1:27">
      <c r="A285">
        <f t="shared" si="74"/>
        <v>303505</v>
      </c>
      <c r="B285">
        <f t="shared" si="75"/>
        <v>3</v>
      </c>
      <c r="C285">
        <f t="shared" si="76"/>
        <v>2</v>
      </c>
      <c r="D285">
        <f t="shared" si="77"/>
        <v>35</v>
      </c>
      <c r="E285">
        <f t="shared" si="72"/>
        <v>303506</v>
      </c>
      <c r="F285">
        <f t="shared" si="71"/>
        <v>303504</v>
      </c>
      <c r="G285" t="s">
        <v>844</v>
      </c>
      <c r="H285">
        <f t="shared" si="78"/>
        <v>3035051</v>
      </c>
      <c r="I285" t="str">
        <f>精英副本!B451</f>
        <v>憾地者</v>
      </c>
      <c r="J285">
        <f>VLOOKUP(H285,[3]monster.xml!$A$347:$C$835,3,0)</f>
        <v>36</v>
      </c>
      <c r="K285">
        <f t="shared" si="79"/>
        <v>0</v>
      </c>
      <c r="L285">
        <f t="shared" si="70"/>
        <v>1</v>
      </c>
      <c r="M285" t="str">
        <f>精英副本!Y451</f>
        <v>知识试炼（35）</v>
      </c>
      <c r="N285">
        <f>VLOOKUP(H285,[3]monster.xml!$347:$835,5,0)</f>
        <v>840</v>
      </c>
      <c r="O285">
        <f t="shared" si="69"/>
        <v>840</v>
      </c>
      <c r="AA285">
        <f t="shared" si="73"/>
        <v>1</v>
      </c>
    </row>
    <row r="286" spans="1:27">
      <c r="A286">
        <f t="shared" ref="A286:A323" si="80">A151+100000</f>
        <v>303506</v>
      </c>
      <c r="B286">
        <f t="shared" si="75"/>
        <v>3</v>
      </c>
      <c r="C286">
        <f t="shared" ref="C286:C349" si="81">C151</f>
        <v>2</v>
      </c>
      <c r="D286">
        <f t="shared" si="77"/>
        <v>35</v>
      </c>
      <c r="E286">
        <f t="shared" si="72"/>
        <v>303507</v>
      </c>
      <c r="F286">
        <f t="shared" si="71"/>
        <v>303505</v>
      </c>
      <c r="G286" t="s">
        <v>845</v>
      </c>
      <c r="H286">
        <f t="shared" si="78"/>
        <v>3035061</v>
      </c>
      <c r="I286" t="str">
        <f>精英副本!B452</f>
        <v>拉兹</v>
      </c>
      <c r="J286">
        <f>VLOOKUP(H286,[3]monster.xml!$A$347:$C$835,3,0)</f>
        <v>37</v>
      </c>
      <c r="K286">
        <f t="shared" si="79"/>
        <v>1</v>
      </c>
      <c r="L286">
        <f t="shared" si="70"/>
        <v>5</v>
      </c>
      <c r="M286" t="str">
        <f>精英副本!Y452</f>
        <v>知识试炼（35）</v>
      </c>
      <c r="N286">
        <f>VLOOKUP(H286,[3]monster.xml!$347:$835,5,0)</f>
        <v>870</v>
      </c>
      <c r="O286">
        <f t="shared" si="69"/>
        <v>870</v>
      </c>
      <c r="AA286">
        <f t="shared" si="73"/>
        <v>1</v>
      </c>
    </row>
    <row r="287" spans="1:27">
      <c r="A287">
        <f t="shared" si="80"/>
        <v>303507</v>
      </c>
      <c r="B287">
        <f t="shared" si="75"/>
        <v>3</v>
      </c>
      <c r="C287">
        <f t="shared" si="81"/>
        <v>2</v>
      </c>
      <c r="D287">
        <f t="shared" si="77"/>
        <v>35</v>
      </c>
      <c r="E287">
        <f t="shared" si="72"/>
        <v>303508</v>
      </c>
      <c r="F287">
        <f t="shared" si="71"/>
        <v>303506</v>
      </c>
      <c r="G287" t="s">
        <v>846</v>
      </c>
      <c r="H287">
        <f t="shared" si="78"/>
        <v>3035071</v>
      </c>
      <c r="I287" t="str">
        <f>精英副本!B453</f>
        <v>塔克</v>
      </c>
      <c r="J287">
        <f>VLOOKUP(H287,[3]monster.xml!$A$347:$C$835,3,0)</f>
        <v>37</v>
      </c>
      <c r="K287">
        <f t="shared" si="79"/>
        <v>0</v>
      </c>
      <c r="L287">
        <f t="shared" si="70"/>
        <v>1</v>
      </c>
      <c r="M287" t="str">
        <f>精英副本!Y453</f>
        <v>知识试炼（35）</v>
      </c>
      <c r="N287">
        <f>VLOOKUP(H287,[3]monster.xml!$347:$835,5,0)</f>
        <v>870</v>
      </c>
      <c r="O287">
        <f t="shared" si="69"/>
        <v>870</v>
      </c>
      <c r="AA287">
        <f t="shared" si="73"/>
        <v>1</v>
      </c>
    </row>
    <row r="288" spans="1:27">
      <c r="A288">
        <f t="shared" si="80"/>
        <v>303508</v>
      </c>
      <c r="B288">
        <f t="shared" si="75"/>
        <v>3</v>
      </c>
      <c r="C288">
        <f t="shared" si="81"/>
        <v>2</v>
      </c>
      <c r="D288">
        <f t="shared" si="77"/>
        <v>35</v>
      </c>
      <c r="E288">
        <f t="shared" si="72"/>
        <v>303509</v>
      </c>
      <c r="F288">
        <f t="shared" si="71"/>
        <v>303507</v>
      </c>
      <c r="G288" t="s">
        <v>847</v>
      </c>
      <c r="H288">
        <f t="shared" si="78"/>
        <v>3035081</v>
      </c>
      <c r="I288" t="str">
        <f>精英副本!B454</f>
        <v>狂野安东尼</v>
      </c>
      <c r="J288">
        <f>VLOOKUP(H288,[3]monster.xml!$A$347:$C$835,3,0)</f>
        <v>38</v>
      </c>
      <c r="K288">
        <f t="shared" si="79"/>
        <v>0</v>
      </c>
      <c r="L288">
        <f t="shared" si="70"/>
        <v>1</v>
      </c>
      <c r="M288" t="str">
        <f>精英副本!Y454</f>
        <v>知识试炼（35）</v>
      </c>
      <c r="N288">
        <f>VLOOKUP(H288,[3]monster.xml!$347:$835,5,0)</f>
        <v>900</v>
      </c>
      <c r="O288">
        <f t="shared" si="69"/>
        <v>900</v>
      </c>
      <c r="AA288">
        <f t="shared" si="73"/>
        <v>1</v>
      </c>
    </row>
    <row r="289" spans="1:27">
      <c r="A289">
        <f t="shared" si="80"/>
        <v>303509</v>
      </c>
      <c r="B289">
        <f t="shared" ref="B289:B352" si="82">ROUNDDOWN(A289/100000,0)</f>
        <v>3</v>
      </c>
      <c r="C289">
        <f t="shared" si="81"/>
        <v>2</v>
      </c>
      <c r="D289">
        <f t="shared" ref="D289:D352" si="83">MID(A289,2,3)*1</f>
        <v>35</v>
      </c>
      <c r="E289">
        <f t="shared" si="72"/>
        <v>0</v>
      </c>
      <c r="F289">
        <f t="shared" si="71"/>
        <v>303508</v>
      </c>
      <c r="G289" t="s">
        <v>997</v>
      </c>
      <c r="H289">
        <f t="shared" ref="H289:H352" si="84">A289*10+1</f>
        <v>3035091</v>
      </c>
      <c r="I289" t="str">
        <f>精英副本!B455</f>
        <v>巡林者瑞克</v>
      </c>
      <c r="J289">
        <f>VLOOKUP(H289,[3]monster.xml!$A$347:$C$835,3,0)</f>
        <v>39</v>
      </c>
      <c r="K289">
        <f t="shared" si="79"/>
        <v>1</v>
      </c>
      <c r="L289">
        <f t="shared" si="70"/>
        <v>5</v>
      </c>
      <c r="M289" t="str">
        <f>精英副本!Y455</f>
        <v>知识试炼（35）</v>
      </c>
      <c r="N289">
        <f>VLOOKUP(H289,[3]monster.xml!$347:$835,5,0)</f>
        <v>930</v>
      </c>
      <c r="O289">
        <f t="shared" si="69"/>
        <v>930</v>
      </c>
      <c r="AA289">
        <f t="shared" si="73"/>
        <v>0</v>
      </c>
    </row>
    <row r="290" spans="1:27">
      <c r="A290">
        <f t="shared" si="80"/>
        <v>304001</v>
      </c>
      <c r="B290">
        <f t="shared" si="82"/>
        <v>3</v>
      </c>
      <c r="C290">
        <f t="shared" si="81"/>
        <v>3</v>
      </c>
      <c r="D290">
        <f t="shared" si="83"/>
        <v>40</v>
      </c>
      <c r="E290">
        <f t="shared" si="72"/>
        <v>304002</v>
      </c>
      <c r="F290">
        <f t="shared" si="71"/>
        <v>0</v>
      </c>
      <c r="G290" t="s">
        <v>849</v>
      </c>
      <c r="H290">
        <f t="shared" si="84"/>
        <v>3040011</v>
      </c>
      <c r="I290" t="str">
        <f>精英副本!B456</f>
        <v>法师幻象</v>
      </c>
      <c r="J290">
        <f>VLOOKUP(H290,[3]monster.xml!$A$347:$C$835,3,0)</f>
        <v>40</v>
      </c>
      <c r="K290">
        <f t="shared" si="79"/>
        <v>0</v>
      </c>
      <c r="L290">
        <f t="shared" si="70"/>
        <v>1</v>
      </c>
      <c r="M290" t="str">
        <f>精英副本!Y456</f>
        <v>知识试炼（40）</v>
      </c>
      <c r="N290">
        <f>VLOOKUP(H290,[3]monster.xml!$347:$835,5,0)</f>
        <v>960</v>
      </c>
      <c r="O290">
        <f t="shared" si="69"/>
        <v>960</v>
      </c>
      <c r="AA290">
        <f t="shared" si="73"/>
        <v>1</v>
      </c>
    </row>
    <row r="291" spans="1:27">
      <c r="A291">
        <f t="shared" si="80"/>
        <v>304002</v>
      </c>
      <c r="B291">
        <f t="shared" si="82"/>
        <v>3</v>
      </c>
      <c r="C291">
        <f t="shared" si="81"/>
        <v>3</v>
      </c>
      <c r="D291">
        <f t="shared" si="83"/>
        <v>40</v>
      </c>
      <c r="E291">
        <f t="shared" si="72"/>
        <v>304003</v>
      </c>
      <c r="F291">
        <f t="shared" si="71"/>
        <v>304001</v>
      </c>
      <c r="G291" t="s">
        <v>850</v>
      </c>
      <c r="H291">
        <f t="shared" si="84"/>
        <v>3040021</v>
      </c>
      <c r="I291" t="str">
        <f>精英副本!B457</f>
        <v>法力风暴</v>
      </c>
      <c r="J291">
        <f>VLOOKUP(H291,[3]monster.xml!$A$347:$C$835,3,0)</f>
        <v>40</v>
      </c>
      <c r="K291">
        <f t="shared" si="79"/>
        <v>0</v>
      </c>
      <c r="L291">
        <f t="shared" si="70"/>
        <v>1</v>
      </c>
      <c r="M291" t="str">
        <f>精英副本!Y457</f>
        <v>知识试炼（40）</v>
      </c>
      <c r="N291">
        <f>VLOOKUP(H291,[3]monster.xml!$347:$835,5,0)</f>
        <v>960</v>
      </c>
      <c r="O291">
        <f t="shared" si="69"/>
        <v>960</v>
      </c>
      <c r="AA291">
        <f t="shared" si="73"/>
        <v>1</v>
      </c>
    </row>
    <row r="292" spans="1:27">
      <c r="A292">
        <f t="shared" si="80"/>
        <v>304003</v>
      </c>
      <c r="B292">
        <f t="shared" si="82"/>
        <v>3</v>
      </c>
      <c r="C292">
        <f t="shared" si="81"/>
        <v>3</v>
      </c>
      <c r="D292">
        <f t="shared" si="83"/>
        <v>40</v>
      </c>
      <c r="E292">
        <f t="shared" si="72"/>
        <v>304004</v>
      </c>
      <c r="F292">
        <f t="shared" si="71"/>
        <v>304002</v>
      </c>
      <c r="G292" t="s">
        <v>851</v>
      </c>
      <c r="H292">
        <f t="shared" si="84"/>
        <v>3040031</v>
      </c>
      <c r="I292" t="str">
        <f>精英副本!B458</f>
        <v>角斗士里奥</v>
      </c>
      <c r="J292">
        <f>VLOOKUP(H292,[3]monster.xml!$A$347:$C$835,3,0)</f>
        <v>41</v>
      </c>
      <c r="K292">
        <f t="shared" si="79"/>
        <v>1</v>
      </c>
      <c r="L292">
        <f t="shared" si="70"/>
        <v>5</v>
      </c>
      <c r="M292" t="str">
        <f>精英副本!Y458</f>
        <v>知识试炼（40）</v>
      </c>
      <c r="N292">
        <f>VLOOKUP(H292,[3]monster.xml!$347:$835,5,0)</f>
        <v>1000</v>
      </c>
      <c r="O292">
        <f t="shared" si="69"/>
        <v>1000</v>
      </c>
      <c r="AA292">
        <f t="shared" si="73"/>
        <v>1</v>
      </c>
    </row>
    <row r="293" spans="1:27">
      <c r="A293">
        <f t="shared" si="80"/>
        <v>304004</v>
      </c>
      <c r="B293">
        <f t="shared" si="82"/>
        <v>3</v>
      </c>
      <c r="C293">
        <f t="shared" si="81"/>
        <v>3</v>
      </c>
      <c r="D293">
        <f t="shared" si="83"/>
        <v>40</v>
      </c>
      <c r="E293">
        <f t="shared" si="72"/>
        <v>304005</v>
      </c>
      <c r="F293">
        <f t="shared" si="71"/>
        <v>304003</v>
      </c>
      <c r="G293" t="s">
        <v>852</v>
      </c>
      <c r="H293">
        <f t="shared" si="84"/>
        <v>3040041</v>
      </c>
      <c r="I293" t="str">
        <f>精英副本!B459</f>
        <v>荒野游侠</v>
      </c>
      <c r="J293">
        <f>VLOOKUP(H293,[3]monster.xml!$A$347:$C$835,3,0)</f>
        <v>41</v>
      </c>
      <c r="K293">
        <f t="shared" si="79"/>
        <v>0</v>
      </c>
      <c r="L293">
        <f t="shared" si="70"/>
        <v>1</v>
      </c>
      <c r="M293" t="str">
        <f>精英副本!Y459</f>
        <v>知识试炼（40）</v>
      </c>
      <c r="N293">
        <f>VLOOKUP(H293,[3]monster.xml!$347:$835,5,0)</f>
        <v>1000</v>
      </c>
      <c r="O293">
        <f t="shared" si="69"/>
        <v>1000</v>
      </c>
      <c r="AA293">
        <f t="shared" si="73"/>
        <v>1</v>
      </c>
    </row>
    <row r="294" spans="1:27">
      <c r="A294">
        <f t="shared" si="80"/>
        <v>304005</v>
      </c>
      <c r="B294">
        <f t="shared" si="82"/>
        <v>3</v>
      </c>
      <c r="C294">
        <f t="shared" si="81"/>
        <v>3</v>
      </c>
      <c r="D294">
        <f t="shared" si="83"/>
        <v>40</v>
      </c>
      <c r="E294">
        <f t="shared" si="72"/>
        <v>304006</v>
      </c>
      <c r="F294">
        <f t="shared" si="71"/>
        <v>304004</v>
      </c>
      <c r="G294" t="s">
        <v>853</v>
      </c>
      <c r="H294">
        <f t="shared" si="84"/>
        <v>3040051</v>
      </c>
      <c r="I294" t="str">
        <f>精英副本!B460</f>
        <v>憾地者</v>
      </c>
      <c r="J294">
        <f>VLOOKUP(H294,[3]monster.xml!$A$347:$C$835,3,0)</f>
        <v>41</v>
      </c>
      <c r="K294">
        <f t="shared" si="79"/>
        <v>0</v>
      </c>
      <c r="L294">
        <f t="shared" si="70"/>
        <v>1</v>
      </c>
      <c r="M294" t="str">
        <f>精英副本!Y460</f>
        <v>知识试炼（40）</v>
      </c>
      <c r="N294">
        <f>VLOOKUP(H294,[3]monster.xml!$347:$835,5,0)</f>
        <v>1000</v>
      </c>
      <c r="O294">
        <f t="shared" si="69"/>
        <v>1000</v>
      </c>
      <c r="AA294">
        <f t="shared" si="73"/>
        <v>1</v>
      </c>
    </row>
    <row r="295" spans="1:27">
      <c r="A295">
        <f t="shared" si="80"/>
        <v>304006</v>
      </c>
      <c r="B295">
        <f t="shared" si="82"/>
        <v>3</v>
      </c>
      <c r="C295">
        <f t="shared" si="81"/>
        <v>3</v>
      </c>
      <c r="D295">
        <f t="shared" si="83"/>
        <v>40</v>
      </c>
      <c r="E295">
        <f t="shared" si="72"/>
        <v>304007</v>
      </c>
      <c r="F295">
        <f t="shared" si="71"/>
        <v>304005</v>
      </c>
      <c r="G295" t="s">
        <v>854</v>
      </c>
      <c r="H295">
        <f t="shared" si="84"/>
        <v>3040061</v>
      </c>
      <c r="I295" t="str">
        <f>精英副本!B461</f>
        <v>拉兹</v>
      </c>
      <c r="J295">
        <f>VLOOKUP(H295,[3]monster.xml!$A$347:$C$835,3,0)</f>
        <v>42</v>
      </c>
      <c r="K295">
        <f t="shared" si="79"/>
        <v>1</v>
      </c>
      <c r="L295">
        <f t="shared" si="70"/>
        <v>5</v>
      </c>
      <c r="M295" t="str">
        <f>精英副本!Y461</f>
        <v>知识试炼（40）</v>
      </c>
      <c r="N295">
        <f>VLOOKUP(H295,[3]monster.xml!$347:$835,5,0)</f>
        <v>1040</v>
      </c>
      <c r="O295">
        <f t="shared" si="69"/>
        <v>1040</v>
      </c>
      <c r="AA295">
        <f t="shared" si="73"/>
        <v>1</v>
      </c>
    </row>
    <row r="296" spans="1:27">
      <c r="A296">
        <f t="shared" si="80"/>
        <v>304007</v>
      </c>
      <c r="B296">
        <f t="shared" si="82"/>
        <v>3</v>
      </c>
      <c r="C296">
        <f t="shared" si="81"/>
        <v>3</v>
      </c>
      <c r="D296">
        <f t="shared" si="83"/>
        <v>40</v>
      </c>
      <c r="E296">
        <f t="shared" si="72"/>
        <v>304008</v>
      </c>
      <c r="F296">
        <f t="shared" si="71"/>
        <v>304006</v>
      </c>
      <c r="G296" t="s">
        <v>998</v>
      </c>
      <c r="H296">
        <f t="shared" si="84"/>
        <v>3040071</v>
      </c>
      <c r="I296" t="str">
        <f>精英副本!B462</f>
        <v>塔克</v>
      </c>
      <c r="J296">
        <f>VLOOKUP(H296,[3]monster.xml!$A$347:$C$835,3,0)</f>
        <v>42</v>
      </c>
      <c r="K296">
        <f t="shared" si="79"/>
        <v>0</v>
      </c>
      <c r="L296">
        <f t="shared" si="70"/>
        <v>1</v>
      </c>
      <c r="M296" t="str">
        <f>精英副本!Y462</f>
        <v>知识试炼（40）</v>
      </c>
      <c r="N296">
        <f>VLOOKUP(H296,[3]monster.xml!$347:$835,5,0)</f>
        <v>1040</v>
      </c>
      <c r="O296">
        <f t="shared" si="69"/>
        <v>1040</v>
      </c>
      <c r="AA296">
        <f t="shared" si="73"/>
        <v>1</v>
      </c>
    </row>
    <row r="297" spans="1:27">
      <c r="A297">
        <f t="shared" si="80"/>
        <v>304008</v>
      </c>
      <c r="B297">
        <f t="shared" si="82"/>
        <v>3</v>
      </c>
      <c r="C297">
        <f t="shared" si="81"/>
        <v>3</v>
      </c>
      <c r="D297">
        <f t="shared" si="83"/>
        <v>40</v>
      </c>
      <c r="E297">
        <f t="shared" si="72"/>
        <v>304009</v>
      </c>
      <c r="F297">
        <f t="shared" si="71"/>
        <v>304007</v>
      </c>
      <c r="G297" t="s">
        <v>856</v>
      </c>
      <c r="H297">
        <f t="shared" si="84"/>
        <v>3040081</v>
      </c>
      <c r="I297" t="str">
        <f>精英副本!B463</f>
        <v>狂野安东尼</v>
      </c>
      <c r="J297">
        <f>VLOOKUP(H297,[3]monster.xml!$A$347:$C$835,3,0)</f>
        <v>43</v>
      </c>
      <c r="K297">
        <f t="shared" si="79"/>
        <v>0</v>
      </c>
      <c r="L297">
        <f t="shared" si="70"/>
        <v>1</v>
      </c>
      <c r="M297" t="str">
        <f>精英副本!Y463</f>
        <v>知识试炼（40）</v>
      </c>
      <c r="N297">
        <f>VLOOKUP(H297,[3]monster.xml!$347:$835,5,0)</f>
        <v>1080</v>
      </c>
      <c r="O297">
        <f t="shared" si="69"/>
        <v>1080</v>
      </c>
      <c r="AA297">
        <f t="shared" si="73"/>
        <v>1</v>
      </c>
    </row>
    <row r="298" spans="1:27">
      <c r="A298">
        <f t="shared" si="80"/>
        <v>304009</v>
      </c>
      <c r="B298">
        <f t="shared" si="82"/>
        <v>3</v>
      </c>
      <c r="C298">
        <f t="shared" si="81"/>
        <v>3</v>
      </c>
      <c r="D298">
        <f t="shared" si="83"/>
        <v>40</v>
      </c>
      <c r="E298">
        <f t="shared" si="72"/>
        <v>0</v>
      </c>
      <c r="F298">
        <f t="shared" si="71"/>
        <v>304008</v>
      </c>
      <c r="G298" t="s">
        <v>999</v>
      </c>
      <c r="H298">
        <f t="shared" si="84"/>
        <v>3040091</v>
      </c>
      <c r="I298" t="str">
        <f>精英副本!B464</f>
        <v>巡林者瑞克</v>
      </c>
      <c r="J298">
        <f>VLOOKUP(H298,[3]monster.xml!$A$347:$C$835,3,0)</f>
        <v>44</v>
      </c>
      <c r="K298">
        <f t="shared" si="79"/>
        <v>1</v>
      </c>
      <c r="L298">
        <f t="shared" si="70"/>
        <v>5</v>
      </c>
      <c r="M298" t="str">
        <f>精英副本!Y464</f>
        <v>知识试炼（40）</v>
      </c>
      <c r="N298">
        <f>VLOOKUP(H298,[3]monster.xml!$347:$835,5,0)</f>
        <v>1120</v>
      </c>
      <c r="O298">
        <f t="shared" si="69"/>
        <v>1120</v>
      </c>
      <c r="AA298">
        <f t="shared" si="73"/>
        <v>0</v>
      </c>
    </row>
    <row r="299" spans="1:27">
      <c r="A299">
        <f t="shared" si="80"/>
        <v>304501</v>
      </c>
      <c r="B299">
        <f t="shared" si="82"/>
        <v>3</v>
      </c>
      <c r="C299">
        <f t="shared" si="81"/>
        <v>4</v>
      </c>
      <c r="D299">
        <f t="shared" si="83"/>
        <v>45</v>
      </c>
      <c r="E299">
        <f t="shared" si="72"/>
        <v>304502</v>
      </c>
      <c r="F299">
        <f t="shared" si="71"/>
        <v>0</v>
      </c>
      <c r="G299" t="s">
        <v>858</v>
      </c>
      <c r="H299">
        <f t="shared" si="84"/>
        <v>3045011</v>
      </c>
      <c r="I299" t="str">
        <f>精英副本!B465</f>
        <v>法师幻象</v>
      </c>
      <c r="J299">
        <f>VLOOKUP(H299,[3]monster.xml!$A$347:$C$835,3,0)</f>
        <v>45</v>
      </c>
      <c r="K299">
        <f t="shared" si="79"/>
        <v>0</v>
      </c>
      <c r="L299">
        <f t="shared" si="70"/>
        <v>1</v>
      </c>
      <c r="M299" t="str">
        <f>精英副本!Y465</f>
        <v>知识试炼（45）</v>
      </c>
      <c r="N299">
        <f>VLOOKUP(H299,[3]monster.xml!$347:$835,5,0)</f>
        <v>1160</v>
      </c>
      <c r="O299">
        <f t="shared" si="69"/>
        <v>1160</v>
      </c>
      <c r="AA299">
        <f t="shared" si="73"/>
        <v>1</v>
      </c>
    </row>
    <row r="300" spans="1:27">
      <c r="A300">
        <f t="shared" si="80"/>
        <v>304502</v>
      </c>
      <c r="B300">
        <f t="shared" si="82"/>
        <v>3</v>
      </c>
      <c r="C300">
        <f t="shared" si="81"/>
        <v>4</v>
      </c>
      <c r="D300">
        <f t="shared" si="83"/>
        <v>45</v>
      </c>
      <c r="E300">
        <f t="shared" si="72"/>
        <v>304503</v>
      </c>
      <c r="F300">
        <f t="shared" si="71"/>
        <v>304501</v>
      </c>
      <c r="G300" t="s">
        <v>859</v>
      </c>
      <c r="H300">
        <f t="shared" si="84"/>
        <v>3045021</v>
      </c>
      <c r="I300" t="str">
        <f>精英副本!B466</f>
        <v>法力风暴</v>
      </c>
      <c r="J300">
        <f>VLOOKUP(H300,[3]monster.xml!$A$347:$C$835,3,0)</f>
        <v>45</v>
      </c>
      <c r="K300">
        <f t="shared" si="79"/>
        <v>0</v>
      </c>
      <c r="L300">
        <f t="shared" si="70"/>
        <v>1</v>
      </c>
      <c r="M300" t="str">
        <f>精英副本!Y466</f>
        <v>知识试炼（45）</v>
      </c>
      <c r="N300">
        <f>VLOOKUP(H300,[3]monster.xml!$347:$835,5,0)</f>
        <v>1160</v>
      </c>
      <c r="O300">
        <f t="shared" si="69"/>
        <v>1160</v>
      </c>
      <c r="AA300">
        <f t="shared" si="73"/>
        <v>1</v>
      </c>
    </row>
    <row r="301" spans="1:27">
      <c r="A301">
        <f t="shared" si="80"/>
        <v>304503</v>
      </c>
      <c r="B301">
        <f t="shared" si="82"/>
        <v>3</v>
      </c>
      <c r="C301">
        <f t="shared" si="81"/>
        <v>4</v>
      </c>
      <c r="D301">
        <f t="shared" si="83"/>
        <v>45</v>
      </c>
      <c r="E301">
        <f t="shared" si="72"/>
        <v>304504</v>
      </c>
      <c r="F301">
        <f t="shared" si="71"/>
        <v>304502</v>
      </c>
      <c r="G301" t="s">
        <v>860</v>
      </c>
      <c r="H301">
        <f t="shared" si="84"/>
        <v>3045031</v>
      </c>
      <c r="I301" t="str">
        <f>精英副本!B467</f>
        <v>角斗士里奥</v>
      </c>
      <c r="J301">
        <f>VLOOKUP(H301,[3]monster.xml!$A$347:$C$835,3,0)</f>
        <v>46</v>
      </c>
      <c r="K301">
        <f t="shared" si="79"/>
        <v>1</v>
      </c>
      <c r="L301">
        <f t="shared" si="70"/>
        <v>5</v>
      </c>
      <c r="M301" t="str">
        <f>精英副本!Y467</f>
        <v>知识试炼（45）</v>
      </c>
      <c r="N301">
        <f>VLOOKUP(H301,[3]monster.xml!$347:$835,5,0)</f>
        <v>1200</v>
      </c>
      <c r="O301">
        <f t="shared" si="69"/>
        <v>1200</v>
      </c>
      <c r="AA301">
        <f t="shared" si="73"/>
        <v>1</v>
      </c>
    </row>
    <row r="302" spans="1:27">
      <c r="A302">
        <f t="shared" si="80"/>
        <v>304504</v>
      </c>
      <c r="B302">
        <f t="shared" si="82"/>
        <v>3</v>
      </c>
      <c r="C302">
        <f t="shared" si="81"/>
        <v>4</v>
      </c>
      <c r="D302">
        <f t="shared" si="83"/>
        <v>45</v>
      </c>
      <c r="E302">
        <f t="shared" si="72"/>
        <v>304505</v>
      </c>
      <c r="F302">
        <f t="shared" si="71"/>
        <v>304503</v>
      </c>
      <c r="G302" t="s">
        <v>861</v>
      </c>
      <c r="H302">
        <f t="shared" si="84"/>
        <v>3045041</v>
      </c>
      <c r="I302" t="str">
        <f>精英副本!B468</f>
        <v>荒野游侠</v>
      </c>
      <c r="J302">
        <f>VLOOKUP(H302,[3]monster.xml!$A$347:$C$835,3,0)</f>
        <v>46</v>
      </c>
      <c r="K302">
        <f t="shared" si="79"/>
        <v>0</v>
      </c>
      <c r="L302">
        <f t="shared" si="70"/>
        <v>1</v>
      </c>
      <c r="M302" t="str">
        <f>精英副本!Y468</f>
        <v>知识试炼（45）</v>
      </c>
      <c r="N302">
        <f>VLOOKUP(H302,[3]monster.xml!$347:$835,5,0)</f>
        <v>1200</v>
      </c>
      <c r="O302">
        <f t="shared" si="69"/>
        <v>1200</v>
      </c>
      <c r="AA302">
        <f t="shared" si="73"/>
        <v>1</v>
      </c>
    </row>
    <row r="303" spans="1:27">
      <c r="A303">
        <f t="shared" si="80"/>
        <v>304505</v>
      </c>
      <c r="B303">
        <f t="shared" si="82"/>
        <v>3</v>
      </c>
      <c r="C303">
        <f t="shared" si="81"/>
        <v>4</v>
      </c>
      <c r="D303">
        <f t="shared" si="83"/>
        <v>45</v>
      </c>
      <c r="E303">
        <f t="shared" si="72"/>
        <v>304506</v>
      </c>
      <c r="F303">
        <f t="shared" si="71"/>
        <v>304504</v>
      </c>
      <c r="G303" t="s">
        <v>862</v>
      </c>
      <c r="H303">
        <f t="shared" si="84"/>
        <v>3045051</v>
      </c>
      <c r="I303" t="str">
        <f>精英副本!B469</f>
        <v>憾地者</v>
      </c>
      <c r="J303">
        <f>VLOOKUP(H303,[3]monster.xml!$A$347:$C$835,3,0)</f>
        <v>46</v>
      </c>
      <c r="K303">
        <f t="shared" si="79"/>
        <v>0</v>
      </c>
      <c r="L303">
        <f t="shared" si="70"/>
        <v>1</v>
      </c>
      <c r="M303" t="str">
        <f>精英副本!Y469</f>
        <v>知识试炼（45）</v>
      </c>
      <c r="N303">
        <f>VLOOKUP(H303,[3]monster.xml!$347:$835,5,0)</f>
        <v>1200</v>
      </c>
      <c r="O303">
        <f t="shared" si="69"/>
        <v>1200</v>
      </c>
      <c r="AA303">
        <f t="shared" si="73"/>
        <v>1</v>
      </c>
    </row>
    <row r="304" spans="1:27">
      <c r="A304">
        <f t="shared" si="80"/>
        <v>304506</v>
      </c>
      <c r="B304">
        <f t="shared" si="82"/>
        <v>3</v>
      </c>
      <c r="C304">
        <f t="shared" si="81"/>
        <v>4</v>
      </c>
      <c r="D304">
        <f t="shared" si="83"/>
        <v>45</v>
      </c>
      <c r="E304">
        <f t="shared" si="72"/>
        <v>304507</v>
      </c>
      <c r="F304">
        <f t="shared" si="71"/>
        <v>304505</v>
      </c>
      <c r="G304" t="s">
        <v>863</v>
      </c>
      <c r="H304">
        <f t="shared" si="84"/>
        <v>3045061</v>
      </c>
      <c r="I304" t="str">
        <f>精英副本!B470</f>
        <v>拉兹</v>
      </c>
      <c r="J304">
        <f>VLOOKUP(H304,[3]monster.xml!$A$347:$C$835,3,0)</f>
        <v>47</v>
      </c>
      <c r="K304">
        <f t="shared" si="79"/>
        <v>1</v>
      </c>
      <c r="L304">
        <f t="shared" si="70"/>
        <v>5</v>
      </c>
      <c r="M304" t="str">
        <f>精英副本!Y470</f>
        <v>知识试炼（45）</v>
      </c>
      <c r="N304">
        <f>VLOOKUP(H304,[3]monster.xml!$347:$835,5,0)</f>
        <v>1240</v>
      </c>
      <c r="O304">
        <f t="shared" si="69"/>
        <v>1240</v>
      </c>
      <c r="AA304">
        <f t="shared" si="73"/>
        <v>1</v>
      </c>
    </row>
    <row r="305" spans="1:27">
      <c r="A305">
        <f t="shared" si="80"/>
        <v>304507</v>
      </c>
      <c r="B305">
        <f t="shared" si="82"/>
        <v>3</v>
      </c>
      <c r="C305">
        <f t="shared" si="81"/>
        <v>4</v>
      </c>
      <c r="D305">
        <f t="shared" si="83"/>
        <v>45</v>
      </c>
      <c r="E305">
        <f t="shared" si="72"/>
        <v>304508</v>
      </c>
      <c r="F305">
        <f t="shared" si="71"/>
        <v>304506</v>
      </c>
      <c r="G305" t="s">
        <v>1000</v>
      </c>
      <c r="H305">
        <f t="shared" si="84"/>
        <v>3045071</v>
      </c>
      <c r="I305" t="str">
        <f>精英副本!B471</f>
        <v>塔克</v>
      </c>
      <c r="J305">
        <f>VLOOKUP(H305,[3]monster.xml!$A$347:$C$835,3,0)</f>
        <v>47</v>
      </c>
      <c r="K305">
        <f t="shared" si="79"/>
        <v>0</v>
      </c>
      <c r="L305">
        <f t="shared" si="70"/>
        <v>1</v>
      </c>
      <c r="M305" t="str">
        <f>精英副本!Y471</f>
        <v>知识试炼（45）</v>
      </c>
      <c r="N305">
        <f>VLOOKUP(H305,[3]monster.xml!$347:$835,5,0)</f>
        <v>1240</v>
      </c>
      <c r="O305">
        <f t="shared" si="69"/>
        <v>1240</v>
      </c>
      <c r="AA305">
        <f t="shared" si="73"/>
        <v>1</v>
      </c>
    </row>
    <row r="306" spans="1:27">
      <c r="A306">
        <f t="shared" si="80"/>
        <v>304508</v>
      </c>
      <c r="B306">
        <f t="shared" si="82"/>
        <v>3</v>
      </c>
      <c r="C306">
        <f t="shared" si="81"/>
        <v>4</v>
      </c>
      <c r="D306">
        <f t="shared" si="83"/>
        <v>45</v>
      </c>
      <c r="E306">
        <f t="shared" si="72"/>
        <v>304509</v>
      </c>
      <c r="F306">
        <f t="shared" si="71"/>
        <v>304507</v>
      </c>
      <c r="G306" t="s">
        <v>865</v>
      </c>
      <c r="H306">
        <f t="shared" si="84"/>
        <v>3045081</v>
      </c>
      <c r="I306" t="str">
        <f>精英副本!B472</f>
        <v>狂野安东尼</v>
      </c>
      <c r="J306">
        <f>VLOOKUP(H306,[3]monster.xml!$A$347:$C$835,3,0)</f>
        <v>48</v>
      </c>
      <c r="K306">
        <f t="shared" si="79"/>
        <v>0</v>
      </c>
      <c r="L306">
        <f t="shared" si="70"/>
        <v>1</v>
      </c>
      <c r="M306" t="str">
        <f>精英副本!Y472</f>
        <v>知识试炼（45）</v>
      </c>
      <c r="N306">
        <f>VLOOKUP(H306,[3]monster.xml!$347:$835,5,0)</f>
        <v>1280</v>
      </c>
      <c r="O306">
        <f t="shared" si="69"/>
        <v>1280</v>
      </c>
      <c r="AA306">
        <f t="shared" si="73"/>
        <v>1</v>
      </c>
    </row>
    <row r="307" spans="1:27">
      <c r="A307">
        <f t="shared" si="80"/>
        <v>304509</v>
      </c>
      <c r="B307">
        <f t="shared" si="82"/>
        <v>3</v>
      </c>
      <c r="C307">
        <f t="shared" si="81"/>
        <v>4</v>
      </c>
      <c r="D307">
        <f t="shared" si="83"/>
        <v>45</v>
      </c>
      <c r="E307">
        <f t="shared" si="72"/>
        <v>0</v>
      </c>
      <c r="F307">
        <f t="shared" si="71"/>
        <v>304508</v>
      </c>
      <c r="G307" t="s">
        <v>1001</v>
      </c>
      <c r="H307">
        <f t="shared" si="84"/>
        <v>3045091</v>
      </c>
      <c r="I307" t="str">
        <f>精英副本!B473</f>
        <v>巡林者瑞克</v>
      </c>
      <c r="J307">
        <f>VLOOKUP(H307,[3]monster.xml!$A$347:$C$835,3,0)</f>
        <v>49</v>
      </c>
      <c r="K307">
        <f t="shared" si="79"/>
        <v>1</v>
      </c>
      <c r="L307">
        <f t="shared" si="70"/>
        <v>5</v>
      </c>
      <c r="M307" t="str">
        <f>精英副本!Y473</f>
        <v>知识试炼（45）</v>
      </c>
      <c r="N307">
        <f>VLOOKUP(H307,[3]monster.xml!$347:$835,5,0)</f>
        <v>1320</v>
      </c>
      <c r="O307">
        <f t="shared" si="69"/>
        <v>1320</v>
      </c>
      <c r="AA307">
        <f t="shared" si="73"/>
        <v>0</v>
      </c>
    </row>
    <row r="308" spans="1:27">
      <c r="A308">
        <f t="shared" si="80"/>
        <v>305001</v>
      </c>
      <c r="B308">
        <f t="shared" si="82"/>
        <v>3</v>
      </c>
      <c r="C308">
        <f t="shared" si="81"/>
        <v>5</v>
      </c>
      <c r="D308">
        <f t="shared" si="83"/>
        <v>50</v>
      </c>
      <c r="E308">
        <f t="shared" si="72"/>
        <v>305002</v>
      </c>
      <c r="F308">
        <f t="shared" si="71"/>
        <v>0</v>
      </c>
      <c r="G308" t="s">
        <v>867</v>
      </c>
      <c r="H308">
        <f t="shared" si="84"/>
        <v>3050011</v>
      </c>
      <c r="I308" t="str">
        <f>精英副本!B474</f>
        <v>法师幻象</v>
      </c>
      <c r="J308">
        <f>VLOOKUP(H308,[3]monster.xml!$A$347:$C$835,3,0)</f>
        <v>50</v>
      </c>
      <c r="K308">
        <f t="shared" si="79"/>
        <v>0</v>
      </c>
      <c r="L308">
        <f t="shared" si="70"/>
        <v>1</v>
      </c>
      <c r="M308" t="str">
        <f>精英副本!Y474</f>
        <v>知识试炼（50）</v>
      </c>
      <c r="N308">
        <f>VLOOKUP(H308,[3]monster.xml!$347:$835,5,0)</f>
        <v>1360</v>
      </c>
      <c r="O308">
        <f t="shared" si="69"/>
        <v>1360</v>
      </c>
      <c r="AA308">
        <f t="shared" si="73"/>
        <v>1</v>
      </c>
    </row>
    <row r="309" spans="1:27">
      <c r="A309">
        <f t="shared" si="80"/>
        <v>305002</v>
      </c>
      <c r="B309">
        <f t="shared" si="82"/>
        <v>3</v>
      </c>
      <c r="C309">
        <f t="shared" si="81"/>
        <v>5</v>
      </c>
      <c r="D309">
        <f t="shared" si="83"/>
        <v>50</v>
      </c>
      <c r="E309">
        <f t="shared" si="72"/>
        <v>305003</v>
      </c>
      <c r="F309">
        <f t="shared" si="71"/>
        <v>305001</v>
      </c>
      <c r="G309" t="s">
        <v>868</v>
      </c>
      <c r="H309">
        <f t="shared" si="84"/>
        <v>3050021</v>
      </c>
      <c r="I309" t="str">
        <f>精英副本!B475</f>
        <v>法力风暴</v>
      </c>
      <c r="J309">
        <f>VLOOKUP(H309,[3]monster.xml!$A$347:$C$835,3,0)</f>
        <v>50</v>
      </c>
      <c r="K309">
        <f t="shared" si="79"/>
        <v>0</v>
      </c>
      <c r="L309">
        <f t="shared" si="70"/>
        <v>1</v>
      </c>
      <c r="M309" t="str">
        <f>精英副本!Y475</f>
        <v>知识试炼（50）</v>
      </c>
      <c r="N309">
        <f>VLOOKUP(H309,[3]monster.xml!$347:$835,5,0)</f>
        <v>1360</v>
      </c>
      <c r="O309">
        <f t="shared" si="69"/>
        <v>1360</v>
      </c>
      <c r="AA309">
        <f t="shared" si="73"/>
        <v>1</v>
      </c>
    </row>
    <row r="310" spans="1:27">
      <c r="A310">
        <f t="shared" si="80"/>
        <v>305003</v>
      </c>
      <c r="B310">
        <f t="shared" si="82"/>
        <v>3</v>
      </c>
      <c r="C310">
        <f t="shared" si="81"/>
        <v>5</v>
      </c>
      <c r="D310">
        <f t="shared" si="83"/>
        <v>50</v>
      </c>
      <c r="E310">
        <f t="shared" si="72"/>
        <v>305004</v>
      </c>
      <c r="F310">
        <f t="shared" si="71"/>
        <v>305002</v>
      </c>
      <c r="G310" t="s">
        <v>869</v>
      </c>
      <c r="H310">
        <f t="shared" si="84"/>
        <v>3050031</v>
      </c>
      <c r="I310" t="str">
        <f>精英副本!B476</f>
        <v>角斗士里奥</v>
      </c>
      <c r="J310">
        <f>VLOOKUP(H310,[3]monster.xml!$A$347:$C$835,3,0)</f>
        <v>51</v>
      </c>
      <c r="K310">
        <f t="shared" si="79"/>
        <v>1</v>
      </c>
      <c r="L310">
        <f t="shared" si="70"/>
        <v>5</v>
      </c>
      <c r="M310" t="str">
        <f>精英副本!Y476</f>
        <v>知识试炼（50）</v>
      </c>
      <c r="N310">
        <f>VLOOKUP(H310,[3]monster.xml!$347:$835,5,0)</f>
        <v>1400</v>
      </c>
      <c r="O310">
        <f t="shared" si="69"/>
        <v>1400</v>
      </c>
      <c r="AA310">
        <f t="shared" si="73"/>
        <v>1</v>
      </c>
    </row>
    <row r="311" spans="1:27">
      <c r="A311">
        <f t="shared" si="80"/>
        <v>305004</v>
      </c>
      <c r="B311">
        <f t="shared" si="82"/>
        <v>3</v>
      </c>
      <c r="C311">
        <f t="shared" si="81"/>
        <v>5</v>
      </c>
      <c r="D311">
        <f t="shared" si="83"/>
        <v>50</v>
      </c>
      <c r="E311">
        <f t="shared" si="72"/>
        <v>305005</v>
      </c>
      <c r="F311">
        <f t="shared" si="71"/>
        <v>305003</v>
      </c>
      <c r="G311" t="s">
        <v>870</v>
      </c>
      <c r="H311">
        <f t="shared" si="84"/>
        <v>3050041</v>
      </c>
      <c r="I311" t="str">
        <f>精英副本!B477</f>
        <v>荒野游侠</v>
      </c>
      <c r="J311">
        <f>VLOOKUP(H311,[3]monster.xml!$A$347:$C$835,3,0)</f>
        <v>51</v>
      </c>
      <c r="K311">
        <f t="shared" si="79"/>
        <v>0</v>
      </c>
      <c r="L311">
        <f t="shared" si="70"/>
        <v>1</v>
      </c>
      <c r="M311" t="str">
        <f>精英副本!Y477</f>
        <v>知识试炼（50）</v>
      </c>
      <c r="N311">
        <f>VLOOKUP(H311,[3]monster.xml!$347:$835,5,0)</f>
        <v>1400</v>
      </c>
      <c r="O311">
        <f t="shared" si="69"/>
        <v>1400</v>
      </c>
      <c r="AA311">
        <f t="shared" si="73"/>
        <v>1</v>
      </c>
    </row>
    <row r="312" spans="1:27">
      <c r="A312">
        <f t="shared" si="80"/>
        <v>305005</v>
      </c>
      <c r="B312">
        <f t="shared" si="82"/>
        <v>3</v>
      </c>
      <c r="C312">
        <f t="shared" si="81"/>
        <v>5</v>
      </c>
      <c r="D312">
        <f t="shared" si="83"/>
        <v>50</v>
      </c>
      <c r="E312">
        <f t="shared" si="72"/>
        <v>305006</v>
      </c>
      <c r="F312">
        <f t="shared" si="71"/>
        <v>305004</v>
      </c>
      <c r="G312" t="s">
        <v>1002</v>
      </c>
      <c r="H312">
        <f t="shared" si="84"/>
        <v>3050051</v>
      </c>
      <c r="I312" t="str">
        <f>精英副本!B478</f>
        <v>憾地者</v>
      </c>
      <c r="J312">
        <f>VLOOKUP(H312,[3]monster.xml!$A$347:$C$835,3,0)</f>
        <v>51</v>
      </c>
      <c r="K312">
        <f t="shared" si="79"/>
        <v>0</v>
      </c>
      <c r="L312">
        <f t="shared" si="70"/>
        <v>1</v>
      </c>
      <c r="M312" t="str">
        <f>精英副本!Y478</f>
        <v>知识试炼（50）</v>
      </c>
      <c r="N312">
        <f>VLOOKUP(H312,[3]monster.xml!$347:$835,5,0)</f>
        <v>1400</v>
      </c>
      <c r="O312">
        <f t="shared" si="69"/>
        <v>1400</v>
      </c>
      <c r="AA312">
        <f t="shared" si="73"/>
        <v>1</v>
      </c>
    </row>
    <row r="313" spans="1:27">
      <c r="A313">
        <f t="shared" si="80"/>
        <v>305006</v>
      </c>
      <c r="B313">
        <f t="shared" si="82"/>
        <v>3</v>
      </c>
      <c r="C313">
        <f t="shared" si="81"/>
        <v>5</v>
      </c>
      <c r="D313">
        <f t="shared" si="83"/>
        <v>50</v>
      </c>
      <c r="E313">
        <f t="shared" si="72"/>
        <v>305007</v>
      </c>
      <c r="F313">
        <f t="shared" si="71"/>
        <v>305005</v>
      </c>
      <c r="G313" t="s">
        <v>872</v>
      </c>
      <c r="H313">
        <f t="shared" si="84"/>
        <v>3050061</v>
      </c>
      <c r="I313" t="str">
        <f>精英副本!B479</f>
        <v>拉兹</v>
      </c>
      <c r="J313">
        <f>VLOOKUP(H313,[3]monster.xml!$A$347:$C$835,3,0)</f>
        <v>52</v>
      </c>
      <c r="K313">
        <f t="shared" si="79"/>
        <v>1</v>
      </c>
      <c r="L313">
        <f t="shared" si="70"/>
        <v>5</v>
      </c>
      <c r="M313" t="str">
        <f>精英副本!Y479</f>
        <v>知识试炼（50）</v>
      </c>
      <c r="N313">
        <f>VLOOKUP(H313,[3]monster.xml!$347:$835,5,0)</f>
        <v>1440</v>
      </c>
      <c r="O313">
        <f t="shared" si="69"/>
        <v>1440</v>
      </c>
      <c r="AA313">
        <f t="shared" si="73"/>
        <v>1</v>
      </c>
    </row>
    <row r="314" spans="1:27">
      <c r="A314">
        <f t="shared" si="80"/>
        <v>305007</v>
      </c>
      <c r="B314">
        <f t="shared" si="82"/>
        <v>3</v>
      </c>
      <c r="C314">
        <f t="shared" si="81"/>
        <v>5</v>
      </c>
      <c r="D314">
        <f t="shared" si="83"/>
        <v>50</v>
      </c>
      <c r="E314">
        <f t="shared" si="72"/>
        <v>305008</v>
      </c>
      <c r="F314">
        <f t="shared" si="71"/>
        <v>305006</v>
      </c>
      <c r="G314" t="s">
        <v>873</v>
      </c>
      <c r="H314">
        <f t="shared" si="84"/>
        <v>3050071</v>
      </c>
      <c r="I314" t="str">
        <f>精英副本!B480</f>
        <v>塔克</v>
      </c>
      <c r="J314">
        <f>VLOOKUP(H314,[3]monster.xml!$A$347:$C$835,3,0)</f>
        <v>52</v>
      </c>
      <c r="K314">
        <f t="shared" si="79"/>
        <v>0</v>
      </c>
      <c r="L314">
        <f t="shared" si="70"/>
        <v>1</v>
      </c>
      <c r="M314" t="str">
        <f>精英副本!Y480</f>
        <v>知识试炼（50）</v>
      </c>
      <c r="N314">
        <f>VLOOKUP(H314,[3]monster.xml!$347:$835,5,0)</f>
        <v>1440</v>
      </c>
      <c r="O314">
        <f t="shared" si="69"/>
        <v>1440</v>
      </c>
      <c r="AA314">
        <f t="shared" si="73"/>
        <v>1</v>
      </c>
    </row>
    <row r="315" spans="1:27">
      <c r="A315">
        <f t="shared" si="80"/>
        <v>305008</v>
      </c>
      <c r="B315">
        <f t="shared" si="82"/>
        <v>3</v>
      </c>
      <c r="C315">
        <f t="shared" si="81"/>
        <v>5</v>
      </c>
      <c r="D315">
        <f t="shared" si="83"/>
        <v>50</v>
      </c>
      <c r="E315">
        <f t="shared" si="72"/>
        <v>305009</v>
      </c>
      <c r="F315">
        <f t="shared" si="71"/>
        <v>305007</v>
      </c>
      <c r="G315" t="s">
        <v>874</v>
      </c>
      <c r="H315">
        <f t="shared" si="84"/>
        <v>3050081</v>
      </c>
      <c r="I315" t="str">
        <f>精英副本!B481</f>
        <v>狂野安东尼</v>
      </c>
      <c r="J315">
        <f>VLOOKUP(H315,[3]monster.xml!$A$347:$C$835,3,0)</f>
        <v>53</v>
      </c>
      <c r="K315">
        <f t="shared" si="79"/>
        <v>0</v>
      </c>
      <c r="L315">
        <f t="shared" si="70"/>
        <v>1</v>
      </c>
      <c r="M315" t="str">
        <f>精英副本!Y481</f>
        <v>知识试炼（50）</v>
      </c>
      <c r="N315">
        <f>VLOOKUP(H315,[3]monster.xml!$347:$835,5,0)</f>
        <v>1480</v>
      </c>
      <c r="O315">
        <f t="shared" si="69"/>
        <v>1480</v>
      </c>
      <c r="AA315">
        <f t="shared" si="73"/>
        <v>1</v>
      </c>
    </row>
    <row r="316" spans="1:27">
      <c r="A316">
        <f t="shared" si="80"/>
        <v>305009</v>
      </c>
      <c r="B316">
        <f t="shared" si="82"/>
        <v>3</v>
      </c>
      <c r="C316">
        <f t="shared" si="81"/>
        <v>5</v>
      </c>
      <c r="D316">
        <f t="shared" si="83"/>
        <v>50</v>
      </c>
      <c r="E316">
        <f t="shared" si="72"/>
        <v>0</v>
      </c>
      <c r="F316">
        <f t="shared" si="71"/>
        <v>305008</v>
      </c>
      <c r="G316" t="s">
        <v>1003</v>
      </c>
      <c r="H316">
        <f t="shared" si="84"/>
        <v>3050091</v>
      </c>
      <c r="I316" t="str">
        <f>精英副本!B482</f>
        <v>巡林者瑞克</v>
      </c>
      <c r="J316">
        <f>VLOOKUP(H316,[3]monster.xml!$A$347:$C$835,3,0)</f>
        <v>54</v>
      </c>
      <c r="K316">
        <f t="shared" si="79"/>
        <v>1</v>
      </c>
      <c r="L316">
        <f t="shared" si="70"/>
        <v>5</v>
      </c>
      <c r="M316" t="str">
        <f>精英副本!Y482</f>
        <v>知识试炼（50）</v>
      </c>
      <c r="N316">
        <f>VLOOKUP(H316,[3]monster.xml!$347:$835,5,0)</f>
        <v>1520</v>
      </c>
      <c r="O316">
        <f t="shared" si="69"/>
        <v>1520</v>
      </c>
      <c r="AA316">
        <f t="shared" si="73"/>
        <v>0</v>
      </c>
    </row>
    <row r="317" spans="1:27">
      <c r="A317">
        <f t="shared" si="80"/>
        <v>305501</v>
      </c>
      <c r="B317">
        <f t="shared" si="82"/>
        <v>3</v>
      </c>
      <c r="C317">
        <f t="shared" si="81"/>
        <v>6</v>
      </c>
      <c r="D317">
        <f t="shared" si="83"/>
        <v>55</v>
      </c>
      <c r="E317">
        <f t="shared" si="72"/>
        <v>305502</v>
      </c>
      <c r="F317">
        <f t="shared" si="71"/>
        <v>0</v>
      </c>
      <c r="G317" t="s">
        <v>876</v>
      </c>
      <c r="H317">
        <f t="shared" si="84"/>
        <v>3055011</v>
      </c>
      <c r="I317" t="str">
        <f>精英副本!B483</f>
        <v>法师幻象</v>
      </c>
      <c r="J317">
        <f>VLOOKUP(H317,[3]monster.xml!$A$347:$C$835,3,0)</f>
        <v>55</v>
      </c>
      <c r="K317">
        <f t="shared" si="79"/>
        <v>0</v>
      </c>
      <c r="L317">
        <f t="shared" si="70"/>
        <v>1</v>
      </c>
      <c r="M317" t="str">
        <f>精英副本!Y483</f>
        <v>知识试炼（55）</v>
      </c>
      <c r="N317">
        <f>VLOOKUP(H317,[3]monster.xml!$347:$835,5,0)</f>
        <v>1560</v>
      </c>
      <c r="O317">
        <f t="shared" si="69"/>
        <v>1560</v>
      </c>
      <c r="AA317">
        <f t="shared" si="73"/>
        <v>1</v>
      </c>
    </row>
    <row r="318" spans="1:27">
      <c r="A318">
        <f t="shared" si="80"/>
        <v>305502</v>
      </c>
      <c r="B318">
        <f t="shared" si="82"/>
        <v>3</v>
      </c>
      <c r="C318">
        <f t="shared" si="81"/>
        <v>6</v>
      </c>
      <c r="D318">
        <f t="shared" si="83"/>
        <v>55</v>
      </c>
      <c r="E318">
        <f t="shared" si="72"/>
        <v>305503</v>
      </c>
      <c r="F318">
        <f t="shared" si="71"/>
        <v>305501</v>
      </c>
      <c r="G318" t="s">
        <v>877</v>
      </c>
      <c r="H318">
        <f t="shared" si="84"/>
        <v>3055021</v>
      </c>
      <c r="I318" t="str">
        <f>精英副本!B484</f>
        <v>法力风暴</v>
      </c>
      <c r="J318">
        <f>VLOOKUP(H318,[3]monster.xml!$A$347:$C$835,3,0)</f>
        <v>55</v>
      </c>
      <c r="K318">
        <f t="shared" si="79"/>
        <v>0</v>
      </c>
      <c r="L318">
        <f t="shared" si="70"/>
        <v>1</v>
      </c>
      <c r="M318" t="str">
        <f>精英副本!Y484</f>
        <v>知识试炼（55）</v>
      </c>
      <c r="N318">
        <f>VLOOKUP(H318,[3]monster.xml!$347:$835,5,0)</f>
        <v>1560</v>
      </c>
      <c r="O318">
        <f t="shared" si="69"/>
        <v>1560</v>
      </c>
      <c r="AA318">
        <f t="shared" si="73"/>
        <v>1</v>
      </c>
    </row>
    <row r="319" spans="1:27">
      <c r="A319">
        <f t="shared" si="80"/>
        <v>305503</v>
      </c>
      <c r="B319">
        <f t="shared" si="82"/>
        <v>3</v>
      </c>
      <c r="C319">
        <f t="shared" si="81"/>
        <v>6</v>
      </c>
      <c r="D319">
        <f t="shared" si="83"/>
        <v>55</v>
      </c>
      <c r="E319">
        <f t="shared" si="72"/>
        <v>305504</v>
      </c>
      <c r="F319">
        <f t="shared" si="71"/>
        <v>305502</v>
      </c>
      <c r="G319" t="s">
        <v>1004</v>
      </c>
      <c r="H319">
        <f t="shared" si="84"/>
        <v>3055031</v>
      </c>
      <c r="I319" t="str">
        <f>精英副本!B485</f>
        <v>角斗士里奥</v>
      </c>
      <c r="J319">
        <f>VLOOKUP(H319,[3]monster.xml!$A$347:$C$835,3,0)</f>
        <v>56</v>
      </c>
      <c r="K319">
        <f t="shared" si="79"/>
        <v>1</v>
      </c>
      <c r="L319">
        <f t="shared" si="70"/>
        <v>5</v>
      </c>
      <c r="M319" t="str">
        <f>精英副本!Y485</f>
        <v>知识试炼（55）</v>
      </c>
      <c r="N319">
        <f>VLOOKUP(H319,[3]monster.xml!$347:$835,5,0)</f>
        <v>1600</v>
      </c>
      <c r="O319">
        <f t="shared" si="69"/>
        <v>1600</v>
      </c>
      <c r="AA319">
        <f t="shared" si="73"/>
        <v>1</v>
      </c>
    </row>
    <row r="320" spans="1:27">
      <c r="A320">
        <f t="shared" si="80"/>
        <v>305504</v>
      </c>
      <c r="B320">
        <f t="shared" si="82"/>
        <v>3</v>
      </c>
      <c r="C320">
        <f t="shared" si="81"/>
        <v>6</v>
      </c>
      <c r="D320">
        <f t="shared" si="83"/>
        <v>55</v>
      </c>
      <c r="E320">
        <f t="shared" si="72"/>
        <v>305505</v>
      </c>
      <c r="F320">
        <f t="shared" si="71"/>
        <v>305503</v>
      </c>
      <c r="G320" t="s">
        <v>879</v>
      </c>
      <c r="H320">
        <f t="shared" si="84"/>
        <v>3055041</v>
      </c>
      <c r="I320" t="str">
        <f>精英副本!B486</f>
        <v>荒野游侠</v>
      </c>
      <c r="J320">
        <f>VLOOKUP(H320,[3]monster.xml!$A$347:$C$835,3,0)</f>
        <v>56</v>
      </c>
      <c r="K320">
        <f t="shared" si="79"/>
        <v>0</v>
      </c>
      <c r="L320">
        <f t="shared" si="70"/>
        <v>1</v>
      </c>
      <c r="M320" t="str">
        <f>精英副本!Y486</f>
        <v>知识试炼（55）</v>
      </c>
      <c r="N320">
        <f>VLOOKUP(H320,[3]monster.xml!$347:$835,5,0)</f>
        <v>1600</v>
      </c>
      <c r="O320">
        <f t="shared" si="69"/>
        <v>1600</v>
      </c>
      <c r="AA320">
        <f t="shared" si="73"/>
        <v>1</v>
      </c>
    </row>
    <row r="321" spans="1:27">
      <c r="A321">
        <f t="shared" si="80"/>
        <v>305505</v>
      </c>
      <c r="B321">
        <f t="shared" si="82"/>
        <v>3</v>
      </c>
      <c r="C321">
        <f t="shared" si="81"/>
        <v>6</v>
      </c>
      <c r="D321">
        <f t="shared" si="83"/>
        <v>55</v>
      </c>
      <c r="E321">
        <f t="shared" si="72"/>
        <v>305506</v>
      </c>
      <c r="F321">
        <f t="shared" si="71"/>
        <v>305504</v>
      </c>
      <c r="G321" t="s">
        <v>880</v>
      </c>
      <c r="H321">
        <f t="shared" si="84"/>
        <v>3055051</v>
      </c>
      <c r="I321" t="str">
        <f>精英副本!B487</f>
        <v>憾地者</v>
      </c>
      <c r="J321">
        <f>VLOOKUP(H321,[3]monster.xml!$A$347:$C$835,3,0)</f>
        <v>56</v>
      </c>
      <c r="K321">
        <f t="shared" si="79"/>
        <v>0</v>
      </c>
      <c r="L321">
        <f t="shared" si="70"/>
        <v>1</v>
      </c>
      <c r="M321" t="str">
        <f>精英副本!Y487</f>
        <v>知识试炼（55）</v>
      </c>
      <c r="N321">
        <f>VLOOKUP(H321,[3]monster.xml!$347:$835,5,0)</f>
        <v>1600</v>
      </c>
      <c r="O321">
        <f t="shared" si="69"/>
        <v>1600</v>
      </c>
      <c r="AA321">
        <f t="shared" si="73"/>
        <v>1</v>
      </c>
    </row>
    <row r="322" spans="1:27">
      <c r="A322">
        <f t="shared" si="80"/>
        <v>305506</v>
      </c>
      <c r="B322">
        <f t="shared" si="82"/>
        <v>3</v>
      </c>
      <c r="C322">
        <f t="shared" si="81"/>
        <v>6</v>
      </c>
      <c r="D322">
        <f t="shared" si="83"/>
        <v>55</v>
      </c>
      <c r="E322">
        <f t="shared" si="72"/>
        <v>305507</v>
      </c>
      <c r="F322">
        <f t="shared" si="71"/>
        <v>305505</v>
      </c>
      <c r="G322" t="s">
        <v>881</v>
      </c>
      <c r="H322">
        <f t="shared" si="84"/>
        <v>3055061</v>
      </c>
      <c r="I322" t="str">
        <f>精英副本!B488</f>
        <v>拉兹</v>
      </c>
      <c r="J322">
        <f>VLOOKUP(H322,[3]monster.xml!$A$347:$C$835,3,0)</f>
        <v>57</v>
      </c>
      <c r="K322">
        <f t="shared" si="79"/>
        <v>1</v>
      </c>
      <c r="L322">
        <f t="shared" si="70"/>
        <v>5</v>
      </c>
      <c r="M322" t="str">
        <f>精英副本!Y488</f>
        <v>知识试炼（55）</v>
      </c>
      <c r="N322">
        <f>VLOOKUP(H322,[3]monster.xml!$347:$835,5,0)</f>
        <v>1640</v>
      </c>
      <c r="O322">
        <f t="shared" si="69"/>
        <v>1640</v>
      </c>
      <c r="AA322">
        <f t="shared" si="73"/>
        <v>1</v>
      </c>
    </row>
    <row r="323" spans="1:27">
      <c r="A323">
        <f t="shared" si="80"/>
        <v>305507</v>
      </c>
      <c r="B323">
        <f t="shared" si="82"/>
        <v>3</v>
      </c>
      <c r="C323">
        <f t="shared" si="81"/>
        <v>6</v>
      </c>
      <c r="D323">
        <f t="shared" si="83"/>
        <v>55</v>
      </c>
      <c r="E323">
        <f t="shared" si="72"/>
        <v>305508</v>
      </c>
      <c r="F323">
        <f t="shared" si="71"/>
        <v>305506</v>
      </c>
      <c r="G323" t="s">
        <v>882</v>
      </c>
      <c r="H323">
        <f t="shared" si="84"/>
        <v>3055071</v>
      </c>
      <c r="I323" t="str">
        <f>精英副本!B489</f>
        <v>塔克</v>
      </c>
      <c r="J323">
        <f>VLOOKUP(H323,[3]monster.xml!$A$347:$C$835,3,0)</f>
        <v>57</v>
      </c>
      <c r="K323">
        <f t="shared" si="79"/>
        <v>0</v>
      </c>
      <c r="L323">
        <f t="shared" si="70"/>
        <v>1</v>
      </c>
      <c r="M323" t="str">
        <f>精英副本!Y489</f>
        <v>知识试炼（55）</v>
      </c>
      <c r="N323">
        <f>VLOOKUP(H323,[3]monster.xml!$347:$835,5,0)</f>
        <v>1640</v>
      </c>
      <c r="O323">
        <f t="shared" ref="O323:O386" si="85">N323</f>
        <v>1640</v>
      </c>
      <c r="AA323">
        <f t="shared" si="73"/>
        <v>1</v>
      </c>
    </row>
    <row r="324" spans="1:27">
      <c r="A324">
        <f>A189+100000</f>
        <v>305508</v>
      </c>
      <c r="B324">
        <f t="shared" si="82"/>
        <v>3</v>
      </c>
      <c r="C324">
        <f t="shared" si="81"/>
        <v>6</v>
      </c>
      <c r="D324">
        <f t="shared" si="83"/>
        <v>55</v>
      </c>
      <c r="E324">
        <f t="shared" si="72"/>
        <v>305509</v>
      </c>
      <c r="F324">
        <f t="shared" si="71"/>
        <v>305507</v>
      </c>
      <c r="G324" t="s">
        <v>883</v>
      </c>
      <c r="H324">
        <f t="shared" si="84"/>
        <v>3055081</v>
      </c>
      <c r="I324" t="str">
        <f>精英副本!B490</f>
        <v>狂野安东尼</v>
      </c>
      <c r="J324">
        <f>VLOOKUP(H324,[3]monster.xml!$A$347:$C$835,3,0)</f>
        <v>58</v>
      </c>
      <c r="K324">
        <f t="shared" si="79"/>
        <v>0</v>
      </c>
      <c r="L324">
        <f t="shared" si="70"/>
        <v>1</v>
      </c>
      <c r="M324" t="str">
        <f>精英副本!Y490</f>
        <v>知识试炼（55）</v>
      </c>
      <c r="N324">
        <f>VLOOKUP(H324,[3]monster.xml!$347:$835,5,0)</f>
        <v>1680</v>
      </c>
      <c r="O324">
        <f t="shared" si="85"/>
        <v>1680</v>
      </c>
      <c r="AA324">
        <f t="shared" si="73"/>
        <v>1</v>
      </c>
    </row>
    <row r="325" spans="1:27">
      <c r="A325">
        <f t="shared" ref="A325:A388" si="86">A190+100000</f>
        <v>305509</v>
      </c>
      <c r="B325">
        <f t="shared" si="82"/>
        <v>3</v>
      </c>
      <c r="C325">
        <f t="shared" si="81"/>
        <v>6</v>
      </c>
      <c r="D325">
        <f t="shared" si="83"/>
        <v>55</v>
      </c>
      <c r="E325">
        <f t="shared" si="72"/>
        <v>0</v>
      </c>
      <c r="F325">
        <f t="shared" si="71"/>
        <v>305508</v>
      </c>
      <c r="G325" t="s">
        <v>1005</v>
      </c>
      <c r="H325">
        <f t="shared" si="84"/>
        <v>3055091</v>
      </c>
      <c r="I325" t="str">
        <f>精英副本!B491</f>
        <v>巡林者瑞克</v>
      </c>
      <c r="J325">
        <f>VLOOKUP(H325,[3]monster.xml!$A$347:$C$835,3,0)</f>
        <v>59</v>
      </c>
      <c r="K325">
        <f t="shared" si="79"/>
        <v>1</v>
      </c>
      <c r="L325">
        <f t="shared" si="70"/>
        <v>5</v>
      </c>
      <c r="M325" t="str">
        <f>精英副本!Y491</f>
        <v>知识试炼（55）</v>
      </c>
      <c r="N325">
        <f>VLOOKUP(H325,[3]monster.xml!$347:$835,5,0)</f>
        <v>1720</v>
      </c>
      <c r="O325">
        <f t="shared" si="85"/>
        <v>1720</v>
      </c>
      <c r="AA325">
        <f t="shared" si="73"/>
        <v>0</v>
      </c>
    </row>
    <row r="326" spans="1:27">
      <c r="A326">
        <f t="shared" si="86"/>
        <v>306001</v>
      </c>
      <c r="B326">
        <f t="shared" si="82"/>
        <v>3</v>
      </c>
      <c r="C326">
        <f t="shared" si="81"/>
        <v>7</v>
      </c>
      <c r="D326">
        <f t="shared" si="83"/>
        <v>60</v>
      </c>
      <c r="E326">
        <f t="shared" si="72"/>
        <v>306002</v>
      </c>
      <c r="F326">
        <f t="shared" si="71"/>
        <v>0</v>
      </c>
      <c r="G326" t="s">
        <v>885</v>
      </c>
      <c r="H326">
        <f t="shared" si="84"/>
        <v>3060011</v>
      </c>
      <c r="I326" t="str">
        <f>精英副本!B492</f>
        <v>坚定的格雷格</v>
      </c>
      <c r="J326">
        <f>VLOOKUP(H326,[3]monster.xml!$A$347:$C$835,3,0)</f>
        <v>60</v>
      </c>
      <c r="K326">
        <f t="shared" si="79"/>
        <v>0</v>
      </c>
      <c r="L326">
        <f t="shared" si="70"/>
        <v>1</v>
      </c>
      <c r="M326" t="str">
        <f>精英副本!Y492</f>
        <v>智慧试炼（60）</v>
      </c>
      <c r="N326">
        <f>VLOOKUP(H326,[3]monster.xml!$347:$835,5,0)</f>
        <v>1760</v>
      </c>
      <c r="O326">
        <f t="shared" si="85"/>
        <v>1760</v>
      </c>
      <c r="AA326">
        <f t="shared" si="73"/>
        <v>1</v>
      </c>
    </row>
    <row r="327" spans="1:27">
      <c r="A327">
        <f t="shared" si="86"/>
        <v>306002</v>
      </c>
      <c r="B327">
        <f t="shared" si="82"/>
        <v>3</v>
      </c>
      <c r="C327">
        <f t="shared" si="81"/>
        <v>7</v>
      </c>
      <c r="D327">
        <f t="shared" si="83"/>
        <v>60</v>
      </c>
      <c r="E327">
        <f t="shared" si="72"/>
        <v>306003</v>
      </c>
      <c r="F327">
        <f t="shared" si="71"/>
        <v>306001</v>
      </c>
      <c r="G327" t="s">
        <v>886</v>
      </c>
      <c r="H327">
        <f t="shared" si="84"/>
        <v>3060021</v>
      </c>
      <c r="I327" t="str">
        <f>精英副本!B493</f>
        <v>赛琳娜的倒影</v>
      </c>
      <c r="J327">
        <f>VLOOKUP(H327,[3]monster.xml!$A$347:$C$835,3,0)</f>
        <v>60</v>
      </c>
      <c r="K327">
        <f t="shared" si="79"/>
        <v>0</v>
      </c>
      <c r="L327">
        <f t="shared" si="70"/>
        <v>1</v>
      </c>
      <c r="M327" t="str">
        <f>精英副本!Y493</f>
        <v>智慧试炼（60）</v>
      </c>
      <c r="N327">
        <f>VLOOKUP(H327,[3]monster.xml!$347:$835,5,0)</f>
        <v>1760</v>
      </c>
      <c r="O327">
        <f t="shared" si="85"/>
        <v>1760</v>
      </c>
      <c r="AA327">
        <f t="shared" si="73"/>
        <v>1</v>
      </c>
    </row>
    <row r="328" spans="1:27">
      <c r="A328">
        <f t="shared" si="86"/>
        <v>306003</v>
      </c>
      <c r="B328">
        <f t="shared" si="82"/>
        <v>3</v>
      </c>
      <c r="C328">
        <f t="shared" si="81"/>
        <v>7</v>
      </c>
      <c r="D328">
        <f t="shared" si="83"/>
        <v>60</v>
      </c>
      <c r="E328">
        <f t="shared" si="72"/>
        <v>306004</v>
      </c>
      <c r="F328">
        <f t="shared" si="71"/>
        <v>306002</v>
      </c>
      <c r="G328" t="s">
        <v>887</v>
      </c>
      <c r="H328">
        <f t="shared" si="84"/>
        <v>3060031</v>
      </c>
      <c r="I328" t="str">
        <f>精英副本!B494</f>
        <v>幻术师艾莉</v>
      </c>
      <c r="J328">
        <f>VLOOKUP(H328,[3]monster.xml!$A$347:$C$835,3,0)</f>
        <v>61</v>
      </c>
      <c r="K328">
        <f t="shared" si="79"/>
        <v>1</v>
      </c>
      <c r="L328">
        <f t="shared" si="70"/>
        <v>5</v>
      </c>
      <c r="M328" t="str">
        <f>精英副本!Y494</f>
        <v>智慧试炼（60）</v>
      </c>
      <c r="N328">
        <f>VLOOKUP(H328,[3]monster.xml!$347:$835,5,0)</f>
        <v>1810</v>
      </c>
      <c r="O328">
        <f t="shared" si="85"/>
        <v>1810</v>
      </c>
      <c r="AA328">
        <f t="shared" si="73"/>
        <v>1</v>
      </c>
    </row>
    <row r="329" spans="1:27">
      <c r="A329">
        <f t="shared" si="86"/>
        <v>306004</v>
      </c>
      <c r="B329">
        <f t="shared" si="82"/>
        <v>3</v>
      </c>
      <c r="C329">
        <f t="shared" si="81"/>
        <v>7</v>
      </c>
      <c r="D329">
        <f t="shared" si="83"/>
        <v>60</v>
      </c>
      <c r="E329">
        <f t="shared" si="72"/>
        <v>306005</v>
      </c>
      <c r="F329">
        <f t="shared" si="71"/>
        <v>306003</v>
      </c>
      <c r="G329" t="s">
        <v>888</v>
      </c>
      <c r="H329">
        <f t="shared" si="84"/>
        <v>3060041</v>
      </c>
      <c r="I329" t="str">
        <f>精英副本!B495</f>
        <v>驯兽师瓦纳</v>
      </c>
      <c r="J329">
        <f>VLOOKUP(H329,[3]monster.xml!$A$347:$C$835,3,0)</f>
        <v>61</v>
      </c>
      <c r="K329">
        <f t="shared" si="79"/>
        <v>0</v>
      </c>
      <c r="L329">
        <f t="shared" ref="L329:L392" si="87">1+K329*4</f>
        <v>1</v>
      </c>
      <c r="M329" t="str">
        <f>精英副本!Y495</f>
        <v>智慧试炼（60）</v>
      </c>
      <c r="N329">
        <f>VLOOKUP(H329,[3]monster.xml!$347:$835,5,0)</f>
        <v>1810</v>
      </c>
      <c r="O329">
        <f t="shared" si="85"/>
        <v>1810</v>
      </c>
      <c r="AA329">
        <f t="shared" si="73"/>
        <v>1</v>
      </c>
    </row>
    <row r="330" spans="1:27">
      <c r="A330">
        <f t="shared" si="86"/>
        <v>306005</v>
      </c>
      <c r="B330">
        <f t="shared" si="82"/>
        <v>3</v>
      </c>
      <c r="C330">
        <f t="shared" si="81"/>
        <v>7</v>
      </c>
      <c r="D330">
        <f t="shared" si="83"/>
        <v>60</v>
      </c>
      <c r="E330">
        <f t="shared" si="72"/>
        <v>306006</v>
      </c>
      <c r="F330">
        <f t="shared" ref="F330:F393" si="88">IF(AA329&gt;0,A329,0)</f>
        <v>306004</v>
      </c>
      <c r="G330" t="s">
        <v>889</v>
      </c>
      <c r="H330">
        <f t="shared" si="84"/>
        <v>3060051</v>
      </c>
      <c r="I330" t="str">
        <f>精英副本!B496</f>
        <v>炎之安苏</v>
      </c>
      <c r="J330">
        <f>VLOOKUP(H330,[3]monster.xml!$A$347:$C$835,3,0)</f>
        <v>61</v>
      </c>
      <c r="K330">
        <f t="shared" si="79"/>
        <v>0</v>
      </c>
      <c r="L330">
        <f t="shared" si="87"/>
        <v>1</v>
      </c>
      <c r="M330" t="str">
        <f>精英副本!Y496</f>
        <v>智慧试炼（60）</v>
      </c>
      <c r="N330">
        <f>VLOOKUP(H330,[3]monster.xml!$347:$835,5,0)</f>
        <v>1810</v>
      </c>
      <c r="O330">
        <f t="shared" si="85"/>
        <v>1810</v>
      </c>
      <c r="AA330">
        <f t="shared" si="73"/>
        <v>1</v>
      </c>
    </row>
    <row r="331" spans="1:27">
      <c r="A331">
        <f t="shared" si="86"/>
        <v>306006</v>
      </c>
      <c r="B331">
        <f t="shared" si="82"/>
        <v>3</v>
      </c>
      <c r="C331">
        <f t="shared" si="81"/>
        <v>7</v>
      </c>
      <c r="D331">
        <f t="shared" si="83"/>
        <v>60</v>
      </c>
      <c r="E331">
        <f t="shared" ref="E331:E394" si="89">IF(F332&gt;0,A332,0)</f>
        <v>306007</v>
      </c>
      <c r="F331">
        <f t="shared" si="88"/>
        <v>306005</v>
      </c>
      <c r="G331" t="s">
        <v>890</v>
      </c>
      <c r="H331">
        <f t="shared" si="84"/>
        <v>3060061</v>
      </c>
      <c r="I331" t="str">
        <f>精英副本!B497</f>
        <v>迅捷的维恩</v>
      </c>
      <c r="J331">
        <f>VLOOKUP(H331,[3]monster.xml!$A$347:$C$835,3,0)</f>
        <v>62</v>
      </c>
      <c r="K331">
        <f t="shared" si="79"/>
        <v>1</v>
      </c>
      <c r="L331">
        <f t="shared" si="87"/>
        <v>5</v>
      </c>
      <c r="M331" t="str">
        <f>精英副本!Y497</f>
        <v>智慧试炼（60）</v>
      </c>
      <c r="N331">
        <f>VLOOKUP(H331,[3]monster.xml!$347:$835,5,0)</f>
        <v>1860</v>
      </c>
      <c r="O331">
        <f t="shared" si="85"/>
        <v>1860</v>
      </c>
      <c r="AA331">
        <f t="shared" si="73"/>
        <v>1</v>
      </c>
    </row>
    <row r="332" spans="1:27">
      <c r="A332">
        <f t="shared" si="86"/>
        <v>306007</v>
      </c>
      <c r="B332">
        <f t="shared" si="82"/>
        <v>3</v>
      </c>
      <c r="C332">
        <f t="shared" si="81"/>
        <v>7</v>
      </c>
      <c r="D332">
        <f t="shared" si="83"/>
        <v>60</v>
      </c>
      <c r="E332">
        <f t="shared" si="89"/>
        <v>306008</v>
      </c>
      <c r="F332">
        <f t="shared" si="88"/>
        <v>306006</v>
      </c>
      <c r="G332" t="s">
        <v>891</v>
      </c>
      <c r="H332">
        <f t="shared" si="84"/>
        <v>3060071</v>
      </c>
      <c r="I332" t="str">
        <f>精英副本!B498</f>
        <v>暮光预言者</v>
      </c>
      <c r="J332">
        <f>VLOOKUP(H332,[3]monster.xml!$A$347:$C$835,3,0)</f>
        <v>62</v>
      </c>
      <c r="K332">
        <f t="shared" si="79"/>
        <v>0</v>
      </c>
      <c r="L332">
        <f t="shared" si="87"/>
        <v>1</v>
      </c>
      <c r="M332" t="str">
        <f>精英副本!Y498</f>
        <v>智慧试炼（60）</v>
      </c>
      <c r="N332">
        <f>VLOOKUP(H332,[3]monster.xml!$347:$835,5,0)</f>
        <v>1860</v>
      </c>
      <c r="O332">
        <f t="shared" si="85"/>
        <v>1860</v>
      </c>
      <c r="AA332">
        <f t="shared" ref="AA332:AA395" si="90">AA323</f>
        <v>1</v>
      </c>
    </row>
    <row r="333" spans="1:27">
      <c r="A333">
        <f t="shared" si="86"/>
        <v>306008</v>
      </c>
      <c r="B333">
        <f t="shared" si="82"/>
        <v>3</v>
      </c>
      <c r="C333">
        <f t="shared" si="81"/>
        <v>7</v>
      </c>
      <c r="D333">
        <f t="shared" si="83"/>
        <v>60</v>
      </c>
      <c r="E333">
        <f t="shared" si="89"/>
        <v>306009</v>
      </c>
      <c r="F333">
        <f t="shared" si="88"/>
        <v>306007</v>
      </c>
      <c r="G333" t="s">
        <v>1006</v>
      </c>
      <c r="H333">
        <f t="shared" si="84"/>
        <v>3060081</v>
      </c>
      <c r="I333" t="str">
        <f>精英副本!B499</f>
        <v>卡雷</v>
      </c>
      <c r="J333">
        <f>VLOOKUP(H333,[3]monster.xml!$A$347:$C$835,3,0)</f>
        <v>63</v>
      </c>
      <c r="K333">
        <f t="shared" si="79"/>
        <v>0</v>
      </c>
      <c r="L333">
        <f t="shared" si="87"/>
        <v>1</v>
      </c>
      <c r="M333" t="str">
        <f>精英副本!Y499</f>
        <v>智慧试炼（60）</v>
      </c>
      <c r="N333">
        <f>VLOOKUP(H333,[3]monster.xml!$347:$835,5,0)</f>
        <v>1910</v>
      </c>
      <c r="O333">
        <f t="shared" si="85"/>
        <v>1910</v>
      </c>
      <c r="AA333">
        <f t="shared" si="90"/>
        <v>1</v>
      </c>
    </row>
    <row r="334" spans="1:27">
      <c r="A334">
        <f t="shared" si="86"/>
        <v>306009</v>
      </c>
      <c r="B334">
        <f t="shared" si="82"/>
        <v>3</v>
      </c>
      <c r="C334">
        <f t="shared" si="81"/>
        <v>7</v>
      </c>
      <c r="D334">
        <f t="shared" si="83"/>
        <v>60</v>
      </c>
      <c r="E334">
        <f t="shared" si="89"/>
        <v>0</v>
      </c>
      <c r="F334">
        <f t="shared" si="88"/>
        <v>306008</v>
      </c>
      <c r="G334" t="s">
        <v>1007</v>
      </c>
      <c r="H334">
        <f t="shared" si="84"/>
        <v>3060091</v>
      </c>
      <c r="I334" t="str">
        <f>精英副本!B500</f>
        <v>日光费雷尔</v>
      </c>
      <c r="J334">
        <f>VLOOKUP(H334,[3]monster.xml!$A$347:$C$835,3,0)</f>
        <v>64</v>
      </c>
      <c r="K334">
        <f t="shared" si="79"/>
        <v>1</v>
      </c>
      <c r="L334">
        <f t="shared" si="87"/>
        <v>5</v>
      </c>
      <c r="M334" t="str">
        <f>精英副本!Y500</f>
        <v>智慧试炼（60）</v>
      </c>
      <c r="N334">
        <f>VLOOKUP(H334,[3]monster.xml!$347:$835,5,0)</f>
        <v>1960</v>
      </c>
      <c r="O334">
        <f t="shared" si="85"/>
        <v>1960</v>
      </c>
      <c r="AA334">
        <f t="shared" si="90"/>
        <v>0</v>
      </c>
    </row>
    <row r="335" spans="1:27">
      <c r="A335">
        <f t="shared" si="86"/>
        <v>306501</v>
      </c>
      <c r="B335">
        <f t="shared" si="82"/>
        <v>3</v>
      </c>
      <c r="C335">
        <f t="shared" si="81"/>
        <v>8</v>
      </c>
      <c r="D335">
        <f t="shared" si="83"/>
        <v>65</v>
      </c>
      <c r="E335">
        <f t="shared" si="89"/>
        <v>306502</v>
      </c>
      <c r="F335">
        <f t="shared" si="88"/>
        <v>0</v>
      </c>
      <c r="G335" t="s">
        <v>894</v>
      </c>
      <c r="H335">
        <f t="shared" si="84"/>
        <v>3065011</v>
      </c>
      <c r="I335" t="str">
        <f>精英副本!B501</f>
        <v>坚定的格雷格</v>
      </c>
      <c r="J335">
        <f>VLOOKUP(H335,[3]monster.xml!$A$347:$C$835,3,0)</f>
        <v>65</v>
      </c>
      <c r="K335">
        <f t="shared" si="79"/>
        <v>0</v>
      </c>
      <c r="L335">
        <f t="shared" si="87"/>
        <v>1</v>
      </c>
      <c r="M335" t="str">
        <f>精英副本!Y501</f>
        <v>智慧试炼（65）</v>
      </c>
      <c r="N335">
        <f>VLOOKUP(H335,[3]monster.xml!$347:$835,5,0)</f>
        <v>2010</v>
      </c>
      <c r="O335">
        <f t="shared" si="85"/>
        <v>2010</v>
      </c>
      <c r="AA335">
        <f t="shared" si="90"/>
        <v>1</v>
      </c>
    </row>
    <row r="336" spans="1:27">
      <c r="A336">
        <f t="shared" si="86"/>
        <v>306502</v>
      </c>
      <c r="B336">
        <f t="shared" si="82"/>
        <v>3</v>
      </c>
      <c r="C336">
        <f t="shared" si="81"/>
        <v>8</v>
      </c>
      <c r="D336">
        <f t="shared" si="83"/>
        <v>65</v>
      </c>
      <c r="E336">
        <f t="shared" si="89"/>
        <v>306503</v>
      </c>
      <c r="F336">
        <f t="shared" si="88"/>
        <v>306501</v>
      </c>
      <c r="G336" t="s">
        <v>895</v>
      </c>
      <c r="H336">
        <f t="shared" si="84"/>
        <v>3065021</v>
      </c>
      <c r="I336" t="str">
        <f>精英副本!B502</f>
        <v>赛琳娜的倒影</v>
      </c>
      <c r="J336">
        <f>VLOOKUP(H336,[3]monster.xml!$A$347:$C$835,3,0)</f>
        <v>65</v>
      </c>
      <c r="K336">
        <f t="shared" si="79"/>
        <v>0</v>
      </c>
      <c r="L336">
        <f t="shared" si="87"/>
        <v>1</v>
      </c>
      <c r="M336" t="str">
        <f>精英副本!Y502</f>
        <v>智慧试炼（65）</v>
      </c>
      <c r="N336">
        <f>VLOOKUP(H336,[3]monster.xml!$347:$835,5,0)</f>
        <v>2010</v>
      </c>
      <c r="O336">
        <f t="shared" si="85"/>
        <v>2010</v>
      </c>
      <c r="AA336">
        <f t="shared" si="90"/>
        <v>1</v>
      </c>
    </row>
    <row r="337" spans="1:27">
      <c r="A337">
        <f t="shared" si="86"/>
        <v>306503</v>
      </c>
      <c r="B337">
        <f t="shared" si="82"/>
        <v>3</v>
      </c>
      <c r="C337">
        <f t="shared" si="81"/>
        <v>8</v>
      </c>
      <c r="D337">
        <f t="shared" si="83"/>
        <v>65</v>
      </c>
      <c r="E337">
        <f t="shared" si="89"/>
        <v>306504</v>
      </c>
      <c r="F337">
        <f t="shared" si="88"/>
        <v>306502</v>
      </c>
      <c r="G337" t="s">
        <v>1008</v>
      </c>
      <c r="H337">
        <f t="shared" si="84"/>
        <v>3065031</v>
      </c>
      <c r="I337" t="str">
        <f>精英副本!B503</f>
        <v>幻术师艾莉</v>
      </c>
      <c r="J337">
        <f>VLOOKUP(H337,[3]monster.xml!$A$347:$C$835,3,0)</f>
        <v>66</v>
      </c>
      <c r="K337">
        <f t="shared" si="79"/>
        <v>1</v>
      </c>
      <c r="L337">
        <f t="shared" si="87"/>
        <v>5</v>
      </c>
      <c r="M337" t="str">
        <f>精英副本!Y503</f>
        <v>智慧试炼（65）</v>
      </c>
      <c r="N337">
        <f>VLOOKUP(H337,[3]monster.xml!$347:$835,5,0)</f>
        <v>2060</v>
      </c>
      <c r="O337">
        <f t="shared" si="85"/>
        <v>2060</v>
      </c>
      <c r="AA337">
        <f t="shared" si="90"/>
        <v>1</v>
      </c>
    </row>
    <row r="338" spans="1:27">
      <c r="A338">
        <f t="shared" si="86"/>
        <v>306504</v>
      </c>
      <c r="B338">
        <f t="shared" si="82"/>
        <v>3</v>
      </c>
      <c r="C338">
        <f t="shared" si="81"/>
        <v>8</v>
      </c>
      <c r="D338">
        <f t="shared" si="83"/>
        <v>65</v>
      </c>
      <c r="E338">
        <f t="shared" si="89"/>
        <v>306505</v>
      </c>
      <c r="F338">
        <f t="shared" si="88"/>
        <v>306503</v>
      </c>
      <c r="G338" t="s">
        <v>897</v>
      </c>
      <c r="H338">
        <f t="shared" si="84"/>
        <v>3065041</v>
      </c>
      <c r="I338" t="str">
        <f>精英副本!B504</f>
        <v>驯兽师瓦纳</v>
      </c>
      <c r="J338">
        <f>VLOOKUP(H338,[3]monster.xml!$A$347:$C$835,3,0)</f>
        <v>66</v>
      </c>
      <c r="K338">
        <f t="shared" si="79"/>
        <v>0</v>
      </c>
      <c r="L338">
        <f t="shared" si="87"/>
        <v>1</v>
      </c>
      <c r="M338" t="str">
        <f>精英副本!Y504</f>
        <v>智慧试炼（65）</v>
      </c>
      <c r="N338">
        <f>VLOOKUP(H338,[3]monster.xml!$347:$835,5,0)</f>
        <v>2060</v>
      </c>
      <c r="O338">
        <f t="shared" si="85"/>
        <v>2060</v>
      </c>
      <c r="AA338">
        <f t="shared" si="90"/>
        <v>1</v>
      </c>
    </row>
    <row r="339" spans="1:27">
      <c r="A339">
        <f t="shared" si="86"/>
        <v>306505</v>
      </c>
      <c r="B339">
        <f t="shared" si="82"/>
        <v>3</v>
      </c>
      <c r="C339">
        <f t="shared" si="81"/>
        <v>8</v>
      </c>
      <c r="D339">
        <f t="shared" si="83"/>
        <v>65</v>
      </c>
      <c r="E339">
        <f t="shared" si="89"/>
        <v>306506</v>
      </c>
      <c r="F339">
        <f t="shared" si="88"/>
        <v>306504</v>
      </c>
      <c r="G339" t="s">
        <v>898</v>
      </c>
      <c r="H339">
        <f t="shared" si="84"/>
        <v>3065051</v>
      </c>
      <c r="I339" t="str">
        <f>精英副本!B505</f>
        <v>炎之安苏</v>
      </c>
      <c r="J339">
        <f>VLOOKUP(H339,[3]monster.xml!$A$347:$C$835,3,0)</f>
        <v>66</v>
      </c>
      <c r="K339">
        <f t="shared" si="79"/>
        <v>0</v>
      </c>
      <c r="L339">
        <f t="shared" si="87"/>
        <v>1</v>
      </c>
      <c r="M339" t="str">
        <f>精英副本!Y505</f>
        <v>智慧试炼（65）</v>
      </c>
      <c r="N339">
        <f>VLOOKUP(H339,[3]monster.xml!$347:$835,5,0)</f>
        <v>2060</v>
      </c>
      <c r="O339">
        <f t="shared" si="85"/>
        <v>2060</v>
      </c>
      <c r="AA339">
        <f t="shared" si="90"/>
        <v>1</v>
      </c>
    </row>
    <row r="340" spans="1:27">
      <c r="A340">
        <f t="shared" si="86"/>
        <v>306506</v>
      </c>
      <c r="B340">
        <f t="shared" si="82"/>
        <v>3</v>
      </c>
      <c r="C340">
        <f t="shared" si="81"/>
        <v>8</v>
      </c>
      <c r="D340">
        <f t="shared" si="83"/>
        <v>65</v>
      </c>
      <c r="E340">
        <f t="shared" si="89"/>
        <v>306507</v>
      </c>
      <c r="F340">
        <f t="shared" si="88"/>
        <v>306505</v>
      </c>
      <c r="G340" t="s">
        <v>899</v>
      </c>
      <c r="H340">
        <f t="shared" si="84"/>
        <v>3065061</v>
      </c>
      <c r="I340" t="str">
        <f>精英副本!B506</f>
        <v>迅捷的维恩</v>
      </c>
      <c r="J340">
        <f>VLOOKUP(H340,[3]monster.xml!$A$347:$C$835,3,0)</f>
        <v>67</v>
      </c>
      <c r="K340">
        <f t="shared" si="79"/>
        <v>1</v>
      </c>
      <c r="L340">
        <f t="shared" si="87"/>
        <v>5</v>
      </c>
      <c r="M340" t="str">
        <f>精英副本!Y506</f>
        <v>智慧试炼（65）</v>
      </c>
      <c r="N340">
        <f>VLOOKUP(H340,[3]monster.xml!$347:$835,5,0)</f>
        <v>2110</v>
      </c>
      <c r="O340">
        <f t="shared" si="85"/>
        <v>2110</v>
      </c>
      <c r="AA340">
        <f t="shared" si="90"/>
        <v>1</v>
      </c>
    </row>
    <row r="341" spans="1:27">
      <c r="A341">
        <f t="shared" si="86"/>
        <v>306507</v>
      </c>
      <c r="B341">
        <f t="shared" si="82"/>
        <v>3</v>
      </c>
      <c r="C341">
        <f t="shared" si="81"/>
        <v>8</v>
      </c>
      <c r="D341">
        <f t="shared" si="83"/>
        <v>65</v>
      </c>
      <c r="E341">
        <f t="shared" si="89"/>
        <v>306508</v>
      </c>
      <c r="F341">
        <f t="shared" si="88"/>
        <v>306506</v>
      </c>
      <c r="G341" t="s">
        <v>900</v>
      </c>
      <c r="H341">
        <f t="shared" si="84"/>
        <v>3065071</v>
      </c>
      <c r="I341" t="str">
        <f>精英副本!B507</f>
        <v>暮光预言者</v>
      </c>
      <c r="J341">
        <f>VLOOKUP(H341,[3]monster.xml!$A$347:$C$835,3,0)</f>
        <v>67</v>
      </c>
      <c r="K341">
        <f t="shared" si="79"/>
        <v>0</v>
      </c>
      <c r="L341">
        <f t="shared" si="87"/>
        <v>1</v>
      </c>
      <c r="M341" t="str">
        <f>精英副本!Y507</f>
        <v>智慧试炼（65）</v>
      </c>
      <c r="N341">
        <f>VLOOKUP(H341,[3]monster.xml!$347:$835,5,0)</f>
        <v>2110</v>
      </c>
      <c r="O341">
        <f t="shared" si="85"/>
        <v>2110</v>
      </c>
      <c r="AA341">
        <f t="shared" si="90"/>
        <v>1</v>
      </c>
    </row>
    <row r="342" spans="1:27">
      <c r="A342">
        <f t="shared" si="86"/>
        <v>306508</v>
      </c>
      <c r="B342">
        <f t="shared" si="82"/>
        <v>3</v>
      </c>
      <c r="C342">
        <f t="shared" si="81"/>
        <v>8</v>
      </c>
      <c r="D342">
        <f t="shared" si="83"/>
        <v>65</v>
      </c>
      <c r="E342">
        <f t="shared" si="89"/>
        <v>306509</v>
      </c>
      <c r="F342">
        <f t="shared" si="88"/>
        <v>306507</v>
      </c>
      <c r="G342" t="s">
        <v>901</v>
      </c>
      <c r="H342">
        <f t="shared" si="84"/>
        <v>3065081</v>
      </c>
      <c r="I342" t="str">
        <f>精英副本!B508</f>
        <v>卡雷</v>
      </c>
      <c r="J342">
        <f>VLOOKUP(H342,[3]monster.xml!$A$347:$C$835,3,0)</f>
        <v>68</v>
      </c>
      <c r="K342">
        <f t="shared" ref="K342:K405" si="91">K333</f>
        <v>0</v>
      </c>
      <c r="L342">
        <f t="shared" si="87"/>
        <v>1</v>
      </c>
      <c r="M342" t="str">
        <f>精英副本!Y508</f>
        <v>智慧试炼（65）</v>
      </c>
      <c r="N342">
        <f>VLOOKUP(H342,[3]monster.xml!$347:$835,5,0)</f>
        <v>2160</v>
      </c>
      <c r="O342">
        <f t="shared" si="85"/>
        <v>2160</v>
      </c>
      <c r="AA342">
        <f t="shared" si="90"/>
        <v>1</v>
      </c>
    </row>
    <row r="343" spans="1:27">
      <c r="A343">
        <f t="shared" si="86"/>
        <v>306509</v>
      </c>
      <c r="B343">
        <f t="shared" si="82"/>
        <v>3</v>
      </c>
      <c r="C343">
        <f t="shared" si="81"/>
        <v>8</v>
      </c>
      <c r="D343">
        <f t="shared" si="83"/>
        <v>65</v>
      </c>
      <c r="E343">
        <f t="shared" si="89"/>
        <v>0</v>
      </c>
      <c r="F343">
        <f t="shared" si="88"/>
        <v>306508</v>
      </c>
      <c r="G343" t="s">
        <v>1009</v>
      </c>
      <c r="H343">
        <f t="shared" si="84"/>
        <v>3065091</v>
      </c>
      <c r="I343" t="str">
        <f>精英副本!B509</f>
        <v>日光费雷尔</v>
      </c>
      <c r="J343">
        <f>VLOOKUP(H343,[3]monster.xml!$A$347:$C$835,3,0)</f>
        <v>69</v>
      </c>
      <c r="K343">
        <f t="shared" si="91"/>
        <v>1</v>
      </c>
      <c r="L343">
        <f t="shared" si="87"/>
        <v>5</v>
      </c>
      <c r="M343" t="str">
        <f>精英副本!Y509</f>
        <v>智慧试炼（65）</v>
      </c>
      <c r="N343">
        <f>VLOOKUP(H343,[3]monster.xml!$347:$835,5,0)</f>
        <v>2210</v>
      </c>
      <c r="O343">
        <f t="shared" si="85"/>
        <v>2210</v>
      </c>
      <c r="AA343">
        <f t="shared" si="90"/>
        <v>0</v>
      </c>
    </row>
    <row r="344" spans="1:27">
      <c r="A344">
        <f t="shared" si="86"/>
        <v>307001</v>
      </c>
      <c r="B344">
        <f t="shared" si="82"/>
        <v>3</v>
      </c>
      <c r="C344">
        <f t="shared" si="81"/>
        <v>9</v>
      </c>
      <c r="D344">
        <f t="shared" si="83"/>
        <v>70</v>
      </c>
      <c r="E344">
        <f t="shared" si="89"/>
        <v>307002</v>
      </c>
      <c r="F344">
        <f t="shared" si="88"/>
        <v>0</v>
      </c>
      <c r="G344" t="s">
        <v>903</v>
      </c>
      <c r="H344">
        <f t="shared" si="84"/>
        <v>3070011</v>
      </c>
      <c r="I344" t="str">
        <f>精英副本!B510</f>
        <v>坚定的格雷格</v>
      </c>
      <c r="J344">
        <f>VLOOKUP(H344,[3]monster.xml!$A$347:$C$835,3,0)</f>
        <v>70</v>
      </c>
      <c r="K344">
        <f t="shared" si="91"/>
        <v>0</v>
      </c>
      <c r="L344">
        <f t="shared" si="87"/>
        <v>1</v>
      </c>
      <c r="M344" t="str">
        <f>精英副本!Y510</f>
        <v>智慧试炼（70）</v>
      </c>
      <c r="N344">
        <f>VLOOKUP(H344,[3]monster.xml!$347:$835,5,0)</f>
        <v>2260</v>
      </c>
      <c r="O344">
        <f t="shared" si="85"/>
        <v>2260</v>
      </c>
      <c r="AA344">
        <f t="shared" si="90"/>
        <v>1</v>
      </c>
    </row>
    <row r="345" spans="1:27">
      <c r="A345">
        <f t="shared" si="86"/>
        <v>307002</v>
      </c>
      <c r="B345">
        <f t="shared" si="82"/>
        <v>3</v>
      </c>
      <c r="C345">
        <f t="shared" si="81"/>
        <v>9</v>
      </c>
      <c r="D345">
        <f t="shared" si="83"/>
        <v>70</v>
      </c>
      <c r="E345">
        <f t="shared" si="89"/>
        <v>307003</v>
      </c>
      <c r="F345">
        <f t="shared" si="88"/>
        <v>307001</v>
      </c>
      <c r="G345" t="s">
        <v>904</v>
      </c>
      <c r="H345">
        <f t="shared" si="84"/>
        <v>3070021</v>
      </c>
      <c r="I345" t="str">
        <f>精英副本!B511</f>
        <v>赛琳娜的倒影</v>
      </c>
      <c r="J345">
        <f>VLOOKUP(H345,[3]monster.xml!$A$347:$C$835,3,0)</f>
        <v>70</v>
      </c>
      <c r="K345">
        <f t="shared" si="91"/>
        <v>0</v>
      </c>
      <c r="L345">
        <f t="shared" si="87"/>
        <v>1</v>
      </c>
      <c r="M345" t="str">
        <f>精英副本!Y511</f>
        <v>智慧试炼（70）</v>
      </c>
      <c r="N345">
        <f>VLOOKUP(H345,[3]monster.xml!$347:$835,5,0)</f>
        <v>2260</v>
      </c>
      <c r="O345">
        <f t="shared" si="85"/>
        <v>2260</v>
      </c>
      <c r="AA345">
        <f t="shared" si="90"/>
        <v>1</v>
      </c>
    </row>
    <row r="346" spans="1:27">
      <c r="A346">
        <f t="shared" si="86"/>
        <v>307003</v>
      </c>
      <c r="B346">
        <f t="shared" si="82"/>
        <v>3</v>
      </c>
      <c r="C346">
        <f t="shared" si="81"/>
        <v>9</v>
      </c>
      <c r="D346">
        <f t="shared" si="83"/>
        <v>70</v>
      </c>
      <c r="E346">
        <f t="shared" si="89"/>
        <v>307004</v>
      </c>
      <c r="F346">
        <f t="shared" si="88"/>
        <v>307002</v>
      </c>
      <c r="G346" t="s">
        <v>905</v>
      </c>
      <c r="H346">
        <f t="shared" si="84"/>
        <v>3070031</v>
      </c>
      <c r="I346" t="str">
        <f>精英副本!B512</f>
        <v>幻术师艾莉</v>
      </c>
      <c r="J346">
        <f>VLOOKUP(H346,[3]monster.xml!$A$347:$C$835,3,0)</f>
        <v>71</v>
      </c>
      <c r="K346">
        <f t="shared" si="91"/>
        <v>1</v>
      </c>
      <c r="L346">
        <f t="shared" si="87"/>
        <v>5</v>
      </c>
      <c r="M346" t="str">
        <f>精英副本!Y512</f>
        <v>智慧试炼（70）</v>
      </c>
      <c r="N346">
        <f>VLOOKUP(H346,[3]monster.xml!$347:$835,5,0)</f>
        <v>2320</v>
      </c>
      <c r="O346">
        <f t="shared" si="85"/>
        <v>2320</v>
      </c>
      <c r="AA346">
        <f t="shared" si="90"/>
        <v>1</v>
      </c>
    </row>
    <row r="347" spans="1:27">
      <c r="A347">
        <f t="shared" si="86"/>
        <v>307004</v>
      </c>
      <c r="B347">
        <f t="shared" si="82"/>
        <v>3</v>
      </c>
      <c r="C347">
        <f t="shared" si="81"/>
        <v>9</v>
      </c>
      <c r="D347">
        <f t="shared" si="83"/>
        <v>70</v>
      </c>
      <c r="E347">
        <f t="shared" si="89"/>
        <v>307005</v>
      </c>
      <c r="F347">
        <f t="shared" si="88"/>
        <v>307003</v>
      </c>
      <c r="G347" t="s">
        <v>1010</v>
      </c>
      <c r="H347">
        <f t="shared" si="84"/>
        <v>3070041</v>
      </c>
      <c r="I347" t="str">
        <f>精英副本!B513</f>
        <v>驯兽师瓦纳</v>
      </c>
      <c r="J347">
        <f>VLOOKUP(H347,[3]monster.xml!$A$347:$C$835,3,0)</f>
        <v>71</v>
      </c>
      <c r="K347">
        <f t="shared" si="91"/>
        <v>0</v>
      </c>
      <c r="L347">
        <f t="shared" si="87"/>
        <v>1</v>
      </c>
      <c r="M347" t="str">
        <f>精英副本!Y513</f>
        <v>智慧试炼（70）</v>
      </c>
      <c r="N347">
        <f>VLOOKUP(H347,[3]monster.xml!$347:$835,5,0)</f>
        <v>2320</v>
      </c>
      <c r="O347">
        <f t="shared" si="85"/>
        <v>2320</v>
      </c>
      <c r="AA347">
        <f t="shared" si="90"/>
        <v>1</v>
      </c>
    </row>
    <row r="348" spans="1:27">
      <c r="A348">
        <f t="shared" si="86"/>
        <v>307005</v>
      </c>
      <c r="B348">
        <f t="shared" si="82"/>
        <v>3</v>
      </c>
      <c r="C348">
        <f t="shared" si="81"/>
        <v>9</v>
      </c>
      <c r="D348">
        <f t="shared" si="83"/>
        <v>70</v>
      </c>
      <c r="E348">
        <f t="shared" si="89"/>
        <v>307006</v>
      </c>
      <c r="F348">
        <f t="shared" si="88"/>
        <v>307004</v>
      </c>
      <c r="G348" t="s">
        <v>907</v>
      </c>
      <c r="H348">
        <f t="shared" si="84"/>
        <v>3070051</v>
      </c>
      <c r="I348" t="str">
        <f>精英副本!B514</f>
        <v>炎之安苏</v>
      </c>
      <c r="J348">
        <f>VLOOKUP(H348,[3]monster.xml!$A$347:$C$835,3,0)</f>
        <v>71</v>
      </c>
      <c r="K348">
        <f t="shared" si="91"/>
        <v>0</v>
      </c>
      <c r="L348">
        <f t="shared" si="87"/>
        <v>1</v>
      </c>
      <c r="M348" t="str">
        <f>精英副本!Y514</f>
        <v>智慧试炼（70）</v>
      </c>
      <c r="N348">
        <f>VLOOKUP(H348,[3]monster.xml!$347:$835,5,0)</f>
        <v>2320</v>
      </c>
      <c r="O348">
        <f t="shared" si="85"/>
        <v>2320</v>
      </c>
      <c r="AA348">
        <f t="shared" si="90"/>
        <v>1</v>
      </c>
    </row>
    <row r="349" spans="1:27">
      <c r="A349">
        <f t="shared" si="86"/>
        <v>307006</v>
      </c>
      <c r="B349">
        <f t="shared" si="82"/>
        <v>3</v>
      </c>
      <c r="C349">
        <f t="shared" si="81"/>
        <v>9</v>
      </c>
      <c r="D349">
        <f t="shared" si="83"/>
        <v>70</v>
      </c>
      <c r="E349">
        <f t="shared" si="89"/>
        <v>307007</v>
      </c>
      <c r="F349">
        <f t="shared" si="88"/>
        <v>307005</v>
      </c>
      <c r="G349" t="s">
        <v>908</v>
      </c>
      <c r="H349">
        <f t="shared" si="84"/>
        <v>3070061</v>
      </c>
      <c r="I349" t="str">
        <f>精英副本!B515</f>
        <v>迅捷的维恩</v>
      </c>
      <c r="J349">
        <f>VLOOKUP(H349,[3]monster.xml!$A$347:$C$835,3,0)</f>
        <v>72</v>
      </c>
      <c r="K349">
        <f t="shared" si="91"/>
        <v>1</v>
      </c>
      <c r="L349">
        <f t="shared" si="87"/>
        <v>5</v>
      </c>
      <c r="M349" t="str">
        <f>精英副本!Y515</f>
        <v>智慧试炼（70）</v>
      </c>
      <c r="N349">
        <f>VLOOKUP(H349,[3]monster.xml!$347:$835,5,0)</f>
        <v>2380</v>
      </c>
      <c r="O349">
        <f t="shared" si="85"/>
        <v>2380</v>
      </c>
      <c r="AA349">
        <f t="shared" si="90"/>
        <v>1</v>
      </c>
    </row>
    <row r="350" spans="1:27">
      <c r="A350">
        <f t="shared" si="86"/>
        <v>307007</v>
      </c>
      <c r="B350">
        <f t="shared" si="82"/>
        <v>3</v>
      </c>
      <c r="C350">
        <f t="shared" ref="C350:C406" si="92">C215</f>
        <v>9</v>
      </c>
      <c r="D350">
        <f t="shared" si="83"/>
        <v>70</v>
      </c>
      <c r="E350">
        <f t="shared" si="89"/>
        <v>307008</v>
      </c>
      <c r="F350">
        <f t="shared" si="88"/>
        <v>307006</v>
      </c>
      <c r="G350" t="s">
        <v>909</v>
      </c>
      <c r="H350">
        <f t="shared" si="84"/>
        <v>3070071</v>
      </c>
      <c r="I350" t="str">
        <f>精英副本!B516</f>
        <v>暮光预言者</v>
      </c>
      <c r="J350">
        <f>VLOOKUP(H350,[3]monster.xml!$A$347:$C$835,3,0)</f>
        <v>72</v>
      </c>
      <c r="K350">
        <f t="shared" si="91"/>
        <v>0</v>
      </c>
      <c r="L350">
        <f t="shared" si="87"/>
        <v>1</v>
      </c>
      <c r="M350" t="str">
        <f>精英副本!Y516</f>
        <v>智慧试炼（70）</v>
      </c>
      <c r="N350">
        <f>VLOOKUP(H350,[3]monster.xml!$347:$835,5,0)</f>
        <v>2380</v>
      </c>
      <c r="O350">
        <f t="shared" si="85"/>
        <v>2380</v>
      </c>
      <c r="AA350">
        <f t="shared" si="90"/>
        <v>1</v>
      </c>
    </row>
    <row r="351" spans="1:27">
      <c r="A351">
        <f t="shared" si="86"/>
        <v>307008</v>
      </c>
      <c r="B351">
        <f t="shared" si="82"/>
        <v>3</v>
      </c>
      <c r="C351">
        <f t="shared" si="92"/>
        <v>9</v>
      </c>
      <c r="D351">
        <f t="shared" si="83"/>
        <v>70</v>
      </c>
      <c r="E351">
        <f t="shared" si="89"/>
        <v>307009</v>
      </c>
      <c r="F351">
        <f t="shared" si="88"/>
        <v>307007</v>
      </c>
      <c r="G351" t="s">
        <v>910</v>
      </c>
      <c r="H351">
        <f t="shared" si="84"/>
        <v>3070081</v>
      </c>
      <c r="I351" t="str">
        <f>精英副本!B517</f>
        <v>卡雷</v>
      </c>
      <c r="J351">
        <f>VLOOKUP(H351,[3]monster.xml!$A$347:$C$835,3,0)</f>
        <v>73</v>
      </c>
      <c r="K351">
        <f t="shared" si="91"/>
        <v>0</v>
      </c>
      <c r="L351">
        <f t="shared" si="87"/>
        <v>1</v>
      </c>
      <c r="M351" t="str">
        <f>精英副本!Y517</f>
        <v>智慧试炼（70）</v>
      </c>
      <c r="N351">
        <f>VLOOKUP(H351,[3]monster.xml!$347:$835,5,0)</f>
        <v>2440</v>
      </c>
      <c r="O351">
        <f t="shared" si="85"/>
        <v>2440</v>
      </c>
      <c r="AA351">
        <f t="shared" si="90"/>
        <v>1</v>
      </c>
    </row>
    <row r="352" spans="1:27">
      <c r="A352">
        <f t="shared" si="86"/>
        <v>307009</v>
      </c>
      <c r="B352">
        <f t="shared" si="82"/>
        <v>3</v>
      </c>
      <c r="C352">
        <f t="shared" si="92"/>
        <v>9</v>
      </c>
      <c r="D352">
        <f t="shared" si="83"/>
        <v>70</v>
      </c>
      <c r="E352">
        <f t="shared" si="89"/>
        <v>0</v>
      </c>
      <c r="F352">
        <f t="shared" si="88"/>
        <v>307008</v>
      </c>
      <c r="G352" t="s">
        <v>1011</v>
      </c>
      <c r="H352">
        <f t="shared" si="84"/>
        <v>3070091</v>
      </c>
      <c r="I352" t="str">
        <f>精英副本!B518</f>
        <v>日光费雷尔</v>
      </c>
      <c r="J352">
        <f>VLOOKUP(H352,[3]monster.xml!$A$347:$C$835,3,0)</f>
        <v>74</v>
      </c>
      <c r="K352">
        <f t="shared" si="91"/>
        <v>1</v>
      </c>
      <c r="L352">
        <f t="shared" si="87"/>
        <v>5</v>
      </c>
      <c r="M352" t="str">
        <f>精英副本!Y518</f>
        <v>智慧试炼（70）</v>
      </c>
      <c r="N352">
        <f>VLOOKUP(H352,[3]monster.xml!$347:$835,5,0)</f>
        <v>2500</v>
      </c>
      <c r="O352">
        <f t="shared" si="85"/>
        <v>2500</v>
      </c>
      <c r="AA352">
        <f t="shared" si="90"/>
        <v>0</v>
      </c>
    </row>
    <row r="353" spans="1:27">
      <c r="A353">
        <f t="shared" si="86"/>
        <v>307501</v>
      </c>
      <c r="B353">
        <f t="shared" ref="B353:B406" si="93">ROUNDDOWN(A353/100000,0)</f>
        <v>3</v>
      </c>
      <c r="C353">
        <f t="shared" si="92"/>
        <v>10</v>
      </c>
      <c r="D353">
        <f t="shared" ref="D353:D406" si="94">MID(A353,2,3)*1</f>
        <v>75</v>
      </c>
      <c r="E353">
        <f t="shared" si="89"/>
        <v>307502</v>
      </c>
      <c r="F353">
        <f t="shared" si="88"/>
        <v>0</v>
      </c>
      <c r="G353" t="s">
        <v>912</v>
      </c>
      <c r="H353">
        <f t="shared" ref="H353:H406" si="95">A353*10+1</f>
        <v>3075011</v>
      </c>
      <c r="I353" t="str">
        <f>精英副本!B519</f>
        <v>坚定的格雷格</v>
      </c>
      <c r="J353">
        <f>VLOOKUP(H353,[3]monster.xml!$A$347:$C$835,3,0)</f>
        <v>75</v>
      </c>
      <c r="K353">
        <f t="shared" si="91"/>
        <v>0</v>
      </c>
      <c r="L353">
        <f t="shared" si="87"/>
        <v>1</v>
      </c>
      <c r="M353" t="str">
        <f>精英副本!Y519</f>
        <v>智慧试炼（75）</v>
      </c>
      <c r="N353">
        <f>VLOOKUP(H353,[3]monster.xml!$347:$835,5,0)</f>
        <v>2560</v>
      </c>
      <c r="O353">
        <f t="shared" si="85"/>
        <v>2560</v>
      </c>
      <c r="AA353">
        <f t="shared" si="90"/>
        <v>1</v>
      </c>
    </row>
    <row r="354" spans="1:27">
      <c r="A354">
        <f t="shared" si="86"/>
        <v>307502</v>
      </c>
      <c r="B354">
        <f t="shared" si="93"/>
        <v>3</v>
      </c>
      <c r="C354">
        <f t="shared" si="92"/>
        <v>10</v>
      </c>
      <c r="D354">
        <f t="shared" si="94"/>
        <v>75</v>
      </c>
      <c r="E354">
        <f t="shared" si="89"/>
        <v>307503</v>
      </c>
      <c r="F354">
        <f t="shared" si="88"/>
        <v>307501</v>
      </c>
      <c r="G354" t="s">
        <v>1012</v>
      </c>
      <c r="H354">
        <f t="shared" si="95"/>
        <v>3075021</v>
      </c>
      <c r="I354" t="str">
        <f>精英副本!B520</f>
        <v>赛琳娜的倒影</v>
      </c>
      <c r="J354">
        <f>VLOOKUP(H354,[3]monster.xml!$A$347:$C$835,3,0)</f>
        <v>75</v>
      </c>
      <c r="K354">
        <f t="shared" si="91"/>
        <v>0</v>
      </c>
      <c r="L354">
        <f t="shared" si="87"/>
        <v>1</v>
      </c>
      <c r="M354" t="str">
        <f>精英副本!Y520</f>
        <v>智慧试炼（75）</v>
      </c>
      <c r="N354">
        <f>VLOOKUP(H354,[3]monster.xml!$347:$835,5,0)</f>
        <v>2560</v>
      </c>
      <c r="O354">
        <f t="shared" si="85"/>
        <v>2560</v>
      </c>
      <c r="AA354">
        <f t="shared" si="90"/>
        <v>1</v>
      </c>
    </row>
    <row r="355" spans="1:27">
      <c r="A355">
        <f t="shared" si="86"/>
        <v>307503</v>
      </c>
      <c r="B355">
        <f t="shared" si="93"/>
        <v>3</v>
      </c>
      <c r="C355">
        <f t="shared" si="92"/>
        <v>10</v>
      </c>
      <c r="D355">
        <f t="shared" si="94"/>
        <v>75</v>
      </c>
      <c r="E355">
        <f t="shared" si="89"/>
        <v>307504</v>
      </c>
      <c r="F355">
        <f t="shared" si="88"/>
        <v>307502</v>
      </c>
      <c r="G355" t="s">
        <v>914</v>
      </c>
      <c r="H355">
        <f t="shared" si="95"/>
        <v>3075031</v>
      </c>
      <c r="I355" t="str">
        <f>精英副本!B521</f>
        <v>幻术师艾莉</v>
      </c>
      <c r="J355">
        <f>VLOOKUP(H355,[3]monster.xml!$A$347:$C$835,3,0)</f>
        <v>76</v>
      </c>
      <c r="K355">
        <f t="shared" si="91"/>
        <v>1</v>
      </c>
      <c r="L355">
        <f t="shared" si="87"/>
        <v>5</v>
      </c>
      <c r="M355" t="str">
        <f>精英副本!Y521</f>
        <v>智慧试炼（75）</v>
      </c>
      <c r="N355">
        <f>VLOOKUP(H355,[3]monster.xml!$347:$835,5,0)</f>
        <v>2620</v>
      </c>
      <c r="O355">
        <f t="shared" si="85"/>
        <v>2620</v>
      </c>
      <c r="AA355">
        <f t="shared" si="90"/>
        <v>1</v>
      </c>
    </row>
    <row r="356" spans="1:27">
      <c r="A356">
        <f t="shared" si="86"/>
        <v>307504</v>
      </c>
      <c r="B356">
        <f t="shared" si="93"/>
        <v>3</v>
      </c>
      <c r="C356">
        <f t="shared" si="92"/>
        <v>10</v>
      </c>
      <c r="D356">
        <f t="shared" si="94"/>
        <v>75</v>
      </c>
      <c r="E356">
        <f t="shared" si="89"/>
        <v>307505</v>
      </c>
      <c r="F356">
        <f t="shared" si="88"/>
        <v>307503</v>
      </c>
      <c r="G356" t="s">
        <v>915</v>
      </c>
      <c r="H356">
        <f t="shared" si="95"/>
        <v>3075041</v>
      </c>
      <c r="I356" t="str">
        <f>精英副本!B522</f>
        <v>驯兽师瓦纳</v>
      </c>
      <c r="J356">
        <f>VLOOKUP(H356,[3]monster.xml!$A$347:$C$835,3,0)</f>
        <v>76</v>
      </c>
      <c r="K356">
        <f t="shared" si="91"/>
        <v>0</v>
      </c>
      <c r="L356">
        <f t="shared" si="87"/>
        <v>1</v>
      </c>
      <c r="M356" t="str">
        <f>精英副本!Y522</f>
        <v>智慧试炼（75）</v>
      </c>
      <c r="N356">
        <f>VLOOKUP(H356,[3]monster.xml!$347:$835,5,0)</f>
        <v>2620</v>
      </c>
      <c r="O356">
        <f t="shared" si="85"/>
        <v>2620</v>
      </c>
      <c r="AA356">
        <f t="shared" si="90"/>
        <v>1</v>
      </c>
    </row>
    <row r="357" spans="1:27">
      <c r="A357">
        <f t="shared" si="86"/>
        <v>307505</v>
      </c>
      <c r="B357">
        <f t="shared" si="93"/>
        <v>3</v>
      </c>
      <c r="C357">
        <f t="shared" si="92"/>
        <v>10</v>
      </c>
      <c r="D357">
        <f t="shared" si="94"/>
        <v>75</v>
      </c>
      <c r="E357">
        <f t="shared" si="89"/>
        <v>307506</v>
      </c>
      <c r="F357">
        <f t="shared" si="88"/>
        <v>307504</v>
      </c>
      <c r="G357" t="s">
        <v>916</v>
      </c>
      <c r="H357">
        <f t="shared" si="95"/>
        <v>3075051</v>
      </c>
      <c r="I357" t="str">
        <f>精英副本!B523</f>
        <v>炎之安苏</v>
      </c>
      <c r="J357">
        <f>VLOOKUP(H357,[3]monster.xml!$A$347:$C$835,3,0)</f>
        <v>76</v>
      </c>
      <c r="K357">
        <f t="shared" si="91"/>
        <v>0</v>
      </c>
      <c r="L357">
        <f t="shared" si="87"/>
        <v>1</v>
      </c>
      <c r="M357" t="str">
        <f>精英副本!Y523</f>
        <v>智慧试炼（75）</v>
      </c>
      <c r="N357">
        <f>VLOOKUP(H357,[3]monster.xml!$347:$835,5,0)</f>
        <v>2620</v>
      </c>
      <c r="O357">
        <f t="shared" si="85"/>
        <v>2620</v>
      </c>
      <c r="AA357">
        <f t="shared" si="90"/>
        <v>1</v>
      </c>
    </row>
    <row r="358" spans="1:27">
      <c r="A358">
        <f t="shared" si="86"/>
        <v>307506</v>
      </c>
      <c r="B358">
        <f t="shared" si="93"/>
        <v>3</v>
      </c>
      <c r="C358">
        <f t="shared" si="92"/>
        <v>10</v>
      </c>
      <c r="D358">
        <f t="shared" si="94"/>
        <v>75</v>
      </c>
      <c r="E358">
        <f t="shared" si="89"/>
        <v>307507</v>
      </c>
      <c r="F358">
        <f t="shared" si="88"/>
        <v>307505</v>
      </c>
      <c r="G358" t="s">
        <v>917</v>
      </c>
      <c r="H358">
        <f t="shared" si="95"/>
        <v>3075061</v>
      </c>
      <c r="I358" t="str">
        <f>精英副本!B524</f>
        <v>迅捷的维恩</v>
      </c>
      <c r="J358">
        <f>VLOOKUP(H358,[3]monster.xml!$A$347:$C$835,3,0)</f>
        <v>77</v>
      </c>
      <c r="K358">
        <f t="shared" si="91"/>
        <v>1</v>
      </c>
      <c r="L358">
        <f t="shared" si="87"/>
        <v>5</v>
      </c>
      <c r="M358" t="str">
        <f>精英副本!Y524</f>
        <v>智慧试炼（75）</v>
      </c>
      <c r="N358">
        <f>VLOOKUP(H358,[3]monster.xml!$347:$835,5,0)</f>
        <v>2680</v>
      </c>
      <c r="O358">
        <f t="shared" si="85"/>
        <v>2680</v>
      </c>
      <c r="AA358">
        <f t="shared" si="90"/>
        <v>1</v>
      </c>
    </row>
    <row r="359" spans="1:27">
      <c r="A359">
        <f t="shared" si="86"/>
        <v>307507</v>
      </c>
      <c r="B359">
        <f t="shared" si="93"/>
        <v>3</v>
      </c>
      <c r="C359">
        <f t="shared" si="92"/>
        <v>10</v>
      </c>
      <c r="D359">
        <f t="shared" si="94"/>
        <v>75</v>
      </c>
      <c r="E359">
        <f t="shared" si="89"/>
        <v>307508</v>
      </c>
      <c r="F359">
        <f t="shared" si="88"/>
        <v>307506</v>
      </c>
      <c r="G359" t="s">
        <v>918</v>
      </c>
      <c r="H359">
        <f t="shared" si="95"/>
        <v>3075071</v>
      </c>
      <c r="I359" t="str">
        <f>精英副本!B525</f>
        <v>暮光预言者</v>
      </c>
      <c r="J359">
        <f>VLOOKUP(H359,[3]monster.xml!$A$347:$C$835,3,0)</f>
        <v>77</v>
      </c>
      <c r="K359">
        <f t="shared" si="91"/>
        <v>0</v>
      </c>
      <c r="L359">
        <f t="shared" si="87"/>
        <v>1</v>
      </c>
      <c r="M359" t="str">
        <f>精英副本!Y525</f>
        <v>智慧试炼（75）</v>
      </c>
      <c r="N359">
        <f>VLOOKUP(H359,[3]monster.xml!$347:$835,5,0)</f>
        <v>2680</v>
      </c>
      <c r="O359">
        <f t="shared" si="85"/>
        <v>2680</v>
      </c>
      <c r="AA359">
        <f t="shared" si="90"/>
        <v>1</v>
      </c>
    </row>
    <row r="360" spans="1:27">
      <c r="A360">
        <f t="shared" si="86"/>
        <v>307508</v>
      </c>
      <c r="B360">
        <f t="shared" si="93"/>
        <v>3</v>
      </c>
      <c r="C360">
        <f t="shared" si="92"/>
        <v>10</v>
      </c>
      <c r="D360">
        <f t="shared" si="94"/>
        <v>75</v>
      </c>
      <c r="E360">
        <f t="shared" si="89"/>
        <v>307509</v>
      </c>
      <c r="F360">
        <f t="shared" si="88"/>
        <v>307507</v>
      </c>
      <c r="G360" t="s">
        <v>919</v>
      </c>
      <c r="H360">
        <f t="shared" si="95"/>
        <v>3075081</v>
      </c>
      <c r="I360" t="str">
        <f>精英副本!B526</f>
        <v>卡雷</v>
      </c>
      <c r="J360">
        <f>VLOOKUP(H360,[3]monster.xml!$A$347:$C$835,3,0)</f>
        <v>78</v>
      </c>
      <c r="K360">
        <f t="shared" si="91"/>
        <v>0</v>
      </c>
      <c r="L360">
        <f t="shared" si="87"/>
        <v>1</v>
      </c>
      <c r="M360" t="str">
        <f>精英副本!Y526</f>
        <v>智慧试炼（75）</v>
      </c>
      <c r="N360">
        <f>VLOOKUP(H360,[3]monster.xml!$347:$835,5,0)</f>
        <v>2740</v>
      </c>
      <c r="O360">
        <f t="shared" si="85"/>
        <v>2740</v>
      </c>
      <c r="AA360">
        <f t="shared" si="90"/>
        <v>1</v>
      </c>
    </row>
    <row r="361" spans="1:27">
      <c r="A361">
        <f t="shared" si="86"/>
        <v>307509</v>
      </c>
      <c r="B361">
        <f t="shared" si="93"/>
        <v>3</v>
      </c>
      <c r="C361">
        <f t="shared" si="92"/>
        <v>10</v>
      </c>
      <c r="D361">
        <f t="shared" si="94"/>
        <v>75</v>
      </c>
      <c r="E361">
        <f t="shared" si="89"/>
        <v>0</v>
      </c>
      <c r="F361">
        <f t="shared" si="88"/>
        <v>307508</v>
      </c>
      <c r="G361" t="s">
        <v>1013</v>
      </c>
      <c r="H361">
        <f t="shared" si="95"/>
        <v>3075091</v>
      </c>
      <c r="I361" t="str">
        <f>精英副本!B527</f>
        <v>日光费雷尔</v>
      </c>
      <c r="J361">
        <f>VLOOKUP(H361,[3]monster.xml!$A$347:$C$835,3,0)</f>
        <v>79</v>
      </c>
      <c r="K361">
        <f t="shared" si="91"/>
        <v>1</v>
      </c>
      <c r="L361">
        <f t="shared" si="87"/>
        <v>5</v>
      </c>
      <c r="M361" t="str">
        <f>精英副本!Y527</f>
        <v>智慧试炼（75）</v>
      </c>
      <c r="N361">
        <f>VLOOKUP(H361,[3]monster.xml!$347:$835,5,0)</f>
        <v>2800</v>
      </c>
      <c r="O361">
        <f t="shared" si="85"/>
        <v>2800</v>
      </c>
      <c r="AA361">
        <f t="shared" si="90"/>
        <v>0</v>
      </c>
    </row>
    <row r="362" spans="1:27">
      <c r="A362">
        <f t="shared" si="86"/>
        <v>308001</v>
      </c>
      <c r="B362">
        <f t="shared" si="93"/>
        <v>3</v>
      </c>
      <c r="C362">
        <f t="shared" si="92"/>
        <v>11</v>
      </c>
      <c r="D362">
        <f t="shared" si="94"/>
        <v>80</v>
      </c>
      <c r="E362">
        <f t="shared" si="89"/>
        <v>308002</v>
      </c>
      <c r="F362">
        <f t="shared" si="88"/>
        <v>0</v>
      </c>
      <c r="G362" t="s">
        <v>921</v>
      </c>
      <c r="H362">
        <f t="shared" si="95"/>
        <v>3080011</v>
      </c>
      <c r="I362" t="str">
        <f>精英副本!B528</f>
        <v>坚定的格雷格</v>
      </c>
      <c r="J362">
        <f>VLOOKUP(H362,[3]monster.xml!$A$347:$C$835,3,0)</f>
        <v>80</v>
      </c>
      <c r="K362">
        <f t="shared" si="91"/>
        <v>0</v>
      </c>
      <c r="L362">
        <f t="shared" si="87"/>
        <v>1</v>
      </c>
      <c r="M362" t="str">
        <f>精英副本!Y528</f>
        <v>智慧试炼（80）</v>
      </c>
      <c r="N362">
        <f>VLOOKUP(H362,[3]monster.xml!$347:$835,5,0)</f>
        <v>3000</v>
      </c>
      <c r="O362">
        <f t="shared" si="85"/>
        <v>3000</v>
      </c>
      <c r="AA362">
        <f t="shared" si="90"/>
        <v>1</v>
      </c>
    </row>
    <row r="363" spans="1:27">
      <c r="A363">
        <f t="shared" si="86"/>
        <v>308002</v>
      </c>
      <c r="B363">
        <f t="shared" si="93"/>
        <v>3</v>
      </c>
      <c r="C363">
        <f t="shared" si="92"/>
        <v>11</v>
      </c>
      <c r="D363">
        <f t="shared" si="94"/>
        <v>80</v>
      </c>
      <c r="E363">
        <f t="shared" si="89"/>
        <v>308003</v>
      </c>
      <c r="F363">
        <f t="shared" si="88"/>
        <v>308001</v>
      </c>
      <c r="G363" t="s">
        <v>922</v>
      </c>
      <c r="H363">
        <f t="shared" si="95"/>
        <v>3080021</v>
      </c>
      <c r="I363" t="str">
        <f>精英副本!B529</f>
        <v>赛琳娜的倒影</v>
      </c>
      <c r="J363">
        <f>VLOOKUP(H363,[3]monster.xml!$A$347:$C$835,3,0)</f>
        <v>80</v>
      </c>
      <c r="K363">
        <f t="shared" si="91"/>
        <v>0</v>
      </c>
      <c r="L363">
        <f t="shared" si="87"/>
        <v>1</v>
      </c>
      <c r="M363" t="str">
        <f>精英副本!Y529</f>
        <v>智慧试炼（80）</v>
      </c>
      <c r="N363">
        <f>VLOOKUP(H363,[3]monster.xml!$347:$835,5,0)</f>
        <v>3000</v>
      </c>
      <c r="O363">
        <f t="shared" si="85"/>
        <v>3000</v>
      </c>
      <c r="AA363">
        <f t="shared" si="90"/>
        <v>1</v>
      </c>
    </row>
    <row r="364" spans="1:27">
      <c r="A364">
        <f t="shared" si="86"/>
        <v>308003</v>
      </c>
      <c r="B364">
        <f t="shared" si="93"/>
        <v>3</v>
      </c>
      <c r="C364">
        <f t="shared" si="92"/>
        <v>11</v>
      </c>
      <c r="D364">
        <f t="shared" si="94"/>
        <v>80</v>
      </c>
      <c r="E364">
        <f t="shared" si="89"/>
        <v>308004</v>
      </c>
      <c r="F364">
        <f t="shared" si="88"/>
        <v>308002</v>
      </c>
      <c r="G364" t="s">
        <v>923</v>
      </c>
      <c r="H364">
        <f t="shared" si="95"/>
        <v>3080031</v>
      </c>
      <c r="I364" t="str">
        <f>精英副本!B530</f>
        <v>幻术师艾莉</v>
      </c>
      <c r="J364">
        <f>VLOOKUP(H364,[3]monster.xml!$A$347:$C$835,3,0)</f>
        <v>81</v>
      </c>
      <c r="K364">
        <f t="shared" si="91"/>
        <v>1</v>
      </c>
      <c r="L364">
        <f t="shared" si="87"/>
        <v>5</v>
      </c>
      <c r="M364" t="str">
        <f>精英副本!Y530</f>
        <v>智慧试炼（80）</v>
      </c>
      <c r="N364">
        <f>VLOOKUP(H364,[3]monster.xml!$347:$835,5,0)</f>
        <v>3200</v>
      </c>
      <c r="O364">
        <f t="shared" si="85"/>
        <v>3200</v>
      </c>
      <c r="AA364">
        <f t="shared" si="90"/>
        <v>1</v>
      </c>
    </row>
    <row r="365" spans="1:27">
      <c r="A365">
        <f t="shared" si="86"/>
        <v>308004</v>
      </c>
      <c r="B365">
        <f t="shared" si="93"/>
        <v>3</v>
      </c>
      <c r="C365">
        <f t="shared" si="92"/>
        <v>11</v>
      </c>
      <c r="D365">
        <f t="shared" si="94"/>
        <v>80</v>
      </c>
      <c r="E365">
        <f t="shared" si="89"/>
        <v>308005</v>
      </c>
      <c r="F365">
        <f t="shared" si="88"/>
        <v>308003</v>
      </c>
      <c r="G365" t="s">
        <v>924</v>
      </c>
      <c r="H365">
        <f t="shared" si="95"/>
        <v>3080041</v>
      </c>
      <c r="I365" t="str">
        <f>精英副本!B531</f>
        <v>驯兽师瓦纳</v>
      </c>
      <c r="J365">
        <f>VLOOKUP(H365,[3]monster.xml!$A$347:$C$835,3,0)</f>
        <v>81</v>
      </c>
      <c r="K365">
        <f t="shared" si="91"/>
        <v>0</v>
      </c>
      <c r="L365">
        <f t="shared" si="87"/>
        <v>1</v>
      </c>
      <c r="M365" t="str">
        <f>精英副本!Y531</f>
        <v>智慧试炼（80）</v>
      </c>
      <c r="N365">
        <f>VLOOKUP(H365,[3]monster.xml!$347:$835,5,0)</f>
        <v>3200</v>
      </c>
      <c r="O365">
        <f t="shared" si="85"/>
        <v>3200</v>
      </c>
      <c r="AA365">
        <f t="shared" si="90"/>
        <v>1</v>
      </c>
    </row>
    <row r="366" spans="1:27">
      <c r="A366">
        <f t="shared" si="86"/>
        <v>308005</v>
      </c>
      <c r="B366">
        <f t="shared" si="93"/>
        <v>3</v>
      </c>
      <c r="C366">
        <f t="shared" si="92"/>
        <v>11</v>
      </c>
      <c r="D366">
        <f t="shared" si="94"/>
        <v>80</v>
      </c>
      <c r="E366">
        <f t="shared" si="89"/>
        <v>308006</v>
      </c>
      <c r="F366">
        <f t="shared" si="88"/>
        <v>308004</v>
      </c>
      <c r="G366" t="s">
        <v>925</v>
      </c>
      <c r="H366">
        <f t="shared" si="95"/>
        <v>3080051</v>
      </c>
      <c r="I366" t="str">
        <f>精英副本!B532</f>
        <v>炎之安苏</v>
      </c>
      <c r="J366">
        <f>VLOOKUP(H366,[3]monster.xml!$A$347:$C$835,3,0)</f>
        <v>81</v>
      </c>
      <c r="K366">
        <f t="shared" si="91"/>
        <v>0</v>
      </c>
      <c r="L366">
        <f t="shared" si="87"/>
        <v>1</v>
      </c>
      <c r="M366" t="str">
        <f>精英副本!Y532</f>
        <v>智慧试炼（80）</v>
      </c>
      <c r="N366">
        <f>VLOOKUP(H366,[3]monster.xml!$347:$835,5,0)</f>
        <v>3200</v>
      </c>
      <c r="O366">
        <f t="shared" si="85"/>
        <v>3200</v>
      </c>
      <c r="AA366">
        <f t="shared" si="90"/>
        <v>1</v>
      </c>
    </row>
    <row r="367" spans="1:27">
      <c r="A367">
        <f t="shared" si="86"/>
        <v>308006</v>
      </c>
      <c r="B367">
        <f t="shared" si="93"/>
        <v>3</v>
      </c>
      <c r="C367">
        <f t="shared" si="92"/>
        <v>11</v>
      </c>
      <c r="D367">
        <f t="shared" si="94"/>
        <v>80</v>
      </c>
      <c r="E367">
        <f t="shared" si="89"/>
        <v>308007</v>
      </c>
      <c r="F367">
        <f t="shared" si="88"/>
        <v>308005</v>
      </c>
      <c r="G367" t="s">
        <v>926</v>
      </c>
      <c r="H367">
        <f t="shared" si="95"/>
        <v>3080061</v>
      </c>
      <c r="I367" t="str">
        <f>精英副本!B533</f>
        <v>迅捷的维恩</v>
      </c>
      <c r="J367">
        <f>VLOOKUP(H367,[3]monster.xml!$A$347:$C$835,3,0)</f>
        <v>82</v>
      </c>
      <c r="K367">
        <f t="shared" si="91"/>
        <v>1</v>
      </c>
      <c r="L367">
        <f t="shared" si="87"/>
        <v>5</v>
      </c>
      <c r="M367" t="str">
        <f>精英副本!Y533</f>
        <v>智慧试炼（80）</v>
      </c>
      <c r="N367">
        <f>VLOOKUP(H367,[3]monster.xml!$347:$835,5,0)</f>
        <v>3400</v>
      </c>
      <c r="O367">
        <f t="shared" si="85"/>
        <v>3400</v>
      </c>
      <c r="AA367">
        <f t="shared" si="90"/>
        <v>1</v>
      </c>
    </row>
    <row r="368" spans="1:27">
      <c r="A368">
        <f t="shared" si="86"/>
        <v>308007</v>
      </c>
      <c r="B368">
        <f t="shared" si="93"/>
        <v>3</v>
      </c>
      <c r="C368">
        <f t="shared" si="92"/>
        <v>11</v>
      </c>
      <c r="D368">
        <f t="shared" si="94"/>
        <v>80</v>
      </c>
      <c r="E368">
        <f t="shared" si="89"/>
        <v>308008</v>
      </c>
      <c r="F368">
        <f t="shared" si="88"/>
        <v>308006</v>
      </c>
      <c r="G368" t="s">
        <v>927</v>
      </c>
      <c r="H368">
        <f t="shared" si="95"/>
        <v>3080071</v>
      </c>
      <c r="I368" t="str">
        <f>精英副本!B534</f>
        <v>暮光预言者</v>
      </c>
      <c r="J368">
        <f>VLOOKUP(H368,[3]monster.xml!$A$347:$C$835,3,0)</f>
        <v>82</v>
      </c>
      <c r="K368">
        <f t="shared" si="91"/>
        <v>0</v>
      </c>
      <c r="L368">
        <f t="shared" si="87"/>
        <v>1</v>
      </c>
      <c r="M368" t="str">
        <f>精英副本!Y534</f>
        <v>智慧试炼（80）</v>
      </c>
      <c r="N368">
        <f>VLOOKUP(H368,[3]monster.xml!$347:$835,5,0)</f>
        <v>3400</v>
      </c>
      <c r="O368">
        <f t="shared" si="85"/>
        <v>3400</v>
      </c>
      <c r="AA368">
        <f t="shared" si="90"/>
        <v>1</v>
      </c>
    </row>
    <row r="369" spans="1:27">
      <c r="A369">
        <f t="shared" si="86"/>
        <v>308008</v>
      </c>
      <c r="B369">
        <f t="shared" si="93"/>
        <v>3</v>
      </c>
      <c r="C369">
        <f t="shared" si="92"/>
        <v>11</v>
      </c>
      <c r="D369">
        <f t="shared" si="94"/>
        <v>80</v>
      </c>
      <c r="E369">
        <f t="shared" si="89"/>
        <v>308009</v>
      </c>
      <c r="F369">
        <f t="shared" si="88"/>
        <v>308007</v>
      </c>
      <c r="G369" t="s">
        <v>928</v>
      </c>
      <c r="H369">
        <f t="shared" si="95"/>
        <v>3080081</v>
      </c>
      <c r="I369" t="str">
        <f>精英副本!B535</f>
        <v>卡雷</v>
      </c>
      <c r="J369">
        <f>VLOOKUP(H369,[3]monster.xml!$A$347:$C$835,3,0)</f>
        <v>83</v>
      </c>
      <c r="K369">
        <f t="shared" si="91"/>
        <v>0</v>
      </c>
      <c r="L369">
        <f t="shared" si="87"/>
        <v>1</v>
      </c>
      <c r="M369" t="str">
        <f>精英副本!Y535</f>
        <v>智慧试炼（80）</v>
      </c>
      <c r="N369">
        <f>VLOOKUP(H369,[3]monster.xml!$347:$835,5,0)</f>
        <v>3600</v>
      </c>
      <c r="O369">
        <f t="shared" si="85"/>
        <v>3600</v>
      </c>
      <c r="AA369">
        <f t="shared" si="90"/>
        <v>1</v>
      </c>
    </row>
    <row r="370" spans="1:27">
      <c r="A370">
        <f t="shared" si="86"/>
        <v>308009</v>
      </c>
      <c r="B370">
        <f t="shared" si="93"/>
        <v>3</v>
      </c>
      <c r="C370">
        <f t="shared" si="92"/>
        <v>11</v>
      </c>
      <c r="D370">
        <f t="shared" si="94"/>
        <v>80</v>
      </c>
      <c r="E370">
        <f t="shared" si="89"/>
        <v>0</v>
      </c>
      <c r="F370">
        <f t="shared" si="88"/>
        <v>308008</v>
      </c>
      <c r="G370" t="s">
        <v>1014</v>
      </c>
      <c r="H370">
        <f t="shared" si="95"/>
        <v>3080091</v>
      </c>
      <c r="I370" t="str">
        <f>精英副本!B536</f>
        <v>日光费雷尔</v>
      </c>
      <c r="J370">
        <f>VLOOKUP(H370,[3]monster.xml!$A$347:$C$835,3,0)</f>
        <v>84</v>
      </c>
      <c r="K370">
        <f t="shared" si="91"/>
        <v>1</v>
      </c>
      <c r="L370">
        <f t="shared" si="87"/>
        <v>5</v>
      </c>
      <c r="M370" t="str">
        <f>精英副本!Y536</f>
        <v>智慧试炼（80）</v>
      </c>
      <c r="N370">
        <f>VLOOKUP(H370,[3]monster.xml!$347:$835,5,0)</f>
        <v>3800</v>
      </c>
      <c r="O370">
        <f t="shared" si="85"/>
        <v>3800</v>
      </c>
      <c r="AA370">
        <f t="shared" si="90"/>
        <v>0</v>
      </c>
    </row>
    <row r="371" spans="1:27">
      <c r="A371">
        <f t="shared" si="86"/>
        <v>308501</v>
      </c>
      <c r="B371">
        <f t="shared" si="93"/>
        <v>3</v>
      </c>
      <c r="C371">
        <f t="shared" si="92"/>
        <v>12</v>
      </c>
      <c r="D371">
        <f t="shared" si="94"/>
        <v>85</v>
      </c>
      <c r="E371">
        <f t="shared" si="89"/>
        <v>308502</v>
      </c>
      <c r="F371">
        <f t="shared" si="88"/>
        <v>0</v>
      </c>
      <c r="G371" t="s">
        <v>930</v>
      </c>
      <c r="H371">
        <f t="shared" si="95"/>
        <v>3085011</v>
      </c>
      <c r="I371" t="str">
        <f>精英副本!B537</f>
        <v>影子武士</v>
      </c>
      <c r="J371">
        <f>VLOOKUP(H371,[3]monster.xml!$A$347:$C$835,3,0)</f>
        <v>85</v>
      </c>
      <c r="K371">
        <f t="shared" si="91"/>
        <v>0</v>
      </c>
      <c r="L371">
        <f t="shared" si="87"/>
        <v>1</v>
      </c>
      <c r="M371" t="str">
        <f>精英副本!Y537</f>
        <v>启迪试炼（85）</v>
      </c>
      <c r="N371">
        <f>VLOOKUP(H371,[3]monster.xml!$347:$835,5,0)</f>
        <v>4000</v>
      </c>
      <c r="O371">
        <f t="shared" si="85"/>
        <v>4000</v>
      </c>
      <c r="AA371">
        <f t="shared" si="90"/>
        <v>1</v>
      </c>
    </row>
    <row r="372" spans="1:27">
      <c r="A372">
        <f t="shared" si="86"/>
        <v>308502</v>
      </c>
      <c r="B372">
        <f t="shared" si="93"/>
        <v>3</v>
      </c>
      <c r="C372">
        <f t="shared" si="92"/>
        <v>12</v>
      </c>
      <c r="D372">
        <f t="shared" si="94"/>
        <v>85</v>
      </c>
      <c r="E372">
        <f t="shared" si="89"/>
        <v>308503</v>
      </c>
      <c r="F372">
        <f t="shared" si="88"/>
        <v>308501</v>
      </c>
      <c r="G372" t="s">
        <v>931</v>
      </c>
      <c r="H372">
        <f t="shared" si="95"/>
        <v>3085021</v>
      </c>
      <c r="I372" t="str">
        <f>精英副本!B538</f>
        <v>拨弄的赛亚</v>
      </c>
      <c r="J372">
        <f>VLOOKUP(H372,[3]monster.xml!$A$347:$C$835,3,0)</f>
        <v>85</v>
      </c>
      <c r="K372">
        <f t="shared" si="91"/>
        <v>0</v>
      </c>
      <c r="L372">
        <f t="shared" si="87"/>
        <v>1</v>
      </c>
      <c r="M372" t="str">
        <f>精英副本!Y538</f>
        <v>启迪试炼（85）</v>
      </c>
      <c r="N372">
        <f>VLOOKUP(H372,[3]monster.xml!$347:$835,5,0)</f>
        <v>4000</v>
      </c>
      <c r="O372">
        <f t="shared" si="85"/>
        <v>4000</v>
      </c>
      <c r="AA372">
        <f t="shared" si="90"/>
        <v>1</v>
      </c>
    </row>
    <row r="373" spans="1:27">
      <c r="A373">
        <f t="shared" si="86"/>
        <v>308503</v>
      </c>
      <c r="B373">
        <f t="shared" si="93"/>
        <v>3</v>
      </c>
      <c r="C373">
        <f t="shared" si="92"/>
        <v>12</v>
      </c>
      <c r="D373">
        <f t="shared" si="94"/>
        <v>85</v>
      </c>
      <c r="E373">
        <f t="shared" si="89"/>
        <v>308504</v>
      </c>
      <c r="F373">
        <f t="shared" si="88"/>
        <v>308502</v>
      </c>
      <c r="G373" t="s">
        <v>932</v>
      </c>
      <c r="H373">
        <f t="shared" si="95"/>
        <v>3085031</v>
      </c>
      <c r="I373" t="str">
        <f>精英副本!B539</f>
        <v>法力风暴</v>
      </c>
      <c r="J373">
        <f>VLOOKUP(H373,[3]monster.xml!$A$347:$C$835,3,0)</f>
        <v>86</v>
      </c>
      <c r="K373">
        <f t="shared" si="91"/>
        <v>1</v>
      </c>
      <c r="L373">
        <f t="shared" si="87"/>
        <v>5</v>
      </c>
      <c r="M373" t="str">
        <f>精英副本!Y539</f>
        <v>启迪试炼（85）</v>
      </c>
      <c r="N373">
        <f>VLOOKUP(H373,[3]monster.xml!$347:$835,5,0)</f>
        <v>4200</v>
      </c>
      <c r="O373">
        <f t="shared" si="85"/>
        <v>4200</v>
      </c>
      <c r="AA373">
        <f t="shared" si="90"/>
        <v>1</v>
      </c>
    </row>
    <row r="374" spans="1:27">
      <c r="A374">
        <f t="shared" si="86"/>
        <v>308504</v>
      </c>
      <c r="B374">
        <f t="shared" si="93"/>
        <v>3</v>
      </c>
      <c r="C374">
        <f t="shared" si="92"/>
        <v>12</v>
      </c>
      <c r="D374">
        <f t="shared" si="94"/>
        <v>85</v>
      </c>
      <c r="E374">
        <f t="shared" si="89"/>
        <v>308505</v>
      </c>
      <c r="F374">
        <f t="shared" si="88"/>
        <v>308503</v>
      </c>
      <c r="G374" t="s">
        <v>933</v>
      </c>
      <c r="H374">
        <f t="shared" si="95"/>
        <v>3085041</v>
      </c>
      <c r="I374" t="str">
        <f>精英副本!B540</f>
        <v>火舞者</v>
      </c>
      <c r="J374">
        <f>VLOOKUP(H374,[3]monster.xml!$A$347:$C$835,3,0)</f>
        <v>86</v>
      </c>
      <c r="K374">
        <f t="shared" si="91"/>
        <v>0</v>
      </c>
      <c r="L374">
        <f t="shared" si="87"/>
        <v>1</v>
      </c>
      <c r="M374" t="str">
        <f>精英副本!Y540</f>
        <v>启迪试炼（85）</v>
      </c>
      <c r="N374">
        <f>VLOOKUP(H374,[3]monster.xml!$347:$835,5,0)</f>
        <v>4200</v>
      </c>
      <c r="O374">
        <f t="shared" si="85"/>
        <v>4200</v>
      </c>
      <c r="AA374">
        <f t="shared" si="90"/>
        <v>1</v>
      </c>
    </row>
    <row r="375" spans="1:27">
      <c r="A375">
        <f t="shared" si="86"/>
        <v>308505</v>
      </c>
      <c r="B375">
        <f t="shared" si="93"/>
        <v>3</v>
      </c>
      <c r="C375">
        <f t="shared" si="92"/>
        <v>12</v>
      </c>
      <c r="D375">
        <f t="shared" si="94"/>
        <v>85</v>
      </c>
      <c r="E375">
        <f t="shared" si="89"/>
        <v>308506</v>
      </c>
      <c r="F375">
        <f t="shared" si="88"/>
        <v>308504</v>
      </c>
      <c r="G375" t="s">
        <v>934</v>
      </c>
      <c r="H375">
        <f t="shared" si="95"/>
        <v>3085051</v>
      </c>
      <c r="I375" t="str">
        <f>精英副本!B541</f>
        <v>血誓议会</v>
      </c>
      <c r="J375">
        <f>VLOOKUP(H375,[3]monster.xml!$A$347:$C$835,3,0)</f>
        <v>86</v>
      </c>
      <c r="K375">
        <f t="shared" si="91"/>
        <v>0</v>
      </c>
      <c r="L375">
        <f t="shared" si="87"/>
        <v>1</v>
      </c>
      <c r="M375" t="str">
        <f>精英副本!Y541</f>
        <v>启迪试炼（85）</v>
      </c>
      <c r="N375">
        <f>VLOOKUP(H375,[3]monster.xml!$347:$835,5,0)</f>
        <v>4200</v>
      </c>
      <c r="O375">
        <f t="shared" si="85"/>
        <v>4200</v>
      </c>
      <c r="AA375">
        <f t="shared" si="90"/>
        <v>1</v>
      </c>
    </row>
    <row r="376" spans="1:27">
      <c r="A376">
        <f t="shared" si="86"/>
        <v>308506</v>
      </c>
      <c r="B376">
        <f t="shared" si="93"/>
        <v>3</v>
      </c>
      <c r="C376">
        <f t="shared" si="92"/>
        <v>12</v>
      </c>
      <c r="D376">
        <f t="shared" si="94"/>
        <v>85</v>
      </c>
      <c r="E376">
        <f t="shared" si="89"/>
        <v>308507</v>
      </c>
      <c r="F376">
        <f t="shared" si="88"/>
        <v>308505</v>
      </c>
      <c r="G376" t="s">
        <v>935</v>
      </c>
      <c r="H376">
        <f t="shared" si="95"/>
        <v>3085061</v>
      </c>
      <c r="I376" t="str">
        <f>精英副本!B542</f>
        <v>舞钢者拜伦</v>
      </c>
      <c r="J376">
        <f>VLOOKUP(H376,[3]monster.xml!$A$347:$C$835,3,0)</f>
        <v>87</v>
      </c>
      <c r="K376">
        <f t="shared" si="91"/>
        <v>1</v>
      </c>
      <c r="L376">
        <f t="shared" si="87"/>
        <v>5</v>
      </c>
      <c r="M376" t="str">
        <f>精英副本!Y542</f>
        <v>启迪试炼（85）</v>
      </c>
      <c r="N376">
        <f>VLOOKUP(H376,[3]monster.xml!$347:$835,5,0)</f>
        <v>4400</v>
      </c>
      <c r="O376">
        <f t="shared" si="85"/>
        <v>4400</v>
      </c>
      <c r="AA376">
        <f t="shared" si="90"/>
        <v>1</v>
      </c>
    </row>
    <row r="377" spans="1:27">
      <c r="A377">
        <f t="shared" si="86"/>
        <v>308507</v>
      </c>
      <c r="B377">
        <f t="shared" si="93"/>
        <v>3</v>
      </c>
      <c r="C377">
        <f t="shared" si="92"/>
        <v>12</v>
      </c>
      <c r="D377">
        <f t="shared" si="94"/>
        <v>85</v>
      </c>
      <c r="E377">
        <f t="shared" si="89"/>
        <v>308508</v>
      </c>
      <c r="F377">
        <f t="shared" si="88"/>
        <v>308506</v>
      </c>
      <c r="G377" t="s">
        <v>936</v>
      </c>
      <c r="H377">
        <f t="shared" si="95"/>
        <v>3085071</v>
      </c>
      <c r="I377" t="str">
        <f>精英副本!B543</f>
        <v>风暴之王</v>
      </c>
      <c r="J377">
        <f>VLOOKUP(H377,[3]monster.xml!$A$347:$C$835,3,0)</f>
        <v>87</v>
      </c>
      <c r="K377">
        <f t="shared" si="91"/>
        <v>0</v>
      </c>
      <c r="L377">
        <f t="shared" si="87"/>
        <v>1</v>
      </c>
      <c r="M377" t="str">
        <f>精英副本!Y543</f>
        <v>启迪试炼（85）</v>
      </c>
      <c r="N377">
        <f>VLOOKUP(H377,[3]monster.xml!$347:$835,5,0)</f>
        <v>4400</v>
      </c>
      <c r="O377">
        <f t="shared" si="85"/>
        <v>4400</v>
      </c>
      <c r="AA377">
        <f t="shared" si="90"/>
        <v>1</v>
      </c>
    </row>
    <row r="378" spans="1:27">
      <c r="A378">
        <f t="shared" si="86"/>
        <v>308508</v>
      </c>
      <c r="B378">
        <f t="shared" si="93"/>
        <v>3</v>
      </c>
      <c r="C378">
        <f t="shared" si="92"/>
        <v>12</v>
      </c>
      <c r="D378">
        <f t="shared" si="94"/>
        <v>85</v>
      </c>
      <c r="E378">
        <f t="shared" si="89"/>
        <v>308509</v>
      </c>
      <c r="F378">
        <f t="shared" si="88"/>
        <v>308507</v>
      </c>
      <c r="G378" t="s">
        <v>937</v>
      </c>
      <c r="H378">
        <f t="shared" si="95"/>
        <v>3085081</v>
      </c>
      <c r="I378" t="str">
        <f>精英副本!B544</f>
        <v>雷伊战争使者</v>
      </c>
      <c r="J378">
        <f>VLOOKUP(H378,[3]monster.xml!$A$347:$C$835,3,0)</f>
        <v>88</v>
      </c>
      <c r="K378">
        <f t="shared" si="91"/>
        <v>0</v>
      </c>
      <c r="L378">
        <f t="shared" si="87"/>
        <v>1</v>
      </c>
      <c r="M378" t="str">
        <f>精英副本!Y544</f>
        <v>启迪试炼（85）</v>
      </c>
      <c r="N378">
        <f>VLOOKUP(H378,[3]monster.xml!$347:$835,5,0)</f>
        <v>4600</v>
      </c>
      <c r="O378">
        <f t="shared" si="85"/>
        <v>4600</v>
      </c>
      <c r="AA378">
        <f t="shared" si="90"/>
        <v>1</v>
      </c>
    </row>
    <row r="379" spans="1:27">
      <c r="A379">
        <f t="shared" si="86"/>
        <v>308509</v>
      </c>
      <c r="B379">
        <f t="shared" si="93"/>
        <v>3</v>
      </c>
      <c r="C379">
        <f t="shared" si="92"/>
        <v>12</v>
      </c>
      <c r="D379">
        <f t="shared" si="94"/>
        <v>85</v>
      </c>
      <c r="E379">
        <f t="shared" si="89"/>
        <v>0</v>
      </c>
      <c r="F379">
        <f t="shared" si="88"/>
        <v>308508</v>
      </c>
      <c r="G379" t="s">
        <v>1015</v>
      </c>
      <c r="H379">
        <f t="shared" si="95"/>
        <v>3085091</v>
      </c>
      <c r="I379" t="str">
        <f>精英副本!B545</f>
        <v>暴君泰伦</v>
      </c>
      <c r="J379">
        <f>VLOOKUP(H379,[3]monster.xml!$A$347:$C$835,3,0)</f>
        <v>89</v>
      </c>
      <c r="K379">
        <f t="shared" si="91"/>
        <v>1</v>
      </c>
      <c r="L379">
        <f t="shared" si="87"/>
        <v>5</v>
      </c>
      <c r="M379" t="str">
        <f>精英副本!Y545</f>
        <v>启迪试炼（85）</v>
      </c>
      <c r="N379">
        <f>VLOOKUP(H379,[3]monster.xml!$347:$835,5,0)</f>
        <v>4800</v>
      </c>
      <c r="O379">
        <f t="shared" si="85"/>
        <v>4800</v>
      </c>
      <c r="AA379">
        <f t="shared" si="90"/>
        <v>0</v>
      </c>
    </row>
    <row r="380" spans="1:27">
      <c r="A380">
        <f t="shared" si="86"/>
        <v>309001</v>
      </c>
      <c r="B380">
        <f t="shared" si="93"/>
        <v>3</v>
      </c>
      <c r="C380">
        <f t="shared" si="92"/>
        <v>13</v>
      </c>
      <c r="D380">
        <f t="shared" si="94"/>
        <v>90</v>
      </c>
      <c r="E380">
        <f t="shared" si="89"/>
        <v>309002</v>
      </c>
      <c r="F380">
        <f t="shared" si="88"/>
        <v>0</v>
      </c>
      <c r="G380" t="s">
        <v>939</v>
      </c>
      <c r="H380">
        <f t="shared" si="95"/>
        <v>3090011</v>
      </c>
      <c r="I380" t="str">
        <f>精英副本!B546</f>
        <v>影子武士</v>
      </c>
      <c r="J380">
        <f>VLOOKUP(H380,[3]monster.xml!$A$347:$C$835,3,0)</f>
        <v>90</v>
      </c>
      <c r="K380">
        <f t="shared" si="91"/>
        <v>0</v>
      </c>
      <c r="L380">
        <f t="shared" si="87"/>
        <v>1</v>
      </c>
      <c r="M380" t="str">
        <f>精英副本!Y546</f>
        <v>启迪试炼（90）</v>
      </c>
      <c r="N380">
        <f>VLOOKUP(H380,[3]monster.xml!$347:$835,5,0)</f>
        <v>5000</v>
      </c>
      <c r="O380">
        <f t="shared" si="85"/>
        <v>5000</v>
      </c>
      <c r="AA380">
        <f t="shared" si="90"/>
        <v>1</v>
      </c>
    </row>
    <row r="381" spans="1:27">
      <c r="A381">
        <f t="shared" si="86"/>
        <v>309002</v>
      </c>
      <c r="B381">
        <f t="shared" si="93"/>
        <v>3</v>
      </c>
      <c r="C381">
        <f t="shared" si="92"/>
        <v>13</v>
      </c>
      <c r="D381">
        <f t="shared" si="94"/>
        <v>90</v>
      </c>
      <c r="E381">
        <f t="shared" si="89"/>
        <v>309003</v>
      </c>
      <c r="F381">
        <f t="shared" si="88"/>
        <v>309001</v>
      </c>
      <c r="G381" t="s">
        <v>940</v>
      </c>
      <c r="H381">
        <f t="shared" si="95"/>
        <v>3090021</v>
      </c>
      <c r="I381" t="str">
        <f>精英副本!B547</f>
        <v>拨弄的赛亚</v>
      </c>
      <c r="J381">
        <f>VLOOKUP(H381,[3]monster.xml!$A$347:$C$835,3,0)</f>
        <v>90</v>
      </c>
      <c r="K381">
        <f t="shared" si="91"/>
        <v>0</v>
      </c>
      <c r="L381">
        <f t="shared" si="87"/>
        <v>1</v>
      </c>
      <c r="M381" t="str">
        <f>精英副本!Y547</f>
        <v>启迪试炼（90）</v>
      </c>
      <c r="N381">
        <f>VLOOKUP(H381,[3]monster.xml!$347:$835,5,0)</f>
        <v>5000</v>
      </c>
      <c r="O381">
        <f t="shared" si="85"/>
        <v>5000</v>
      </c>
      <c r="AA381">
        <f t="shared" si="90"/>
        <v>1</v>
      </c>
    </row>
    <row r="382" spans="1:27">
      <c r="A382">
        <f t="shared" si="86"/>
        <v>309003</v>
      </c>
      <c r="B382">
        <f t="shared" si="93"/>
        <v>3</v>
      </c>
      <c r="C382">
        <f t="shared" si="92"/>
        <v>13</v>
      </c>
      <c r="D382">
        <f t="shared" si="94"/>
        <v>90</v>
      </c>
      <c r="E382">
        <f t="shared" si="89"/>
        <v>309004</v>
      </c>
      <c r="F382">
        <f t="shared" si="88"/>
        <v>309002</v>
      </c>
      <c r="G382" t="s">
        <v>941</v>
      </c>
      <c r="H382">
        <f t="shared" si="95"/>
        <v>3090031</v>
      </c>
      <c r="I382" t="str">
        <f>精英副本!B548</f>
        <v>法力风暴</v>
      </c>
      <c r="J382">
        <f>VLOOKUP(H382,[3]monster.xml!$A$347:$C$835,3,0)</f>
        <v>91</v>
      </c>
      <c r="K382">
        <f t="shared" si="91"/>
        <v>1</v>
      </c>
      <c r="L382">
        <f t="shared" si="87"/>
        <v>5</v>
      </c>
      <c r="M382" t="str">
        <f>精英副本!Y548</f>
        <v>启迪试炼（90）</v>
      </c>
      <c r="N382">
        <f>VLOOKUP(H382,[3]monster.xml!$347:$835,5,0)</f>
        <v>5200</v>
      </c>
      <c r="O382">
        <f t="shared" si="85"/>
        <v>5200</v>
      </c>
      <c r="AA382">
        <f t="shared" si="90"/>
        <v>1</v>
      </c>
    </row>
    <row r="383" spans="1:27">
      <c r="A383">
        <f t="shared" si="86"/>
        <v>309004</v>
      </c>
      <c r="B383">
        <f t="shared" si="93"/>
        <v>3</v>
      </c>
      <c r="C383">
        <f t="shared" si="92"/>
        <v>13</v>
      </c>
      <c r="D383">
        <f t="shared" si="94"/>
        <v>90</v>
      </c>
      <c r="E383">
        <f t="shared" si="89"/>
        <v>309005</v>
      </c>
      <c r="F383">
        <f t="shared" si="88"/>
        <v>309003</v>
      </c>
      <c r="G383" t="s">
        <v>942</v>
      </c>
      <c r="H383">
        <f t="shared" si="95"/>
        <v>3090041</v>
      </c>
      <c r="I383" t="str">
        <f>精英副本!B549</f>
        <v>火舞者</v>
      </c>
      <c r="J383">
        <f>VLOOKUP(H383,[3]monster.xml!$A$347:$C$835,3,0)</f>
        <v>91</v>
      </c>
      <c r="K383">
        <f t="shared" si="91"/>
        <v>0</v>
      </c>
      <c r="L383">
        <f t="shared" si="87"/>
        <v>1</v>
      </c>
      <c r="M383" t="str">
        <f>精英副本!Y549</f>
        <v>启迪试炼（90）</v>
      </c>
      <c r="N383">
        <f>VLOOKUP(H383,[3]monster.xml!$347:$835,5,0)</f>
        <v>5200</v>
      </c>
      <c r="O383">
        <f t="shared" si="85"/>
        <v>5200</v>
      </c>
      <c r="AA383">
        <f t="shared" si="90"/>
        <v>1</v>
      </c>
    </row>
    <row r="384" spans="1:27">
      <c r="A384">
        <f t="shared" si="86"/>
        <v>309005</v>
      </c>
      <c r="B384">
        <f t="shared" si="93"/>
        <v>3</v>
      </c>
      <c r="C384">
        <f t="shared" si="92"/>
        <v>13</v>
      </c>
      <c r="D384">
        <f t="shared" si="94"/>
        <v>90</v>
      </c>
      <c r="E384">
        <f t="shared" si="89"/>
        <v>309006</v>
      </c>
      <c r="F384">
        <f t="shared" si="88"/>
        <v>309004</v>
      </c>
      <c r="G384" t="s">
        <v>943</v>
      </c>
      <c r="H384">
        <f t="shared" si="95"/>
        <v>3090051</v>
      </c>
      <c r="I384" t="str">
        <f>精英副本!B550</f>
        <v>血誓议会</v>
      </c>
      <c r="J384">
        <f>VLOOKUP(H384,[3]monster.xml!$A$347:$C$835,3,0)</f>
        <v>91</v>
      </c>
      <c r="K384">
        <f t="shared" si="91"/>
        <v>0</v>
      </c>
      <c r="L384">
        <f t="shared" si="87"/>
        <v>1</v>
      </c>
      <c r="M384" t="str">
        <f>精英副本!Y550</f>
        <v>启迪试炼（90）</v>
      </c>
      <c r="N384">
        <f>VLOOKUP(H384,[3]monster.xml!$347:$835,5,0)</f>
        <v>5200</v>
      </c>
      <c r="O384">
        <f t="shared" si="85"/>
        <v>5200</v>
      </c>
      <c r="AA384">
        <f t="shared" si="90"/>
        <v>1</v>
      </c>
    </row>
    <row r="385" spans="1:27">
      <c r="A385">
        <f t="shared" si="86"/>
        <v>309006</v>
      </c>
      <c r="B385">
        <f t="shared" si="93"/>
        <v>3</v>
      </c>
      <c r="C385">
        <f t="shared" si="92"/>
        <v>13</v>
      </c>
      <c r="D385">
        <f t="shared" si="94"/>
        <v>90</v>
      </c>
      <c r="E385">
        <f t="shared" si="89"/>
        <v>309007</v>
      </c>
      <c r="F385">
        <f t="shared" si="88"/>
        <v>309005</v>
      </c>
      <c r="G385" t="s">
        <v>944</v>
      </c>
      <c r="H385">
        <f t="shared" si="95"/>
        <v>3090061</v>
      </c>
      <c r="I385" t="str">
        <f>精英副本!B551</f>
        <v>舞钢者拜伦</v>
      </c>
      <c r="J385">
        <f>VLOOKUP(H385,[3]monster.xml!$A$347:$C$835,3,0)</f>
        <v>92</v>
      </c>
      <c r="K385">
        <f t="shared" si="91"/>
        <v>1</v>
      </c>
      <c r="L385">
        <f t="shared" si="87"/>
        <v>5</v>
      </c>
      <c r="M385" t="str">
        <f>精英副本!Y551</f>
        <v>启迪试炼（90）</v>
      </c>
      <c r="N385">
        <f>VLOOKUP(H385,[3]monster.xml!$347:$835,5,0)</f>
        <v>5400</v>
      </c>
      <c r="O385">
        <f t="shared" si="85"/>
        <v>5400</v>
      </c>
      <c r="AA385">
        <f t="shared" si="90"/>
        <v>1</v>
      </c>
    </row>
    <row r="386" spans="1:27">
      <c r="A386">
        <f t="shared" si="86"/>
        <v>309007</v>
      </c>
      <c r="B386">
        <f t="shared" si="93"/>
        <v>3</v>
      </c>
      <c r="C386">
        <f t="shared" si="92"/>
        <v>13</v>
      </c>
      <c r="D386">
        <f t="shared" si="94"/>
        <v>90</v>
      </c>
      <c r="E386">
        <f t="shared" si="89"/>
        <v>309008</v>
      </c>
      <c r="F386">
        <f t="shared" si="88"/>
        <v>309006</v>
      </c>
      <c r="G386" t="s">
        <v>1016</v>
      </c>
      <c r="H386">
        <f t="shared" si="95"/>
        <v>3090071</v>
      </c>
      <c r="I386" t="str">
        <f>精英副本!B552</f>
        <v>风暴之王</v>
      </c>
      <c r="J386">
        <f>VLOOKUP(H386,[3]monster.xml!$A$347:$C$835,3,0)</f>
        <v>92</v>
      </c>
      <c r="K386">
        <f t="shared" si="91"/>
        <v>0</v>
      </c>
      <c r="L386">
        <f t="shared" si="87"/>
        <v>1</v>
      </c>
      <c r="M386" t="str">
        <f>精英副本!Y552</f>
        <v>启迪试炼（90）</v>
      </c>
      <c r="N386">
        <f>VLOOKUP(H386,[3]monster.xml!$347:$835,5,0)</f>
        <v>5400</v>
      </c>
      <c r="O386">
        <f t="shared" si="85"/>
        <v>5400</v>
      </c>
      <c r="AA386">
        <f t="shared" si="90"/>
        <v>1</v>
      </c>
    </row>
    <row r="387" spans="1:27">
      <c r="A387">
        <f t="shared" si="86"/>
        <v>309008</v>
      </c>
      <c r="B387">
        <f t="shared" si="93"/>
        <v>3</v>
      </c>
      <c r="C387">
        <f t="shared" si="92"/>
        <v>13</v>
      </c>
      <c r="D387">
        <f t="shared" si="94"/>
        <v>90</v>
      </c>
      <c r="E387">
        <f t="shared" si="89"/>
        <v>309009</v>
      </c>
      <c r="F387">
        <f t="shared" si="88"/>
        <v>309007</v>
      </c>
      <c r="G387" t="s">
        <v>946</v>
      </c>
      <c r="H387">
        <f t="shared" si="95"/>
        <v>3090081</v>
      </c>
      <c r="I387" t="str">
        <f>精英副本!B553</f>
        <v>雷伊战争使者</v>
      </c>
      <c r="J387">
        <f>VLOOKUP(H387,[3]monster.xml!$A$347:$C$835,3,0)</f>
        <v>93</v>
      </c>
      <c r="K387">
        <f t="shared" si="91"/>
        <v>0</v>
      </c>
      <c r="L387">
        <f t="shared" si="87"/>
        <v>1</v>
      </c>
      <c r="M387" t="str">
        <f>精英副本!Y553</f>
        <v>启迪试炼（90）</v>
      </c>
      <c r="N387">
        <f>VLOOKUP(H387,[3]monster.xml!$347:$835,5,0)</f>
        <v>5600</v>
      </c>
      <c r="O387">
        <f t="shared" ref="O387:O406" si="96">N387</f>
        <v>5600</v>
      </c>
      <c r="AA387">
        <f t="shared" si="90"/>
        <v>1</v>
      </c>
    </row>
    <row r="388" spans="1:27">
      <c r="A388">
        <f t="shared" si="86"/>
        <v>309009</v>
      </c>
      <c r="B388">
        <f t="shared" si="93"/>
        <v>3</v>
      </c>
      <c r="C388">
        <f t="shared" si="92"/>
        <v>13</v>
      </c>
      <c r="D388">
        <f t="shared" si="94"/>
        <v>90</v>
      </c>
      <c r="E388">
        <f t="shared" si="89"/>
        <v>0</v>
      </c>
      <c r="F388">
        <f t="shared" si="88"/>
        <v>309008</v>
      </c>
      <c r="G388" t="s">
        <v>1017</v>
      </c>
      <c r="H388">
        <f t="shared" si="95"/>
        <v>3090091</v>
      </c>
      <c r="I388" t="str">
        <f>精英副本!B554</f>
        <v>暴君泰伦</v>
      </c>
      <c r="J388">
        <f>VLOOKUP(H388,[3]monster.xml!$A$347:$C$835,3,0)</f>
        <v>94</v>
      </c>
      <c r="K388">
        <f t="shared" si="91"/>
        <v>1</v>
      </c>
      <c r="L388">
        <f t="shared" si="87"/>
        <v>5</v>
      </c>
      <c r="M388" t="str">
        <f>精英副本!Y554</f>
        <v>启迪试炼（90）</v>
      </c>
      <c r="N388">
        <f>VLOOKUP(H388,[3]monster.xml!$347:$835,5,0)</f>
        <v>5800</v>
      </c>
      <c r="O388">
        <f t="shared" si="96"/>
        <v>5800</v>
      </c>
      <c r="AA388">
        <f t="shared" si="90"/>
        <v>0</v>
      </c>
    </row>
    <row r="389" spans="1:27">
      <c r="A389">
        <f t="shared" ref="A389:A406" si="97">A254+100000</f>
        <v>309501</v>
      </c>
      <c r="B389">
        <f t="shared" si="93"/>
        <v>3</v>
      </c>
      <c r="C389">
        <f t="shared" si="92"/>
        <v>14</v>
      </c>
      <c r="D389">
        <f t="shared" si="94"/>
        <v>95</v>
      </c>
      <c r="E389">
        <f t="shared" si="89"/>
        <v>309502</v>
      </c>
      <c r="F389">
        <f t="shared" si="88"/>
        <v>0</v>
      </c>
      <c r="G389" t="s">
        <v>948</v>
      </c>
      <c r="H389">
        <f t="shared" si="95"/>
        <v>3095011</v>
      </c>
      <c r="I389" t="str">
        <f>精英副本!B555</f>
        <v>影子武士</v>
      </c>
      <c r="J389">
        <f>VLOOKUP(H389,[3]monster.xml!$A$347:$C$835,3,0)</f>
        <v>95</v>
      </c>
      <c r="K389">
        <f t="shared" si="91"/>
        <v>0</v>
      </c>
      <c r="L389">
        <f t="shared" si="87"/>
        <v>1</v>
      </c>
      <c r="M389" t="str">
        <f>精英副本!Y555</f>
        <v>启迪试炼（95）</v>
      </c>
      <c r="N389">
        <f>VLOOKUP(H389,[3]monster.xml!$347:$835,5,0)</f>
        <v>6000</v>
      </c>
      <c r="O389">
        <f t="shared" si="96"/>
        <v>6000</v>
      </c>
      <c r="AA389">
        <f t="shared" si="90"/>
        <v>1</v>
      </c>
    </row>
    <row r="390" spans="1:27">
      <c r="A390">
        <f t="shared" si="97"/>
        <v>309502</v>
      </c>
      <c r="B390">
        <f t="shared" si="93"/>
        <v>3</v>
      </c>
      <c r="C390">
        <f t="shared" si="92"/>
        <v>14</v>
      </c>
      <c r="D390">
        <f t="shared" si="94"/>
        <v>95</v>
      </c>
      <c r="E390">
        <f t="shared" si="89"/>
        <v>309503</v>
      </c>
      <c r="F390">
        <f t="shared" si="88"/>
        <v>309501</v>
      </c>
      <c r="G390" t="s">
        <v>949</v>
      </c>
      <c r="H390">
        <f t="shared" si="95"/>
        <v>3095021</v>
      </c>
      <c r="I390" t="str">
        <f>精英副本!B556</f>
        <v>拨弄的赛亚</v>
      </c>
      <c r="J390">
        <f>VLOOKUP(H390,[3]monster.xml!$A$347:$C$835,3,0)</f>
        <v>95</v>
      </c>
      <c r="K390">
        <f t="shared" si="91"/>
        <v>0</v>
      </c>
      <c r="L390">
        <f t="shared" si="87"/>
        <v>1</v>
      </c>
      <c r="M390" t="str">
        <f>精英副本!Y556</f>
        <v>启迪试炼（95）</v>
      </c>
      <c r="N390">
        <f>VLOOKUP(H390,[3]monster.xml!$347:$835,5,0)</f>
        <v>6000</v>
      </c>
      <c r="O390">
        <f t="shared" si="96"/>
        <v>6000</v>
      </c>
      <c r="AA390">
        <f t="shared" si="90"/>
        <v>1</v>
      </c>
    </row>
    <row r="391" spans="1:27">
      <c r="A391">
        <f t="shared" si="97"/>
        <v>309503</v>
      </c>
      <c r="B391">
        <f t="shared" si="93"/>
        <v>3</v>
      </c>
      <c r="C391">
        <f t="shared" si="92"/>
        <v>14</v>
      </c>
      <c r="D391">
        <f t="shared" si="94"/>
        <v>95</v>
      </c>
      <c r="E391">
        <f t="shared" si="89"/>
        <v>309504</v>
      </c>
      <c r="F391">
        <f t="shared" si="88"/>
        <v>309502</v>
      </c>
      <c r="G391" t="s">
        <v>950</v>
      </c>
      <c r="H391">
        <f t="shared" si="95"/>
        <v>3095031</v>
      </c>
      <c r="I391" t="str">
        <f>精英副本!B557</f>
        <v>法力风暴</v>
      </c>
      <c r="J391">
        <f>VLOOKUP(H391,[3]monster.xml!$A$347:$C$835,3,0)</f>
        <v>96</v>
      </c>
      <c r="K391">
        <f t="shared" si="91"/>
        <v>1</v>
      </c>
      <c r="L391">
        <f t="shared" si="87"/>
        <v>5</v>
      </c>
      <c r="M391" t="str">
        <f>精英副本!Y557</f>
        <v>启迪试炼（95）</v>
      </c>
      <c r="N391">
        <f>VLOOKUP(H391,[3]monster.xml!$347:$835,5,0)</f>
        <v>6200</v>
      </c>
      <c r="O391">
        <f t="shared" si="96"/>
        <v>6200</v>
      </c>
      <c r="AA391">
        <f t="shared" si="90"/>
        <v>1</v>
      </c>
    </row>
    <row r="392" spans="1:27">
      <c r="A392">
        <f t="shared" si="97"/>
        <v>309504</v>
      </c>
      <c r="B392">
        <f t="shared" si="93"/>
        <v>3</v>
      </c>
      <c r="C392">
        <f t="shared" si="92"/>
        <v>14</v>
      </c>
      <c r="D392">
        <f t="shared" si="94"/>
        <v>95</v>
      </c>
      <c r="E392">
        <f t="shared" si="89"/>
        <v>309505</v>
      </c>
      <c r="F392">
        <f t="shared" si="88"/>
        <v>309503</v>
      </c>
      <c r="G392" t="s">
        <v>951</v>
      </c>
      <c r="H392">
        <f t="shared" si="95"/>
        <v>3095041</v>
      </c>
      <c r="I392" t="str">
        <f>精英副本!B558</f>
        <v>火舞者</v>
      </c>
      <c r="J392">
        <f>VLOOKUP(H392,[3]monster.xml!$A$347:$C$835,3,0)</f>
        <v>96</v>
      </c>
      <c r="K392">
        <f t="shared" si="91"/>
        <v>0</v>
      </c>
      <c r="L392">
        <f t="shared" si="87"/>
        <v>1</v>
      </c>
      <c r="M392" t="str">
        <f>精英副本!Y558</f>
        <v>启迪试炼（95）</v>
      </c>
      <c r="N392">
        <f>VLOOKUP(H392,[3]monster.xml!$347:$835,5,0)</f>
        <v>6200</v>
      </c>
      <c r="O392">
        <f t="shared" si="96"/>
        <v>6200</v>
      </c>
      <c r="AA392">
        <f t="shared" si="90"/>
        <v>1</v>
      </c>
    </row>
    <row r="393" spans="1:27">
      <c r="A393">
        <f t="shared" si="97"/>
        <v>309505</v>
      </c>
      <c r="B393">
        <f t="shared" si="93"/>
        <v>3</v>
      </c>
      <c r="C393">
        <f t="shared" si="92"/>
        <v>14</v>
      </c>
      <c r="D393">
        <f t="shared" si="94"/>
        <v>95</v>
      </c>
      <c r="E393">
        <f t="shared" si="89"/>
        <v>309506</v>
      </c>
      <c r="F393">
        <f t="shared" si="88"/>
        <v>309504</v>
      </c>
      <c r="G393" t="s">
        <v>952</v>
      </c>
      <c r="H393">
        <f t="shared" si="95"/>
        <v>3095051</v>
      </c>
      <c r="I393" t="str">
        <f>精英副本!B559</f>
        <v>血誓议会</v>
      </c>
      <c r="J393">
        <f>VLOOKUP(H393,[3]monster.xml!$A$347:$C$835,3,0)</f>
        <v>96</v>
      </c>
      <c r="K393">
        <f t="shared" si="91"/>
        <v>0</v>
      </c>
      <c r="L393">
        <f t="shared" ref="L393:L406" si="98">1+K393*4</f>
        <v>1</v>
      </c>
      <c r="M393" t="str">
        <f>精英副本!Y559</f>
        <v>启迪试炼（95）</v>
      </c>
      <c r="N393">
        <f>VLOOKUP(H393,[3]monster.xml!$347:$835,5,0)</f>
        <v>6200</v>
      </c>
      <c r="O393">
        <f t="shared" si="96"/>
        <v>6200</v>
      </c>
      <c r="AA393">
        <f t="shared" si="90"/>
        <v>1</v>
      </c>
    </row>
    <row r="394" spans="1:27">
      <c r="A394">
        <f t="shared" si="97"/>
        <v>309506</v>
      </c>
      <c r="B394">
        <f t="shared" si="93"/>
        <v>3</v>
      </c>
      <c r="C394">
        <f t="shared" si="92"/>
        <v>14</v>
      </c>
      <c r="D394">
        <f t="shared" si="94"/>
        <v>95</v>
      </c>
      <c r="E394">
        <f t="shared" si="89"/>
        <v>309507</v>
      </c>
      <c r="F394">
        <f t="shared" ref="F394:F406" si="99">IF(AA393&gt;0,A393,0)</f>
        <v>309505</v>
      </c>
      <c r="G394" t="s">
        <v>953</v>
      </c>
      <c r="H394">
        <f t="shared" si="95"/>
        <v>3095061</v>
      </c>
      <c r="I394" t="str">
        <f>精英副本!B560</f>
        <v>舞钢者拜伦</v>
      </c>
      <c r="J394">
        <f>VLOOKUP(H394,[3]monster.xml!$A$347:$C$835,3,0)</f>
        <v>97</v>
      </c>
      <c r="K394">
        <f t="shared" si="91"/>
        <v>1</v>
      </c>
      <c r="L394">
        <f t="shared" si="98"/>
        <v>5</v>
      </c>
      <c r="M394" t="str">
        <f>精英副本!Y560</f>
        <v>启迪试炼（95）</v>
      </c>
      <c r="N394">
        <f>VLOOKUP(H394,[3]monster.xml!$347:$835,5,0)</f>
        <v>6400</v>
      </c>
      <c r="O394">
        <f t="shared" si="96"/>
        <v>6400</v>
      </c>
      <c r="AA394">
        <f t="shared" si="90"/>
        <v>1</v>
      </c>
    </row>
    <row r="395" spans="1:27">
      <c r="A395">
        <f t="shared" si="97"/>
        <v>309507</v>
      </c>
      <c r="B395">
        <f t="shared" si="93"/>
        <v>3</v>
      </c>
      <c r="C395">
        <f t="shared" si="92"/>
        <v>14</v>
      </c>
      <c r="D395">
        <f t="shared" si="94"/>
        <v>95</v>
      </c>
      <c r="E395">
        <f t="shared" ref="E395:E406" si="100">IF(F396&gt;0,A396,0)</f>
        <v>309508</v>
      </c>
      <c r="F395">
        <f t="shared" si="99"/>
        <v>309506</v>
      </c>
      <c r="G395" t="s">
        <v>1018</v>
      </c>
      <c r="H395">
        <f t="shared" si="95"/>
        <v>3095071</v>
      </c>
      <c r="I395" t="str">
        <f>精英副本!B561</f>
        <v>风暴之王</v>
      </c>
      <c r="J395">
        <f>VLOOKUP(H395,[3]monster.xml!$A$347:$C$835,3,0)</f>
        <v>97</v>
      </c>
      <c r="K395">
        <f t="shared" si="91"/>
        <v>0</v>
      </c>
      <c r="L395">
        <f t="shared" si="98"/>
        <v>1</v>
      </c>
      <c r="M395" t="str">
        <f>精英副本!Y561</f>
        <v>启迪试炼（95）</v>
      </c>
      <c r="N395">
        <f>VLOOKUP(H395,[3]monster.xml!$347:$835,5,0)</f>
        <v>6400</v>
      </c>
      <c r="O395">
        <f t="shared" si="96"/>
        <v>6400</v>
      </c>
      <c r="AA395">
        <f t="shared" si="90"/>
        <v>1</v>
      </c>
    </row>
    <row r="396" spans="1:27">
      <c r="A396">
        <f t="shared" si="97"/>
        <v>309508</v>
      </c>
      <c r="B396">
        <f t="shared" si="93"/>
        <v>3</v>
      </c>
      <c r="C396">
        <f t="shared" si="92"/>
        <v>14</v>
      </c>
      <c r="D396">
        <f t="shared" si="94"/>
        <v>95</v>
      </c>
      <c r="E396">
        <f t="shared" si="100"/>
        <v>309509</v>
      </c>
      <c r="F396">
        <f t="shared" si="99"/>
        <v>309507</v>
      </c>
      <c r="G396" t="s">
        <v>955</v>
      </c>
      <c r="H396">
        <f t="shared" si="95"/>
        <v>3095081</v>
      </c>
      <c r="I396" t="str">
        <f>精英副本!B562</f>
        <v>雷伊战争使者</v>
      </c>
      <c r="J396">
        <f>VLOOKUP(H396,[3]monster.xml!$A$347:$C$835,3,0)</f>
        <v>98</v>
      </c>
      <c r="K396">
        <f t="shared" si="91"/>
        <v>0</v>
      </c>
      <c r="L396">
        <f t="shared" si="98"/>
        <v>1</v>
      </c>
      <c r="M396" t="str">
        <f>精英副本!Y562</f>
        <v>启迪试炼（95）</v>
      </c>
      <c r="N396">
        <f>VLOOKUP(H396,[3]monster.xml!$347:$835,5,0)</f>
        <v>6600</v>
      </c>
      <c r="O396">
        <f t="shared" si="96"/>
        <v>6600</v>
      </c>
      <c r="AA396">
        <f t="shared" ref="AA396:AA406" si="101">AA387</f>
        <v>1</v>
      </c>
    </row>
    <row r="397" spans="1:27">
      <c r="A397">
        <f t="shared" si="97"/>
        <v>309509</v>
      </c>
      <c r="B397">
        <f t="shared" si="93"/>
        <v>3</v>
      </c>
      <c r="C397">
        <f t="shared" si="92"/>
        <v>14</v>
      </c>
      <c r="D397">
        <f t="shared" si="94"/>
        <v>95</v>
      </c>
      <c r="E397">
        <f t="shared" si="100"/>
        <v>0</v>
      </c>
      <c r="F397">
        <f t="shared" si="99"/>
        <v>309508</v>
      </c>
      <c r="G397" t="s">
        <v>1019</v>
      </c>
      <c r="H397">
        <f t="shared" si="95"/>
        <v>3095091</v>
      </c>
      <c r="I397" t="str">
        <f>精英副本!B563</f>
        <v>暴君泰伦</v>
      </c>
      <c r="J397">
        <f>VLOOKUP(H397,[3]monster.xml!$A$347:$C$835,3,0)</f>
        <v>99</v>
      </c>
      <c r="K397">
        <f t="shared" si="91"/>
        <v>1</v>
      </c>
      <c r="L397">
        <f t="shared" si="98"/>
        <v>5</v>
      </c>
      <c r="M397" t="str">
        <f>精英副本!Y563</f>
        <v>启迪试炼（95）</v>
      </c>
      <c r="N397">
        <f>VLOOKUP(H397,[3]monster.xml!$347:$835,5,0)</f>
        <v>6800</v>
      </c>
      <c r="O397">
        <f t="shared" si="96"/>
        <v>6800</v>
      </c>
      <c r="AA397">
        <f t="shared" si="101"/>
        <v>0</v>
      </c>
    </row>
    <row r="398" spans="1:27">
      <c r="A398">
        <f t="shared" si="97"/>
        <v>310001</v>
      </c>
      <c r="B398">
        <f t="shared" si="93"/>
        <v>3</v>
      </c>
      <c r="C398">
        <f t="shared" si="92"/>
        <v>15</v>
      </c>
      <c r="D398">
        <f t="shared" si="94"/>
        <v>100</v>
      </c>
      <c r="E398">
        <f t="shared" si="100"/>
        <v>310002</v>
      </c>
      <c r="F398">
        <f t="shared" si="99"/>
        <v>0</v>
      </c>
      <c r="G398" t="s">
        <v>957</v>
      </c>
      <c r="H398">
        <f t="shared" si="95"/>
        <v>3100011</v>
      </c>
      <c r="I398" t="str">
        <f>精英副本!B564</f>
        <v>影子武士</v>
      </c>
      <c r="J398">
        <f>VLOOKUP(H398,[3]monster.xml!$A$347:$C$835,3,0)</f>
        <v>100</v>
      </c>
      <c r="K398">
        <f t="shared" si="91"/>
        <v>0</v>
      </c>
      <c r="L398">
        <f t="shared" si="98"/>
        <v>1</v>
      </c>
      <c r="M398" t="str">
        <f>精英副本!Y564</f>
        <v>启迪试炼（100）</v>
      </c>
      <c r="N398">
        <f>VLOOKUP(H398,[3]monster.xml!$347:$835,5,0)</f>
        <v>7000</v>
      </c>
      <c r="O398">
        <f t="shared" si="96"/>
        <v>7000</v>
      </c>
      <c r="AA398">
        <f t="shared" si="101"/>
        <v>1</v>
      </c>
    </row>
    <row r="399" spans="1:27">
      <c r="A399">
        <f t="shared" si="97"/>
        <v>310002</v>
      </c>
      <c r="B399">
        <f t="shared" si="93"/>
        <v>3</v>
      </c>
      <c r="C399">
        <f t="shared" si="92"/>
        <v>15</v>
      </c>
      <c r="D399">
        <f t="shared" si="94"/>
        <v>100</v>
      </c>
      <c r="E399">
        <f t="shared" si="100"/>
        <v>310003</v>
      </c>
      <c r="F399">
        <f t="shared" si="99"/>
        <v>310001</v>
      </c>
      <c r="G399" t="s">
        <v>958</v>
      </c>
      <c r="H399">
        <f t="shared" si="95"/>
        <v>3100021</v>
      </c>
      <c r="I399" t="str">
        <f>精英副本!B565</f>
        <v>拨弄的赛亚</v>
      </c>
      <c r="J399">
        <f>VLOOKUP(H399,[3]monster.xml!$A$347:$C$835,3,0)</f>
        <v>100</v>
      </c>
      <c r="K399">
        <f t="shared" si="91"/>
        <v>0</v>
      </c>
      <c r="L399">
        <f t="shared" si="98"/>
        <v>1</v>
      </c>
      <c r="M399" t="str">
        <f>精英副本!Y565</f>
        <v>启迪试炼（100）</v>
      </c>
      <c r="N399">
        <f>VLOOKUP(H399,[3]monster.xml!$347:$835,5,0)</f>
        <v>7000</v>
      </c>
      <c r="O399">
        <f t="shared" si="96"/>
        <v>7000</v>
      </c>
      <c r="AA399">
        <f t="shared" si="101"/>
        <v>1</v>
      </c>
    </row>
    <row r="400" spans="1:27">
      <c r="A400">
        <f t="shared" si="97"/>
        <v>310003</v>
      </c>
      <c r="B400">
        <f t="shared" si="93"/>
        <v>3</v>
      </c>
      <c r="C400">
        <f t="shared" si="92"/>
        <v>15</v>
      </c>
      <c r="D400">
        <f t="shared" si="94"/>
        <v>100</v>
      </c>
      <c r="E400">
        <f t="shared" si="100"/>
        <v>310004</v>
      </c>
      <c r="F400">
        <f t="shared" si="99"/>
        <v>310002</v>
      </c>
      <c r="G400" t="s">
        <v>959</v>
      </c>
      <c r="H400">
        <f t="shared" si="95"/>
        <v>3100031</v>
      </c>
      <c r="I400" t="str">
        <f>精英副本!B566</f>
        <v>法力风暴</v>
      </c>
      <c r="J400">
        <f>VLOOKUP(H400,[3]monster.xml!$A$347:$C$835,3,0)</f>
        <v>101</v>
      </c>
      <c r="K400">
        <f t="shared" si="91"/>
        <v>1</v>
      </c>
      <c r="L400">
        <f t="shared" si="98"/>
        <v>5</v>
      </c>
      <c r="M400" t="str">
        <f>精英副本!Y566</f>
        <v>启迪试炼（100）</v>
      </c>
      <c r="N400">
        <f>VLOOKUP(H400,[3]monster.xml!$347:$835,5,0)</f>
        <v>7200</v>
      </c>
      <c r="O400">
        <f t="shared" si="96"/>
        <v>7200</v>
      </c>
      <c r="AA400">
        <f t="shared" si="101"/>
        <v>1</v>
      </c>
    </row>
    <row r="401" spans="1:27">
      <c r="A401">
        <f t="shared" si="97"/>
        <v>310004</v>
      </c>
      <c r="B401">
        <f t="shared" si="93"/>
        <v>3</v>
      </c>
      <c r="C401">
        <f t="shared" si="92"/>
        <v>15</v>
      </c>
      <c r="D401">
        <f t="shared" si="94"/>
        <v>100</v>
      </c>
      <c r="E401">
        <f t="shared" si="100"/>
        <v>310005</v>
      </c>
      <c r="F401">
        <f t="shared" si="99"/>
        <v>310003</v>
      </c>
      <c r="G401" t="s">
        <v>960</v>
      </c>
      <c r="H401">
        <f t="shared" si="95"/>
        <v>3100041</v>
      </c>
      <c r="I401" t="str">
        <f>精英副本!B567</f>
        <v>火舞者</v>
      </c>
      <c r="J401">
        <f>VLOOKUP(H401,[3]monster.xml!$A$347:$C$835,3,0)</f>
        <v>101</v>
      </c>
      <c r="K401">
        <f t="shared" si="91"/>
        <v>0</v>
      </c>
      <c r="L401">
        <f t="shared" si="98"/>
        <v>1</v>
      </c>
      <c r="M401" t="str">
        <f>精英副本!Y567</f>
        <v>启迪试炼（100）</v>
      </c>
      <c r="N401">
        <f>VLOOKUP(H401,[3]monster.xml!$347:$835,5,0)</f>
        <v>7200</v>
      </c>
      <c r="O401">
        <f t="shared" si="96"/>
        <v>7200</v>
      </c>
      <c r="AA401">
        <f t="shared" si="101"/>
        <v>1</v>
      </c>
    </row>
    <row r="402" spans="1:27">
      <c r="A402">
        <f t="shared" si="97"/>
        <v>310005</v>
      </c>
      <c r="B402">
        <f t="shared" si="93"/>
        <v>3</v>
      </c>
      <c r="C402">
        <f t="shared" si="92"/>
        <v>15</v>
      </c>
      <c r="D402">
        <f t="shared" si="94"/>
        <v>100</v>
      </c>
      <c r="E402">
        <f t="shared" si="100"/>
        <v>310006</v>
      </c>
      <c r="F402">
        <f t="shared" si="99"/>
        <v>310004</v>
      </c>
      <c r="G402" t="s">
        <v>961</v>
      </c>
      <c r="H402">
        <f t="shared" si="95"/>
        <v>3100051</v>
      </c>
      <c r="I402" t="str">
        <f>精英副本!B568</f>
        <v>血誓议会</v>
      </c>
      <c r="J402">
        <f>VLOOKUP(H402,[3]monster.xml!$A$347:$C$835,3,0)</f>
        <v>101</v>
      </c>
      <c r="K402">
        <f t="shared" si="91"/>
        <v>0</v>
      </c>
      <c r="L402">
        <f t="shared" si="98"/>
        <v>1</v>
      </c>
      <c r="M402" t="str">
        <f>精英副本!Y568</f>
        <v>启迪试炼（100）</v>
      </c>
      <c r="N402">
        <f>VLOOKUP(H402,[3]monster.xml!$347:$835,5,0)</f>
        <v>7200</v>
      </c>
      <c r="O402">
        <f t="shared" si="96"/>
        <v>7200</v>
      </c>
      <c r="AA402">
        <f t="shared" si="101"/>
        <v>1</v>
      </c>
    </row>
    <row r="403" spans="1:27">
      <c r="A403">
        <f t="shared" si="97"/>
        <v>310006</v>
      </c>
      <c r="B403">
        <f t="shared" si="93"/>
        <v>3</v>
      </c>
      <c r="C403">
        <f t="shared" si="92"/>
        <v>15</v>
      </c>
      <c r="D403">
        <f t="shared" si="94"/>
        <v>100</v>
      </c>
      <c r="E403">
        <f t="shared" si="100"/>
        <v>310007</v>
      </c>
      <c r="F403">
        <f t="shared" si="99"/>
        <v>310005</v>
      </c>
      <c r="G403" t="s">
        <v>962</v>
      </c>
      <c r="H403">
        <f t="shared" si="95"/>
        <v>3100061</v>
      </c>
      <c r="I403" t="str">
        <f>精英副本!B569</f>
        <v>舞钢者拜伦</v>
      </c>
      <c r="J403">
        <f>VLOOKUP(H403,[3]monster.xml!$A$347:$C$835,3,0)</f>
        <v>102</v>
      </c>
      <c r="K403">
        <f t="shared" si="91"/>
        <v>1</v>
      </c>
      <c r="L403">
        <f t="shared" si="98"/>
        <v>5</v>
      </c>
      <c r="M403" t="str">
        <f>精英副本!Y569</f>
        <v>启迪试炼（100）</v>
      </c>
      <c r="N403">
        <f>VLOOKUP(H403,[3]monster.xml!$347:$835,5,0)</f>
        <v>7500</v>
      </c>
      <c r="O403">
        <f t="shared" si="96"/>
        <v>7500</v>
      </c>
      <c r="AA403">
        <f t="shared" si="101"/>
        <v>1</v>
      </c>
    </row>
    <row r="404" spans="1:27">
      <c r="A404">
        <f t="shared" si="97"/>
        <v>310007</v>
      </c>
      <c r="B404">
        <f t="shared" si="93"/>
        <v>3</v>
      </c>
      <c r="C404">
        <f t="shared" si="92"/>
        <v>15</v>
      </c>
      <c r="D404">
        <f t="shared" si="94"/>
        <v>100</v>
      </c>
      <c r="E404">
        <f t="shared" si="100"/>
        <v>310008</v>
      </c>
      <c r="F404">
        <f t="shared" si="99"/>
        <v>310006</v>
      </c>
      <c r="G404" t="s">
        <v>963</v>
      </c>
      <c r="H404">
        <f t="shared" si="95"/>
        <v>3100071</v>
      </c>
      <c r="I404" t="str">
        <f>精英副本!B570</f>
        <v>风暴之王</v>
      </c>
      <c r="J404">
        <f>VLOOKUP(H404,[3]monster.xml!$A$347:$C$835,3,0)</f>
        <v>102</v>
      </c>
      <c r="K404">
        <f t="shared" si="91"/>
        <v>0</v>
      </c>
      <c r="L404">
        <f t="shared" si="98"/>
        <v>1</v>
      </c>
      <c r="M404" t="str">
        <f>精英副本!Y570</f>
        <v>启迪试炼（100）</v>
      </c>
      <c r="N404">
        <f>VLOOKUP(H404,[3]monster.xml!$347:$835,5,0)</f>
        <v>7500</v>
      </c>
      <c r="O404">
        <f t="shared" si="96"/>
        <v>7500</v>
      </c>
      <c r="AA404">
        <f t="shared" si="101"/>
        <v>1</v>
      </c>
    </row>
    <row r="405" spans="1:27">
      <c r="A405">
        <f t="shared" si="97"/>
        <v>310008</v>
      </c>
      <c r="B405">
        <f t="shared" si="93"/>
        <v>3</v>
      </c>
      <c r="C405">
        <f t="shared" si="92"/>
        <v>15</v>
      </c>
      <c r="D405">
        <f t="shared" si="94"/>
        <v>100</v>
      </c>
      <c r="E405">
        <f t="shared" si="100"/>
        <v>310009</v>
      </c>
      <c r="F405">
        <f t="shared" si="99"/>
        <v>310007</v>
      </c>
      <c r="G405" t="s">
        <v>964</v>
      </c>
      <c r="H405">
        <f t="shared" si="95"/>
        <v>3100081</v>
      </c>
      <c r="I405" t="str">
        <f>精英副本!B571</f>
        <v>雷伊战争使者</v>
      </c>
      <c r="J405">
        <f>VLOOKUP(H405,[3]monster.xml!$A$347:$C$835,3,0)</f>
        <v>102</v>
      </c>
      <c r="K405">
        <f t="shared" si="91"/>
        <v>0</v>
      </c>
      <c r="L405">
        <f t="shared" si="98"/>
        <v>1</v>
      </c>
      <c r="M405" t="str">
        <f>精英副本!Y571</f>
        <v>启迪试炼（100）</v>
      </c>
      <c r="N405">
        <f>VLOOKUP(H405,[3]monster.xml!$347:$835,5,0)</f>
        <v>7500</v>
      </c>
      <c r="O405">
        <f t="shared" si="96"/>
        <v>7500</v>
      </c>
      <c r="AA405">
        <f t="shared" si="101"/>
        <v>1</v>
      </c>
    </row>
    <row r="406" spans="1:27">
      <c r="A406">
        <f t="shared" si="97"/>
        <v>310009</v>
      </c>
      <c r="B406">
        <f t="shared" si="93"/>
        <v>3</v>
      </c>
      <c r="C406">
        <f t="shared" si="92"/>
        <v>15</v>
      </c>
      <c r="D406">
        <f t="shared" si="94"/>
        <v>100</v>
      </c>
      <c r="E406">
        <f t="shared" si="100"/>
        <v>0</v>
      </c>
      <c r="F406">
        <f t="shared" si="99"/>
        <v>310008</v>
      </c>
      <c r="G406" t="s">
        <v>1020</v>
      </c>
      <c r="H406">
        <f t="shared" si="95"/>
        <v>3100091</v>
      </c>
      <c r="I406" t="str">
        <f>精英副本!B572</f>
        <v>暴君泰伦</v>
      </c>
      <c r="J406">
        <f>VLOOKUP(H406,[3]monster.xml!$A$347:$C$835,3,0)</f>
        <v>102</v>
      </c>
      <c r="K406">
        <f t="shared" ref="K406" si="102">K397</f>
        <v>1</v>
      </c>
      <c r="L406">
        <f t="shared" si="98"/>
        <v>5</v>
      </c>
      <c r="M406" t="str">
        <f>精英副本!Y572</f>
        <v>启迪试炼（100）</v>
      </c>
      <c r="N406">
        <f>VLOOKUP(H406,[3]monster.xml!$347:$835,5,0)</f>
        <v>7500</v>
      </c>
      <c r="O406">
        <f t="shared" si="96"/>
        <v>7500</v>
      </c>
      <c r="AA406">
        <f t="shared" si="101"/>
        <v>0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AN416"/>
  <sheetViews>
    <sheetView topLeftCell="H1" workbookViewId="0">
      <selection activeCell="AB2" sqref="AB2:AB406"/>
    </sheetView>
  </sheetViews>
  <sheetFormatPr defaultRowHeight="13.5"/>
  <cols>
    <col min="19" max="19" width="9.5" bestFit="1" customWidth="1"/>
    <col min="21" max="21" width="9.5" bestFit="1" customWidth="1"/>
    <col min="27" max="27" width="44.25" customWidth="1"/>
  </cols>
  <sheetData>
    <row r="1" spans="1:40">
      <c r="A1" t="s">
        <v>810</v>
      </c>
      <c r="B1">
        <v>30</v>
      </c>
      <c r="C1">
        <v>35</v>
      </c>
      <c r="D1">
        <v>40</v>
      </c>
      <c r="E1">
        <v>45</v>
      </c>
      <c r="F1">
        <v>50</v>
      </c>
      <c r="G1">
        <v>55</v>
      </c>
      <c r="H1">
        <v>60</v>
      </c>
      <c r="I1">
        <v>65</v>
      </c>
      <c r="J1">
        <v>70</v>
      </c>
      <c r="K1">
        <v>75</v>
      </c>
      <c r="L1">
        <v>80</v>
      </c>
      <c r="M1">
        <v>85</v>
      </c>
      <c r="N1">
        <v>90</v>
      </c>
      <c r="O1">
        <v>95</v>
      </c>
      <c r="P1">
        <v>100</v>
      </c>
      <c r="R1" t="s">
        <v>823</v>
      </c>
      <c r="T1" t="s">
        <v>824</v>
      </c>
      <c r="V1" t="s">
        <v>826</v>
      </c>
      <c r="W1" t="s">
        <v>825</v>
      </c>
      <c r="X1" t="s">
        <v>828</v>
      </c>
      <c r="Y1" t="s">
        <v>827</v>
      </c>
      <c r="AB1" t="s">
        <v>829</v>
      </c>
      <c r="AN1" t="s">
        <v>830</v>
      </c>
    </row>
    <row r="2" spans="1:40">
      <c r="A2">
        <v>1</v>
      </c>
      <c r="B2">
        <v>7</v>
      </c>
      <c r="C2">
        <v>8</v>
      </c>
      <c r="D2">
        <v>9</v>
      </c>
      <c r="E2">
        <v>10</v>
      </c>
      <c r="F2">
        <v>11</v>
      </c>
      <c r="G2">
        <v>12</v>
      </c>
      <c r="H2">
        <v>13</v>
      </c>
      <c r="I2">
        <v>14</v>
      </c>
      <c r="J2">
        <v>15</v>
      </c>
      <c r="K2">
        <v>16</v>
      </c>
      <c r="L2">
        <v>17</v>
      </c>
      <c r="M2">
        <v>18</v>
      </c>
      <c r="N2">
        <v>19</v>
      </c>
      <c r="O2">
        <v>20</v>
      </c>
      <c r="P2">
        <v>21</v>
      </c>
      <c r="R2" t="str">
        <f>VLOOKUP(S2,[4]equip.xml!$A$2316:$C$2777,3,0)</f>
        <v>苍蓝挂坠</v>
      </c>
      <c r="S2">
        <v>50350105</v>
      </c>
      <c r="T2" t="str">
        <f>VLOOKUP(U2,[4]equip.xml!$A$2316:$C$2777,3,0)</f>
        <v>神圣典籍</v>
      </c>
      <c r="U2">
        <v>50303065</v>
      </c>
      <c r="V2">
        <v>1000</v>
      </c>
      <c r="W2">
        <v>2000</v>
      </c>
      <c r="X2">
        <v>5000</v>
      </c>
      <c r="Y2">
        <v>4000430</v>
      </c>
      <c r="Z2" t="str">
        <f>Y2&amp;"_0_1_"&amp;X2&amp;","&amp;Y2&amp;"_0_1_"&amp;X2&amp;","&amp;Y2&amp;"_0_1_"&amp;X2</f>
        <v>4000430_0_1_5000,4000430_0_1_5000,4000430_0_1_5000</v>
      </c>
      <c r="AB2" t="str">
        <f>"40000_"&amp;S2&amp;"_1_"&amp;V2&amp;","&amp;"40000_"&amp;U2&amp;"_1_"&amp;W2&amp;","&amp;Z2&amp;","&amp;B12&amp;"_10000"</f>
        <v>40000_50350105_1_1000,40000_50303065_1_2000,4000430_0_1_5000,4000430_0_1_5000,4000430_0_1_5000,30000_90002_7_10000</v>
      </c>
      <c r="AN2" t="str">
        <f>B12&amp;","&amp;"40000_"&amp;S2&amp;"_1"&amp;","&amp;"40000_"&amp;U2&amp;"_1"</f>
        <v>30000_90002_7,40000_50350105_1,40000_50303065_1</v>
      </c>
    </row>
    <row r="3" spans="1:40">
      <c r="A3">
        <v>2</v>
      </c>
      <c r="B3">
        <v>7</v>
      </c>
      <c r="C3">
        <v>8</v>
      </c>
      <c r="D3">
        <v>9</v>
      </c>
      <c r="E3">
        <v>10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  <c r="P3">
        <v>21</v>
      </c>
      <c r="R3" t="str">
        <f>VLOOKUP(S3,[4]equip.xml!$A$2316:$C$2777,3,0)</f>
        <v>残忍腿甲</v>
      </c>
      <c r="S3">
        <v>50350075</v>
      </c>
      <c r="T3" t="str">
        <f>VLOOKUP(U3,[4]equip.xml!$A$2316:$C$2777,3,0)</f>
        <v>炽热长剑</v>
      </c>
      <c r="U3">
        <v>50301055</v>
      </c>
      <c r="V3">
        <v>993</v>
      </c>
      <c r="W3">
        <f t="shared" ref="W3:W34" si="0">W2-10</f>
        <v>1990</v>
      </c>
      <c r="X3">
        <v>5050</v>
      </c>
      <c r="Y3">
        <v>4000430</v>
      </c>
      <c r="Z3" t="str">
        <f t="shared" ref="Z3:Z66" si="1">Y3&amp;"_0_1_"&amp;X3&amp;","&amp;Y3&amp;"_0_1_"&amp;X3&amp;","&amp;Y3&amp;"_0_1_"&amp;X3</f>
        <v>4000430_0_1_5050,4000430_0_1_5050,4000430_0_1_5050</v>
      </c>
      <c r="AB3" t="str">
        <f t="shared" ref="AB3:AB66" si="2">"40000_"&amp;S3&amp;"_1_"&amp;V3&amp;","&amp;"40000_"&amp;U3&amp;"_1_"&amp;W3&amp;","&amp;Z3&amp;","&amp;B13&amp;"_10000"</f>
        <v>40000_50350075_1_993,40000_50301055_1_1990,4000430_0_1_5050,4000430_0_1_5050,4000430_0_1_5050,30000_90002_7_10000</v>
      </c>
      <c r="AN3" t="str">
        <f t="shared" ref="AN3:AN66" si="3">B13&amp;","&amp;"40000_"&amp;S3&amp;"_1"&amp;","&amp;"40000_"&amp;U3&amp;"_1"</f>
        <v>30000_90002_7,40000_50350075_1,40000_50301055_1</v>
      </c>
    </row>
    <row r="4" spans="1:40">
      <c r="A4">
        <v>3</v>
      </c>
      <c r="B4">
        <v>8</v>
      </c>
      <c r="C4">
        <v>9</v>
      </c>
      <c r="D4">
        <v>10</v>
      </c>
      <c r="E4">
        <v>11</v>
      </c>
      <c r="F4">
        <v>12</v>
      </c>
      <c r="G4">
        <v>13</v>
      </c>
      <c r="H4">
        <v>14</v>
      </c>
      <c r="I4">
        <v>15</v>
      </c>
      <c r="J4">
        <v>16</v>
      </c>
      <c r="K4">
        <v>17</v>
      </c>
      <c r="L4">
        <v>18</v>
      </c>
      <c r="M4">
        <v>19</v>
      </c>
      <c r="N4">
        <v>20</v>
      </c>
      <c r="O4">
        <v>21</v>
      </c>
      <c r="P4">
        <v>22</v>
      </c>
      <c r="R4" t="str">
        <f>VLOOKUP(S4,[4]equip.xml!$A$2316:$C$2777,3,0)</f>
        <v>蛮兽胸甲</v>
      </c>
      <c r="S4">
        <v>50350045</v>
      </c>
      <c r="T4" t="str">
        <f>VLOOKUP(U4,[4]equip.xml!$A$2316:$C$2777,3,0)</f>
        <v>耐久盾牌</v>
      </c>
      <c r="U4">
        <v>50301065</v>
      </c>
      <c r="V4">
        <v>986</v>
      </c>
      <c r="W4">
        <f t="shared" si="0"/>
        <v>1980</v>
      </c>
      <c r="X4">
        <v>5100</v>
      </c>
      <c r="Y4">
        <v>4000430</v>
      </c>
      <c r="Z4" t="str">
        <f t="shared" si="1"/>
        <v>4000430_0_1_5100,4000430_0_1_5100,4000430_0_1_5100</v>
      </c>
      <c r="AB4" t="str">
        <f t="shared" si="2"/>
        <v>40000_50350045_1_986,40000_50301065_1_1980,4000430_0_1_5100,4000430_0_1_5100,4000430_0_1_5100,30000_90002_8_10000</v>
      </c>
      <c r="AN4" t="str">
        <f t="shared" si="3"/>
        <v>30000_90002_8,40000_50350045_1,40000_50301065_1</v>
      </c>
    </row>
    <row r="5" spans="1:40">
      <c r="A5">
        <v>4</v>
      </c>
      <c r="B5">
        <v>8</v>
      </c>
      <c r="C5">
        <v>9</v>
      </c>
      <c r="D5">
        <v>10</v>
      </c>
      <c r="E5">
        <v>11</v>
      </c>
      <c r="F5">
        <v>12</v>
      </c>
      <c r="G5">
        <v>13</v>
      </c>
      <c r="H5">
        <v>14</v>
      </c>
      <c r="I5">
        <v>15</v>
      </c>
      <c r="J5">
        <v>16</v>
      </c>
      <c r="K5">
        <v>17</v>
      </c>
      <c r="L5">
        <v>18</v>
      </c>
      <c r="M5">
        <v>19</v>
      </c>
      <c r="N5">
        <v>20</v>
      </c>
      <c r="O5">
        <v>21</v>
      </c>
      <c r="P5">
        <v>22</v>
      </c>
      <c r="R5" t="str">
        <f>VLOOKUP(S5,[4]equip.xml!$A$2316:$C$2777,3,0)</f>
        <v>烈焰指环</v>
      </c>
      <c r="S5">
        <v>50350025</v>
      </c>
      <c r="T5" t="str">
        <f>VLOOKUP(U5,[4]equip.xml!$A$2316:$C$2777,3,0)</f>
        <v>红木长弓</v>
      </c>
      <c r="U5">
        <v>50302055</v>
      </c>
      <c r="V5">
        <v>979</v>
      </c>
      <c r="W5">
        <f t="shared" si="0"/>
        <v>1970</v>
      </c>
      <c r="X5">
        <v>5150</v>
      </c>
      <c r="Y5">
        <v>4000430</v>
      </c>
      <c r="Z5" t="str">
        <f t="shared" si="1"/>
        <v>4000430_0_1_5150,4000430_0_1_5150,4000430_0_1_5150</v>
      </c>
      <c r="AB5" t="str">
        <f t="shared" si="2"/>
        <v>40000_50350025_1_979,40000_50302055_1_1970,4000430_0_1_5150,4000430_0_1_5150,4000430_0_1_5150,30000_90002_8_10000</v>
      </c>
      <c r="AN5" t="str">
        <f t="shared" si="3"/>
        <v>30000_90002_8,40000_50350025_1,40000_50302055_1</v>
      </c>
    </row>
    <row r="6" spans="1:40">
      <c r="A6">
        <v>5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  <c r="K6">
        <v>17</v>
      </c>
      <c r="L6">
        <v>18</v>
      </c>
      <c r="M6">
        <v>19</v>
      </c>
      <c r="N6">
        <v>20</v>
      </c>
      <c r="O6">
        <v>21</v>
      </c>
      <c r="P6">
        <v>22</v>
      </c>
      <c r="R6" t="str">
        <f>VLOOKUP(S6,[4]equip.xml!$A$2316:$C$2777,3,0)</f>
        <v>激励手甲</v>
      </c>
      <c r="S6">
        <v>50350095</v>
      </c>
      <c r="T6" t="str">
        <f>VLOOKUP(U6,[4]equip.xml!$A$2316:$C$2777,3,0)</f>
        <v>荒骨法杖</v>
      </c>
      <c r="U6">
        <v>50303055</v>
      </c>
      <c r="V6">
        <v>972</v>
      </c>
      <c r="W6">
        <f t="shared" si="0"/>
        <v>1960</v>
      </c>
      <c r="X6">
        <v>5200</v>
      </c>
      <c r="Y6">
        <v>4000430</v>
      </c>
      <c r="Z6" t="str">
        <f t="shared" si="1"/>
        <v>4000430_0_1_5200,4000430_0_1_5200,4000430_0_1_5200</v>
      </c>
      <c r="AB6" t="str">
        <f t="shared" si="2"/>
        <v>40000_50350095_1_972,40000_50303055_1_1960,4000430_0_1_5200,4000430_0_1_5200,4000430_0_1_5200,30000_90002_8_10000</v>
      </c>
      <c r="AN6" t="str">
        <f t="shared" si="3"/>
        <v>30000_90002_8,40000_50350095_1,40000_50303055_1</v>
      </c>
    </row>
    <row r="7" spans="1:40">
      <c r="A7">
        <v>6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  <c r="K7">
        <v>18</v>
      </c>
      <c r="L7">
        <v>19</v>
      </c>
      <c r="M7">
        <v>20</v>
      </c>
      <c r="N7">
        <v>21</v>
      </c>
      <c r="O7">
        <v>22</v>
      </c>
      <c r="P7">
        <v>23</v>
      </c>
      <c r="R7" t="str">
        <f>VLOOKUP(S7,[4]equip.xml!$A$2316:$C$2777,3,0)</f>
        <v>混乱之靴</v>
      </c>
      <c r="S7">
        <v>50350085</v>
      </c>
      <c r="T7" t="str">
        <f>VLOOKUP(U7,[4]equip.xml!$A$2316:$C$2777,3,0)</f>
        <v>双链罩帽</v>
      </c>
      <c r="U7">
        <v>50300015</v>
      </c>
      <c r="V7">
        <v>965</v>
      </c>
      <c r="W7">
        <f t="shared" si="0"/>
        <v>1950</v>
      </c>
      <c r="X7">
        <v>5250</v>
      </c>
      <c r="Y7">
        <v>4000430</v>
      </c>
      <c r="Z7" t="str">
        <f t="shared" si="1"/>
        <v>4000430_0_1_5250,4000430_0_1_5250,4000430_0_1_5250</v>
      </c>
      <c r="AB7" t="str">
        <f t="shared" si="2"/>
        <v>40000_50350085_1_965,40000_50300015_1_1950,4000430_0_1_5250,4000430_0_1_5250,4000430_0_1_5250,30000_90002_9_10000</v>
      </c>
      <c r="AN7" t="str">
        <f t="shared" si="3"/>
        <v>30000_90002_9,40000_50350085_1,40000_50300015_1</v>
      </c>
    </row>
    <row r="8" spans="1:40">
      <c r="A8">
        <v>7</v>
      </c>
      <c r="B8">
        <v>9</v>
      </c>
      <c r="C8">
        <v>10</v>
      </c>
      <c r="D8">
        <v>11</v>
      </c>
      <c r="E8">
        <v>12</v>
      </c>
      <c r="F8">
        <v>13</v>
      </c>
      <c r="G8">
        <v>14</v>
      </c>
      <c r="H8">
        <v>15</v>
      </c>
      <c r="I8">
        <v>16</v>
      </c>
      <c r="J8">
        <v>17</v>
      </c>
      <c r="K8">
        <v>18</v>
      </c>
      <c r="L8">
        <v>19</v>
      </c>
      <c r="M8">
        <v>20</v>
      </c>
      <c r="N8">
        <v>21</v>
      </c>
      <c r="O8">
        <v>22</v>
      </c>
      <c r="P8">
        <v>23</v>
      </c>
      <c r="R8" t="str">
        <f>VLOOKUP(S8,[4]equip.xml!$A$2316:$C$2777,3,0)</f>
        <v>镶带头盔</v>
      </c>
      <c r="S8">
        <v>50350015</v>
      </c>
      <c r="T8" t="str">
        <f>VLOOKUP(U8,[4]equip.xml!$A$2316:$C$2777,3,0)</f>
        <v>秩序盾牌</v>
      </c>
      <c r="U8">
        <v>50351066</v>
      </c>
      <c r="V8">
        <v>958</v>
      </c>
      <c r="W8">
        <f t="shared" si="0"/>
        <v>1940</v>
      </c>
      <c r="X8">
        <v>5300</v>
      </c>
      <c r="Y8">
        <v>4000430</v>
      </c>
      <c r="Z8" t="str">
        <f t="shared" si="1"/>
        <v>4000430_0_1_5300,4000430_0_1_5300,4000430_0_1_5300</v>
      </c>
      <c r="AB8" t="str">
        <f t="shared" si="2"/>
        <v>40000_50350015_1_958,40000_50351066_1_1940,4000430_0_1_5300,4000430_0_1_5300,4000430_0_1_5300,30000_90002_9_10000</v>
      </c>
      <c r="AN8" t="str">
        <f t="shared" si="3"/>
        <v>30000_90002_9,40000_50350015_1,40000_50351066_1</v>
      </c>
    </row>
    <row r="9" spans="1:40">
      <c r="A9">
        <v>8</v>
      </c>
      <c r="B9">
        <v>9</v>
      </c>
      <c r="C9">
        <v>10</v>
      </c>
      <c r="D9">
        <v>11</v>
      </c>
      <c r="E9">
        <v>12</v>
      </c>
      <c r="F9">
        <v>13</v>
      </c>
      <c r="G9">
        <v>14</v>
      </c>
      <c r="H9">
        <v>15</v>
      </c>
      <c r="I9">
        <v>16</v>
      </c>
      <c r="J9">
        <v>17</v>
      </c>
      <c r="K9">
        <v>18</v>
      </c>
      <c r="L9">
        <v>19</v>
      </c>
      <c r="M9">
        <v>20</v>
      </c>
      <c r="N9">
        <v>21</v>
      </c>
      <c r="O9">
        <v>22</v>
      </c>
      <c r="P9">
        <v>23</v>
      </c>
      <c r="R9" t="str">
        <f>VLOOKUP(S9,[4]equip.xml!$A$2316:$C$2777,3,0)</f>
        <v>斗士腰带</v>
      </c>
      <c r="S9">
        <v>50350035</v>
      </c>
      <c r="T9" t="str">
        <f>VLOOKUP(U9,[4]equip.xml!$A$2316:$C$2777,3,0)</f>
        <v>倒刺箭筒</v>
      </c>
      <c r="U9">
        <v>50302065</v>
      </c>
      <c r="V9">
        <v>951</v>
      </c>
      <c r="W9">
        <f t="shared" si="0"/>
        <v>1930</v>
      </c>
      <c r="X9">
        <v>5350</v>
      </c>
      <c r="Y9">
        <v>4000430</v>
      </c>
      <c r="Z9" t="str">
        <f t="shared" si="1"/>
        <v>4000430_0_1_5350,4000430_0_1_5350,4000430_0_1_5350</v>
      </c>
      <c r="AB9" t="str">
        <f t="shared" si="2"/>
        <v>40000_50350035_1_951,40000_50302065_1_1930,4000430_0_1_5350,4000430_0_1_5350,4000430_0_1_5350,30000_90002_9_10000</v>
      </c>
      <c r="AN9" t="str">
        <f t="shared" si="3"/>
        <v>30000_90002_9,40000_50350035_1,40000_50302065_1</v>
      </c>
    </row>
    <row r="10" spans="1:40">
      <c r="A10">
        <v>9</v>
      </c>
      <c r="B10">
        <v>10</v>
      </c>
      <c r="C10">
        <v>11</v>
      </c>
      <c r="D10">
        <v>12</v>
      </c>
      <c r="E10">
        <v>13</v>
      </c>
      <c r="F10">
        <v>14</v>
      </c>
      <c r="G10">
        <v>15</v>
      </c>
      <c r="H10">
        <v>16</v>
      </c>
      <c r="I10">
        <v>17</v>
      </c>
      <c r="J10">
        <v>18</v>
      </c>
      <c r="K10">
        <v>19</v>
      </c>
      <c r="L10">
        <v>20</v>
      </c>
      <c r="M10">
        <v>21</v>
      </c>
      <c r="N10">
        <v>22</v>
      </c>
      <c r="O10">
        <v>23</v>
      </c>
      <c r="P10">
        <v>24</v>
      </c>
      <c r="R10" t="str">
        <f>VLOOKUP(S10,[4]equip.xml!$A$2316:$C$2777,3,0)</f>
        <v>水晶剑</v>
      </c>
      <c r="S10">
        <v>50351055</v>
      </c>
      <c r="T10" t="str">
        <f>VLOOKUP(U10,[4]equip.xml!$A$2316:$C$2777,3,0)</f>
        <v>秘银腰带</v>
      </c>
      <c r="U10">
        <v>50300035</v>
      </c>
      <c r="V10">
        <v>944</v>
      </c>
      <c r="W10">
        <f t="shared" si="0"/>
        <v>1920</v>
      </c>
      <c r="X10">
        <v>5400</v>
      </c>
      <c r="Y10">
        <v>4000430</v>
      </c>
      <c r="Z10" t="str">
        <f t="shared" si="1"/>
        <v>4000430_0_1_5400,4000430_0_1_5400,4000430_0_1_5400</v>
      </c>
      <c r="AB10" t="str">
        <f t="shared" si="2"/>
        <v>40000_50351055_1_944,40000_50300035_1_1920,4000430_0_1_5400,4000430_0_1_5400,4000430_0_1_5400,30000_90002_10_10000</v>
      </c>
      <c r="AN10" t="str">
        <f t="shared" si="3"/>
        <v>30000_90002_10,40000_50351055_1,40000_50300035_1</v>
      </c>
    </row>
    <row r="11" spans="1:40">
      <c r="R11" t="str">
        <f>VLOOKUP(S11,[4]equip.xml!$A$2316:$C$2777,3,0)</f>
        <v>烈焰头罩</v>
      </c>
      <c r="S11">
        <v>50400015</v>
      </c>
      <c r="T11" t="str">
        <f>VLOOKUP(U11,[4]equip.xml!$A$2316:$C$2777,3,0)</f>
        <v>召唤魔典</v>
      </c>
      <c r="U11">
        <v>50353065</v>
      </c>
      <c r="V11">
        <v>937</v>
      </c>
      <c r="W11">
        <f t="shared" si="0"/>
        <v>1910</v>
      </c>
      <c r="X11">
        <v>5450</v>
      </c>
      <c r="Y11">
        <f>Y2+5</f>
        <v>4000435</v>
      </c>
      <c r="Z11" t="str">
        <f t="shared" si="1"/>
        <v>4000435_0_1_5450,4000435_0_1_5450,4000435_0_1_5450</v>
      </c>
      <c r="AB11" t="str">
        <f t="shared" si="2"/>
        <v>40000_50400015_1_937,40000_50353065_1_1910,4000435_0_1_5450,4000435_0_1_5450,4000435_0_1_5450,30000_90002_8_10000</v>
      </c>
      <c r="AN11" t="str">
        <f t="shared" si="3"/>
        <v>30000_90002_8,40000_50400015_1,40000_50353065_1</v>
      </c>
    </row>
    <row r="12" spans="1:40">
      <c r="B12" t="str">
        <f>"30000_90002_"&amp;B2</f>
        <v>30000_90002_7</v>
      </c>
      <c r="R12" t="str">
        <f>VLOOKUP(S12,[4]equip.xml!$A$2316:$C$2777,3,0)</f>
        <v>重拳手套</v>
      </c>
      <c r="S12">
        <v>50400095</v>
      </c>
      <c r="T12" t="str">
        <f>VLOOKUP(U12,[4]equip.xml!$A$2316:$C$2777,3,0)</f>
        <v>风语者弯弓</v>
      </c>
      <c r="U12">
        <v>50352055</v>
      </c>
      <c r="V12">
        <v>930</v>
      </c>
      <c r="W12">
        <f t="shared" si="0"/>
        <v>1900</v>
      </c>
      <c r="X12">
        <v>5500</v>
      </c>
      <c r="Y12">
        <f t="shared" ref="Y12:Y75" si="4">Y3+5</f>
        <v>4000435</v>
      </c>
      <c r="Z12" t="str">
        <f t="shared" si="1"/>
        <v>4000435_0_1_5500,4000435_0_1_5500,4000435_0_1_5500</v>
      </c>
      <c r="AB12" t="str">
        <f t="shared" si="2"/>
        <v>40000_50400095_1_930,40000_50352055_1_1900,4000435_0_1_5500,4000435_0_1_5500,4000435_0_1_5500,30000_90002_8_10000</v>
      </c>
      <c r="AN12" t="str">
        <f t="shared" si="3"/>
        <v>30000_90002_8,40000_50400095_1,40000_50352055_1</v>
      </c>
    </row>
    <row r="13" spans="1:40">
      <c r="B13" t="str">
        <f t="shared" ref="B13" si="5">"30000_90002_"&amp;B3</f>
        <v>30000_90002_7</v>
      </c>
      <c r="R13" t="str">
        <f>VLOOKUP(S13,[4]equip.xml!$A$2316:$C$2777,3,0)</f>
        <v>瑟银护甲</v>
      </c>
      <c r="S13">
        <v>50400045</v>
      </c>
      <c r="T13" t="str">
        <f>VLOOKUP(U13,[4]equip.xml!$A$2316:$C$2777,3,0)</f>
        <v>水晶剑</v>
      </c>
      <c r="U13">
        <v>50351055</v>
      </c>
      <c r="V13">
        <v>923</v>
      </c>
      <c r="W13">
        <f t="shared" si="0"/>
        <v>1890</v>
      </c>
      <c r="X13">
        <v>5550</v>
      </c>
      <c r="Y13">
        <f t="shared" si="4"/>
        <v>4000435</v>
      </c>
      <c r="Z13" t="str">
        <f t="shared" si="1"/>
        <v>4000435_0_1_5550,4000435_0_1_5550,4000435_0_1_5550</v>
      </c>
      <c r="AB13" t="str">
        <f t="shared" si="2"/>
        <v>40000_50400045_1_923,40000_50351055_1_1890,4000435_0_1_5550,4000435_0_1_5550,4000435_0_1_5550,30000_90002_9_10000</v>
      </c>
      <c r="AN13" t="str">
        <f t="shared" si="3"/>
        <v>30000_90002_9,40000_50400045_1,40000_50351055_1</v>
      </c>
    </row>
    <row r="14" spans="1:40">
      <c r="B14" t="str">
        <f t="shared" ref="B14" si="6">"30000_90002_"&amp;B4</f>
        <v>30000_90002_8</v>
      </c>
      <c r="R14" t="str">
        <f>VLOOKUP(S14,[4]equip.xml!$A$2316:$C$2777,3,0)</f>
        <v>征战之靴</v>
      </c>
      <c r="S14">
        <v>50400085</v>
      </c>
      <c r="T14" t="str">
        <f>VLOOKUP(U14,[4]equip.xml!$A$2316:$C$2777,3,0)</f>
        <v>洛阿巨盾</v>
      </c>
      <c r="U14">
        <v>50401065</v>
      </c>
      <c r="V14">
        <v>916</v>
      </c>
      <c r="W14">
        <f t="shared" si="0"/>
        <v>1880</v>
      </c>
      <c r="X14">
        <v>5600</v>
      </c>
      <c r="Y14">
        <f t="shared" si="4"/>
        <v>4000435</v>
      </c>
      <c r="Z14" t="str">
        <f t="shared" si="1"/>
        <v>4000435_0_1_5600,4000435_0_1_5600,4000435_0_1_5600</v>
      </c>
      <c r="AB14" t="str">
        <f t="shared" si="2"/>
        <v>40000_50400085_1_916,40000_50401065_1_1880,4000435_0_1_5600,4000435_0_1_5600,4000435_0_1_5600,30000_90002_9_10000</v>
      </c>
      <c r="AN14" t="str">
        <f t="shared" si="3"/>
        <v>30000_90002_9,40000_50400085_1,40000_50401065_1</v>
      </c>
    </row>
    <row r="15" spans="1:40">
      <c r="B15" t="str">
        <f t="shared" ref="B15" si="7">"30000_90002_"&amp;B5</f>
        <v>30000_90002_8</v>
      </c>
      <c r="R15" t="str">
        <f>VLOOKUP(S15,[4]equip.xml!$A$2316:$C$2777,3,0)</f>
        <v>巨熊护腿</v>
      </c>
      <c r="S15">
        <v>50400075</v>
      </c>
      <c r="T15" t="str">
        <f>VLOOKUP(U15,[4]equip.xml!$A$2316:$C$2777,3,0)</f>
        <v>符记盾牌</v>
      </c>
      <c r="U15">
        <v>50351065</v>
      </c>
      <c r="V15">
        <v>909</v>
      </c>
      <c r="W15">
        <f t="shared" si="0"/>
        <v>1870</v>
      </c>
      <c r="X15">
        <v>5650</v>
      </c>
      <c r="Y15">
        <f t="shared" si="4"/>
        <v>4000435</v>
      </c>
      <c r="Z15" t="str">
        <f t="shared" si="1"/>
        <v>4000435_0_1_5650,4000435_0_1_5650,4000435_0_1_5650</v>
      </c>
      <c r="AB15" t="str">
        <f t="shared" si="2"/>
        <v>40000_50400075_1_909,40000_50351065_1_1870,4000435_0_1_5650,4000435_0_1_5650,4000435_0_1_5650,30000_90002_9_10000</v>
      </c>
      <c r="AN15" t="str">
        <f t="shared" si="3"/>
        <v>30000_90002_9,40000_50400075_1,40000_50351065_1</v>
      </c>
    </row>
    <row r="16" spans="1:40">
      <c r="B16" t="str">
        <f t="shared" ref="B16" si="8">"30000_90002_"&amp;B6</f>
        <v>30000_90002_8</v>
      </c>
      <c r="R16" t="str">
        <f>VLOOKUP(S16,[4]equip.xml!$A$2316:$C$2777,3,0)</f>
        <v>龙纹戒指</v>
      </c>
      <c r="S16">
        <v>50400025</v>
      </c>
      <c r="T16" t="str">
        <f>VLOOKUP(U16,[4]equip.xml!$A$2316:$C$2777,3,0)</f>
        <v>镶带头盔</v>
      </c>
      <c r="U16">
        <v>50350015</v>
      </c>
      <c r="V16">
        <v>902</v>
      </c>
      <c r="W16">
        <f t="shared" si="0"/>
        <v>1860</v>
      </c>
      <c r="X16">
        <v>5700</v>
      </c>
      <c r="Y16">
        <f t="shared" si="4"/>
        <v>4000435</v>
      </c>
      <c r="Z16" t="str">
        <f t="shared" si="1"/>
        <v>4000435_0_1_5700,4000435_0_1_5700,4000435_0_1_5700</v>
      </c>
      <c r="AB16" t="str">
        <f t="shared" si="2"/>
        <v>40000_50400025_1_902,40000_50350015_1_1860,4000435_0_1_5700,4000435_0_1_5700,4000435_0_1_5700,30000_90002_10_10000</v>
      </c>
      <c r="AN16" t="str">
        <f t="shared" si="3"/>
        <v>30000_90002_10,40000_50400025_1,40000_50350015_1</v>
      </c>
    </row>
    <row r="17" spans="2:40">
      <c r="B17" t="str">
        <f t="shared" ref="B17" si="9">"30000_90002_"&amp;B7</f>
        <v>30000_90002_9</v>
      </c>
      <c r="R17" t="str">
        <f>VLOOKUP(S17,[4]equip.xml!$A$2316:$C$2777,3,0)</f>
        <v>迅捷项链</v>
      </c>
      <c r="S17">
        <v>50400105</v>
      </c>
      <c r="T17" t="str">
        <f>VLOOKUP(U17,[4]equip.xml!$A$2316:$C$2777,3,0)</f>
        <v>聚能之杖</v>
      </c>
      <c r="U17">
        <v>50353055</v>
      </c>
      <c r="V17">
        <v>895</v>
      </c>
      <c r="W17">
        <f t="shared" si="0"/>
        <v>1850</v>
      </c>
      <c r="X17">
        <v>5750</v>
      </c>
      <c r="Y17">
        <f t="shared" si="4"/>
        <v>4000435</v>
      </c>
      <c r="Z17" t="str">
        <f t="shared" si="1"/>
        <v>4000435_0_1_5750,4000435_0_1_5750,4000435_0_1_5750</v>
      </c>
      <c r="AB17" t="str">
        <f t="shared" si="2"/>
        <v>40000_50400105_1_895,40000_50353055_1_1850,4000435_0_1_5750,4000435_0_1_5750,4000435_0_1_5750,30000_90002_10_10000</v>
      </c>
      <c r="AN17" t="str">
        <f t="shared" si="3"/>
        <v>30000_90002_10,40000_50400105_1,40000_50353055_1</v>
      </c>
    </row>
    <row r="18" spans="2:40">
      <c r="B18" t="str">
        <f t="shared" ref="B18" si="10">"30000_90002_"&amp;B8</f>
        <v>30000_90002_9</v>
      </c>
      <c r="R18" t="str">
        <f>VLOOKUP(S18,[4]equip.xml!$A$2316:$C$2777,3,0)</f>
        <v>力量腰带</v>
      </c>
      <c r="S18">
        <v>50400035</v>
      </c>
      <c r="T18" t="str">
        <f>VLOOKUP(U18,[4]equip.xml!$A$2316:$C$2777,3,0)</f>
        <v>斗士腰带</v>
      </c>
      <c r="U18">
        <v>50350035</v>
      </c>
      <c r="V18">
        <v>888</v>
      </c>
      <c r="W18">
        <f t="shared" si="0"/>
        <v>1840</v>
      </c>
      <c r="X18">
        <v>5800</v>
      </c>
      <c r="Y18">
        <f t="shared" si="4"/>
        <v>4000435</v>
      </c>
      <c r="Z18" t="str">
        <f t="shared" si="1"/>
        <v>4000435_0_1_5800,4000435_0_1_5800,4000435_0_1_5800</v>
      </c>
      <c r="AB18" t="str">
        <f t="shared" si="2"/>
        <v>40000_50400035_1_888,40000_50350035_1_1840,4000435_0_1_5800,4000435_0_1_5800,4000435_0_1_5800,30000_90002_10_10000</v>
      </c>
      <c r="AN18" t="str">
        <f t="shared" si="3"/>
        <v>30000_90002_10,40000_50400035_1,40000_50350035_1</v>
      </c>
    </row>
    <row r="19" spans="2:40">
      <c r="B19" t="str">
        <f t="shared" ref="B19" si="11">"30000_90002_"&amp;B9</f>
        <v>30000_90002_9</v>
      </c>
      <c r="R19" t="str">
        <f>VLOOKUP(S19,[4]equip.xml!$A$2316:$C$2777,3,0)</f>
        <v>破咒之刃</v>
      </c>
      <c r="S19">
        <v>50401056</v>
      </c>
      <c r="T19" t="str">
        <f>VLOOKUP(U19,[4]equip.xml!$A$2316:$C$2777,3,0)</f>
        <v>游侠箭筒</v>
      </c>
      <c r="U19">
        <v>50352065</v>
      </c>
      <c r="V19">
        <v>881</v>
      </c>
      <c r="W19">
        <f t="shared" si="0"/>
        <v>1830</v>
      </c>
      <c r="X19">
        <v>5850</v>
      </c>
      <c r="Y19">
        <f t="shared" si="4"/>
        <v>4000435</v>
      </c>
      <c r="Z19" t="str">
        <f t="shared" si="1"/>
        <v>4000435_0_1_5850,4000435_0_1_5850,4000435_0_1_5850</v>
      </c>
      <c r="AB19" t="str">
        <f t="shared" si="2"/>
        <v>40000_50401056_1_881,40000_50352065_1_1830,4000435_0_1_5850,4000435_0_1_5850,4000435_0_1_5850,30000_90002_11_10000</v>
      </c>
      <c r="AN19" t="str">
        <f t="shared" si="3"/>
        <v>30000_90002_11,40000_50401056_1,40000_50352065_1</v>
      </c>
    </row>
    <row r="20" spans="2:40">
      <c r="B20" t="str">
        <f t="shared" ref="B20" si="12">"30000_90002_"&amp;B10</f>
        <v>30000_90002_10</v>
      </c>
      <c r="R20" t="str">
        <f>VLOOKUP(S20,[4]equip.xml!$A$2316:$C$2777,3,0)</f>
        <v>洞察指环</v>
      </c>
      <c r="S20">
        <v>50450025</v>
      </c>
      <c r="T20" t="str">
        <f>VLOOKUP(U20,[4]equip.xml!$A$2316:$C$2777,3,0)</f>
        <v>附魔秘典</v>
      </c>
      <c r="U20">
        <v>50403065</v>
      </c>
      <c r="V20">
        <v>874</v>
      </c>
      <c r="W20">
        <f t="shared" si="0"/>
        <v>1820</v>
      </c>
      <c r="X20">
        <v>5900</v>
      </c>
      <c r="Y20">
        <f t="shared" si="4"/>
        <v>4000440</v>
      </c>
      <c r="Z20" t="str">
        <f t="shared" si="1"/>
        <v>4000440_0_1_5900,4000440_0_1_5900,4000440_0_1_5900</v>
      </c>
      <c r="AB20" t="str">
        <f t="shared" si="2"/>
        <v>40000_50450025_1_874,40000_50403065_1_1820,4000440_0_1_5900,4000440_0_1_5900,4000440_0_1_5900,30000_90002_9_10000</v>
      </c>
      <c r="AN20" t="str">
        <f t="shared" si="3"/>
        <v>30000_90002_9,40000_50450025_1,40000_50403065_1</v>
      </c>
    </row>
    <row r="21" spans="2:40">
      <c r="B21" t="str">
        <f t="shared" ref="B21:B29" si="13">"30000_90002_"&amp;C2</f>
        <v>30000_90002_8</v>
      </c>
      <c r="R21" t="str">
        <f>VLOOKUP(S21,[4]equip.xml!$A$2316:$C$2777,3,0)</f>
        <v>新月项链</v>
      </c>
      <c r="S21">
        <v>50450105</v>
      </c>
      <c r="T21" t="str">
        <f>VLOOKUP(U21,[4]equip.xml!$A$2316:$C$2777,3,0)</f>
        <v>烈焰头罩</v>
      </c>
      <c r="U21">
        <v>50400015</v>
      </c>
      <c r="V21">
        <v>867</v>
      </c>
      <c r="W21">
        <f t="shared" si="0"/>
        <v>1810</v>
      </c>
      <c r="X21">
        <v>5950</v>
      </c>
      <c r="Y21">
        <f t="shared" si="4"/>
        <v>4000440</v>
      </c>
      <c r="Z21" t="str">
        <f t="shared" si="1"/>
        <v>4000440_0_1_5950,4000440_0_1_5950,4000440_0_1_5950</v>
      </c>
      <c r="AB21" t="str">
        <f t="shared" si="2"/>
        <v>40000_50450105_1_867,40000_50400015_1_1810,4000440_0_1_5950,4000440_0_1_5950,4000440_0_1_5950,30000_90002_9_10000</v>
      </c>
      <c r="AN21" t="str">
        <f t="shared" si="3"/>
        <v>30000_90002_9,40000_50450105_1,40000_50400015_1</v>
      </c>
    </row>
    <row r="22" spans="2:40">
      <c r="B22" t="str">
        <f t="shared" si="13"/>
        <v>30000_90002_8</v>
      </c>
      <c r="R22" t="str">
        <f>VLOOKUP(S22,[4]equip.xml!$A$2316:$C$2777,3,0)</f>
        <v>执政官胸甲</v>
      </c>
      <c r="S22">
        <v>50450045</v>
      </c>
      <c r="T22" t="str">
        <f>VLOOKUP(U22,[4]equip.xml!$A$2316:$C$2777,3,0)</f>
        <v>魔铁巨剑</v>
      </c>
      <c r="U22">
        <v>50401055</v>
      </c>
      <c r="V22">
        <v>860</v>
      </c>
      <c r="W22">
        <f t="shared" si="0"/>
        <v>1800</v>
      </c>
      <c r="X22">
        <v>6000</v>
      </c>
      <c r="Y22">
        <f t="shared" si="4"/>
        <v>4000440</v>
      </c>
      <c r="Z22" t="str">
        <f t="shared" si="1"/>
        <v>4000440_0_1_6000,4000440_0_1_6000,4000440_0_1_6000</v>
      </c>
      <c r="AB22" t="str">
        <f t="shared" si="2"/>
        <v>40000_50450045_1_860,40000_50401055_1_1800,4000440_0_1_6000,4000440_0_1_6000,4000440_0_1_6000,30000_90002_10_10000</v>
      </c>
      <c r="AN22" t="str">
        <f t="shared" si="3"/>
        <v>30000_90002_10,40000_50450045_1,40000_50401055_1</v>
      </c>
    </row>
    <row r="23" spans="2:40">
      <c r="B23" t="str">
        <f t="shared" si="13"/>
        <v>30000_90002_9</v>
      </c>
      <c r="R23" t="str">
        <f>VLOOKUP(S23,[4]equip.xml!$A$2316:$C$2777,3,0)</f>
        <v>冰铸腿铠</v>
      </c>
      <c r="S23">
        <v>50450075</v>
      </c>
      <c r="T23" t="str">
        <f>VLOOKUP(U23,[4]equip.xml!$A$2316:$C$2777,3,0)</f>
        <v>洛阿巨盾</v>
      </c>
      <c r="U23">
        <v>50401065</v>
      </c>
      <c r="V23">
        <v>853</v>
      </c>
      <c r="W23">
        <f t="shared" si="0"/>
        <v>1790</v>
      </c>
      <c r="X23">
        <v>6025</v>
      </c>
      <c r="Y23">
        <f t="shared" si="4"/>
        <v>4000440</v>
      </c>
      <c r="Z23" t="str">
        <f t="shared" si="1"/>
        <v>4000440_0_1_6025,4000440_0_1_6025,4000440_0_1_6025</v>
      </c>
      <c r="AB23" t="str">
        <f t="shared" si="2"/>
        <v>40000_50450075_1_853,40000_50401065_1_1790,4000440_0_1_6025,4000440_0_1_6025,4000440_0_1_6025,30000_90002_10_10000</v>
      </c>
      <c r="AN23" t="str">
        <f t="shared" si="3"/>
        <v>30000_90002_10,40000_50450075_1,40000_50401065_1</v>
      </c>
    </row>
    <row r="24" spans="2:40">
      <c r="B24" t="str">
        <f t="shared" si="13"/>
        <v>30000_90002_9</v>
      </c>
      <c r="R24" t="str">
        <f>VLOOKUP(S24,[4]equip.xml!$A$2316:$C$2777,3,0)</f>
        <v>督军腰带</v>
      </c>
      <c r="S24">
        <v>50450035</v>
      </c>
      <c r="T24" t="str">
        <f>VLOOKUP(U24,[4]equip.xml!$A$2316:$C$2777,3,0)</f>
        <v>风怒箭筒</v>
      </c>
      <c r="U24">
        <v>50402065</v>
      </c>
      <c r="V24">
        <v>846</v>
      </c>
      <c r="W24">
        <f t="shared" si="0"/>
        <v>1780</v>
      </c>
      <c r="X24">
        <v>6050</v>
      </c>
      <c r="Y24">
        <f t="shared" si="4"/>
        <v>4000440</v>
      </c>
      <c r="Z24" t="str">
        <f t="shared" si="1"/>
        <v>4000440_0_1_6050,4000440_0_1_6050,4000440_0_1_6050</v>
      </c>
      <c r="AB24" t="str">
        <f t="shared" si="2"/>
        <v>40000_50450035_1_846,40000_50402065_1_1780,4000440_0_1_6050,4000440_0_1_6050,4000440_0_1_6050,30000_90002_10_10000</v>
      </c>
      <c r="AN24" t="str">
        <f t="shared" si="3"/>
        <v>30000_90002_10,40000_50450035_1,40000_50402065_1</v>
      </c>
    </row>
    <row r="25" spans="2:40">
      <c r="B25" t="str">
        <f t="shared" si="13"/>
        <v>30000_90002_9</v>
      </c>
      <c r="R25" t="str">
        <f>VLOOKUP(S25,[4]equip.xml!$A$2316:$C$2777,3,0)</f>
        <v>愤怒护手</v>
      </c>
      <c r="S25">
        <v>50450095</v>
      </c>
      <c r="T25" t="str">
        <f>VLOOKUP(U25,[4]equip.xml!$A$2316:$C$2777,3,0)</f>
        <v>强击之弓</v>
      </c>
      <c r="U25">
        <v>50402055</v>
      </c>
      <c r="V25">
        <v>839</v>
      </c>
      <c r="W25">
        <f t="shared" si="0"/>
        <v>1770</v>
      </c>
      <c r="X25">
        <v>6075</v>
      </c>
      <c r="Y25">
        <f t="shared" si="4"/>
        <v>4000440</v>
      </c>
      <c r="Z25" t="str">
        <f t="shared" si="1"/>
        <v>4000440_0_1_6075,4000440_0_1_6075,4000440_0_1_6075</v>
      </c>
      <c r="AB25" t="str">
        <f t="shared" si="2"/>
        <v>40000_50450095_1_839,40000_50402055_1_1770,4000440_0_1_6075,4000440_0_1_6075,4000440_0_1_6075,30000_90002_11_10000</v>
      </c>
      <c r="AN25" t="str">
        <f t="shared" si="3"/>
        <v>30000_90002_11,40000_50450095_1,40000_50402055_1</v>
      </c>
    </row>
    <row r="26" spans="2:40">
      <c r="B26" t="str">
        <f t="shared" si="13"/>
        <v>30000_90002_10</v>
      </c>
      <c r="R26" t="str">
        <f>VLOOKUP(S26,[4]equip.xml!$A$2316:$C$2777,3,0)</f>
        <v>战争头盔</v>
      </c>
      <c r="S26">
        <v>50450015</v>
      </c>
      <c r="T26" t="str">
        <f>VLOOKUP(U26,[4]equip.xml!$A$2316:$C$2777,3,0)</f>
        <v>正义壁垒</v>
      </c>
      <c r="U26">
        <v>50451065</v>
      </c>
      <c r="V26">
        <v>832</v>
      </c>
      <c r="W26">
        <f t="shared" si="0"/>
        <v>1760</v>
      </c>
      <c r="X26">
        <v>6100</v>
      </c>
      <c r="Y26">
        <f t="shared" si="4"/>
        <v>4000440</v>
      </c>
      <c r="Z26" t="str">
        <f t="shared" si="1"/>
        <v>4000440_0_1_6100,4000440_0_1_6100,4000440_0_1_6100</v>
      </c>
      <c r="AB26" t="str">
        <f t="shared" si="2"/>
        <v>40000_50450015_1_832,40000_50451065_1_1760,4000440_0_1_6100,4000440_0_1_6100,4000440_0_1_6100,30000_90002_11_10000</v>
      </c>
      <c r="AN26" t="str">
        <f t="shared" si="3"/>
        <v>30000_90002_11,40000_50450015_1,40000_50451065_1</v>
      </c>
    </row>
    <row r="27" spans="2:40">
      <c r="B27" t="str">
        <f t="shared" si="13"/>
        <v>30000_90002_10</v>
      </c>
      <c r="R27" t="str">
        <f>VLOOKUP(S27,[4]equip.xml!$A$2316:$C$2777,3,0)</f>
        <v>浩劫长靴</v>
      </c>
      <c r="S27">
        <v>50450085</v>
      </c>
      <c r="T27" t="str">
        <f>VLOOKUP(U27,[4]equip.xml!$A$2316:$C$2777,3,0)</f>
        <v>力量腰带</v>
      </c>
      <c r="U27">
        <v>50400035</v>
      </c>
      <c r="V27">
        <v>825</v>
      </c>
      <c r="W27">
        <f t="shared" si="0"/>
        <v>1750</v>
      </c>
      <c r="X27">
        <v>6125</v>
      </c>
      <c r="Y27">
        <f t="shared" si="4"/>
        <v>4000440</v>
      </c>
      <c r="Z27" t="str">
        <f t="shared" si="1"/>
        <v>4000440_0_1_6125,4000440_0_1_6125,4000440_0_1_6125</v>
      </c>
      <c r="AB27" t="str">
        <f t="shared" si="2"/>
        <v>40000_50450085_1_825,40000_50400035_1_1750,4000440_0_1_6125,4000440_0_1_6125,4000440_0_1_6125,30000_90002_11_10000</v>
      </c>
      <c r="AN27" t="str">
        <f t="shared" si="3"/>
        <v>30000_90002_11,40000_50450085_1,40000_50400035_1</v>
      </c>
    </row>
    <row r="28" spans="2:40">
      <c r="B28" t="str">
        <f t="shared" si="13"/>
        <v>30000_90002_10</v>
      </c>
      <c r="R28" t="str">
        <f>VLOOKUP(S28,[4]equip.xml!$A$2316:$C$2777,3,0)</f>
        <v>龙纹之刃</v>
      </c>
      <c r="S28">
        <v>50451055</v>
      </c>
      <c r="T28" t="str">
        <f>VLOOKUP(U28,[4]equip.xml!$A$2316:$C$2777,3,0)</f>
        <v>符文魔杖</v>
      </c>
      <c r="U28">
        <v>50403055</v>
      </c>
      <c r="V28">
        <v>818</v>
      </c>
      <c r="W28">
        <f t="shared" si="0"/>
        <v>1740</v>
      </c>
      <c r="X28">
        <v>6150</v>
      </c>
      <c r="Y28">
        <f t="shared" si="4"/>
        <v>4000440</v>
      </c>
      <c r="Z28" t="str">
        <f t="shared" si="1"/>
        <v>4000440_0_1_6150,4000440_0_1_6150,4000440_0_1_6150</v>
      </c>
      <c r="AB28" t="str">
        <f t="shared" si="2"/>
        <v>40000_50451055_1_818,40000_50403055_1_1740,4000440_0_1_6150,4000440_0_1_6150,4000440_0_1_6150,30000_90002_12_10000</v>
      </c>
      <c r="AN28" t="str">
        <f t="shared" si="3"/>
        <v>30000_90002_12,40000_50451055_1,40000_50403055_1</v>
      </c>
    </row>
    <row r="29" spans="2:40">
      <c r="B29" t="str">
        <f t="shared" si="13"/>
        <v>30000_90002_11</v>
      </c>
      <c r="R29" t="str">
        <f>VLOOKUP(S29,[4]equip.xml!$A$2316:$C$2777,3,0)</f>
        <v>皇家护胸</v>
      </c>
      <c r="S29">
        <v>50500045</v>
      </c>
      <c r="T29" t="str">
        <f>VLOOKUP(U29,[4]equip.xml!$A$2316:$C$2777,3,0)</f>
        <v>月沐箭筒</v>
      </c>
      <c r="U29">
        <v>50452065</v>
      </c>
      <c r="V29">
        <v>811</v>
      </c>
      <c r="W29">
        <f t="shared" si="0"/>
        <v>1730</v>
      </c>
      <c r="X29">
        <v>6175</v>
      </c>
      <c r="Y29">
        <f t="shared" si="4"/>
        <v>4000445</v>
      </c>
      <c r="Z29" t="str">
        <f t="shared" si="1"/>
        <v>4000445_0_1_6175,4000445_0_1_6175,4000445_0_1_6175</v>
      </c>
      <c r="AB29" t="str">
        <f t="shared" si="2"/>
        <v>40000_50500045_1_811,40000_50452065_1_1730,4000445_0_1_6175,4000445_0_1_6175,4000445_0_1_6175,30000_90003_1,30000_90002_5_10000</v>
      </c>
      <c r="AN29" t="str">
        <f t="shared" si="3"/>
        <v>30000_90003_1,30000_90002_5,40000_50500045_1,40000_50452065_1</v>
      </c>
    </row>
    <row r="30" spans="2:40">
      <c r="B30" t="str">
        <f t="shared" ref="B30:B38" si="14">"30000_90002_"&amp;D2</f>
        <v>30000_90002_9</v>
      </c>
      <c r="R30" t="str">
        <f>VLOOKUP(S30,[4]equip.xml!$A$2316:$C$2777,3,0)</f>
        <v>凯旋腿甲</v>
      </c>
      <c r="S30">
        <v>50500075</v>
      </c>
      <c r="T30" t="str">
        <f>VLOOKUP(U30,[4]equip.xml!$A$2316:$C$2777,3,0)</f>
        <v>正义壁垒</v>
      </c>
      <c r="U30">
        <v>50451065</v>
      </c>
      <c r="V30">
        <v>804</v>
      </c>
      <c r="W30">
        <f t="shared" si="0"/>
        <v>1720</v>
      </c>
      <c r="X30">
        <v>6200</v>
      </c>
      <c r="Y30">
        <f t="shared" si="4"/>
        <v>4000445</v>
      </c>
      <c r="Z30" t="str">
        <f t="shared" si="1"/>
        <v>4000445_0_1_6200,4000445_0_1_6200,4000445_0_1_6200</v>
      </c>
      <c r="AB30" t="str">
        <f t="shared" si="2"/>
        <v>40000_50500075_1_804,40000_50451065_1_1720,4000445_0_1_6200,4000445_0_1_6200,4000445_0_1_6200,30000_90003_1,30000_90002_5_10000</v>
      </c>
      <c r="AN30" t="str">
        <f t="shared" si="3"/>
        <v>30000_90003_1,30000_90002_5,40000_50500075_1,40000_50451065_1</v>
      </c>
    </row>
    <row r="31" spans="2:40">
      <c r="B31" t="str">
        <f t="shared" si="14"/>
        <v>30000_90002_9</v>
      </c>
      <c r="R31" t="str">
        <f>VLOOKUP(S31,[4]equip.xml!$A$2316:$C$2777,3,0)</f>
        <v>灵风之戒</v>
      </c>
      <c r="S31">
        <v>50500025</v>
      </c>
      <c r="T31" t="str">
        <f>VLOOKUP(U31,[4]equip.xml!$A$2316:$C$2777,3,0)</f>
        <v>霜语长弓</v>
      </c>
      <c r="U31">
        <v>50452055</v>
      </c>
      <c r="V31">
        <v>797</v>
      </c>
      <c r="W31">
        <f t="shared" si="0"/>
        <v>1710</v>
      </c>
      <c r="X31">
        <v>6225</v>
      </c>
      <c r="Y31">
        <f t="shared" si="4"/>
        <v>4000445</v>
      </c>
      <c r="Z31" t="str">
        <f t="shared" si="1"/>
        <v>4000445_0_1_6225,4000445_0_1_6225,4000445_0_1_6225</v>
      </c>
      <c r="AB31" t="str">
        <f t="shared" si="2"/>
        <v>40000_50500025_1_797,40000_50452055_1_1710,4000445_0_1_6225,4000445_0_1_6225,4000445_0_1_6225,30000_90003_1,30000_90002_6_10000</v>
      </c>
      <c r="AN31" t="str">
        <f t="shared" si="3"/>
        <v>30000_90003_1,30000_90002_6,40000_50500025_1,40000_50452055_1</v>
      </c>
    </row>
    <row r="32" spans="2:40">
      <c r="B32" t="str">
        <f t="shared" si="14"/>
        <v>30000_90002_10</v>
      </c>
      <c r="R32" t="str">
        <f>VLOOKUP(S32,[4]equip.xml!$A$2316:$C$2777,3,0)</f>
        <v>誓言护坠</v>
      </c>
      <c r="S32">
        <v>50500105</v>
      </c>
      <c r="T32" t="str">
        <f>VLOOKUP(U32,[4]equip.xml!$A$2316:$C$2777,3,0)</f>
        <v>皇权之杖</v>
      </c>
      <c r="U32">
        <v>50453055</v>
      </c>
      <c r="V32">
        <v>790</v>
      </c>
      <c r="W32">
        <f t="shared" si="0"/>
        <v>1700</v>
      </c>
      <c r="X32">
        <v>6250</v>
      </c>
      <c r="Y32">
        <f t="shared" si="4"/>
        <v>4000445</v>
      </c>
      <c r="Z32" t="str">
        <f t="shared" si="1"/>
        <v>4000445_0_1_6250,4000445_0_1_6250,4000445_0_1_6250</v>
      </c>
      <c r="AB32" t="str">
        <f t="shared" si="2"/>
        <v>40000_50500105_1_790,40000_50453055_1_1700,4000445_0_1_6250,4000445_0_1_6250,4000445_0_1_6250,30000_90003_1,30000_90002_6_10000</v>
      </c>
      <c r="AN32" t="str">
        <f t="shared" si="3"/>
        <v>30000_90003_1,30000_90002_6,40000_50500105_1,40000_50453055_1</v>
      </c>
    </row>
    <row r="33" spans="2:40">
      <c r="B33" t="str">
        <f t="shared" si="14"/>
        <v>30000_90002_10</v>
      </c>
      <c r="R33" t="str">
        <f>VLOOKUP(S33,[4]equip.xml!$A$2316:$C$2777,3,0)</f>
        <v>血拳手套</v>
      </c>
      <c r="S33">
        <v>50500095</v>
      </c>
      <c r="T33" t="str">
        <f>VLOOKUP(U33,[4]equip.xml!$A$2316:$C$2777,3,0)</f>
        <v>龙纹之刃</v>
      </c>
      <c r="U33">
        <v>50451055</v>
      </c>
      <c r="V33">
        <v>783</v>
      </c>
      <c r="W33">
        <f t="shared" si="0"/>
        <v>1690</v>
      </c>
      <c r="X33">
        <v>6275</v>
      </c>
      <c r="Y33">
        <f t="shared" si="4"/>
        <v>4000445</v>
      </c>
      <c r="Z33" t="str">
        <f t="shared" si="1"/>
        <v>4000445_0_1_6275,4000445_0_1_6275,4000445_0_1_6275</v>
      </c>
      <c r="AB33" t="str">
        <f t="shared" si="2"/>
        <v>40000_50500095_1_783,40000_50451055_1_1690,4000445_0_1_6275,4000445_0_1_6275,4000445_0_1_6275,30000_90003_1,30000_90002_6_10000</v>
      </c>
      <c r="AN33" t="str">
        <f t="shared" si="3"/>
        <v>30000_90003_1,30000_90002_6,40000_50500095_1,40000_50451055_1</v>
      </c>
    </row>
    <row r="34" spans="2:40">
      <c r="B34" t="str">
        <f t="shared" si="14"/>
        <v>30000_90002_10</v>
      </c>
      <c r="R34" t="str">
        <f>VLOOKUP(S34,[4]equip.xml!$A$2316:$C$2777,3,0)</f>
        <v>龙鳞护胫</v>
      </c>
      <c r="S34">
        <v>50500085</v>
      </c>
      <c r="T34" t="str">
        <f>VLOOKUP(U34,[4]equip.xml!$A$2316:$C$2777,3,0)</f>
        <v>占卜魔典</v>
      </c>
      <c r="U34">
        <v>50453065</v>
      </c>
      <c r="V34">
        <v>776</v>
      </c>
      <c r="W34">
        <f t="shared" si="0"/>
        <v>1680</v>
      </c>
      <c r="X34">
        <v>6300</v>
      </c>
      <c r="Y34">
        <f t="shared" si="4"/>
        <v>4000445</v>
      </c>
      <c r="Z34" t="str">
        <f t="shared" si="1"/>
        <v>4000445_0_1_6300,4000445_0_1_6300,4000445_0_1_6300</v>
      </c>
      <c r="AB34" t="str">
        <f t="shared" si="2"/>
        <v>40000_50500085_1_776,40000_50453065_1_1680,4000445_0_1_6300,4000445_0_1_6300,4000445_0_1_6300,30000_90003_1,30000_90002_7_10000</v>
      </c>
      <c r="AN34" t="str">
        <f t="shared" si="3"/>
        <v>30000_90003_1,30000_90002_7,40000_50500085_1,40000_50453065_1</v>
      </c>
    </row>
    <row r="35" spans="2:40">
      <c r="B35" t="str">
        <f t="shared" si="14"/>
        <v>30000_90002_11</v>
      </c>
      <c r="R35" t="str">
        <f>VLOOKUP(S35,[4]equip.xml!$A$2316:$C$2777,3,0)</f>
        <v>生命腰带</v>
      </c>
      <c r="S35">
        <v>50500035</v>
      </c>
      <c r="T35" t="str">
        <f>VLOOKUP(U35,[4]equip.xml!$A$2316:$C$2777,3,0)</f>
        <v>氪金大盾</v>
      </c>
      <c r="U35">
        <v>50501066</v>
      </c>
      <c r="V35">
        <v>769</v>
      </c>
      <c r="W35">
        <f t="shared" ref="W35:W66" si="15">W34-10</f>
        <v>1670</v>
      </c>
      <c r="X35">
        <v>6325</v>
      </c>
      <c r="Y35">
        <f t="shared" si="4"/>
        <v>4000445</v>
      </c>
      <c r="Z35" t="str">
        <f t="shared" si="1"/>
        <v>4000445_0_1_6325,4000445_0_1_6325,4000445_0_1_6325</v>
      </c>
      <c r="AB35" t="str">
        <f t="shared" si="2"/>
        <v>40000_50500035_1_769,40000_50501066_1_1670,4000445_0_1_6325,4000445_0_1_6325,4000445_0_1_6325,30000_90003_1,30000_90002_7_10000</v>
      </c>
      <c r="AN35" t="str">
        <f t="shared" si="3"/>
        <v>30000_90003_1,30000_90002_7,40000_50500035_1,40000_50501066_1</v>
      </c>
    </row>
    <row r="36" spans="2:40">
      <c r="B36" t="str">
        <f t="shared" si="14"/>
        <v>30000_90002_11</v>
      </c>
      <c r="R36" t="str">
        <f>VLOOKUP(S36,[4]equip.xml!$A$2316:$C$2777,3,0)</f>
        <v>战痕头盔</v>
      </c>
      <c r="S36">
        <v>50500015</v>
      </c>
      <c r="T36" t="str">
        <f>VLOOKUP(U36,[4]equip.xml!$A$2316:$C$2777,3,0)</f>
        <v>督军腰带</v>
      </c>
      <c r="U36">
        <v>50450035</v>
      </c>
      <c r="V36">
        <v>762</v>
      </c>
      <c r="W36">
        <f t="shared" si="15"/>
        <v>1660</v>
      </c>
      <c r="X36">
        <v>6350</v>
      </c>
      <c r="Y36">
        <f t="shared" si="4"/>
        <v>4000445</v>
      </c>
      <c r="Z36" t="str">
        <f t="shared" si="1"/>
        <v>4000445_0_1_6350,4000445_0_1_6350,4000445_0_1_6350</v>
      </c>
      <c r="AB36" t="str">
        <f t="shared" si="2"/>
        <v>40000_50500015_1_762,40000_50450035_1_1660,4000445_0_1_6350,4000445_0_1_6350,4000445_0_1_6350,30000_90003_1,30000_90002_7_10000</v>
      </c>
      <c r="AN36" t="str">
        <f t="shared" si="3"/>
        <v>30000_90003_1,30000_90002_7,40000_50500015_1,40000_50450035_1</v>
      </c>
    </row>
    <row r="37" spans="2:40">
      <c r="B37" t="str">
        <f t="shared" si="14"/>
        <v>30000_90002_11</v>
      </c>
      <c r="R37" t="str">
        <f>VLOOKUP(S37,[4]equip.xml!$A$2316:$C$2777,3,0)</f>
        <v>放逐者之刃</v>
      </c>
      <c r="S37">
        <v>50501056</v>
      </c>
      <c r="T37" t="str">
        <f>VLOOKUP(U37,[4]equip.xml!$A$2316:$C$2777,3,0)</f>
        <v>战争头盔</v>
      </c>
      <c r="U37">
        <v>50450015</v>
      </c>
      <c r="V37">
        <v>755</v>
      </c>
      <c r="W37">
        <f t="shared" si="15"/>
        <v>1650</v>
      </c>
      <c r="X37">
        <v>6375</v>
      </c>
      <c r="Y37">
        <f t="shared" si="4"/>
        <v>4000445</v>
      </c>
      <c r="Z37" t="str">
        <f t="shared" si="1"/>
        <v>4000445_0_1_6375,4000445_0_1_6375,4000445_0_1_6375</v>
      </c>
      <c r="AB37" t="str">
        <f t="shared" si="2"/>
        <v>40000_50501056_1_755,40000_50450015_1_1650,4000445_0_1_6375,4000445_0_1_6375,4000445_0_1_6375,30000_90003_1,30000_90002_8_10000</v>
      </c>
      <c r="AN37" t="str">
        <f t="shared" si="3"/>
        <v>30000_90003_1,30000_90002_8,40000_50501056_1,40000_50450015_1</v>
      </c>
    </row>
    <row r="38" spans="2:40">
      <c r="B38" t="str">
        <f t="shared" si="14"/>
        <v>30000_90002_12</v>
      </c>
      <c r="R38" t="str">
        <f>VLOOKUP(S38,[4]equip.xml!$A$2316:$C$2777,3,0)</f>
        <v>血卫胸甲</v>
      </c>
      <c r="S38">
        <v>50550045</v>
      </c>
      <c r="T38" t="str">
        <f>VLOOKUP(U38,[4]equip.xml!$A$2316:$C$2777,3,0)</f>
        <v>黑骨箭袋</v>
      </c>
      <c r="U38">
        <v>50502065</v>
      </c>
      <c r="V38">
        <v>748</v>
      </c>
      <c r="W38">
        <f t="shared" si="15"/>
        <v>1640</v>
      </c>
      <c r="X38">
        <v>6400</v>
      </c>
      <c r="Y38">
        <f t="shared" si="4"/>
        <v>4000450</v>
      </c>
      <c r="Z38" t="str">
        <f t="shared" si="1"/>
        <v>4000450_0_1_6400,4000450_0_1_6400,4000450_0_1_6400</v>
      </c>
      <c r="AB38" t="str">
        <f t="shared" si="2"/>
        <v>40000_50550045_1_748,40000_50502065_1_1640,4000450_0_1_6400,4000450_0_1_6400,4000450_0_1_6400,30000_90003_1,30000_90002_6_10000</v>
      </c>
      <c r="AN38" t="str">
        <f t="shared" si="3"/>
        <v>30000_90003_1,30000_90002_6,40000_50550045_1,40000_50502065_1</v>
      </c>
    </row>
    <row r="39" spans="2:40">
      <c r="B39" t="str">
        <f t="shared" ref="B39:B47" si="16">"30000_90003_1,30000_90002_"&amp;E2-5</f>
        <v>30000_90003_1,30000_90002_5</v>
      </c>
      <c r="R39" t="str">
        <f>VLOOKUP(S39,[4]equip.xml!$A$2316:$C$2777,3,0)</f>
        <v>银月头盔</v>
      </c>
      <c r="S39">
        <v>50550015</v>
      </c>
      <c r="T39" t="str">
        <f>VLOOKUP(U39,[4]equip.xml!$A$2316:$C$2777,3,0)</f>
        <v>黎明之刃</v>
      </c>
      <c r="U39">
        <v>50501055</v>
      </c>
      <c r="V39">
        <v>741</v>
      </c>
      <c r="W39">
        <f t="shared" si="15"/>
        <v>1630</v>
      </c>
      <c r="X39">
        <v>6425</v>
      </c>
      <c r="Y39">
        <f t="shared" si="4"/>
        <v>4000450</v>
      </c>
      <c r="Z39" t="str">
        <f t="shared" si="1"/>
        <v>4000450_0_1_6425,4000450_0_1_6425,4000450_0_1_6425</v>
      </c>
      <c r="AB39" t="str">
        <f t="shared" si="2"/>
        <v>40000_50550015_1_741,40000_50501055_1_1630,4000450_0_1_6425,4000450_0_1_6425,4000450_0_1_6425,30000_90003_1,30000_90002_6_10000</v>
      </c>
      <c r="AN39" t="str">
        <f t="shared" si="3"/>
        <v>30000_90003_1,30000_90002_6,40000_50550015_1,40000_50501055_1</v>
      </c>
    </row>
    <row r="40" spans="2:40">
      <c r="B40" t="str">
        <f t="shared" si="16"/>
        <v>30000_90003_1,30000_90002_5</v>
      </c>
      <c r="R40" t="str">
        <f>VLOOKUP(S40,[4]equip.xml!$A$2316:$C$2777,3,0)</f>
        <v>遗忘石坠</v>
      </c>
      <c r="S40">
        <v>50550105</v>
      </c>
      <c r="T40" t="str">
        <f>VLOOKUP(U40,[4]equip.xml!$A$2316:$C$2777,3,0)</f>
        <v>虚灵法杖</v>
      </c>
      <c r="U40">
        <v>50503055</v>
      </c>
      <c r="V40">
        <v>734</v>
      </c>
      <c r="W40">
        <f t="shared" si="15"/>
        <v>1620</v>
      </c>
      <c r="X40">
        <v>6450</v>
      </c>
      <c r="Y40">
        <f t="shared" si="4"/>
        <v>4000450</v>
      </c>
      <c r="Z40" t="str">
        <f t="shared" si="1"/>
        <v>4000450_0_1_6450,4000450_0_1_6450,4000450_0_1_6450</v>
      </c>
      <c r="AB40" t="str">
        <f t="shared" si="2"/>
        <v>40000_50550105_1_734,40000_50503055_1_1620,4000450_0_1_6450,4000450_0_1_6450,4000450_0_1_6450,30000_90003_1,30000_90002_7_10000</v>
      </c>
      <c r="AN40" t="str">
        <f t="shared" si="3"/>
        <v>30000_90003_1,30000_90002_7,40000_50550105_1,40000_50503055_1</v>
      </c>
    </row>
    <row r="41" spans="2:40">
      <c r="B41" t="str">
        <f t="shared" si="16"/>
        <v>30000_90003_1,30000_90002_6</v>
      </c>
      <c r="R41" t="str">
        <f>VLOOKUP(S41,[4]equip.xml!$A$2316:$C$2777,3,0)</f>
        <v>征服者护腿</v>
      </c>
      <c r="S41">
        <v>50550075</v>
      </c>
      <c r="T41" t="str">
        <f>VLOOKUP(U41,[4]equip.xml!$A$2316:$C$2777,3,0)</f>
        <v>幻术之书</v>
      </c>
      <c r="U41">
        <v>50503065</v>
      </c>
      <c r="V41">
        <v>727</v>
      </c>
      <c r="W41">
        <f t="shared" si="15"/>
        <v>1610</v>
      </c>
      <c r="X41">
        <v>6475</v>
      </c>
      <c r="Y41">
        <f t="shared" si="4"/>
        <v>4000450</v>
      </c>
      <c r="Z41" t="str">
        <f t="shared" si="1"/>
        <v>4000450_0_1_6475,4000450_0_1_6475,4000450_0_1_6475</v>
      </c>
      <c r="AB41" t="str">
        <f t="shared" si="2"/>
        <v>40000_50550075_1_727,40000_50503065_1_1610,4000450_0_1_6475,4000450_0_1_6475,4000450_0_1_6475,30000_90003_1,30000_90002_7_10000</v>
      </c>
      <c r="AN41" t="str">
        <f t="shared" si="3"/>
        <v>30000_90003_1,30000_90002_7,40000_50550075_1,40000_50503065_1</v>
      </c>
    </row>
    <row r="42" spans="2:40">
      <c r="B42" t="str">
        <f t="shared" si="16"/>
        <v>30000_90003_1,30000_90002_6</v>
      </c>
      <c r="R42" t="str">
        <f>VLOOKUP(S42,[4]equip.xml!$A$2316:$C$2777,3,0)</f>
        <v>天行者之靴</v>
      </c>
      <c r="S42">
        <v>50550085</v>
      </c>
      <c r="T42" t="str">
        <f>VLOOKUP(U42,[4]equip.xml!$A$2316:$C$2777,3,0)</f>
        <v>巨龙之盾</v>
      </c>
      <c r="U42">
        <v>50551066</v>
      </c>
      <c r="V42">
        <v>720</v>
      </c>
      <c r="W42">
        <f t="shared" si="15"/>
        <v>1600</v>
      </c>
      <c r="X42">
        <v>6500</v>
      </c>
      <c r="Y42">
        <f t="shared" si="4"/>
        <v>4000450</v>
      </c>
      <c r="Z42" t="str">
        <f t="shared" si="1"/>
        <v>4000450_0_1_6500,4000450_0_1_6500,4000450_0_1_6500</v>
      </c>
      <c r="AB42" t="str">
        <f t="shared" si="2"/>
        <v>40000_50550085_1_720,40000_50551066_1_1600,4000450_0_1_6500,4000450_0_1_6500,4000450_0_1_6500,30000_90003_1,30000_90002_7_10000</v>
      </c>
      <c r="AN42" t="str">
        <f t="shared" si="3"/>
        <v>30000_90003_1,30000_90002_7,40000_50550085_1,40000_50551066_1</v>
      </c>
    </row>
    <row r="43" spans="2:40">
      <c r="B43" t="str">
        <f t="shared" si="16"/>
        <v>30000_90003_1,30000_90002_6</v>
      </c>
      <c r="R43" t="str">
        <f>VLOOKUP(S43,[4]equip.xml!$A$2316:$C$2777,3,0)</f>
        <v>魔鳞腰带</v>
      </c>
      <c r="S43">
        <v>50550035</v>
      </c>
      <c r="T43" t="str">
        <f>VLOOKUP(U43,[4]equip.xml!$A$2316:$C$2777,3,0)</f>
        <v>生命腰带</v>
      </c>
      <c r="U43">
        <v>50500035</v>
      </c>
      <c r="V43">
        <v>713</v>
      </c>
      <c r="W43">
        <f t="shared" si="15"/>
        <v>1590</v>
      </c>
      <c r="X43">
        <v>6525</v>
      </c>
      <c r="Y43">
        <f t="shared" si="4"/>
        <v>4000450</v>
      </c>
      <c r="Z43" t="str">
        <f t="shared" si="1"/>
        <v>4000450_0_1_6525,4000450_0_1_6525,4000450_0_1_6525</v>
      </c>
      <c r="AB43" t="str">
        <f t="shared" si="2"/>
        <v>40000_50550035_1_713,40000_50500035_1_1590,4000450_0_1_6525,4000450_0_1_6525,4000450_0_1_6525,30000_90003_1,30000_90002_8_10000</v>
      </c>
      <c r="AN43" t="str">
        <f t="shared" si="3"/>
        <v>30000_90003_1,30000_90002_8,40000_50550035_1,40000_50500035_1</v>
      </c>
    </row>
    <row r="44" spans="2:40">
      <c r="B44" t="str">
        <f t="shared" si="16"/>
        <v>30000_90003_1,30000_90002_7</v>
      </c>
      <c r="R44" t="str">
        <f>VLOOKUP(S44,[4]equip.xml!$A$2316:$C$2777,3,0)</f>
        <v>镇魂之戒</v>
      </c>
      <c r="S44">
        <v>50550025</v>
      </c>
      <c r="T44" t="str">
        <f>VLOOKUP(U44,[4]equip.xml!$A$2316:$C$2777,3,0)</f>
        <v>魂祭之盾</v>
      </c>
      <c r="U44">
        <v>50501065</v>
      </c>
      <c r="V44">
        <v>706</v>
      </c>
      <c r="W44">
        <f t="shared" si="15"/>
        <v>1580</v>
      </c>
      <c r="X44">
        <v>6550</v>
      </c>
      <c r="Y44">
        <f t="shared" si="4"/>
        <v>4000450</v>
      </c>
      <c r="Z44" t="str">
        <f t="shared" si="1"/>
        <v>4000450_0_1_6550,4000450_0_1_6550,4000450_0_1_6550</v>
      </c>
      <c r="AB44" t="str">
        <f t="shared" si="2"/>
        <v>40000_50550025_1_706,40000_50501065_1_1580,4000450_0_1_6550,4000450_0_1_6550,4000450_0_1_6550,30000_90003_1,30000_90002_8_10000</v>
      </c>
      <c r="AN44" t="str">
        <f t="shared" si="3"/>
        <v>30000_90003_1,30000_90002_8,40000_50550025_1,40000_50501065_1</v>
      </c>
    </row>
    <row r="45" spans="2:40">
      <c r="B45" t="str">
        <f t="shared" si="16"/>
        <v>30000_90003_1,30000_90002_7</v>
      </c>
      <c r="R45" t="str">
        <f>VLOOKUP(S45,[4]equip.xml!$A$2316:$C$2777,3,0)</f>
        <v>战火护手</v>
      </c>
      <c r="S45">
        <v>50550095</v>
      </c>
      <c r="T45" t="str">
        <f>VLOOKUP(U45,[4]equip.xml!$A$2316:$C$2777,3,0)</f>
        <v>战痕头盔</v>
      </c>
      <c r="U45">
        <v>50500015</v>
      </c>
      <c r="V45">
        <v>699</v>
      </c>
      <c r="W45">
        <f t="shared" si="15"/>
        <v>1570</v>
      </c>
      <c r="X45">
        <v>6575</v>
      </c>
      <c r="Y45">
        <f t="shared" si="4"/>
        <v>4000450</v>
      </c>
      <c r="Z45" t="str">
        <f t="shared" si="1"/>
        <v>4000450_0_1_6575,4000450_0_1_6575,4000450_0_1_6575</v>
      </c>
      <c r="AB45" t="str">
        <f t="shared" si="2"/>
        <v>40000_50550095_1_699,40000_50500015_1_1570,4000450_0_1_6575,4000450_0_1_6575,4000450_0_1_6575,30000_90003_1,30000_90002_8_10000</v>
      </c>
      <c r="AN45" t="str">
        <f t="shared" si="3"/>
        <v>30000_90003_1,30000_90002_8,40000_50550095_1,40000_50500015_1</v>
      </c>
    </row>
    <row r="46" spans="2:40">
      <c r="B46" t="str">
        <f t="shared" si="16"/>
        <v>30000_90003_1,30000_90002_7</v>
      </c>
      <c r="R46" t="str">
        <f>VLOOKUP(S46,[4]equip.xml!$A$2316:$C$2777,3,0)</f>
        <v>噬魂符剑</v>
      </c>
      <c r="S46">
        <v>50551055</v>
      </c>
      <c r="T46" t="str">
        <f>VLOOKUP(U46,[4]equip.xml!$A$2316:$C$2777,3,0)</f>
        <v>觅心者长弓</v>
      </c>
      <c r="U46">
        <v>50502055</v>
      </c>
      <c r="V46">
        <v>692</v>
      </c>
      <c r="W46">
        <f t="shared" si="15"/>
        <v>1560</v>
      </c>
      <c r="X46">
        <v>6600</v>
      </c>
      <c r="Y46">
        <f t="shared" si="4"/>
        <v>4000450</v>
      </c>
      <c r="Z46" t="str">
        <f t="shared" si="1"/>
        <v>4000450_0_1_6600,4000450_0_1_6600,4000450_0_1_6600</v>
      </c>
      <c r="AB46" t="str">
        <f t="shared" si="2"/>
        <v>40000_50551055_1_692,40000_50502055_1_1560,4000450_0_1_6600,4000450_0_1_6600,4000450_0_1_6600,30000_90003_1,30000_90002_9_10000</v>
      </c>
      <c r="AN46" t="str">
        <f t="shared" si="3"/>
        <v>30000_90003_1,30000_90002_9,40000_50551055_1,40000_50502055_1</v>
      </c>
    </row>
    <row r="47" spans="2:40">
      <c r="B47" t="str">
        <f t="shared" si="16"/>
        <v>30000_90003_1,30000_90002_8</v>
      </c>
      <c r="R47" t="str">
        <f>VLOOKUP(S47,[4]equip.xml!$A$2316:$C$2777,3,0)</f>
        <v>星宇指环</v>
      </c>
      <c r="S47">
        <v>50600025</v>
      </c>
      <c r="T47" t="str">
        <f>VLOOKUP(U47,[4]equip.xml!$A$2316:$C$2777,3,0)</f>
        <v>魔鳞腰带</v>
      </c>
      <c r="U47">
        <v>50550035</v>
      </c>
      <c r="V47">
        <v>685</v>
      </c>
      <c r="W47">
        <f t="shared" si="15"/>
        <v>1550</v>
      </c>
      <c r="X47">
        <v>6625</v>
      </c>
      <c r="Y47">
        <f t="shared" si="4"/>
        <v>4000455</v>
      </c>
      <c r="Z47" t="str">
        <f t="shared" si="1"/>
        <v>4000455_0_1_6625,4000455_0_1_6625,4000455_0_1_6625</v>
      </c>
      <c r="AB47" t="str">
        <f t="shared" si="2"/>
        <v>40000_50600025_1_685,40000_50550035_1_1550,4000455_0_1_6625,4000455_0_1_6625,4000455_0_1_6625,30000_90003_1,30000_90002_7_10000</v>
      </c>
      <c r="AN47" t="str">
        <f t="shared" si="3"/>
        <v>30000_90003_1,30000_90002_7,40000_50600025_1,40000_50550035_1</v>
      </c>
    </row>
    <row r="48" spans="2:40">
      <c r="B48" t="str">
        <f t="shared" ref="B48:B56" si="17">"30000_90003_1,30000_90002_"&amp;F2-5</f>
        <v>30000_90003_1,30000_90002_6</v>
      </c>
      <c r="R48" t="str">
        <f>VLOOKUP(S48,[4]equip.xml!$A$2316:$C$2777,3,0)</f>
        <v>悔恨之链</v>
      </c>
      <c r="S48">
        <v>50600105</v>
      </c>
      <c r="T48" t="str">
        <f>VLOOKUP(U48,[4]equip.xml!$A$2316:$C$2777,3,0)</f>
        <v>寒霜之怒</v>
      </c>
      <c r="U48">
        <v>50553055</v>
      </c>
      <c r="V48">
        <v>678</v>
      </c>
      <c r="W48">
        <f t="shared" si="15"/>
        <v>1540</v>
      </c>
      <c r="X48">
        <v>6650</v>
      </c>
      <c r="Y48">
        <f t="shared" si="4"/>
        <v>4000455</v>
      </c>
      <c r="Z48" t="str">
        <f t="shared" si="1"/>
        <v>4000455_0_1_6650,4000455_0_1_6650,4000455_0_1_6650</v>
      </c>
      <c r="AB48" t="str">
        <f t="shared" si="2"/>
        <v>40000_50600105_1_678,40000_50553055_1_1540,4000455_0_1_6650,4000455_0_1_6650,4000455_0_1_6650,30000_90003_1,30000_90002_7_10000</v>
      </c>
      <c r="AN48" t="str">
        <f t="shared" si="3"/>
        <v>30000_90003_1,30000_90002_7,40000_50600105_1,40000_50553055_1</v>
      </c>
    </row>
    <row r="49" spans="2:40">
      <c r="B49" t="str">
        <f t="shared" si="17"/>
        <v>30000_90003_1,30000_90002_6</v>
      </c>
      <c r="R49" t="str">
        <f>VLOOKUP(S49,[4]equip.xml!$A$2316:$C$2777,3,0)</f>
        <v>明光战甲</v>
      </c>
      <c r="S49">
        <v>50600045</v>
      </c>
      <c r="T49" t="str">
        <f>VLOOKUP(U49,[4]equip.xml!$A$2316:$C$2777,3,0)</f>
        <v>灵魂壁垒</v>
      </c>
      <c r="U49">
        <v>50601065</v>
      </c>
      <c r="V49">
        <v>671</v>
      </c>
      <c r="W49">
        <f t="shared" si="15"/>
        <v>1530</v>
      </c>
      <c r="X49">
        <v>6675</v>
      </c>
      <c r="Y49">
        <f t="shared" si="4"/>
        <v>4000455</v>
      </c>
      <c r="Z49" t="str">
        <f t="shared" si="1"/>
        <v>4000455_0_1_6675,4000455_0_1_6675,4000455_0_1_6675</v>
      </c>
      <c r="AB49" t="str">
        <f t="shared" si="2"/>
        <v>40000_50600045_1_671,40000_50601065_1_1530,4000455_0_1_6675,4000455_0_1_6675,4000455_0_1_6675,30000_90003_1,30000_90002_8_10000</v>
      </c>
      <c r="AN49" t="str">
        <f t="shared" si="3"/>
        <v>30000_90003_1,30000_90002_8,40000_50600045_1,40000_50601065_1</v>
      </c>
    </row>
    <row r="50" spans="2:40">
      <c r="B50" t="str">
        <f t="shared" si="17"/>
        <v>30000_90003_1,30000_90002_7</v>
      </c>
      <c r="R50" t="str">
        <f>VLOOKUP(S50,[4]equip.xml!$A$2316:$C$2777,3,0)</f>
        <v>远征腰带</v>
      </c>
      <c r="S50">
        <v>50600035</v>
      </c>
      <c r="T50" t="str">
        <f>VLOOKUP(U50,[4]equip.xml!$A$2316:$C$2777,3,0)</f>
        <v>遗忘魔典</v>
      </c>
      <c r="U50">
        <v>50553065</v>
      </c>
      <c r="V50">
        <v>664</v>
      </c>
      <c r="W50">
        <f t="shared" si="15"/>
        <v>1520</v>
      </c>
      <c r="X50">
        <v>6700</v>
      </c>
      <c r="Y50">
        <f t="shared" si="4"/>
        <v>4000455</v>
      </c>
      <c r="Z50" t="str">
        <f t="shared" si="1"/>
        <v>4000455_0_1_6700,4000455_0_1_6700,4000455_0_1_6700</v>
      </c>
      <c r="AB50" t="str">
        <f t="shared" si="2"/>
        <v>40000_50600035_1_664,40000_50553065_1_1520,4000455_0_1_6700,4000455_0_1_6700,4000455_0_1_6700,30000_90003_1,30000_90002_8_10000</v>
      </c>
      <c r="AN50" t="str">
        <f t="shared" si="3"/>
        <v>30000_90003_1,30000_90002_8,40000_50600035_1,40000_50553065_1</v>
      </c>
    </row>
    <row r="51" spans="2:40">
      <c r="B51" t="str">
        <f t="shared" si="17"/>
        <v>30000_90003_1,30000_90002_7</v>
      </c>
      <c r="R51" t="str">
        <f>VLOOKUP(S51,[4]equip.xml!$A$2316:$C$2777,3,0)</f>
        <v>远征军护手</v>
      </c>
      <c r="S51">
        <v>50600095</v>
      </c>
      <c r="T51" t="str">
        <f>VLOOKUP(U51,[4]equip.xml!$A$2316:$C$2777,3,0)</f>
        <v>噬魂符剑</v>
      </c>
      <c r="U51">
        <v>50551055</v>
      </c>
      <c r="V51">
        <v>657</v>
      </c>
      <c r="W51">
        <f t="shared" si="15"/>
        <v>1510</v>
      </c>
      <c r="X51">
        <v>6725</v>
      </c>
      <c r="Y51">
        <f t="shared" si="4"/>
        <v>4000455</v>
      </c>
      <c r="Z51" t="str">
        <f t="shared" si="1"/>
        <v>4000455_0_1_6725,4000455_0_1_6725,4000455_0_1_6725</v>
      </c>
      <c r="AB51" t="str">
        <f t="shared" si="2"/>
        <v>40000_50600095_1_657,40000_50551055_1_1510,4000455_0_1_6725,4000455_0_1_6725,4000455_0_1_6725,30000_90003_1,30000_90002_8_10000</v>
      </c>
      <c r="AN51" t="str">
        <f t="shared" si="3"/>
        <v>30000_90003_1,30000_90002_8,40000_50600095_1,40000_50551055_1</v>
      </c>
    </row>
    <row r="52" spans="2:40">
      <c r="B52" t="str">
        <f t="shared" si="17"/>
        <v>30000_90003_1,30000_90002_7</v>
      </c>
      <c r="R52" t="str">
        <f>VLOOKUP(S52,[4]equip.xml!$A$2316:$C$2777,3,0)</f>
        <v>深渊护腿</v>
      </c>
      <c r="S52">
        <v>50600075</v>
      </c>
      <c r="T52" t="str">
        <f>VLOOKUP(U52,[4]equip.xml!$A$2316:$C$2777,3,0)</f>
        <v>银月头盔</v>
      </c>
      <c r="U52">
        <v>50550015</v>
      </c>
      <c r="V52">
        <v>650</v>
      </c>
      <c r="W52">
        <f t="shared" si="15"/>
        <v>1500</v>
      </c>
      <c r="X52">
        <v>6750</v>
      </c>
      <c r="Y52">
        <f t="shared" si="4"/>
        <v>4000455</v>
      </c>
      <c r="Z52" t="str">
        <f t="shared" si="1"/>
        <v>4000455_0_1_6750,4000455_0_1_6750,4000455_0_1_6750</v>
      </c>
      <c r="AB52" t="str">
        <f t="shared" si="2"/>
        <v>40000_50600075_1_650,40000_50550015_1_1500,4000455_0_1_6750,4000455_0_1_6750,4000455_0_1_6750,30000_90003_1,30000_90002_9_10000</v>
      </c>
      <c r="AN52" t="str">
        <f t="shared" si="3"/>
        <v>30000_90003_1,30000_90002_9,40000_50600075_1,40000_50550015_1</v>
      </c>
    </row>
    <row r="53" spans="2:40">
      <c r="B53" t="str">
        <f t="shared" si="17"/>
        <v>30000_90003_1,30000_90002_8</v>
      </c>
      <c r="R53" t="str">
        <f>VLOOKUP(S53,[4]equip.xml!$A$2316:$C$2777,3,0)</f>
        <v>英勇战盔</v>
      </c>
      <c r="S53">
        <v>50600015</v>
      </c>
      <c r="T53" t="str">
        <f>VLOOKUP(U53,[4]equip.xml!$A$2316:$C$2777,3,0)</f>
        <v>魂击长弓</v>
      </c>
      <c r="U53">
        <v>50552055</v>
      </c>
      <c r="V53">
        <v>643</v>
      </c>
      <c r="W53">
        <f t="shared" si="15"/>
        <v>1490</v>
      </c>
      <c r="X53">
        <v>6775</v>
      </c>
      <c r="Y53">
        <f t="shared" si="4"/>
        <v>4000455</v>
      </c>
      <c r="Z53" t="str">
        <f t="shared" si="1"/>
        <v>4000455_0_1_6775,4000455_0_1_6775,4000455_0_1_6775</v>
      </c>
      <c r="AB53" t="str">
        <f t="shared" si="2"/>
        <v>40000_50600015_1_643,40000_50552055_1_1490,4000455_0_1_6775,4000455_0_1_6775,4000455_0_1_6775,30000_90003_1,30000_90002_9_10000</v>
      </c>
      <c r="AN53" t="str">
        <f t="shared" si="3"/>
        <v>30000_90003_1,30000_90002_9,40000_50600015_1,40000_50552055_1</v>
      </c>
    </row>
    <row r="54" spans="2:40">
      <c r="B54" t="str">
        <f t="shared" si="17"/>
        <v>30000_90003_1,30000_90002_8</v>
      </c>
      <c r="R54" t="str">
        <f>VLOOKUP(S54,[4]equip.xml!$A$2316:$C$2777,3,0)</f>
        <v>风暴长靴</v>
      </c>
      <c r="S54">
        <v>50600085</v>
      </c>
      <c r="T54" t="str">
        <f>VLOOKUP(U54,[4]equip.xml!$A$2316:$C$2777,3,0)</f>
        <v>反射壁垒</v>
      </c>
      <c r="U54">
        <v>50551065</v>
      </c>
      <c r="V54">
        <v>636</v>
      </c>
      <c r="W54">
        <f t="shared" si="15"/>
        <v>1480</v>
      </c>
      <c r="X54">
        <v>6800</v>
      </c>
      <c r="Y54">
        <f t="shared" si="4"/>
        <v>4000455</v>
      </c>
      <c r="Z54" t="str">
        <f t="shared" si="1"/>
        <v>4000455_0_1_6800,4000455_0_1_6800,4000455_0_1_6800</v>
      </c>
      <c r="AB54" t="str">
        <f t="shared" si="2"/>
        <v>40000_50600085_1_636,40000_50551065_1_1480,4000455_0_1_6800,4000455_0_1_6800,4000455_0_1_6800,30000_90003_1,30000_90002_9_10000</v>
      </c>
      <c r="AN54" t="str">
        <f t="shared" si="3"/>
        <v>30000_90003_1,30000_90002_9,40000_50600085_1,40000_50551065_1</v>
      </c>
    </row>
    <row r="55" spans="2:40">
      <c r="B55" t="str">
        <f t="shared" si="17"/>
        <v>30000_90003_1,30000_90002_8</v>
      </c>
      <c r="R55" t="str">
        <f>VLOOKUP(S55,[4]equip.xml!$A$2316:$C$2777,3,0)</f>
        <v>逐光巨剑</v>
      </c>
      <c r="S55">
        <v>50601056</v>
      </c>
      <c r="T55" t="str">
        <f>VLOOKUP(U55,[4]equip.xml!$A$2316:$C$2777,3,0)</f>
        <v>银矢箭筒</v>
      </c>
      <c r="U55">
        <v>50552065</v>
      </c>
      <c r="V55">
        <v>629</v>
      </c>
      <c r="W55">
        <f t="shared" si="15"/>
        <v>1470</v>
      </c>
      <c r="X55">
        <v>6825</v>
      </c>
      <c r="Y55">
        <f t="shared" si="4"/>
        <v>4000455</v>
      </c>
      <c r="Z55" t="str">
        <f t="shared" si="1"/>
        <v>4000455_0_1_6825,4000455_0_1_6825,4000455_0_1_6825</v>
      </c>
      <c r="AB55" t="str">
        <f t="shared" si="2"/>
        <v>40000_50601056_1_629,40000_50552065_1_1470,4000455_0_1_6825,4000455_0_1_6825,4000455_0_1_6825,30000_90003_1,30000_90002_10_10000</v>
      </c>
      <c r="AN55" t="str">
        <f t="shared" si="3"/>
        <v>30000_90003_1,30000_90002_10,40000_50601056_1,40000_50552065_1</v>
      </c>
    </row>
    <row r="56" spans="2:40">
      <c r="B56" t="str">
        <f t="shared" si="17"/>
        <v>30000_90003_1,30000_90002_9</v>
      </c>
      <c r="R56" t="str">
        <f>VLOOKUP(S56,[4]equip.xml!$A$2316:$C$2777,3,0)</f>
        <v>统御腰带</v>
      </c>
      <c r="S56">
        <v>50650035</v>
      </c>
      <c r="T56" t="str">
        <f>VLOOKUP(U56,[4]equip.xml!$A$2316:$C$2777,3,0)</f>
        <v>无尽回响之杖</v>
      </c>
      <c r="U56">
        <v>50603055</v>
      </c>
      <c r="V56">
        <v>622</v>
      </c>
      <c r="W56">
        <f t="shared" si="15"/>
        <v>1460</v>
      </c>
      <c r="X56">
        <v>6850</v>
      </c>
      <c r="Y56">
        <f t="shared" si="4"/>
        <v>4000460</v>
      </c>
      <c r="Z56" t="str">
        <f t="shared" si="1"/>
        <v>4000460_0_1_6850,4000460_0_1_6850,4000460_0_1_6850</v>
      </c>
      <c r="AB56" t="str">
        <f t="shared" si="2"/>
        <v>40000_50650035_1_622,40000_50603055_1_1460,4000460_0_1_6850,4000460_0_1_6850,4000460_0_1_6850,30000_90003_1,30000_90002_8_10000</v>
      </c>
      <c r="AN56" t="str">
        <f t="shared" si="3"/>
        <v>30000_90003_1,30000_90002_8,40000_50650035_1,40000_50603055_1</v>
      </c>
    </row>
    <row r="57" spans="2:40">
      <c r="B57" t="str">
        <f t="shared" ref="B57:B65" si="18">"30000_90003_1,30000_90002_"&amp;G2-5</f>
        <v>30000_90003_1,30000_90002_7</v>
      </c>
      <c r="R57" t="str">
        <f>VLOOKUP(S57,[4]equip.xml!$A$2316:$C$2777,3,0)</f>
        <v>圣火指环</v>
      </c>
      <c r="S57">
        <v>50650025</v>
      </c>
      <c r="T57" t="str">
        <f>VLOOKUP(U57,[4]equip.xml!$A$2316:$C$2777,3,0)</f>
        <v>猎星箭袋</v>
      </c>
      <c r="U57">
        <v>50602065</v>
      </c>
      <c r="V57">
        <v>615</v>
      </c>
      <c r="W57">
        <f t="shared" si="15"/>
        <v>1450</v>
      </c>
      <c r="X57">
        <v>6875</v>
      </c>
      <c r="Y57">
        <f t="shared" si="4"/>
        <v>4000460</v>
      </c>
      <c r="Z57" t="str">
        <f t="shared" si="1"/>
        <v>4000460_0_1_6875,4000460_0_1_6875,4000460_0_1_6875</v>
      </c>
      <c r="AB57" t="str">
        <f t="shared" si="2"/>
        <v>40000_50650025_1_615,40000_50602065_1_1450,4000460_0_1_6875,4000460_0_1_6875,4000460_0_1_6875,30000_90003_1,30000_90002_8_10000</v>
      </c>
      <c r="AN57" t="str">
        <f t="shared" si="3"/>
        <v>30000_90003_1,30000_90002_8,40000_50650025_1,40000_50602065_1</v>
      </c>
    </row>
    <row r="58" spans="2:40">
      <c r="B58" t="str">
        <f t="shared" si="18"/>
        <v>30000_90003_1,30000_90002_7</v>
      </c>
      <c r="R58" t="str">
        <f>VLOOKUP(S58,[4]equip.xml!$A$2316:$C$2777,3,0)</f>
        <v>狱火战靴</v>
      </c>
      <c r="S58">
        <v>50650085</v>
      </c>
      <c r="T58" t="str">
        <f>VLOOKUP(U58,[4]equip.xml!$A$2316:$C$2777,3,0)</f>
        <v>毁灭之刃</v>
      </c>
      <c r="U58">
        <v>50601055</v>
      </c>
      <c r="V58">
        <v>608</v>
      </c>
      <c r="W58">
        <f t="shared" si="15"/>
        <v>1440</v>
      </c>
      <c r="X58">
        <v>6900</v>
      </c>
      <c r="Y58">
        <f t="shared" si="4"/>
        <v>4000460</v>
      </c>
      <c r="Z58" t="str">
        <f t="shared" si="1"/>
        <v>4000460_0_1_6900,4000460_0_1_6900,4000460_0_1_6900</v>
      </c>
      <c r="AB58" t="str">
        <f t="shared" si="2"/>
        <v>40000_50650085_1_608,40000_50601055_1_1440,4000460_0_1_6900,4000460_0_1_6900,4000460_0_1_6900,30000_90003_1,30000_90002_9_10000</v>
      </c>
      <c r="AN58" t="str">
        <f t="shared" si="3"/>
        <v>30000_90003_1,30000_90002_9,40000_50650085_1,40000_50601055_1</v>
      </c>
    </row>
    <row r="59" spans="2:40">
      <c r="B59" t="str">
        <f t="shared" si="18"/>
        <v>30000_90003_1,30000_90002_8</v>
      </c>
      <c r="R59" t="str">
        <f>VLOOKUP(S59,[4]equip.xml!$A$2316:$C$2777,3,0)</f>
        <v>救赎坠饰</v>
      </c>
      <c r="S59">
        <v>50650105</v>
      </c>
      <c r="T59" t="str">
        <f>VLOOKUP(U59,[4]equip.xml!$A$2316:$C$2777,3,0)</f>
        <v>英勇战盔</v>
      </c>
      <c r="U59">
        <v>50600015</v>
      </c>
      <c r="V59">
        <v>601</v>
      </c>
      <c r="W59">
        <f t="shared" si="15"/>
        <v>1430</v>
      </c>
      <c r="X59">
        <v>6925</v>
      </c>
      <c r="Y59">
        <f t="shared" si="4"/>
        <v>4000460</v>
      </c>
      <c r="Z59" t="str">
        <f t="shared" si="1"/>
        <v>4000460_0_1_6925,4000460_0_1_6925,4000460_0_1_6925</v>
      </c>
      <c r="AB59" t="str">
        <f t="shared" si="2"/>
        <v>40000_50650105_1_601,40000_50600015_1_1430,4000460_0_1_6925,4000460_0_1_6925,4000460_0_1_6925,30000_90003_1,30000_90002_9_10000</v>
      </c>
      <c r="AN59" t="str">
        <f t="shared" si="3"/>
        <v>30000_90003_1,30000_90002_9,40000_50650105_1,40000_50600015_1</v>
      </c>
    </row>
    <row r="60" spans="2:40">
      <c r="B60" t="str">
        <f t="shared" si="18"/>
        <v>30000_90003_1,30000_90002_8</v>
      </c>
      <c r="R60" t="str">
        <f>VLOOKUP(S60,[4]equip.xml!$A$2316:$C$2777,3,0)</f>
        <v>末世胸铠</v>
      </c>
      <c r="S60">
        <v>50650045</v>
      </c>
      <c r="T60" t="str">
        <f>VLOOKUP(U60,[4]equip.xml!$A$2316:$C$2777,3,0)</f>
        <v>暗之追猎者</v>
      </c>
      <c r="U60">
        <v>50602055</v>
      </c>
      <c r="V60">
        <v>594</v>
      </c>
      <c r="W60">
        <f t="shared" si="15"/>
        <v>1420</v>
      </c>
      <c r="X60">
        <v>6950</v>
      </c>
      <c r="Y60">
        <f t="shared" si="4"/>
        <v>4000460</v>
      </c>
      <c r="Z60" t="str">
        <f t="shared" si="1"/>
        <v>4000460_0_1_6950,4000460_0_1_6950,4000460_0_1_6950</v>
      </c>
      <c r="AB60" t="str">
        <f t="shared" si="2"/>
        <v>40000_50650045_1_594,40000_50602055_1_1420,4000460_0_1_6950,4000460_0_1_6950,4000460_0_1_6950,30000_90003_1,30000_90002_9_10000</v>
      </c>
      <c r="AN60" t="str">
        <f t="shared" si="3"/>
        <v>30000_90003_1,30000_90002_9,40000_50650045_1,40000_50602055_1</v>
      </c>
    </row>
    <row r="61" spans="2:40">
      <c r="B61" t="str">
        <f t="shared" si="18"/>
        <v>30000_90003_1,30000_90002_8</v>
      </c>
      <c r="R61" t="str">
        <f>VLOOKUP(S61,[4]equip.xml!$A$2316:$C$2777,3,0)</f>
        <v>荣耀先驱护手</v>
      </c>
      <c r="S61">
        <v>50650095</v>
      </c>
      <c r="T61" t="str">
        <f>VLOOKUP(U61,[4]equip.xml!$A$2316:$C$2777,3,0)</f>
        <v>灵魂壁垒</v>
      </c>
      <c r="U61">
        <v>50601065</v>
      </c>
      <c r="V61">
        <v>587</v>
      </c>
      <c r="W61">
        <f t="shared" si="15"/>
        <v>1410</v>
      </c>
      <c r="X61">
        <v>6975</v>
      </c>
      <c r="Y61">
        <f t="shared" si="4"/>
        <v>4000460</v>
      </c>
      <c r="Z61" t="str">
        <f t="shared" si="1"/>
        <v>4000460_0_1_6975,4000460_0_1_6975,4000460_0_1_6975</v>
      </c>
      <c r="AB61" t="str">
        <f t="shared" si="2"/>
        <v>40000_50650095_1_587,40000_50601065_1_1410,4000460_0_1_6975,4000460_0_1_6975,4000460_0_1_6975,30000_90003_1,30000_90002_10_10000</v>
      </c>
      <c r="AN61" t="str">
        <f t="shared" si="3"/>
        <v>30000_90003_1,30000_90002_10,40000_50650095_1,40000_50601065_1</v>
      </c>
    </row>
    <row r="62" spans="2:40">
      <c r="B62" t="str">
        <f t="shared" si="18"/>
        <v>30000_90003_1,30000_90002_9</v>
      </c>
      <c r="R62" t="str">
        <f>VLOOKUP(S62,[4]equip.xml!$A$2316:$C$2777,3,0)</f>
        <v>虚空之冠</v>
      </c>
      <c r="S62">
        <v>50650015</v>
      </c>
      <c r="T62" t="str">
        <f>VLOOKUP(U62,[4]equip.xml!$A$2316:$C$2777,3,0)</f>
        <v>星图指南</v>
      </c>
      <c r="U62">
        <v>50603065</v>
      </c>
      <c r="V62">
        <v>580</v>
      </c>
      <c r="W62">
        <f t="shared" si="15"/>
        <v>1400</v>
      </c>
      <c r="X62">
        <v>7000</v>
      </c>
      <c r="Y62">
        <f t="shared" si="4"/>
        <v>4000460</v>
      </c>
      <c r="Z62" t="str">
        <f t="shared" si="1"/>
        <v>4000460_0_1_7000,4000460_0_1_7000,4000460_0_1_7000</v>
      </c>
      <c r="AB62" t="str">
        <f t="shared" si="2"/>
        <v>40000_50650015_1_580,40000_50603065_1_1400,4000460_0_1_7000,4000460_0_1_7000,4000460_0_1_7000,30000_90003_1,30000_90002_10_10000</v>
      </c>
      <c r="AN62" t="str">
        <f t="shared" si="3"/>
        <v>30000_90003_1,30000_90002_10,40000_50650015_1,40000_50603065_1</v>
      </c>
    </row>
    <row r="63" spans="2:40">
      <c r="B63" t="str">
        <f t="shared" si="18"/>
        <v>30000_90003_1,30000_90002_9</v>
      </c>
      <c r="R63" t="str">
        <f>VLOOKUP(S63,[4]equip.xml!$A$2316:$C$2777,3,0)</f>
        <v>止战腿甲</v>
      </c>
      <c r="S63">
        <v>50650075</v>
      </c>
      <c r="T63" t="str">
        <f>VLOOKUP(U63,[4]equip.xml!$A$2316:$C$2777,3,0)</f>
        <v>日怒之盾</v>
      </c>
      <c r="U63">
        <v>50651065</v>
      </c>
      <c r="V63">
        <v>573</v>
      </c>
      <c r="W63">
        <f t="shared" si="15"/>
        <v>1390</v>
      </c>
      <c r="X63">
        <v>7025</v>
      </c>
      <c r="Y63">
        <f t="shared" si="4"/>
        <v>4000460</v>
      </c>
      <c r="Z63" t="str">
        <f t="shared" si="1"/>
        <v>4000460_0_1_7025,4000460_0_1_7025,4000460_0_1_7025</v>
      </c>
      <c r="AB63" t="str">
        <f t="shared" si="2"/>
        <v>40000_50650075_1_573,40000_50651065_1_1390,4000460_0_1_7025,4000460_0_1_7025,4000460_0_1_7025,30000_90003_1,30000_90002_10_10000</v>
      </c>
      <c r="AN63" t="str">
        <f t="shared" si="3"/>
        <v>30000_90003_1,30000_90002_10,40000_50650075_1,40000_50651065_1</v>
      </c>
    </row>
    <row r="64" spans="2:40">
      <c r="B64" t="str">
        <f t="shared" si="18"/>
        <v>30000_90003_1,30000_90002_9</v>
      </c>
      <c r="R64" t="str">
        <f>VLOOKUP(S64,[4]equip.xml!$A$2316:$C$2777,3,0)</f>
        <v>魂歌之刃</v>
      </c>
      <c r="S64">
        <v>50651055</v>
      </c>
      <c r="T64" t="str">
        <f>VLOOKUP(U64,[4]equip.xml!$A$2316:$C$2777,3,0)</f>
        <v>远征腰带</v>
      </c>
      <c r="U64">
        <v>50600035</v>
      </c>
      <c r="V64">
        <v>566</v>
      </c>
      <c r="W64">
        <f t="shared" si="15"/>
        <v>1380</v>
      </c>
      <c r="X64">
        <v>7050</v>
      </c>
      <c r="Y64">
        <f t="shared" si="4"/>
        <v>4000460</v>
      </c>
      <c r="Z64" t="str">
        <f t="shared" si="1"/>
        <v>4000460_0_1_7050,4000460_0_1_7050,4000460_0_1_7050</v>
      </c>
      <c r="AB64" t="str">
        <f t="shared" si="2"/>
        <v>40000_50651055_1_566,40000_50600035_1_1380,4000460_0_1_7050,4000460_0_1_7050,4000460_0_1_7050,30000_90003_1,30000_90002_11_10000</v>
      </c>
      <c r="AN64" t="str">
        <f t="shared" si="3"/>
        <v>30000_90003_1,30000_90002_11,40000_50651055_1,40000_50600035_1</v>
      </c>
    </row>
    <row r="65" spans="2:40">
      <c r="B65" t="str">
        <f t="shared" si="18"/>
        <v>30000_90003_1,30000_90002_10</v>
      </c>
      <c r="R65" t="str">
        <f>VLOOKUP(S65,[4]equip.xml!$A$2316:$C$2777,3,0)</f>
        <v>岁月永恒护符</v>
      </c>
      <c r="S65">
        <v>50700105</v>
      </c>
      <c r="T65" t="str">
        <f>VLOOKUP(U65,[4]equip.xml!$A$2316:$C$2777,3,0)</f>
        <v>虚空之冠</v>
      </c>
      <c r="U65">
        <v>50650015</v>
      </c>
      <c r="V65">
        <v>559</v>
      </c>
      <c r="W65">
        <f t="shared" si="15"/>
        <v>1370</v>
      </c>
      <c r="X65">
        <v>7075</v>
      </c>
      <c r="Y65">
        <f t="shared" si="4"/>
        <v>4000465</v>
      </c>
      <c r="Z65" t="str">
        <f t="shared" si="1"/>
        <v>4000465_0_1_7075,4000465_0_1_7075,4000465_0_1_7075</v>
      </c>
      <c r="AB65" t="str">
        <f t="shared" si="2"/>
        <v>40000_50700105_1_559,40000_50650015_1_1370,4000465_0_1_7075,4000465_0_1_7075,4000465_0_1_7075,30000_90003_1,30000_90002_9_10000</v>
      </c>
      <c r="AN65" t="str">
        <f t="shared" si="3"/>
        <v>30000_90003_1,30000_90002_9,40000_50700105_1,40000_50650015_1</v>
      </c>
    </row>
    <row r="66" spans="2:40">
      <c r="B66" t="str">
        <f t="shared" ref="B66:B74" si="19">"30000_90003_1,30000_90002_"&amp;H2-5</f>
        <v>30000_90003_1,30000_90002_8</v>
      </c>
      <c r="R66" t="str">
        <f>VLOOKUP(S66,[4]equip.xml!$A$2316:$C$2777,3,0)</f>
        <v>裂隙之手</v>
      </c>
      <c r="S66">
        <v>50700095</v>
      </c>
      <c r="T66" t="str">
        <f>VLOOKUP(U66,[4]equip.xml!$A$2316:$C$2777,3,0)</f>
        <v>日怒之盾</v>
      </c>
      <c r="U66">
        <v>50651065</v>
      </c>
      <c r="V66">
        <v>552</v>
      </c>
      <c r="W66">
        <f t="shared" si="15"/>
        <v>1360</v>
      </c>
      <c r="X66">
        <v>7100</v>
      </c>
      <c r="Y66">
        <f t="shared" si="4"/>
        <v>4000465</v>
      </c>
      <c r="Z66" t="str">
        <f t="shared" si="1"/>
        <v>4000465_0_1_7100,4000465_0_1_7100,4000465_0_1_7100</v>
      </c>
      <c r="AB66" t="str">
        <f t="shared" si="2"/>
        <v>40000_50700095_1_552,40000_50651065_1_1360,4000465_0_1_7100,4000465_0_1_7100,4000465_0_1_7100,30000_90003_1,30000_90002_9_10000</v>
      </c>
      <c r="AN66" t="str">
        <f t="shared" si="3"/>
        <v>30000_90003_1,30000_90002_9,40000_50700095_1,40000_50651065_1</v>
      </c>
    </row>
    <row r="67" spans="2:40">
      <c r="B67" t="str">
        <f t="shared" si="19"/>
        <v>30000_90003_1,30000_90002_8</v>
      </c>
      <c r="R67" t="str">
        <f>VLOOKUP(S67,[4]equip.xml!$A$2316:$C$2777,3,0)</f>
        <v>虚灵护腿</v>
      </c>
      <c r="S67">
        <v>50700075</v>
      </c>
      <c r="T67" t="str">
        <f>VLOOKUP(U67,[4]equip.xml!$A$2316:$C$2777,3,0)</f>
        <v>永恒之盾</v>
      </c>
      <c r="U67">
        <v>50701065</v>
      </c>
      <c r="V67">
        <v>545</v>
      </c>
      <c r="W67">
        <f t="shared" ref="W67:W98" si="20">W66-10</f>
        <v>1350</v>
      </c>
      <c r="X67">
        <v>7125</v>
      </c>
      <c r="Y67">
        <f t="shared" si="4"/>
        <v>4000465</v>
      </c>
      <c r="Z67" t="str">
        <f t="shared" ref="Z67:Z130" si="21">Y67&amp;"_0_1_"&amp;X67&amp;","&amp;Y67&amp;"_0_1_"&amp;X67&amp;","&amp;Y67&amp;"_0_1_"&amp;X67</f>
        <v>4000465_0_1_7125,4000465_0_1_7125,4000465_0_1_7125</v>
      </c>
      <c r="AB67" t="str">
        <f t="shared" ref="AB67:AB130" si="22">"40000_"&amp;S67&amp;"_1_"&amp;V67&amp;","&amp;"40000_"&amp;U67&amp;"_1_"&amp;W67&amp;","&amp;Z67&amp;","&amp;B77&amp;"_10000"</f>
        <v>40000_50700075_1_545,40000_50701065_1_1350,4000465_0_1_7125,4000465_0_1_7125,4000465_0_1_7125,30000_90003_1,30000_90002_10_10000</v>
      </c>
      <c r="AN67" t="str">
        <f t="shared" ref="AN67:AN130" si="23">B77&amp;","&amp;"40000_"&amp;S67&amp;"_1"&amp;","&amp;"40000_"&amp;U67&amp;"_1"</f>
        <v>30000_90003_1,30000_90002_10,40000_50700075_1,40000_50701065_1</v>
      </c>
    </row>
    <row r="68" spans="2:40">
      <c r="B68" t="str">
        <f t="shared" si="19"/>
        <v>30000_90003_1,30000_90002_9</v>
      </c>
      <c r="R68" t="str">
        <f>VLOOKUP(S68,[4]equip.xml!$A$2316:$C$2777,3,0)</f>
        <v>无影轻靴</v>
      </c>
      <c r="S68">
        <v>50700085</v>
      </c>
      <c r="T68" t="str">
        <f>VLOOKUP(U68,[4]equip.xml!$A$2316:$C$2777,3,0)</f>
        <v>龙语秘典</v>
      </c>
      <c r="U68">
        <v>50653065</v>
      </c>
      <c r="V68">
        <v>538</v>
      </c>
      <c r="W68">
        <f t="shared" si="20"/>
        <v>1340</v>
      </c>
      <c r="X68">
        <v>7150</v>
      </c>
      <c r="Y68">
        <f t="shared" si="4"/>
        <v>4000465</v>
      </c>
      <c r="Z68" t="str">
        <f t="shared" si="21"/>
        <v>4000465_0_1_7150,4000465_0_1_7150,4000465_0_1_7150</v>
      </c>
      <c r="AB68" t="str">
        <f t="shared" si="22"/>
        <v>40000_50700085_1_538,40000_50653065_1_1340,4000465_0_1_7150,4000465_0_1_7150,4000465_0_1_7150,30000_90003_1,30000_90002_10_10000</v>
      </c>
      <c r="AN68" t="str">
        <f t="shared" si="23"/>
        <v>30000_90003_1,30000_90002_10,40000_50700085_1,40000_50653065_1</v>
      </c>
    </row>
    <row r="69" spans="2:40">
      <c r="B69" t="str">
        <f t="shared" si="19"/>
        <v>30000_90003_1,30000_90002_9</v>
      </c>
      <c r="R69" t="str">
        <f>VLOOKUP(S69,[4]equip.xml!$A$2316:$C$2777,3,0)</f>
        <v>光铸胸甲</v>
      </c>
      <c r="S69">
        <v>50700045</v>
      </c>
      <c r="T69" t="str">
        <f>VLOOKUP(U69,[4]equip.xml!$A$2316:$C$2777,3,0)</f>
        <v>时轮金杖</v>
      </c>
      <c r="U69">
        <v>50653055</v>
      </c>
      <c r="V69">
        <v>531</v>
      </c>
      <c r="W69">
        <f t="shared" si="20"/>
        <v>1330</v>
      </c>
      <c r="X69">
        <v>7175</v>
      </c>
      <c r="Y69">
        <f t="shared" si="4"/>
        <v>4000465</v>
      </c>
      <c r="Z69" t="str">
        <f t="shared" si="21"/>
        <v>4000465_0_1_7175,4000465_0_1_7175,4000465_0_1_7175</v>
      </c>
      <c r="AB69" t="str">
        <f t="shared" si="22"/>
        <v>40000_50700045_1_531,40000_50653055_1_1330,4000465_0_1_7175,4000465_0_1_7175,4000465_0_1_7175,30000_90003_1,30000_90002_10_10000</v>
      </c>
      <c r="AN69" t="str">
        <f t="shared" si="23"/>
        <v>30000_90003_1,30000_90002_10,40000_50700045_1,40000_50653055_1</v>
      </c>
    </row>
    <row r="70" spans="2:40">
      <c r="B70" t="str">
        <f t="shared" si="19"/>
        <v>30000_90003_1,30000_90002_9</v>
      </c>
      <c r="R70" t="str">
        <f>VLOOKUP(S70,[4]equip.xml!$A$2316:$C$2777,3,0)</f>
        <v>破碎之冠</v>
      </c>
      <c r="S70">
        <v>50700015</v>
      </c>
      <c r="T70" t="str">
        <f>VLOOKUP(U70,[4]equip.xml!$A$2316:$C$2777,3,0)</f>
        <v>追噬之矢</v>
      </c>
      <c r="U70">
        <v>50652065</v>
      </c>
      <c r="V70">
        <v>524</v>
      </c>
      <c r="W70">
        <f t="shared" si="20"/>
        <v>1320</v>
      </c>
      <c r="X70">
        <v>7200</v>
      </c>
      <c r="Y70">
        <f t="shared" si="4"/>
        <v>4000465</v>
      </c>
      <c r="Z70" t="str">
        <f t="shared" si="21"/>
        <v>4000465_0_1_7200,4000465_0_1_7200,4000465_0_1_7200</v>
      </c>
      <c r="AB70" t="str">
        <f t="shared" si="22"/>
        <v>40000_50700015_1_524,40000_50652065_1_1320,4000465_0_1_7200,4000465_0_1_7200,4000465_0_1_7200,30000_90003_1,30000_90002_11_10000</v>
      </c>
      <c r="AN70" t="str">
        <f t="shared" si="23"/>
        <v>30000_90003_1,30000_90002_11,40000_50700015_1,40000_50652065_1</v>
      </c>
    </row>
    <row r="71" spans="2:40">
      <c r="B71" t="str">
        <f t="shared" si="19"/>
        <v>30000_90003_1,30000_90002_10</v>
      </c>
      <c r="R71" t="str">
        <f>VLOOKUP(S71,[4]equip.xml!$A$2316:$C$2777,3,0)</f>
        <v>灵谕之戒</v>
      </c>
      <c r="S71">
        <v>50700025</v>
      </c>
      <c r="T71" t="str">
        <f>VLOOKUP(U71,[4]equip.xml!$A$2316:$C$2777,3,0)</f>
        <v>憎恨之击</v>
      </c>
      <c r="U71">
        <v>50652055</v>
      </c>
      <c r="V71">
        <v>517</v>
      </c>
      <c r="W71">
        <f t="shared" si="20"/>
        <v>1310</v>
      </c>
      <c r="X71">
        <v>7225</v>
      </c>
      <c r="Y71">
        <f t="shared" si="4"/>
        <v>4000465</v>
      </c>
      <c r="Z71" t="str">
        <f t="shared" si="21"/>
        <v>4000465_0_1_7225,4000465_0_1_7225,4000465_0_1_7225</v>
      </c>
      <c r="AB71" t="str">
        <f t="shared" si="22"/>
        <v>40000_50700025_1_517,40000_50652055_1_1310,4000465_0_1_7225,4000465_0_1_7225,4000465_0_1_7225,30000_90003_1,30000_90002_11_10000</v>
      </c>
      <c r="AN71" t="str">
        <f t="shared" si="23"/>
        <v>30000_90003_1,30000_90002_11,40000_50700025_1,40000_50652055_1</v>
      </c>
    </row>
    <row r="72" spans="2:40">
      <c r="B72" t="str">
        <f t="shared" si="19"/>
        <v>30000_90003_1,30000_90002_10</v>
      </c>
      <c r="R72" t="str">
        <f>VLOOKUP(S72,[4]equip.xml!$A$2316:$C$2777,3,0)</f>
        <v>怒涛腰带</v>
      </c>
      <c r="S72">
        <v>50700035</v>
      </c>
      <c r="T72" t="str">
        <f>VLOOKUP(U72,[4]equip.xml!$A$2316:$C$2777,3,0)</f>
        <v>统御腰带</v>
      </c>
      <c r="U72">
        <v>50650035</v>
      </c>
      <c r="V72">
        <v>510</v>
      </c>
      <c r="W72">
        <f t="shared" si="20"/>
        <v>1300</v>
      </c>
      <c r="X72">
        <v>7250</v>
      </c>
      <c r="Y72">
        <f t="shared" si="4"/>
        <v>4000465</v>
      </c>
      <c r="Z72" t="str">
        <f t="shared" si="21"/>
        <v>4000465_0_1_7250,4000465_0_1_7250,4000465_0_1_7250</v>
      </c>
      <c r="AB72" t="str">
        <f t="shared" si="22"/>
        <v>40000_50700035_1_510,40000_50650035_1_1300,4000465_0_1_7250,4000465_0_1_7250,4000465_0_1_7250,30000_90003_1,30000_90002_11_10000</v>
      </c>
      <c r="AN72" t="str">
        <f t="shared" si="23"/>
        <v>30000_90003_1,30000_90002_11,40000_50700035_1,40000_50650035_1</v>
      </c>
    </row>
    <row r="73" spans="2:40">
      <c r="B73" t="str">
        <f t="shared" si="19"/>
        <v>30000_90003_1,30000_90002_10</v>
      </c>
      <c r="R73" t="str">
        <f>VLOOKUP(S73,[4]equip.xml!$A$2316:$C$2777,3,0)</f>
        <v>命运</v>
      </c>
      <c r="S73">
        <v>50701055</v>
      </c>
      <c r="T73" t="str">
        <f>VLOOKUP(U73,[4]equip.xml!$A$2316:$C$2777,3,0)</f>
        <v>魂歌之刃</v>
      </c>
      <c r="U73">
        <v>50651055</v>
      </c>
      <c r="V73">
        <v>503</v>
      </c>
      <c r="W73">
        <f t="shared" si="20"/>
        <v>1290</v>
      </c>
      <c r="X73">
        <v>7275</v>
      </c>
      <c r="Y73">
        <f t="shared" si="4"/>
        <v>4000465</v>
      </c>
      <c r="Z73" t="str">
        <f t="shared" si="21"/>
        <v>4000465_0_1_7275,4000465_0_1_7275,4000465_0_1_7275</v>
      </c>
      <c r="AB73" t="str">
        <f t="shared" si="22"/>
        <v>40000_50701055_1_503,40000_50651055_1_1290,4000465_0_1_7275,4000465_0_1_7275,4000465_0_1_7275,30000_90003_1,30000_90002_12_10000</v>
      </c>
      <c r="AN73" t="str">
        <f t="shared" si="23"/>
        <v>30000_90003_1,30000_90002_12,40000_50701055_1,40000_50651055_1</v>
      </c>
    </row>
    <row r="74" spans="2:40">
      <c r="B74" t="str">
        <f t="shared" si="19"/>
        <v>30000_90003_1,30000_90002_11</v>
      </c>
      <c r="R74" t="str">
        <f>VLOOKUP(S74,[4]equip.xml!$A$2316:$C$2777,3,0)</f>
        <v>守望胸甲</v>
      </c>
      <c r="S74">
        <v>50750045</v>
      </c>
      <c r="T74" t="str">
        <f>VLOOKUP(U74,[4]equip.xml!$A$2316:$C$2777,3,0)</f>
        <v>破碎之冠</v>
      </c>
      <c r="U74">
        <v>50700015</v>
      </c>
      <c r="V74">
        <v>496</v>
      </c>
      <c r="W74">
        <f t="shared" si="20"/>
        <v>1280</v>
      </c>
      <c r="X74">
        <v>7300</v>
      </c>
      <c r="Y74">
        <f t="shared" si="4"/>
        <v>4000470</v>
      </c>
      <c r="Z74" t="str">
        <f t="shared" si="21"/>
        <v>4000470_0_1_7300,4000470_0_1_7300,4000470_0_1_7300</v>
      </c>
      <c r="AB74" t="str">
        <f t="shared" si="22"/>
        <v>40000_50750045_1_496,40000_50700015_1_1280,4000470_0_1_7300,4000470_0_1_7300,4000470_0_1_7300,30000_90003_1,30000_90002_5_10000</v>
      </c>
      <c r="AN74" t="str">
        <f t="shared" si="23"/>
        <v>30000_90003_1,30000_90002_5,40000_50750045_1,40000_50700015_1</v>
      </c>
    </row>
    <row r="75" spans="2:40">
      <c r="B75" t="str">
        <f t="shared" ref="B75:B83" si="24">"30000_90003_1,30000_90002_"&amp;I2-5</f>
        <v>30000_90003_1,30000_90002_9</v>
      </c>
      <c r="R75" t="str">
        <f>VLOOKUP(S75,[4]equip.xml!$A$2316:$C$2777,3,0)</f>
        <v>地脉之环</v>
      </c>
      <c r="S75">
        <v>50750025</v>
      </c>
      <c r="T75" t="str">
        <f>VLOOKUP(U75,[4]equip.xml!$A$2316:$C$2777,3,0)</f>
        <v>永恒之盾</v>
      </c>
      <c r="U75">
        <v>50701065</v>
      </c>
      <c r="V75">
        <v>489</v>
      </c>
      <c r="W75">
        <f t="shared" si="20"/>
        <v>1270</v>
      </c>
      <c r="X75">
        <v>7325</v>
      </c>
      <c r="Y75">
        <f t="shared" si="4"/>
        <v>4000470</v>
      </c>
      <c r="Z75" t="str">
        <f t="shared" si="21"/>
        <v>4000470_0_1_7325,4000470_0_1_7325,4000470_0_1_7325</v>
      </c>
      <c r="AB75" t="str">
        <f t="shared" si="22"/>
        <v>40000_50750025_1_489,40000_50701065_1_1270,4000470_0_1_7325,4000470_0_1_7325,4000470_0_1_7325,30000_90003_1,30000_90002_5_10000</v>
      </c>
      <c r="AN75" t="str">
        <f t="shared" si="23"/>
        <v>30000_90003_1,30000_90002_5,40000_50750025_1,40000_50701065_1</v>
      </c>
    </row>
    <row r="76" spans="2:40">
      <c r="B76" t="str">
        <f t="shared" si="24"/>
        <v>30000_90003_1,30000_90002_9</v>
      </c>
      <c r="R76" t="str">
        <f>VLOOKUP(S76,[4]equip.xml!$A$2316:$C$2777,3,0)</f>
        <v>薄霜护手</v>
      </c>
      <c r="S76">
        <v>50750095</v>
      </c>
      <c r="T76" t="str">
        <f>VLOOKUP(U76,[4]equip.xml!$A$2316:$C$2777,3,0)</f>
        <v>日怒凰弓</v>
      </c>
      <c r="U76">
        <v>50702055</v>
      </c>
      <c r="V76">
        <v>482</v>
      </c>
      <c r="W76">
        <f t="shared" si="20"/>
        <v>1260</v>
      </c>
      <c r="X76">
        <v>7350</v>
      </c>
      <c r="Y76">
        <f t="shared" ref="Y76:Y82" si="25">Y67+5</f>
        <v>4000470</v>
      </c>
      <c r="Z76" t="str">
        <f t="shared" si="21"/>
        <v>4000470_0_1_7350,4000470_0_1_7350,4000470_0_1_7350</v>
      </c>
      <c r="AB76" t="str">
        <f t="shared" si="22"/>
        <v>40000_50750095_1_482,40000_50702055_1_1260,4000470_0_1_7350,4000470_0_1_7350,4000470_0_1_7350,30000_90003_1,30000_90002_6_10000</v>
      </c>
      <c r="AN76" t="str">
        <f t="shared" si="23"/>
        <v>30000_90003_1,30000_90002_6,40000_50750095_1,40000_50702055_1</v>
      </c>
    </row>
    <row r="77" spans="2:40">
      <c r="B77" t="str">
        <f t="shared" si="24"/>
        <v>30000_90003_1,30000_90002_10</v>
      </c>
      <c r="R77" t="str">
        <f>VLOOKUP(S77,[4]equip.xml!$A$2316:$C$2777,3,0)</f>
        <v>缚誓护腰</v>
      </c>
      <c r="S77">
        <v>50750035</v>
      </c>
      <c r="T77" t="str">
        <f>VLOOKUP(U77,[4]equip.xml!$A$2316:$C$2777,3,0)</f>
        <v>集结护盾</v>
      </c>
      <c r="U77">
        <v>50751066</v>
      </c>
      <c r="V77">
        <v>475</v>
      </c>
      <c r="W77">
        <f t="shared" si="20"/>
        <v>1250</v>
      </c>
      <c r="X77">
        <v>7375</v>
      </c>
      <c r="Y77">
        <f t="shared" si="25"/>
        <v>4000470</v>
      </c>
      <c r="Z77" t="str">
        <f t="shared" si="21"/>
        <v>4000470_0_1_7375,4000470_0_1_7375,4000470_0_1_7375</v>
      </c>
      <c r="AB77" t="str">
        <f t="shared" si="22"/>
        <v>40000_50750035_1_475,40000_50751066_1_1250,4000470_0_1_7375,4000470_0_1_7375,4000470_0_1_7375,30000_90003_1,30000_90002_6_10000</v>
      </c>
      <c r="AN77" t="str">
        <f t="shared" si="23"/>
        <v>30000_90003_1,30000_90002_6,40000_50750035_1,40000_50751066_1</v>
      </c>
    </row>
    <row r="78" spans="2:40">
      <c r="B78" t="str">
        <f t="shared" si="24"/>
        <v>30000_90003_1,30000_90002_10</v>
      </c>
      <c r="R78" t="str">
        <f>VLOOKUP(S78,[4]equip.xml!$A$2316:$C$2777,3,0)</f>
        <v>踏冰长靴</v>
      </c>
      <c r="S78">
        <v>50750085</v>
      </c>
      <c r="T78" t="str">
        <f>VLOOKUP(U78,[4]equip.xml!$A$2316:$C$2777,3,0)</f>
        <v>虚空魔典</v>
      </c>
      <c r="U78">
        <v>50703065</v>
      </c>
      <c r="V78">
        <v>468</v>
      </c>
      <c r="W78">
        <f t="shared" si="20"/>
        <v>1240</v>
      </c>
      <c r="X78">
        <v>7400</v>
      </c>
      <c r="Y78">
        <f t="shared" si="25"/>
        <v>4000470</v>
      </c>
      <c r="Z78" t="str">
        <f t="shared" si="21"/>
        <v>4000470_0_1_7400,4000470_0_1_7400,4000470_0_1_7400</v>
      </c>
      <c r="AB78" t="str">
        <f t="shared" si="22"/>
        <v>40000_50750085_1_468,40000_50703065_1_1240,4000470_0_1_7400,4000470_0_1_7400,4000470_0_1_7400,30000_90003_1,30000_90002_6_10000</v>
      </c>
      <c r="AN78" t="str">
        <f t="shared" si="23"/>
        <v>30000_90003_1,30000_90002_6,40000_50750085_1,40000_50703065_1</v>
      </c>
    </row>
    <row r="79" spans="2:40">
      <c r="B79" t="str">
        <f t="shared" si="24"/>
        <v>30000_90003_1,30000_90002_10</v>
      </c>
      <c r="R79" t="str">
        <f>VLOOKUP(S79,[4]equip.xml!$A$2316:$C$2777,3,0)</f>
        <v>极光挂坠</v>
      </c>
      <c r="S79">
        <v>50750105</v>
      </c>
      <c r="T79" t="str">
        <f>VLOOKUP(U79,[4]equip.xml!$A$2316:$C$2777,3,0)</f>
        <v>逐日之矢</v>
      </c>
      <c r="U79">
        <v>50702065</v>
      </c>
      <c r="V79">
        <v>461</v>
      </c>
      <c r="W79">
        <f t="shared" si="20"/>
        <v>1230</v>
      </c>
      <c r="X79">
        <v>7425</v>
      </c>
      <c r="Y79">
        <f t="shared" si="25"/>
        <v>4000470</v>
      </c>
      <c r="Z79" t="str">
        <f t="shared" si="21"/>
        <v>4000470_0_1_7425,4000470_0_1_7425,4000470_0_1_7425</v>
      </c>
      <c r="AB79" t="str">
        <f t="shared" si="22"/>
        <v>40000_50750105_1_461,40000_50702065_1_1230,4000470_0_1_7425,4000470_0_1_7425,4000470_0_1_7425,30000_90003_1,30000_90002_7_10000</v>
      </c>
      <c r="AN79" t="str">
        <f t="shared" si="23"/>
        <v>30000_90003_1,30000_90002_7,40000_50750105_1,40000_50702065_1</v>
      </c>
    </row>
    <row r="80" spans="2:40">
      <c r="B80" t="str">
        <f t="shared" si="24"/>
        <v>30000_90003_1,30000_90002_11</v>
      </c>
      <c r="R80" t="str">
        <f>VLOOKUP(S80,[4]equip.xml!$A$2316:$C$2777,3,0)</f>
        <v>凛冬头盔</v>
      </c>
      <c r="S80">
        <v>50750015</v>
      </c>
      <c r="T80" t="str">
        <f>VLOOKUP(U80,[4]equip.xml!$A$2316:$C$2777,3,0)</f>
        <v>怒涛腰带</v>
      </c>
      <c r="U80">
        <v>50700035</v>
      </c>
      <c r="V80">
        <v>454</v>
      </c>
      <c r="W80">
        <f t="shared" si="20"/>
        <v>1220</v>
      </c>
      <c r="X80">
        <v>7450</v>
      </c>
      <c r="Y80">
        <f t="shared" si="25"/>
        <v>4000470</v>
      </c>
      <c r="Z80" t="str">
        <f t="shared" si="21"/>
        <v>4000470_0_1_7450,4000470_0_1_7450,4000470_0_1_7450</v>
      </c>
      <c r="AB80" t="str">
        <f t="shared" si="22"/>
        <v>40000_50750015_1_454,40000_50700035_1_1220,4000470_0_1_7450,4000470_0_1_7450,4000470_0_1_7450,30000_90003_1,30000_90002_7_10000</v>
      </c>
      <c r="AN80" t="str">
        <f t="shared" si="23"/>
        <v>30000_90003_1,30000_90002_7,40000_50750015_1,40000_50700035_1</v>
      </c>
    </row>
    <row r="81" spans="2:40">
      <c r="B81" t="str">
        <f t="shared" si="24"/>
        <v>30000_90003_1,30000_90002_11</v>
      </c>
      <c r="R81" t="str">
        <f>VLOOKUP(S81,[4]equip.xml!$A$2316:$C$2777,3,0)</f>
        <v>缚誓护腰</v>
      </c>
      <c r="S81">
        <v>50750035</v>
      </c>
      <c r="T81" t="str">
        <f>VLOOKUP(U81,[4]equip.xml!$A$2316:$C$2777,3,0)</f>
        <v>瓦解法杖</v>
      </c>
      <c r="U81">
        <v>50703055</v>
      </c>
      <c r="V81">
        <v>447</v>
      </c>
      <c r="W81">
        <f t="shared" si="20"/>
        <v>1210</v>
      </c>
      <c r="X81">
        <v>7475</v>
      </c>
      <c r="Y81">
        <f t="shared" si="25"/>
        <v>4000470</v>
      </c>
      <c r="Z81" t="str">
        <f t="shared" si="21"/>
        <v>4000470_0_1_7475,4000470_0_1_7475,4000470_0_1_7475</v>
      </c>
      <c r="AB81" t="str">
        <f t="shared" si="22"/>
        <v>40000_50750035_1_447,40000_50703055_1_1210,4000470_0_1_7475,4000470_0_1_7475,4000470_0_1_7475,30000_90003_1,30000_90002_7_10000</v>
      </c>
      <c r="AN81" t="str">
        <f t="shared" si="23"/>
        <v>30000_90003_1,30000_90002_7,40000_50750035_1,40000_50703055_1</v>
      </c>
    </row>
    <row r="82" spans="2:40">
      <c r="B82" t="str">
        <f t="shared" si="24"/>
        <v>30000_90003_1,30000_90002_11</v>
      </c>
      <c r="R82" t="str">
        <f>VLOOKUP(S82,[4]equip.xml!$A$2316:$C$2777,3,0)</f>
        <v>鸣醒之剑</v>
      </c>
      <c r="S82">
        <v>50751056</v>
      </c>
      <c r="T82" t="str">
        <f>VLOOKUP(U82,[4]equip.xml!$A$2316:$C$2777,3,0)</f>
        <v>命运</v>
      </c>
      <c r="U82">
        <v>50701055</v>
      </c>
      <c r="V82">
        <v>440</v>
      </c>
      <c r="W82">
        <f t="shared" si="20"/>
        <v>1200</v>
      </c>
      <c r="X82">
        <v>7500</v>
      </c>
      <c r="Y82">
        <f t="shared" si="25"/>
        <v>4000470</v>
      </c>
      <c r="Z82" t="str">
        <f t="shared" si="21"/>
        <v>4000470_0_1_7500,4000470_0_1_7500,4000470_0_1_7500</v>
      </c>
      <c r="AB82" t="str">
        <f t="shared" si="22"/>
        <v>40000_50751056_1_440,40000_50701055_1_1200,4000470_0_1_7500,4000470_0_1_7500,4000470_0_1_7500,30000_90003_1,30000_90002_8_10000</v>
      </c>
      <c r="AN82" t="str">
        <f t="shared" si="23"/>
        <v>30000_90003_1,30000_90002_8,40000_50751056_1,40000_50701055_1</v>
      </c>
    </row>
    <row r="83" spans="2:40">
      <c r="B83" t="str">
        <f t="shared" si="24"/>
        <v>30000_90003_1,30000_90002_12</v>
      </c>
      <c r="R83" t="str">
        <f>VLOOKUP(S83,[4]equip.xml!$A$2316:$C$2777,3,0)</f>
        <v>亏蚀项链</v>
      </c>
      <c r="S83">
        <v>50800105</v>
      </c>
      <c r="T83" t="str">
        <f>VLOOKUP(U83,[4]equip.xml!$A$2316:$C$2777,3,0)</f>
        <v>嚎风之息</v>
      </c>
      <c r="U83">
        <v>50752055</v>
      </c>
      <c r="V83">
        <v>433</v>
      </c>
      <c r="W83">
        <f t="shared" si="20"/>
        <v>1190</v>
      </c>
      <c r="X83">
        <v>7525</v>
      </c>
      <c r="Y83">
        <v>4004074</v>
      </c>
      <c r="Z83" t="str">
        <f t="shared" si="21"/>
        <v>4004074_0_1_7525,4004074_0_1_7525,4004074_0_1_7525</v>
      </c>
      <c r="AB83" t="str">
        <f t="shared" si="22"/>
        <v>40000_50800105_1_433,40000_50752055_1_1190,4004074_0_1_7525,4004074_0_1_7525,4004074_0_1_7525,30000_90003_1,30000_90002_6_10000</v>
      </c>
      <c r="AN83" t="str">
        <f t="shared" si="23"/>
        <v>30000_90003_1,30000_90002_6,40000_50800105_1,40000_50752055_1</v>
      </c>
    </row>
    <row r="84" spans="2:40">
      <c r="B84" t="str">
        <f t="shared" ref="B84:B92" si="26">"30000_90003_1,30000_90002_"&amp;J2-10</f>
        <v>30000_90003_1,30000_90002_5</v>
      </c>
      <c r="R84" t="str">
        <f>VLOOKUP(S84,[4]equip.xml!$A$2316:$C$2777,3,0)</f>
        <v>缚法之靴</v>
      </c>
      <c r="S84">
        <v>50800085</v>
      </c>
      <c r="T84" t="str">
        <f>VLOOKUP(U84,[4]equip.xml!$A$2316:$C$2777,3,0)</f>
        <v>古石壁垒</v>
      </c>
      <c r="U84">
        <v>50801066</v>
      </c>
      <c r="V84">
        <v>426</v>
      </c>
      <c r="W84">
        <f t="shared" si="20"/>
        <v>1180</v>
      </c>
      <c r="X84">
        <v>7550</v>
      </c>
      <c r="Y84">
        <v>4004074</v>
      </c>
      <c r="Z84" t="str">
        <f t="shared" si="21"/>
        <v>4004074_0_1_7550,4004074_0_1_7550,4004074_0_1_7550</v>
      </c>
      <c r="AB84" t="str">
        <f t="shared" si="22"/>
        <v>40000_50800085_1_426,40000_50801066_1_1180,4004074_0_1_7550,4004074_0_1_7550,4004074_0_1_7550,30000_90003_1,30000_90002_6_10000</v>
      </c>
      <c r="AN84" t="str">
        <f t="shared" si="23"/>
        <v>30000_90003_1,30000_90002_6,40000_50800085_1,40000_50801066_1</v>
      </c>
    </row>
    <row r="85" spans="2:40">
      <c r="B85" t="str">
        <f t="shared" si="26"/>
        <v>30000_90003_1,30000_90002_5</v>
      </c>
      <c r="R85" t="str">
        <f>VLOOKUP(S85,[4]equip.xml!$A$2316:$C$2777,3,0)</f>
        <v>梦境护手</v>
      </c>
      <c r="S85">
        <v>50800095</v>
      </c>
      <c r="T85" t="str">
        <f>VLOOKUP(U85,[4]equip.xml!$A$2316:$C$2777,3,0)</f>
        <v>凯旋护盾</v>
      </c>
      <c r="U85">
        <v>50751065</v>
      </c>
      <c r="V85">
        <v>419</v>
      </c>
      <c r="W85">
        <f t="shared" si="20"/>
        <v>1170</v>
      </c>
      <c r="X85">
        <v>7575</v>
      </c>
      <c r="Y85">
        <v>4004074</v>
      </c>
      <c r="Z85" t="str">
        <f t="shared" si="21"/>
        <v>4004074_0_1_7575,4004074_0_1_7575,4004074_0_1_7575</v>
      </c>
      <c r="AB85" t="str">
        <f t="shared" si="22"/>
        <v>40000_50800095_1_419,40000_50751065_1_1170,4004074_0_1_7575,4004074_0_1_7575,4004074_0_1_7575,30000_90003_1,30000_90002_7_10000</v>
      </c>
      <c r="AN85" t="str">
        <f t="shared" si="23"/>
        <v>30000_90003_1,30000_90002_7,40000_50800095_1,40000_50751065_1</v>
      </c>
    </row>
    <row r="86" spans="2:40">
      <c r="B86" t="str">
        <f t="shared" si="26"/>
        <v>30000_90003_1,30000_90002_6</v>
      </c>
      <c r="R86" t="str">
        <f>VLOOKUP(S86,[4]equip.xml!$A$2316:$C$2777,3,0)</f>
        <v>迷失护腿</v>
      </c>
      <c r="S86">
        <v>50800075</v>
      </c>
      <c r="T86" t="str">
        <f>VLOOKUP(U86,[4]equip.xml!$A$2316:$C$2777,3,0)</f>
        <v>缚誓护腰</v>
      </c>
      <c r="U86">
        <v>50750035</v>
      </c>
      <c r="V86">
        <v>412</v>
      </c>
      <c r="W86">
        <f t="shared" si="20"/>
        <v>1160</v>
      </c>
      <c r="X86">
        <v>7600</v>
      </c>
      <c r="Y86">
        <v>4004074</v>
      </c>
      <c r="Z86" t="str">
        <f t="shared" si="21"/>
        <v>4004074_0_1_7600,4004074_0_1_7600,4004074_0_1_7600</v>
      </c>
      <c r="AB86" t="str">
        <f t="shared" si="22"/>
        <v>40000_50800075_1_412,40000_50750035_1_1160,4004074_0_1_7600,4004074_0_1_7600,4004074_0_1_7600,30000_90003_1,30000_90002_7_10000</v>
      </c>
      <c r="AN86" t="str">
        <f t="shared" si="23"/>
        <v>30000_90003_1,30000_90002_7,40000_50800075_1,40000_50750035_1</v>
      </c>
    </row>
    <row r="87" spans="2:40">
      <c r="B87" t="str">
        <f t="shared" si="26"/>
        <v>30000_90003_1,30000_90002_6</v>
      </c>
      <c r="R87" t="str">
        <f>VLOOKUP(S87,[4]equip.xml!$A$2316:$C$2777,3,0)</f>
        <v>联合徽记</v>
      </c>
      <c r="S87">
        <v>50800025</v>
      </c>
      <c r="T87" t="str">
        <f>VLOOKUP(U87,[4]equip.xml!$A$2316:$C$2777,3,0)</f>
        <v>尘封遗典</v>
      </c>
      <c r="U87">
        <v>50753065</v>
      </c>
      <c r="V87">
        <v>405</v>
      </c>
      <c r="W87">
        <f t="shared" si="20"/>
        <v>1150</v>
      </c>
      <c r="X87">
        <v>7625</v>
      </c>
      <c r="Y87">
        <v>4004074</v>
      </c>
      <c r="Z87" t="str">
        <f t="shared" si="21"/>
        <v>4004074_0_1_7625,4004074_0_1_7625,4004074_0_1_7625</v>
      </c>
      <c r="AB87" t="str">
        <f t="shared" si="22"/>
        <v>40000_50800025_1_405,40000_50753065_1_1150,4004074_0_1_7625,4004074_0_1_7625,4004074_0_1_7625,30000_90003_1,30000_90002_7_10000</v>
      </c>
      <c r="AN87" t="str">
        <f t="shared" si="23"/>
        <v>30000_90003_1,30000_90002_7,40000_50800025_1,40000_50753065_1</v>
      </c>
    </row>
    <row r="88" spans="2:40">
      <c r="B88" t="str">
        <f t="shared" si="26"/>
        <v>30000_90003_1,30000_90002_6</v>
      </c>
      <c r="R88" t="str">
        <f>VLOOKUP(S88,[4]equip.xml!$A$2316:$C$2777,3,0)</f>
        <v>复仇战甲</v>
      </c>
      <c r="S88">
        <v>50800045</v>
      </c>
      <c r="T88" t="str">
        <f>VLOOKUP(U88,[4]equip.xml!$A$2316:$C$2777,3,0)</f>
        <v>疾鹰箭袋</v>
      </c>
      <c r="U88">
        <v>50752065</v>
      </c>
      <c r="V88">
        <v>398</v>
      </c>
      <c r="W88">
        <f t="shared" si="20"/>
        <v>1140</v>
      </c>
      <c r="X88">
        <v>7650</v>
      </c>
      <c r="Y88">
        <v>4004074</v>
      </c>
      <c r="Z88" t="str">
        <f t="shared" si="21"/>
        <v>4004074_0_1_7650,4004074_0_1_7650,4004074_0_1_7650</v>
      </c>
      <c r="AB88" t="str">
        <f t="shared" si="22"/>
        <v>40000_50800045_1_398,40000_50752065_1_1140,4004074_0_1_7650,4004074_0_1_7650,4004074_0_1_7650,30000_90003_1,30000_90002_8_10000</v>
      </c>
      <c r="AN88" t="str">
        <f t="shared" si="23"/>
        <v>30000_90003_1,30000_90002_8,40000_50800045_1,40000_50752065_1</v>
      </c>
    </row>
    <row r="89" spans="2:40">
      <c r="B89" t="str">
        <f t="shared" si="26"/>
        <v>30000_90003_1,30000_90002_7</v>
      </c>
      <c r="R89" t="str">
        <f>VLOOKUP(S89,[4]equip.xml!$A$2316:$C$2777,3,0)</f>
        <v>怒岩腰带</v>
      </c>
      <c r="S89">
        <v>50800035</v>
      </c>
      <c r="T89" t="str">
        <f>VLOOKUP(U89,[4]equip.xml!$A$2316:$C$2777,3,0)</f>
        <v>唤海长杖</v>
      </c>
      <c r="U89">
        <v>50753055</v>
      </c>
      <c r="V89">
        <v>391</v>
      </c>
      <c r="W89">
        <f t="shared" si="20"/>
        <v>1130</v>
      </c>
      <c r="X89">
        <v>7675</v>
      </c>
      <c r="Y89">
        <v>4004074</v>
      </c>
      <c r="Z89" t="str">
        <f t="shared" si="21"/>
        <v>4004074_0_1_7675,4004074_0_1_7675,4004074_0_1_7675</v>
      </c>
      <c r="AB89" t="str">
        <f t="shared" si="22"/>
        <v>40000_50800035_1_391,40000_50753055_1_1130,4004074_0_1_7675,4004074_0_1_7675,4004074_0_1_7675,30000_90003_1,30000_90002_8_10000</v>
      </c>
      <c r="AN89" t="str">
        <f t="shared" si="23"/>
        <v>30000_90003_1,30000_90002_8,40000_50800035_1,40000_50753055_1</v>
      </c>
    </row>
    <row r="90" spans="2:40">
      <c r="B90" t="str">
        <f t="shared" si="26"/>
        <v>30000_90003_1,30000_90002_7</v>
      </c>
      <c r="R90" t="str">
        <f>VLOOKUP(S90,[4]equip.xml!$A$2316:$C$2777,3,0)</f>
        <v>浴火战盔</v>
      </c>
      <c r="S90">
        <v>50800015</v>
      </c>
      <c r="T90" t="str">
        <f>VLOOKUP(U90,[4]equip.xml!$A$2316:$C$2777,3,0)</f>
        <v>凌风之刃</v>
      </c>
      <c r="U90">
        <v>50751055</v>
      </c>
      <c r="V90">
        <v>384</v>
      </c>
      <c r="W90">
        <f t="shared" si="20"/>
        <v>1120</v>
      </c>
      <c r="X90">
        <v>7700</v>
      </c>
      <c r="Y90">
        <v>4004074</v>
      </c>
      <c r="Z90" t="str">
        <f t="shared" si="21"/>
        <v>4004074_0_1_7700,4004074_0_1_7700,4004074_0_1_7700</v>
      </c>
      <c r="AB90" t="str">
        <f t="shared" si="22"/>
        <v>40000_50800015_1_384,40000_50751055_1_1120,4004074_0_1_7700,4004074_0_1_7700,4004074_0_1_7700,30000_90003_1,30000_90002_8_10000</v>
      </c>
      <c r="AN90" t="str">
        <f t="shared" si="23"/>
        <v>30000_90003_1,30000_90002_8,40000_50800015_1,40000_50751055_1</v>
      </c>
    </row>
    <row r="91" spans="2:40">
      <c r="B91" t="str">
        <f t="shared" si="26"/>
        <v>30000_90003_1,30000_90002_7</v>
      </c>
      <c r="R91" t="str">
        <f>VLOOKUP(S91,[4]equip.xml!$A$2316:$C$2777,3,0)</f>
        <v>千魂之刃</v>
      </c>
      <c r="S91">
        <v>50801056</v>
      </c>
      <c r="T91" t="str">
        <f>VLOOKUP(U91,[4]equip.xml!$A$2316:$C$2777,3,0)</f>
        <v>凛冬头盔</v>
      </c>
      <c r="U91">
        <v>50750015</v>
      </c>
      <c r="V91">
        <v>377</v>
      </c>
      <c r="W91">
        <f t="shared" si="20"/>
        <v>1110</v>
      </c>
      <c r="X91">
        <v>7725</v>
      </c>
      <c r="Y91">
        <v>4004074</v>
      </c>
      <c r="Z91" t="str">
        <f t="shared" si="21"/>
        <v>4004074_0_1_7725,4004074_0_1_7725,4004074_0_1_7725</v>
      </c>
      <c r="AB91" t="str">
        <f t="shared" si="22"/>
        <v>40000_50801056_1_377,40000_50750015_1_1110,4004074_0_1_7725,4004074_0_1_7725,4004074_0_1_7725,30000_90003_1,30000_90002_9_10000</v>
      </c>
      <c r="AN91" t="str">
        <f t="shared" si="23"/>
        <v>30000_90003_1,30000_90002_9,40000_50801056_1,40000_50750015_1</v>
      </c>
    </row>
    <row r="92" spans="2:40">
      <c r="B92" t="str">
        <f t="shared" si="26"/>
        <v>30000_90003_1,30000_90002_8</v>
      </c>
      <c r="R92" t="str">
        <f>VLOOKUP(S92,[4]equip.xml!$A$2316:$C$2777,3,0)</f>
        <v>漂泊者之链</v>
      </c>
      <c r="S92">
        <v>50850105</v>
      </c>
      <c r="T92" t="str">
        <f>VLOOKUP(U92,[4]equip.xml!$A$2316:$C$2777,3,0)</f>
        <v>荒原箭袋</v>
      </c>
      <c r="U92">
        <v>50802065</v>
      </c>
      <c r="V92">
        <v>370</v>
      </c>
      <c r="W92">
        <f t="shared" si="20"/>
        <v>1100</v>
      </c>
      <c r="X92">
        <v>7750</v>
      </c>
      <c r="Y92">
        <f>Y83+4</f>
        <v>4004078</v>
      </c>
      <c r="Z92" t="str">
        <f t="shared" si="21"/>
        <v>4004078_0_1_7750,4004078_0_1_7750,4004078_0_1_7750</v>
      </c>
      <c r="AB92" t="str">
        <f t="shared" si="22"/>
        <v>40000_50850105_1_370,40000_50802065_1_1100,4004078_0_1_7750,4004078_0_1_7750,4004078_0_1_7750,30000_90003_1,30000_90002_7_10000</v>
      </c>
      <c r="AN92" t="str">
        <f t="shared" si="23"/>
        <v>30000_90003_1,30000_90002_7,40000_50850105_1,40000_50802065_1</v>
      </c>
    </row>
    <row r="93" spans="2:40">
      <c r="B93" t="str">
        <f t="shared" ref="B93:B101" si="27">"30000_90003_1,30000_90002_"&amp;K2-10</f>
        <v>30000_90003_1,30000_90002_6</v>
      </c>
      <c r="R93" t="str">
        <f>VLOOKUP(S93,[4]equip.xml!$A$2316:$C$2777,3,0)</f>
        <v>统治长靴</v>
      </c>
      <c r="S93">
        <v>50850085</v>
      </c>
      <c r="T93" t="str">
        <f>VLOOKUP(U93,[4]equip.xml!$A$2316:$C$2777,3,0)</f>
        <v>龙骨弯弓</v>
      </c>
      <c r="U93">
        <v>50802055</v>
      </c>
      <c r="V93">
        <v>363</v>
      </c>
      <c r="W93">
        <f t="shared" si="20"/>
        <v>1090</v>
      </c>
      <c r="X93">
        <v>7775</v>
      </c>
      <c r="Y93">
        <f t="shared" ref="Y93:Y136" si="28">Y84+4</f>
        <v>4004078</v>
      </c>
      <c r="Z93" t="str">
        <f t="shared" si="21"/>
        <v>4004078_0_1_7775,4004078_0_1_7775,4004078_0_1_7775</v>
      </c>
      <c r="AB93" t="str">
        <f t="shared" si="22"/>
        <v>40000_50850085_1_363,40000_50802055_1_1090,4004078_0_1_7775,4004078_0_1_7775,4004078_0_1_7775,30000_90003_1,30000_90002_7_10000</v>
      </c>
      <c r="AN93" t="str">
        <f t="shared" si="23"/>
        <v>30000_90003_1,30000_90002_7,40000_50850085_1,40000_50802055_1</v>
      </c>
    </row>
    <row r="94" spans="2:40">
      <c r="B94" t="str">
        <f t="shared" si="27"/>
        <v>30000_90003_1,30000_90002_6</v>
      </c>
      <c r="R94" t="str">
        <f>VLOOKUP(S94,[4]equip.xml!$A$2316:$C$2777,3,0)</f>
        <v>梦魇胸甲</v>
      </c>
      <c r="S94">
        <v>50850045</v>
      </c>
      <c r="T94" t="str">
        <f>VLOOKUP(U94,[4]equip.xml!$A$2316:$C$2777,3,0)</f>
        <v>浴火战盔</v>
      </c>
      <c r="U94">
        <v>50800015</v>
      </c>
      <c r="V94">
        <v>356</v>
      </c>
      <c r="W94">
        <f t="shared" si="20"/>
        <v>1080</v>
      </c>
      <c r="X94">
        <v>7800</v>
      </c>
      <c r="Y94">
        <f t="shared" si="28"/>
        <v>4004078</v>
      </c>
      <c r="Z94" t="str">
        <f t="shared" si="21"/>
        <v>4004078_0_1_7800,4004078_0_1_7800,4004078_0_1_7800</v>
      </c>
      <c r="AB94" t="str">
        <f t="shared" si="22"/>
        <v>40000_50850045_1_356,40000_50800015_1_1080,4004078_0_1_7800,4004078_0_1_7800,4004078_0_1_7800,30000_90003_1,30000_90002_8_10000</v>
      </c>
      <c r="AN94" t="str">
        <f t="shared" si="23"/>
        <v>30000_90003_1,30000_90002_8,40000_50850045_1,40000_50800015_1</v>
      </c>
    </row>
    <row r="95" spans="2:40">
      <c r="B95" t="str">
        <f t="shared" si="27"/>
        <v>30000_90003_1,30000_90002_7</v>
      </c>
      <c r="R95" t="str">
        <f>VLOOKUP(S95,[4]equip.xml!$A$2316:$C$2777,3,0)</f>
        <v>神迹指环</v>
      </c>
      <c r="S95">
        <v>50850025</v>
      </c>
      <c r="T95" t="str">
        <f>VLOOKUP(U95,[4]equip.xml!$A$2316:$C$2777,3,0)</f>
        <v>死寂之剑</v>
      </c>
      <c r="U95">
        <v>50801055</v>
      </c>
      <c r="V95">
        <v>349</v>
      </c>
      <c r="W95">
        <f t="shared" si="20"/>
        <v>1070</v>
      </c>
      <c r="X95">
        <v>7825</v>
      </c>
      <c r="Y95">
        <f t="shared" si="28"/>
        <v>4004078</v>
      </c>
      <c r="Z95" t="str">
        <f t="shared" si="21"/>
        <v>4004078_0_1_7825,4004078_0_1_7825,4004078_0_1_7825</v>
      </c>
      <c r="AB95" t="str">
        <f t="shared" si="22"/>
        <v>40000_50850025_1_349,40000_50801055_1_1070,4004078_0_1_7825,4004078_0_1_7825,4004078_0_1_7825,30000_90003_1,30000_90002_8_10000</v>
      </c>
      <c r="AN95" t="str">
        <f t="shared" si="23"/>
        <v>30000_90003_1,30000_90002_8,40000_50850025_1,40000_50801055_1</v>
      </c>
    </row>
    <row r="96" spans="2:40">
      <c r="B96" t="str">
        <f t="shared" si="27"/>
        <v>30000_90003_1,30000_90002_7</v>
      </c>
      <c r="R96" t="str">
        <f>VLOOKUP(S96,[4]equip.xml!$A$2316:$C$2777,3,0)</f>
        <v>逝亡护腿</v>
      </c>
      <c r="S96">
        <v>50850075</v>
      </c>
      <c r="T96" t="str">
        <f>VLOOKUP(U96,[4]equip.xml!$A$2316:$C$2777,3,0)</f>
        <v>折戟之盾</v>
      </c>
      <c r="U96">
        <v>50801065</v>
      </c>
      <c r="V96">
        <v>342</v>
      </c>
      <c r="W96">
        <f t="shared" si="20"/>
        <v>1060</v>
      </c>
      <c r="X96">
        <v>7850</v>
      </c>
      <c r="Y96">
        <f t="shared" si="28"/>
        <v>4004078</v>
      </c>
      <c r="Z96" t="str">
        <f t="shared" si="21"/>
        <v>4004078_0_1_7850,4004078_0_1_7850,4004078_0_1_7850</v>
      </c>
      <c r="AB96" t="str">
        <f t="shared" si="22"/>
        <v>40000_50850075_1_342,40000_50801065_1_1060,4004078_0_1_7850,4004078_0_1_7850,4004078_0_1_7850,30000_90003_1,30000_90002_8_10000</v>
      </c>
      <c r="AN96" t="str">
        <f t="shared" si="23"/>
        <v>30000_90003_1,30000_90002_8,40000_50850075_1,40000_50801065_1</v>
      </c>
    </row>
    <row r="97" spans="2:40">
      <c r="B97" t="str">
        <f t="shared" si="27"/>
        <v>30000_90003_1,30000_90002_7</v>
      </c>
      <c r="R97" t="str">
        <f>VLOOKUP(S97,[4]equip.xml!$A$2316:$C$2777,3,0)</f>
        <v>誓烈手甲</v>
      </c>
      <c r="S97">
        <v>50850095</v>
      </c>
      <c r="T97" t="str">
        <f>VLOOKUP(U97,[4]equip.xml!$A$2316:$C$2777,3,0)</f>
        <v>显像符杖</v>
      </c>
      <c r="U97">
        <v>50803055</v>
      </c>
      <c r="V97">
        <v>335</v>
      </c>
      <c r="W97">
        <f t="shared" si="20"/>
        <v>1050</v>
      </c>
      <c r="X97">
        <v>7875</v>
      </c>
      <c r="Y97">
        <f t="shared" si="28"/>
        <v>4004078</v>
      </c>
      <c r="Z97" t="str">
        <f t="shared" si="21"/>
        <v>4004078_0_1_7875,4004078_0_1_7875,4004078_0_1_7875</v>
      </c>
      <c r="AB97" t="str">
        <f t="shared" si="22"/>
        <v>40000_50850095_1_335,40000_50803055_1_1050,4004078_0_1_7875,4004078_0_1_7875,4004078_0_1_7875,30000_90003_1,30000_90002_9_10000</v>
      </c>
      <c r="AN97" t="str">
        <f t="shared" si="23"/>
        <v>30000_90003_1,30000_90002_9,40000_50850095_1,40000_50803055_1</v>
      </c>
    </row>
    <row r="98" spans="2:40">
      <c r="B98" t="str">
        <f t="shared" si="27"/>
        <v>30000_90003_1,30000_90002_8</v>
      </c>
      <c r="R98" t="str">
        <f>VLOOKUP(S98,[4]equip.xml!$A$2316:$C$2777,3,0)</f>
        <v>低语之冠</v>
      </c>
      <c r="S98">
        <v>50850015</v>
      </c>
      <c r="T98" t="str">
        <f>VLOOKUP(U98,[4]equip.xml!$A$2316:$C$2777,3,0)</f>
        <v>王国古书</v>
      </c>
      <c r="U98">
        <v>50803065</v>
      </c>
      <c r="V98">
        <v>328</v>
      </c>
      <c r="W98">
        <f t="shared" si="20"/>
        <v>1040</v>
      </c>
      <c r="X98">
        <v>7900</v>
      </c>
      <c r="Y98">
        <f t="shared" si="28"/>
        <v>4004078</v>
      </c>
      <c r="Z98" t="str">
        <f t="shared" si="21"/>
        <v>4004078_0_1_7900,4004078_0_1_7900,4004078_0_1_7900</v>
      </c>
      <c r="AB98" t="str">
        <f t="shared" si="22"/>
        <v>40000_50850015_1_328,40000_50803065_1_1040,4004078_0_1_7900,4004078_0_1_7900,4004078_0_1_7900,30000_90003_1,30000_90002_9_10000</v>
      </c>
      <c r="AN98" t="str">
        <f t="shared" si="23"/>
        <v>30000_90003_1,30000_90002_9,40000_50850015_1,40000_50803065_1</v>
      </c>
    </row>
    <row r="99" spans="2:40">
      <c r="B99" t="str">
        <f t="shared" si="27"/>
        <v>30000_90003_1,30000_90002_8</v>
      </c>
      <c r="R99" t="str">
        <f>VLOOKUP(S99,[4]equip.xml!$A$2316:$C$2777,3,0)</f>
        <v>威严腰带</v>
      </c>
      <c r="S99">
        <v>50850035</v>
      </c>
      <c r="T99" t="str">
        <f>VLOOKUP(U99,[4]equip.xml!$A$2316:$C$2777,3,0)</f>
        <v>怒岩腰带</v>
      </c>
      <c r="U99">
        <v>50800035</v>
      </c>
      <c r="V99">
        <v>321</v>
      </c>
      <c r="W99">
        <f t="shared" ref="W99:W118" si="29">W98-10</f>
        <v>1030</v>
      </c>
      <c r="X99">
        <v>7925</v>
      </c>
      <c r="Y99">
        <f t="shared" si="28"/>
        <v>4004078</v>
      </c>
      <c r="Z99" t="str">
        <f t="shared" si="21"/>
        <v>4004078_0_1_7925,4004078_0_1_7925,4004078_0_1_7925</v>
      </c>
      <c r="AB99" t="str">
        <f t="shared" si="22"/>
        <v>40000_50850035_1_321,40000_50800035_1_1030,4004078_0_1_7925,4004078_0_1_7925,4004078_0_1_7925,30000_90003_1,30000_90002_9_10000</v>
      </c>
      <c r="AN99" t="str">
        <f t="shared" si="23"/>
        <v>30000_90003_1,30000_90002_9,40000_50850035_1,40000_50800035_1</v>
      </c>
    </row>
    <row r="100" spans="2:40">
      <c r="B100" t="str">
        <f t="shared" si="27"/>
        <v>30000_90003_1,30000_90002_8</v>
      </c>
      <c r="R100" t="str">
        <f>VLOOKUP(S100,[4]equip.xml!$A$2316:$C$2777,3,0)</f>
        <v>破壁之刃</v>
      </c>
      <c r="S100">
        <v>50851056</v>
      </c>
      <c r="T100" t="str">
        <f>VLOOKUP(U100,[4]equip.xml!$A$2316:$C$2777,3,0)</f>
        <v>埋骨之盾</v>
      </c>
      <c r="U100">
        <v>50851066</v>
      </c>
      <c r="V100">
        <v>314</v>
      </c>
      <c r="W100">
        <f t="shared" si="29"/>
        <v>1020</v>
      </c>
      <c r="X100">
        <v>7950</v>
      </c>
      <c r="Y100">
        <f t="shared" si="28"/>
        <v>4004078</v>
      </c>
      <c r="Z100" t="str">
        <f t="shared" si="21"/>
        <v>4004078_0_1_7950,4004078_0_1_7950,4004078_0_1_7950</v>
      </c>
      <c r="AB100" t="str">
        <f t="shared" si="22"/>
        <v>40000_50851056_1_314,40000_50851066_1_1020,4004078_0_1_7950,4004078_0_1_7950,4004078_0_1_7950,30000_90003_1,30000_90002_10_10000</v>
      </c>
      <c r="AN100" t="str">
        <f t="shared" si="23"/>
        <v>30000_90003_1,30000_90002_10,40000_50851056_1,40000_50851066_1</v>
      </c>
    </row>
    <row r="101" spans="2:40">
      <c r="B101" t="str">
        <f t="shared" si="27"/>
        <v>30000_90003_1,30000_90002_9</v>
      </c>
      <c r="R101" t="str">
        <f>VLOOKUP(S101,[4]equip.xml!$A$2316:$C$2777,3,0)</f>
        <v>寒霜之心</v>
      </c>
      <c r="S101">
        <v>50900105</v>
      </c>
      <c r="T101" t="str">
        <f>VLOOKUP(U101,[4]equip.xml!$A$2316:$C$2777,3,0)</f>
        <v>悲鸣箭筒</v>
      </c>
      <c r="U101">
        <v>50852065</v>
      </c>
      <c r="V101">
        <v>307</v>
      </c>
      <c r="W101">
        <f t="shared" si="29"/>
        <v>1010</v>
      </c>
      <c r="X101">
        <v>7975</v>
      </c>
      <c r="Y101">
        <f t="shared" si="28"/>
        <v>4004082</v>
      </c>
      <c r="Z101" t="str">
        <f t="shared" si="21"/>
        <v>4004082_0_1_7975,4004082_0_1_7975,4004082_0_1_7975</v>
      </c>
      <c r="AB101" t="str">
        <f t="shared" si="22"/>
        <v>40000_50900105_1_307,40000_50852065_1_1010,4004082_0_1_7975,4004082_0_1_7975,4004082_0_1_7975,30000_90003_1,30000_90002_8_10000</v>
      </c>
      <c r="AN101" t="str">
        <f t="shared" si="23"/>
        <v>30000_90003_1,30000_90002_8,40000_50900105_1,40000_50852065_1</v>
      </c>
    </row>
    <row r="102" spans="2:40">
      <c r="B102" t="str">
        <f t="shared" ref="B102:B110" si="30">"30000_90003_1,30000_90002_"&amp;L2-10</f>
        <v>30000_90003_1,30000_90002_7</v>
      </c>
      <c r="R102" t="str">
        <f>VLOOKUP(S102,[4]equip.xml!$A$2316:$C$2777,3,0)</f>
        <v>无尽智慧指环</v>
      </c>
      <c r="S102">
        <v>50900025</v>
      </c>
      <c r="T102" t="str">
        <f>VLOOKUP(U102,[4]equip.xml!$A$2316:$C$2777,3,0)</f>
        <v>幻咒秘语</v>
      </c>
      <c r="U102">
        <v>50853065</v>
      </c>
      <c r="V102">
        <v>300</v>
      </c>
      <c r="W102">
        <f t="shared" si="29"/>
        <v>1000</v>
      </c>
      <c r="X102">
        <v>8000</v>
      </c>
      <c r="Y102">
        <f t="shared" si="28"/>
        <v>4004082</v>
      </c>
      <c r="Z102" t="str">
        <f t="shared" si="21"/>
        <v>4004082_0_1_8000,4004082_0_1_8000,4004082_0_1_8000</v>
      </c>
      <c r="AB102" t="str">
        <f t="shared" si="22"/>
        <v>40000_50900025_1_300,40000_50853065_1_1000,4004082_0_1_8000,4004082_0_1_8000,4004082_0_1_8000,30000_90003_1,30000_90002_8_10000</v>
      </c>
      <c r="AN102" t="str">
        <f t="shared" si="23"/>
        <v>30000_90003_1,30000_90002_8,40000_50900025_1,40000_50853065_1</v>
      </c>
    </row>
    <row r="103" spans="2:40">
      <c r="B103" t="str">
        <f t="shared" si="30"/>
        <v>30000_90003_1,30000_90002_7</v>
      </c>
      <c r="R103" t="str">
        <f>VLOOKUP(S103,[4]equip.xml!$A$2316:$C$2777,3,0)</f>
        <v>坚毅胸甲</v>
      </c>
      <c r="S103">
        <v>50900045</v>
      </c>
      <c r="T103" t="str">
        <f>VLOOKUP(U103,[4]equip.xml!$A$2316:$C$2777,3,0)</f>
        <v>谦逊之剑</v>
      </c>
      <c r="U103">
        <v>50851055</v>
      </c>
      <c r="V103">
        <v>293</v>
      </c>
      <c r="W103">
        <f t="shared" si="29"/>
        <v>990</v>
      </c>
      <c r="X103">
        <v>8025</v>
      </c>
      <c r="Y103">
        <f t="shared" si="28"/>
        <v>4004082</v>
      </c>
      <c r="Z103" t="str">
        <f t="shared" si="21"/>
        <v>4004082_0_1_8025,4004082_0_1_8025,4004082_0_1_8025</v>
      </c>
      <c r="AB103" t="str">
        <f t="shared" si="22"/>
        <v>40000_50900045_1_293,40000_50851055_1_990,4004082_0_1_8025,4004082_0_1_8025,4004082_0_1_8025,30000_90003_1,30000_90002_9_10000</v>
      </c>
      <c r="AN103" t="str">
        <f t="shared" si="23"/>
        <v>30000_90003_1,30000_90002_9,40000_50900045_1,40000_50851055_1</v>
      </c>
    </row>
    <row r="104" spans="2:40">
      <c r="B104" t="str">
        <f t="shared" si="30"/>
        <v>30000_90003_1,30000_90002_8</v>
      </c>
      <c r="R104" t="str">
        <f>VLOOKUP(S104,[4]equip.xml!$A$2316:$C$2777,3,0)</f>
        <v>复苏护腿</v>
      </c>
      <c r="S104">
        <v>50900075</v>
      </c>
      <c r="T104" t="str">
        <f>VLOOKUP(U104,[4]equip.xml!$A$2316:$C$2777,3,0)</f>
        <v>邪铁盾牌</v>
      </c>
      <c r="U104">
        <v>50851065</v>
      </c>
      <c r="V104">
        <v>286</v>
      </c>
      <c r="W104">
        <f t="shared" si="29"/>
        <v>980</v>
      </c>
      <c r="X104">
        <v>8050</v>
      </c>
      <c r="Y104">
        <f t="shared" si="28"/>
        <v>4004082</v>
      </c>
      <c r="Z104" t="str">
        <f t="shared" si="21"/>
        <v>4004082_0_1_8050,4004082_0_1_8050,4004082_0_1_8050</v>
      </c>
      <c r="AB104" t="str">
        <f t="shared" si="22"/>
        <v>40000_50900075_1_286,40000_50851065_1_980,4004082_0_1_8050,4004082_0_1_8050,4004082_0_1_8050,30000_90003_1,30000_90002_9_10000</v>
      </c>
      <c r="AN104" t="str">
        <f t="shared" si="23"/>
        <v>30000_90003_1,30000_90002_9,40000_50900075_1,40000_50851065_1</v>
      </c>
    </row>
    <row r="105" spans="2:40">
      <c r="B105" t="str">
        <f t="shared" si="30"/>
        <v>30000_90003_1,30000_90002_8</v>
      </c>
      <c r="R105" t="str">
        <f>VLOOKUP(S105,[4]equip.xml!$A$2316:$C$2777,3,0)</f>
        <v>秩序战靴</v>
      </c>
      <c r="S105">
        <v>50900085</v>
      </c>
      <c r="T105" t="str">
        <f>VLOOKUP(U105,[4]equip.xml!$A$2316:$C$2777,3,0)</f>
        <v>威严腰带</v>
      </c>
      <c r="U105">
        <v>50850035</v>
      </c>
      <c r="V105">
        <v>279</v>
      </c>
      <c r="W105">
        <f t="shared" si="29"/>
        <v>970</v>
      </c>
      <c r="X105">
        <v>8075</v>
      </c>
      <c r="Y105">
        <f t="shared" si="28"/>
        <v>4004082</v>
      </c>
      <c r="Z105" t="str">
        <f t="shared" si="21"/>
        <v>4004082_0_1_8075,4004082_0_1_8075,4004082_0_1_8075</v>
      </c>
      <c r="AB105" t="str">
        <f t="shared" si="22"/>
        <v>40000_50900085_1_279,40000_50850035_1_970,4004082_0_1_8075,4004082_0_1_8075,4004082_0_1_8075,30000_90003_1,30000_90002_9_10000</v>
      </c>
      <c r="AN105" t="str">
        <f t="shared" si="23"/>
        <v>30000_90003_1,30000_90002_9,40000_50900085_1,40000_50850035_1</v>
      </c>
    </row>
    <row r="106" spans="2:40">
      <c r="B106" t="str">
        <f t="shared" si="30"/>
        <v>30000_90003_1,30000_90002_8</v>
      </c>
      <c r="R106" t="str">
        <f>VLOOKUP(S106,[4]equip.xml!$A$2316:$C$2777,3,0)</f>
        <v>超载护手</v>
      </c>
      <c r="S106">
        <v>50900095</v>
      </c>
      <c r="T106" t="str">
        <f>VLOOKUP(U106,[4]equip.xml!$A$2316:$C$2777,3,0)</f>
        <v>低语之冠</v>
      </c>
      <c r="U106">
        <v>50850015</v>
      </c>
      <c r="V106">
        <v>272</v>
      </c>
      <c r="W106">
        <f t="shared" si="29"/>
        <v>960</v>
      </c>
      <c r="X106">
        <v>8100</v>
      </c>
      <c r="Y106">
        <f t="shared" si="28"/>
        <v>4004082</v>
      </c>
      <c r="Z106" t="str">
        <f t="shared" si="21"/>
        <v>4004082_0_1_8100,4004082_0_1_8100,4004082_0_1_8100</v>
      </c>
      <c r="AB106" t="str">
        <f t="shared" si="22"/>
        <v>40000_50900095_1_272,40000_50850015_1_960,4004082_0_1_8100,4004082_0_1_8100,4004082_0_1_8100,30000_90003_1,30000_90002_10_10000</v>
      </c>
      <c r="AN106" t="str">
        <f t="shared" si="23"/>
        <v>30000_90003_1,30000_90002_10,40000_50900095_1,40000_50850015_1</v>
      </c>
    </row>
    <row r="107" spans="2:40">
      <c r="B107" t="str">
        <f t="shared" si="30"/>
        <v>30000_90003_1,30000_90002_9</v>
      </c>
      <c r="R107" t="str">
        <f>VLOOKUP(S107,[4]equip.xml!$A$2316:$C$2777,3,0)</f>
        <v>风暴之冠</v>
      </c>
      <c r="S107">
        <v>50900015</v>
      </c>
      <c r="T107" t="str">
        <f>VLOOKUP(U107,[4]equip.xml!$A$2316:$C$2777,3,0)</f>
        <v>归还法杖</v>
      </c>
      <c r="U107">
        <v>50853055</v>
      </c>
      <c r="V107">
        <v>265</v>
      </c>
      <c r="W107">
        <f t="shared" si="29"/>
        <v>950</v>
      </c>
      <c r="X107">
        <v>8125</v>
      </c>
      <c r="Y107">
        <f t="shared" si="28"/>
        <v>4004082</v>
      </c>
      <c r="Z107" t="str">
        <f t="shared" si="21"/>
        <v>4004082_0_1_8125,4004082_0_1_8125,4004082_0_1_8125</v>
      </c>
      <c r="AB107" t="str">
        <f t="shared" si="22"/>
        <v>40000_50900015_1_265,40000_50853055_1_950,4004082_0_1_8125,4004082_0_1_8125,4004082_0_1_8125,30000_90003_1,30000_90002_10_10000</v>
      </c>
      <c r="AN107" t="str">
        <f t="shared" si="23"/>
        <v>30000_90003_1,30000_90002_10,40000_50900015_1,40000_50853055_1</v>
      </c>
    </row>
    <row r="108" spans="2:40">
      <c r="B108" t="str">
        <f t="shared" si="30"/>
        <v>30000_90003_1,30000_90002_9</v>
      </c>
      <c r="R108" t="str">
        <f>VLOOKUP(S108,[4]equip.xml!$A$2316:$C$2777,3,0)</f>
        <v>丰饶腰带</v>
      </c>
      <c r="S108">
        <v>50900035</v>
      </c>
      <c r="T108" t="str">
        <f>VLOOKUP(U108,[4]equip.xml!$A$2316:$C$2777,3,0)</f>
        <v>悔恨长弓</v>
      </c>
      <c r="U108">
        <v>50852055</v>
      </c>
      <c r="V108">
        <v>258</v>
      </c>
      <c r="W108">
        <f t="shared" si="29"/>
        <v>940</v>
      </c>
      <c r="X108">
        <v>8150</v>
      </c>
      <c r="Y108">
        <f t="shared" si="28"/>
        <v>4004082</v>
      </c>
      <c r="Z108" t="str">
        <f t="shared" si="21"/>
        <v>4004082_0_1_8150,4004082_0_1_8150,4004082_0_1_8150</v>
      </c>
      <c r="AB108" t="str">
        <f t="shared" si="22"/>
        <v>40000_50900035_1_258,40000_50852055_1_940,4004082_0_1_8150,4004082_0_1_8150,4004082_0_1_8150,30000_90003_1,30000_90002_10_10000</v>
      </c>
      <c r="AN108" t="str">
        <f t="shared" si="23"/>
        <v>30000_90003_1,30000_90002_10,40000_50900035_1,40000_50852055_1</v>
      </c>
    </row>
    <row r="109" spans="2:40">
      <c r="B109" t="str">
        <f t="shared" si="30"/>
        <v>30000_90003_1,30000_90002_9</v>
      </c>
      <c r="R109" t="str">
        <f>VLOOKUP(S109,[4]equip.xml!$A$2316:$C$2777,3,0)</f>
        <v>湮灭之剑</v>
      </c>
      <c r="S109">
        <v>50901055</v>
      </c>
      <c r="T109" t="str">
        <f>VLOOKUP(U109,[4]equip.xml!$A$2316:$C$2777,3,0)</f>
        <v>堕神之盾</v>
      </c>
      <c r="U109">
        <v>50901066</v>
      </c>
      <c r="V109">
        <v>251</v>
      </c>
      <c r="W109">
        <f t="shared" si="29"/>
        <v>930</v>
      </c>
      <c r="X109">
        <v>8175</v>
      </c>
      <c r="Y109">
        <f t="shared" si="28"/>
        <v>4004082</v>
      </c>
      <c r="Z109" t="str">
        <f t="shared" si="21"/>
        <v>4004082_0_1_8175,4004082_0_1_8175,4004082_0_1_8175</v>
      </c>
      <c r="AB109" t="str">
        <f t="shared" si="22"/>
        <v>40000_50901055_1_251,40000_50901066_1_930,4004082_0_1_8175,4004082_0_1_8175,4004082_0_1_8175,30000_90003_1,30000_90002_11_10000</v>
      </c>
      <c r="AN109" t="str">
        <f t="shared" si="23"/>
        <v>30000_90003_1,30000_90002_11,40000_50901055_1,40000_50901066_1</v>
      </c>
    </row>
    <row r="110" spans="2:40">
      <c r="B110" t="str">
        <f t="shared" si="30"/>
        <v>30000_90003_1,30000_90002_10</v>
      </c>
      <c r="R110" t="str">
        <f>VLOOKUP(S110,[4]equip.xml!$A$2316:$C$2777,3,0)</f>
        <v>寒霜之心</v>
      </c>
      <c r="S110">
        <v>50900105</v>
      </c>
      <c r="T110" t="str">
        <f>VLOOKUP(U110,[4]equip.xml!$A$2316:$C$2777,3,0)</f>
        <v>破晓之弓</v>
      </c>
      <c r="U110">
        <v>50902055</v>
      </c>
      <c r="V110">
        <v>244</v>
      </c>
      <c r="W110">
        <f t="shared" si="29"/>
        <v>920</v>
      </c>
      <c r="X110">
        <v>8200</v>
      </c>
      <c r="Y110">
        <f t="shared" si="28"/>
        <v>4004086</v>
      </c>
      <c r="Z110" t="str">
        <f t="shared" si="21"/>
        <v>4004086_0_1_8200,4004086_0_1_8200,4004086_0_1_8200</v>
      </c>
      <c r="AB110" t="str">
        <f t="shared" si="22"/>
        <v>40000_50900105_1_244,40000_50902055_1_920,4004086_0_1_8200,4004086_0_1_8200,4004086_0_1_8200,30000_90003_1,30000_90002_9_10000</v>
      </c>
      <c r="AN110" t="str">
        <f t="shared" si="23"/>
        <v>30000_90003_1,30000_90002_9,40000_50900105_1,40000_50902055_1</v>
      </c>
    </row>
    <row r="111" spans="2:40">
      <c r="B111" t="str">
        <f t="shared" ref="B111:B119" si="31">"30000_90003_1,30000_90002_"&amp;M2-10</f>
        <v>30000_90003_1,30000_90002_8</v>
      </c>
      <c r="R111" t="str">
        <f>VLOOKUP(S111,[4]equip.xml!$A$2316:$C$2777,3,0)</f>
        <v>无尽智慧指环</v>
      </c>
      <c r="S111">
        <v>50900025</v>
      </c>
      <c r="T111" t="str">
        <f>VLOOKUP(U111,[4]equip.xml!$A$2316:$C$2777,3,0)</f>
        <v>丰饶腰带</v>
      </c>
      <c r="U111">
        <v>50900035</v>
      </c>
      <c r="V111">
        <v>237</v>
      </c>
      <c r="W111">
        <f t="shared" si="29"/>
        <v>910</v>
      </c>
      <c r="X111">
        <v>8225</v>
      </c>
      <c r="Y111">
        <f t="shared" si="28"/>
        <v>4004086</v>
      </c>
      <c r="Z111" t="str">
        <f t="shared" si="21"/>
        <v>4004086_0_1_8225,4004086_0_1_8225,4004086_0_1_8225</v>
      </c>
      <c r="AB111" t="str">
        <f t="shared" si="22"/>
        <v>40000_50900025_1_237,40000_50900035_1_910,4004086_0_1_8225,4004086_0_1_8225,4004086_0_1_8225,30000_90003_1,30000_90002_9_10000</v>
      </c>
      <c r="AN111" t="str">
        <f t="shared" si="23"/>
        <v>30000_90003_1,30000_90002_9,40000_50900025_1,40000_50900035_1</v>
      </c>
    </row>
    <row r="112" spans="2:40">
      <c r="B112" t="str">
        <f t="shared" si="31"/>
        <v>30000_90003_1,30000_90002_8</v>
      </c>
      <c r="R112" t="str">
        <f>VLOOKUP(S112,[4]equip.xml!$A$2316:$C$2777,3,0)</f>
        <v>群山之拥</v>
      </c>
      <c r="S112">
        <v>50900046</v>
      </c>
      <c r="T112" t="str">
        <f>VLOOKUP(U112,[4]equip.xml!$A$2316:$C$2777,3,0)</f>
        <v>灵痕箭袋</v>
      </c>
      <c r="U112">
        <v>50902065</v>
      </c>
      <c r="V112">
        <v>230</v>
      </c>
      <c r="W112">
        <f t="shared" si="29"/>
        <v>900</v>
      </c>
      <c r="X112">
        <v>8250</v>
      </c>
      <c r="Y112">
        <f t="shared" si="28"/>
        <v>4004086</v>
      </c>
      <c r="Z112" t="str">
        <f t="shared" si="21"/>
        <v>4004086_0_1_8250,4004086_0_1_8250,4004086_0_1_8250</v>
      </c>
      <c r="AB112" t="str">
        <f t="shared" si="22"/>
        <v>40000_50900046_1_230,40000_50902065_1_900,4004086_0_1_8250,4004086_0_1_8250,4004086_0_1_8250,30000_90003_1,30000_90002_10_10000</v>
      </c>
      <c r="AN112" t="str">
        <f t="shared" si="23"/>
        <v>30000_90003_1,30000_90002_10,40000_50900046_1,40000_50902065_1</v>
      </c>
    </row>
    <row r="113" spans="2:40">
      <c r="B113" t="str">
        <f t="shared" si="31"/>
        <v>30000_90003_1,30000_90002_9</v>
      </c>
      <c r="R113" t="str">
        <f>VLOOKUP(S113,[4]equip.xml!$A$2316:$C$2777,3,0)</f>
        <v>虔信腿甲</v>
      </c>
      <c r="S113">
        <v>50900076</v>
      </c>
      <c r="T113" t="str">
        <f>VLOOKUP(U113,[4]equip.xml!$A$2316:$C$2777,3,0)</f>
        <v>湮灭之剑</v>
      </c>
      <c r="U113">
        <v>50901055</v>
      </c>
      <c r="V113">
        <v>223</v>
      </c>
      <c r="W113">
        <f t="shared" si="29"/>
        <v>890</v>
      </c>
      <c r="X113">
        <v>8275</v>
      </c>
      <c r="Y113">
        <f t="shared" si="28"/>
        <v>4004086</v>
      </c>
      <c r="Z113" t="str">
        <f t="shared" si="21"/>
        <v>4004086_0_1_8275,4004086_0_1_8275,4004086_0_1_8275</v>
      </c>
      <c r="AB113" t="str">
        <f t="shared" si="22"/>
        <v>40000_50900076_1_223,40000_50901055_1_890,4004086_0_1_8275,4004086_0_1_8275,4004086_0_1_8275,30000_90003_1,30000_90002_10_10000</v>
      </c>
      <c r="AN113" t="str">
        <f t="shared" si="23"/>
        <v>30000_90003_1,30000_90002_10,40000_50900076_1,40000_50901055_1</v>
      </c>
    </row>
    <row r="114" spans="2:40">
      <c r="B114" t="str">
        <f t="shared" si="31"/>
        <v>30000_90003_1,30000_90002_9</v>
      </c>
      <c r="R114" t="str">
        <f>VLOOKUP(S114,[4]equip.xml!$A$2316:$C$2777,3,0)</f>
        <v>秩序战靴</v>
      </c>
      <c r="S114">
        <v>50900085</v>
      </c>
      <c r="T114" t="str">
        <f>VLOOKUP(U114,[4]equip.xml!$A$2316:$C$2777,3,0)</f>
        <v>灾祸之盾</v>
      </c>
      <c r="U114">
        <v>50901065</v>
      </c>
      <c r="V114">
        <v>216</v>
      </c>
      <c r="W114">
        <f t="shared" si="29"/>
        <v>880</v>
      </c>
      <c r="X114">
        <v>8300</v>
      </c>
      <c r="Y114">
        <f t="shared" si="28"/>
        <v>4004086</v>
      </c>
      <c r="Z114" t="str">
        <f t="shared" si="21"/>
        <v>4004086_0_1_8300,4004086_0_1_8300,4004086_0_1_8300</v>
      </c>
      <c r="AB114" t="str">
        <f t="shared" si="22"/>
        <v>40000_50900085_1_216,40000_50901065_1_880,4004086_0_1_8300,4004086_0_1_8300,4004086_0_1_8300,30000_90003_1,30000_90002_10_10000</v>
      </c>
      <c r="AN114" t="str">
        <f t="shared" si="23"/>
        <v>30000_90003_1,30000_90002_10,40000_50900085_1,40000_50901065_1</v>
      </c>
    </row>
    <row r="115" spans="2:40">
      <c r="B115" t="str">
        <f t="shared" si="31"/>
        <v>30000_90003_1,30000_90002_9</v>
      </c>
      <c r="R115" t="str">
        <f>VLOOKUP(S115,[4]equip.xml!$A$2316:$C$2777,3,0)</f>
        <v>超载护手</v>
      </c>
      <c r="S115">
        <v>50900095</v>
      </c>
      <c r="T115" t="str">
        <f>VLOOKUP(U115,[4]equip.xml!$A$2316:$C$2777,3,0)</f>
        <v>风暴之冠</v>
      </c>
      <c r="U115">
        <v>50900015</v>
      </c>
      <c r="V115">
        <v>209</v>
      </c>
      <c r="W115">
        <f t="shared" si="29"/>
        <v>870</v>
      </c>
      <c r="X115">
        <v>8325</v>
      </c>
      <c r="Y115">
        <f t="shared" si="28"/>
        <v>4004086</v>
      </c>
      <c r="Z115" t="str">
        <f t="shared" si="21"/>
        <v>4004086_0_1_8325,4004086_0_1_8325,4004086_0_1_8325</v>
      </c>
      <c r="AB115" t="str">
        <f t="shared" si="22"/>
        <v>40000_50900095_1_209,40000_50900015_1_870,4004086_0_1_8325,4004086_0_1_8325,4004086_0_1_8325,30000_90003_1,30000_90002_11_10000</v>
      </c>
      <c r="AN115" t="str">
        <f t="shared" si="23"/>
        <v>30000_90003_1,30000_90002_11,40000_50900095_1,40000_50900015_1</v>
      </c>
    </row>
    <row r="116" spans="2:40">
      <c r="B116" t="str">
        <f t="shared" si="31"/>
        <v>30000_90003_1,30000_90002_10</v>
      </c>
      <c r="R116" t="str">
        <f>VLOOKUP(S116,[4]equip.xml!$A$2316:$C$2777,3,0)</f>
        <v>风暴之冠</v>
      </c>
      <c r="S116">
        <v>50900015</v>
      </c>
      <c r="T116" t="str">
        <f>VLOOKUP(U116,[4]equip.xml!$A$2316:$C$2777,3,0)</f>
        <v>灾祸之盾</v>
      </c>
      <c r="U116">
        <v>50901065</v>
      </c>
      <c r="V116">
        <v>202</v>
      </c>
      <c r="W116">
        <f t="shared" si="29"/>
        <v>860</v>
      </c>
      <c r="X116">
        <v>8350</v>
      </c>
      <c r="Y116">
        <f t="shared" si="28"/>
        <v>4004086</v>
      </c>
      <c r="Z116" t="str">
        <f t="shared" si="21"/>
        <v>4004086_0_1_8350,4004086_0_1_8350,4004086_0_1_8350</v>
      </c>
      <c r="AB116" t="str">
        <f t="shared" si="22"/>
        <v>40000_50900015_1_202,40000_50901065_1_860,4004086_0_1_8350,4004086_0_1_8350,4004086_0_1_8350,30000_90003_1,30000_90002_11_10000</v>
      </c>
      <c r="AN116" t="str">
        <f t="shared" si="23"/>
        <v>30000_90003_1,30000_90002_11,40000_50900015_1,40000_50901065_1</v>
      </c>
    </row>
    <row r="117" spans="2:40">
      <c r="B117" t="str">
        <f t="shared" si="31"/>
        <v>30000_90003_1,30000_90002_10</v>
      </c>
      <c r="R117" t="str">
        <f>VLOOKUP(S117,[4]equip.xml!$A$2316:$C$2777,3,0)</f>
        <v>丰饶腰带</v>
      </c>
      <c r="S117">
        <v>50900035</v>
      </c>
      <c r="T117" t="str">
        <f>VLOOKUP(U117,[4]equip.xml!$A$2316:$C$2777,3,0)</f>
        <v>观察者之杖</v>
      </c>
      <c r="U117">
        <v>50903055</v>
      </c>
      <c r="V117">
        <v>195</v>
      </c>
      <c r="W117">
        <f t="shared" si="29"/>
        <v>850</v>
      </c>
      <c r="X117">
        <v>8375</v>
      </c>
      <c r="Y117">
        <f t="shared" si="28"/>
        <v>4004086</v>
      </c>
      <c r="Z117" t="str">
        <f t="shared" si="21"/>
        <v>4004086_0_1_8375,4004086_0_1_8375,4004086_0_1_8375</v>
      </c>
      <c r="AB117" t="str">
        <f t="shared" si="22"/>
        <v>40000_50900035_1_195,40000_50903055_1_850,4004086_0_1_8375,4004086_0_1_8375,4004086_0_1_8375,30000_90003_1,30000_90002_11_10000</v>
      </c>
      <c r="AN117" t="str">
        <f t="shared" si="23"/>
        <v>30000_90003_1,30000_90002_11,40000_50900035_1,40000_50903055_1</v>
      </c>
    </row>
    <row r="118" spans="2:40">
      <c r="B118" t="str">
        <f t="shared" si="31"/>
        <v>30000_90003_1,30000_90002_10</v>
      </c>
      <c r="R118" t="str">
        <f>VLOOKUP(S118,[4]equip.xml!$A$2316:$C$2777,3,0)</f>
        <v>封印之剑</v>
      </c>
      <c r="S118">
        <v>50901056</v>
      </c>
      <c r="T118" t="str">
        <f>VLOOKUP(U118,[4]equip.xml!$A$2316:$C$2777,3,0)</f>
        <v>云河指南</v>
      </c>
      <c r="U118">
        <v>50903065</v>
      </c>
      <c r="V118">
        <v>188</v>
      </c>
      <c r="W118">
        <f t="shared" si="29"/>
        <v>840</v>
      </c>
      <c r="X118">
        <v>8400</v>
      </c>
      <c r="Y118">
        <f t="shared" si="28"/>
        <v>4004086</v>
      </c>
      <c r="Z118" t="str">
        <f t="shared" si="21"/>
        <v>4004086_0_1_8400,4004086_0_1_8400,4004086_0_1_8400</v>
      </c>
      <c r="AB118" t="str">
        <f t="shared" si="22"/>
        <v>40000_50901056_1_188,40000_50903065_1_840,4004086_0_1_8400,4004086_0_1_8400,4004086_0_1_8400,30000_90003_1,30000_90002_12_10000</v>
      </c>
      <c r="AN118" t="str">
        <f t="shared" si="23"/>
        <v>30000_90003_1,30000_90002_12,40000_50901056_1,40000_50903065_1</v>
      </c>
    </row>
    <row r="119" spans="2:40">
      <c r="B119" t="str">
        <f t="shared" si="31"/>
        <v>30000_90003_1,30000_90002_11</v>
      </c>
      <c r="R119" t="str">
        <f>VLOOKUP(S119,[4]equip.xml!$A$2316:$C$2777,3,0)</f>
        <v>圣灵之佑</v>
      </c>
      <c r="S119">
        <f t="shared" ref="S119:S136" si="32">S110+50000</f>
        <v>50950105</v>
      </c>
      <c r="T119" t="str">
        <f>VLOOKUP(U119,[4]equip.xml!$A$2316:$C$2777,3,0)</f>
        <v>魂铸头盔</v>
      </c>
      <c r="U119">
        <v>50950015</v>
      </c>
      <c r="V119">
        <v>0</v>
      </c>
      <c r="W119">
        <v>0</v>
      </c>
      <c r="X119">
        <v>8425</v>
      </c>
      <c r="Y119">
        <f t="shared" si="28"/>
        <v>4004090</v>
      </c>
      <c r="Z119" t="str">
        <f t="shared" si="21"/>
        <v>4004090_0_1_8425,4004090_0_1_8425,4004090_0_1_8425</v>
      </c>
      <c r="AB119" t="str">
        <f t="shared" si="22"/>
        <v>40000_50950105_1_0,40000_50950015_1_0,4004090_0_1_8425,4004090_0_1_8425,4004090_0_1_8425,30000_90004_1,30000_90003_1,30000_90002_2_10000</v>
      </c>
      <c r="AN119" t="str">
        <f t="shared" si="23"/>
        <v>30000_90004_1,30000_90003_1,30000_90002_2,40000_50950105_1,40000_50950015_1</v>
      </c>
    </row>
    <row r="120" spans="2:40">
      <c r="B120" t="str">
        <f t="shared" ref="B120:B128" si="33">"30000_90003_1,30000_90002_"&amp;N2-10</f>
        <v>30000_90003_1,30000_90002_9</v>
      </c>
      <c r="R120" t="str">
        <f>VLOOKUP(S120,[4]equip.xml!$A$2316:$C$2777,3,0)</f>
        <v>云霄之环</v>
      </c>
      <c r="S120">
        <f t="shared" si="32"/>
        <v>50950025</v>
      </c>
      <c r="T120" t="str">
        <f>VLOOKUP(U120,[4]equip.xml!$A$2316:$C$2777,3,0)</f>
        <v>灵魂之弦</v>
      </c>
      <c r="U120">
        <v>50952055</v>
      </c>
      <c r="V120">
        <v>0</v>
      </c>
      <c r="W120">
        <v>0</v>
      </c>
      <c r="X120">
        <v>8450</v>
      </c>
      <c r="Y120">
        <f t="shared" si="28"/>
        <v>4004090</v>
      </c>
      <c r="Z120" t="str">
        <f t="shared" si="21"/>
        <v>4004090_0_1_8450,4004090_0_1_8450,4004090_0_1_8450</v>
      </c>
      <c r="AB120" t="str">
        <f t="shared" si="22"/>
        <v>40000_50950025_1_0,40000_50952055_1_0,4004090_0_1_8450,4004090_0_1_8450,4004090_0_1_8450,30000_90004_1,30000_90003_1,30000_90002_2_10000</v>
      </c>
      <c r="AN120" t="str">
        <f t="shared" si="23"/>
        <v>30000_90004_1,30000_90003_1,30000_90002_2,40000_50950025_1,40000_50952055_1</v>
      </c>
    </row>
    <row r="121" spans="2:40">
      <c r="B121" t="str">
        <f t="shared" si="33"/>
        <v>30000_90003_1,30000_90002_9</v>
      </c>
      <c r="R121" t="str">
        <f>VLOOKUP(S121,[4]equip.xml!$A$2316:$C$2777,3,0)</f>
        <v>诸王战铠</v>
      </c>
      <c r="S121">
        <f t="shared" si="32"/>
        <v>50950046</v>
      </c>
      <c r="T121" t="str">
        <f>VLOOKUP(U121,[4]equip.xml!$A$2316:$C$2777,3,0)</f>
        <v>魂织箭袋</v>
      </c>
      <c r="U121">
        <v>50952065</v>
      </c>
      <c r="V121">
        <v>0</v>
      </c>
      <c r="W121">
        <v>0</v>
      </c>
      <c r="X121">
        <v>8475</v>
      </c>
      <c r="Y121">
        <f t="shared" si="28"/>
        <v>4004090</v>
      </c>
      <c r="Z121" t="str">
        <f t="shared" si="21"/>
        <v>4004090_0_1_8475,4004090_0_1_8475,4004090_0_1_8475</v>
      </c>
      <c r="AB121" t="str">
        <f t="shared" si="22"/>
        <v>40000_50950046_1_0,40000_50952065_1_0,4004090_0_1_8475,4004090_0_1_8475,4004090_0_1_8475,30000_90004_1,30000_90003_1,30000_90002_3_10000</v>
      </c>
      <c r="AN121" t="str">
        <f t="shared" si="23"/>
        <v>30000_90004_1,30000_90003_1,30000_90002_3,40000_50950046_1,40000_50952065_1</v>
      </c>
    </row>
    <row r="122" spans="2:40">
      <c r="B122" t="str">
        <f t="shared" si="33"/>
        <v>30000_90003_1,30000_90002_10</v>
      </c>
      <c r="R122" t="str">
        <f>VLOOKUP(S122,[4]equip.xml!$A$2316:$C$2777,3,0)</f>
        <v>不朽护腿</v>
      </c>
      <c r="S122">
        <f t="shared" si="32"/>
        <v>50950076</v>
      </c>
      <c r="T122" t="str">
        <f>VLOOKUP(U122,[4]equip.xml!$A$2316:$C$2777,3,0)</f>
        <v>破天者腰带</v>
      </c>
      <c r="U122">
        <v>50950035</v>
      </c>
      <c r="V122">
        <v>0</v>
      </c>
      <c r="W122">
        <v>0</v>
      </c>
      <c r="X122">
        <v>8500</v>
      </c>
      <c r="Y122">
        <f t="shared" si="28"/>
        <v>4004090</v>
      </c>
      <c r="Z122" t="str">
        <f t="shared" si="21"/>
        <v>4004090_0_1_8500,4004090_0_1_8500,4004090_0_1_8500</v>
      </c>
      <c r="AB122" t="str">
        <f t="shared" si="22"/>
        <v>40000_50950076_1_0,40000_50950035_1_0,4004090_0_1_8500,4004090_0_1_8500,4004090_0_1_8500,30000_90004_1,30000_90003_1,30000_90002_3_10000</v>
      </c>
      <c r="AN122" t="str">
        <f t="shared" si="23"/>
        <v>30000_90004_1,30000_90003_1,30000_90002_3,40000_50950076_1,40000_50950035_1</v>
      </c>
    </row>
    <row r="123" spans="2:40">
      <c r="B123" t="str">
        <f t="shared" si="33"/>
        <v>30000_90003_1,30000_90002_10</v>
      </c>
      <c r="R123" t="str">
        <f>VLOOKUP(S123,[4]equip.xml!$A$2316:$C$2777,3,0)</f>
        <v>圣洁怒火之靴</v>
      </c>
      <c r="S123">
        <f t="shared" si="32"/>
        <v>50950085</v>
      </c>
      <c r="T123" t="str">
        <f>VLOOKUP(U123,[4]equip.xml!$A$2316:$C$2777,3,0)</f>
        <v>聚能魔典</v>
      </c>
      <c r="U123">
        <v>50953065</v>
      </c>
      <c r="V123">
        <v>0</v>
      </c>
      <c r="W123">
        <v>0</v>
      </c>
      <c r="X123">
        <v>8525</v>
      </c>
      <c r="Y123">
        <f t="shared" si="28"/>
        <v>4004090</v>
      </c>
      <c r="Z123" t="str">
        <f t="shared" si="21"/>
        <v>4004090_0_1_8525,4004090_0_1_8525,4004090_0_1_8525</v>
      </c>
      <c r="AB123" t="str">
        <f t="shared" si="22"/>
        <v>40000_50950085_1_0,40000_50953065_1_0,4004090_0_1_8525,4004090_0_1_8525,4004090_0_1_8525,30000_90004_1,30000_90003_1,30000_90002_3_10000</v>
      </c>
      <c r="AN123" t="str">
        <f t="shared" si="23"/>
        <v>30000_90004_1,30000_90003_1,30000_90002_3,40000_50950085_1,40000_50953065_1</v>
      </c>
    </row>
    <row r="124" spans="2:40">
      <c r="B124" t="str">
        <f t="shared" si="33"/>
        <v>30000_90003_1,30000_90002_10</v>
      </c>
      <c r="R124" t="str">
        <f>VLOOKUP(S124,[4]equip.xml!$A$2316:$C$2777,3,0)</f>
        <v>破灭之手</v>
      </c>
      <c r="S124">
        <f t="shared" si="32"/>
        <v>50950095</v>
      </c>
      <c r="T124" t="str">
        <f>VLOOKUP(U124,[4]equip.xml!$A$2316:$C$2777,3,0)</f>
        <v>云颠之剑</v>
      </c>
      <c r="U124">
        <v>50951055</v>
      </c>
      <c r="V124">
        <v>0</v>
      </c>
      <c r="W124">
        <v>0</v>
      </c>
      <c r="X124">
        <v>8550</v>
      </c>
      <c r="Y124">
        <f t="shared" si="28"/>
        <v>4004090</v>
      </c>
      <c r="Z124" t="str">
        <f t="shared" si="21"/>
        <v>4004090_0_1_8550,4004090_0_1_8550,4004090_0_1_8550</v>
      </c>
      <c r="AB124" t="str">
        <f t="shared" si="22"/>
        <v>40000_50950095_1_0,40000_50951055_1_0,4004090_0_1_8550,4004090_0_1_8550,4004090_0_1_8550,30000_90004_1,30000_90003_1,30000_90002_4_10000</v>
      </c>
      <c r="AN124" t="str">
        <f t="shared" si="23"/>
        <v>30000_90004_1,30000_90003_1,30000_90002_4,40000_50950095_1,40000_50951055_1</v>
      </c>
    </row>
    <row r="125" spans="2:40">
      <c r="B125" t="str">
        <f t="shared" si="33"/>
        <v>30000_90003_1,30000_90002_11</v>
      </c>
      <c r="R125" t="str">
        <f>VLOOKUP(S125,[4]equip.xml!$A$2316:$C$2777,3,0)</f>
        <v>魂铸头盔</v>
      </c>
      <c r="S125">
        <f t="shared" si="32"/>
        <v>50950015</v>
      </c>
      <c r="T125" t="str">
        <f>VLOOKUP(U125,[4]equip.xml!$A$2316:$C$2777,3,0)</f>
        <v>荣耀壁垒</v>
      </c>
      <c r="U125">
        <v>50951065</v>
      </c>
      <c r="V125">
        <v>0</v>
      </c>
      <c r="W125">
        <v>0</v>
      </c>
      <c r="X125">
        <v>8575</v>
      </c>
      <c r="Y125">
        <f t="shared" si="28"/>
        <v>4004090</v>
      </c>
      <c r="Z125" t="str">
        <f t="shared" si="21"/>
        <v>4004090_0_1_8575,4004090_0_1_8575,4004090_0_1_8575</v>
      </c>
      <c r="AB125" t="str">
        <f t="shared" si="22"/>
        <v>40000_50950015_1_0,40000_50951065_1_0,4004090_0_1_8575,4004090_0_1_8575,4004090_0_1_8575,30000_90004_1,30000_90003_1,30000_90002_4_10000</v>
      </c>
      <c r="AN125" t="str">
        <f t="shared" si="23"/>
        <v>30000_90004_1,30000_90003_1,30000_90002_4,40000_50950015_1,40000_50951065_1</v>
      </c>
    </row>
    <row r="126" spans="2:40">
      <c r="B126" t="str">
        <f t="shared" si="33"/>
        <v>30000_90003_1,30000_90002_11</v>
      </c>
      <c r="R126" t="str">
        <f>VLOOKUP(S126,[4]equip.xml!$A$2316:$C$2777,3,0)</f>
        <v>破天者腰带</v>
      </c>
      <c r="S126">
        <f t="shared" si="32"/>
        <v>50950035</v>
      </c>
      <c r="T126" t="str">
        <f>VLOOKUP(U126,[4]equip.xml!$A$2316:$C$2777,3,0)</f>
        <v>歼灭之杖</v>
      </c>
      <c r="U126">
        <v>50953055</v>
      </c>
      <c r="V126">
        <v>0</v>
      </c>
      <c r="W126">
        <v>0</v>
      </c>
      <c r="X126">
        <v>8600</v>
      </c>
      <c r="Y126">
        <f t="shared" si="28"/>
        <v>4004090</v>
      </c>
      <c r="Z126" t="str">
        <f t="shared" si="21"/>
        <v>4004090_0_1_8600,4004090_0_1_8600,4004090_0_1_8600</v>
      </c>
      <c r="AB126" t="str">
        <f t="shared" si="22"/>
        <v>40000_50950035_1_0,40000_50953055_1_0,4004090_0_1_8600,4004090_0_1_8600,4004090_0_1_8600,30000_90004_1,30000_90003_1,30000_90002_4_10000</v>
      </c>
      <c r="AN126" t="str">
        <f t="shared" si="23"/>
        <v>30000_90004_1,30000_90003_1,30000_90002_4,40000_50950035_1,40000_50953055_1</v>
      </c>
    </row>
    <row r="127" spans="2:40">
      <c r="B127" t="str">
        <f t="shared" si="33"/>
        <v>30000_90003_1,30000_90002_11</v>
      </c>
      <c r="R127" t="str">
        <f>VLOOKUP(S127,[4]equip.xml!$A$2316:$C$2777,3,0)</f>
        <v>血色黎明</v>
      </c>
      <c r="S127">
        <f t="shared" si="32"/>
        <v>50951056</v>
      </c>
      <c r="T127" t="str">
        <f>VLOOKUP(U127,[4]equip.xml!$A$2316:$C$2777,3,0)</f>
        <v>聚能魔典</v>
      </c>
      <c r="U127">
        <v>50953065</v>
      </c>
      <c r="V127">
        <v>0</v>
      </c>
      <c r="W127">
        <v>0</v>
      </c>
      <c r="X127">
        <v>8625</v>
      </c>
      <c r="Y127">
        <f t="shared" si="28"/>
        <v>4004090</v>
      </c>
      <c r="Z127" t="str">
        <f t="shared" si="21"/>
        <v>4004090_0_1_8625,4004090_0_1_8625,4004090_0_1_8625</v>
      </c>
      <c r="AB127" t="str">
        <f t="shared" si="22"/>
        <v>40000_50951056_1_0,40000_50953065_1_0,4004090_0_1_8625,4004090_0_1_8625,4004090_0_1_8625,30000_90004_1,30000_90003_1,30000_90002_5_10000</v>
      </c>
      <c r="AN127" t="str">
        <f t="shared" si="23"/>
        <v>30000_90004_1,30000_90003_1,30000_90002_5,40000_50951056_1,40000_50953065_1</v>
      </c>
    </row>
    <row r="128" spans="2:40">
      <c r="B128" t="str">
        <f t="shared" si="33"/>
        <v>30000_90003_1,30000_90002_12</v>
      </c>
      <c r="R128" t="str">
        <f>VLOOKUP(S128,[4]equip.xml!$A$2316:$C$2777,3,0)</f>
        <v>永志不渝</v>
      </c>
      <c r="S128">
        <f t="shared" si="32"/>
        <v>51000105</v>
      </c>
      <c r="T128" t="str">
        <f>VLOOKUP(U128,[4]equip.xml!$A$2316:$C$2777,3,0)</f>
        <v>天灾统领</v>
      </c>
      <c r="U128">
        <v>51000015</v>
      </c>
      <c r="V128">
        <v>0</v>
      </c>
      <c r="W128">
        <v>0</v>
      </c>
      <c r="X128">
        <v>8650</v>
      </c>
      <c r="Y128">
        <f t="shared" si="28"/>
        <v>4004094</v>
      </c>
      <c r="Z128" t="str">
        <f t="shared" si="21"/>
        <v>4004094_0_1_8650,4004094_0_1_8650,4004094_0_1_8650</v>
      </c>
      <c r="AB128" t="str">
        <f t="shared" si="22"/>
        <v>40000_51000105_1_0,40000_51000015_1_0,4004094_0_1_8650,4004094_0_1_8650,4004094_0_1_8650,30000_90004_1,30000_90003_1,30000_90002_3_10000</v>
      </c>
      <c r="AN128" t="str">
        <f t="shared" si="23"/>
        <v>30000_90004_1,30000_90003_1,30000_90002_3,40000_51000105_1,40000_51000015_1</v>
      </c>
    </row>
    <row r="129" spans="2:40">
      <c r="B129" t="str">
        <f t="shared" ref="B129:B137" si="34">"30000_90004_1,30000_90003_1,30000_90002_"&amp;O2-18</f>
        <v>30000_90004_1,30000_90003_1,30000_90002_2</v>
      </c>
      <c r="R129" t="str">
        <f>VLOOKUP(S129,[4]equip.xml!$A$2316:$C$2777,3,0)</f>
        <v>镇魂挽歌</v>
      </c>
      <c r="S129">
        <f t="shared" si="32"/>
        <v>51000025</v>
      </c>
      <c r="T129" t="str">
        <f>VLOOKUP(U129,[4]equip.xml!$A$2316:$C$2777,3,0)</f>
        <v>苍穹怒火</v>
      </c>
      <c r="U129">
        <v>51002055</v>
      </c>
      <c r="V129">
        <v>0</v>
      </c>
      <c r="W129">
        <v>0</v>
      </c>
      <c r="X129">
        <v>8675</v>
      </c>
      <c r="Y129">
        <f t="shared" si="28"/>
        <v>4004094</v>
      </c>
      <c r="Z129" t="str">
        <f t="shared" si="21"/>
        <v>4004094_0_1_8675,4004094_0_1_8675,4004094_0_1_8675</v>
      </c>
      <c r="AB129" t="str">
        <f t="shared" si="22"/>
        <v>40000_51000025_1_0,40000_51002055_1_0,4004094_0_1_8675,4004094_0_1_8675,4004094_0_1_8675,30000_90004_1,30000_90003_1,30000_90002_3_10000</v>
      </c>
      <c r="AN129" t="str">
        <f t="shared" si="23"/>
        <v>30000_90004_1,30000_90003_1,30000_90002_3,40000_51000025_1,40000_51002055_1</v>
      </c>
    </row>
    <row r="130" spans="2:40">
      <c r="B130" t="str">
        <f t="shared" si="34"/>
        <v>30000_90004_1,30000_90003_1,30000_90002_2</v>
      </c>
      <c r="R130" t="str">
        <f>VLOOKUP(S130,[4]equip.xml!$A$2316:$C$2777,3,0)</f>
        <v>碎界之铠</v>
      </c>
      <c r="S130">
        <f t="shared" si="32"/>
        <v>51000046</v>
      </c>
      <c r="T130" t="str">
        <f>VLOOKUP(U130,[4]equip.xml!$A$2316:$C$2777,3,0)</f>
        <v>天际之矢</v>
      </c>
      <c r="U130">
        <v>51002065</v>
      </c>
      <c r="V130">
        <v>0</v>
      </c>
      <c r="W130">
        <v>0</v>
      </c>
      <c r="X130">
        <v>8700</v>
      </c>
      <c r="Y130">
        <f t="shared" si="28"/>
        <v>4004094</v>
      </c>
      <c r="Z130" t="str">
        <f t="shared" si="21"/>
        <v>4004094_0_1_8700,4004094_0_1_8700,4004094_0_1_8700</v>
      </c>
      <c r="AB130" t="str">
        <f t="shared" si="22"/>
        <v>40000_51000046_1_0,40000_51002065_1_0,4004094_0_1_8700,4004094_0_1_8700,4004094_0_1_8700,30000_90004_1,30000_90003_1,30000_90002_4_10000</v>
      </c>
      <c r="AN130" t="str">
        <f t="shared" si="23"/>
        <v>30000_90004_1,30000_90003_1,30000_90002_4,40000_51000046_1,40000_51002065_1</v>
      </c>
    </row>
    <row r="131" spans="2:40">
      <c r="B131" t="str">
        <f t="shared" si="34"/>
        <v>30000_90004_1,30000_90003_1,30000_90002_3</v>
      </c>
      <c r="R131" t="str">
        <f>VLOOKUP(S131,[4]equip.xml!$A$2316:$C$2777,3,0)</f>
        <v>涅磐腿甲</v>
      </c>
      <c r="S131">
        <f t="shared" si="32"/>
        <v>51000076</v>
      </c>
      <c r="T131" t="str">
        <f>VLOOKUP(U131,[4]equip.xml!$A$2316:$C$2777,3,0)</f>
        <v>雷霆护腰</v>
      </c>
      <c r="U131">
        <v>51000035</v>
      </c>
      <c r="V131">
        <v>0</v>
      </c>
      <c r="W131">
        <v>0</v>
      </c>
      <c r="X131">
        <v>8725</v>
      </c>
      <c r="Y131">
        <f t="shared" si="28"/>
        <v>4004094</v>
      </c>
      <c r="Z131" t="str">
        <f t="shared" ref="Z131:Z136" si="35">Y131&amp;"_0_1_"&amp;X131&amp;","&amp;Y131&amp;"_0_1_"&amp;X131&amp;","&amp;Y131&amp;"_0_1_"&amp;X131</f>
        <v>4004094_0_1_8725,4004094_0_1_8725,4004094_0_1_8725</v>
      </c>
      <c r="AB131" t="str">
        <f t="shared" ref="AB131:AB194" si="36">"40000_"&amp;S131&amp;"_1_"&amp;V131&amp;","&amp;"40000_"&amp;U131&amp;"_1_"&amp;W131&amp;","&amp;Z131&amp;","&amp;B141&amp;"_10000"</f>
        <v>40000_51000076_1_0,40000_51000035_1_0,4004094_0_1_8725,4004094_0_1_8725,4004094_0_1_8725,30000_90004_1,30000_90003_1,30000_90002_4_10000</v>
      </c>
      <c r="AN131" t="str">
        <f t="shared" ref="AN131:AN136" si="37">B141&amp;","&amp;"40000_"&amp;S131&amp;"_1"&amp;","&amp;"40000_"&amp;U131&amp;"_1"</f>
        <v>30000_90004_1,30000_90003_1,30000_90002_4,40000_51000076_1,40000_51000035_1</v>
      </c>
    </row>
    <row r="132" spans="2:40">
      <c r="B132" t="str">
        <f t="shared" si="34"/>
        <v>30000_90004_1,30000_90003_1,30000_90002_3</v>
      </c>
      <c r="R132" t="str">
        <f>VLOOKUP(S132,[4]equip.xml!$A$2316:$C$2777,3,0)</f>
        <v>星旅之靴</v>
      </c>
      <c r="S132">
        <f t="shared" si="32"/>
        <v>51000085</v>
      </c>
      <c r="T132" t="str">
        <f>VLOOKUP(U132,[4]equip.xml!$A$2316:$C$2777,3,0)</f>
        <v>决战之书</v>
      </c>
      <c r="U132">
        <v>51003065</v>
      </c>
      <c r="V132">
        <v>0</v>
      </c>
      <c r="W132">
        <v>0</v>
      </c>
      <c r="X132">
        <v>8750</v>
      </c>
      <c r="Y132">
        <f t="shared" si="28"/>
        <v>4004094</v>
      </c>
      <c r="Z132" t="str">
        <f t="shared" si="35"/>
        <v>4004094_0_1_8750,4004094_0_1_8750,4004094_0_1_8750</v>
      </c>
      <c r="AB132" t="str">
        <f t="shared" si="36"/>
        <v>40000_51000085_1_0,40000_51003065_1_0,4004094_0_1_8750,4004094_0_1_8750,4004094_0_1_8750,30000_90004_1,30000_90003_1,30000_90002_4_10000</v>
      </c>
      <c r="AN132" t="str">
        <f t="shared" si="37"/>
        <v>30000_90004_1,30000_90003_1,30000_90002_4,40000_51000085_1,40000_51003065_1</v>
      </c>
    </row>
    <row r="133" spans="2:40">
      <c r="B133" t="str">
        <f t="shared" si="34"/>
        <v>30000_90004_1,30000_90003_1,30000_90002_3</v>
      </c>
      <c r="R133" t="str">
        <f>VLOOKUP(S133,[4]equip.xml!$A$2316:$C$2777,3,0)</f>
        <v>泰坦之拳</v>
      </c>
      <c r="S133">
        <f t="shared" si="32"/>
        <v>51000095</v>
      </c>
      <c r="T133" t="str">
        <f>VLOOKUP(U133,[4]equip.xml!$A$2316:$C$2777,3,0)</f>
        <v>毁天灭地</v>
      </c>
      <c r="U133">
        <v>51001055</v>
      </c>
      <c r="V133">
        <v>0</v>
      </c>
      <c r="W133">
        <v>0</v>
      </c>
      <c r="X133">
        <v>8775</v>
      </c>
      <c r="Y133">
        <f t="shared" si="28"/>
        <v>4004094</v>
      </c>
      <c r="Z133" t="str">
        <f t="shared" si="35"/>
        <v>4004094_0_1_8775,4004094_0_1_8775,4004094_0_1_8775</v>
      </c>
      <c r="AB133" t="str">
        <f t="shared" si="36"/>
        <v>40000_51000095_1_0,40000_51001055_1_0,4004094_0_1_8775,4004094_0_1_8775,4004094_0_1_8775,30000_90004_1,30000_90003_1,30000_90002_5_10000</v>
      </c>
      <c r="AN133" t="str">
        <f t="shared" si="37"/>
        <v>30000_90004_1,30000_90003_1,30000_90002_5,40000_51000095_1,40000_51001055_1</v>
      </c>
    </row>
    <row r="134" spans="2:40">
      <c r="B134" t="str">
        <f t="shared" si="34"/>
        <v>30000_90004_1,30000_90003_1,30000_90002_4</v>
      </c>
      <c r="R134" t="str">
        <f>VLOOKUP(S134,[4]equip.xml!$A$2316:$C$2777,3,0)</f>
        <v>天灾统领</v>
      </c>
      <c r="S134">
        <f t="shared" si="32"/>
        <v>51000015</v>
      </c>
      <c r="T134" t="str">
        <f>VLOOKUP(U134,[4]equip.xml!$A$2316:$C$2777,3,0)</f>
        <v>叹息之墙</v>
      </c>
      <c r="U134">
        <v>51001065</v>
      </c>
      <c r="V134">
        <v>0</v>
      </c>
      <c r="W134">
        <v>0</v>
      </c>
      <c r="X134">
        <v>8800</v>
      </c>
      <c r="Y134">
        <f t="shared" si="28"/>
        <v>4004094</v>
      </c>
      <c r="Z134" t="str">
        <f t="shared" si="35"/>
        <v>4004094_0_1_8800,4004094_0_1_8800,4004094_0_1_8800</v>
      </c>
      <c r="AB134" t="str">
        <f t="shared" si="36"/>
        <v>40000_51000015_1_0,40000_51001065_1_0,4004094_0_1_8800,4004094_0_1_8800,4004094_0_1_8800,30000_90004_1,30000_90003_1,30000_90002_5_10000</v>
      </c>
      <c r="AN134" t="str">
        <f t="shared" si="37"/>
        <v>30000_90004_1,30000_90003_1,30000_90002_5,40000_51000015_1,40000_51001065_1</v>
      </c>
    </row>
    <row r="135" spans="2:40">
      <c r="B135" t="str">
        <f t="shared" si="34"/>
        <v>30000_90004_1,30000_90003_1,30000_90002_4</v>
      </c>
      <c r="R135" t="str">
        <f>VLOOKUP(S135,[4]equip.xml!$A$2316:$C$2777,3,0)</f>
        <v>雷霆护腰</v>
      </c>
      <c r="S135">
        <f t="shared" si="32"/>
        <v>51000035</v>
      </c>
      <c r="T135" t="str">
        <f>VLOOKUP(U135,[4]equip.xml!$A$2316:$C$2777,3,0)</f>
        <v>混沌终幕</v>
      </c>
      <c r="U135">
        <v>51003055</v>
      </c>
      <c r="V135">
        <v>0</v>
      </c>
      <c r="W135">
        <v>0</v>
      </c>
      <c r="X135">
        <v>8825</v>
      </c>
      <c r="Y135">
        <f t="shared" si="28"/>
        <v>4004094</v>
      </c>
      <c r="Z135" t="str">
        <f t="shared" si="35"/>
        <v>4004094_0_1_8825,4004094_0_1_8825,4004094_0_1_8825</v>
      </c>
      <c r="AB135" t="str">
        <f t="shared" si="36"/>
        <v>40000_51000035_1_0,40000_51003055_1_0,4004094_0_1_8825,4004094_0_1_8825,4004094_0_1_8825,30000_90004_1,30000_90003_1,30000_90002_5_10000</v>
      </c>
      <c r="AN135" t="str">
        <f t="shared" si="37"/>
        <v>30000_90004_1,30000_90003_1,30000_90002_5,40000_51000035_1,40000_51003055_1</v>
      </c>
    </row>
    <row r="136" spans="2:40" s="14" customFormat="1">
      <c r="B136" s="14" t="str">
        <f t="shared" si="34"/>
        <v>30000_90004_1,30000_90003_1,30000_90002_4</v>
      </c>
      <c r="R136" s="14" t="str">
        <f>VLOOKUP(S136,[4]equip.xml!$A$2316:$C$2777,3,0)</f>
        <v>灰烬使者</v>
      </c>
      <c r="S136" s="14">
        <f t="shared" si="32"/>
        <v>51001056</v>
      </c>
      <c r="T136" s="14" t="str">
        <f>VLOOKUP(U136,[4]equip.xml!$A$2316:$C$2777,3,0)</f>
        <v>决战之书</v>
      </c>
      <c r="U136" s="14">
        <v>51003065</v>
      </c>
      <c r="V136" s="14">
        <v>0</v>
      </c>
      <c r="W136">
        <v>0</v>
      </c>
      <c r="X136" s="14">
        <v>8850</v>
      </c>
      <c r="Y136" s="14">
        <f t="shared" si="28"/>
        <v>4004094</v>
      </c>
      <c r="Z136" s="14" t="str">
        <f t="shared" si="35"/>
        <v>4004094_0_1_8850,4004094_0_1_8850,4004094_0_1_8850</v>
      </c>
      <c r="AB136" t="str">
        <f t="shared" si="36"/>
        <v>40000_51001056_1_0,40000_51003065_1_0,4004094_0_1_8850,4004094_0_1_8850,4004094_0_1_8850,30000_90004_1,30000_90003_1,30000_90002_6_10000</v>
      </c>
      <c r="AN136" t="str">
        <f t="shared" si="37"/>
        <v>30000_90004_1,30000_90003_1,30000_90002_6,40000_51001056_1,40000_51003065_1</v>
      </c>
    </row>
    <row r="137" spans="2:40">
      <c r="B137" t="str">
        <f t="shared" si="34"/>
        <v>30000_90004_1,30000_90003_1,30000_90002_5</v>
      </c>
      <c r="R137" t="str">
        <f>VLOOKUP(S137,[4]equip.xml!$A$2316:$C$2777,3,0)</f>
        <v>苍蓝挂坠</v>
      </c>
      <c r="S137">
        <v>50350105</v>
      </c>
      <c r="T137" t="str">
        <f>VLOOKUP(U137,[4]equip.xml!$A$2316:$C$2777,3,0)</f>
        <v>神圣典籍</v>
      </c>
      <c r="U137">
        <v>50303065</v>
      </c>
      <c r="V137">
        <v>1000</v>
      </c>
      <c r="W137">
        <v>2000</v>
      </c>
      <c r="X137">
        <v>5000</v>
      </c>
      <c r="Y137">
        <v>4000430</v>
      </c>
      <c r="Z137" t="str">
        <f>Y137&amp;"_0_1_"&amp;X137&amp;","&amp;Y137&amp;"_0_1_"&amp;X137&amp;","&amp;Y137&amp;"_0_1_"&amp;X137</f>
        <v>4000430_0_1_5000,4000430_0_1_5000,4000430_0_1_5000</v>
      </c>
      <c r="AB137" t="str">
        <f t="shared" si="36"/>
        <v>40000_50350105_1_1000,40000_50303065_1_2000,4000430_0_1_5000,4000430_0_1_5000,4000430_0_1_5000,30000_90002_7_10000</v>
      </c>
      <c r="AN137" t="str">
        <f>B12&amp;","&amp;"40000_"&amp;S137&amp;"_1"&amp;","&amp;"40000_"&amp;U137&amp;"_1"</f>
        <v>30000_90002_7,40000_50350105_1,40000_50303065_1</v>
      </c>
    </row>
    <row r="138" spans="2:40">
      <c r="B138" t="str">
        <f t="shared" ref="B138:B146" si="38">"30000_90004_1,30000_90003_1,30000_90002_"&amp;P2-18</f>
        <v>30000_90004_1,30000_90003_1,30000_90002_3</v>
      </c>
      <c r="R138" t="str">
        <f>VLOOKUP(S138,[4]equip.xml!$A$2316:$C$2777,3,0)</f>
        <v>残忍腿甲</v>
      </c>
      <c r="S138">
        <v>50350075</v>
      </c>
      <c r="T138" t="str">
        <f>VLOOKUP(U138,[4]equip.xml!$A$2316:$C$2777,3,0)</f>
        <v>炽热长剑</v>
      </c>
      <c r="U138">
        <v>50301055</v>
      </c>
      <c r="V138">
        <v>993</v>
      </c>
      <c r="W138">
        <f t="shared" ref="W138:W169" si="39">W137-10</f>
        <v>1990</v>
      </c>
      <c r="X138">
        <v>5050</v>
      </c>
      <c r="Y138">
        <v>4000430</v>
      </c>
      <c r="Z138" t="str">
        <f t="shared" ref="Z138:Z201" si="40">Y138&amp;"_0_1_"&amp;X138&amp;","&amp;Y138&amp;"_0_1_"&amp;X138&amp;","&amp;Y138&amp;"_0_1_"&amp;X138</f>
        <v>4000430_0_1_5050,4000430_0_1_5050,4000430_0_1_5050</v>
      </c>
      <c r="AB138" t="str">
        <f t="shared" si="36"/>
        <v>40000_50350075_1_993,40000_50301055_1_1990,4000430_0_1_5050,4000430_0_1_5050,4000430_0_1_5050,30000_90002_7_10000</v>
      </c>
      <c r="AN138" t="str">
        <f t="shared" ref="AN138:AN201" si="41">B13&amp;","&amp;"40000_"&amp;S138&amp;"_1"&amp;","&amp;"40000_"&amp;U138&amp;"_1"</f>
        <v>30000_90002_7,40000_50350075_1,40000_50301055_1</v>
      </c>
    </row>
    <row r="139" spans="2:40">
      <c r="B139" t="str">
        <f t="shared" si="38"/>
        <v>30000_90004_1,30000_90003_1,30000_90002_3</v>
      </c>
      <c r="R139" t="str">
        <f>VLOOKUP(S139,[4]equip.xml!$A$2316:$C$2777,3,0)</f>
        <v>蛮兽胸甲</v>
      </c>
      <c r="S139">
        <v>50350045</v>
      </c>
      <c r="T139" t="str">
        <f>VLOOKUP(U139,[4]equip.xml!$A$2316:$C$2777,3,0)</f>
        <v>耐久盾牌</v>
      </c>
      <c r="U139">
        <v>50301065</v>
      </c>
      <c r="V139">
        <v>986</v>
      </c>
      <c r="W139">
        <f t="shared" si="39"/>
        <v>1980</v>
      </c>
      <c r="X139">
        <v>5100</v>
      </c>
      <c r="Y139">
        <v>4000430</v>
      </c>
      <c r="Z139" t="str">
        <f t="shared" si="40"/>
        <v>4000430_0_1_5100,4000430_0_1_5100,4000430_0_1_5100</v>
      </c>
      <c r="AB139" t="str">
        <f t="shared" si="36"/>
        <v>40000_50350045_1_986,40000_50301065_1_1980,4000430_0_1_5100,4000430_0_1_5100,4000430_0_1_5100,30000_90002_8_10000</v>
      </c>
      <c r="AN139" t="str">
        <f t="shared" si="41"/>
        <v>30000_90002_8,40000_50350045_1,40000_50301065_1</v>
      </c>
    </row>
    <row r="140" spans="2:40">
      <c r="B140" t="str">
        <f t="shared" si="38"/>
        <v>30000_90004_1,30000_90003_1,30000_90002_4</v>
      </c>
      <c r="R140" t="str">
        <f>VLOOKUP(S140,[4]equip.xml!$A$2316:$C$2777,3,0)</f>
        <v>烈焰指环</v>
      </c>
      <c r="S140">
        <v>50350025</v>
      </c>
      <c r="T140" t="str">
        <f>VLOOKUP(U140,[4]equip.xml!$A$2316:$C$2777,3,0)</f>
        <v>红木长弓</v>
      </c>
      <c r="U140">
        <v>50302055</v>
      </c>
      <c r="V140">
        <v>979</v>
      </c>
      <c r="W140">
        <f t="shared" si="39"/>
        <v>1970</v>
      </c>
      <c r="X140">
        <v>5150</v>
      </c>
      <c r="Y140">
        <v>4000430</v>
      </c>
      <c r="Z140" t="str">
        <f t="shared" si="40"/>
        <v>4000430_0_1_5150,4000430_0_1_5150,4000430_0_1_5150</v>
      </c>
      <c r="AB140" t="str">
        <f t="shared" si="36"/>
        <v>40000_50350025_1_979,40000_50302055_1_1970,4000430_0_1_5150,4000430_0_1_5150,4000430_0_1_5150,30000_90002_8_10000</v>
      </c>
      <c r="AN140" t="str">
        <f t="shared" si="41"/>
        <v>30000_90002_8,40000_50350025_1,40000_50302055_1</v>
      </c>
    </row>
    <row r="141" spans="2:40">
      <c r="B141" t="str">
        <f t="shared" si="38"/>
        <v>30000_90004_1,30000_90003_1,30000_90002_4</v>
      </c>
      <c r="R141" t="str">
        <f>VLOOKUP(S141,[4]equip.xml!$A$2316:$C$2777,3,0)</f>
        <v>激励手甲</v>
      </c>
      <c r="S141">
        <v>50350095</v>
      </c>
      <c r="T141" t="str">
        <f>VLOOKUP(U141,[4]equip.xml!$A$2316:$C$2777,3,0)</f>
        <v>荒骨法杖</v>
      </c>
      <c r="U141">
        <v>50303055</v>
      </c>
      <c r="V141">
        <v>972</v>
      </c>
      <c r="W141">
        <f t="shared" si="39"/>
        <v>1960</v>
      </c>
      <c r="X141">
        <v>5200</v>
      </c>
      <c r="Y141">
        <v>4000430</v>
      </c>
      <c r="Z141" t="str">
        <f t="shared" si="40"/>
        <v>4000430_0_1_5200,4000430_0_1_5200,4000430_0_1_5200</v>
      </c>
      <c r="AB141" t="str">
        <f t="shared" si="36"/>
        <v>40000_50350095_1_972,40000_50303055_1_1960,4000430_0_1_5200,4000430_0_1_5200,4000430_0_1_5200,30000_90002_8_10000</v>
      </c>
      <c r="AN141" t="str">
        <f t="shared" si="41"/>
        <v>30000_90002_8,40000_50350095_1,40000_50303055_1</v>
      </c>
    </row>
    <row r="142" spans="2:40">
      <c r="B142" t="str">
        <f t="shared" si="38"/>
        <v>30000_90004_1,30000_90003_1,30000_90002_4</v>
      </c>
      <c r="R142" t="str">
        <f>VLOOKUP(S142,[4]equip.xml!$A$2316:$C$2777,3,0)</f>
        <v>混乱之靴</v>
      </c>
      <c r="S142">
        <v>50350085</v>
      </c>
      <c r="T142" t="str">
        <f>VLOOKUP(U142,[4]equip.xml!$A$2316:$C$2777,3,0)</f>
        <v>双链罩帽</v>
      </c>
      <c r="U142">
        <v>50300015</v>
      </c>
      <c r="V142">
        <v>965</v>
      </c>
      <c r="W142">
        <f t="shared" si="39"/>
        <v>1950</v>
      </c>
      <c r="X142">
        <v>5250</v>
      </c>
      <c r="Y142">
        <v>4000430</v>
      </c>
      <c r="Z142" t="str">
        <f t="shared" si="40"/>
        <v>4000430_0_1_5250,4000430_0_1_5250,4000430_0_1_5250</v>
      </c>
      <c r="AB142" t="str">
        <f t="shared" si="36"/>
        <v>40000_50350085_1_965,40000_50300015_1_1950,4000430_0_1_5250,4000430_0_1_5250,4000430_0_1_5250,30000_90002_9_10000</v>
      </c>
      <c r="AN142" t="str">
        <f t="shared" si="41"/>
        <v>30000_90002_9,40000_50350085_1,40000_50300015_1</v>
      </c>
    </row>
    <row r="143" spans="2:40">
      <c r="B143" t="str">
        <f t="shared" si="38"/>
        <v>30000_90004_1,30000_90003_1,30000_90002_5</v>
      </c>
      <c r="R143" t="str">
        <f>VLOOKUP(S143,[4]equip.xml!$A$2316:$C$2777,3,0)</f>
        <v>镶带头盔</v>
      </c>
      <c r="S143">
        <v>50350015</v>
      </c>
      <c r="T143" s="14" t="str">
        <f>VLOOKUP(U143,[4]equip.xml!$A$2316:$C$2777,3,0)</f>
        <v>风行者箭筒</v>
      </c>
      <c r="U143">
        <v>50352066</v>
      </c>
      <c r="V143">
        <v>958</v>
      </c>
      <c r="W143">
        <f t="shared" si="39"/>
        <v>1940</v>
      </c>
      <c r="X143">
        <v>5300</v>
      </c>
      <c r="Y143">
        <v>4000430</v>
      </c>
      <c r="Z143" t="str">
        <f t="shared" si="40"/>
        <v>4000430_0_1_5300,4000430_0_1_5300,4000430_0_1_5300</v>
      </c>
      <c r="AB143" t="str">
        <f t="shared" si="36"/>
        <v>40000_50350015_1_958,40000_50352066_1_1940,4000430_0_1_5300,4000430_0_1_5300,4000430_0_1_5300,30000_90002_9_10000</v>
      </c>
      <c r="AN143" t="str">
        <f t="shared" si="41"/>
        <v>30000_90002_9,40000_50350015_1,40000_50352066_1</v>
      </c>
    </row>
    <row r="144" spans="2:40">
      <c r="B144" t="str">
        <f t="shared" si="38"/>
        <v>30000_90004_1,30000_90003_1,30000_90002_5</v>
      </c>
      <c r="R144" t="str">
        <f>VLOOKUP(S144,[4]equip.xml!$A$2316:$C$2777,3,0)</f>
        <v>斗士腰带</v>
      </c>
      <c r="S144">
        <v>50350035</v>
      </c>
      <c r="T144" t="str">
        <f>VLOOKUP(U144,[4]equip.xml!$A$2316:$C$2777,3,0)</f>
        <v>倒刺箭筒</v>
      </c>
      <c r="U144">
        <v>50302065</v>
      </c>
      <c r="V144">
        <v>951</v>
      </c>
      <c r="W144">
        <f t="shared" si="39"/>
        <v>1930</v>
      </c>
      <c r="X144">
        <v>5350</v>
      </c>
      <c r="Y144">
        <v>4000430</v>
      </c>
      <c r="Z144" t="str">
        <f t="shared" si="40"/>
        <v>4000430_0_1_5350,4000430_0_1_5350,4000430_0_1_5350</v>
      </c>
      <c r="AB144" t="str">
        <f t="shared" si="36"/>
        <v>40000_50350035_1_951,40000_50302065_1_1930,4000430_0_1_5350,4000430_0_1_5350,4000430_0_1_5350,30000_90002_9_10000</v>
      </c>
      <c r="AN144" t="str">
        <f t="shared" si="41"/>
        <v>30000_90002_9,40000_50350035_1,40000_50302065_1</v>
      </c>
    </row>
    <row r="145" spans="2:40">
      <c r="B145" t="str">
        <f t="shared" si="38"/>
        <v>30000_90004_1,30000_90003_1,30000_90002_5</v>
      </c>
      <c r="R145" t="str">
        <f>VLOOKUP(S145,[4]equip.xml!$A$2316:$C$2777,3,0)</f>
        <v>风语者弯弓</v>
      </c>
      <c r="S145">
        <v>50352055</v>
      </c>
      <c r="T145" t="str">
        <f>VLOOKUP(U145,[4]equip.xml!$A$2316:$C$2777,3,0)</f>
        <v>秘银腰带</v>
      </c>
      <c r="U145">
        <v>50300035</v>
      </c>
      <c r="V145">
        <v>944</v>
      </c>
      <c r="W145">
        <f t="shared" si="39"/>
        <v>1920</v>
      </c>
      <c r="X145">
        <v>5400</v>
      </c>
      <c r="Y145">
        <v>4000430</v>
      </c>
      <c r="Z145" t="str">
        <f t="shared" si="40"/>
        <v>4000430_0_1_5400,4000430_0_1_5400,4000430_0_1_5400</v>
      </c>
      <c r="AB145" t="str">
        <f t="shared" si="36"/>
        <v>40000_50352055_1_944,40000_50300035_1_1920,4000430_0_1_5400,4000430_0_1_5400,4000430_0_1_5400,30000_90002_10_10000</v>
      </c>
      <c r="AN145" t="str">
        <f t="shared" si="41"/>
        <v>30000_90002_10,40000_50352055_1,40000_50300035_1</v>
      </c>
    </row>
    <row r="146" spans="2:40">
      <c r="B146" t="str">
        <f t="shared" si="38"/>
        <v>30000_90004_1,30000_90003_1,30000_90002_6</v>
      </c>
      <c r="R146" t="str">
        <f>VLOOKUP(S146,[4]equip.xml!$A$2316:$C$2777,3,0)</f>
        <v>烈焰头罩</v>
      </c>
      <c r="S146">
        <v>50400015</v>
      </c>
      <c r="T146" t="str">
        <f>VLOOKUP(U146,[4]equip.xml!$A$2316:$C$2777,3,0)</f>
        <v>召唤魔典</v>
      </c>
      <c r="U146">
        <v>50353065</v>
      </c>
      <c r="V146">
        <v>937</v>
      </c>
      <c r="W146">
        <f t="shared" si="39"/>
        <v>1910</v>
      </c>
      <c r="X146">
        <v>5450</v>
      </c>
      <c r="Y146">
        <f>Y137+5</f>
        <v>4000435</v>
      </c>
      <c r="Z146" t="str">
        <f t="shared" si="40"/>
        <v>4000435_0_1_5450,4000435_0_1_5450,4000435_0_1_5450</v>
      </c>
      <c r="AB146" t="str">
        <f t="shared" si="36"/>
        <v>40000_50400015_1_937,40000_50353065_1_1910,4000435_0_1_5450,4000435_0_1_5450,4000435_0_1_5450,30000_90002_8_10000</v>
      </c>
      <c r="AN146" t="str">
        <f t="shared" si="41"/>
        <v>30000_90002_8,40000_50400015_1,40000_50353065_1</v>
      </c>
    </row>
    <row r="147" spans="2:40">
      <c r="B147" t="s">
        <v>1021</v>
      </c>
      <c r="R147" t="str">
        <f>VLOOKUP(S147,[4]equip.xml!$A$2316:$C$2777,3,0)</f>
        <v>重拳手套</v>
      </c>
      <c r="S147">
        <v>50400095</v>
      </c>
      <c r="T147" t="str">
        <f>VLOOKUP(U147,[4]equip.xml!$A$2316:$C$2777,3,0)</f>
        <v>风语者弯弓</v>
      </c>
      <c r="U147">
        <v>50352055</v>
      </c>
      <c r="V147">
        <v>930</v>
      </c>
      <c r="W147">
        <f t="shared" si="39"/>
        <v>1900</v>
      </c>
      <c r="X147">
        <v>5500</v>
      </c>
      <c r="Y147">
        <f t="shared" ref="Y147:Y210" si="42">Y138+5</f>
        <v>4000435</v>
      </c>
      <c r="Z147" t="str">
        <f t="shared" si="40"/>
        <v>4000435_0_1_5500,4000435_0_1_5500,4000435_0_1_5500</v>
      </c>
      <c r="AB147" t="str">
        <f t="shared" si="36"/>
        <v>40000_50400095_1_930,40000_50352055_1_1900,4000435_0_1_5500,4000435_0_1_5500,4000435_0_1_5500,30000_90002_8_10000</v>
      </c>
      <c r="AN147" t="str">
        <f t="shared" si="41"/>
        <v>30000_90002_8,40000_50400095_1,40000_50352055_1</v>
      </c>
    </row>
    <row r="148" spans="2:40">
      <c r="B148" t="s">
        <v>1021</v>
      </c>
      <c r="R148" t="str">
        <f>VLOOKUP(S148,[4]equip.xml!$A$2316:$C$2777,3,0)</f>
        <v>瑟银护甲</v>
      </c>
      <c r="S148">
        <v>50400045</v>
      </c>
      <c r="T148" t="str">
        <f>VLOOKUP(U148,[4]equip.xml!$A$2316:$C$2777,3,0)</f>
        <v>水晶剑</v>
      </c>
      <c r="U148">
        <v>50351055</v>
      </c>
      <c r="V148">
        <v>923</v>
      </c>
      <c r="W148">
        <f t="shared" si="39"/>
        <v>1890</v>
      </c>
      <c r="X148">
        <v>5550</v>
      </c>
      <c r="Y148">
        <f t="shared" si="42"/>
        <v>4000435</v>
      </c>
      <c r="Z148" t="str">
        <f t="shared" si="40"/>
        <v>4000435_0_1_5550,4000435_0_1_5550,4000435_0_1_5550</v>
      </c>
      <c r="AB148" t="str">
        <f t="shared" si="36"/>
        <v>40000_50400045_1_923,40000_50351055_1_1890,4000435_0_1_5550,4000435_0_1_5550,4000435_0_1_5550,30000_90002_9_10000</v>
      </c>
      <c r="AN148" t="str">
        <f t="shared" si="41"/>
        <v>30000_90002_9,40000_50400045_1,40000_50351055_1</v>
      </c>
    </row>
    <row r="149" spans="2:40">
      <c r="B149" t="s">
        <v>812</v>
      </c>
      <c r="R149" t="str">
        <f>VLOOKUP(S149,[4]equip.xml!$A$2316:$C$2777,3,0)</f>
        <v>征战之靴</v>
      </c>
      <c r="S149">
        <v>50400085</v>
      </c>
      <c r="T149" s="14" t="str">
        <f>VLOOKUP(U149,[4]equip.xml!$A$2316:$C$2777,3,0)</f>
        <v>风怒箭筒</v>
      </c>
      <c r="U149">
        <v>50402065</v>
      </c>
      <c r="V149">
        <v>916</v>
      </c>
      <c r="W149">
        <f t="shared" si="39"/>
        <v>1880</v>
      </c>
      <c r="X149">
        <v>5600</v>
      </c>
      <c r="Y149">
        <f t="shared" si="42"/>
        <v>4000435</v>
      </c>
      <c r="Z149" t="str">
        <f t="shared" si="40"/>
        <v>4000435_0_1_5600,4000435_0_1_5600,4000435_0_1_5600</v>
      </c>
      <c r="AB149" t="str">
        <f t="shared" si="36"/>
        <v>40000_50400085_1_916,40000_50402065_1_1880,4000435_0_1_5600,4000435_0_1_5600,4000435_0_1_5600,30000_90002_9_10000</v>
      </c>
      <c r="AN149" t="str">
        <f t="shared" si="41"/>
        <v>30000_90002_9,40000_50400085_1,40000_50402065_1</v>
      </c>
    </row>
    <row r="150" spans="2:40">
      <c r="B150" t="s">
        <v>812</v>
      </c>
      <c r="R150" t="str">
        <f>VLOOKUP(S150,[4]equip.xml!$A$2316:$C$2777,3,0)</f>
        <v>巨熊护腿</v>
      </c>
      <c r="S150">
        <v>50400075</v>
      </c>
      <c r="T150" t="str">
        <f>VLOOKUP(U150,[4]equip.xml!$A$2316:$C$2777,3,0)</f>
        <v>符记盾牌</v>
      </c>
      <c r="U150">
        <v>50351065</v>
      </c>
      <c r="V150">
        <v>909</v>
      </c>
      <c r="W150">
        <f t="shared" si="39"/>
        <v>1870</v>
      </c>
      <c r="X150">
        <v>5650</v>
      </c>
      <c r="Y150">
        <f t="shared" si="42"/>
        <v>4000435</v>
      </c>
      <c r="Z150" t="str">
        <f t="shared" si="40"/>
        <v>4000435_0_1_5650,4000435_0_1_5650,4000435_0_1_5650</v>
      </c>
      <c r="AB150" t="str">
        <f t="shared" si="36"/>
        <v>40000_50400075_1_909,40000_50351065_1_1870,4000435_0_1_5650,4000435_0_1_5650,4000435_0_1_5650,30000_90002_9_10000</v>
      </c>
      <c r="AN150" t="str">
        <f t="shared" si="41"/>
        <v>30000_90002_9,40000_50400075_1,40000_50351065_1</v>
      </c>
    </row>
    <row r="151" spans="2:40">
      <c r="B151" t="s">
        <v>812</v>
      </c>
      <c r="R151" t="str">
        <f>VLOOKUP(S151,[4]equip.xml!$A$2316:$C$2777,3,0)</f>
        <v>龙纹戒指</v>
      </c>
      <c r="S151">
        <v>50400025</v>
      </c>
      <c r="T151" t="str">
        <f>VLOOKUP(U151,[4]equip.xml!$A$2316:$C$2777,3,0)</f>
        <v>镶带头盔</v>
      </c>
      <c r="U151">
        <v>50350015</v>
      </c>
      <c r="V151">
        <v>902</v>
      </c>
      <c r="W151">
        <f t="shared" si="39"/>
        <v>1860</v>
      </c>
      <c r="X151">
        <v>5700</v>
      </c>
      <c r="Y151">
        <f t="shared" si="42"/>
        <v>4000435</v>
      </c>
      <c r="Z151" t="str">
        <f t="shared" si="40"/>
        <v>4000435_0_1_5700,4000435_0_1_5700,4000435_0_1_5700</v>
      </c>
      <c r="AB151" t="str">
        <f t="shared" si="36"/>
        <v>40000_50400025_1_902,40000_50350015_1_1860,4000435_0_1_5700,4000435_0_1_5700,4000435_0_1_5700,30000_90002_10_10000</v>
      </c>
      <c r="AN151" t="str">
        <f t="shared" si="41"/>
        <v>30000_90002_10,40000_50400025_1,40000_50350015_1</v>
      </c>
    </row>
    <row r="152" spans="2:40">
      <c r="B152" t="s">
        <v>813</v>
      </c>
      <c r="R152" t="str">
        <f>VLOOKUP(S152,[4]equip.xml!$A$2316:$C$2777,3,0)</f>
        <v>迅捷项链</v>
      </c>
      <c r="S152">
        <v>50400105</v>
      </c>
      <c r="T152" t="str">
        <f>VLOOKUP(U152,[4]equip.xml!$A$2316:$C$2777,3,0)</f>
        <v>聚能之杖</v>
      </c>
      <c r="U152">
        <v>50353055</v>
      </c>
      <c r="V152">
        <v>895</v>
      </c>
      <c r="W152">
        <f t="shared" si="39"/>
        <v>1850</v>
      </c>
      <c r="X152">
        <v>5750</v>
      </c>
      <c r="Y152">
        <f t="shared" si="42"/>
        <v>4000435</v>
      </c>
      <c r="Z152" t="str">
        <f t="shared" si="40"/>
        <v>4000435_0_1_5750,4000435_0_1_5750,4000435_0_1_5750</v>
      </c>
      <c r="AB152" t="str">
        <f t="shared" si="36"/>
        <v>40000_50400105_1_895,40000_50353055_1_1850,4000435_0_1_5750,4000435_0_1_5750,4000435_0_1_5750,30000_90002_10_10000</v>
      </c>
      <c r="AN152" t="str">
        <f t="shared" si="41"/>
        <v>30000_90002_10,40000_50400105_1,40000_50353055_1</v>
      </c>
    </row>
    <row r="153" spans="2:40">
      <c r="B153" t="s">
        <v>813</v>
      </c>
      <c r="R153" t="str">
        <f>VLOOKUP(S153,[4]equip.xml!$A$2316:$C$2777,3,0)</f>
        <v>力量腰带</v>
      </c>
      <c r="S153">
        <v>50400035</v>
      </c>
      <c r="T153" t="str">
        <f>VLOOKUP(U153,[4]equip.xml!$A$2316:$C$2777,3,0)</f>
        <v>斗士腰带</v>
      </c>
      <c r="U153">
        <v>50350035</v>
      </c>
      <c r="V153">
        <v>888</v>
      </c>
      <c r="W153">
        <f t="shared" si="39"/>
        <v>1840</v>
      </c>
      <c r="X153">
        <v>5800</v>
      </c>
      <c r="Y153">
        <f t="shared" si="42"/>
        <v>4000435</v>
      </c>
      <c r="Z153" t="str">
        <f t="shared" si="40"/>
        <v>4000435_0_1_5800,4000435_0_1_5800,4000435_0_1_5800</v>
      </c>
      <c r="AB153" t="str">
        <f t="shared" si="36"/>
        <v>40000_50400035_1_888,40000_50350035_1_1840,4000435_0_1_5800,4000435_0_1_5800,4000435_0_1_5800,30000_90002_10_10000</v>
      </c>
      <c r="AN153" t="str">
        <f t="shared" si="41"/>
        <v>30000_90002_10,40000_50400035_1,40000_50350035_1</v>
      </c>
    </row>
    <row r="154" spans="2:40">
      <c r="B154" t="s">
        <v>813</v>
      </c>
      <c r="R154" t="str">
        <f>VLOOKUP(S154,[4]equip.xml!$A$2316:$C$2777,3,0)</f>
        <v>羽月长弓</v>
      </c>
      <c r="S154">
        <v>50402056</v>
      </c>
      <c r="T154" t="str">
        <f>VLOOKUP(U154,[4]equip.xml!$A$2316:$C$2777,3,0)</f>
        <v>游侠箭筒</v>
      </c>
      <c r="U154">
        <v>50352065</v>
      </c>
      <c r="V154">
        <v>881</v>
      </c>
      <c r="W154">
        <f t="shared" si="39"/>
        <v>1830</v>
      </c>
      <c r="X154">
        <v>5850</v>
      </c>
      <c r="Y154">
        <f t="shared" si="42"/>
        <v>4000435</v>
      </c>
      <c r="Z154" t="str">
        <f t="shared" si="40"/>
        <v>4000435_0_1_5850,4000435_0_1_5850,4000435_0_1_5850</v>
      </c>
      <c r="AB154" t="str">
        <f t="shared" si="36"/>
        <v>40000_50402056_1_881,40000_50352065_1_1830,4000435_0_1_5850,4000435_0_1_5850,4000435_0_1_5850,30000_90002_11_10000</v>
      </c>
      <c r="AN154" t="str">
        <f t="shared" si="41"/>
        <v>30000_90002_11,40000_50402056_1,40000_50352065_1</v>
      </c>
    </row>
    <row r="155" spans="2:40">
      <c r="B155" t="s">
        <v>814</v>
      </c>
      <c r="R155" t="str">
        <f>VLOOKUP(S155,[4]equip.xml!$A$2316:$C$2777,3,0)</f>
        <v>洞察指环</v>
      </c>
      <c r="S155">
        <v>50450025</v>
      </c>
      <c r="T155" t="str">
        <f>VLOOKUP(U155,[4]equip.xml!$A$2316:$C$2777,3,0)</f>
        <v>附魔秘典</v>
      </c>
      <c r="U155">
        <v>50403065</v>
      </c>
      <c r="V155">
        <v>874</v>
      </c>
      <c r="W155">
        <f t="shared" si="39"/>
        <v>1820</v>
      </c>
      <c r="X155">
        <v>5900</v>
      </c>
      <c r="Y155">
        <f t="shared" si="42"/>
        <v>4000440</v>
      </c>
      <c r="Z155" t="str">
        <f t="shared" si="40"/>
        <v>4000440_0_1_5900,4000440_0_1_5900,4000440_0_1_5900</v>
      </c>
      <c r="AB155" t="str">
        <f t="shared" si="36"/>
        <v>40000_50450025_1_874,40000_50403065_1_1820,4000440_0_1_5900,4000440_0_1_5900,4000440_0_1_5900,30000_90002_9_10000</v>
      </c>
      <c r="AN155" t="str">
        <f t="shared" si="41"/>
        <v>30000_90002_9,40000_50450025_1,40000_50403065_1</v>
      </c>
    </row>
    <row r="156" spans="2:40">
      <c r="B156" t="s">
        <v>812</v>
      </c>
      <c r="R156" t="str">
        <f>VLOOKUP(S156,[4]equip.xml!$A$2316:$C$2777,3,0)</f>
        <v>新月项链</v>
      </c>
      <c r="S156">
        <v>50450105</v>
      </c>
      <c r="T156" t="str">
        <f>VLOOKUP(U156,[4]equip.xml!$A$2316:$C$2777,3,0)</f>
        <v>烈焰头罩</v>
      </c>
      <c r="U156">
        <v>50400015</v>
      </c>
      <c r="V156">
        <v>867</v>
      </c>
      <c r="W156">
        <f t="shared" si="39"/>
        <v>1810</v>
      </c>
      <c r="X156">
        <v>5950</v>
      </c>
      <c r="Y156">
        <f t="shared" si="42"/>
        <v>4000440</v>
      </c>
      <c r="Z156" t="str">
        <f t="shared" si="40"/>
        <v>4000440_0_1_5950,4000440_0_1_5950,4000440_0_1_5950</v>
      </c>
      <c r="AB156" t="str">
        <f t="shared" si="36"/>
        <v>40000_50450105_1_867,40000_50400015_1_1810,4000440_0_1_5950,4000440_0_1_5950,4000440_0_1_5950,30000_90002_9_10000</v>
      </c>
      <c r="AN156" t="str">
        <f t="shared" si="41"/>
        <v>30000_90002_9,40000_50450105_1,40000_50400015_1</v>
      </c>
    </row>
    <row r="157" spans="2:40">
      <c r="B157" t="s">
        <v>812</v>
      </c>
      <c r="R157" t="str">
        <f>VLOOKUP(S157,[4]equip.xml!$A$2316:$C$2777,3,0)</f>
        <v>执政官胸甲</v>
      </c>
      <c r="S157">
        <v>50450045</v>
      </c>
      <c r="T157" t="str">
        <f>VLOOKUP(U157,[4]equip.xml!$A$2316:$C$2777,3,0)</f>
        <v>魔铁巨剑</v>
      </c>
      <c r="U157">
        <v>50401055</v>
      </c>
      <c r="V157">
        <v>860</v>
      </c>
      <c r="W157">
        <f t="shared" si="39"/>
        <v>1800</v>
      </c>
      <c r="X157">
        <v>6000</v>
      </c>
      <c r="Y157">
        <f t="shared" si="42"/>
        <v>4000440</v>
      </c>
      <c r="Z157" t="str">
        <f t="shared" si="40"/>
        <v>4000440_0_1_6000,4000440_0_1_6000,4000440_0_1_6000</v>
      </c>
      <c r="AB157" t="str">
        <f t="shared" si="36"/>
        <v>40000_50450045_1_860,40000_50401055_1_1800,4000440_0_1_6000,4000440_0_1_6000,4000440_0_1_6000,30000_90002_10_10000</v>
      </c>
      <c r="AN157" t="str">
        <f t="shared" si="41"/>
        <v>30000_90002_10,40000_50450045_1,40000_50401055_1</v>
      </c>
    </row>
    <row r="158" spans="2:40">
      <c r="B158" t="s">
        <v>813</v>
      </c>
      <c r="R158" t="str">
        <f>VLOOKUP(S158,[4]equip.xml!$A$2316:$C$2777,3,0)</f>
        <v>冰铸腿铠</v>
      </c>
      <c r="S158">
        <v>50450075</v>
      </c>
      <c r="T158" t="str">
        <f>VLOOKUP(U158,[4]equip.xml!$A$2316:$C$2777,3,0)</f>
        <v>洛阿巨盾</v>
      </c>
      <c r="U158">
        <v>50401065</v>
      </c>
      <c r="V158">
        <v>853</v>
      </c>
      <c r="W158">
        <f t="shared" si="39"/>
        <v>1790</v>
      </c>
      <c r="X158">
        <v>6025</v>
      </c>
      <c r="Y158">
        <f t="shared" si="42"/>
        <v>4000440</v>
      </c>
      <c r="Z158" t="str">
        <f t="shared" si="40"/>
        <v>4000440_0_1_6025,4000440_0_1_6025,4000440_0_1_6025</v>
      </c>
      <c r="AB158" t="str">
        <f t="shared" si="36"/>
        <v>40000_50450075_1_853,40000_50401065_1_1790,4000440_0_1_6025,4000440_0_1_6025,4000440_0_1_6025,30000_90002_10_10000</v>
      </c>
      <c r="AN158" t="str">
        <f t="shared" si="41"/>
        <v>30000_90002_10,40000_50450075_1,40000_50401065_1</v>
      </c>
    </row>
    <row r="159" spans="2:40">
      <c r="B159" t="s">
        <v>813</v>
      </c>
      <c r="R159" t="str">
        <f>VLOOKUP(S159,[4]equip.xml!$A$2316:$C$2777,3,0)</f>
        <v>督军腰带</v>
      </c>
      <c r="S159">
        <v>50450035</v>
      </c>
      <c r="T159" t="str">
        <f>VLOOKUP(U159,[4]equip.xml!$A$2316:$C$2777,3,0)</f>
        <v>风怒箭筒</v>
      </c>
      <c r="U159">
        <v>50402065</v>
      </c>
      <c r="V159">
        <v>846</v>
      </c>
      <c r="W159">
        <f t="shared" si="39"/>
        <v>1780</v>
      </c>
      <c r="X159">
        <v>6050</v>
      </c>
      <c r="Y159">
        <f t="shared" si="42"/>
        <v>4000440</v>
      </c>
      <c r="Z159" t="str">
        <f t="shared" si="40"/>
        <v>4000440_0_1_6050,4000440_0_1_6050,4000440_0_1_6050</v>
      </c>
      <c r="AB159" t="str">
        <f t="shared" si="36"/>
        <v>40000_50450035_1_846,40000_50402065_1_1780,4000440_0_1_6050,4000440_0_1_6050,4000440_0_1_6050,30000_90002_10_10000</v>
      </c>
      <c r="AN159" t="str">
        <f t="shared" si="41"/>
        <v>30000_90002_10,40000_50450035_1,40000_50402065_1</v>
      </c>
    </row>
    <row r="160" spans="2:40">
      <c r="B160" t="s">
        <v>813</v>
      </c>
      <c r="R160" t="str">
        <f>VLOOKUP(S160,[4]equip.xml!$A$2316:$C$2777,3,0)</f>
        <v>愤怒护手</v>
      </c>
      <c r="S160">
        <v>50450095</v>
      </c>
      <c r="T160" t="str">
        <f>VLOOKUP(U160,[4]equip.xml!$A$2316:$C$2777,3,0)</f>
        <v>强击之弓</v>
      </c>
      <c r="U160">
        <v>50402055</v>
      </c>
      <c r="V160">
        <v>839</v>
      </c>
      <c r="W160">
        <f t="shared" si="39"/>
        <v>1770</v>
      </c>
      <c r="X160">
        <v>6075</v>
      </c>
      <c r="Y160">
        <f t="shared" si="42"/>
        <v>4000440</v>
      </c>
      <c r="Z160" t="str">
        <f t="shared" si="40"/>
        <v>4000440_0_1_6075,4000440_0_1_6075,4000440_0_1_6075</v>
      </c>
      <c r="AB160" t="str">
        <f t="shared" si="36"/>
        <v>40000_50450095_1_839,40000_50402055_1_1770,4000440_0_1_6075,4000440_0_1_6075,4000440_0_1_6075,30000_90002_11_10000</v>
      </c>
      <c r="AN160" t="str">
        <f t="shared" si="41"/>
        <v>30000_90002_11,40000_50450095_1,40000_50402055_1</v>
      </c>
    </row>
    <row r="161" spans="2:40">
      <c r="B161" t="s">
        <v>814</v>
      </c>
      <c r="R161" t="str">
        <f>VLOOKUP(S161,[4]equip.xml!$A$2316:$C$2777,3,0)</f>
        <v>战争头盔</v>
      </c>
      <c r="S161">
        <v>50450015</v>
      </c>
      <c r="T161" s="14" t="str">
        <f>VLOOKUP(U161,[4]equip.xml!$A$2316:$C$2777,3,0)</f>
        <v>月沐箭筒</v>
      </c>
      <c r="U161">
        <v>50452065</v>
      </c>
      <c r="V161">
        <v>832</v>
      </c>
      <c r="W161">
        <f t="shared" si="39"/>
        <v>1760</v>
      </c>
      <c r="X161">
        <v>6100</v>
      </c>
      <c r="Y161">
        <f t="shared" si="42"/>
        <v>4000440</v>
      </c>
      <c r="Z161" t="str">
        <f t="shared" si="40"/>
        <v>4000440_0_1_6100,4000440_0_1_6100,4000440_0_1_6100</v>
      </c>
      <c r="AB161" t="str">
        <f t="shared" si="36"/>
        <v>40000_50450015_1_832,40000_50452065_1_1760,4000440_0_1_6100,4000440_0_1_6100,4000440_0_1_6100,30000_90002_11_10000</v>
      </c>
      <c r="AN161" t="str">
        <f t="shared" si="41"/>
        <v>30000_90002_11,40000_50450015_1,40000_50452065_1</v>
      </c>
    </row>
    <row r="162" spans="2:40">
      <c r="B162" t="s">
        <v>814</v>
      </c>
      <c r="R162" t="str">
        <f>VLOOKUP(S162,[4]equip.xml!$A$2316:$C$2777,3,0)</f>
        <v>浩劫长靴</v>
      </c>
      <c r="S162">
        <v>50450085</v>
      </c>
      <c r="T162" t="str">
        <f>VLOOKUP(U162,[4]equip.xml!$A$2316:$C$2777,3,0)</f>
        <v>力量腰带</v>
      </c>
      <c r="U162">
        <v>50400035</v>
      </c>
      <c r="V162">
        <v>825</v>
      </c>
      <c r="W162">
        <f t="shared" si="39"/>
        <v>1750</v>
      </c>
      <c r="X162">
        <v>6125</v>
      </c>
      <c r="Y162">
        <f t="shared" si="42"/>
        <v>4000440</v>
      </c>
      <c r="Z162" t="str">
        <f t="shared" si="40"/>
        <v>4000440_0_1_6125,4000440_0_1_6125,4000440_0_1_6125</v>
      </c>
      <c r="AB162" t="str">
        <f t="shared" si="36"/>
        <v>40000_50450085_1_825,40000_50400035_1_1750,4000440_0_1_6125,4000440_0_1_6125,4000440_0_1_6125,30000_90002_11_10000</v>
      </c>
      <c r="AN162" t="str">
        <f t="shared" si="41"/>
        <v>30000_90002_11,40000_50450085_1,40000_50400035_1</v>
      </c>
    </row>
    <row r="163" spans="2:40">
      <c r="B163" t="s">
        <v>814</v>
      </c>
      <c r="R163" t="str">
        <f>VLOOKUP(S163,[4]equip.xml!$A$2316:$C$2777,3,0)</f>
        <v>霜语长弓</v>
      </c>
      <c r="S163">
        <v>50452055</v>
      </c>
      <c r="T163" t="str">
        <f>VLOOKUP(U163,[4]equip.xml!$A$2316:$C$2777,3,0)</f>
        <v>符文魔杖</v>
      </c>
      <c r="U163">
        <v>50403055</v>
      </c>
      <c r="V163">
        <v>818</v>
      </c>
      <c r="W163">
        <f t="shared" si="39"/>
        <v>1740</v>
      </c>
      <c r="X163">
        <v>6150</v>
      </c>
      <c r="Y163">
        <f t="shared" si="42"/>
        <v>4000440</v>
      </c>
      <c r="Z163" t="str">
        <f t="shared" si="40"/>
        <v>4000440_0_1_6150,4000440_0_1_6150,4000440_0_1_6150</v>
      </c>
      <c r="AB163" t="str">
        <f t="shared" si="36"/>
        <v>40000_50452055_1_818,40000_50403055_1_1740,4000440_0_1_6150,4000440_0_1_6150,4000440_0_1_6150,30000_90002_12_10000</v>
      </c>
      <c r="AN163" t="str">
        <f t="shared" si="41"/>
        <v>30000_90002_12,40000_50452055_1,40000_50403055_1</v>
      </c>
    </row>
    <row r="164" spans="2:40">
      <c r="B164" t="s">
        <v>815</v>
      </c>
      <c r="R164" t="str">
        <f>VLOOKUP(S164,[4]equip.xml!$A$2316:$C$2777,3,0)</f>
        <v>皇家护胸</v>
      </c>
      <c r="S164">
        <v>50500045</v>
      </c>
      <c r="T164" t="str">
        <f>VLOOKUP(U164,[4]equip.xml!$A$2316:$C$2777,3,0)</f>
        <v>月沐箭筒</v>
      </c>
      <c r="U164">
        <v>50452065</v>
      </c>
      <c r="V164">
        <v>811</v>
      </c>
      <c r="W164">
        <f t="shared" si="39"/>
        <v>1730</v>
      </c>
      <c r="X164">
        <v>6175</v>
      </c>
      <c r="Y164">
        <f t="shared" si="42"/>
        <v>4000445</v>
      </c>
      <c r="Z164" t="str">
        <f t="shared" si="40"/>
        <v>4000445_0_1_6175,4000445_0_1_6175,4000445_0_1_6175</v>
      </c>
      <c r="AB164" t="str">
        <f t="shared" si="36"/>
        <v>40000_50500045_1_811,40000_50452065_1_1730,4000445_0_1_6175,4000445_0_1_6175,4000445_0_1_6175,30000_90003_1,30000_90002_5_10000</v>
      </c>
      <c r="AN164" t="str">
        <f t="shared" si="41"/>
        <v>30000_90003_1,30000_90002_5,40000_50500045_1,40000_50452065_1</v>
      </c>
    </row>
    <row r="165" spans="2:40">
      <c r="B165" t="s">
        <v>813</v>
      </c>
      <c r="R165" t="str">
        <f>VLOOKUP(S165,[4]equip.xml!$A$2316:$C$2777,3,0)</f>
        <v>凯旋腿甲</v>
      </c>
      <c r="S165">
        <v>50500075</v>
      </c>
      <c r="T165" t="str">
        <f>VLOOKUP(U165,[4]equip.xml!$A$2316:$C$2777,3,0)</f>
        <v>正义壁垒</v>
      </c>
      <c r="U165">
        <v>50451065</v>
      </c>
      <c r="V165">
        <v>804</v>
      </c>
      <c r="W165">
        <f t="shared" si="39"/>
        <v>1720</v>
      </c>
      <c r="X165">
        <v>6200</v>
      </c>
      <c r="Y165">
        <f t="shared" si="42"/>
        <v>4000445</v>
      </c>
      <c r="Z165" t="str">
        <f t="shared" si="40"/>
        <v>4000445_0_1_6200,4000445_0_1_6200,4000445_0_1_6200</v>
      </c>
      <c r="AB165" t="str">
        <f t="shared" si="36"/>
        <v>40000_50500075_1_804,40000_50451065_1_1720,4000445_0_1_6200,4000445_0_1_6200,4000445_0_1_6200,30000_90003_1,30000_90002_5_10000</v>
      </c>
      <c r="AN165" t="str">
        <f t="shared" si="41"/>
        <v>30000_90003_1,30000_90002_5,40000_50500075_1,40000_50451065_1</v>
      </c>
    </row>
    <row r="166" spans="2:40">
      <c r="B166" t="s">
        <v>813</v>
      </c>
      <c r="R166" t="str">
        <f>VLOOKUP(S166,[4]equip.xml!$A$2316:$C$2777,3,0)</f>
        <v>灵风之戒</v>
      </c>
      <c r="S166">
        <v>50500025</v>
      </c>
      <c r="T166" t="str">
        <f>VLOOKUP(U166,[4]equip.xml!$A$2316:$C$2777,3,0)</f>
        <v>霜语长弓</v>
      </c>
      <c r="U166">
        <v>50452055</v>
      </c>
      <c r="V166">
        <v>797</v>
      </c>
      <c r="W166">
        <f t="shared" si="39"/>
        <v>1710</v>
      </c>
      <c r="X166">
        <v>6225</v>
      </c>
      <c r="Y166">
        <f t="shared" si="42"/>
        <v>4000445</v>
      </c>
      <c r="Z166" t="str">
        <f t="shared" si="40"/>
        <v>4000445_0_1_6225,4000445_0_1_6225,4000445_0_1_6225</v>
      </c>
      <c r="AB166" t="str">
        <f t="shared" si="36"/>
        <v>40000_50500025_1_797,40000_50452055_1_1710,4000445_0_1_6225,4000445_0_1_6225,4000445_0_1_6225,30000_90003_1,30000_90002_6_10000</v>
      </c>
      <c r="AN166" t="str">
        <f t="shared" si="41"/>
        <v>30000_90003_1,30000_90002_6,40000_50500025_1,40000_50452055_1</v>
      </c>
    </row>
    <row r="167" spans="2:40">
      <c r="B167" t="s">
        <v>814</v>
      </c>
      <c r="R167" t="str">
        <f>VLOOKUP(S167,[4]equip.xml!$A$2316:$C$2777,3,0)</f>
        <v>誓言护坠</v>
      </c>
      <c r="S167">
        <v>50500105</v>
      </c>
      <c r="T167" t="str">
        <f>VLOOKUP(U167,[4]equip.xml!$A$2316:$C$2777,3,0)</f>
        <v>皇权之杖</v>
      </c>
      <c r="U167">
        <v>50453055</v>
      </c>
      <c r="V167">
        <v>790</v>
      </c>
      <c r="W167">
        <f t="shared" si="39"/>
        <v>1700</v>
      </c>
      <c r="X167">
        <v>6250</v>
      </c>
      <c r="Y167">
        <f t="shared" si="42"/>
        <v>4000445</v>
      </c>
      <c r="Z167" t="str">
        <f t="shared" si="40"/>
        <v>4000445_0_1_6250,4000445_0_1_6250,4000445_0_1_6250</v>
      </c>
      <c r="AB167" t="str">
        <f t="shared" si="36"/>
        <v>40000_50500105_1_790,40000_50453055_1_1700,4000445_0_1_6250,4000445_0_1_6250,4000445_0_1_6250,30000_90003_1,30000_90002_6_10000</v>
      </c>
      <c r="AN167" t="str">
        <f t="shared" si="41"/>
        <v>30000_90003_1,30000_90002_6,40000_50500105_1,40000_50453055_1</v>
      </c>
    </row>
    <row r="168" spans="2:40">
      <c r="B168" t="s">
        <v>814</v>
      </c>
      <c r="R168" t="str">
        <f>VLOOKUP(S168,[4]equip.xml!$A$2316:$C$2777,3,0)</f>
        <v>血拳手套</v>
      </c>
      <c r="S168">
        <v>50500095</v>
      </c>
      <c r="T168" t="str">
        <f>VLOOKUP(U168,[4]equip.xml!$A$2316:$C$2777,3,0)</f>
        <v>龙纹之刃</v>
      </c>
      <c r="U168">
        <v>50451055</v>
      </c>
      <c r="V168">
        <v>783</v>
      </c>
      <c r="W168">
        <f t="shared" si="39"/>
        <v>1690</v>
      </c>
      <c r="X168">
        <v>6275</v>
      </c>
      <c r="Y168">
        <f t="shared" si="42"/>
        <v>4000445</v>
      </c>
      <c r="Z168" t="str">
        <f t="shared" si="40"/>
        <v>4000445_0_1_6275,4000445_0_1_6275,4000445_0_1_6275</v>
      </c>
      <c r="AB168" t="str">
        <f t="shared" si="36"/>
        <v>40000_50500095_1_783,40000_50451055_1_1690,4000445_0_1_6275,4000445_0_1_6275,4000445_0_1_6275,30000_90003_1,30000_90002_6_10000</v>
      </c>
      <c r="AN168" t="str">
        <f t="shared" si="41"/>
        <v>30000_90003_1,30000_90002_6,40000_50500095_1,40000_50451055_1</v>
      </c>
    </row>
    <row r="169" spans="2:40">
      <c r="B169" t="s">
        <v>814</v>
      </c>
      <c r="R169" t="str">
        <f>VLOOKUP(S169,[4]equip.xml!$A$2316:$C$2777,3,0)</f>
        <v>龙鳞护胫</v>
      </c>
      <c r="S169">
        <v>50500085</v>
      </c>
      <c r="T169" t="str">
        <f>VLOOKUP(U169,[4]equip.xml!$A$2316:$C$2777,3,0)</f>
        <v>占卜魔典</v>
      </c>
      <c r="U169">
        <v>50453065</v>
      </c>
      <c r="V169">
        <v>776</v>
      </c>
      <c r="W169">
        <f t="shared" si="39"/>
        <v>1680</v>
      </c>
      <c r="X169">
        <v>6300</v>
      </c>
      <c r="Y169">
        <f t="shared" si="42"/>
        <v>4000445</v>
      </c>
      <c r="Z169" t="str">
        <f t="shared" si="40"/>
        <v>4000445_0_1_6300,4000445_0_1_6300,4000445_0_1_6300</v>
      </c>
      <c r="AB169" t="str">
        <f t="shared" si="36"/>
        <v>40000_50500085_1_776,40000_50453065_1_1680,4000445_0_1_6300,4000445_0_1_6300,4000445_0_1_6300,30000_90003_1,30000_90002_7_10000</v>
      </c>
      <c r="AN169" t="str">
        <f t="shared" si="41"/>
        <v>30000_90003_1,30000_90002_7,40000_50500085_1,40000_50453065_1</v>
      </c>
    </row>
    <row r="170" spans="2:40">
      <c r="B170" t="s">
        <v>815</v>
      </c>
      <c r="R170" t="str">
        <f>VLOOKUP(S170,[4]equip.xml!$A$2316:$C$2777,3,0)</f>
        <v>生命腰带</v>
      </c>
      <c r="S170">
        <v>50500035</v>
      </c>
      <c r="T170" s="14" t="str">
        <f>VLOOKUP(U170,[4]equip.xml!$A$2316:$C$2777,3,0)</f>
        <v>符文箭筒</v>
      </c>
      <c r="U170">
        <v>50502066</v>
      </c>
      <c r="V170">
        <v>769</v>
      </c>
      <c r="W170">
        <f t="shared" ref="W170:W201" si="43">W169-10</f>
        <v>1670</v>
      </c>
      <c r="X170">
        <v>6325</v>
      </c>
      <c r="Y170">
        <f t="shared" si="42"/>
        <v>4000445</v>
      </c>
      <c r="Z170" t="str">
        <f t="shared" si="40"/>
        <v>4000445_0_1_6325,4000445_0_1_6325,4000445_0_1_6325</v>
      </c>
      <c r="AB170" t="str">
        <f t="shared" si="36"/>
        <v>40000_50500035_1_769,40000_50502066_1_1670,4000445_0_1_6325,4000445_0_1_6325,4000445_0_1_6325,30000_90003_1,30000_90002_7_10000</v>
      </c>
      <c r="AN170" t="str">
        <f t="shared" si="41"/>
        <v>30000_90003_1,30000_90002_7,40000_50500035_1,40000_50502066_1</v>
      </c>
    </row>
    <row r="171" spans="2:40">
      <c r="B171" t="s">
        <v>815</v>
      </c>
      <c r="R171" t="str">
        <f>VLOOKUP(S171,[4]equip.xml!$A$2316:$C$2777,3,0)</f>
        <v>战痕头盔</v>
      </c>
      <c r="S171">
        <v>50500015</v>
      </c>
      <c r="T171" t="str">
        <f>VLOOKUP(U171,[4]equip.xml!$A$2316:$C$2777,3,0)</f>
        <v>督军腰带</v>
      </c>
      <c r="U171">
        <v>50450035</v>
      </c>
      <c r="V171">
        <v>762</v>
      </c>
      <c r="W171">
        <f t="shared" si="43"/>
        <v>1660</v>
      </c>
      <c r="X171">
        <v>6350</v>
      </c>
      <c r="Y171">
        <f t="shared" si="42"/>
        <v>4000445</v>
      </c>
      <c r="Z171" t="str">
        <f t="shared" si="40"/>
        <v>4000445_0_1_6350,4000445_0_1_6350,4000445_0_1_6350</v>
      </c>
      <c r="AB171" t="str">
        <f t="shared" si="36"/>
        <v>40000_50500015_1_762,40000_50450035_1_1660,4000445_0_1_6350,4000445_0_1_6350,4000445_0_1_6350,30000_90003_1,30000_90002_7_10000</v>
      </c>
      <c r="AN171" t="str">
        <f t="shared" si="41"/>
        <v>30000_90003_1,30000_90002_7,40000_50500015_1,40000_50450035_1</v>
      </c>
    </row>
    <row r="172" spans="2:40">
      <c r="B172" t="s">
        <v>815</v>
      </c>
      <c r="R172" t="str">
        <f>VLOOKUP(S172,[4]equip.xml!$A$2316:$C$2777,3,0)</f>
        <v>阳炎之弓</v>
      </c>
      <c r="S172">
        <v>50502056</v>
      </c>
      <c r="T172" t="str">
        <f>VLOOKUP(U172,[4]equip.xml!$A$2316:$C$2777,3,0)</f>
        <v>战争头盔</v>
      </c>
      <c r="U172">
        <v>50450015</v>
      </c>
      <c r="V172">
        <v>755</v>
      </c>
      <c r="W172">
        <f t="shared" si="43"/>
        <v>1650</v>
      </c>
      <c r="X172">
        <v>6375</v>
      </c>
      <c r="Y172">
        <f t="shared" si="42"/>
        <v>4000445</v>
      </c>
      <c r="Z172" t="str">
        <f t="shared" si="40"/>
        <v>4000445_0_1_6375,4000445_0_1_6375,4000445_0_1_6375</v>
      </c>
      <c r="AB172" t="str">
        <f t="shared" si="36"/>
        <v>40000_50502056_1_755,40000_50450015_1_1650,4000445_0_1_6375,4000445_0_1_6375,4000445_0_1_6375,30000_90003_1,30000_90002_8_10000</v>
      </c>
      <c r="AN172" t="str">
        <f t="shared" si="41"/>
        <v>30000_90003_1,30000_90002_8,40000_50502056_1,40000_50450015_1</v>
      </c>
    </row>
    <row r="173" spans="2:40">
      <c r="B173" t="s">
        <v>816</v>
      </c>
      <c r="R173" t="str">
        <f>VLOOKUP(S173,[4]equip.xml!$A$2316:$C$2777,3,0)</f>
        <v>血卫胸甲</v>
      </c>
      <c r="S173">
        <v>50550045</v>
      </c>
      <c r="T173" t="str">
        <f>VLOOKUP(U173,[4]equip.xml!$A$2316:$C$2777,3,0)</f>
        <v>黑骨箭袋</v>
      </c>
      <c r="U173">
        <v>50502065</v>
      </c>
      <c r="V173">
        <v>748</v>
      </c>
      <c r="W173">
        <f t="shared" si="43"/>
        <v>1640</v>
      </c>
      <c r="X173">
        <v>6400</v>
      </c>
      <c r="Y173">
        <f t="shared" si="42"/>
        <v>4000450</v>
      </c>
      <c r="Z173" t="str">
        <f t="shared" si="40"/>
        <v>4000450_0_1_6400,4000450_0_1_6400,4000450_0_1_6400</v>
      </c>
      <c r="AB173" t="str">
        <f t="shared" si="36"/>
        <v>40000_50550045_1_748,40000_50502065_1_1640,4000450_0_1_6400,4000450_0_1_6400,4000450_0_1_6400,30000_90003_1,30000_90002_6_10000</v>
      </c>
      <c r="AN173" t="str">
        <f t="shared" si="41"/>
        <v>30000_90003_1,30000_90002_6,40000_50550045_1,40000_50502065_1</v>
      </c>
    </row>
    <row r="174" spans="2:40">
      <c r="B174" t="s">
        <v>1022</v>
      </c>
      <c r="R174" t="str">
        <f>VLOOKUP(S174,[4]equip.xml!$A$2316:$C$2777,3,0)</f>
        <v>银月头盔</v>
      </c>
      <c r="S174">
        <v>50550015</v>
      </c>
      <c r="T174" t="str">
        <f>VLOOKUP(U174,[4]equip.xml!$A$2316:$C$2777,3,0)</f>
        <v>黎明之刃</v>
      </c>
      <c r="U174">
        <v>50501055</v>
      </c>
      <c r="V174">
        <v>741</v>
      </c>
      <c r="W174">
        <f t="shared" si="43"/>
        <v>1630</v>
      </c>
      <c r="X174">
        <v>6425</v>
      </c>
      <c r="Y174">
        <f t="shared" si="42"/>
        <v>4000450</v>
      </c>
      <c r="Z174" t="str">
        <f t="shared" si="40"/>
        <v>4000450_0_1_6425,4000450_0_1_6425,4000450_0_1_6425</v>
      </c>
      <c r="AB174" t="str">
        <f t="shared" si="36"/>
        <v>40000_50550015_1_741,40000_50501055_1_1630,4000450_0_1_6425,4000450_0_1_6425,4000450_0_1_6425,30000_90003_1,30000_90002_6_10000</v>
      </c>
      <c r="AN174" t="str">
        <f t="shared" si="41"/>
        <v>30000_90003_1,30000_90002_6,40000_50550015_1,40000_50501055_1</v>
      </c>
    </row>
    <row r="175" spans="2:40">
      <c r="B175" t="s">
        <v>1022</v>
      </c>
      <c r="R175" t="str">
        <f>VLOOKUP(S175,[4]equip.xml!$A$2316:$C$2777,3,0)</f>
        <v>遗忘石坠</v>
      </c>
      <c r="S175">
        <v>50550105</v>
      </c>
      <c r="T175" t="str">
        <f>VLOOKUP(U175,[4]equip.xml!$A$2316:$C$2777,3,0)</f>
        <v>虚灵法杖</v>
      </c>
      <c r="U175">
        <v>50503055</v>
      </c>
      <c r="V175">
        <v>734</v>
      </c>
      <c r="W175">
        <f t="shared" si="43"/>
        <v>1620</v>
      </c>
      <c r="X175">
        <v>6450</v>
      </c>
      <c r="Y175">
        <f t="shared" si="42"/>
        <v>4000450</v>
      </c>
      <c r="Z175" t="str">
        <f t="shared" si="40"/>
        <v>4000450_0_1_6450,4000450_0_1_6450,4000450_0_1_6450</v>
      </c>
      <c r="AB175" t="str">
        <f t="shared" si="36"/>
        <v>40000_50550105_1_734,40000_50503055_1_1620,4000450_0_1_6450,4000450_0_1_6450,4000450_0_1_6450,30000_90003_1,30000_90002_7_10000</v>
      </c>
      <c r="AN175" t="str">
        <f t="shared" si="41"/>
        <v>30000_90003_1,30000_90002_7,40000_50550105_1,40000_50503055_1</v>
      </c>
    </row>
    <row r="176" spans="2:40">
      <c r="B176" t="s">
        <v>1023</v>
      </c>
      <c r="R176" t="str">
        <f>VLOOKUP(S176,[4]equip.xml!$A$2316:$C$2777,3,0)</f>
        <v>征服者护腿</v>
      </c>
      <c r="S176">
        <v>50550075</v>
      </c>
      <c r="T176" t="str">
        <f>VLOOKUP(U176,[4]equip.xml!$A$2316:$C$2777,3,0)</f>
        <v>幻术之书</v>
      </c>
      <c r="U176">
        <v>50503065</v>
      </c>
      <c r="V176">
        <v>727</v>
      </c>
      <c r="W176">
        <f t="shared" si="43"/>
        <v>1610</v>
      </c>
      <c r="X176">
        <v>6475</v>
      </c>
      <c r="Y176">
        <f t="shared" si="42"/>
        <v>4000450</v>
      </c>
      <c r="Z176" t="str">
        <f t="shared" si="40"/>
        <v>4000450_0_1_6475,4000450_0_1_6475,4000450_0_1_6475</v>
      </c>
      <c r="AB176" t="str">
        <f t="shared" si="36"/>
        <v>40000_50550075_1_727,40000_50503065_1_1610,4000450_0_1_6475,4000450_0_1_6475,4000450_0_1_6475,30000_90003_1,30000_90002_7_10000</v>
      </c>
      <c r="AN176" t="str">
        <f t="shared" si="41"/>
        <v>30000_90003_1,30000_90002_7,40000_50550075_1,40000_50503065_1</v>
      </c>
    </row>
    <row r="177" spans="2:40">
      <c r="B177" t="s">
        <v>1023</v>
      </c>
      <c r="R177" t="str">
        <f>VLOOKUP(S177,[4]equip.xml!$A$2316:$C$2777,3,0)</f>
        <v>天行者之靴</v>
      </c>
      <c r="S177">
        <v>50550085</v>
      </c>
      <c r="T177" s="14" t="str">
        <f>VLOOKUP(U177,[4]equip.xml!$A$2316:$C$2777,3,0)</f>
        <v>日怒箭筒</v>
      </c>
      <c r="U177">
        <v>50552066</v>
      </c>
      <c r="V177">
        <v>720</v>
      </c>
      <c r="W177">
        <f t="shared" si="43"/>
        <v>1600</v>
      </c>
      <c r="X177">
        <v>6500</v>
      </c>
      <c r="Y177">
        <f t="shared" si="42"/>
        <v>4000450</v>
      </c>
      <c r="Z177" t="str">
        <f t="shared" si="40"/>
        <v>4000450_0_1_6500,4000450_0_1_6500,4000450_0_1_6500</v>
      </c>
      <c r="AB177" t="str">
        <f t="shared" si="36"/>
        <v>40000_50550085_1_720,40000_50552066_1_1600,4000450_0_1_6500,4000450_0_1_6500,4000450_0_1_6500,30000_90003_1,30000_90002_7_10000</v>
      </c>
      <c r="AN177" t="str">
        <f t="shared" si="41"/>
        <v>30000_90003_1,30000_90002_7,40000_50550085_1,40000_50552066_1</v>
      </c>
    </row>
    <row r="178" spans="2:40">
      <c r="B178" t="s">
        <v>1023</v>
      </c>
      <c r="R178" t="str">
        <f>VLOOKUP(S178,[4]equip.xml!$A$2316:$C$2777,3,0)</f>
        <v>魔鳞腰带</v>
      </c>
      <c r="S178">
        <v>50550035</v>
      </c>
      <c r="T178" t="str">
        <f>VLOOKUP(U178,[4]equip.xml!$A$2316:$C$2777,3,0)</f>
        <v>生命腰带</v>
      </c>
      <c r="U178">
        <v>50500035</v>
      </c>
      <c r="V178">
        <v>713</v>
      </c>
      <c r="W178">
        <f t="shared" si="43"/>
        <v>1590</v>
      </c>
      <c r="X178">
        <v>6525</v>
      </c>
      <c r="Y178">
        <f t="shared" si="42"/>
        <v>4000450</v>
      </c>
      <c r="Z178" t="str">
        <f t="shared" si="40"/>
        <v>4000450_0_1_6525,4000450_0_1_6525,4000450_0_1_6525</v>
      </c>
      <c r="AB178" t="str">
        <f t="shared" si="36"/>
        <v>40000_50550035_1_713,40000_50500035_1_1590,4000450_0_1_6525,4000450_0_1_6525,4000450_0_1_6525,30000_90003_1,30000_90002_8_10000</v>
      </c>
      <c r="AN178" t="str">
        <f t="shared" si="41"/>
        <v>30000_90003_1,30000_90002_8,40000_50550035_1,40000_50500035_1</v>
      </c>
    </row>
    <row r="179" spans="2:40">
      <c r="B179" t="s">
        <v>1024</v>
      </c>
      <c r="R179" t="str">
        <f>VLOOKUP(S179,[4]equip.xml!$A$2316:$C$2777,3,0)</f>
        <v>镇魂之戒</v>
      </c>
      <c r="S179">
        <v>50550025</v>
      </c>
      <c r="T179" t="str">
        <f>VLOOKUP(U179,[4]equip.xml!$A$2316:$C$2777,3,0)</f>
        <v>魂祭之盾</v>
      </c>
      <c r="U179">
        <v>50501065</v>
      </c>
      <c r="V179">
        <v>706</v>
      </c>
      <c r="W179">
        <f t="shared" si="43"/>
        <v>1580</v>
      </c>
      <c r="X179">
        <v>6550</v>
      </c>
      <c r="Y179">
        <f t="shared" si="42"/>
        <v>4000450</v>
      </c>
      <c r="Z179" t="str">
        <f t="shared" si="40"/>
        <v>4000450_0_1_6550,4000450_0_1_6550,4000450_0_1_6550</v>
      </c>
      <c r="AB179" t="str">
        <f t="shared" si="36"/>
        <v>40000_50550025_1_706,40000_50501065_1_1580,4000450_0_1_6550,4000450_0_1_6550,4000450_0_1_6550,30000_90003_1,30000_90002_8_10000</v>
      </c>
      <c r="AN179" t="str">
        <f t="shared" si="41"/>
        <v>30000_90003_1,30000_90002_8,40000_50550025_1,40000_50501065_1</v>
      </c>
    </row>
    <row r="180" spans="2:40">
      <c r="B180" t="s">
        <v>1024</v>
      </c>
      <c r="R180" t="str">
        <f>VLOOKUP(S180,[4]equip.xml!$A$2316:$C$2777,3,0)</f>
        <v>战火护手</v>
      </c>
      <c r="S180">
        <v>50550095</v>
      </c>
      <c r="T180" t="str">
        <f>VLOOKUP(U180,[4]equip.xml!$A$2316:$C$2777,3,0)</f>
        <v>战痕头盔</v>
      </c>
      <c r="U180">
        <v>50500015</v>
      </c>
      <c r="V180">
        <v>699</v>
      </c>
      <c r="W180">
        <f t="shared" si="43"/>
        <v>1570</v>
      </c>
      <c r="X180">
        <v>6575</v>
      </c>
      <c r="Y180">
        <f t="shared" si="42"/>
        <v>4000450</v>
      </c>
      <c r="Z180" t="str">
        <f t="shared" si="40"/>
        <v>4000450_0_1_6575,4000450_0_1_6575,4000450_0_1_6575</v>
      </c>
      <c r="AB180" t="str">
        <f t="shared" si="36"/>
        <v>40000_50550095_1_699,40000_50500015_1_1570,4000450_0_1_6575,4000450_0_1_6575,4000450_0_1_6575,30000_90003_1,30000_90002_8_10000</v>
      </c>
      <c r="AN180" t="str">
        <f t="shared" si="41"/>
        <v>30000_90003_1,30000_90002_8,40000_50550095_1,40000_50500015_1</v>
      </c>
    </row>
    <row r="181" spans="2:40">
      <c r="B181" t="s">
        <v>1024</v>
      </c>
      <c r="R181" t="str">
        <f>VLOOKUP(S181,[4]equip.xml!$A$2316:$C$2777,3,0)</f>
        <v>魂击长弓</v>
      </c>
      <c r="S181">
        <v>50552055</v>
      </c>
      <c r="T181" t="str">
        <f>VLOOKUP(U181,[4]equip.xml!$A$2316:$C$2777,3,0)</f>
        <v>觅心者长弓</v>
      </c>
      <c r="U181">
        <v>50502055</v>
      </c>
      <c r="V181">
        <v>692</v>
      </c>
      <c r="W181">
        <f t="shared" si="43"/>
        <v>1560</v>
      </c>
      <c r="X181">
        <v>6600</v>
      </c>
      <c r="Y181">
        <f t="shared" si="42"/>
        <v>4000450</v>
      </c>
      <c r="Z181" t="str">
        <f t="shared" si="40"/>
        <v>4000450_0_1_6600,4000450_0_1_6600,4000450_0_1_6600</v>
      </c>
      <c r="AB181" t="str">
        <f t="shared" si="36"/>
        <v>40000_50552055_1_692,40000_50502055_1_1560,4000450_0_1_6600,4000450_0_1_6600,4000450_0_1_6600,30000_90003_1,30000_90002_9_10000</v>
      </c>
      <c r="AN181" t="str">
        <f t="shared" si="41"/>
        <v>30000_90003_1,30000_90002_9,40000_50552055_1,40000_50502055_1</v>
      </c>
    </row>
    <row r="182" spans="2:40">
      <c r="B182" t="s">
        <v>1025</v>
      </c>
      <c r="R182" t="str">
        <f>VLOOKUP(S182,[4]equip.xml!$A$2316:$C$2777,3,0)</f>
        <v>星宇指环</v>
      </c>
      <c r="S182">
        <v>50600025</v>
      </c>
      <c r="T182" t="str">
        <f>VLOOKUP(U182,[4]equip.xml!$A$2316:$C$2777,3,0)</f>
        <v>魔鳞腰带</v>
      </c>
      <c r="U182">
        <v>50550035</v>
      </c>
      <c r="V182">
        <v>685</v>
      </c>
      <c r="W182">
        <f t="shared" si="43"/>
        <v>1550</v>
      </c>
      <c r="X182">
        <v>6625</v>
      </c>
      <c r="Y182">
        <f t="shared" si="42"/>
        <v>4000455</v>
      </c>
      <c r="Z182" t="str">
        <f t="shared" si="40"/>
        <v>4000455_0_1_6625,4000455_0_1_6625,4000455_0_1_6625</v>
      </c>
      <c r="AB182" t="str">
        <f t="shared" si="36"/>
        <v>40000_50600025_1_685,40000_50550035_1_1550,4000455_0_1_6625,4000455_0_1_6625,4000455_0_1_6625,30000_90003_1,30000_90002_7_10000</v>
      </c>
      <c r="AN182" t="str">
        <f t="shared" si="41"/>
        <v>30000_90003_1,30000_90002_7,40000_50600025_1,40000_50550035_1</v>
      </c>
    </row>
    <row r="183" spans="2:40">
      <c r="B183" t="s">
        <v>1023</v>
      </c>
      <c r="R183" t="str">
        <f>VLOOKUP(S183,[4]equip.xml!$A$2316:$C$2777,3,0)</f>
        <v>悔恨之链</v>
      </c>
      <c r="S183">
        <v>50600105</v>
      </c>
      <c r="T183" t="str">
        <f>VLOOKUP(U183,[4]equip.xml!$A$2316:$C$2777,3,0)</f>
        <v>寒霜之怒</v>
      </c>
      <c r="U183">
        <v>50553055</v>
      </c>
      <c r="V183">
        <v>678</v>
      </c>
      <c r="W183">
        <f t="shared" si="43"/>
        <v>1540</v>
      </c>
      <c r="X183">
        <v>6650</v>
      </c>
      <c r="Y183">
        <f t="shared" si="42"/>
        <v>4000455</v>
      </c>
      <c r="Z183" t="str">
        <f t="shared" si="40"/>
        <v>4000455_0_1_6650,4000455_0_1_6650,4000455_0_1_6650</v>
      </c>
      <c r="AB183" t="str">
        <f t="shared" si="36"/>
        <v>40000_50600105_1_678,40000_50553055_1_1540,4000455_0_1_6650,4000455_0_1_6650,4000455_0_1_6650,30000_90003_1,30000_90002_7_10000</v>
      </c>
      <c r="AN183" t="str">
        <f t="shared" si="41"/>
        <v>30000_90003_1,30000_90002_7,40000_50600105_1,40000_50553055_1</v>
      </c>
    </row>
    <row r="184" spans="2:40">
      <c r="B184" t="s">
        <v>1023</v>
      </c>
      <c r="R184" t="str">
        <f>VLOOKUP(S184,[4]equip.xml!$A$2316:$C$2777,3,0)</f>
        <v>明光战甲</v>
      </c>
      <c r="S184">
        <v>50600045</v>
      </c>
      <c r="T184" s="14" t="str">
        <f>VLOOKUP(U184,[4]equip.xml!$A$2316:$C$2777,3,0)</f>
        <v>猎星箭袋</v>
      </c>
      <c r="U184">
        <v>50602065</v>
      </c>
      <c r="V184">
        <v>671</v>
      </c>
      <c r="W184">
        <f t="shared" si="43"/>
        <v>1530</v>
      </c>
      <c r="X184">
        <v>6675</v>
      </c>
      <c r="Y184">
        <f t="shared" si="42"/>
        <v>4000455</v>
      </c>
      <c r="Z184" t="str">
        <f t="shared" si="40"/>
        <v>4000455_0_1_6675,4000455_0_1_6675,4000455_0_1_6675</v>
      </c>
      <c r="AB184" t="str">
        <f t="shared" si="36"/>
        <v>40000_50600045_1_671,40000_50602065_1_1530,4000455_0_1_6675,4000455_0_1_6675,4000455_0_1_6675,30000_90003_1,30000_90002_8_10000</v>
      </c>
      <c r="AN184" t="str">
        <f t="shared" si="41"/>
        <v>30000_90003_1,30000_90002_8,40000_50600045_1,40000_50602065_1</v>
      </c>
    </row>
    <row r="185" spans="2:40">
      <c r="B185" t="s">
        <v>1024</v>
      </c>
      <c r="R185" t="str">
        <f>VLOOKUP(S185,[4]equip.xml!$A$2316:$C$2777,3,0)</f>
        <v>远征腰带</v>
      </c>
      <c r="S185">
        <v>50600035</v>
      </c>
      <c r="T185" t="str">
        <f>VLOOKUP(U185,[4]equip.xml!$A$2316:$C$2777,3,0)</f>
        <v>遗忘魔典</v>
      </c>
      <c r="U185">
        <v>50553065</v>
      </c>
      <c r="V185">
        <v>664</v>
      </c>
      <c r="W185">
        <f t="shared" si="43"/>
        <v>1520</v>
      </c>
      <c r="X185">
        <v>6700</v>
      </c>
      <c r="Y185">
        <f t="shared" si="42"/>
        <v>4000455</v>
      </c>
      <c r="Z185" t="str">
        <f t="shared" si="40"/>
        <v>4000455_0_1_6700,4000455_0_1_6700,4000455_0_1_6700</v>
      </c>
      <c r="AB185" t="str">
        <f t="shared" si="36"/>
        <v>40000_50600035_1_664,40000_50553065_1_1520,4000455_0_1_6700,4000455_0_1_6700,4000455_0_1_6700,30000_90003_1,30000_90002_8_10000</v>
      </c>
      <c r="AN185" t="str">
        <f t="shared" si="41"/>
        <v>30000_90003_1,30000_90002_8,40000_50600035_1,40000_50553065_1</v>
      </c>
    </row>
    <row r="186" spans="2:40">
      <c r="B186" t="s">
        <v>1024</v>
      </c>
      <c r="R186" t="str">
        <f>VLOOKUP(S186,[4]equip.xml!$A$2316:$C$2777,3,0)</f>
        <v>远征军护手</v>
      </c>
      <c r="S186">
        <v>50600095</v>
      </c>
      <c r="T186" t="str">
        <f>VLOOKUP(U186,[4]equip.xml!$A$2316:$C$2777,3,0)</f>
        <v>噬魂符剑</v>
      </c>
      <c r="U186">
        <v>50551055</v>
      </c>
      <c r="V186">
        <v>657</v>
      </c>
      <c r="W186">
        <f t="shared" si="43"/>
        <v>1510</v>
      </c>
      <c r="X186">
        <v>6725</v>
      </c>
      <c r="Y186">
        <f t="shared" si="42"/>
        <v>4000455</v>
      </c>
      <c r="Z186" t="str">
        <f t="shared" si="40"/>
        <v>4000455_0_1_6725,4000455_0_1_6725,4000455_0_1_6725</v>
      </c>
      <c r="AB186" t="str">
        <f t="shared" si="36"/>
        <v>40000_50600095_1_657,40000_50551055_1_1510,4000455_0_1_6725,4000455_0_1_6725,4000455_0_1_6725,30000_90003_1,30000_90002_8_10000</v>
      </c>
      <c r="AN186" t="str">
        <f t="shared" si="41"/>
        <v>30000_90003_1,30000_90002_8,40000_50600095_1,40000_50551055_1</v>
      </c>
    </row>
    <row r="187" spans="2:40">
      <c r="B187" t="s">
        <v>1024</v>
      </c>
      <c r="R187" t="str">
        <f>VLOOKUP(S187,[4]equip.xml!$A$2316:$C$2777,3,0)</f>
        <v>深渊护腿</v>
      </c>
      <c r="S187">
        <v>50600075</v>
      </c>
      <c r="T187" t="str">
        <f>VLOOKUP(U187,[4]equip.xml!$A$2316:$C$2777,3,0)</f>
        <v>银月头盔</v>
      </c>
      <c r="U187">
        <v>50550015</v>
      </c>
      <c r="V187">
        <v>650</v>
      </c>
      <c r="W187">
        <f t="shared" si="43"/>
        <v>1500</v>
      </c>
      <c r="X187">
        <v>6750</v>
      </c>
      <c r="Y187">
        <f t="shared" si="42"/>
        <v>4000455</v>
      </c>
      <c r="Z187" t="str">
        <f t="shared" si="40"/>
        <v>4000455_0_1_6750,4000455_0_1_6750,4000455_0_1_6750</v>
      </c>
      <c r="AB187" t="str">
        <f t="shared" si="36"/>
        <v>40000_50600075_1_650,40000_50550015_1_1500,4000455_0_1_6750,4000455_0_1_6750,4000455_0_1_6750,30000_90003_1,30000_90002_9_10000</v>
      </c>
      <c r="AN187" t="str">
        <f t="shared" si="41"/>
        <v>30000_90003_1,30000_90002_9,40000_50600075_1,40000_50550015_1</v>
      </c>
    </row>
    <row r="188" spans="2:40">
      <c r="B188" t="s">
        <v>1025</v>
      </c>
      <c r="R188" t="str">
        <f>VLOOKUP(S188,[4]equip.xml!$A$2316:$C$2777,3,0)</f>
        <v>英勇战盔</v>
      </c>
      <c r="S188">
        <v>50600015</v>
      </c>
      <c r="T188" t="str">
        <f>VLOOKUP(U188,[4]equip.xml!$A$2316:$C$2777,3,0)</f>
        <v>魂击长弓</v>
      </c>
      <c r="U188">
        <v>50552055</v>
      </c>
      <c r="V188">
        <v>643</v>
      </c>
      <c r="W188">
        <f t="shared" si="43"/>
        <v>1490</v>
      </c>
      <c r="X188">
        <v>6775</v>
      </c>
      <c r="Y188">
        <f t="shared" si="42"/>
        <v>4000455</v>
      </c>
      <c r="Z188" t="str">
        <f t="shared" si="40"/>
        <v>4000455_0_1_6775,4000455_0_1_6775,4000455_0_1_6775</v>
      </c>
      <c r="AB188" t="str">
        <f t="shared" si="36"/>
        <v>40000_50600015_1_643,40000_50552055_1_1490,4000455_0_1_6775,4000455_0_1_6775,4000455_0_1_6775,30000_90003_1,30000_90002_9_10000</v>
      </c>
      <c r="AN188" t="str">
        <f t="shared" si="41"/>
        <v>30000_90003_1,30000_90002_9,40000_50600015_1,40000_50552055_1</v>
      </c>
    </row>
    <row r="189" spans="2:40">
      <c r="B189" t="s">
        <v>1025</v>
      </c>
      <c r="R189" t="str">
        <f>VLOOKUP(S189,[4]equip.xml!$A$2316:$C$2777,3,0)</f>
        <v>风暴长靴</v>
      </c>
      <c r="S189">
        <v>50600085</v>
      </c>
      <c r="T189" t="str">
        <f>VLOOKUP(U189,[4]equip.xml!$A$2316:$C$2777,3,0)</f>
        <v>反射壁垒</v>
      </c>
      <c r="U189">
        <v>50551065</v>
      </c>
      <c r="V189">
        <v>636</v>
      </c>
      <c r="W189">
        <f t="shared" si="43"/>
        <v>1480</v>
      </c>
      <c r="X189">
        <v>6800</v>
      </c>
      <c r="Y189">
        <f t="shared" si="42"/>
        <v>4000455</v>
      </c>
      <c r="Z189" t="str">
        <f t="shared" si="40"/>
        <v>4000455_0_1_6800,4000455_0_1_6800,4000455_0_1_6800</v>
      </c>
      <c r="AB189" t="str">
        <f t="shared" si="36"/>
        <v>40000_50600085_1_636,40000_50551065_1_1480,4000455_0_1_6800,4000455_0_1_6800,4000455_0_1_6800,30000_90003_1,30000_90002_9_10000</v>
      </c>
      <c r="AN189" t="str">
        <f t="shared" si="41"/>
        <v>30000_90003_1,30000_90002_9,40000_50600085_1,40000_50551065_1</v>
      </c>
    </row>
    <row r="190" spans="2:40">
      <c r="B190" t="s">
        <v>1025</v>
      </c>
      <c r="R190" t="str">
        <f>VLOOKUP(S190,[4]equip.xml!$A$2316:$C$2777,3,0)</f>
        <v>暗之追猎者</v>
      </c>
      <c r="S190">
        <v>50602055</v>
      </c>
      <c r="T190" t="str">
        <f>VLOOKUP(U190,[4]equip.xml!$A$2316:$C$2777,3,0)</f>
        <v>银矢箭筒</v>
      </c>
      <c r="U190">
        <v>50552065</v>
      </c>
      <c r="V190">
        <v>629</v>
      </c>
      <c r="W190">
        <f t="shared" si="43"/>
        <v>1470</v>
      </c>
      <c r="X190">
        <v>6825</v>
      </c>
      <c r="Y190">
        <f t="shared" si="42"/>
        <v>4000455</v>
      </c>
      <c r="Z190" t="str">
        <f t="shared" si="40"/>
        <v>4000455_0_1_6825,4000455_0_1_6825,4000455_0_1_6825</v>
      </c>
      <c r="AB190" t="str">
        <f t="shared" si="36"/>
        <v>40000_50602055_1_629,40000_50552065_1_1470,4000455_0_1_6825,4000455_0_1_6825,4000455_0_1_6825,30000_90003_1,30000_90002_10_10000</v>
      </c>
      <c r="AN190" t="str">
        <f t="shared" si="41"/>
        <v>30000_90003_1,30000_90002_10,40000_50602055_1,40000_50552065_1</v>
      </c>
    </row>
    <row r="191" spans="2:40">
      <c r="B191" t="s">
        <v>1026</v>
      </c>
      <c r="R191" t="str">
        <f>VLOOKUP(S191,[4]equip.xml!$A$2316:$C$2777,3,0)</f>
        <v>统御腰带</v>
      </c>
      <c r="S191">
        <v>50650035</v>
      </c>
      <c r="T191" t="str">
        <f>VLOOKUP(U191,[4]equip.xml!$A$2316:$C$2777,3,0)</f>
        <v>无尽回响之杖</v>
      </c>
      <c r="U191">
        <v>50603055</v>
      </c>
      <c r="V191">
        <v>622</v>
      </c>
      <c r="W191">
        <f t="shared" si="43"/>
        <v>1460</v>
      </c>
      <c r="X191">
        <v>6850</v>
      </c>
      <c r="Y191">
        <f t="shared" si="42"/>
        <v>4000460</v>
      </c>
      <c r="Z191" t="str">
        <f t="shared" si="40"/>
        <v>4000460_0_1_6850,4000460_0_1_6850,4000460_0_1_6850</v>
      </c>
      <c r="AB191" t="str">
        <f t="shared" si="36"/>
        <v>40000_50650035_1_622,40000_50603055_1_1460,4000460_0_1_6850,4000460_0_1_6850,4000460_0_1_6850,30000_90003_1,30000_90002_8_10000</v>
      </c>
      <c r="AN191" t="str">
        <f t="shared" si="41"/>
        <v>30000_90003_1,30000_90002_8,40000_50650035_1,40000_50603055_1</v>
      </c>
    </row>
    <row r="192" spans="2:40">
      <c r="B192" t="s">
        <v>1024</v>
      </c>
      <c r="R192" t="str">
        <f>VLOOKUP(S192,[4]equip.xml!$A$2316:$C$2777,3,0)</f>
        <v>圣火指环</v>
      </c>
      <c r="S192">
        <v>50650025</v>
      </c>
      <c r="T192" t="str">
        <f>VLOOKUP(U192,[4]equip.xml!$A$2316:$C$2777,3,0)</f>
        <v>猎星箭袋</v>
      </c>
      <c r="U192">
        <v>50602065</v>
      </c>
      <c r="V192">
        <v>615</v>
      </c>
      <c r="W192">
        <f t="shared" si="43"/>
        <v>1450</v>
      </c>
      <c r="X192">
        <v>6875</v>
      </c>
      <c r="Y192">
        <f t="shared" si="42"/>
        <v>4000460</v>
      </c>
      <c r="Z192" t="str">
        <f t="shared" si="40"/>
        <v>4000460_0_1_6875,4000460_0_1_6875,4000460_0_1_6875</v>
      </c>
      <c r="AB192" t="str">
        <f t="shared" si="36"/>
        <v>40000_50650025_1_615,40000_50602065_1_1450,4000460_0_1_6875,4000460_0_1_6875,4000460_0_1_6875,30000_90003_1,30000_90002_8_10000</v>
      </c>
      <c r="AN192" t="str">
        <f t="shared" si="41"/>
        <v>30000_90003_1,30000_90002_8,40000_50650025_1,40000_50602065_1</v>
      </c>
    </row>
    <row r="193" spans="2:40">
      <c r="B193" t="s">
        <v>1024</v>
      </c>
      <c r="R193" t="str">
        <f>VLOOKUP(S193,[4]equip.xml!$A$2316:$C$2777,3,0)</f>
        <v>狱火战靴</v>
      </c>
      <c r="S193">
        <v>50650085</v>
      </c>
      <c r="T193" t="str">
        <f>VLOOKUP(U193,[4]equip.xml!$A$2316:$C$2777,3,0)</f>
        <v>毁灭之刃</v>
      </c>
      <c r="U193">
        <v>50601055</v>
      </c>
      <c r="V193">
        <v>608</v>
      </c>
      <c r="W193">
        <f t="shared" si="43"/>
        <v>1440</v>
      </c>
      <c r="X193">
        <v>6900</v>
      </c>
      <c r="Y193">
        <f t="shared" si="42"/>
        <v>4000460</v>
      </c>
      <c r="Z193" t="str">
        <f t="shared" si="40"/>
        <v>4000460_0_1_6900,4000460_0_1_6900,4000460_0_1_6900</v>
      </c>
      <c r="AB193" t="str">
        <f t="shared" si="36"/>
        <v>40000_50650085_1_608,40000_50601055_1_1440,4000460_0_1_6900,4000460_0_1_6900,4000460_0_1_6900,30000_90003_1,30000_90002_9_10000</v>
      </c>
      <c r="AN193" t="str">
        <f t="shared" si="41"/>
        <v>30000_90003_1,30000_90002_9,40000_50650085_1,40000_50601055_1</v>
      </c>
    </row>
    <row r="194" spans="2:40">
      <c r="B194" t="s">
        <v>1025</v>
      </c>
      <c r="R194" t="str">
        <f>VLOOKUP(S194,[4]equip.xml!$A$2316:$C$2777,3,0)</f>
        <v>救赎坠饰</v>
      </c>
      <c r="S194">
        <v>50650105</v>
      </c>
      <c r="T194" t="str">
        <f>VLOOKUP(U194,[4]equip.xml!$A$2316:$C$2777,3,0)</f>
        <v>英勇战盔</v>
      </c>
      <c r="U194">
        <v>50600015</v>
      </c>
      <c r="V194">
        <v>601</v>
      </c>
      <c r="W194">
        <f t="shared" si="43"/>
        <v>1430</v>
      </c>
      <c r="X194">
        <v>6925</v>
      </c>
      <c r="Y194">
        <f t="shared" si="42"/>
        <v>4000460</v>
      </c>
      <c r="Z194" t="str">
        <f t="shared" si="40"/>
        <v>4000460_0_1_6925,4000460_0_1_6925,4000460_0_1_6925</v>
      </c>
      <c r="AB194" t="str">
        <f t="shared" si="36"/>
        <v>40000_50650105_1_601,40000_50600015_1_1430,4000460_0_1_6925,4000460_0_1_6925,4000460_0_1_6925,30000_90003_1,30000_90002_9_10000</v>
      </c>
      <c r="AN194" t="str">
        <f t="shared" si="41"/>
        <v>30000_90003_1,30000_90002_9,40000_50650105_1,40000_50600015_1</v>
      </c>
    </row>
    <row r="195" spans="2:40">
      <c r="B195" t="s">
        <v>1025</v>
      </c>
      <c r="R195" t="str">
        <f>VLOOKUP(S195,[4]equip.xml!$A$2316:$C$2777,3,0)</f>
        <v>末世胸铠</v>
      </c>
      <c r="S195">
        <v>50650045</v>
      </c>
      <c r="T195" t="str">
        <f>VLOOKUP(U195,[4]equip.xml!$A$2316:$C$2777,3,0)</f>
        <v>暗之追猎者</v>
      </c>
      <c r="U195">
        <v>50602055</v>
      </c>
      <c r="V195">
        <v>594</v>
      </c>
      <c r="W195">
        <f t="shared" si="43"/>
        <v>1420</v>
      </c>
      <c r="X195">
        <v>6950</v>
      </c>
      <c r="Y195">
        <f t="shared" si="42"/>
        <v>4000460</v>
      </c>
      <c r="Z195" t="str">
        <f t="shared" si="40"/>
        <v>4000460_0_1_6950,4000460_0_1_6950,4000460_0_1_6950</v>
      </c>
      <c r="AB195" t="str">
        <f t="shared" ref="AB195:AB258" si="44">"40000_"&amp;S195&amp;"_1_"&amp;V195&amp;","&amp;"40000_"&amp;U195&amp;"_1_"&amp;W195&amp;","&amp;Z195&amp;","&amp;B205&amp;"_10000"</f>
        <v>40000_50650045_1_594,40000_50602055_1_1420,4000460_0_1_6950,4000460_0_1_6950,4000460_0_1_6950,30000_90003_1,30000_90002_9_10000</v>
      </c>
      <c r="AN195" t="str">
        <f t="shared" si="41"/>
        <v>30000_90003_1,30000_90002_9,40000_50650045_1,40000_50602055_1</v>
      </c>
    </row>
    <row r="196" spans="2:40">
      <c r="B196" t="s">
        <v>1025</v>
      </c>
      <c r="R196" t="str">
        <f>VLOOKUP(S196,[4]equip.xml!$A$2316:$C$2777,3,0)</f>
        <v>荣耀先驱护手</v>
      </c>
      <c r="S196">
        <v>50650095</v>
      </c>
      <c r="T196" t="str">
        <f>VLOOKUP(U196,[4]equip.xml!$A$2316:$C$2777,3,0)</f>
        <v>灵魂壁垒</v>
      </c>
      <c r="U196">
        <v>50601065</v>
      </c>
      <c r="V196">
        <v>587</v>
      </c>
      <c r="W196">
        <f t="shared" si="43"/>
        <v>1410</v>
      </c>
      <c r="X196">
        <v>6975</v>
      </c>
      <c r="Y196">
        <f t="shared" si="42"/>
        <v>4000460</v>
      </c>
      <c r="Z196" t="str">
        <f t="shared" si="40"/>
        <v>4000460_0_1_6975,4000460_0_1_6975,4000460_0_1_6975</v>
      </c>
      <c r="AB196" t="str">
        <f t="shared" si="44"/>
        <v>40000_50650095_1_587,40000_50601065_1_1410,4000460_0_1_6975,4000460_0_1_6975,4000460_0_1_6975,30000_90003_1,30000_90002_10_10000</v>
      </c>
      <c r="AN196" t="str">
        <f t="shared" si="41"/>
        <v>30000_90003_1,30000_90002_10,40000_50650095_1,40000_50601065_1</v>
      </c>
    </row>
    <row r="197" spans="2:40">
      <c r="B197" t="s">
        <v>1026</v>
      </c>
      <c r="R197" t="str">
        <f>VLOOKUP(S197,[4]equip.xml!$A$2316:$C$2777,3,0)</f>
        <v>虚空之冠</v>
      </c>
      <c r="S197">
        <v>50650015</v>
      </c>
      <c r="T197" t="str">
        <f>VLOOKUP(U197,[4]equip.xml!$A$2316:$C$2777,3,0)</f>
        <v>星图指南</v>
      </c>
      <c r="U197">
        <v>50603065</v>
      </c>
      <c r="V197">
        <v>580</v>
      </c>
      <c r="W197">
        <f t="shared" si="43"/>
        <v>1400</v>
      </c>
      <c r="X197">
        <v>7000</v>
      </c>
      <c r="Y197">
        <f t="shared" si="42"/>
        <v>4000460</v>
      </c>
      <c r="Z197" t="str">
        <f t="shared" si="40"/>
        <v>4000460_0_1_7000,4000460_0_1_7000,4000460_0_1_7000</v>
      </c>
      <c r="AB197" t="str">
        <f t="shared" si="44"/>
        <v>40000_50650015_1_580,40000_50603065_1_1400,4000460_0_1_7000,4000460_0_1_7000,4000460_0_1_7000,30000_90003_1,30000_90002_10_10000</v>
      </c>
      <c r="AN197" t="str">
        <f t="shared" si="41"/>
        <v>30000_90003_1,30000_90002_10,40000_50650015_1,40000_50603065_1</v>
      </c>
    </row>
    <row r="198" spans="2:40">
      <c r="B198" t="s">
        <v>1026</v>
      </c>
      <c r="R198" t="str">
        <f>VLOOKUP(S198,[4]equip.xml!$A$2316:$C$2777,3,0)</f>
        <v>止战腿甲</v>
      </c>
      <c r="S198">
        <v>50650075</v>
      </c>
      <c r="T198" s="14" t="str">
        <f>VLOOKUP(U198,[4]equip.xml!$A$2316:$C$2777,3,0)</f>
        <v>追噬之矢</v>
      </c>
      <c r="U198">
        <v>50652065</v>
      </c>
      <c r="V198">
        <v>573</v>
      </c>
      <c r="W198">
        <f t="shared" si="43"/>
        <v>1390</v>
      </c>
      <c r="X198">
        <v>7025</v>
      </c>
      <c r="Y198">
        <f t="shared" si="42"/>
        <v>4000460</v>
      </c>
      <c r="Z198" t="str">
        <f t="shared" si="40"/>
        <v>4000460_0_1_7025,4000460_0_1_7025,4000460_0_1_7025</v>
      </c>
      <c r="AB198" t="str">
        <f t="shared" si="44"/>
        <v>40000_50650075_1_573,40000_50652065_1_1390,4000460_0_1_7025,4000460_0_1_7025,4000460_0_1_7025,30000_90003_1,30000_90002_10_10000</v>
      </c>
      <c r="AN198" t="str">
        <f t="shared" si="41"/>
        <v>30000_90003_1,30000_90002_10,40000_50650075_1,40000_50652065_1</v>
      </c>
    </row>
    <row r="199" spans="2:40">
      <c r="B199" t="s">
        <v>1026</v>
      </c>
      <c r="R199" t="str">
        <f>VLOOKUP(S199,[4]equip.xml!$A$2316:$C$2777,3,0)</f>
        <v>憎恨之击</v>
      </c>
      <c r="S199">
        <v>50652055</v>
      </c>
      <c r="T199" t="str">
        <f>VLOOKUP(U199,[4]equip.xml!$A$2316:$C$2777,3,0)</f>
        <v>远征腰带</v>
      </c>
      <c r="U199">
        <v>50600035</v>
      </c>
      <c r="V199">
        <v>566</v>
      </c>
      <c r="W199">
        <f t="shared" si="43"/>
        <v>1380</v>
      </c>
      <c r="X199">
        <v>7050</v>
      </c>
      <c r="Y199">
        <f t="shared" si="42"/>
        <v>4000460</v>
      </c>
      <c r="Z199" t="str">
        <f t="shared" si="40"/>
        <v>4000460_0_1_7050,4000460_0_1_7050,4000460_0_1_7050</v>
      </c>
      <c r="AB199" t="str">
        <f t="shared" si="44"/>
        <v>40000_50652055_1_566,40000_50600035_1_1380,4000460_0_1_7050,4000460_0_1_7050,4000460_0_1_7050,30000_90003_1,30000_90002_11_10000</v>
      </c>
      <c r="AN199" t="str">
        <f t="shared" si="41"/>
        <v>30000_90003_1,30000_90002_11,40000_50652055_1,40000_50600035_1</v>
      </c>
    </row>
    <row r="200" spans="2:40">
      <c r="B200" t="s">
        <v>1027</v>
      </c>
      <c r="R200" t="str">
        <f>VLOOKUP(S200,[4]equip.xml!$A$2316:$C$2777,3,0)</f>
        <v>岁月永恒护符</v>
      </c>
      <c r="S200">
        <v>50700105</v>
      </c>
      <c r="T200" t="str">
        <f>VLOOKUP(U200,[4]equip.xml!$A$2316:$C$2777,3,0)</f>
        <v>虚空之冠</v>
      </c>
      <c r="U200">
        <v>50650015</v>
      </c>
      <c r="V200">
        <v>559</v>
      </c>
      <c r="W200">
        <f t="shared" si="43"/>
        <v>1370</v>
      </c>
      <c r="X200">
        <v>7075</v>
      </c>
      <c r="Y200">
        <f t="shared" si="42"/>
        <v>4000465</v>
      </c>
      <c r="Z200" t="str">
        <f t="shared" si="40"/>
        <v>4000465_0_1_7075,4000465_0_1_7075,4000465_0_1_7075</v>
      </c>
      <c r="AB200" t="str">
        <f t="shared" si="44"/>
        <v>40000_50700105_1_559,40000_50650015_1_1370,4000465_0_1_7075,4000465_0_1_7075,4000465_0_1_7075,30000_90003_1,30000_90002_9_10000</v>
      </c>
      <c r="AN200" t="str">
        <f t="shared" si="41"/>
        <v>30000_90003_1,30000_90002_9,40000_50700105_1,40000_50650015_1</v>
      </c>
    </row>
    <row r="201" spans="2:40">
      <c r="B201" t="s">
        <v>1025</v>
      </c>
      <c r="R201" t="str">
        <f>VLOOKUP(S201,[4]equip.xml!$A$2316:$C$2777,3,0)</f>
        <v>裂隙之手</v>
      </c>
      <c r="S201">
        <v>50700095</v>
      </c>
      <c r="T201" t="str">
        <f>VLOOKUP(U201,[4]equip.xml!$A$2316:$C$2777,3,0)</f>
        <v>日怒之盾</v>
      </c>
      <c r="U201">
        <v>50651065</v>
      </c>
      <c r="V201">
        <v>552</v>
      </c>
      <c r="W201">
        <f t="shared" si="43"/>
        <v>1360</v>
      </c>
      <c r="X201">
        <v>7100</v>
      </c>
      <c r="Y201">
        <f t="shared" si="42"/>
        <v>4000465</v>
      </c>
      <c r="Z201" t="str">
        <f t="shared" si="40"/>
        <v>4000465_0_1_7100,4000465_0_1_7100,4000465_0_1_7100</v>
      </c>
      <c r="AB201" t="str">
        <f t="shared" si="44"/>
        <v>40000_50700095_1_552,40000_50651065_1_1360,4000465_0_1_7100,4000465_0_1_7100,4000465_0_1_7100,30000_90003_1,30000_90002_9_10000</v>
      </c>
      <c r="AN201" t="str">
        <f t="shared" si="41"/>
        <v>30000_90003_1,30000_90002_9,40000_50700095_1,40000_50651065_1</v>
      </c>
    </row>
    <row r="202" spans="2:40">
      <c r="B202" t="s">
        <v>1025</v>
      </c>
      <c r="R202" t="str">
        <f>VLOOKUP(S202,[4]equip.xml!$A$2316:$C$2777,3,0)</f>
        <v>虚灵护腿</v>
      </c>
      <c r="S202">
        <v>50700075</v>
      </c>
      <c r="T202" s="14" t="str">
        <f>VLOOKUP(U202,[4]equip.xml!$A$2316:$C$2777,3,0)</f>
        <v>逐日之矢</v>
      </c>
      <c r="U202">
        <v>50702065</v>
      </c>
      <c r="V202">
        <v>545</v>
      </c>
      <c r="W202">
        <f t="shared" ref="W202:W233" si="45">W201-10</f>
        <v>1350</v>
      </c>
      <c r="X202">
        <v>7125</v>
      </c>
      <c r="Y202">
        <f t="shared" si="42"/>
        <v>4000465</v>
      </c>
      <c r="Z202" t="str">
        <f t="shared" ref="Z202:Z265" si="46">Y202&amp;"_0_1_"&amp;X202&amp;","&amp;Y202&amp;"_0_1_"&amp;X202&amp;","&amp;Y202&amp;"_0_1_"&amp;X202</f>
        <v>4000465_0_1_7125,4000465_0_1_7125,4000465_0_1_7125</v>
      </c>
      <c r="AB202" t="str">
        <f t="shared" si="44"/>
        <v>40000_50700075_1_545,40000_50702065_1_1350,4000465_0_1_7125,4000465_0_1_7125,4000465_0_1_7125,30000_90003_1,30000_90002_10_10000</v>
      </c>
      <c r="AN202" t="str">
        <f t="shared" ref="AN202:AN265" si="47">B77&amp;","&amp;"40000_"&amp;S202&amp;"_1"&amp;","&amp;"40000_"&amp;U202&amp;"_1"</f>
        <v>30000_90003_1,30000_90002_10,40000_50700075_1,40000_50702065_1</v>
      </c>
    </row>
    <row r="203" spans="2:40">
      <c r="B203" t="s">
        <v>1026</v>
      </c>
      <c r="R203" t="str">
        <f>VLOOKUP(S203,[4]equip.xml!$A$2316:$C$2777,3,0)</f>
        <v>无影轻靴</v>
      </c>
      <c r="S203">
        <v>50700085</v>
      </c>
      <c r="T203" t="str">
        <f>VLOOKUP(U203,[4]equip.xml!$A$2316:$C$2777,3,0)</f>
        <v>龙语秘典</v>
      </c>
      <c r="U203">
        <v>50653065</v>
      </c>
      <c r="V203">
        <v>538</v>
      </c>
      <c r="W203">
        <f t="shared" si="45"/>
        <v>1340</v>
      </c>
      <c r="X203">
        <v>7150</v>
      </c>
      <c r="Y203">
        <f t="shared" si="42"/>
        <v>4000465</v>
      </c>
      <c r="Z203" t="str">
        <f t="shared" si="46"/>
        <v>4000465_0_1_7150,4000465_0_1_7150,4000465_0_1_7150</v>
      </c>
      <c r="AB203" t="str">
        <f t="shared" si="44"/>
        <v>40000_50700085_1_538,40000_50653065_1_1340,4000465_0_1_7150,4000465_0_1_7150,4000465_0_1_7150,30000_90003_1,30000_90002_10_10000</v>
      </c>
      <c r="AN203" t="str">
        <f t="shared" si="47"/>
        <v>30000_90003_1,30000_90002_10,40000_50700085_1,40000_50653065_1</v>
      </c>
    </row>
    <row r="204" spans="2:40">
      <c r="B204" t="s">
        <v>1026</v>
      </c>
      <c r="R204" t="str">
        <f>VLOOKUP(S204,[4]equip.xml!$A$2316:$C$2777,3,0)</f>
        <v>光铸胸甲</v>
      </c>
      <c r="S204">
        <v>50700045</v>
      </c>
      <c r="T204" t="str">
        <f>VLOOKUP(U204,[4]equip.xml!$A$2316:$C$2777,3,0)</f>
        <v>时轮金杖</v>
      </c>
      <c r="U204">
        <v>50653055</v>
      </c>
      <c r="V204">
        <v>531</v>
      </c>
      <c r="W204">
        <f t="shared" si="45"/>
        <v>1330</v>
      </c>
      <c r="X204">
        <v>7175</v>
      </c>
      <c r="Y204">
        <f t="shared" si="42"/>
        <v>4000465</v>
      </c>
      <c r="Z204" t="str">
        <f t="shared" si="46"/>
        <v>4000465_0_1_7175,4000465_0_1_7175,4000465_0_1_7175</v>
      </c>
      <c r="AB204" t="str">
        <f t="shared" si="44"/>
        <v>40000_50700045_1_531,40000_50653055_1_1330,4000465_0_1_7175,4000465_0_1_7175,4000465_0_1_7175,30000_90003_1,30000_90002_10_10000</v>
      </c>
      <c r="AN204" t="str">
        <f t="shared" si="47"/>
        <v>30000_90003_1,30000_90002_10,40000_50700045_1,40000_50653055_1</v>
      </c>
    </row>
    <row r="205" spans="2:40">
      <c r="B205" t="s">
        <v>1026</v>
      </c>
      <c r="R205" t="str">
        <f>VLOOKUP(S205,[4]equip.xml!$A$2316:$C$2777,3,0)</f>
        <v>破碎之冠</v>
      </c>
      <c r="S205">
        <v>50700015</v>
      </c>
      <c r="T205" t="str">
        <f>VLOOKUP(U205,[4]equip.xml!$A$2316:$C$2777,3,0)</f>
        <v>追噬之矢</v>
      </c>
      <c r="U205">
        <v>50652065</v>
      </c>
      <c r="V205">
        <v>524</v>
      </c>
      <c r="W205">
        <f t="shared" si="45"/>
        <v>1320</v>
      </c>
      <c r="X205">
        <v>7200</v>
      </c>
      <c r="Y205">
        <f t="shared" si="42"/>
        <v>4000465</v>
      </c>
      <c r="Z205" t="str">
        <f t="shared" si="46"/>
        <v>4000465_0_1_7200,4000465_0_1_7200,4000465_0_1_7200</v>
      </c>
      <c r="AB205" t="str">
        <f t="shared" si="44"/>
        <v>40000_50700015_1_524,40000_50652065_1_1320,4000465_0_1_7200,4000465_0_1_7200,4000465_0_1_7200,30000_90003_1,30000_90002_11_10000</v>
      </c>
      <c r="AN205" t="str">
        <f t="shared" si="47"/>
        <v>30000_90003_1,30000_90002_11,40000_50700015_1,40000_50652065_1</v>
      </c>
    </row>
    <row r="206" spans="2:40">
      <c r="B206" t="s">
        <v>1027</v>
      </c>
      <c r="R206" t="str">
        <f>VLOOKUP(S206,[4]equip.xml!$A$2316:$C$2777,3,0)</f>
        <v>灵谕之戒</v>
      </c>
      <c r="S206">
        <v>50700025</v>
      </c>
      <c r="T206" t="str">
        <f>VLOOKUP(U206,[4]equip.xml!$A$2316:$C$2777,3,0)</f>
        <v>憎恨之击</v>
      </c>
      <c r="U206">
        <v>50652055</v>
      </c>
      <c r="V206">
        <v>517</v>
      </c>
      <c r="W206">
        <f t="shared" si="45"/>
        <v>1310</v>
      </c>
      <c r="X206">
        <v>7225</v>
      </c>
      <c r="Y206">
        <f t="shared" si="42"/>
        <v>4000465</v>
      </c>
      <c r="Z206" t="str">
        <f t="shared" si="46"/>
        <v>4000465_0_1_7225,4000465_0_1_7225,4000465_0_1_7225</v>
      </c>
      <c r="AB206" t="str">
        <f t="shared" si="44"/>
        <v>40000_50700025_1_517,40000_50652055_1_1310,4000465_0_1_7225,4000465_0_1_7225,4000465_0_1_7225,30000_90003_1,30000_90002_11_10000</v>
      </c>
      <c r="AN206" t="str">
        <f t="shared" si="47"/>
        <v>30000_90003_1,30000_90002_11,40000_50700025_1,40000_50652055_1</v>
      </c>
    </row>
    <row r="207" spans="2:40">
      <c r="B207" t="s">
        <v>1027</v>
      </c>
      <c r="R207" t="str">
        <f>VLOOKUP(S207,[4]equip.xml!$A$2316:$C$2777,3,0)</f>
        <v>怒涛腰带</v>
      </c>
      <c r="S207">
        <v>50700035</v>
      </c>
      <c r="T207" t="str">
        <f>VLOOKUP(U207,[4]equip.xml!$A$2316:$C$2777,3,0)</f>
        <v>统御腰带</v>
      </c>
      <c r="U207">
        <v>50650035</v>
      </c>
      <c r="V207">
        <v>510</v>
      </c>
      <c r="W207">
        <f t="shared" si="45"/>
        <v>1300</v>
      </c>
      <c r="X207">
        <v>7250</v>
      </c>
      <c r="Y207">
        <f t="shared" si="42"/>
        <v>4000465</v>
      </c>
      <c r="Z207" t="str">
        <f t="shared" si="46"/>
        <v>4000465_0_1_7250,4000465_0_1_7250,4000465_0_1_7250</v>
      </c>
      <c r="AB207" t="str">
        <f t="shared" si="44"/>
        <v>40000_50700035_1_510,40000_50650035_1_1300,4000465_0_1_7250,4000465_0_1_7250,4000465_0_1_7250,30000_90003_1,30000_90002_11_10000</v>
      </c>
      <c r="AN207" t="str">
        <f t="shared" si="47"/>
        <v>30000_90003_1,30000_90002_11,40000_50700035_1,40000_50650035_1</v>
      </c>
    </row>
    <row r="208" spans="2:40">
      <c r="B208" t="s">
        <v>1027</v>
      </c>
      <c r="R208" t="str">
        <f>VLOOKUP(S208,[4]equip.xml!$A$2316:$C$2777,3,0)</f>
        <v>日怒凰弓</v>
      </c>
      <c r="S208">
        <v>50702055</v>
      </c>
      <c r="T208" t="str">
        <f>VLOOKUP(U208,[4]equip.xml!$A$2316:$C$2777,3,0)</f>
        <v>魂歌之刃</v>
      </c>
      <c r="U208">
        <v>50651055</v>
      </c>
      <c r="V208">
        <v>503</v>
      </c>
      <c r="W208">
        <f t="shared" si="45"/>
        <v>1290</v>
      </c>
      <c r="X208">
        <v>7275</v>
      </c>
      <c r="Y208">
        <f t="shared" si="42"/>
        <v>4000465</v>
      </c>
      <c r="Z208" t="str">
        <f t="shared" si="46"/>
        <v>4000465_0_1_7275,4000465_0_1_7275,4000465_0_1_7275</v>
      </c>
      <c r="AB208" t="str">
        <f t="shared" si="44"/>
        <v>40000_50702055_1_503,40000_50651055_1_1290,4000465_0_1_7275,4000465_0_1_7275,4000465_0_1_7275,30000_90003_1,30000_90002_12_10000</v>
      </c>
      <c r="AN208" t="str">
        <f t="shared" si="47"/>
        <v>30000_90003_1,30000_90002_12,40000_50702055_1,40000_50651055_1</v>
      </c>
    </row>
    <row r="209" spans="2:40">
      <c r="B209" t="s">
        <v>1028</v>
      </c>
      <c r="R209" t="str">
        <f>VLOOKUP(S209,[4]equip.xml!$A$2316:$C$2777,3,0)</f>
        <v>守望胸甲</v>
      </c>
      <c r="S209">
        <v>50750045</v>
      </c>
      <c r="T209" t="str">
        <f>VLOOKUP(U209,[4]equip.xml!$A$2316:$C$2777,3,0)</f>
        <v>破碎之冠</v>
      </c>
      <c r="U209">
        <v>50700015</v>
      </c>
      <c r="V209">
        <v>496</v>
      </c>
      <c r="W209">
        <f t="shared" si="45"/>
        <v>1280</v>
      </c>
      <c r="X209">
        <v>7300</v>
      </c>
      <c r="Y209">
        <f t="shared" si="42"/>
        <v>4000470</v>
      </c>
      <c r="Z209" t="str">
        <f t="shared" si="46"/>
        <v>4000470_0_1_7300,4000470_0_1_7300,4000470_0_1_7300</v>
      </c>
      <c r="AB209" t="str">
        <f t="shared" si="44"/>
        <v>40000_50750045_1_496,40000_50700015_1_1280,4000470_0_1_7300,4000470_0_1_7300,4000470_0_1_7300,30000_90003_1,30000_90002_5_10000</v>
      </c>
      <c r="AN209" t="str">
        <f t="shared" si="47"/>
        <v>30000_90003_1,30000_90002_5,40000_50750045_1,40000_50700015_1</v>
      </c>
    </row>
    <row r="210" spans="2:40">
      <c r="B210" t="s">
        <v>1026</v>
      </c>
      <c r="R210" t="str">
        <f>VLOOKUP(S210,[4]equip.xml!$A$2316:$C$2777,3,0)</f>
        <v>地脉之环</v>
      </c>
      <c r="S210">
        <v>50750025</v>
      </c>
      <c r="T210" t="str">
        <f>VLOOKUP(U210,[4]equip.xml!$A$2316:$C$2777,3,0)</f>
        <v>永恒之盾</v>
      </c>
      <c r="U210">
        <v>50701065</v>
      </c>
      <c r="V210">
        <v>489</v>
      </c>
      <c r="W210">
        <f t="shared" si="45"/>
        <v>1270</v>
      </c>
      <c r="X210">
        <v>7325</v>
      </c>
      <c r="Y210">
        <f t="shared" si="42"/>
        <v>4000470</v>
      </c>
      <c r="Z210" t="str">
        <f t="shared" si="46"/>
        <v>4000470_0_1_7325,4000470_0_1_7325,4000470_0_1_7325</v>
      </c>
      <c r="AB210" t="str">
        <f t="shared" si="44"/>
        <v>40000_50750025_1_489,40000_50701065_1_1270,4000470_0_1_7325,4000470_0_1_7325,4000470_0_1_7325,30000_90003_1,30000_90002_5_10000</v>
      </c>
      <c r="AN210" t="str">
        <f t="shared" si="47"/>
        <v>30000_90003_1,30000_90002_5,40000_50750025_1,40000_50701065_1</v>
      </c>
    </row>
    <row r="211" spans="2:40">
      <c r="B211" t="s">
        <v>1026</v>
      </c>
      <c r="R211" t="str">
        <f>VLOOKUP(S211,[4]equip.xml!$A$2316:$C$2777,3,0)</f>
        <v>薄霜护手</v>
      </c>
      <c r="S211">
        <v>50750095</v>
      </c>
      <c r="T211" t="str">
        <f>VLOOKUP(U211,[4]equip.xml!$A$2316:$C$2777,3,0)</f>
        <v>日怒凰弓</v>
      </c>
      <c r="U211">
        <v>50702055</v>
      </c>
      <c r="V211">
        <v>482</v>
      </c>
      <c r="W211">
        <f t="shared" si="45"/>
        <v>1260</v>
      </c>
      <c r="X211">
        <v>7350</v>
      </c>
      <c r="Y211">
        <f t="shared" ref="Y211:Y217" si="48">Y202+5</f>
        <v>4000470</v>
      </c>
      <c r="Z211" t="str">
        <f t="shared" si="46"/>
        <v>4000470_0_1_7350,4000470_0_1_7350,4000470_0_1_7350</v>
      </c>
      <c r="AB211" t="str">
        <f t="shared" si="44"/>
        <v>40000_50750095_1_482,40000_50702055_1_1260,4000470_0_1_7350,4000470_0_1_7350,4000470_0_1_7350,30000_90003_1,30000_90002_6_10000</v>
      </c>
      <c r="AN211" t="str">
        <f t="shared" si="47"/>
        <v>30000_90003_1,30000_90002_6,40000_50750095_1,40000_50702055_1</v>
      </c>
    </row>
    <row r="212" spans="2:40">
      <c r="B212" t="s">
        <v>1027</v>
      </c>
      <c r="R212" t="str">
        <f>VLOOKUP(S212,[4]equip.xml!$A$2316:$C$2777,3,0)</f>
        <v>缚誓护腰</v>
      </c>
      <c r="S212">
        <v>50750035</v>
      </c>
      <c r="T212" s="14" t="str">
        <f>VLOOKUP(U212,[4]equip.xml!$A$2316:$C$2777,3,0)</f>
        <v>灵犀箭筒</v>
      </c>
      <c r="U212">
        <v>50752066</v>
      </c>
      <c r="V212">
        <v>475</v>
      </c>
      <c r="W212">
        <f t="shared" si="45"/>
        <v>1250</v>
      </c>
      <c r="X212">
        <v>7375</v>
      </c>
      <c r="Y212">
        <f t="shared" si="48"/>
        <v>4000470</v>
      </c>
      <c r="Z212" t="str">
        <f t="shared" si="46"/>
        <v>4000470_0_1_7375,4000470_0_1_7375,4000470_0_1_7375</v>
      </c>
      <c r="AB212" t="str">
        <f t="shared" si="44"/>
        <v>40000_50750035_1_475,40000_50752066_1_1250,4000470_0_1_7375,4000470_0_1_7375,4000470_0_1_7375,30000_90003_1,30000_90002_6_10000</v>
      </c>
      <c r="AN212" t="str">
        <f t="shared" si="47"/>
        <v>30000_90003_1,30000_90002_6,40000_50750035_1,40000_50752066_1</v>
      </c>
    </row>
    <row r="213" spans="2:40">
      <c r="B213" t="s">
        <v>1027</v>
      </c>
      <c r="R213" t="str">
        <f>VLOOKUP(S213,[4]equip.xml!$A$2316:$C$2777,3,0)</f>
        <v>踏冰长靴</v>
      </c>
      <c r="S213">
        <v>50750085</v>
      </c>
      <c r="T213" t="str">
        <f>VLOOKUP(U213,[4]equip.xml!$A$2316:$C$2777,3,0)</f>
        <v>虚空魔典</v>
      </c>
      <c r="U213">
        <v>50703065</v>
      </c>
      <c r="V213">
        <v>468</v>
      </c>
      <c r="W213">
        <f t="shared" si="45"/>
        <v>1240</v>
      </c>
      <c r="X213">
        <v>7400</v>
      </c>
      <c r="Y213">
        <f t="shared" si="48"/>
        <v>4000470</v>
      </c>
      <c r="Z213" t="str">
        <f t="shared" si="46"/>
        <v>4000470_0_1_7400,4000470_0_1_7400,4000470_0_1_7400</v>
      </c>
      <c r="AB213" t="str">
        <f t="shared" si="44"/>
        <v>40000_50750085_1_468,40000_50703065_1_1240,4000470_0_1_7400,4000470_0_1_7400,4000470_0_1_7400,30000_90003_1,30000_90002_6_10000</v>
      </c>
      <c r="AN213" t="str">
        <f t="shared" si="47"/>
        <v>30000_90003_1,30000_90002_6,40000_50750085_1,40000_50703065_1</v>
      </c>
    </row>
    <row r="214" spans="2:40">
      <c r="B214" t="s">
        <v>1027</v>
      </c>
      <c r="R214" t="str">
        <f>VLOOKUP(S214,[4]equip.xml!$A$2316:$C$2777,3,0)</f>
        <v>极光挂坠</v>
      </c>
      <c r="S214">
        <v>50750105</v>
      </c>
      <c r="T214" t="str">
        <f>VLOOKUP(U214,[4]equip.xml!$A$2316:$C$2777,3,0)</f>
        <v>逐日之矢</v>
      </c>
      <c r="U214">
        <v>50702065</v>
      </c>
      <c r="V214">
        <v>461</v>
      </c>
      <c r="W214">
        <f t="shared" si="45"/>
        <v>1230</v>
      </c>
      <c r="X214">
        <v>7425</v>
      </c>
      <c r="Y214">
        <f t="shared" si="48"/>
        <v>4000470</v>
      </c>
      <c r="Z214" t="str">
        <f t="shared" si="46"/>
        <v>4000470_0_1_7425,4000470_0_1_7425,4000470_0_1_7425</v>
      </c>
      <c r="AB214" t="str">
        <f t="shared" si="44"/>
        <v>40000_50750105_1_461,40000_50702065_1_1230,4000470_0_1_7425,4000470_0_1_7425,4000470_0_1_7425,30000_90003_1,30000_90002_7_10000</v>
      </c>
      <c r="AN214" t="str">
        <f t="shared" si="47"/>
        <v>30000_90003_1,30000_90002_7,40000_50750105_1,40000_50702065_1</v>
      </c>
    </row>
    <row r="215" spans="2:40">
      <c r="B215" t="s">
        <v>1028</v>
      </c>
      <c r="R215" t="str">
        <f>VLOOKUP(S215,[4]equip.xml!$A$2316:$C$2777,3,0)</f>
        <v>凛冬头盔</v>
      </c>
      <c r="S215">
        <v>50750015</v>
      </c>
      <c r="T215" t="str">
        <f>VLOOKUP(U215,[4]equip.xml!$A$2316:$C$2777,3,0)</f>
        <v>怒涛腰带</v>
      </c>
      <c r="U215">
        <v>50700035</v>
      </c>
      <c r="V215">
        <v>454</v>
      </c>
      <c r="W215">
        <f t="shared" si="45"/>
        <v>1220</v>
      </c>
      <c r="X215">
        <v>7450</v>
      </c>
      <c r="Y215">
        <f t="shared" si="48"/>
        <v>4000470</v>
      </c>
      <c r="Z215" t="str">
        <f t="shared" si="46"/>
        <v>4000470_0_1_7450,4000470_0_1_7450,4000470_0_1_7450</v>
      </c>
      <c r="AB215" t="str">
        <f t="shared" si="44"/>
        <v>40000_50750015_1_454,40000_50700035_1_1220,4000470_0_1_7450,4000470_0_1_7450,4000470_0_1_7450,30000_90003_1,30000_90002_7_10000</v>
      </c>
      <c r="AN215" t="str">
        <f t="shared" si="47"/>
        <v>30000_90003_1,30000_90002_7,40000_50750015_1,40000_50700035_1</v>
      </c>
    </row>
    <row r="216" spans="2:40">
      <c r="B216" t="s">
        <v>1028</v>
      </c>
      <c r="R216" t="str">
        <f>VLOOKUP(S216,[4]equip.xml!$A$2316:$C$2777,3,0)</f>
        <v>缚誓护腰</v>
      </c>
      <c r="S216">
        <v>50750035</v>
      </c>
      <c r="T216" t="str">
        <f>VLOOKUP(U216,[4]equip.xml!$A$2316:$C$2777,3,0)</f>
        <v>瓦解法杖</v>
      </c>
      <c r="U216">
        <v>50703055</v>
      </c>
      <c r="V216">
        <v>447</v>
      </c>
      <c r="W216">
        <f t="shared" si="45"/>
        <v>1210</v>
      </c>
      <c r="X216">
        <v>7475</v>
      </c>
      <c r="Y216">
        <f t="shared" si="48"/>
        <v>4000470</v>
      </c>
      <c r="Z216" t="str">
        <f t="shared" si="46"/>
        <v>4000470_0_1_7475,4000470_0_1_7475,4000470_0_1_7475</v>
      </c>
      <c r="AB216" t="str">
        <f t="shared" si="44"/>
        <v>40000_50750035_1_447,40000_50703055_1_1210,4000470_0_1_7475,4000470_0_1_7475,4000470_0_1_7475,30000_90003_1,30000_90002_7_10000</v>
      </c>
      <c r="AN216" t="str">
        <f t="shared" si="47"/>
        <v>30000_90003_1,30000_90002_7,40000_50750035_1,40000_50703055_1</v>
      </c>
    </row>
    <row r="217" spans="2:40">
      <c r="B217" t="s">
        <v>1028</v>
      </c>
      <c r="R217" t="str">
        <f>VLOOKUP(S217,[4]equip.xml!$A$2316:$C$2777,3,0)</f>
        <v>瞭天长弓</v>
      </c>
      <c r="S217">
        <v>50752056</v>
      </c>
      <c r="T217" t="str">
        <f>VLOOKUP(U217,[4]equip.xml!$A$2316:$C$2777,3,0)</f>
        <v>命运</v>
      </c>
      <c r="U217">
        <v>50701055</v>
      </c>
      <c r="V217">
        <v>440</v>
      </c>
      <c r="W217">
        <f t="shared" si="45"/>
        <v>1200</v>
      </c>
      <c r="X217">
        <v>7500</v>
      </c>
      <c r="Y217">
        <f t="shared" si="48"/>
        <v>4000470</v>
      </c>
      <c r="Z217" t="str">
        <f t="shared" si="46"/>
        <v>4000470_0_1_7500,4000470_0_1_7500,4000470_0_1_7500</v>
      </c>
      <c r="AB217" t="str">
        <f t="shared" si="44"/>
        <v>40000_50752056_1_440,40000_50701055_1_1200,4000470_0_1_7500,4000470_0_1_7500,4000470_0_1_7500,30000_90003_1,30000_90002_8_10000</v>
      </c>
      <c r="AN217" t="str">
        <f t="shared" si="47"/>
        <v>30000_90003_1,30000_90002_8,40000_50752056_1,40000_50701055_1</v>
      </c>
    </row>
    <row r="218" spans="2:40">
      <c r="B218" t="s">
        <v>1029</v>
      </c>
      <c r="R218" t="str">
        <f>VLOOKUP(S218,[4]equip.xml!$A$2316:$C$2777,3,0)</f>
        <v>亏蚀项链</v>
      </c>
      <c r="S218">
        <v>50800105</v>
      </c>
      <c r="T218" t="str">
        <f>VLOOKUP(U218,[4]equip.xml!$A$2316:$C$2777,3,0)</f>
        <v>嚎风之息</v>
      </c>
      <c r="U218">
        <v>50752055</v>
      </c>
      <c r="V218">
        <v>433</v>
      </c>
      <c r="W218">
        <f t="shared" si="45"/>
        <v>1190</v>
      </c>
      <c r="X218">
        <v>7525</v>
      </c>
      <c r="Y218">
        <v>4004074</v>
      </c>
      <c r="Z218" t="str">
        <f t="shared" si="46"/>
        <v>4004074_0_1_7525,4004074_0_1_7525,4004074_0_1_7525</v>
      </c>
      <c r="AB218" t="str">
        <f t="shared" si="44"/>
        <v>40000_50800105_1_433,40000_50752055_1_1190,4004074_0_1_7525,4004074_0_1_7525,4004074_0_1_7525,30000_90003_1,30000_90002_6_10000</v>
      </c>
      <c r="AN218" t="str">
        <f t="shared" si="47"/>
        <v>30000_90003_1,30000_90002_6,40000_50800105_1,40000_50752055_1</v>
      </c>
    </row>
    <row r="219" spans="2:40">
      <c r="B219" t="s">
        <v>1022</v>
      </c>
      <c r="R219" t="str">
        <f>VLOOKUP(S219,[4]equip.xml!$A$2316:$C$2777,3,0)</f>
        <v>缚法之靴</v>
      </c>
      <c r="S219">
        <v>50800085</v>
      </c>
      <c r="T219" s="14" t="str">
        <f>VLOOKUP(U219,[4]equip.xml!$A$2316:$C$2777,3,0)</f>
        <v>追逝箭袋</v>
      </c>
      <c r="U219">
        <v>50802066</v>
      </c>
      <c r="V219">
        <v>426</v>
      </c>
      <c r="W219">
        <f t="shared" si="45"/>
        <v>1180</v>
      </c>
      <c r="X219">
        <v>7550</v>
      </c>
      <c r="Y219">
        <v>4004074</v>
      </c>
      <c r="Z219" t="str">
        <f t="shared" si="46"/>
        <v>4004074_0_1_7550,4004074_0_1_7550,4004074_0_1_7550</v>
      </c>
      <c r="AB219" t="str">
        <f t="shared" si="44"/>
        <v>40000_50800085_1_426,40000_50802066_1_1180,4004074_0_1_7550,4004074_0_1_7550,4004074_0_1_7550,30000_90003_1,30000_90002_6_10000</v>
      </c>
      <c r="AN219" t="str">
        <f t="shared" si="47"/>
        <v>30000_90003_1,30000_90002_6,40000_50800085_1,40000_50802066_1</v>
      </c>
    </row>
    <row r="220" spans="2:40">
      <c r="B220" t="s">
        <v>1022</v>
      </c>
      <c r="R220" t="str">
        <f>VLOOKUP(S220,[4]equip.xml!$A$2316:$C$2777,3,0)</f>
        <v>梦境护手</v>
      </c>
      <c r="S220">
        <v>50800095</v>
      </c>
      <c r="T220" t="str">
        <f>VLOOKUP(U220,[4]equip.xml!$A$2316:$C$2777,3,0)</f>
        <v>凯旋护盾</v>
      </c>
      <c r="U220">
        <v>50751065</v>
      </c>
      <c r="V220">
        <v>419</v>
      </c>
      <c r="W220">
        <f t="shared" si="45"/>
        <v>1170</v>
      </c>
      <c r="X220">
        <v>7575</v>
      </c>
      <c r="Y220">
        <v>4004074</v>
      </c>
      <c r="Z220" t="str">
        <f t="shared" si="46"/>
        <v>4004074_0_1_7575,4004074_0_1_7575,4004074_0_1_7575</v>
      </c>
      <c r="AB220" t="str">
        <f t="shared" si="44"/>
        <v>40000_50800095_1_419,40000_50751065_1_1170,4004074_0_1_7575,4004074_0_1_7575,4004074_0_1_7575,30000_90003_1,30000_90002_7_10000</v>
      </c>
      <c r="AN220" t="str">
        <f t="shared" si="47"/>
        <v>30000_90003_1,30000_90002_7,40000_50800095_1,40000_50751065_1</v>
      </c>
    </row>
    <row r="221" spans="2:40">
      <c r="B221" t="s">
        <v>1023</v>
      </c>
      <c r="R221" t="str">
        <f>VLOOKUP(S221,[4]equip.xml!$A$2316:$C$2777,3,0)</f>
        <v>迷失护腿</v>
      </c>
      <c r="S221">
        <v>50800075</v>
      </c>
      <c r="T221" t="str">
        <f>VLOOKUP(U221,[4]equip.xml!$A$2316:$C$2777,3,0)</f>
        <v>缚誓护腰</v>
      </c>
      <c r="U221">
        <v>50750035</v>
      </c>
      <c r="V221">
        <v>412</v>
      </c>
      <c r="W221">
        <f t="shared" si="45"/>
        <v>1160</v>
      </c>
      <c r="X221">
        <v>7600</v>
      </c>
      <c r="Y221">
        <v>4004074</v>
      </c>
      <c r="Z221" t="str">
        <f t="shared" si="46"/>
        <v>4004074_0_1_7600,4004074_0_1_7600,4004074_0_1_7600</v>
      </c>
      <c r="AB221" t="str">
        <f t="shared" si="44"/>
        <v>40000_50800075_1_412,40000_50750035_1_1160,4004074_0_1_7600,4004074_0_1_7600,4004074_0_1_7600,30000_90003_1,30000_90002_7_10000</v>
      </c>
      <c r="AN221" t="str">
        <f t="shared" si="47"/>
        <v>30000_90003_1,30000_90002_7,40000_50800075_1,40000_50750035_1</v>
      </c>
    </row>
    <row r="222" spans="2:40">
      <c r="B222" t="s">
        <v>1023</v>
      </c>
      <c r="R222" t="str">
        <f>VLOOKUP(S222,[4]equip.xml!$A$2316:$C$2777,3,0)</f>
        <v>联合徽记</v>
      </c>
      <c r="S222">
        <v>50800025</v>
      </c>
      <c r="T222" t="str">
        <f>VLOOKUP(U222,[4]equip.xml!$A$2316:$C$2777,3,0)</f>
        <v>尘封遗典</v>
      </c>
      <c r="U222">
        <v>50753065</v>
      </c>
      <c r="V222">
        <v>405</v>
      </c>
      <c r="W222">
        <f t="shared" si="45"/>
        <v>1150</v>
      </c>
      <c r="X222">
        <v>7625</v>
      </c>
      <c r="Y222">
        <v>4004074</v>
      </c>
      <c r="Z222" t="str">
        <f t="shared" si="46"/>
        <v>4004074_0_1_7625,4004074_0_1_7625,4004074_0_1_7625</v>
      </c>
      <c r="AB222" t="str">
        <f t="shared" si="44"/>
        <v>40000_50800025_1_405,40000_50753065_1_1150,4004074_0_1_7625,4004074_0_1_7625,4004074_0_1_7625,30000_90003_1,30000_90002_7_10000</v>
      </c>
      <c r="AN222" t="str">
        <f t="shared" si="47"/>
        <v>30000_90003_1,30000_90002_7,40000_50800025_1,40000_50753065_1</v>
      </c>
    </row>
    <row r="223" spans="2:40">
      <c r="B223" t="s">
        <v>1023</v>
      </c>
      <c r="R223" t="str">
        <f>VLOOKUP(S223,[4]equip.xml!$A$2316:$C$2777,3,0)</f>
        <v>复仇战甲</v>
      </c>
      <c r="S223">
        <v>50800045</v>
      </c>
      <c r="T223" t="str">
        <f>VLOOKUP(U223,[4]equip.xml!$A$2316:$C$2777,3,0)</f>
        <v>疾鹰箭袋</v>
      </c>
      <c r="U223">
        <v>50752065</v>
      </c>
      <c r="V223">
        <v>398</v>
      </c>
      <c r="W223">
        <f t="shared" si="45"/>
        <v>1140</v>
      </c>
      <c r="X223">
        <v>7650</v>
      </c>
      <c r="Y223">
        <v>4004074</v>
      </c>
      <c r="Z223" t="str">
        <f t="shared" si="46"/>
        <v>4004074_0_1_7650,4004074_0_1_7650,4004074_0_1_7650</v>
      </c>
      <c r="AB223" t="str">
        <f t="shared" si="44"/>
        <v>40000_50800045_1_398,40000_50752065_1_1140,4004074_0_1_7650,4004074_0_1_7650,4004074_0_1_7650,30000_90003_1,30000_90002_8_10000</v>
      </c>
      <c r="AN223" t="str">
        <f t="shared" si="47"/>
        <v>30000_90003_1,30000_90002_8,40000_50800045_1,40000_50752065_1</v>
      </c>
    </row>
    <row r="224" spans="2:40">
      <c r="B224" t="s">
        <v>1024</v>
      </c>
      <c r="R224" t="str">
        <f>VLOOKUP(S224,[4]equip.xml!$A$2316:$C$2777,3,0)</f>
        <v>怒岩腰带</v>
      </c>
      <c r="S224">
        <v>50800035</v>
      </c>
      <c r="T224" t="str">
        <f>VLOOKUP(U224,[4]equip.xml!$A$2316:$C$2777,3,0)</f>
        <v>唤海长杖</v>
      </c>
      <c r="U224">
        <v>50753055</v>
      </c>
      <c r="V224">
        <v>391</v>
      </c>
      <c r="W224">
        <f t="shared" si="45"/>
        <v>1130</v>
      </c>
      <c r="X224">
        <v>7675</v>
      </c>
      <c r="Y224">
        <v>4004074</v>
      </c>
      <c r="Z224" t="str">
        <f t="shared" si="46"/>
        <v>4004074_0_1_7675,4004074_0_1_7675,4004074_0_1_7675</v>
      </c>
      <c r="AB224" t="str">
        <f t="shared" si="44"/>
        <v>40000_50800035_1_391,40000_50753055_1_1130,4004074_0_1_7675,4004074_0_1_7675,4004074_0_1_7675,30000_90003_1,30000_90002_8_10000</v>
      </c>
      <c r="AN224" t="str">
        <f t="shared" si="47"/>
        <v>30000_90003_1,30000_90002_8,40000_50800035_1,40000_50753055_1</v>
      </c>
    </row>
    <row r="225" spans="2:40">
      <c r="B225" t="s">
        <v>1024</v>
      </c>
      <c r="R225" t="str">
        <f>VLOOKUP(S225,[4]equip.xml!$A$2316:$C$2777,3,0)</f>
        <v>浴火战盔</v>
      </c>
      <c r="S225">
        <v>50800015</v>
      </c>
      <c r="T225" t="str">
        <f>VLOOKUP(U225,[4]equip.xml!$A$2316:$C$2777,3,0)</f>
        <v>凌风之刃</v>
      </c>
      <c r="U225">
        <v>50751055</v>
      </c>
      <c r="V225">
        <v>384</v>
      </c>
      <c r="W225">
        <f t="shared" si="45"/>
        <v>1120</v>
      </c>
      <c r="X225">
        <v>7700</v>
      </c>
      <c r="Y225">
        <v>4004074</v>
      </c>
      <c r="Z225" t="str">
        <f t="shared" si="46"/>
        <v>4004074_0_1_7700,4004074_0_1_7700,4004074_0_1_7700</v>
      </c>
      <c r="AB225" t="str">
        <f t="shared" si="44"/>
        <v>40000_50800015_1_384,40000_50751055_1_1120,4004074_0_1_7700,4004074_0_1_7700,4004074_0_1_7700,30000_90003_1,30000_90002_8_10000</v>
      </c>
      <c r="AN225" t="str">
        <f t="shared" si="47"/>
        <v>30000_90003_1,30000_90002_8,40000_50800015_1,40000_50751055_1</v>
      </c>
    </row>
    <row r="226" spans="2:40">
      <c r="B226" t="s">
        <v>1024</v>
      </c>
      <c r="R226" t="str">
        <f>VLOOKUP(S226,[4]equip.xml!$A$2316:$C$2777,3,0)</f>
        <v>川流长弓</v>
      </c>
      <c r="S226">
        <v>50802056</v>
      </c>
      <c r="T226" t="str">
        <f>VLOOKUP(U226,[4]equip.xml!$A$2316:$C$2777,3,0)</f>
        <v>凛冬头盔</v>
      </c>
      <c r="U226">
        <v>50750015</v>
      </c>
      <c r="V226">
        <v>377</v>
      </c>
      <c r="W226">
        <f t="shared" si="45"/>
        <v>1110</v>
      </c>
      <c r="X226">
        <v>7725</v>
      </c>
      <c r="Y226">
        <v>4004074</v>
      </c>
      <c r="Z226" t="str">
        <f t="shared" si="46"/>
        <v>4004074_0_1_7725,4004074_0_1_7725,4004074_0_1_7725</v>
      </c>
      <c r="AB226" t="str">
        <f t="shared" si="44"/>
        <v>40000_50802056_1_377,40000_50750015_1_1110,4004074_0_1_7725,4004074_0_1_7725,4004074_0_1_7725,30000_90003_1,30000_90002_9_10000</v>
      </c>
      <c r="AN226" t="str">
        <f t="shared" si="47"/>
        <v>30000_90003_1,30000_90002_9,40000_50802056_1,40000_50750015_1</v>
      </c>
    </row>
    <row r="227" spans="2:40">
      <c r="B227" t="s">
        <v>1025</v>
      </c>
      <c r="R227" t="str">
        <f>VLOOKUP(S227,[4]equip.xml!$A$2316:$C$2777,3,0)</f>
        <v>漂泊者之链</v>
      </c>
      <c r="S227">
        <v>50850105</v>
      </c>
      <c r="T227" t="str">
        <f>VLOOKUP(U227,[4]equip.xml!$A$2316:$C$2777,3,0)</f>
        <v>荒原箭袋</v>
      </c>
      <c r="U227">
        <v>50802065</v>
      </c>
      <c r="V227">
        <v>370</v>
      </c>
      <c r="W227">
        <f t="shared" si="45"/>
        <v>1100</v>
      </c>
      <c r="X227">
        <v>7750</v>
      </c>
      <c r="Y227">
        <f>Y218+4</f>
        <v>4004078</v>
      </c>
      <c r="Z227" t="str">
        <f t="shared" si="46"/>
        <v>4004078_0_1_7750,4004078_0_1_7750,4004078_0_1_7750</v>
      </c>
      <c r="AB227" t="str">
        <f t="shared" si="44"/>
        <v>40000_50850105_1_370,40000_50802065_1_1100,4004078_0_1_7750,4004078_0_1_7750,4004078_0_1_7750,30000_90003_1,30000_90002_7_10000</v>
      </c>
      <c r="AN227" t="str">
        <f t="shared" si="47"/>
        <v>30000_90003_1,30000_90002_7,40000_50850105_1,40000_50802065_1</v>
      </c>
    </row>
    <row r="228" spans="2:40">
      <c r="B228" t="s">
        <v>1023</v>
      </c>
      <c r="R228" t="str">
        <f>VLOOKUP(S228,[4]equip.xml!$A$2316:$C$2777,3,0)</f>
        <v>统治长靴</v>
      </c>
      <c r="S228">
        <v>50850085</v>
      </c>
      <c r="T228" t="str">
        <f>VLOOKUP(U228,[4]equip.xml!$A$2316:$C$2777,3,0)</f>
        <v>龙骨弯弓</v>
      </c>
      <c r="U228">
        <v>50802055</v>
      </c>
      <c r="V228">
        <v>363</v>
      </c>
      <c r="W228">
        <f t="shared" si="45"/>
        <v>1090</v>
      </c>
      <c r="X228">
        <v>7775</v>
      </c>
      <c r="Y228">
        <f t="shared" ref="Y228:Y271" si="49">Y219+4</f>
        <v>4004078</v>
      </c>
      <c r="Z228" t="str">
        <f t="shared" si="46"/>
        <v>4004078_0_1_7775,4004078_0_1_7775,4004078_0_1_7775</v>
      </c>
      <c r="AB228" t="str">
        <f t="shared" si="44"/>
        <v>40000_50850085_1_363,40000_50802055_1_1090,4004078_0_1_7775,4004078_0_1_7775,4004078_0_1_7775,30000_90003_1,30000_90002_7_10000</v>
      </c>
      <c r="AN228" t="str">
        <f t="shared" si="47"/>
        <v>30000_90003_1,30000_90002_7,40000_50850085_1,40000_50802055_1</v>
      </c>
    </row>
    <row r="229" spans="2:40">
      <c r="B229" t="s">
        <v>1023</v>
      </c>
      <c r="R229" t="str">
        <f>VLOOKUP(S229,[4]equip.xml!$A$2316:$C$2777,3,0)</f>
        <v>梦魇胸甲</v>
      </c>
      <c r="S229">
        <v>50850045</v>
      </c>
      <c r="T229" t="str">
        <f>VLOOKUP(U229,[4]equip.xml!$A$2316:$C$2777,3,0)</f>
        <v>浴火战盔</v>
      </c>
      <c r="U229">
        <v>50800015</v>
      </c>
      <c r="V229">
        <v>356</v>
      </c>
      <c r="W229">
        <f t="shared" si="45"/>
        <v>1080</v>
      </c>
      <c r="X229">
        <v>7800</v>
      </c>
      <c r="Y229">
        <f t="shared" si="49"/>
        <v>4004078</v>
      </c>
      <c r="Z229" t="str">
        <f t="shared" si="46"/>
        <v>4004078_0_1_7800,4004078_0_1_7800,4004078_0_1_7800</v>
      </c>
      <c r="AB229" t="str">
        <f t="shared" si="44"/>
        <v>40000_50850045_1_356,40000_50800015_1_1080,4004078_0_1_7800,4004078_0_1_7800,4004078_0_1_7800,30000_90003_1,30000_90002_8_10000</v>
      </c>
      <c r="AN229" t="str">
        <f t="shared" si="47"/>
        <v>30000_90003_1,30000_90002_8,40000_50850045_1,40000_50800015_1</v>
      </c>
    </row>
    <row r="230" spans="2:40">
      <c r="B230" t="s">
        <v>1024</v>
      </c>
      <c r="R230" t="str">
        <f>VLOOKUP(S230,[4]equip.xml!$A$2316:$C$2777,3,0)</f>
        <v>神迹指环</v>
      </c>
      <c r="S230">
        <v>50850025</v>
      </c>
      <c r="T230" t="str">
        <f>VLOOKUP(U230,[4]equip.xml!$A$2316:$C$2777,3,0)</f>
        <v>死寂之剑</v>
      </c>
      <c r="U230">
        <v>50801055</v>
      </c>
      <c r="V230">
        <v>349</v>
      </c>
      <c r="W230">
        <f t="shared" si="45"/>
        <v>1070</v>
      </c>
      <c r="X230">
        <v>7825</v>
      </c>
      <c r="Y230">
        <f t="shared" si="49"/>
        <v>4004078</v>
      </c>
      <c r="Z230" t="str">
        <f t="shared" si="46"/>
        <v>4004078_0_1_7825,4004078_0_1_7825,4004078_0_1_7825</v>
      </c>
      <c r="AB230" t="str">
        <f t="shared" si="44"/>
        <v>40000_50850025_1_349,40000_50801055_1_1070,4004078_0_1_7825,4004078_0_1_7825,4004078_0_1_7825,30000_90003_1,30000_90002_8_10000</v>
      </c>
      <c r="AN230" t="str">
        <f t="shared" si="47"/>
        <v>30000_90003_1,30000_90002_8,40000_50850025_1,40000_50801055_1</v>
      </c>
    </row>
    <row r="231" spans="2:40">
      <c r="B231" t="s">
        <v>1024</v>
      </c>
      <c r="R231" t="str">
        <f>VLOOKUP(S231,[4]equip.xml!$A$2316:$C$2777,3,0)</f>
        <v>逝亡护腿</v>
      </c>
      <c r="S231">
        <v>50850075</v>
      </c>
      <c r="T231" t="str">
        <f>VLOOKUP(U231,[4]equip.xml!$A$2316:$C$2777,3,0)</f>
        <v>折戟之盾</v>
      </c>
      <c r="U231">
        <v>50801065</v>
      </c>
      <c r="V231">
        <v>342</v>
      </c>
      <c r="W231">
        <f t="shared" si="45"/>
        <v>1060</v>
      </c>
      <c r="X231">
        <v>7850</v>
      </c>
      <c r="Y231">
        <f t="shared" si="49"/>
        <v>4004078</v>
      </c>
      <c r="Z231" t="str">
        <f t="shared" si="46"/>
        <v>4004078_0_1_7850,4004078_0_1_7850,4004078_0_1_7850</v>
      </c>
      <c r="AB231" t="str">
        <f t="shared" si="44"/>
        <v>40000_50850075_1_342,40000_50801065_1_1060,4004078_0_1_7850,4004078_0_1_7850,4004078_0_1_7850,30000_90003_1,30000_90002_8_10000</v>
      </c>
      <c r="AN231" t="str">
        <f t="shared" si="47"/>
        <v>30000_90003_1,30000_90002_8,40000_50850075_1,40000_50801065_1</v>
      </c>
    </row>
    <row r="232" spans="2:40">
      <c r="B232" t="s">
        <v>1024</v>
      </c>
      <c r="R232" t="str">
        <f>VLOOKUP(S232,[4]equip.xml!$A$2316:$C$2777,3,0)</f>
        <v>誓烈手甲</v>
      </c>
      <c r="S232">
        <v>50850095</v>
      </c>
      <c r="T232" t="str">
        <f>VLOOKUP(U232,[4]equip.xml!$A$2316:$C$2777,3,0)</f>
        <v>显像符杖</v>
      </c>
      <c r="U232">
        <v>50803055</v>
      </c>
      <c r="V232">
        <v>335</v>
      </c>
      <c r="W232">
        <f t="shared" si="45"/>
        <v>1050</v>
      </c>
      <c r="X232">
        <v>7875</v>
      </c>
      <c r="Y232">
        <f t="shared" si="49"/>
        <v>4004078</v>
      </c>
      <c r="Z232" t="str">
        <f t="shared" si="46"/>
        <v>4004078_0_1_7875,4004078_0_1_7875,4004078_0_1_7875</v>
      </c>
      <c r="AB232" t="str">
        <f t="shared" si="44"/>
        <v>40000_50850095_1_335,40000_50803055_1_1050,4004078_0_1_7875,4004078_0_1_7875,4004078_0_1_7875,30000_90003_1,30000_90002_9_10000</v>
      </c>
      <c r="AN232" t="str">
        <f t="shared" si="47"/>
        <v>30000_90003_1,30000_90002_9,40000_50850095_1,40000_50803055_1</v>
      </c>
    </row>
    <row r="233" spans="2:40">
      <c r="B233" t="s">
        <v>1025</v>
      </c>
      <c r="R233" t="str">
        <f>VLOOKUP(S233,[4]equip.xml!$A$2316:$C$2777,3,0)</f>
        <v>低语之冠</v>
      </c>
      <c r="S233">
        <v>50850015</v>
      </c>
      <c r="T233" t="str">
        <f>VLOOKUP(U233,[4]equip.xml!$A$2316:$C$2777,3,0)</f>
        <v>王国古书</v>
      </c>
      <c r="U233">
        <v>50803065</v>
      </c>
      <c r="V233">
        <v>328</v>
      </c>
      <c r="W233">
        <f t="shared" si="45"/>
        <v>1040</v>
      </c>
      <c r="X233">
        <v>7900</v>
      </c>
      <c r="Y233">
        <f t="shared" si="49"/>
        <v>4004078</v>
      </c>
      <c r="Z233" t="str">
        <f t="shared" si="46"/>
        <v>4004078_0_1_7900,4004078_0_1_7900,4004078_0_1_7900</v>
      </c>
      <c r="AB233" t="str">
        <f t="shared" si="44"/>
        <v>40000_50850015_1_328,40000_50803065_1_1040,4004078_0_1_7900,4004078_0_1_7900,4004078_0_1_7900,30000_90003_1,30000_90002_9_10000</v>
      </c>
      <c r="AN233" t="str">
        <f t="shared" si="47"/>
        <v>30000_90003_1,30000_90002_9,40000_50850015_1,40000_50803065_1</v>
      </c>
    </row>
    <row r="234" spans="2:40">
      <c r="B234" t="s">
        <v>1025</v>
      </c>
      <c r="R234" t="str">
        <f>VLOOKUP(S234,[4]equip.xml!$A$2316:$C$2777,3,0)</f>
        <v>威严腰带</v>
      </c>
      <c r="S234">
        <v>50850035</v>
      </c>
      <c r="T234" t="str">
        <f>VLOOKUP(U234,[4]equip.xml!$A$2316:$C$2777,3,0)</f>
        <v>怒岩腰带</v>
      </c>
      <c r="U234">
        <v>50800035</v>
      </c>
      <c r="V234">
        <v>321</v>
      </c>
      <c r="W234">
        <f t="shared" ref="W234:W253" si="50">W233-10</f>
        <v>1030</v>
      </c>
      <c r="X234">
        <v>7925</v>
      </c>
      <c r="Y234">
        <f t="shared" si="49"/>
        <v>4004078</v>
      </c>
      <c r="Z234" t="str">
        <f t="shared" si="46"/>
        <v>4004078_0_1_7925,4004078_0_1_7925,4004078_0_1_7925</v>
      </c>
      <c r="AB234" t="str">
        <f t="shared" si="44"/>
        <v>40000_50850035_1_321,40000_50800035_1_1030,4004078_0_1_7925,4004078_0_1_7925,4004078_0_1_7925,30000_90003_1,30000_90002_9_10000</v>
      </c>
      <c r="AN234" t="str">
        <f t="shared" si="47"/>
        <v>30000_90003_1,30000_90002_9,40000_50850035_1,40000_50800035_1</v>
      </c>
    </row>
    <row r="235" spans="2:40">
      <c r="B235" t="s">
        <v>1025</v>
      </c>
      <c r="R235" t="str">
        <f>VLOOKUP(S235,[4]equip.xml!$A$2316:$C$2777,3,0)</f>
        <v>祈圣之弓</v>
      </c>
      <c r="S235">
        <v>50852056</v>
      </c>
      <c r="T235" s="14" t="str">
        <f>VLOOKUP(U235,[4]equip.xml!$A$2316:$C$2777,3,0)</f>
        <v>咒逐箭筒</v>
      </c>
      <c r="U235">
        <v>50852066</v>
      </c>
      <c r="V235">
        <v>314</v>
      </c>
      <c r="W235">
        <f t="shared" si="50"/>
        <v>1020</v>
      </c>
      <c r="X235">
        <v>7950</v>
      </c>
      <c r="Y235">
        <f t="shared" si="49"/>
        <v>4004078</v>
      </c>
      <c r="Z235" t="str">
        <f t="shared" si="46"/>
        <v>4004078_0_1_7950,4004078_0_1_7950,4004078_0_1_7950</v>
      </c>
      <c r="AB235" t="str">
        <f t="shared" si="44"/>
        <v>40000_50852056_1_314,40000_50852066_1_1020,4004078_0_1_7950,4004078_0_1_7950,4004078_0_1_7950,30000_90003_1,30000_90002_10_10000</v>
      </c>
      <c r="AN235" t="str">
        <f t="shared" si="47"/>
        <v>30000_90003_1,30000_90002_10,40000_50852056_1,40000_50852066_1</v>
      </c>
    </row>
    <row r="236" spans="2:40">
      <c r="B236" t="s">
        <v>1026</v>
      </c>
      <c r="R236" t="str">
        <f>VLOOKUP(S236,[4]equip.xml!$A$2316:$C$2777,3,0)</f>
        <v>寒霜之心</v>
      </c>
      <c r="S236">
        <v>50900105</v>
      </c>
      <c r="T236" t="str">
        <f>VLOOKUP(U236,[4]equip.xml!$A$2316:$C$2777,3,0)</f>
        <v>悲鸣箭筒</v>
      </c>
      <c r="U236">
        <v>50852065</v>
      </c>
      <c r="V236">
        <v>307</v>
      </c>
      <c r="W236">
        <f t="shared" si="50"/>
        <v>1010</v>
      </c>
      <c r="X236">
        <v>7975</v>
      </c>
      <c r="Y236">
        <f t="shared" si="49"/>
        <v>4004082</v>
      </c>
      <c r="Z236" t="str">
        <f t="shared" si="46"/>
        <v>4004082_0_1_7975,4004082_0_1_7975,4004082_0_1_7975</v>
      </c>
      <c r="AB236" t="str">
        <f t="shared" si="44"/>
        <v>40000_50900105_1_307,40000_50852065_1_1010,4004082_0_1_7975,4004082_0_1_7975,4004082_0_1_7975,30000_90003_1,30000_90002_8_10000</v>
      </c>
      <c r="AN236" t="str">
        <f t="shared" si="47"/>
        <v>30000_90003_1,30000_90002_8,40000_50900105_1,40000_50852065_1</v>
      </c>
    </row>
    <row r="237" spans="2:40">
      <c r="B237" t="s">
        <v>1024</v>
      </c>
      <c r="R237" t="str">
        <f>VLOOKUP(S237,[4]equip.xml!$A$2316:$C$2777,3,0)</f>
        <v>无尽智慧指环</v>
      </c>
      <c r="S237">
        <v>50900025</v>
      </c>
      <c r="T237" t="str">
        <f>VLOOKUP(U237,[4]equip.xml!$A$2316:$C$2777,3,0)</f>
        <v>幻咒秘语</v>
      </c>
      <c r="U237">
        <v>50853065</v>
      </c>
      <c r="V237">
        <v>300</v>
      </c>
      <c r="W237">
        <f t="shared" si="50"/>
        <v>1000</v>
      </c>
      <c r="X237">
        <v>8000</v>
      </c>
      <c r="Y237">
        <f t="shared" si="49"/>
        <v>4004082</v>
      </c>
      <c r="Z237" t="str">
        <f t="shared" si="46"/>
        <v>4004082_0_1_8000,4004082_0_1_8000,4004082_0_1_8000</v>
      </c>
      <c r="AB237" t="str">
        <f t="shared" si="44"/>
        <v>40000_50900025_1_300,40000_50853065_1_1000,4004082_0_1_8000,4004082_0_1_8000,4004082_0_1_8000,30000_90003_1,30000_90002_8_10000</v>
      </c>
      <c r="AN237" t="str">
        <f t="shared" si="47"/>
        <v>30000_90003_1,30000_90002_8,40000_50900025_1,40000_50853065_1</v>
      </c>
    </row>
    <row r="238" spans="2:40">
      <c r="B238" t="s">
        <v>1024</v>
      </c>
      <c r="R238" t="str">
        <f>VLOOKUP(S238,[4]equip.xml!$A$2316:$C$2777,3,0)</f>
        <v>坚毅胸甲</v>
      </c>
      <c r="S238">
        <v>50900045</v>
      </c>
      <c r="T238" t="str">
        <f>VLOOKUP(U238,[4]equip.xml!$A$2316:$C$2777,3,0)</f>
        <v>谦逊之剑</v>
      </c>
      <c r="U238">
        <v>50851055</v>
      </c>
      <c r="V238">
        <v>293</v>
      </c>
      <c r="W238">
        <f t="shared" si="50"/>
        <v>990</v>
      </c>
      <c r="X238">
        <v>8025</v>
      </c>
      <c r="Y238">
        <f t="shared" si="49"/>
        <v>4004082</v>
      </c>
      <c r="Z238" t="str">
        <f t="shared" si="46"/>
        <v>4004082_0_1_8025,4004082_0_1_8025,4004082_0_1_8025</v>
      </c>
      <c r="AB238" t="str">
        <f t="shared" si="44"/>
        <v>40000_50900045_1_293,40000_50851055_1_990,4004082_0_1_8025,4004082_0_1_8025,4004082_0_1_8025,30000_90003_1,30000_90002_9_10000</v>
      </c>
      <c r="AN238" t="str">
        <f t="shared" si="47"/>
        <v>30000_90003_1,30000_90002_9,40000_50900045_1,40000_50851055_1</v>
      </c>
    </row>
    <row r="239" spans="2:40">
      <c r="B239" t="s">
        <v>1025</v>
      </c>
      <c r="R239" t="str">
        <f>VLOOKUP(S239,[4]equip.xml!$A$2316:$C$2777,3,0)</f>
        <v>复苏护腿</v>
      </c>
      <c r="S239">
        <v>50900075</v>
      </c>
      <c r="T239" t="str">
        <f>VLOOKUP(U239,[4]equip.xml!$A$2316:$C$2777,3,0)</f>
        <v>邪铁盾牌</v>
      </c>
      <c r="U239">
        <v>50851065</v>
      </c>
      <c r="V239">
        <v>286</v>
      </c>
      <c r="W239">
        <f t="shared" si="50"/>
        <v>980</v>
      </c>
      <c r="X239">
        <v>8050</v>
      </c>
      <c r="Y239">
        <f t="shared" si="49"/>
        <v>4004082</v>
      </c>
      <c r="Z239" t="str">
        <f t="shared" si="46"/>
        <v>4004082_0_1_8050,4004082_0_1_8050,4004082_0_1_8050</v>
      </c>
      <c r="AB239" t="str">
        <f t="shared" si="44"/>
        <v>40000_50900075_1_286,40000_50851065_1_980,4004082_0_1_8050,4004082_0_1_8050,4004082_0_1_8050,30000_90003_1,30000_90002_9_10000</v>
      </c>
      <c r="AN239" t="str">
        <f t="shared" si="47"/>
        <v>30000_90003_1,30000_90002_9,40000_50900075_1,40000_50851065_1</v>
      </c>
    </row>
    <row r="240" spans="2:40">
      <c r="B240" t="s">
        <v>1025</v>
      </c>
      <c r="R240" t="str">
        <f>VLOOKUP(S240,[4]equip.xml!$A$2316:$C$2777,3,0)</f>
        <v>秩序战靴</v>
      </c>
      <c r="S240">
        <v>50900085</v>
      </c>
      <c r="T240" t="str">
        <f>VLOOKUP(U240,[4]equip.xml!$A$2316:$C$2777,3,0)</f>
        <v>威严腰带</v>
      </c>
      <c r="U240">
        <v>50850035</v>
      </c>
      <c r="V240">
        <v>279</v>
      </c>
      <c r="W240">
        <f t="shared" si="50"/>
        <v>970</v>
      </c>
      <c r="X240">
        <v>8075</v>
      </c>
      <c r="Y240">
        <f t="shared" si="49"/>
        <v>4004082</v>
      </c>
      <c r="Z240" t="str">
        <f t="shared" si="46"/>
        <v>4004082_0_1_8075,4004082_0_1_8075,4004082_0_1_8075</v>
      </c>
      <c r="AB240" t="str">
        <f t="shared" si="44"/>
        <v>40000_50900085_1_279,40000_50850035_1_970,4004082_0_1_8075,4004082_0_1_8075,4004082_0_1_8075,30000_90003_1,30000_90002_9_10000</v>
      </c>
      <c r="AN240" t="str">
        <f t="shared" si="47"/>
        <v>30000_90003_1,30000_90002_9,40000_50900085_1,40000_50850035_1</v>
      </c>
    </row>
    <row r="241" spans="2:40">
      <c r="B241" t="s">
        <v>1025</v>
      </c>
      <c r="R241" t="str">
        <f>VLOOKUP(S241,[4]equip.xml!$A$2316:$C$2777,3,0)</f>
        <v>超载护手</v>
      </c>
      <c r="S241">
        <v>50900095</v>
      </c>
      <c r="T241" t="str">
        <f>VLOOKUP(U241,[4]equip.xml!$A$2316:$C$2777,3,0)</f>
        <v>低语之冠</v>
      </c>
      <c r="U241">
        <v>50850015</v>
      </c>
      <c r="V241">
        <v>272</v>
      </c>
      <c r="W241">
        <f t="shared" si="50"/>
        <v>960</v>
      </c>
      <c r="X241">
        <v>8100</v>
      </c>
      <c r="Y241">
        <f t="shared" si="49"/>
        <v>4004082</v>
      </c>
      <c r="Z241" t="str">
        <f t="shared" si="46"/>
        <v>4004082_0_1_8100,4004082_0_1_8100,4004082_0_1_8100</v>
      </c>
      <c r="AB241" t="str">
        <f t="shared" si="44"/>
        <v>40000_50900095_1_272,40000_50850015_1_960,4004082_0_1_8100,4004082_0_1_8100,4004082_0_1_8100,30000_90003_1,30000_90002_10_10000</v>
      </c>
      <c r="AN241" t="str">
        <f t="shared" si="47"/>
        <v>30000_90003_1,30000_90002_10,40000_50900095_1,40000_50850015_1</v>
      </c>
    </row>
    <row r="242" spans="2:40">
      <c r="B242" t="s">
        <v>1026</v>
      </c>
      <c r="R242" t="str">
        <f>VLOOKUP(S242,[4]equip.xml!$A$2316:$C$2777,3,0)</f>
        <v>风暴之冠</v>
      </c>
      <c r="S242">
        <v>50900015</v>
      </c>
      <c r="T242" t="str">
        <f>VLOOKUP(U242,[4]equip.xml!$A$2316:$C$2777,3,0)</f>
        <v>归还法杖</v>
      </c>
      <c r="U242">
        <v>50853055</v>
      </c>
      <c r="V242">
        <v>265</v>
      </c>
      <c r="W242">
        <f t="shared" si="50"/>
        <v>950</v>
      </c>
      <c r="X242">
        <v>8125</v>
      </c>
      <c r="Y242">
        <f t="shared" si="49"/>
        <v>4004082</v>
      </c>
      <c r="Z242" t="str">
        <f t="shared" si="46"/>
        <v>4004082_0_1_8125,4004082_0_1_8125,4004082_0_1_8125</v>
      </c>
      <c r="AB242" t="str">
        <f t="shared" si="44"/>
        <v>40000_50900015_1_265,40000_50853055_1_950,4004082_0_1_8125,4004082_0_1_8125,4004082_0_1_8125,30000_90003_1,30000_90002_10_10000</v>
      </c>
      <c r="AN242" t="str">
        <f t="shared" si="47"/>
        <v>30000_90003_1,30000_90002_10,40000_50900015_1,40000_50853055_1</v>
      </c>
    </row>
    <row r="243" spans="2:40">
      <c r="B243" t="s">
        <v>1026</v>
      </c>
      <c r="R243" t="str">
        <f>VLOOKUP(S243,[4]equip.xml!$A$2316:$C$2777,3,0)</f>
        <v>丰饶腰带</v>
      </c>
      <c r="S243">
        <v>50900035</v>
      </c>
      <c r="T243" t="str">
        <f>VLOOKUP(U243,[4]equip.xml!$A$2316:$C$2777,3,0)</f>
        <v>悔恨长弓</v>
      </c>
      <c r="U243">
        <v>50852055</v>
      </c>
      <c r="V243">
        <v>258</v>
      </c>
      <c r="W243">
        <f t="shared" si="50"/>
        <v>940</v>
      </c>
      <c r="X243">
        <v>8150</v>
      </c>
      <c r="Y243">
        <f t="shared" si="49"/>
        <v>4004082</v>
      </c>
      <c r="Z243" t="str">
        <f t="shared" si="46"/>
        <v>4004082_0_1_8150,4004082_0_1_8150,4004082_0_1_8150</v>
      </c>
      <c r="AB243" t="str">
        <f t="shared" si="44"/>
        <v>40000_50900035_1_258,40000_50852055_1_940,4004082_0_1_8150,4004082_0_1_8150,4004082_0_1_8150,30000_90003_1,30000_90002_10_10000</v>
      </c>
      <c r="AN243" t="str">
        <f t="shared" si="47"/>
        <v>30000_90003_1,30000_90002_10,40000_50900035_1,40000_50852055_1</v>
      </c>
    </row>
    <row r="244" spans="2:40">
      <c r="B244" t="s">
        <v>1026</v>
      </c>
      <c r="R244" t="str">
        <f>VLOOKUP(S244,[4]equip.xml!$A$2316:$C$2777,3,0)</f>
        <v>破晓之弓</v>
      </c>
      <c r="S244">
        <v>50902055</v>
      </c>
      <c r="T244" s="14" t="str">
        <f>VLOOKUP(U244,[4]equip.xml!$A$2316:$C$2777,3,0)</f>
        <v>星坠箭筒</v>
      </c>
      <c r="U244">
        <v>50902066</v>
      </c>
      <c r="V244">
        <v>251</v>
      </c>
      <c r="W244">
        <f t="shared" si="50"/>
        <v>930</v>
      </c>
      <c r="X244">
        <v>8175</v>
      </c>
      <c r="Y244">
        <f t="shared" si="49"/>
        <v>4004082</v>
      </c>
      <c r="Z244" t="str">
        <f t="shared" si="46"/>
        <v>4004082_0_1_8175,4004082_0_1_8175,4004082_0_1_8175</v>
      </c>
      <c r="AB244" t="str">
        <f t="shared" si="44"/>
        <v>40000_50902055_1_251,40000_50902066_1_930,4004082_0_1_8175,4004082_0_1_8175,4004082_0_1_8175,30000_90003_1,30000_90002_11_10000</v>
      </c>
      <c r="AN244" t="str">
        <f t="shared" si="47"/>
        <v>30000_90003_1,30000_90002_11,40000_50902055_1,40000_50902066_1</v>
      </c>
    </row>
    <row r="245" spans="2:40">
      <c r="B245" t="s">
        <v>1027</v>
      </c>
      <c r="R245" t="str">
        <f>VLOOKUP(S245,[4]equip.xml!$A$2316:$C$2777,3,0)</f>
        <v>寒霜之心</v>
      </c>
      <c r="S245">
        <v>50900105</v>
      </c>
      <c r="T245" t="str">
        <f>VLOOKUP(U245,[4]equip.xml!$A$2316:$C$2777,3,0)</f>
        <v>破晓之弓</v>
      </c>
      <c r="U245">
        <v>50902055</v>
      </c>
      <c r="V245">
        <v>244</v>
      </c>
      <c r="W245">
        <f t="shared" si="50"/>
        <v>920</v>
      </c>
      <c r="X245">
        <v>8200</v>
      </c>
      <c r="Y245">
        <f t="shared" si="49"/>
        <v>4004086</v>
      </c>
      <c r="Z245" t="str">
        <f t="shared" si="46"/>
        <v>4004086_0_1_8200,4004086_0_1_8200,4004086_0_1_8200</v>
      </c>
      <c r="AB245" t="str">
        <f t="shared" si="44"/>
        <v>40000_50900105_1_244,40000_50902055_1_920,4004086_0_1_8200,4004086_0_1_8200,4004086_0_1_8200,30000_90003_1,30000_90002_9_10000</v>
      </c>
      <c r="AN245" t="str">
        <f t="shared" si="47"/>
        <v>30000_90003_1,30000_90002_9,40000_50900105_1,40000_50902055_1</v>
      </c>
    </row>
    <row r="246" spans="2:40">
      <c r="B246" t="s">
        <v>1025</v>
      </c>
      <c r="R246" t="str">
        <f>VLOOKUP(S246,[4]equip.xml!$A$2316:$C$2777,3,0)</f>
        <v>无尽智慧指环</v>
      </c>
      <c r="S246">
        <v>50900025</v>
      </c>
      <c r="T246" t="str">
        <f>VLOOKUP(U246,[4]equip.xml!$A$2316:$C$2777,3,0)</f>
        <v>丰饶腰带</v>
      </c>
      <c r="U246">
        <v>50900035</v>
      </c>
      <c r="V246">
        <v>237</v>
      </c>
      <c r="W246">
        <f t="shared" si="50"/>
        <v>910</v>
      </c>
      <c r="X246">
        <v>8225</v>
      </c>
      <c r="Y246">
        <f t="shared" si="49"/>
        <v>4004086</v>
      </c>
      <c r="Z246" t="str">
        <f t="shared" si="46"/>
        <v>4004086_0_1_8225,4004086_0_1_8225,4004086_0_1_8225</v>
      </c>
      <c r="AB246" t="str">
        <f t="shared" si="44"/>
        <v>40000_50900025_1_237,40000_50900035_1_910,4004086_0_1_8225,4004086_0_1_8225,4004086_0_1_8225,30000_90003_1,30000_90002_9_10000</v>
      </c>
      <c r="AN246" t="str">
        <f t="shared" si="47"/>
        <v>30000_90003_1,30000_90002_9,40000_50900025_1,40000_50900035_1</v>
      </c>
    </row>
    <row r="247" spans="2:40">
      <c r="B247" t="s">
        <v>1025</v>
      </c>
      <c r="R247" t="str">
        <f>VLOOKUP(S247,[4]equip.xml!$A$2316:$C$2777,3,0)</f>
        <v>群山之拥</v>
      </c>
      <c r="S247">
        <v>50900046</v>
      </c>
      <c r="T247" t="str">
        <f>VLOOKUP(U247,[4]equip.xml!$A$2316:$C$2777,3,0)</f>
        <v>灵痕箭袋</v>
      </c>
      <c r="U247">
        <v>50902065</v>
      </c>
      <c r="V247">
        <v>230</v>
      </c>
      <c r="W247">
        <f t="shared" si="50"/>
        <v>900</v>
      </c>
      <c r="X247">
        <v>8250</v>
      </c>
      <c r="Y247">
        <f t="shared" si="49"/>
        <v>4004086</v>
      </c>
      <c r="Z247" t="str">
        <f t="shared" si="46"/>
        <v>4004086_0_1_8250,4004086_0_1_8250,4004086_0_1_8250</v>
      </c>
      <c r="AB247" t="str">
        <f t="shared" si="44"/>
        <v>40000_50900046_1_230,40000_50902065_1_900,4004086_0_1_8250,4004086_0_1_8250,4004086_0_1_8250,30000_90003_1,30000_90002_10_10000</v>
      </c>
      <c r="AN247" t="str">
        <f t="shared" si="47"/>
        <v>30000_90003_1,30000_90002_10,40000_50900046_1,40000_50902065_1</v>
      </c>
    </row>
    <row r="248" spans="2:40">
      <c r="B248" t="s">
        <v>1026</v>
      </c>
      <c r="R248" t="str">
        <f>VLOOKUP(S248,[4]equip.xml!$A$2316:$C$2777,3,0)</f>
        <v>虔信腿甲</v>
      </c>
      <c r="S248">
        <v>50900076</v>
      </c>
      <c r="T248" t="str">
        <f>VLOOKUP(U248,[4]equip.xml!$A$2316:$C$2777,3,0)</f>
        <v>湮灭之剑</v>
      </c>
      <c r="U248">
        <v>50901055</v>
      </c>
      <c r="V248">
        <v>223</v>
      </c>
      <c r="W248">
        <f t="shared" si="50"/>
        <v>890</v>
      </c>
      <c r="X248">
        <v>8275</v>
      </c>
      <c r="Y248">
        <f t="shared" si="49"/>
        <v>4004086</v>
      </c>
      <c r="Z248" t="str">
        <f t="shared" si="46"/>
        <v>4004086_0_1_8275,4004086_0_1_8275,4004086_0_1_8275</v>
      </c>
      <c r="AB248" t="str">
        <f t="shared" si="44"/>
        <v>40000_50900076_1_223,40000_50901055_1_890,4004086_0_1_8275,4004086_0_1_8275,4004086_0_1_8275,30000_90003_1,30000_90002_10_10000</v>
      </c>
      <c r="AN248" t="str">
        <f t="shared" si="47"/>
        <v>30000_90003_1,30000_90002_10,40000_50900076_1,40000_50901055_1</v>
      </c>
    </row>
    <row r="249" spans="2:40">
      <c r="B249" t="s">
        <v>1026</v>
      </c>
      <c r="R249" t="str">
        <f>VLOOKUP(S249,[4]equip.xml!$A$2316:$C$2777,3,0)</f>
        <v>秩序战靴</v>
      </c>
      <c r="S249">
        <v>50900085</v>
      </c>
      <c r="T249" t="str">
        <f>VLOOKUP(U249,[4]equip.xml!$A$2316:$C$2777,3,0)</f>
        <v>灾祸之盾</v>
      </c>
      <c r="U249">
        <v>50901065</v>
      </c>
      <c r="V249">
        <v>216</v>
      </c>
      <c r="W249">
        <f t="shared" si="50"/>
        <v>880</v>
      </c>
      <c r="X249">
        <v>8300</v>
      </c>
      <c r="Y249">
        <f t="shared" si="49"/>
        <v>4004086</v>
      </c>
      <c r="Z249" t="str">
        <f t="shared" si="46"/>
        <v>4004086_0_1_8300,4004086_0_1_8300,4004086_0_1_8300</v>
      </c>
      <c r="AB249" t="str">
        <f t="shared" si="44"/>
        <v>40000_50900085_1_216,40000_50901065_1_880,4004086_0_1_8300,4004086_0_1_8300,4004086_0_1_8300,30000_90003_1,30000_90002_10_10000</v>
      </c>
      <c r="AN249" t="str">
        <f t="shared" si="47"/>
        <v>30000_90003_1,30000_90002_10,40000_50900085_1,40000_50901065_1</v>
      </c>
    </row>
    <row r="250" spans="2:40">
      <c r="B250" t="s">
        <v>1026</v>
      </c>
      <c r="R250" t="str">
        <f>VLOOKUP(S250,[4]equip.xml!$A$2316:$C$2777,3,0)</f>
        <v>超载护手</v>
      </c>
      <c r="S250">
        <v>50900095</v>
      </c>
      <c r="T250" t="str">
        <f>VLOOKUP(U250,[4]equip.xml!$A$2316:$C$2777,3,0)</f>
        <v>风暴之冠</v>
      </c>
      <c r="U250">
        <v>50900015</v>
      </c>
      <c r="V250">
        <v>209</v>
      </c>
      <c r="W250">
        <f t="shared" si="50"/>
        <v>870</v>
      </c>
      <c r="X250">
        <v>8325</v>
      </c>
      <c r="Y250">
        <f t="shared" si="49"/>
        <v>4004086</v>
      </c>
      <c r="Z250" t="str">
        <f t="shared" si="46"/>
        <v>4004086_0_1_8325,4004086_0_1_8325,4004086_0_1_8325</v>
      </c>
      <c r="AB250" t="str">
        <f t="shared" si="44"/>
        <v>40000_50900095_1_209,40000_50900015_1_870,4004086_0_1_8325,4004086_0_1_8325,4004086_0_1_8325,30000_90003_1,30000_90002_11_10000</v>
      </c>
      <c r="AN250" t="str">
        <f t="shared" si="47"/>
        <v>30000_90003_1,30000_90002_11,40000_50900095_1,40000_50900015_1</v>
      </c>
    </row>
    <row r="251" spans="2:40">
      <c r="B251" t="s">
        <v>1027</v>
      </c>
      <c r="R251" t="str">
        <f>VLOOKUP(S251,[4]equip.xml!$A$2316:$C$2777,3,0)</f>
        <v>风暴之冠</v>
      </c>
      <c r="S251">
        <v>50900015</v>
      </c>
      <c r="T251" s="14" t="str">
        <f>VLOOKUP(U251,[4]equip.xml!$A$2316:$C$2777,3,0)</f>
        <v>灵痕箭袋</v>
      </c>
      <c r="U251">
        <v>50902065</v>
      </c>
      <c r="V251">
        <v>202</v>
      </c>
      <c r="W251">
        <f t="shared" si="50"/>
        <v>860</v>
      </c>
      <c r="X251">
        <v>8350</v>
      </c>
      <c r="Y251">
        <f t="shared" si="49"/>
        <v>4004086</v>
      </c>
      <c r="Z251" t="str">
        <f t="shared" si="46"/>
        <v>4004086_0_1_8350,4004086_0_1_8350,4004086_0_1_8350</v>
      </c>
      <c r="AB251" t="str">
        <f t="shared" si="44"/>
        <v>40000_50900015_1_202,40000_50902065_1_860,4004086_0_1_8350,4004086_0_1_8350,4004086_0_1_8350,30000_90003_1,30000_90002_11_10000</v>
      </c>
      <c r="AN251" t="str">
        <f t="shared" si="47"/>
        <v>30000_90003_1,30000_90002_11,40000_50900015_1,40000_50902065_1</v>
      </c>
    </row>
    <row r="252" spans="2:40">
      <c r="B252" t="s">
        <v>1027</v>
      </c>
      <c r="R252" t="str">
        <f>VLOOKUP(S252,[4]equip.xml!$A$2316:$C$2777,3,0)</f>
        <v>丰饶腰带</v>
      </c>
      <c r="S252">
        <v>50900035</v>
      </c>
      <c r="T252" t="str">
        <f>VLOOKUP(U252,[4]equip.xml!$A$2316:$C$2777,3,0)</f>
        <v>观察者之杖</v>
      </c>
      <c r="U252">
        <v>50903055</v>
      </c>
      <c r="V252">
        <v>195</v>
      </c>
      <c r="W252">
        <f t="shared" si="50"/>
        <v>850</v>
      </c>
      <c r="X252">
        <v>8375</v>
      </c>
      <c r="Y252">
        <f t="shared" si="49"/>
        <v>4004086</v>
      </c>
      <c r="Z252" t="str">
        <f t="shared" si="46"/>
        <v>4004086_0_1_8375,4004086_0_1_8375,4004086_0_1_8375</v>
      </c>
      <c r="AB252" t="str">
        <f t="shared" si="44"/>
        <v>40000_50900035_1_195,40000_50903055_1_850,4004086_0_1_8375,4004086_0_1_8375,4004086_0_1_8375,30000_90003_1,30000_90002_11_10000</v>
      </c>
      <c r="AN252" t="str">
        <f t="shared" si="47"/>
        <v>30000_90003_1,30000_90002_11,40000_50900035_1,40000_50903055_1</v>
      </c>
    </row>
    <row r="253" spans="2:40">
      <c r="B253" t="s">
        <v>1027</v>
      </c>
      <c r="R253" t="str">
        <f>VLOOKUP(S253,[4]equip.xml!$A$2316:$C$2777,3,0)</f>
        <v>彗星之击</v>
      </c>
      <c r="S253">
        <v>50902056</v>
      </c>
      <c r="T253" t="str">
        <f>VLOOKUP(U253,[4]equip.xml!$A$2316:$C$2777,3,0)</f>
        <v>云河指南</v>
      </c>
      <c r="U253">
        <v>50903065</v>
      </c>
      <c r="V253">
        <v>188</v>
      </c>
      <c r="W253">
        <f t="shared" si="50"/>
        <v>840</v>
      </c>
      <c r="X253">
        <v>8400</v>
      </c>
      <c r="Y253">
        <f t="shared" si="49"/>
        <v>4004086</v>
      </c>
      <c r="Z253" t="str">
        <f t="shared" si="46"/>
        <v>4004086_0_1_8400,4004086_0_1_8400,4004086_0_1_8400</v>
      </c>
      <c r="AB253" t="str">
        <f t="shared" si="44"/>
        <v>40000_50902056_1_188,40000_50903065_1_840,4004086_0_1_8400,4004086_0_1_8400,4004086_0_1_8400,30000_90003_1,30000_90002_12_10000</v>
      </c>
      <c r="AN253" t="str">
        <f t="shared" si="47"/>
        <v>30000_90003_1,30000_90002_12,40000_50902056_1,40000_50903065_1</v>
      </c>
    </row>
    <row r="254" spans="2:40">
      <c r="B254" t="s">
        <v>1028</v>
      </c>
      <c r="R254" t="str">
        <f>VLOOKUP(S254,[4]equip.xml!$A$2316:$C$2777,3,0)</f>
        <v>圣灵之佑</v>
      </c>
      <c r="S254">
        <v>50950105</v>
      </c>
      <c r="T254" t="str">
        <f>VLOOKUP(U254,[4]equip.xml!$A$2316:$C$2777,3,0)</f>
        <v>魂铸头盔</v>
      </c>
      <c r="U254">
        <v>50950015</v>
      </c>
      <c r="V254">
        <v>0</v>
      </c>
      <c r="W254">
        <v>0</v>
      </c>
      <c r="X254">
        <v>8425</v>
      </c>
      <c r="Y254">
        <f t="shared" si="49"/>
        <v>4004090</v>
      </c>
      <c r="Z254" t="str">
        <f t="shared" si="46"/>
        <v>4004090_0_1_8425,4004090_0_1_8425,4004090_0_1_8425</v>
      </c>
      <c r="AB254" t="str">
        <f t="shared" si="44"/>
        <v>40000_50950105_1_0,40000_50950015_1_0,4004090_0_1_8425,4004090_0_1_8425,4004090_0_1_8425,30000_90004_1,30000_90003_1,30000_90002_2_10000</v>
      </c>
      <c r="AN254" t="str">
        <f t="shared" si="47"/>
        <v>30000_90004_1,30000_90003_1,30000_90002_2,40000_50950105_1,40000_50950015_1</v>
      </c>
    </row>
    <row r="255" spans="2:40">
      <c r="B255" t="s">
        <v>1026</v>
      </c>
      <c r="R255" t="str">
        <f>VLOOKUP(S255,[4]equip.xml!$A$2316:$C$2777,3,0)</f>
        <v>云霄之环</v>
      </c>
      <c r="S255">
        <v>50950025</v>
      </c>
      <c r="T255" t="str">
        <f>VLOOKUP(U255,[4]equip.xml!$A$2316:$C$2777,3,0)</f>
        <v>灵魂之弦</v>
      </c>
      <c r="U255">
        <v>50952055</v>
      </c>
      <c r="V255">
        <v>0</v>
      </c>
      <c r="W255">
        <v>0</v>
      </c>
      <c r="X255">
        <v>8450</v>
      </c>
      <c r="Y255">
        <f t="shared" si="49"/>
        <v>4004090</v>
      </c>
      <c r="Z255" t="str">
        <f t="shared" si="46"/>
        <v>4004090_0_1_8450,4004090_0_1_8450,4004090_0_1_8450</v>
      </c>
      <c r="AB255" t="str">
        <f t="shared" si="44"/>
        <v>40000_50950025_1_0,40000_50952055_1_0,4004090_0_1_8450,4004090_0_1_8450,4004090_0_1_8450,30000_90004_1,30000_90003_1,30000_90002_2_10000</v>
      </c>
      <c r="AN255" t="str">
        <f t="shared" si="47"/>
        <v>30000_90004_1,30000_90003_1,30000_90002_2,40000_50950025_1,40000_50952055_1</v>
      </c>
    </row>
    <row r="256" spans="2:40">
      <c r="B256" t="s">
        <v>1026</v>
      </c>
      <c r="R256" t="str">
        <f>VLOOKUP(S256,[4]equip.xml!$A$2316:$C$2777,3,0)</f>
        <v>诸王战铠</v>
      </c>
      <c r="S256">
        <v>50950046</v>
      </c>
      <c r="T256" t="str">
        <f>VLOOKUP(U256,[4]equip.xml!$A$2316:$C$2777,3,0)</f>
        <v>魂织箭袋</v>
      </c>
      <c r="U256">
        <v>50952065</v>
      </c>
      <c r="V256">
        <v>0</v>
      </c>
      <c r="W256">
        <v>0</v>
      </c>
      <c r="X256">
        <v>8475</v>
      </c>
      <c r="Y256">
        <f t="shared" si="49"/>
        <v>4004090</v>
      </c>
      <c r="Z256" t="str">
        <f t="shared" si="46"/>
        <v>4004090_0_1_8475,4004090_0_1_8475,4004090_0_1_8475</v>
      </c>
      <c r="AB256" t="str">
        <f t="shared" si="44"/>
        <v>40000_50950046_1_0,40000_50952065_1_0,4004090_0_1_8475,4004090_0_1_8475,4004090_0_1_8475,30000_90004_1,30000_90003_1,30000_90002_3_10000</v>
      </c>
      <c r="AN256" t="str">
        <f t="shared" si="47"/>
        <v>30000_90004_1,30000_90003_1,30000_90002_3,40000_50950046_1,40000_50952065_1</v>
      </c>
    </row>
    <row r="257" spans="2:40">
      <c r="B257" t="s">
        <v>1027</v>
      </c>
      <c r="R257" t="str">
        <f>VLOOKUP(S257,[4]equip.xml!$A$2316:$C$2777,3,0)</f>
        <v>不朽护腿</v>
      </c>
      <c r="S257">
        <v>50950076</v>
      </c>
      <c r="T257" t="str">
        <f>VLOOKUP(U257,[4]equip.xml!$A$2316:$C$2777,3,0)</f>
        <v>破天者腰带</v>
      </c>
      <c r="U257">
        <v>50950035</v>
      </c>
      <c r="V257">
        <v>0</v>
      </c>
      <c r="W257">
        <v>0</v>
      </c>
      <c r="X257">
        <v>8500</v>
      </c>
      <c r="Y257">
        <f t="shared" si="49"/>
        <v>4004090</v>
      </c>
      <c r="Z257" t="str">
        <f t="shared" si="46"/>
        <v>4004090_0_1_8500,4004090_0_1_8500,4004090_0_1_8500</v>
      </c>
      <c r="AB257" t="str">
        <f t="shared" si="44"/>
        <v>40000_50950076_1_0,40000_50950035_1_0,4004090_0_1_8500,4004090_0_1_8500,4004090_0_1_8500,30000_90004_1,30000_90003_1,30000_90002_3_10000</v>
      </c>
      <c r="AN257" t="str">
        <f t="shared" si="47"/>
        <v>30000_90004_1,30000_90003_1,30000_90002_3,40000_50950076_1,40000_50950035_1</v>
      </c>
    </row>
    <row r="258" spans="2:40">
      <c r="B258" t="s">
        <v>1027</v>
      </c>
      <c r="R258" t="str">
        <f>VLOOKUP(S258,[4]equip.xml!$A$2316:$C$2777,3,0)</f>
        <v>圣洁怒火之靴</v>
      </c>
      <c r="S258">
        <v>50950085</v>
      </c>
      <c r="T258" t="str">
        <f>VLOOKUP(U258,[4]equip.xml!$A$2316:$C$2777,3,0)</f>
        <v>聚能魔典</v>
      </c>
      <c r="U258">
        <v>50953065</v>
      </c>
      <c r="V258">
        <v>0</v>
      </c>
      <c r="W258">
        <v>0</v>
      </c>
      <c r="X258">
        <v>8525</v>
      </c>
      <c r="Y258">
        <f t="shared" si="49"/>
        <v>4004090</v>
      </c>
      <c r="Z258" t="str">
        <f t="shared" si="46"/>
        <v>4004090_0_1_8525,4004090_0_1_8525,4004090_0_1_8525</v>
      </c>
      <c r="AB258" t="str">
        <f t="shared" si="44"/>
        <v>40000_50950085_1_0,40000_50953065_1_0,4004090_0_1_8525,4004090_0_1_8525,4004090_0_1_8525,30000_90004_1,30000_90003_1,30000_90002_3_10000</v>
      </c>
      <c r="AN258" t="str">
        <f t="shared" si="47"/>
        <v>30000_90004_1,30000_90003_1,30000_90002_3,40000_50950085_1,40000_50953065_1</v>
      </c>
    </row>
    <row r="259" spans="2:40">
      <c r="B259" t="s">
        <v>1027</v>
      </c>
      <c r="R259" t="str">
        <f>VLOOKUP(S259,[4]equip.xml!$A$2316:$C$2777,3,0)</f>
        <v>破灭之手</v>
      </c>
      <c r="S259">
        <v>50950095</v>
      </c>
      <c r="T259" t="str">
        <f>VLOOKUP(U259,[4]equip.xml!$A$2316:$C$2777,3,0)</f>
        <v>云颠之剑</v>
      </c>
      <c r="U259">
        <v>50951055</v>
      </c>
      <c r="V259">
        <v>0</v>
      </c>
      <c r="W259">
        <v>0</v>
      </c>
      <c r="X259">
        <v>8550</v>
      </c>
      <c r="Y259">
        <f t="shared" si="49"/>
        <v>4004090</v>
      </c>
      <c r="Z259" t="str">
        <f t="shared" si="46"/>
        <v>4004090_0_1_8550,4004090_0_1_8550,4004090_0_1_8550</v>
      </c>
      <c r="AB259" t="str">
        <f t="shared" ref="AB259:AB322" si="51">"40000_"&amp;S259&amp;"_1_"&amp;V259&amp;","&amp;"40000_"&amp;U259&amp;"_1_"&amp;W259&amp;","&amp;Z259&amp;","&amp;B269&amp;"_10000"</f>
        <v>40000_50950095_1_0,40000_50951055_1_0,4004090_0_1_8550,4004090_0_1_8550,4004090_0_1_8550,30000_90004_1,30000_90003_1,30000_90002_4_10000</v>
      </c>
      <c r="AN259" t="str">
        <f t="shared" si="47"/>
        <v>30000_90004_1,30000_90003_1,30000_90002_4,40000_50950095_1,40000_50951055_1</v>
      </c>
    </row>
    <row r="260" spans="2:40">
      <c r="B260" t="s">
        <v>1028</v>
      </c>
      <c r="R260" t="str">
        <f>VLOOKUP(S260,[4]equip.xml!$A$2316:$C$2777,3,0)</f>
        <v>魂铸头盔</v>
      </c>
      <c r="S260">
        <v>50950015</v>
      </c>
      <c r="T260" s="14" t="str">
        <f>VLOOKUP(U260,[4]equip.xml!$A$2316:$C$2777,3,0)</f>
        <v>魂织箭袋</v>
      </c>
      <c r="U260">
        <v>50952065</v>
      </c>
      <c r="V260">
        <v>0</v>
      </c>
      <c r="W260">
        <v>0</v>
      </c>
      <c r="X260">
        <v>8575</v>
      </c>
      <c r="Y260">
        <f t="shared" si="49"/>
        <v>4004090</v>
      </c>
      <c r="Z260" t="str">
        <f t="shared" si="46"/>
        <v>4004090_0_1_8575,4004090_0_1_8575,4004090_0_1_8575</v>
      </c>
      <c r="AB260" t="str">
        <f t="shared" si="51"/>
        <v>40000_50950015_1_0,40000_50952065_1_0,4004090_0_1_8575,4004090_0_1_8575,4004090_0_1_8575,30000_90004_1,30000_90003_1,30000_90002_4_10000</v>
      </c>
      <c r="AN260" t="str">
        <f t="shared" si="47"/>
        <v>30000_90004_1,30000_90003_1,30000_90002_4,40000_50950015_1,40000_50952065_1</v>
      </c>
    </row>
    <row r="261" spans="2:40">
      <c r="B261" t="s">
        <v>1028</v>
      </c>
      <c r="R261" t="str">
        <f>VLOOKUP(S261,[4]equip.xml!$A$2316:$C$2777,3,0)</f>
        <v>破天者腰带</v>
      </c>
      <c r="S261">
        <v>50950035</v>
      </c>
      <c r="T261" t="str">
        <f>VLOOKUP(U261,[4]equip.xml!$A$2316:$C$2777,3,0)</f>
        <v>歼灭之杖</v>
      </c>
      <c r="U261">
        <v>50953055</v>
      </c>
      <c r="V261">
        <v>0</v>
      </c>
      <c r="W261">
        <v>0</v>
      </c>
      <c r="X261">
        <v>8600</v>
      </c>
      <c r="Y261">
        <f t="shared" si="49"/>
        <v>4004090</v>
      </c>
      <c r="Z261" t="str">
        <f t="shared" si="46"/>
        <v>4004090_0_1_8600,4004090_0_1_8600,4004090_0_1_8600</v>
      </c>
      <c r="AB261" t="str">
        <f t="shared" si="51"/>
        <v>40000_50950035_1_0,40000_50953055_1_0,4004090_0_1_8600,4004090_0_1_8600,4004090_0_1_8600,30000_90004_1,30000_90003_1,30000_90002_4_10000</v>
      </c>
      <c r="AN261" t="str">
        <f t="shared" si="47"/>
        <v>30000_90004_1,30000_90003_1,30000_90002_4,40000_50950035_1,40000_50953055_1</v>
      </c>
    </row>
    <row r="262" spans="2:40">
      <c r="B262" t="s">
        <v>1028</v>
      </c>
      <c r="R262" t="str">
        <f>VLOOKUP(S262,[4]equip.xml!$A$2316:$C$2777,3,0)</f>
        <v>风暴凝视</v>
      </c>
      <c r="S262">
        <v>50952056</v>
      </c>
      <c r="T262" t="str">
        <f>VLOOKUP(U262,[4]equip.xml!$A$2316:$C$2777,3,0)</f>
        <v>聚能魔典</v>
      </c>
      <c r="U262">
        <v>50953065</v>
      </c>
      <c r="V262">
        <v>0</v>
      </c>
      <c r="W262">
        <v>0</v>
      </c>
      <c r="X262">
        <v>8625</v>
      </c>
      <c r="Y262">
        <f t="shared" si="49"/>
        <v>4004090</v>
      </c>
      <c r="Z262" t="str">
        <f t="shared" si="46"/>
        <v>4004090_0_1_8625,4004090_0_1_8625,4004090_0_1_8625</v>
      </c>
      <c r="AB262" t="str">
        <f t="shared" si="51"/>
        <v>40000_50952056_1_0,40000_50953065_1_0,4004090_0_1_8625,4004090_0_1_8625,4004090_0_1_8625,30000_90004_1,30000_90003_1,30000_90002_5_10000</v>
      </c>
      <c r="AN262" t="str">
        <f t="shared" si="47"/>
        <v>30000_90004_1,30000_90003_1,30000_90002_5,40000_50952056_1,40000_50953065_1</v>
      </c>
    </row>
    <row r="263" spans="2:40">
      <c r="B263" t="s">
        <v>1029</v>
      </c>
      <c r="R263" t="str">
        <f>VLOOKUP(S263,[4]equip.xml!$A$2316:$C$2777,3,0)</f>
        <v>永志不渝</v>
      </c>
      <c r="S263">
        <v>51000105</v>
      </c>
      <c r="T263" t="str">
        <f>VLOOKUP(U263,[4]equip.xml!$A$2316:$C$2777,3,0)</f>
        <v>天灾统领</v>
      </c>
      <c r="U263">
        <v>51000015</v>
      </c>
      <c r="V263">
        <v>0</v>
      </c>
      <c r="W263">
        <v>0</v>
      </c>
      <c r="X263">
        <v>8650</v>
      </c>
      <c r="Y263">
        <f t="shared" si="49"/>
        <v>4004094</v>
      </c>
      <c r="Z263" t="str">
        <f t="shared" si="46"/>
        <v>4004094_0_1_8650,4004094_0_1_8650,4004094_0_1_8650</v>
      </c>
      <c r="AB263" t="str">
        <f t="shared" si="51"/>
        <v>40000_51000105_1_0,40000_51000015_1_0,4004094_0_1_8650,4004094_0_1_8650,4004094_0_1_8650,30000_90004_1,30000_90003_1,30000_90002_3_10000</v>
      </c>
      <c r="AN263" t="str">
        <f t="shared" si="47"/>
        <v>30000_90004_1,30000_90003_1,30000_90002_3,40000_51000105_1,40000_51000015_1</v>
      </c>
    </row>
    <row r="264" spans="2:40">
      <c r="B264" t="s">
        <v>1030</v>
      </c>
      <c r="R264" t="str">
        <f>VLOOKUP(S264,[4]equip.xml!$A$2316:$C$2777,3,0)</f>
        <v>镇魂挽歌</v>
      </c>
      <c r="S264">
        <v>51000025</v>
      </c>
      <c r="T264" t="str">
        <f>VLOOKUP(U264,[4]equip.xml!$A$2316:$C$2777,3,0)</f>
        <v>苍穹怒火</v>
      </c>
      <c r="U264">
        <v>51002055</v>
      </c>
      <c r="V264">
        <v>0</v>
      </c>
      <c r="W264">
        <v>0</v>
      </c>
      <c r="X264">
        <v>8675</v>
      </c>
      <c r="Y264">
        <f t="shared" si="49"/>
        <v>4004094</v>
      </c>
      <c r="Z264" t="str">
        <f t="shared" si="46"/>
        <v>4004094_0_1_8675,4004094_0_1_8675,4004094_0_1_8675</v>
      </c>
      <c r="AB264" t="str">
        <f t="shared" si="51"/>
        <v>40000_51000025_1_0,40000_51002055_1_0,4004094_0_1_8675,4004094_0_1_8675,4004094_0_1_8675,30000_90004_1,30000_90003_1,30000_90002_3_10000</v>
      </c>
      <c r="AN264" t="str">
        <f t="shared" si="47"/>
        <v>30000_90004_1,30000_90003_1,30000_90002_3,40000_51000025_1,40000_51002055_1</v>
      </c>
    </row>
    <row r="265" spans="2:40">
      <c r="B265" t="s">
        <v>1030</v>
      </c>
      <c r="R265" t="str">
        <f>VLOOKUP(S265,[4]equip.xml!$A$2316:$C$2777,3,0)</f>
        <v>碎界之铠</v>
      </c>
      <c r="S265">
        <v>51000046</v>
      </c>
      <c r="T265" t="str">
        <f>VLOOKUP(U265,[4]equip.xml!$A$2316:$C$2777,3,0)</f>
        <v>天际之矢</v>
      </c>
      <c r="U265">
        <v>51002065</v>
      </c>
      <c r="V265">
        <v>0</v>
      </c>
      <c r="W265">
        <v>0</v>
      </c>
      <c r="X265">
        <v>8700</v>
      </c>
      <c r="Y265">
        <f t="shared" si="49"/>
        <v>4004094</v>
      </c>
      <c r="Z265" t="str">
        <f t="shared" si="46"/>
        <v>4004094_0_1_8700,4004094_0_1_8700,4004094_0_1_8700</v>
      </c>
      <c r="AB265" t="str">
        <f t="shared" si="51"/>
        <v>40000_51000046_1_0,40000_51002065_1_0,4004094_0_1_8700,4004094_0_1_8700,4004094_0_1_8700,30000_90004_1,30000_90003_1,30000_90002_4_10000</v>
      </c>
      <c r="AN265" t="str">
        <f t="shared" si="47"/>
        <v>30000_90004_1,30000_90003_1,30000_90002_4,40000_51000046_1,40000_51002065_1</v>
      </c>
    </row>
    <row r="266" spans="2:40">
      <c r="B266" t="s">
        <v>1031</v>
      </c>
      <c r="R266" t="str">
        <f>VLOOKUP(S266,[4]equip.xml!$A$2316:$C$2777,3,0)</f>
        <v>涅磐腿甲</v>
      </c>
      <c r="S266">
        <v>51000076</v>
      </c>
      <c r="T266" t="str">
        <f>VLOOKUP(U266,[4]equip.xml!$A$2316:$C$2777,3,0)</f>
        <v>雷霆护腰</v>
      </c>
      <c r="U266">
        <v>51000035</v>
      </c>
      <c r="V266">
        <v>0</v>
      </c>
      <c r="W266">
        <v>0</v>
      </c>
      <c r="X266">
        <v>8725</v>
      </c>
      <c r="Y266">
        <f t="shared" si="49"/>
        <v>4004094</v>
      </c>
      <c r="Z266" t="str">
        <f t="shared" ref="Z266:Z271" si="52">Y266&amp;"_0_1_"&amp;X266&amp;","&amp;Y266&amp;"_0_1_"&amp;X266&amp;","&amp;Y266&amp;"_0_1_"&amp;X266</f>
        <v>4004094_0_1_8725,4004094_0_1_8725,4004094_0_1_8725</v>
      </c>
      <c r="AB266" t="str">
        <f t="shared" si="51"/>
        <v>40000_51000076_1_0,40000_51000035_1_0,4004094_0_1_8725,4004094_0_1_8725,4004094_0_1_8725,30000_90004_1,30000_90003_1,30000_90002_4_10000</v>
      </c>
      <c r="AN266" t="str">
        <f t="shared" ref="AN266:AN271" si="53">B141&amp;","&amp;"40000_"&amp;S266&amp;"_1"&amp;","&amp;"40000_"&amp;U266&amp;"_1"</f>
        <v>30000_90004_1,30000_90003_1,30000_90002_4,40000_51000076_1,40000_51000035_1</v>
      </c>
    </row>
    <row r="267" spans="2:40">
      <c r="B267" t="s">
        <v>1031</v>
      </c>
      <c r="R267" t="str">
        <f>VLOOKUP(S267,[4]equip.xml!$A$2316:$C$2777,3,0)</f>
        <v>星旅之靴</v>
      </c>
      <c r="S267">
        <v>51000085</v>
      </c>
      <c r="T267" t="str">
        <f>VLOOKUP(U267,[4]equip.xml!$A$2316:$C$2777,3,0)</f>
        <v>决战之书</v>
      </c>
      <c r="U267">
        <v>51003065</v>
      </c>
      <c r="V267">
        <v>0</v>
      </c>
      <c r="W267">
        <v>0</v>
      </c>
      <c r="X267">
        <v>8750</v>
      </c>
      <c r="Y267">
        <f t="shared" si="49"/>
        <v>4004094</v>
      </c>
      <c r="Z267" t="str">
        <f t="shared" si="52"/>
        <v>4004094_0_1_8750,4004094_0_1_8750,4004094_0_1_8750</v>
      </c>
      <c r="AB267" t="str">
        <f t="shared" si="51"/>
        <v>40000_51000085_1_0,40000_51003065_1_0,4004094_0_1_8750,4004094_0_1_8750,4004094_0_1_8750,30000_90004_1,30000_90003_1,30000_90002_4_10000</v>
      </c>
      <c r="AN267" t="str">
        <f t="shared" si="53"/>
        <v>30000_90004_1,30000_90003_1,30000_90002_4,40000_51000085_1,40000_51003065_1</v>
      </c>
    </row>
    <row r="268" spans="2:40">
      <c r="B268" t="s">
        <v>1031</v>
      </c>
      <c r="R268" t="str">
        <f>VLOOKUP(S268,[4]equip.xml!$A$2316:$C$2777,3,0)</f>
        <v>泰坦之拳</v>
      </c>
      <c r="S268">
        <v>51000095</v>
      </c>
      <c r="T268" t="str">
        <f>VLOOKUP(U268,[4]equip.xml!$A$2316:$C$2777,3,0)</f>
        <v>毁天灭地</v>
      </c>
      <c r="U268">
        <v>51001055</v>
      </c>
      <c r="V268">
        <v>0</v>
      </c>
      <c r="W268">
        <v>0</v>
      </c>
      <c r="X268">
        <v>8775</v>
      </c>
      <c r="Y268">
        <f t="shared" si="49"/>
        <v>4004094</v>
      </c>
      <c r="Z268" t="str">
        <f t="shared" si="52"/>
        <v>4004094_0_1_8775,4004094_0_1_8775,4004094_0_1_8775</v>
      </c>
      <c r="AB268" t="str">
        <f t="shared" si="51"/>
        <v>40000_51000095_1_0,40000_51001055_1_0,4004094_0_1_8775,4004094_0_1_8775,4004094_0_1_8775,30000_90004_1,30000_90003_1,30000_90002_5_10000</v>
      </c>
      <c r="AN268" t="str">
        <f t="shared" si="53"/>
        <v>30000_90004_1,30000_90003_1,30000_90002_5,40000_51000095_1,40000_51001055_1</v>
      </c>
    </row>
    <row r="269" spans="2:40">
      <c r="B269" t="s">
        <v>1032</v>
      </c>
      <c r="R269" t="str">
        <f>VLOOKUP(S269,[4]equip.xml!$A$2316:$C$2777,3,0)</f>
        <v>天灾统领</v>
      </c>
      <c r="S269">
        <v>51000015</v>
      </c>
      <c r="T269" s="14" t="str">
        <f>VLOOKUP(U269,[4]equip.xml!$A$2316:$C$2777,3,0)</f>
        <v>天际之矢</v>
      </c>
      <c r="U269">
        <v>51002065</v>
      </c>
      <c r="V269">
        <v>0</v>
      </c>
      <c r="W269">
        <v>0</v>
      </c>
      <c r="X269">
        <v>8800</v>
      </c>
      <c r="Y269">
        <f t="shared" si="49"/>
        <v>4004094</v>
      </c>
      <c r="Z269" t="str">
        <f t="shared" si="52"/>
        <v>4004094_0_1_8800,4004094_0_1_8800,4004094_0_1_8800</v>
      </c>
      <c r="AB269" t="str">
        <f t="shared" si="51"/>
        <v>40000_51000015_1_0,40000_51002065_1_0,4004094_0_1_8800,4004094_0_1_8800,4004094_0_1_8800,30000_90004_1,30000_90003_1,30000_90002_5_10000</v>
      </c>
      <c r="AN269" t="str">
        <f t="shared" si="53"/>
        <v>30000_90004_1,30000_90003_1,30000_90002_5,40000_51000015_1,40000_51002065_1</v>
      </c>
    </row>
    <row r="270" spans="2:40">
      <c r="B270" t="s">
        <v>1032</v>
      </c>
      <c r="R270" t="str">
        <f>VLOOKUP(S270,[4]equip.xml!$A$2316:$C$2777,3,0)</f>
        <v>雷霆护腰</v>
      </c>
      <c r="S270">
        <v>51000035</v>
      </c>
      <c r="T270" t="str">
        <f>VLOOKUP(U270,[4]equip.xml!$A$2316:$C$2777,3,0)</f>
        <v>混沌终幕</v>
      </c>
      <c r="U270">
        <v>51003055</v>
      </c>
      <c r="V270">
        <v>0</v>
      </c>
      <c r="W270">
        <v>0</v>
      </c>
      <c r="X270">
        <v>8825</v>
      </c>
      <c r="Y270">
        <f t="shared" si="49"/>
        <v>4004094</v>
      </c>
      <c r="Z270" t="str">
        <f t="shared" si="52"/>
        <v>4004094_0_1_8825,4004094_0_1_8825,4004094_0_1_8825</v>
      </c>
      <c r="AB270" t="str">
        <f t="shared" si="51"/>
        <v>40000_51000035_1_0,40000_51003055_1_0,4004094_0_1_8825,4004094_0_1_8825,4004094_0_1_8825,30000_90004_1,30000_90003_1,30000_90002_5_10000</v>
      </c>
      <c r="AN270" t="str">
        <f t="shared" si="53"/>
        <v>30000_90004_1,30000_90003_1,30000_90002_5,40000_51000035_1,40000_51003055_1</v>
      </c>
    </row>
    <row r="271" spans="2:40" s="14" customFormat="1">
      <c r="B271" s="14" t="s">
        <v>1032</v>
      </c>
      <c r="R271" s="14" t="str">
        <f>VLOOKUP(S271,[4]equip.xml!$A$2316:$C$2777,3,0)</f>
        <v>群星之怒</v>
      </c>
      <c r="S271" s="14">
        <v>51002056</v>
      </c>
      <c r="T271" s="14" t="str">
        <f>VLOOKUP(U271,[4]equip.xml!$A$2316:$C$2777,3,0)</f>
        <v>决战之书</v>
      </c>
      <c r="U271" s="14">
        <v>51003065</v>
      </c>
      <c r="V271">
        <v>0</v>
      </c>
      <c r="W271">
        <v>0</v>
      </c>
      <c r="X271" s="14">
        <v>8850</v>
      </c>
      <c r="Y271" s="14">
        <f t="shared" si="49"/>
        <v>4004094</v>
      </c>
      <c r="Z271" s="14" t="str">
        <f t="shared" si="52"/>
        <v>4004094_0_1_8850,4004094_0_1_8850,4004094_0_1_8850</v>
      </c>
      <c r="AB271" t="str">
        <f t="shared" si="51"/>
        <v>40000_51002056_1_0,40000_51003065_1_0,4004094_0_1_8850,4004094_0_1_8850,4004094_0_1_8850,30000_90004_1,30000_90003_1,30000_90002_6_10000</v>
      </c>
      <c r="AN271" t="str">
        <f t="shared" si="53"/>
        <v>30000_90004_1,30000_90003_1,30000_90002_6,40000_51002056_1,40000_51003065_1</v>
      </c>
    </row>
    <row r="272" spans="2:40">
      <c r="B272" t="s">
        <v>1033</v>
      </c>
      <c r="R272" t="str">
        <f>VLOOKUP(S272,[4]equip.xml!$A$2316:$C$2777,3,0)</f>
        <v>苍蓝挂坠</v>
      </c>
      <c r="S272">
        <v>50350105</v>
      </c>
      <c r="T272" t="str">
        <f>VLOOKUP(U272,[4]equip.xml!$A$2316:$C$2777,3,0)</f>
        <v>神圣典籍</v>
      </c>
      <c r="U272">
        <v>50303065</v>
      </c>
      <c r="V272">
        <v>1000</v>
      </c>
      <c r="W272">
        <v>2000</v>
      </c>
      <c r="X272">
        <v>5000</v>
      </c>
      <c r="Y272">
        <v>4000430</v>
      </c>
      <c r="Z272" t="str">
        <f>Y272&amp;"_0_1_"&amp;X272&amp;","&amp;Y272&amp;"_0_1_"&amp;X272&amp;","&amp;Y272&amp;"_0_1_"&amp;X272</f>
        <v>4000430_0_1_5000,4000430_0_1_5000,4000430_0_1_5000</v>
      </c>
      <c r="AB272" t="str">
        <f t="shared" si="51"/>
        <v>40000_50350105_1_1000,40000_50303065_1_2000,4000430_0_1_5000,4000430_0_1_5000,4000430_0_1_5000,30000_90002_7_10000</v>
      </c>
      <c r="AN272" t="str">
        <f>B12&amp;","&amp;"40000_"&amp;S272&amp;"_1"&amp;","&amp;"40000_"&amp;U272&amp;"_1"</f>
        <v>30000_90002_7,40000_50350105_1,40000_50303065_1</v>
      </c>
    </row>
    <row r="273" spans="2:40">
      <c r="B273" t="s">
        <v>1031</v>
      </c>
      <c r="R273" t="str">
        <f>VLOOKUP(S273,[4]equip.xml!$A$2316:$C$2777,3,0)</f>
        <v>残忍腿甲</v>
      </c>
      <c r="S273">
        <v>50350075</v>
      </c>
      <c r="T273" t="str">
        <f>VLOOKUP(U273,[4]equip.xml!$A$2316:$C$2777,3,0)</f>
        <v>炽热长剑</v>
      </c>
      <c r="U273">
        <v>50301055</v>
      </c>
      <c r="V273">
        <v>993</v>
      </c>
      <c r="W273">
        <f t="shared" ref="W273:W304" si="54">W272-10</f>
        <v>1990</v>
      </c>
      <c r="X273">
        <v>5050</v>
      </c>
      <c r="Y273">
        <v>4000430</v>
      </c>
      <c r="Z273" t="str">
        <f t="shared" ref="Z273:Z336" si="55">Y273&amp;"_0_1_"&amp;X273&amp;","&amp;Y273&amp;"_0_1_"&amp;X273&amp;","&amp;Y273&amp;"_0_1_"&amp;X273</f>
        <v>4000430_0_1_5050,4000430_0_1_5050,4000430_0_1_5050</v>
      </c>
      <c r="AB273" t="str">
        <f t="shared" si="51"/>
        <v>40000_50350075_1_993,40000_50301055_1_1990,4000430_0_1_5050,4000430_0_1_5050,4000430_0_1_5050,30000_90002_7_10000</v>
      </c>
      <c r="AN273" t="str">
        <f t="shared" ref="AN273:AN336" si="56">B13&amp;","&amp;"40000_"&amp;S273&amp;"_1"&amp;","&amp;"40000_"&amp;U273&amp;"_1"</f>
        <v>30000_90002_7,40000_50350075_1,40000_50301055_1</v>
      </c>
    </row>
    <row r="274" spans="2:40">
      <c r="B274" t="s">
        <v>1031</v>
      </c>
      <c r="R274" t="str">
        <f>VLOOKUP(S274,[4]equip.xml!$A$2316:$C$2777,3,0)</f>
        <v>蛮兽胸甲</v>
      </c>
      <c r="S274">
        <v>50350045</v>
      </c>
      <c r="T274" t="str">
        <f>VLOOKUP(U274,[4]equip.xml!$A$2316:$C$2777,3,0)</f>
        <v>耐久盾牌</v>
      </c>
      <c r="U274">
        <v>50301065</v>
      </c>
      <c r="V274">
        <v>986</v>
      </c>
      <c r="W274">
        <f t="shared" si="54"/>
        <v>1980</v>
      </c>
      <c r="X274">
        <v>5100</v>
      </c>
      <c r="Y274">
        <v>4000430</v>
      </c>
      <c r="Z274" t="str">
        <f t="shared" si="55"/>
        <v>4000430_0_1_5100,4000430_0_1_5100,4000430_0_1_5100</v>
      </c>
      <c r="AB274" t="str">
        <f t="shared" si="51"/>
        <v>40000_50350045_1_986,40000_50301065_1_1980,4000430_0_1_5100,4000430_0_1_5100,4000430_0_1_5100,30000_90002_8_10000</v>
      </c>
      <c r="AN274" t="str">
        <f t="shared" si="56"/>
        <v>30000_90002_8,40000_50350045_1,40000_50301065_1</v>
      </c>
    </row>
    <row r="275" spans="2:40">
      <c r="B275" t="s">
        <v>1032</v>
      </c>
      <c r="R275" t="str">
        <f>VLOOKUP(S275,[4]equip.xml!$A$2316:$C$2777,3,0)</f>
        <v>烈焰指环</v>
      </c>
      <c r="S275">
        <v>50350025</v>
      </c>
      <c r="T275" t="str">
        <f>VLOOKUP(U275,[4]equip.xml!$A$2316:$C$2777,3,0)</f>
        <v>红木长弓</v>
      </c>
      <c r="U275">
        <v>50302055</v>
      </c>
      <c r="V275">
        <v>979</v>
      </c>
      <c r="W275">
        <f t="shared" si="54"/>
        <v>1970</v>
      </c>
      <c r="X275">
        <v>5150</v>
      </c>
      <c r="Y275">
        <v>4000430</v>
      </c>
      <c r="Z275" t="str">
        <f t="shared" si="55"/>
        <v>4000430_0_1_5150,4000430_0_1_5150,4000430_0_1_5150</v>
      </c>
      <c r="AB275" t="str">
        <f t="shared" si="51"/>
        <v>40000_50350025_1_979,40000_50302055_1_1970,4000430_0_1_5150,4000430_0_1_5150,4000430_0_1_5150,30000_90002_8_10000</v>
      </c>
      <c r="AN275" t="str">
        <f t="shared" si="56"/>
        <v>30000_90002_8,40000_50350025_1,40000_50302055_1</v>
      </c>
    </row>
    <row r="276" spans="2:40">
      <c r="B276" t="s">
        <v>1032</v>
      </c>
      <c r="R276" t="str">
        <f>VLOOKUP(S276,[4]equip.xml!$A$2316:$C$2777,3,0)</f>
        <v>激励手甲</v>
      </c>
      <c r="S276">
        <v>50350095</v>
      </c>
      <c r="T276" t="str">
        <f>VLOOKUP(U276,[4]equip.xml!$A$2316:$C$2777,3,0)</f>
        <v>荒骨法杖</v>
      </c>
      <c r="U276">
        <v>50303055</v>
      </c>
      <c r="V276">
        <v>972</v>
      </c>
      <c r="W276">
        <f t="shared" si="54"/>
        <v>1960</v>
      </c>
      <c r="X276">
        <v>5200</v>
      </c>
      <c r="Y276">
        <v>4000430</v>
      </c>
      <c r="Z276" t="str">
        <f t="shared" si="55"/>
        <v>4000430_0_1_5200,4000430_0_1_5200,4000430_0_1_5200</v>
      </c>
      <c r="AB276" t="str">
        <f t="shared" si="51"/>
        <v>40000_50350095_1_972,40000_50303055_1_1960,4000430_0_1_5200,4000430_0_1_5200,4000430_0_1_5200,30000_90002_8_10000</v>
      </c>
      <c r="AN276" t="str">
        <f t="shared" si="56"/>
        <v>30000_90002_8,40000_50350095_1,40000_50303055_1</v>
      </c>
    </row>
    <row r="277" spans="2:40">
      <c r="B277" t="s">
        <v>1032</v>
      </c>
      <c r="R277" t="str">
        <f>VLOOKUP(S277,[4]equip.xml!$A$2316:$C$2777,3,0)</f>
        <v>混乱之靴</v>
      </c>
      <c r="S277">
        <v>50350085</v>
      </c>
      <c r="T277" t="str">
        <f>VLOOKUP(U277,[4]equip.xml!$A$2316:$C$2777,3,0)</f>
        <v>双链罩帽</v>
      </c>
      <c r="U277">
        <v>50300015</v>
      </c>
      <c r="V277">
        <v>965</v>
      </c>
      <c r="W277">
        <f t="shared" si="54"/>
        <v>1950</v>
      </c>
      <c r="X277">
        <v>5250</v>
      </c>
      <c r="Y277">
        <v>4000430</v>
      </c>
      <c r="Z277" t="str">
        <f t="shared" si="55"/>
        <v>4000430_0_1_5250,4000430_0_1_5250,4000430_0_1_5250</v>
      </c>
      <c r="AB277" t="str">
        <f t="shared" si="51"/>
        <v>40000_50350085_1_965,40000_50300015_1_1950,4000430_0_1_5250,4000430_0_1_5250,4000430_0_1_5250,30000_90002_9_10000</v>
      </c>
      <c r="AN277" t="str">
        <f t="shared" si="56"/>
        <v>30000_90002_9,40000_50350085_1,40000_50300015_1</v>
      </c>
    </row>
    <row r="278" spans="2:40">
      <c r="B278" t="s">
        <v>1033</v>
      </c>
      <c r="R278" t="str">
        <f>VLOOKUP(S278,[4]equip.xml!$A$2316:$C$2777,3,0)</f>
        <v>镶带头盔</v>
      </c>
      <c r="S278">
        <v>50350015</v>
      </c>
      <c r="T278" s="14" t="str">
        <f>VLOOKUP(U278,[4]equip.xml!$A$2316:$C$2777,3,0)</f>
        <v>大法师之书</v>
      </c>
      <c r="U278">
        <v>50353066</v>
      </c>
      <c r="V278">
        <v>958</v>
      </c>
      <c r="W278">
        <f t="shared" si="54"/>
        <v>1940</v>
      </c>
      <c r="X278">
        <v>5300</v>
      </c>
      <c r="Y278">
        <v>4000430</v>
      </c>
      <c r="Z278" t="str">
        <f t="shared" si="55"/>
        <v>4000430_0_1_5300,4000430_0_1_5300,4000430_0_1_5300</v>
      </c>
      <c r="AB278" t="str">
        <f t="shared" si="51"/>
        <v>40000_50350015_1_958,40000_50353066_1_1940,4000430_0_1_5300,4000430_0_1_5300,4000430_0_1_5300,30000_90002_9_10000</v>
      </c>
      <c r="AN278" t="str">
        <f t="shared" si="56"/>
        <v>30000_90002_9,40000_50350015_1,40000_50353066_1</v>
      </c>
    </row>
    <row r="279" spans="2:40">
      <c r="B279" t="s">
        <v>1033</v>
      </c>
      <c r="R279" t="str">
        <f>VLOOKUP(S279,[4]equip.xml!$A$2316:$C$2777,3,0)</f>
        <v>斗士腰带</v>
      </c>
      <c r="S279">
        <v>50350035</v>
      </c>
      <c r="T279" t="str">
        <f>VLOOKUP(U279,[4]equip.xml!$A$2316:$C$2777,3,0)</f>
        <v>倒刺箭筒</v>
      </c>
      <c r="U279">
        <v>50302065</v>
      </c>
      <c r="V279">
        <v>951</v>
      </c>
      <c r="W279">
        <f t="shared" si="54"/>
        <v>1930</v>
      </c>
      <c r="X279">
        <v>5350</v>
      </c>
      <c r="Y279">
        <v>4000430</v>
      </c>
      <c r="Z279" t="str">
        <f t="shared" si="55"/>
        <v>4000430_0_1_5350,4000430_0_1_5350,4000430_0_1_5350</v>
      </c>
      <c r="AB279" t="str">
        <f t="shared" si="51"/>
        <v>40000_50350035_1_951,40000_50302065_1_1930,4000430_0_1_5350,4000430_0_1_5350,4000430_0_1_5350,30000_90002_9_10000</v>
      </c>
      <c r="AN279" t="str">
        <f t="shared" si="56"/>
        <v>30000_90002_9,40000_50350035_1,40000_50302065_1</v>
      </c>
    </row>
    <row r="280" spans="2:40">
      <c r="B280" t="s">
        <v>1033</v>
      </c>
      <c r="R280" t="str">
        <f>VLOOKUP(S280,[4]equip.xml!$A$2316:$C$2777,3,0)</f>
        <v>聚能之杖</v>
      </c>
      <c r="S280">
        <v>50353055</v>
      </c>
      <c r="T280" t="str">
        <f>VLOOKUP(U280,[4]equip.xml!$A$2316:$C$2777,3,0)</f>
        <v>秘银腰带</v>
      </c>
      <c r="U280">
        <v>50300035</v>
      </c>
      <c r="V280">
        <v>944</v>
      </c>
      <c r="W280">
        <f t="shared" si="54"/>
        <v>1920</v>
      </c>
      <c r="X280">
        <v>5400</v>
      </c>
      <c r="Y280">
        <v>4000430</v>
      </c>
      <c r="Z280" t="str">
        <f t="shared" si="55"/>
        <v>4000430_0_1_5400,4000430_0_1_5400,4000430_0_1_5400</v>
      </c>
      <c r="AB280" t="str">
        <f t="shared" si="51"/>
        <v>40000_50353055_1_944,40000_50300035_1_1920,4000430_0_1_5400,4000430_0_1_5400,4000430_0_1_5400,30000_90002_10_10000</v>
      </c>
      <c r="AN280" t="str">
        <f t="shared" si="56"/>
        <v>30000_90002_10,40000_50353055_1,40000_50300035_1</v>
      </c>
    </row>
    <row r="281" spans="2:40">
      <c r="B281" t="s">
        <v>1034</v>
      </c>
      <c r="R281" t="str">
        <f>VLOOKUP(S281,[4]equip.xml!$A$2316:$C$2777,3,0)</f>
        <v>烈焰头罩</v>
      </c>
      <c r="S281">
        <v>50400015</v>
      </c>
      <c r="T281" t="str">
        <f>VLOOKUP(U281,[4]equip.xml!$A$2316:$C$2777,3,0)</f>
        <v>召唤魔典</v>
      </c>
      <c r="U281">
        <v>50353065</v>
      </c>
      <c r="V281">
        <v>937</v>
      </c>
      <c r="W281">
        <f t="shared" si="54"/>
        <v>1910</v>
      </c>
      <c r="X281">
        <v>5450</v>
      </c>
      <c r="Y281">
        <f>Y272+5</f>
        <v>4000435</v>
      </c>
      <c r="Z281" t="str">
        <f t="shared" si="55"/>
        <v>4000435_0_1_5450,4000435_0_1_5450,4000435_0_1_5450</v>
      </c>
      <c r="AB281" t="str">
        <f t="shared" si="51"/>
        <v>40000_50400015_1_937,40000_50353065_1_1910,4000435_0_1_5450,4000435_0_1_5450,4000435_0_1_5450,30000_90002_8_10000</v>
      </c>
      <c r="AN281" t="str">
        <f t="shared" si="56"/>
        <v>30000_90002_8,40000_50400015_1,40000_50353065_1</v>
      </c>
    </row>
    <row r="282" spans="2:40">
      <c r="B282" t="s">
        <v>1021</v>
      </c>
      <c r="R282" t="str">
        <f>VLOOKUP(S282,[4]equip.xml!$A$2316:$C$2777,3,0)</f>
        <v>重拳手套</v>
      </c>
      <c r="S282">
        <v>50400095</v>
      </c>
      <c r="T282" t="str">
        <f>VLOOKUP(U282,[4]equip.xml!$A$2316:$C$2777,3,0)</f>
        <v>风语者弯弓</v>
      </c>
      <c r="U282">
        <v>50352055</v>
      </c>
      <c r="V282">
        <v>930</v>
      </c>
      <c r="W282">
        <f t="shared" si="54"/>
        <v>1900</v>
      </c>
      <c r="X282">
        <v>5500</v>
      </c>
      <c r="Y282">
        <f t="shared" ref="Y282:Y345" si="57">Y273+5</f>
        <v>4000435</v>
      </c>
      <c r="Z282" t="str">
        <f t="shared" si="55"/>
        <v>4000435_0_1_5500,4000435_0_1_5500,4000435_0_1_5500</v>
      </c>
      <c r="AB282" t="str">
        <f t="shared" si="51"/>
        <v>40000_50400095_1_930,40000_50352055_1_1900,4000435_0_1_5500,4000435_0_1_5500,4000435_0_1_5500,30000_90002_8_10000</v>
      </c>
      <c r="AN282" t="str">
        <f t="shared" si="56"/>
        <v>30000_90002_8,40000_50400095_1,40000_50352055_1</v>
      </c>
    </row>
    <row r="283" spans="2:40">
      <c r="B283" t="s">
        <v>1021</v>
      </c>
      <c r="R283" t="str">
        <f>VLOOKUP(S283,[4]equip.xml!$A$2316:$C$2777,3,0)</f>
        <v>瑟银护甲</v>
      </c>
      <c r="S283">
        <v>50400045</v>
      </c>
      <c r="T283" t="str">
        <f>VLOOKUP(U283,[4]equip.xml!$A$2316:$C$2777,3,0)</f>
        <v>水晶剑</v>
      </c>
      <c r="U283">
        <v>50351055</v>
      </c>
      <c r="V283">
        <v>923</v>
      </c>
      <c r="W283">
        <f t="shared" si="54"/>
        <v>1890</v>
      </c>
      <c r="X283">
        <v>5550</v>
      </c>
      <c r="Y283">
        <f t="shared" si="57"/>
        <v>4000435</v>
      </c>
      <c r="Z283" t="str">
        <f t="shared" si="55"/>
        <v>4000435_0_1_5550,4000435_0_1_5550,4000435_0_1_5550</v>
      </c>
      <c r="AB283" t="str">
        <f t="shared" si="51"/>
        <v>40000_50400045_1_923,40000_50351055_1_1890,4000435_0_1_5550,4000435_0_1_5550,4000435_0_1_5550,30000_90002_9_10000</v>
      </c>
      <c r="AN283" t="str">
        <f t="shared" si="56"/>
        <v>30000_90002_9,40000_50400045_1,40000_50351055_1</v>
      </c>
    </row>
    <row r="284" spans="2:40">
      <c r="B284" t="s">
        <v>812</v>
      </c>
      <c r="R284" t="str">
        <f>VLOOKUP(S284,[4]equip.xml!$A$2316:$C$2777,3,0)</f>
        <v>征战之靴</v>
      </c>
      <c r="S284">
        <v>50400085</v>
      </c>
      <c r="T284" s="14" t="str">
        <f>VLOOKUP(U284,[4]equip.xml!$A$2316:$C$2777,3,0)</f>
        <v>附魔秘典</v>
      </c>
      <c r="U284">
        <v>50403065</v>
      </c>
      <c r="V284">
        <v>916</v>
      </c>
      <c r="W284">
        <f t="shared" si="54"/>
        <v>1880</v>
      </c>
      <c r="X284">
        <v>5600</v>
      </c>
      <c r="Y284">
        <f t="shared" si="57"/>
        <v>4000435</v>
      </c>
      <c r="Z284" t="str">
        <f t="shared" si="55"/>
        <v>4000435_0_1_5600,4000435_0_1_5600,4000435_0_1_5600</v>
      </c>
      <c r="AB284" t="str">
        <f t="shared" si="51"/>
        <v>40000_50400085_1_916,40000_50403065_1_1880,4000435_0_1_5600,4000435_0_1_5600,4000435_0_1_5600,30000_90002_9_10000</v>
      </c>
      <c r="AN284" t="str">
        <f t="shared" si="56"/>
        <v>30000_90002_9,40000_50400085_1,40000_50403065_1</v>
      </c>
    </row>
    <row r="285" spans="2:40">
      <c r="B285" t="s">
        <v>812</v>
      </c>
      <c r="R285" t="str">
        <f>VLOOKUP(S285,[4]equip.xml!$A$2316:$C$2777,3,0)</f>
        <v>巨熊护腿</v>
      </c>
      <c r="S285">
        <v>50400075</v>
      </c>
      <c r="T285" t="str">
        <f>VLOOKUP(U285,[4]equip.xml!$A$2316:$C$2777,3,0)</f>
        <v>符记盾牌</v>
      </c>
      <c r="U285">
        <v>50351065</v>
      </c>
      <c r="V285">
        <v>909</v>
      </c>
      <c r="W285">
        <f t="shared" si="54"/>
        <v>1870</v>
      </c>
      <c r="X285">
        <v>5650</v>
      </c>
      <c r="Y285">
        <f t="shared" si="57"/>
        <v>4000435</v>
      </c>
      <c r="Z285" t="str">
        <f t="shared" si="55"/>
        <v>4000435_0_1_5650,4000435_0_1_5650,4000435_0_1_5650</v>
      </c>
      <c r="AB285" t="str">
        <f t="shared" si="51"/>
        <v>40000_50400075_1_909,40000_50351065_1_1870,4000435_0_1_5650,4000435_0_1_5650,4000435_0_1_5650,30000_90002_9_10000</v>
      </c>
      <c r="AN285" t="str">
        <f t="shared" si="56"/>
        <v>30000_90002_9,40000_50400075_1,40000_50351065_1</v>
      </c>
    </row>
    <row r="286" spans="2:40">
      <c r="B286" t="s">
        <v>812</v>
      </c>
      <c r="R286" t="str">
        <f>VLOOKUP(S286,[4]equip.xml!$A$2316:$C$2777,3,0)</f>
        <v>龙纹戒指</v>
      </c>
      <c r="S286">
        <v>50400025</v>
      </c>
      <c r="T286" t="str">
        <f>VLOOKUP(U286,[4]equip.xml!$A$2316:$C$2777,3,0)</f>
        <v>镶带头盔</v>
      </c>
      <c r="U286">
        <v>50350015</v>
      </c>
      <c r="V286">
        <v>902</v>
      </c>
      <c r="W286">
        <f t="shared" si="54"/>
        <v>1860</v>
      </c>
      <c r="X286">
        <v>5700</v>
      </c>
      <c r="Y286">
        <f t="shared" si="57"/>
        <v>4000435</v>
      </c>
      <c r="Z286" t="str">
        <f t="shared" si="55"/>
        <v>4000435_0_1_5700,4000435_0_1_5700,4000435_0_1_5700</v>
      </c>
      <c r="AB286" t="str">
        <f t="shared" si="51"/>
        <v>40000_50400025_1_902,40000_50350015_1_1860,4000435_0_1_5700,4000435_0_1_5700,4000435_0_1_5700,30000_90002_10_10000</v>
      </c>
      <c r="AN286" t="str">
        <f t="shared" si="56"/>
        <v>30000_90002_10,40000_50400025_1,40000_50350015_1</v>
      </c>
    </row>
    <row r="287" spans="2:40">
      <c r="B287" t="s">
        <v>813</v>
      </c>
      <c r="R287" t="str">
        <f>VLOOKUP(S287,[4]equip.xml!$A$2316:$C$2777,3,0)</f>
        <v>迅捷项链</v>
      </c>
      <c r="S287">
        <v>50400105</v>
      </c>
      <c r="T287" t="str">
        <f>VLOOKUP(U287,[4]equip.xml!$A$2316:$C$2777,3,0)</f>
        <v>聚能之杖</v>
      </c>
      <c r="U287">
        <v>50353055</v>
      </c>
      <c r="V287">
        <v>895</v>
      </c>
      <c r="W287">
        <f t="shared" si="54"/>
        <v>1850</v>
      </c>
      <c r="X287">
        <v>5750</v>
      </c>
      <c r="Y287">
        <f t="shared" si="57"/>
        <v>4000435</v>
      </c>
      <c r="Z287" t="str">
        <f t="shared" si="55"/>
        <v>4000435_0_1_5750,4000435_0_1_5750,4000435_0_1_5750</v>
      </c>
      <c r="AB287" t="str">
        <f t="shared" si="51"/>
        <v>40000_50400105_1_895,40000_50353055_1_1850,4000435_0_1_5750,4000435_0_1_5750,4000435_0_1_5750,30000_90002_10_10000</v>
      </c>
      <c r="AN287" t="str">
        <f t="shared" si="56"/>
        <v>30000_90002_10,40000_50400105_1,40000_50353055_1</v>
      </c>
    </row>
    <row r="288" spans="2:40">
      <c r="B288" t="s">
        <v>813</v>
      </c>
      <c r="R288" t="str">
        <f>VLOOKUP(S288,[4]equip.xml!$A$2316:$C$2777,3,0)</f>
        <v>力量腰带</v>
      </c>
      <c r="S288">
        <v>50400035</v>
      </c>
      <c r="T288" t="str">
        <f>VLOOKUP(U288,[4]equip.xml!$A$2316:$C$2777,3,0)</f>
        <v>斗士腰带</v>
      </c>
      <c r="U288">
        <v>50350035</v>
      </c>
      <c r="V288">
        <v>888</v>
      </c>
      <c r="W288">
        <f t="shared" si="54"/>
        <v>1840</v>
      </c>
      <c r="X288">
        <v>5800</v>
      </c>
      <c r="Y288">
        <f t="shared" si="57"/>
        <v>4000435</v>
      </c>
      <c r="Z288" t="str">
        <f t="shared" si="55"/>
        <v>4000435_0_1_5800,4000435_0_1_5800,4000435_0_1_5800</v>
      </c>
      <c r="AB288" t="str">
        <f t="shared" si="51"/>
        <v>40000_50400035_1_888,40000_50350035_1_1840,4000435_0_1_5800,4000435_0_1_5800,4000435_0_1_5800,30000_90002_10_10000</v>
      </c>
      <c r="AN288" t="str">
        <f t="shared" si="56"/>
        <v>30000_90002_10,40000_50400035_1,40000_50350035_1</v>
      </c>
    </row>
    <row r="289" spans="2:40">
      <c r="B289" t="s">
        <v>813</v>
      </c>
      <c r="R289" t="str">
        <f>VLOOKUP(S289,[4]equip.xml!$A$2316:$C$2777,3,0)</f>
        <v>真理之杖</v>
      </c>
      <c r="S289">
        <v>50403056</v>
      </c>
      <c r="T289" t="str">
        <f>VLOOKUP(U289,[4]equip.xml!$A$2316:$C$2777,3,0)</f>
        <v>游侠箭筒</v>
      </c>
      <c r="U289">
        <v>50352065</v>
      </c>
      <c r="V289">
        <v>881</v>
      </c>
      <c r="W289">
        <f t="shared" si="54"/>
        <v>1830</v>
      </c>
      <c r="X289">
        <v>5850</v>
      </c>
      <c r="Y289">
        <f t="shared" si="57"/>
        <v>4000435</v>
      </c>
      <c r="Z289" t="str">
        <f t="shared" si="55"/>
        <v>4000435_0_1_5850,4000435_0_1_5850,4000435_0_1_5850</v>
      </c>
      <c r="AB289" t="str">
        <f t="shared" si="51"/>
        <v>40000_50403056_1_881,40000_50352065_1_1830,4000435_0_1_5850,4000435_0_1_5850,4000435_0_1_5850,30000_90002_11_10000</v>
      </c>
      <c r="AN289" t="str">
        <f t="shared" si="56"/>
        <v>30000_90002_11,40000_50403056_1,40000_50352065_1</v>
      </c>
    </row>
    <row r="290" spans="2:40">
      <c r="B290" t="s">
        <v>814</v>
      </c>
      <c r="R290" t="str">
        <f>VLOOKUP(S290,[4]equip.xml!$A$2316:$C$2777,3,0)</f>
        <v>洞察指环</v>
      </c>
      <c r="S290">
        <v>50450025</v>
      </c>
      <c r="T290" t="str">
        <f>VLOOKUP(U290,[4]equip.xml!$A$2316:$C$2777,3,0)</f>
        <v>附魔秘典</v>
      </c>
      <c r="U290">
        <v>50403065</v>
      </c>
      <c r="V290">
        <v>874</v>
      </c>
      <c r="W290">
        <f t="shared" si="54"/>
        <v>1820</v>
      </c>
      <c r="X290">
        <v>5900</v>
      </c>
      <c r="Y290">
        <f t="shared" si="57"/>
        <v>4000440</v>
      </c>
      <c r="Z290" t="str">
        <f t="shared" si="55"/>
        <v>4000440_0_1_5900,4000440_0_1_5900,4000440_0_1_5900</v>
      </c>
      <c r="AB290" t="str">
        <f t="shared" si="51"/>
        <v>40000_50450025_1_874,40000_50403065_1_1820,4000440_0_1_5900,4000440_0_1_5900,4000440_0_1_5900,30000_90002_9_10000</v>
      </c>
      <c r="AN290" t="str">
        <f t="shared" si="56"/>
        <v>30000_90002_9,40000_50450025_1,40000_50403065_1</v>
      </c>
    </row>
    <row r="291" spans="2:40">
      <c r="B291" t="s">
        <v>812</v>
      </c>
      <c r="R291" t="str">
        <f>VLOOKUP(S291,[4]equip.xml!$A$2316:$C$2777,3,0)</f>
        <v>新月项链</v>
      </c>
      <c r="S291">
        <v>50450105</v>
      </c>
      <c r="T291" t="str">
        <f>VLOOKUP(U291,[4]equip.xml!$A$2316:$C$2777,3,0)</f>
        <v>烈焰头罩</v>
      </c>
      <c r="U291">
        <v>50400015</v>
      </c>
      <c r="V291">
        <v>867</v>
      </c>
      <c r="W291">
        <f t="shared" si="54"/>
        <v>1810</v>
      </c>
      <c r="X291">
        <v>5950</v>
      </c>
      <c r="Y291">
        <f t="shared" si="57"/>
        <v>4000440</v>
      </c>
      <c r="Z291" t="str">
        <f t="shared" si="55"/>
        <v>4000440_0_1_5950,4000440_0_1_5950,4000440_0_1_5950</v>
      </c>
      <c r="AB291" t="str">
        <f t="shared" si="51"/>
        <v>40000_50450105_1_867,40000_50400015_1_1810,4000440_0_1_5950,4000440_0_1_5950,4000440_0_1_5950,30000_90002_9_10000</v>
      </c>
      <c r="AN291" t="str">
        <f t="shared" si="56"/>
        <v>30000_90002_9,40000_50450105_1,40000_50400015_1</v>
      </c>
    </row>
    <row r="292" spans="2:40">
      <c r="B292" t="s">
        <v>812</v>
      </c>
      <c r="R292" t="str">
        <f>VLOOKUP(S292,[4]equip.xml!$A$2316:$C$2777,3,0)</f>
        <v>执政官胸甲</v>
      </c>
      <c r="S292">
        <v>50450045</v>
      </c>
      <c r="T292" t="str">
        <f>VLOOKUP(U292,[4]equip.xml!$A$2316:$C$2777,3,0)</f>
        <v>魔铁巨剑</v>
      </c>
      <c r="U292">
        <v>50401055</v>
      </c>
      <c r="V292">
        <v>860</v>
      </c>
      <c r="W292">
        <f t="shared" si="54"/>
        <v>1800</v>
      </c>
      <c r="X292">
        <v>6000</v>
      </c>
      <c r="Y292">
        <f t="shared" si="57"/>
        <v>4000440</v>
      </c>
      <c r="Z292" t="str">
        <f t="shared" si="55"/>
        <v>4000440_0_1_6000,4000440_0_1_6000,4000440_0_1_6000</v>
      </c>
      <c r="AB292" t="str">
        <f t="shared" si="51"/>
        <v>40000_50450045_1_860,40000_50401055_1_1800,4000440_0_1_6000,4000440_0_1_6000,4000440_0_1_6000,30000_90002_10_10000</v>
      </c>
      <c r="AN292" t="str">
        <f t="shared" si="56"/>
        <v>30000_90002_10,40000_50450045_1,40000_50401055_1</v>
      </c>
    </row>
    <row r="293" spans="2:40">
      <c r="B293" t="s">
        <v>813</v>
      </c>
      <c r="R293" t="str">
        <f>VLOOKUP(S293,[4]equip.xml!$A$2316:$C$2777,3,0)</f>
        <v>冰铸腿铠</v>
      </c>
      <c r="S293">
        <v>50450075</v>
      </c>
      <c r="T293" t="str">
        <f>VLOOKUP(U293,[4]equip.xml!$A$2316:$C$2777,3,0)</f>
        <v>洛阿巨盾</v>
      </c>
      <c r="U293">
        <v>50401065</v>
      </c>
      <c r="V293">
        <v>853</v>
      </c>
      <c r="W293">
        <f t="shared" si="54"/>
        <v>1790</v>
      </c>
      <c r="X293">
        <v>6025</v>
      </c>
      <c r="Y293">
        <f t="shared" si="57"/>
        <v>4000440</v>
      </c>
      <c r="Z293" t="str">
        <f t="shared" si="55"/>
        <v>4000440_0_1_6025,4000440_0_1_6025,4000440_0_1_6025</v>
      </c>
      <c r="AB293" t="str">
        <f t="shared" si="51"/>
        <v>40000_50450075_1_853,40000_50401065_1_1790,4000440_0_1_6025,4000440_0_1_6025,4000440_0_1_6025,30000_90002_10_10000</v>
      </c>
      <c r="AN293" t="str">
        <f t="shared" si="56"/>
        <v>30000_90002_10,40000_50450075_1,40000_50401065_1</v>
      </c>
    </row>
    <row r="294" spans="2:40">
      <c r="B294" t="s">
        <v>813</v>
      </c>
      <c r="R294" t="str">
        <f>VLOOKUP(S294,[4]equip.xml!$A$2316:$C$2777,3,0)</f>
        <v>督军腰带</v>
      </c>
      <c r="S294">
        <v>50450035</v>
      </c>
      <c r="T294" t="str">
        <f>VLOOKUP(U294,[4]equip.xml!$A$2316:$C$2777,3,0)</f>
        <v>风怒箭筒</v>
      </c>
      <c r="U294">
        <v>50402065</v>
      </c>
      <c r="V294">
        <v>846</v>
      </c>
      <c r="W294">
        <f t="shared" si="54"/>
        <v>1780</v>
      </c>
      <c r="X294">
        <v>6050</v>
      </c>
      <c r="Y294">
        <f t="shared" si="57"/>
        <v>4000440</v>
      </c>
      <c r="Z294" t="str">
        <f t="shared" si="55"/>
        <v>4000440_0_1_6050,4000440_0_1_6050,4000440_0_1_6050</v>
      </c>
      <c r="AB294" t="str">
        <f t="shared" si="51"/>
        <v>40000_50450035_1_846,40000_50402065_1_1780,4000440_0_1_6050,4000440_0_1_6050,4000440_0_1_6050,30000_90002_10_10000</v>
      </c>
      <c r="AN294" t="str">
        <f t="shared" si="56"/>
        <v>30000_90002_10,40000_50450035_1,40000_50402065_1</v>
      </c>
    </row>
    <row r="295" spans="2:40">
      <c r="B295" t="s">
        <v>813</v>
      </c>
      <c r="R295" t="str">
        <f>VLOOKUP(S295,[4]equip.xml!$A$2316:$C$2777,3,0)</f>
        <v>愤怒护手</v>
      </c>
      <c r="S295">
        <v>50450095</v>
      </c>
      <c r="T295" t="str">
        <f>VLOOKUP(U295,[4]equip.xml!$A$2316:$C$2777,3,0)</f>
        <v>强击之弓</v>
      </c>
      <c r="U295">
        <v>50402055</v>
      </c>
      <c r="V295">
        <v>839</v>
      </c>
      <c r="W295">
        <f t="shared" si="54"/>
        <v>1770</v>
      </c>
      <c r="X295">
        <v>6075</v>
      </c>
      <c r="Y295">
        <f t="shared" si="57"/>
        <v>4000440</v>
      </c>
      <c r="Z295" t="str">
        <f t="shared" si="55"/>
        <v>4000440_0_1_6075,4000440_0_1_6075,4000440_0_1_6075</v>
      </c>
      <c r="AB295" t="str">
        <f t="shared" si="51"/>
        <v>40000_50450095_1_839,40000_50402055_1_1770,4000440_0_1_6075,4000440_0_1_6075,4000440_0_1_6075,30000_90002_11_10000</v>
      </c>
      <c r="AN295" t="str">
        <f t="shared" si="56"/>
        <v>30000_90002_11,40000_50450095_1,40000_50402055_1</v>
      </c>
    </row>
    <row r="296" spans="2:40">
      <c r="B296" t="s">
        <v>814</v>
      </c>
      <c r="R296" t="str">
        <f>VLOOKUP(S296,[4]equip.xml!$A$2316:$C$2777,3,0)</f>
        <v>战争头盔</v>
      </c>
      <c r="S296">
        <v>50450015</v>
      </c>
      <c r="T296" s="14" t="str">
        <f>VLOOKUP(U296,[4]equip.xml!$A$2316:$C$2777,3,0)</f>
        <v>占卜魔典</v>
      </c>
      <c r="U296">
        <v>50453065</v>
      </c>
      <c r="V296">
        <v>832</v>
      </c>
      <c r="W296">
        <f t="shared" si="54"/>
        <v>1760</v>
      </c>
      <c r="X296">
        <v>6100</v>
      </c>
      <c r="Y296">
        <f t="shared" si="57"/>
        <v>4000440</v>
      </c>
      <c r="Z296" t="str">
        <f t="shared" si="55"/>
        <v>4000440_0_1_6100,4000440_0_1_6100,4000440_0_1_6100</v>
      </c>
      <c r="AB296" t="str">
        <f t="shared" si="51"/>
        <v>40000_50450015_1_832,40000_50453065_1_1760,4000440_0_1_6100,4000440_0_1_6100,4000440_0_1_6100,30000_90002_11_10000</v>
      </c>
      <c r="AN296" t="str">
        <f t="shared" si="56"/>
        <v>30000_90002_11,40000_50450015_1,40000_50453065_1</v>
      </c>
    </row>
    <row r="297" spans="2:40">
      <c r="B297" t="s">
        <v>814</v>
      </c>
      <c r="R297" t="str">
        <f>VLOOKUP(S297,[4]equip.xml!$A$2316:$C$2777,3,0)</f>
        <v>浩劫长靴</v>
      </c>
      <c r="S297">
        <v>50450085</v>
      </c>
      <c r="T297" t="str">
        <f>VLOOKUP(U297,[4]equip.xml!$A$2316:$C$2777,3,0)</f>
        <v>力量腰带</v>
      </c>
      <c r="U297">
        <v>50400035</v>
      </c>
      <c r="V297">
        <v>825</v>
      </c>
      <c r="W297">
        <f t="shared" si="54"/>
        <v>1750</v>
      </c>
      <c r="X297">
        <v>6125</v>
      </c>
      <c r="Y297">
        <f t="shared" si="57"/>
        <v>4000440</v>
      </c>
      <c r="Z297" t="str">
        <f t="shared" si="55"/>
        <v>4000440_0_1_6125,4000440_0_1_6125,4000440_0_1_6125</v>
      </c>
      <c r="AB297" t="str">
        <f t="shared" si="51"/>
        <v>40000_50450085_1_825,40000_50400035_1_1750,4000440_0_1_6125,4000440_0_1_6125,4000440_0_1_6125,30000_90002_11_10000</v>
      </c>
      <c r="AN297" t="str">
        <f t="shared" si="56"/>
        <v>30000_90002_11,40000_50450085_1,40000_50400035_1</v>
      </c>
    </row>
    <row r="298" spans="2:40">
      <c r="B298" t="s">
        <v>814</v>
      </c>
      <c r="R298" t="str">
        <f>VLOOKUP(S298,[4]equip.xml!$A$2316:$C$2777,3,0)</f>
        <v>圣晶权杖</v>
      </c>
      <c r="S298">
        <v>50453056</v>
      </c>
      <c r="T298" t="str">
        <f>VLOOKUP(U298,[4]equip.xml!$A$2316:$C$2777,3,0)</f>
        <v>符文魔杖</v>
      </c>
      <c r="U298">
        <v>50403055</v>
      </c>
      <c r="V298">
        <v>818</v>
      </c>
      <c r="W298">
        <f t="shared" si="54"/>
        <v>1740</v>
      </c>
      <c r="X298">
        <v>6150</v>
      </c>
      <c r="Y298">
        <f t="shared" si="57"/>
        <v>4000440</v>
      </c>
      <c r="Z298" t="str">
        <f t="shared" si="55"/>
        <v>4000440_0_1_6150,4000440_0_1_6150,4000440_0_1_6150</v>
      </c>
      <c r="AB298" t="str">
        <f t="shared" si="51"/>
        <v>40000_50453056_1_818,40000_50403055_1_1740,4000440_0_1_6150,4000440_0_1_6150,4000440_0_1_6150,30000_90002_12_10000</v>
      </c>
      <c r="AN298" t="str">
        <f t="shared" si="56"/>
        <v>30000_90002_12,40000_50453056_1,40000_50403055_1</v>
      </c>
    </row>
    <row r="299" spans="2:40">
      <c r="B299" t="s">
        <v>815</v>
      </c>
      <c r="R299" t="str">
        <f>VLOOKUP(S299,[4]equip.xml!$A$2316:$C$2777,3,0)</f>
        <v>皇家护胸</v>
      </c>
      <c r="S299">
        <v>50500045</v>
      </c>
      <c r="T299" t="str">
        <f>VLOOKUP(U299,[4]equip.xml!$A$2316:$C$2777,3,0)</f>
        <v>月沐箭筒</v>
      </c>
      <c r="U299">
        <v>50452065</v>
      </c>
      <c r="V299">
        <v>811</v>
      </c>
      <c r="W299">
        <f t="shared" si="54"/>
        <v>1730</v>
      </c>
      <c r="X299">
        <v>6175</v>
      </c>
      <c r="Y299">
        <f t="shared" si="57"/>
        <v>4000445</v>
      </c>
      <c r="Z299" t="str">
        <f t="shared" si="55"/>
        <v>4000445_0_1_6175,4000445_0_1_6175,4000445_0_1_6175</v>
      </c>
      <c r="AB299" t="str">
        <f t="shared" si="51"/>
        <v>40000_50500045_1_811,40000_50452065_1_1730,4000445_0_1_6175,4000445_0_1_6175,4000445_0_1_6175,30000_90003_1,30000_90002_5_10000</v>
      </c>
      <c r="AN299" t="str">
        <f t="shared" si="56"/>
        <v>30000_90003_1,30000_90002_5,40000_50500045_1,40000_50452065_1</v>
      </c>
    </row>
    <row r="300" spans="2:40">
      <c r="B300" t="s">
        <v>813</v>
      </c>
      <c r="R300" t="str">
        <f>VLOOKUP(S300,[4]equip.xml!$A$2316:$C$2777,3,0)</f>
        <v>凯旋腿甲</v>
      </c>
      <c r="S300">
        <v>50500075</v>
      </c>
      <c r="T300" t="str">
        <f>VLOOKUP(U300,[4]equip.xml!$A$2316:$C$2777,3,0)</f>
        <v>正义壁垒</v>
      </c>
      <c r="U300">
        <v>50451065</v>
      </c>
      <c r="V300">
        <v>804</v>
      </c>
      <c r="W300">
        <f t="shared" si="54"/>
        <v>1720</v>
      </c>
      <c r="X300">
        <v>6200</v>
      </c>
      <c r="Y300">
        <f t="shared" si="57"/>
        <v>4000445</v>
      </c>
      <c r="Z300" t="str">
        <f t="shared" si="55"/>
        <v>4000445_0_1_6200,4000445_0_1_6200,4000445_0_1_6200</v>
      </c>
      <c r="AB300" t="str">
        <f t="shared" si="51"/>
        <v>40000_50500075_1_804,40000_50451065_1_1720,4000445_0_1_6200,4000445_0_1_6200,4000445_0_1_6200,30000_90003_1,30000_90002_5_10000</v>
      </c>
      <c r="AN300" t="str">
        <f t="shared" si="56"/>
        <v>30000_90003_1,30000_90002_5,40000_50500075_1,40000_50451065_1</v>
      </c>
    </row>
    <row r="301" spans="2:40">
      <c r="B301" t="s">
        <v>813</v>
      </c>
      <c r="R301" t="str">
        <f>VLOOKUP(S301,[4]equip.xml!$A$2316:$C$2777,3,0)</f>
        <v>灵风之戒</v>
      </c>
      <c r="S301">
        <v>50500025</v>
      </c>
      <c r="T301" t="str">
        <f>VLOOKUP(U301,[4]equip.xml!$A$2316:$C$2777,3,0)</f>
        <v>霜语长弓</v>
      </c>
      <c r="U301">
        <v>50452055</v>
      </c>
      <c r="V301">
        <v>797</v>
      </c>
      <c r="W301">
        <f t="shared" si="54"/>
        <v>1710</v>
      </c>
      <c r="X301">
        <v>6225</v>
      </c>
      <c r="Y301">
        <f t="shared" si="57"/>
        <v>4000445</v>
      </c>
      <c r="Z301" t="str">
        <f t="shared" si="55"/>
        <v>4000445_0_1_6225,4000445_0_1_6225,4000445_0_1_6225</v>
      </c>
      <c r="AB301" t="str">
        <f t="shared" si="51"/>
        <v>40000_50500025_1_797,40000_50452055_1_1710,4000445_0_1_6225,4000445_0_1_6225,4000445_0_1_6225,30000_90003_1,30000_90002_6_10000</v>
      </c>
      <c r="AN301" t="str">
        <f t="shared" si="56"/>
        <v>30000_90003_1,30000_90002_6,40000_50500025_1,40000_50452055_1</v>
      </c>
    </row>
    <row r="302" spans="2:40">
      <c r="B302" t="s">
        <v>814</v>
      </c>
      <c r="R302" t="str">
        <f>VLOOKUP(S302,[4]equip.xml!$A$2316:$C$2777,3,0)</f>
        <v>誓言护坠</v>
      </c>
      <c r="S302">
        <v>50500105</v>
      </c>
      <c r="T302" t="str">
        <f>VLOOKUP(U302,[4]equip.xml!$A$2316:$C$2777,3,0)</f>
        <v>皇权之杖</v>
      </c>
      <c r="U302">
        <v>50453055</v>
      </c>
      <c r="V302">
        <v>790</v>
      </c>
      <c r="W302">
        <f t="shared" si="54"/>
        <v>1700</v>
      </c>
      <c r="X302">
        <v>6250</v>
      </c>
      <c r="Y302">
        <f t="shared" si="57"/>
        <v>4000445</v>
      </c>
      <c r="Z302" t="str">
        <f t="shared" si="55"/>
        <v>4000445_0_1_6250,4000445_0_1_6250,4000445_0_1_6250</v>
      </c>
      <c r="AB302" t="str">
        <f t="shared" si="51"/>
        <v>40000_50500105_1_790,40000_50453055_1_1700,4000445_0_1_6250,4000445_0_1_6250,4000445_0_1_6250,30000_90003_1,30000_90002_6_10000</v>
      </c>
      <c r="AN302" t="str">
        <f t="shared" si="56"/>
        <v>30000_90003_1,30000_90002_6,40000_50500105_1,40000_50453055_1</v>
      </c>
    </row>
    <row r="303" spans="2:40">
      <c r="B303" t="s">
        <v>814</v>
      </c>
      <c r="R303" t="str">
        <f>VLOOKUP(S303,[4]equip.xml!$A$2316:$C$2777,3,0)</f>
        <v>血拳手套</v>
      </c>
      <c r="S303">
        <v>50500095</v>
      </c>
      <c r="T303" t="str">
        <f>VLOOKUP(U303,[4]equip.xml!$A$2316:$C$2777,3,0)</f>
        <v>龙纹之刃</v>
      </c>
      <c r="U303">
        <v>50451055</v>
      </c>
      <c r="V303">
        <v>783</v>
      </c>
      <c r="W303">
        <f t="shared" si="54"/>
        <v>1690</v>
      </c>
      <c r="X303">
        <v>6275</v>
      </c>
      <c r="Y303">
        <f t="shared" si="57"/>
        <v>4000445</v>
      </c>
      <c r="Z303" t="str">
        <f t="shared" si="55"/>
        <v>4000445_0_1_6275,4000445_0_1_6275,4000445_0_1_6275</v>
      </c>
      <c r="AB303" t="str">
        <f t="shared" si="51"/>
        <v>40000_50500095_1_783,40000_50451055_1_1690,4000445_0_1_6275,4000445_0_1_6275,4000445_0_1_6275,30000_90003_1,30000_90002_6_10000</v>
      </c>
      <c r="AN303" t="str">
        <f t="shared" si="56"/>
        <v>30000_90003_1,30000_90002_6,40000_50500095_1,40000_50451055_1</v>
      </c>
    </row>
    <row r="304" spans="2:40">
      <c r="B304" t="s">
        <v>814</v>
      </c>
      <c r="R304" t="str">
        <f>VLOOKUP(S304,[4]equip.xml!$A$2316:$C$2777,3,0)</f>
        <v>龙鳞护胫</v>
      </c>
      <c r="S304">
        <v>50500085</v>
      </c>
      <c r="T304" t="str">
        <f>VLOOKUP(U304,[4]equip.xml!$A$2316:$C$2777,3,0)</f>
        <v>占卜魔典</v>
      </c>
      <c r="U304">
        <v>50453065</v>
      </c>
      <c r="V304">
        <v>776</v>
      </c>
      <c r="W304">
        <f t="shared" si="54"/>
        <v>1680</v>
      </c>
      <c r="X304">
        <v>6300</v>
      </c>
      <c r="Y304">
        <f t="shared" si="57"/>
        <v>4000445</v>
      </c>
      <c r="Z304" t="str">
        <f t="shared" si="55"/>
        <v>4000445_0_1_6300,4000445_0_1_6300,4000445_0_1_6300</v>
      </c>
      <c r="AB304" t="str">
        <f t="shared" si="51"/>
        <v>40000_50500085_1_776,40000_50453065_1_1680,4000445_0_1_6300,4000445_0_1_6300,4000445_0_1_6300,30000_90003_1,30000_90002_7_10000</v>
      </c>
      <c r="AN304" t="str">
        <f t="shared" si="56"/>
        <v>30000_90003_1,30000_90002_7,40000_50500085_1,40000_50453065_1</v>
      </c>
    </row>
    <row r="305" spans="2:40">
      <c r="B305" t="s">
        <v>815</v>
      </c>
      <c r="R305" t="str">
        <f>VLOOKUP(S305,[4]equip.xml!$A$2316:$C$2777,3,0)</f>
        <v>生命腰带</v>
      </c>
      <c r="S305">
        <v>50500035</v>
      </c>
      <c r="T305" s="14" t="str">
        <f>VLOOKUP(U305,[4]equip.xml!$A$2316:$C$2777,3,0)</f>
        <v>护咒之书</v>
      </c>
      <c r="U305">
        <v>50503066</v>
      </c>
      <c r="V305">
        <v>769</v>
      </c>
      <c r="W305">
        <f t="shared" ref="W305:W336" si="58">W304-10</f>
        <v>1670</v>
      </c>
      <c r="X305">
        <v>6325</v>
      </c>
      <c r="Y305">
        <f t="shared" si="57"/>
        <v>4000445</v>
      </c>
      <c r="Z305" t="str">
        <f t="shared" si="55"/>
        <v>4000445_0_1_6325,4000445_0_1_6325,4000445_0_1_6325</v>
      </c>
      <c r="AB305" t="str">
        <f t="shared" si="51"/>
        <v>40000_50500035_1_769,40000_50503066_1_1670,4000445_0_1_6325,4000445_0_1_6325,4000445_0_1_6325,30000_90003_1,30000_90002_7_10000</v>
      </c>
      <c r="AN305" t="str">
        <f t="shared" si="56"/>
        <v>30000_90003_1,30000_90002_7,40000_50500035_1,40000_50503066_1</v>
      </c>
    </row>
    <row r="306" spans="2:40">
      <c r="B306" t="s">
        <v>815</v>
      </c>
      <c r="R306" t="str">
        <f>VLOOKUP(S306,[4]equip.xml!$A$2316:$C$2777,3,0)</f>
        <v>战痕头盔</v>
      </c>
      <c r="S306">
        <v>50500015</v>
      </c>
      <c r="T306" t="str">
        <f>VLOOKUP(U306,[4]equip.xml!$A$2316:$C$2777,3,0)</f>
        <v>督军腰带</v>
      </c>
      <c r="U306">
        <v>50450035</v>
      </c>
      <c r="V306">
        <v>762</v>
      </c>
      <c r="W306">
        <f t="shared" si="58"/>
        <v>1660</v>
      </c>
      <c r="X306">
        <v>6350</v>
      </c>
      <c r="Y306">
        <f t="shared" si="57"/>
        <v>4000445</v>
      </c>
      <c r="Z306" t="str">
        <f t="shared" si="55"/>
        <v>4000445_0_1_6350,4000445_0_1_6350,4000445_0_1_6350</v>
      </c>
      <c r="AB306" t="str">
        <f t="shared" si="51"/>
        <v>40000_50500015_1_762,40000_50450035_1_1660,4000445_0_1_6350,4000445_0_1_6350,4000445_0_1_6350,30000_90003_1,30000_90002_7_10000</v>
      </c>
      <c r="AN306" t="str">
        <f t="shared" si="56"/>
        <v>30000_90003_1,30000_90002_7,40000_50500015_1,40000_50450035_1</v>
      </c>
    </row>
    <row r="307" spans="2:40">
      <c r="B307" t="s">
        <v>815</v>
      </c>
      <c r="R307" t="str">
        <f>VLOOKUP(S307,[4]equip.xml!$A$2316:$C$2777,3,0)</f>
        <v>恒光巨杖</v>
      </c>
      <c r="S307">
        <v>50503056</v>
      </c>
      <c r="T307" t="str">
        <f>VLOOKUP(U307,[4]equip.xml!$A$2316:$C$2777,3,0)</f>
        <v>战争头盔</v>
      </c>
      <c r="U307">
        <v>50450015</v>
      </c>
      <c r="V307">
        <v>755</v>
      </c>
      <c r="W307">
        <f t="shared" si="58"/>
        <v>1650</v>
      </c>
      <c r="X307">
        <v>6375</v>
      </c>
      <c r="Y307">
        <f t="shared" si="57"/>
        <v>4000445</v>
      </c>
      <c r="Z307" t="str">
        <f t="shared" si="55"/>
        <v>4000445_0_1_6375,4000445_0_1_6375,4000445_0_1_6375</v>
      </c>
      <c r="AB307" t="str">
        <f t="shared" si="51"/>
        <v>40000_50503056_1_755,40000_50450015_1_1650,4000445_0_1_6375,4000445_0_1_6375,4000445_0_1_6375,30000_90003_1,30000_90002_8_10000</v>
      </c>
      <c r="AN307" t="str">
        <f t="shared" si="56"/>
        <v>30000_90003_1,30000_90002_8,40000_50503056_1,40000_50450015_1</v>
      </c>
    </row>
    <row r="308" spans="2:40">
      <c r="B308" t="s">
        <v>816</v>
      </c>
      <c r="R308" t="str">
        <f>VLOOKUP(S308,[4]equip.xml!$A$2316:$C$2777,3,0)</f>
        <v>血卫胸甲</v>
      </c>
      <c r="S308">
        <v>50550045</v>
      </c>
      <c r="T308" t="str">
        <f>VLOOKUP(U308,[4]equip.xml!$A$2316:$C$2777,3,0)</f>
        <v>黑骨箭袋</v>
      </c>
      <c r="U308">
        <v>50502065</v>
      </c>
      <c r="V308">
        <v>748</v>
      </c>
      <c r="W308">
        <f t="shared" si="58"/>
        <v>1640</v>
      </c>
      <c r="X308">
        <v>6400</v>
      </c>
      <c r="Y308">
        <f t="shared" si="57"/>
        <v>4000450</v>
      </c>
      <c r="Z308" t="str">
        <f t="shared" si="55"/>
        <v>4000450_0_1_6400,4000450_0_1_6400,4000450_0_1_6400</v>
      </c>
      <c r="AB308" t="str">
        <f t="shared" si="51"/>
        <v>40000_50550045_1_748,40000_50502065_1_1640,4000450_0_1_6400,4000450_0_1_6400,4000450_0_1_6400,30000_90003_1,30000_90002_6_10000</v>
      </c>
      <c r="AN308" t="str">
        <f t="shared" si="56"/>
        <v>30000_90003_1,30000_90002_6,40000_50550045_1,40000_50502065_1</v>
      </c>
    </row>
    <row r="309" spans="2:40">
      <c r="B309" t="s">
        <v>1022</v>
      </c>
      <c r="R309" t="str">
        <f>VLOOKUP(S309,[4]equip.xml!$A$2316:$C$2777,3,0)</f>
        <v>银月头盔</v>
      </c>
      <c r="S309">
        <v>50550015</v>
      </c>
      <c r="T309" t="str">
        <f>VLOOKUP(U309,[4]equip.xml!$A$2316:$C$2777,3,0)</f>
        <v>黎明之刃</v>
      </c>
      <c r="U309">
        <v>50501055</v>
      </c>
      <c r="V309">
        <v>741</v>
      </c>
      <c r="W309">
        <f t="shared" si="58"/>
        <v>1630</v>
      </c>
      <c r="X309">
        <v>6425</v>
      </c>
      <c r="Y309">
        <f t="shared" si="57"/>
        <v>4000450</v>
      </c>
      <c r="Z309" t="str">
        <f t="shared" si="55"/>
        <v>4000450_0_1_6425,4000450_0_1_6425,4000450_0_1_6425</v>
      </c>
      <c r="AB309" t="str">
        <f t="shared" si="51"/>
        <v>40000_50550015_1_741,40000_50501055_1_1630,4000450_0_1_6425,4000450_0_1_6425,4000450_0_1_6425,30000_90003_1,30000_90002_6_10000</v>
      </c>
      <c r="AN309" t="str">
        <f t="shared" si="56"/>
        <v>30000_90003_1,30000_90002_6,40000_50550015_1,40000_50501055_1</v>
      </c>
    </row>
    <row r="310" spans="2:40">
      <c r="B310" t="s">
        <v>1022</v>
      </c>
      <c r="R310" t="str">
        <f>VLOOKUP(S310,[4]equip.xml!$A$2316:$C$2777,3,0)</f>
        <v>遗忘石坠</v>
      </c>
      <c r="S310">
        <v>50550105</v>
      </c>
      <c r="T310" t="str">
        <f>VLOOKUP(U310,[4]equip.xml!$A$2316:$C$2777,3,0)</f>
        <v>虚灵法杖</v>
      </c>
      <c r="U310">
        <v>50503055</v>
      </c>
      <c r="V310">
        <v>734</v>
      </c>
      <c r="W310">
        <f t="shared" si="58"/>
        <v>1620</v>
      </c>
      <c r="X310">
        <v>6450</v>
      </c>
      <c r="Y310">
        <f t="shared" si="57"/>
        <v>4000450</v>
      </c>
      <c r="Z310" t="str">
        <f t="shared" si="55"/>
        <v>4000450_0_1_6450,4000450_0_1_6450,4000450_0_1_6450</v>
      </c>
      <c r="AB310" t="str">
        <f t="shared" si="51"/>
        <v>40000_50550105_1_734,40000_50503055_1_1620,4000450_0_1_6450,4000450_0_1_6450,4000450_0_1_6450,30000_90003_1,30000_90002_7_10000</v>
      </c>
      <c r="AN310" t="str">
        <f t="shared" si="56"/>
        <v>30000_90003_1,30000_90002_7,40000_50550105_1,40000_50503055_1</v>
      </c>
    </row>
    <row r="311" spans="2:40">
      <c r="B311" t="s">
        <v>1023</v>
      </c>
      <c r="R311" t="str">
        <f>VLOOKUP(S311,[4]equip.xml!$A$2316:$C$2777,3,0)</f>
        <v>征服者护腿</v>
      </c>
      <c r="S311">
        <v>50550075</v>
      </c>
      <c r="T311" t="str">
        <f>VLOOKUP(U311,[4]equip.xml!$A$2316:$C$2777,3,0)</f>
        <v>幻术之书</v>
      </c>
      <c r="U311">
        <v>50503065</v>
      </c>
      <c r="V311">
        <v>727</v>
      </c>
      <c r="W311">
        <f t="shared" si="58"/>
        <v>1610</v>
      </c>
      <c r="X311">
        <v>6475</v>
      </c>
      <c r="Y311">
        <f t="shared" si="57"/>
        <v>4000450</v>
      </c>
      <c r="Z311" t="str">
        <f t="shared" si="55"/>
        <v>4000450_0_1_6475,4000450_0_1_6475,4000450_0_1_6475</v>
      </c>
      <c r="AB311" t="str">
        <f t="shared" si="51"/>
        <v>40000_50550075_1_727,40000_50503065_1_1610,4000450_0_1_6475,4000450_0_1_6475,4000450_0_1_6475,30000_90003_1,30000_90002_7_10000</v>
      </c>
      <c r="AN311" t="str">
        <f t="shared" si="56"/>
        <v>30000_90003_1,30000_90002_7,40000_50550075_1,40000_50503065_1</v>
      </c>
    </row>
    <row r="312" spans="2:40">
      <c r="B312" t="s">
        <v>1023</v>
      </c>
      <c r="R312" t="str">
        <f>VLOOKUP(S312,[4]equip.xml!$A$2316:$C$2777,3,0)</f>
        <v>天行者之靴</v>
      </c>
      <c r="S312">
        <v>50550085</v>
      </c>
      <c r="T312" s="14" t="str">
        <f>VLOOKUP(U312,[4]equip.xml!$A$2316:$C$2777,3,0)</f>
        <v>龙语入门</v>
      </c>
      <c r="U312">
        <v>50553066</v>
      </c>
      <c r="V312">
        <v>720</v>
      </c>
      <c r="W312">
        <f t="shared" si="58"/>
        <v>1600</v>
      </c>
      <c r="X312">
        <v>6500</v>
      </c>
      <c r="Y312">
        <f t="shared" si="57"/>
        <v>4000450</v>
      </c>
      <c r="Z312" t="str">
        <f t="shared" si="55"/>
        <v>4000450_0_1_6500,4000450_0_1_6500,4000450_0_1_6500</v>
      </c>
      <c r="AB312" t="str">
        <f t="shared" si="51"/>
        <v>40000_50550085_1_720,40000_50553066_1_1600,4000450_0_1_6500,4000450_0_1_6500,4000450_0_1_6500,30000_90003_1,30000_90002_7_10000</v>
      </c>
      <c r="AN312" t="str">
        <f t="shared" si="56"/>
        <v>30000_90003_1,30000_90002_7,40000_50550085_1,40000_50553066_1</v>
      </c>
    </row>
    <row r="313" spans="2:40">
      <c r="B313" t="s">
        <v>1023</v>
      </c>
      <c r="R313" t="str">
        <f>VLOOKUP(S313,[4]equip.xml!$A$2316:$C$2777,3,0)</f>
        <v>魔鳞腰带</v>
      </c>
      <c r="S313">
        <v>50550035</v>
      </c>
      <c r="T313" t="str">
        <f>VLOOKUP(U313,[4]equip.xml!$A$2316:$C$2777,3,0)</f>
        <v>生命腰带</v>
      </c>
      <c r="U313">
        <v>50500035</v>
      </c>
      <c r="V313">
        <v>713</v>
      </c>
      <c r="W313">
        <f t="shared" si="58"/>
        <v>1590</v>
      </c>
      <c r="X313">
        <v>6525</v>
      </c>
      <c r="Y313">
        <f t="shared" si="57"/>
        <v>4000450</v>
      </c>
      <c r="Z313" t="str">
        <f t="shared" si="55"/>
        <v>4000450_0_1_6525,4000450_0_1_6525,4000450_0_1_6525</v>
      </c>
      <c r="AB313" t="str">
        <f t="shared" si="51"/>
        <v>40000_50550035_1_713,40000_50500035_1_1590,4000450_0_1_6525,4000450_0_1_6525,4000450_0_1_6525,30000_90003_1,30000_90002_8_10000</v>
      </c>
      <c r="AN313" t="str">
        <f t="shared" si="56"/>
        <v>30000_90003_1,30000_90002_8,40000_50550035_1,40000_50500035_1</v>
      </c>
    </row>
    <row r="314" spans="2:40">
      <c r="B314" t="s">
        <v>1024</v>
      </c>
      <c r="R314" t="str">
        <f>VLOOKUP(S314,[4]equip.xml!$A$2316:$C$2777,3,0)</f>
        <v>镇魂之戒</v>
      </c>
      <c r="S314">
        <v>50550025</v>
      </c>
      <c r="T314" t="str">
        <f>VLOOKUP(U314,[4]equip.xml!$A$2316:$C$2777,3,0)</f>
        <v>魂祭之盾</v>
      </c>
      <c r="U314">
        <v>50501065</v>
      </c>
      <c r="V314">
        <v>706</v>
      </c>
      <c r="W314">
        <f t="shared" si="58"/>
        <v>1580</v>
      </c>
      <c r="X314">
        <v>6550</v>
      </c>
      <c r="Y314">
        <f t="shared" si="57"/>
        <v>4000450</v>
      </c>
      <c r="Z314" t="str">
        <f t="shared" si="55"/>
        <v>4000450_0_1_6550,4000450_0_1_6550,4000450_0_1_6550</v>
      </c>
      <c r="AB314" t="str">
        <f t="shared" si="51"/>
        <v>40000_50550025_1_706,40000_50501065_1_1580,4000450_0_1_6550,4000450_0_1_6550,4000450_0_1_6550,30000_90003_1,30000_90002_8_10000</v>
      </c>
      <c r="AN314" t="str">
        <f t="shared" si="56"/>
        <v>30000_90003_1,30000_90002_8,40000_50550025_1,40000_50501065_1</v>
      </c>
    </row>
    <row r="315" spans="2:40">
      <c r="B315" t="s">
        <v>1024</v>
      </c>
      <c r="R315" t="str">
        <f>VLOOKUP(S315,[4]equip.xml!$A$2316:$C$2777,3,0)</f>
        <v>战火护手</v>
      </c>
      <c r="S315">
        <v>50550095</v>
      </c>
      <c r="T315" t="str">
        <f>VLOOKUP(U315,[4]equip.xml!$A$2316:$C$2777,3,0)</f>
        <v>战痕头盔</v>
      </c>
      <c r="U315">
        <v>50500015</v>
      </c>
      <c r="V315">
        <v>699</v>
      </c>
      <c r="W315">
        <f t="shared" si="58"/>
        <v>1570</v>
      </c>
      <c r="X315">
        <v>6575</v>
      </c>
      <c r="Y315">
        <f t="shared" si="57"/>
        <v>4000450</v>
      </c>
      <c r="Z315" t="str">
        <f t="shared" si="55"/>
        <v>4000450_0_1_6575,4000450_0_1_6575,4000450_0_1_6575</v>
      </c>
      <c r="AB315" t="str">
        <f t="shared" si="51"/>
        <v>40000_50550095_1_699,40000_50500015_1_1570,4000450_0_1_6575,4000450_0_1_6575,4000450_0_1_6575,30000_90003_1,30000_90002_8_10000</v>
      </c>
      <c r="AN315" t="str">
        <f t="shared" si="56"/>
        <v>30000_90003_1,30000_90002_8,40000_50550095_1,40000_50500015_1</v>
      </c>
    </row>
    <row r="316" spans="2:40">
      <c r="B316" t="s">
        <v>1024</v>
      </c>
      <c r="R316" t="str">
        <f>VLOOKUP(S316,[4]equip.xml!$A$2316:$C$2777,3,0)</f>
        <v>寒霜之怒</v>
      </c>
      <c r="S316">
        <v>50553055</v>
      </c>
      <c r="T316" t="str">
        <f>VLOOKUP(U316,[4]equip.xml!$A$2316:$C$2777,3,0)</f>
        <v>觅心者长弓</v>
      </c>
      <c r="U316">
        <v>50502055</v>
      </c>
      <c r="V316">
        <v>692</v>
      </c>
      <c r="W316">
        <f t="shared" si="58"/>
        <v>1560</v>
      </c>
      <c r="X316">
        <v>6600</v>
      </c>
      <c r="Y316">
        <f t="shared" si="57"/>
        <v>4000450</v>
      </c>
      <c r="Z316" t="str">
        <f t="shared" si="55"/>
        <v>4000450_0_1_6600,4000450_0_1_6600,4000450_0_1_6600</v>
      </c>
      <c r="AB316" t="str">
        <f t="shared" si="51"/>
        <v>40000_50553055_1_692,40000_50502055_1_1560,4000450_0_1_6600,4000450_0_1_6600,4000450_0_1_6600,30000_90003_1,30000_90002_9_10000</v>
      </c>
      <c r="AN316" t="str">
        <f t="shared" si="56"/>
        <v>30000_90003_1,30000_90002_9,40000_50553055_1,40000_50502055_1</v>
      </c>
    </row>
    <row r="317" spans="2:40">
      <c r="B317" t="s">
        <v>1025</v>
      </c>
      <c r="R317" t="str">
        <f>VLOOKUP(S317,[4]equip.xml!$A$2316:$C$2777,3,0)</f>
        <v>星宇指环</v>
      </c>
      <c r="S317">
        <v>50600025</v>
      </c>
      <c r="T317" t="str">
        <f>VLOOKUP(U317,[4]equip.xml!$A$2316:$C$2777,3,0)</f>
        <v>魔鳞腰带</v>
      </c>
      <c r="U317">
        <v>50550035</v>
      </c>
      <c r="V317">
        <v>685</v>
      </c>
      <c r="W317">
        <f t="shared" si="58"/>
        <v>1550</v>
      </c>
      <c r="X317">
        <v>6625</v>
      </c>
      <c r="Y317">
        <f t="shared" si="57"/>
        <v>4000455</v>
      </c>
      <c r="Z317" t="str">
        <f t="shared" si="55"/>
        <v>4000455_0_1_6625,4000455_0_1_6625,4000455_0_1_6625</v>
      </c>
      <c r="AB317" t="str">
        <f t="shared" si="51"/>
        <v>40000_50600025_1_685,40000_50550035_1_1550,4000455_0_1_6625,4000455_0_1_6625,4000455_0_1_6625,30000_90003_1,30000_90002_7_10000</v>
      </c>
      <c r="AN317" t="str">
        <f t="shared" si="56"/>
        <v>30000_90003_1,30000_90002_7,40000_50600025_1,40000_50550035_1</v>
      </c>
    </row>
    <row r="318" spans="2:40">
      <c r="B318" t="s">
        <v>1023</v>
      </c>
      <c r="R318" t="str">
        <f>VLOOKUP(S318,[4]equip.xml!$A$2316:$C$2777,3,0)</f>
        <v>悔恨之链</v>
      </c>
      <c r="S318">
        <v>50600105</v>
      </c>
      <c r="T318" t="str">
        <f>VLOOKUP(U318,[4]equip.xml!$A$2316:$C$2777,3,0)</f>
        <v>寒霜之怒</v>
      </c>
      <c r="U318">
        <v>50553055</v>
      </c>
      <c r="V318">
        <v>678</v>
      </c>
      <c r="W318">
        <f t="shared" si="58"/>
        <v>1540</v>
      </c>
      <c r="X318">
        <v>6650</v>
      </c>
      <c r="Y318">
        <f t="shared" si="57"/>
        <v>4000455</v>
      </c>
      <c r="Z318" t="str">
        <f t="shared" si="55"/>
        <v>4000455_0_1_6650,4000455_0_1_6650,4000455_0_1_6650</v>
      </c>
      <c r="AB318" t="str">
        <f t="shared" si="51"/>
        <v>40000_50600105_1_678,40000_50553055_1_1540,4000455_0_1_6650,4000455_0_1_6650,4000455_0_1_6650,30000_90003_1,30000_90002_7_10000</v>
      </c>
      <c r="AN318" t="str">
        <f t="shared" si="56"/>
        <v>30000_90003_1,30000_90002_7,40000_50600105_1,40000_50553055_1</v>
      </c>
    </row>
    <row r="319" spans="2:40">
      <c r="B319" t="s">
        <v>1023</v>
      </c>
      <c r="R319" t="str">
        <f>VLOOKUP(S319,[4]equip.xml!$A$2316:$C$2777,3,0)</f>
        <v>明光战甲</v>
      </c>
      <c r="S319">
        <v>50600045</v>
      </c>
      <c r="T319" s="14" t="str">
        <f>VLOOKUP(U319,[4]equip.xml!$A$2316:$C$2777,3,0)</f>
        <v>星图指南</v>
      </c>
      <c r="U319">
        <v>50603065</v>
      </c>
      <c r="V319">
        <v>671</v>
      </c>
      <c r="W319">
        <f t="shared" si="58"/>
        <v>1530</v>
      </c>
      <c r="X319">
        <v>6675</v>
      </c>
      <c r="Y319">
        <f t="shared" si="57"/>
        <v>4000455</v>
      </c>
      <c r="Z319" t="str">
        <f t="shared" si="55"/>
        <v>4000455_0_1_6675,4000455_0_1_6675,4000455_0_1_6675</v>
      </c>
      <c r="AB319" t="str">
        <f t="shared" si="51"/>
        <v>40000_50600045_1_671,40000_50603065_1_1530,4000455_0_1_6675,4000455_0_1_6675,4000455_0_1_6675,30000_90003_1,30000_90002_8_10000</v>
      </c>
      <c r="AN319" t="str">
        <f t="shared" si="56"/>
        <v>30000_90003_1,30000_90002_8,40000_50600045_1,40000_50603065_1</v>
      </c>
    </row>
    <row r="320" spans="2:40">
      <c r="B320" t="s">
        <v>1024</v>
      </c>
      <c r="R320" t="str">
        <f>VLOOKUP(S320,[4]equip.xml!$A$2316:$C$2777,3,0)</f>
        <v>远征腰带</v>
      </c>
      <c r="S320">
        <v>50600035</v>
      </c>
      <c r="T320" t="str">
        <f>VLOOKUP(U320,[4]equip.xml!$A$2316:$C$2777,3,0)</f>
        <v>遗忘魔典</v>
      </c>
      <c r="U320">
        <v>50553065</v>
      </c>
      <c r="V320">
        <v>664</v>
      </c>
      <c r="W320">
        <f t="shared" si="58"/>
        <v>1520</v>
      </c>
      <c r="X320">
        <v>6700</v>
      </c>
      <c r="Y320">
        <f t="shared" si="57"/>
        <v>4000455</v>
      </c>
      <c r="Z320" t="str">
        <f t="shared" si="55"/>
        <v>4000455_0_1_6700,4000455_0_1_6700,4000455_0_1_6700</v>
      </c>
      <c r="AB320" t="str">
        <f t="shared" si="51"/>
        <v>40000_50600035_1_664,40000_50553065_1_1520,4000455_0_1_6700,4000455_0_1_6700,4000455_0_1_6700,30000_90003_1,30000_90002_8_10000</v>
      </c>
      <c r="AN320" t="str">
        <f t="shared" si="56"/>
        <v>30000_90003_1,30000_90002_8,40000_50600035_1,40000_50553065_1</v>
      </c>
    </row>
    <row r="321" spans="2:40">
      <c r="B321" t="s">
        <v>1024</v>
      </c>
      <c r="R321" t="str">
        <f>VLOOKUP(S321,[4]equip.xml!$A$2316:$C$2777,3,0)</f>
        <v>远征军护手</v>
      </c>
      <c r="S321">
        <v>50600095</v>
      </c>
      <c r="T321" t="str">
        <f>VLOOKUP(U321,[4]equip.xml!$A$2316:$C$2777,3,0)</f>
        <v>噬魂符剑</v>
      </c>
      <c r="U321">
        <v>50551055</v>
      </c>
      <c r="V321">
        <v>657</v>
      </c>
      <c r="W321">
        <f t="shared" si="58"/>
        <v>1510</v>
      </c>
      <c r="X321">
        <v>6725</v>
      </c>
      <c r="Y321">
        <f t="shared" si="57"/>
        <v>4000455</v>
      </c>
      <c r="Z321" t="str">
        <f t="shared" si="55"/>
        <v>4000455_0_1_6725,4000455_0_1_6725,4000455_0_1_6725</v>
      </c>
      <c r="AB321" t="str">
        <f t="shared" si="51"/>
        <v>40000_50600095_1_657,40000_50551055_1_1510,4000455_0_1_6725,4000455_0_1_6725,4000455_0_1_6725,30000_90003_1,30000_90002_8_10000</v>
      </c>
      <c r="AN321" t="str">
        <f t="shared" si="56"/>
        <v>30000_90003_1,30000_90002_8,40000_50600095_1,40000_50551055_1</v>
      </c>
    </row>
    <row r="322" spans="2:40">
      <c r="B322" t="s">
        <v>1024</v>
      </c>
      <c r="R322" t="str">
        <f>VLOOKUP(S322,[4]equip.xml!$A$2316:$C$2777,3,0)</f>
        <v>深渊护腿</v>
      </c>
      <c r="S322">
        <v>50600075</v>
      </c>
      <c r="T322" t="str">
        <f>VLOOKUP(U322,[4]equip.xml!$A$2316:$C$2777,3,0)</f>
        <v>银月头盔</v>
      </c>
      <c r="U322">
        <v>50550015</v>
      </c>
      <c r="V322">
        <v>650</v>
      </c>
      <c r="W322">
        <f t="shared" si="58"/>
        <v>1500</v>
      </c>
      <c r="X322">
        <v>6750</v>
      </c>
      <c r="Y322">
        <f t="shared" si="57"/>
        <v>4000455</v>
      </c>
      <c r="Z322" t="str">
        <f t="shared" si="55"/>
        <v>4000455_0_1_6750,4000455_0_1_6750,4000455_0_1_6750</v>
      </c>
      <c r="AB322" t="str">
        <f t="shared" si="51"/>
        <v>40000_50600075_1_650,40000_50550015_1_1500,4000455_0_1_6750,4000455_0_1_6750,4000455_0_1_6750,30000_90003_1,30000_90002_9_10000</v>
      </c>
      <c r="AN322" t="str">
        <f t="shared" si="56"/>
        <v>30000_90003_1,30000_90002_9,40000_50600075_1,40000_50550015_1</v>
      </c>
    </row>
    <row r="323" spans="2:40">
      <c r="B323" t="s">
        <v>1025</v>
      </c>
      <c r="R323" t="str">
        <f>VLOOKUP(S323,[4]equip.xml!$A$2316:$C$2777,3,0)</f>
        <v>英勇战盔</v>
      </c>
      <c r="S323">
        <v>50600015</v>
      </c>
      <c r="T323" t="str">
        <f>VLOOKUP(U323,[4]equip.xml!$A$2316:$C$2777,3,0)</f>
        <v>魂击长弓</v>
      </c>
      <c r="U323">
        <v>50552055</v>
      </c>
      <c r="V323">
        <v>643</v>
      </c>
      <c r="W323">
        <f t="shared" si="58"/>
        <v>1490</v>
      </c>
      <c r="X323">
        <v>6775</v>
      </c>
      <c r="Y323">
        <f t="shared" si="57"/>
        <v>4000455</v>
      </c>
      <c r="Z323" t="str">
        <f t="shared" si="55"/>
        <v>4000455_0_1_6775,4000455_0_1_6775,4000455_0_1_6775</v>
      </c>
      <c r="AB323" t="str">
        <f t="shared" ref="AB323:AB386" si="59">"40000_"&amp;S323&amp;"_1_"&amp;V323&amp;","&amp;"40000_"&amp;U323&amp;"_1_"&amp;W323&amp;","&amp;Z323&amp;","&amp;B333&amp;"_10000"</f>
        <v>40000_50600015_1_643,40000_50552055_1_1490,4000455_0_1_6775,4000455_0_1_6775,4000455_0_1_6775,30000_90003_1,30000_90002_9_10000</v>
      </c>
      <c r="AN323" t="str">
        <f t="shared" si="56"/>
        <v>30000_90003_1,30000_90002_9,40000_50600015_1,40000_50552055_1</v>
      </c>
    </row>
    <row r="324" spans="2:40">
      <c r="B324" t="s">
        <v>1025</v>
      </c>
      <c r="R324" t="str">
        <f>VLOOKUP(S324,[4]equip.xml!$A$2316:$C$2777,3,0)</f>
        <v>风暴长靴</v>
      </c>
      <c r="S324">
        <v>50600085</v>
      </c>
      <c r="T324" t="str">
        <f>VLOOKUP(U324,[4]equip.xml!$A$2316:$C$2777,3,0)</f>
        <v>反射壁垒</v>
      </c>
      <c r="U324">
        <v>50551065</v>
      </c>
      <c r="V324">
        <v>636</v>
      </c>
      <c r="W324">
        <f t="shared" si="58"/>
        <v>1480</v>
      </c>
      <c r="X324">
        <v>6800</v>
      </c>
      <c r="Y324">
        <f t="shared" si="57"/>
        <v>4000455</v>
      </c>
      <c r="Z324" t="str">
        <f t="shared" si="55"/>
        <v>4000455_0_1_6800,4000455_0_1_6800,4000455_0_1_6800</v>
      </c>
      <c r="AB324" t="str">
        <f t="shared" si="59"/>
        <v>40000_50600085_1_636,40000_50551065_1_1480,4000455_0_1_6800,4000455_0_1_6800,4000455_0_1_6800,30000_90003_1,30000_90002_9_10000</v>
      </c>
      <c r="AN324" t="str">
        <f t="shared" si="56"/>
        <v>30000_90003_1,30000_90002_9,40000_50600085_1,40000_50551065_1</v>
      </c>
    </row>
    <row r="325" spans="2:40">
      <c r="B325" t="s">
        <v>1025</v>
      </c>
      <c r="R325" t="str">
        <f>VLOOKUP(S325,[4]equip.xml!$A$2316:$C$2777,3,0)</f>
        <v>日辉法杖</v>
      </c>
      <c r="S325">
        <v>50603056</v>
      </c>
      <c r="T325" t="str">
        <f>VLOOKUP(U325,[4]equip.xml!$A$2316:$C$2777,3,0)</f>
        <v>银矢箭筒</v>
      </c>
      <c r="U325">
        <v>50552065</v>
      </c>
      <c r="V325">
        <v>629</v>
      </c>
      <c r="W325">
        <f t="shared" si="58"/>
        <v>1470</v>
      </c>
      <c r="X325">
        <v>6825</v>
      </c>
      <c r="Y325">
        <f t="shared" si="57"/>
        <v>4000455</v>
      </c>
      <c r="Z325" t="str">
        <f t="shared" si="55"/>
        <v>4000455_0_1_6825,4000455_0_1_6825,4000455_0_1_6825</v>
      </c>
      <c r="AB325" t="str">
        <f t="shared" si="59"/>
        <v>40000_50603056_1_629,40000_50552065_1_1470,4000455_0_1_6825,4000455_0_1_6825,4000455_0_1_6825,30000_90003_1,30000_90002_10_10000</v>
      </c>
      <c r="AN325" t="str">
        <f t="shared" si="56"/>
        <v>30000_90003_1,30000_90002_10,40000_50603056_1,40000_50552065_1</v>
      </c>
    </row>
    <row r="326" spans="2:40">
      <c r="B326" t="s">
        <v>1026</v>
      </c>
      <c r="R326" t="str">
        <f>VLOOKUP(S326,[4]equip.xml!$A$2316:$C$2777,3,0)</f>
        <v>统御腰带</v>
      </c>
      <c r="S326">
        <v>50650035</v>
      </c>
      <c r="T326" t="str">
        <f>VLOOKUP(U326,[4]equip.xml!$A$2316:$C$2777,3,0)</f>
        <v>无尽回响之杖</v>
      </c>
      <c r="U326">
        <v>50603055</v>
      </c>
      <c r="V326">
        <v>622</v>
      </c>
      <c r="W326">
        <f t="shared" si="58"/>
        <v>1460</v>
      </c>
      <c r="X326">
        <v>6850</v>
      </c>
      <c r="Y326">
        <f t="shared" si="57"/>
        <v>4000460</v>
      </c>
      <c r="Z326" t="str">
        <f t="shared" si="55"/>
        <v>4000460_0_1_6850,4000460_0_1_6850,4000460_0_1_6850</v>
      </c>
      <c r="AB326" t="str">
        <f t="shared" si="59"/>
        <v>40000_50650035_1_622,40000_50603055_1_1460,4000460_0_1_6850,4000460_0_1_6850,4000460_0_1_6850,30000_90003_1,30000_90002_8_10000</v>
      </c>
      <c r="AN326" t="str">
        <f t="shared" si="56"/>
        <v>30000_90003_1,30000_90002_8,40000_50650035_1,40000_50603055_1</v>
      </c>
    </row>
    <row r="327" spans="2:40">
      <c r="B327" t="s">
        <v>1024</v>
      </c>
      <c r="R327" t="str">
        <f>VLOOKUP(S327,[4]equip.xml!$A$2316:$C$2777,3,0)</f>
        <v>圣火指环</v>
      </c>
      <c r="S327">
        <v>50650025</v>
      </c>
      <c r="T327" t="str">
        <f>VLOOKUP(U327,[4]equip.xml!$A$2316:$C$2777,3,0)</f>
        <v>猎星箭袋</v>
      </c>
      <c r="U327">
        <v>50602065</v>
      </c>
      <c r="V327">
        <v>615</v>
      </c>
      <c r="W327">
        <f t="shared" si="58"/>
        <v>1450</v>
      </c>
      <c r="X327">
        <v>6875</v>
      </c>
      <c r="Y327">
        <f t="shared" si="57"/>
        <v>4000460</v>
      </c>
      <c r="Z327" t="str">
        <f t="shared" si="55"/>
        <v>4000460_0_1_6875,4000460_0_1_6875,4000460_0_1_6875</v>
      </c>
      <c r="AB327" t="str">
        <f t="shared" si="59"/>
        <v>40000_50650025_1_615,40000_50602065_1_1450,4000460_0_1_6875,4000460_0_1_6875,4000460_0_1_6875,30000_90003_1,30000_90002_8_10000</v>
      </c>
      <c r="AN327" t="str">
        <f t="shared" si="56"/>
        <v>30000_90003_1,30000_90002_8,40000_50650025_1,40000_50602065_1</v>
      </c>
    </row>
    <row r="328" spans="2:40">
      <c r="B328" t="s">
        <v>1024</v>
      </c>
      <c r="R328" t="str">
        <f>VLOOKUP(S328,[4]equip.xml!$A$2316:$C$2777,3,0)</f>
        <v>狱火战靴</v>
      </c>
      <c r="S328">
        <v>50650085</v>
      </c>
      <c r="T328" t="str">
        <f>VLOOKUP(U328,[4]equip.xml!$A$2316:$C$2777,3,0)</f>
        <v>毁灭之刃</v>
      </c>
      <c r="U328">
        <v>50601055</v>
      </c>
      <c r="V328">
        <v>608</v>
      </c>
      <c r="W328">
        <f t="shared" si="58"/>
        <v>1440</v>
      </c>
      <c r="X328">
        <v>6900</v>
      </c>
      <c r="Y328">
        <f t="shared" si="57"/>
        <v>4000460</v>
      </c>
      <c r="Z328" t="str">
        <f t="shared" si="55"/>
        <v>4000460_0_1_6900,4000460_0_1_6900,4000460_0_1_6900</v>
      </c>
      <c r="AB328" t="str">
        <f t="shared" si="59"/>
        <v>40000_50650085_1_608,40000_50601055_1_1440,4000460_0_1_6900,4000460_0_1_6900,4000460_0_1_6900,30000_90003_1,30000_90002_9_10000</v>
      </c>
      <c r="AN328" t="str">
        <f t="shared" si="56"/>
        <v>30000_90003_1,30000_90002_9,40000_50650085_1,40000_50601055_1</v>
      </c>
    </row>
    <row r="329" spans="2:40">
      <c r="B329" t="s">
        <v>1025</v>
      </c>
      <c r="R329" t="str">
        <f>VLOOKUP(S329,[4]equip.xml!$A$2316:$C$2777,3,0)</f>
        <v>救赎坠饰</v>
      </c>
      <c r="S329">
        <v>50650105</v>
      </c>
      <c r="T329" t="str">
        <f>VLOOKUP(U329,[4]equip.xml!$A$2316:$C$2777,3,0)</f>
        <v>英勇战盔</v>
      </c>
      <c r="U329">
        <v>50600015</v>
      </c>
      <c r="V329">
        <v>601</v>
      </c>
      <c r="W329">
        <f t="shared" si="58"/>
        <v>1430</v>
      </c>
      <c r="X329">
        <v>6925</v>
      </c>
      <c r="Y329">
        <f t="shared" si="57"/>
        <v>4000460</v>
      </c>
      <c r="Z329" t="str">
        <f t="shared" si="55"/>
        <v>4000460_0_1_6925,4000460_0_1_6925,4000460_0_1_6925</v>
      </c>
      <c r="AB329" t="str">
        <f t="shared" si="59"/>
        <v>40000_50650105_1_601,40000_50600015_1_1430,4000460_0_1_6925,4000460_0_1_6925,4000460_0_1_6925,30000_90003_1,30000_90002_9_10000</v>
      </c>
      <c r="AN329" t="str">
        <f t="shared" si="56"/>
        <v>30000_90003_1,30000_90002_9,40000_50650105_1,40000_50600015_1</v>
      </c>
    </row>
    <row r="330" spans="2:40">
      <c r="B330" t="s">
        <v>1025</v>
      </c>
      <c r="R330" t="str">
        <f>VLOOKUP(S330,[4]equip.xml!$A$2316:$C$2777,3,0)</f>
        <v>末世胸铠</v>
      </c>
      <c r="S330">
        <v>50650045</v>
      </c>
      <c r="T330" t="str">
        <f>VLOOKUP(U330,[4]equip.xml!$A$2316:$C$2777,3,0)</f>
        <v>暗之追猎者</v>
      </c>
      <c r="U330">
        <v>50602055</v>
      </c>
      <c r="V330">
        <v>594</v>
      </c>
      <c r="W330">
        <f t="shared" si="58"/>
        <v>1420</v>
      </c>
      <c r="X330">
        <v>6950</v>
      </c>
      <c r="Y330">
        <f t="shared" si="57"/>
        <v>4000460</v>
      </c>
      <c r="Z330" t="str">
        <f t="shared" si="55"/>
        <v>4000460_0_1_6950,4000460_0_1_6950,4000460_0_1_6950</v>
      </c>
      <c r="AB330" t="str">
        <f t="shared" si="59"/>
        <v>40000_50650045_1_594,40000_50602055_1_1420,4000460_0_1_6950,4000460_0_1_6950,4000460_0_1_6950,30000_90003_1,30000_90002_9_10000</v>
      </c>
      <c r="AN330" t="str">
        <f t="shared" si="56"/>
        <v>30000_90003_1,30000_90002_9,40000_50650045_1,40000_50602055_1</v>
      </c>
    </row>
    <row r="331" spans="2:40">
      <c r="B331" t="s">
        <v>1025</v>
      </c>
      <c r="R331" t="str">
        <f>VLOOKUP(S331,[4]equip.xml!$A$2316:$C$2777,3,0)</f>
        <v>荣耀先驱护手</v>
      </c>
      <c r="S331">
        <v>50650095</v>
      </c>
      <c r="T331" t="str">
        <f>VLOOKUP(U331,[4]equip.xml!$A$2316:$C$2777,3,0)</f>
        <v>灵魂壁垒</v>
      </c>
      <c r="U331">
        <v>50601065</v>
      </c>
      <c r="V331">
        <v>587</v>
      </c>
      <c r="W331">
        <f t="shared" si="58"/>
        <v>1410</v>
      </c>
      <c r="X331">
        <v>6975</v>
      </c>
      <c r="Y331">
        <f t="shared" si="57"/>
        <v>4000460</v>
      </c>
      <c r="Z331" t="str">
        <f t="shared" si="55"/>
        <v>4000460_0_1_6975,4000460_0_1_6975,4000460_0_1_6975</v>
      </c>
      <c r="AB331" t="str">
        <f t="shared" si="59"/>
        <v>40000_50650095_1_587,40000_50601065_1_1410,4000460_0_1_6975,4000460_0_1_6975,4000460_0_1_6975,30000_90003_1,30000_90002_10_10000</v>
      </c>
      <c r="AN331" t="str">
        <f t="shared" si="56"/>
        <v>30000_90003_1,30000_90002_10,40000_50650095_1,40000_50601065_1</v>
      </c>
    </row>
    <row r="332" spans="2:40">
      <c r="B332" t="s">
        <v>1026</v>
      </c>
      <c r="R332" t="str">
        <f>VLOOKUP(S332,[4]equip.xml!$A$2316:$C$2777,3,0)</f>
        <v>虚空之冠</v>
      </c>
      <c r="S332">
        <v>50650015</v>
      </c>
      <c r="T332" t="str">
        <f>VLOOKUP(U332,[4]equip.xml!$A$2316:$C$2777,3,0)</f>
        <v>星图指南</v>
      </c>
      <c r="U332">
        <v>50603065</v>
      </c>
      <c r="V332">
        <v>580</v>
      </c>
      <c r="W332">
        <f t="shared" si="58"/>
        <v>1400</v>
      </c>
      <c r="X332">
        <v>7000</v>
      </c>
      <c r="Y332">
        <f t="shared" si="57"/>
        <v>4000460</v>
      </c>
      <c r="Z332" t="str">
        <f t="shared" si="55"/>
        <v>4000460_0_1_7000,4000460_0_1_7000,4000460_0_1_7000</v>
      </c>
      <c r="AB332" t="str">
        <f t="shared" si="59"/>
        <v>40000_50650015_1_580,40000_50603065_1_1400,4000460_0_1_7000,4000460_0_1_7000,4000460_0_1_7000,30000_90003_1,30000_90002_10_10000</v>
      </c>
      <c r="AN332" t="str">
        <f t="shared" si="56"/>
        <v>30000_90003_1,30000_90002_10,40000_50650015_1,40000_50603065_1</v>
      </c>
    </row>
    <row r="333" spans="2:40">
      <c r="B333" t="s">
        <v>1026</v>
      </c>
      <c r="R333" t="str">
        <f>VLOOKUP(S333,[4]equip.xml!$A$2316:$C$2777,3,0)</f>
        <v>止战腿甲</v>
      </c>
      <c r="S333">
        <v>50650075</v>
      </c>
      <c r="T333" s="14" t="str">
        <f>VLOOKUP(U333,[4]equip.xml!$A$2316:$C$2777,3,0)</f>
        <v>龙语秘典</v>
      </c>
      <c r="U333">
        <v>50653065</v>
      </c>
      <c r="V333">
        <v>573</v>
      </c>
      <c r="W333">
        <f t="shared" si="58"/>
        <v>1390</v>
      </c>
      <c r="X333">
        <v>7025</v>
      </c>
      <c r="Y333">
        <f t="shared" si="57"/>
        <v>4000460</v>
      </c>
      <c r="Z333" t="str">
        <f t="shared" si="55"/>
        <v>4000460_0_1_7025,4000460_0_1_7025,4000460_0_1_7025</v>
      </c>
      <c r="AB333" t="str">
        <f t="shared" si="59"/>
        <v>40000_50650075_1_573,40000_50653065_1_1390,4000460_0_1_7025,4000460_0_1_7025,4000460_0_1_7025,30000_90003_1,30000_90002_10_10000</v>
      </c>
      <c r="AN333" t="str">
        <f t="shared" si="56"/>
        <v>30000_90003_1,30000_90002_10,40000_50650075_1,40000_50653065_1</v>
      </c>
    </row>
    <row r="334" spans="2:40">
      <c r="B334" t="s">
        <v>1026</v>
      </c>
      <c r="R334" t="str">
        <f>VLOOKUP(S334,[4]equip.xml!$A$2316:$C$2777,3,0)</f>
        <v>时轮金杖</v>
      </c>
      <c r="S334">
        <v>50653055</v>
      </c>
      <c r="T334" t="str">
        <f>VLOOKUP(U334,[4]equip.xml!$A$2316:$C$2777,3,0)</f>
        <v>远征腰带</v>
      </c>
      <c r="U334">
        <v>50600035</v>
      </c>
      <c r="V334">
        <v>566</v>
      </c>
      <c r="W334">
        <f t="shared" si="58"/>
        <v>1380</v>
      </c>
      <c r="X334">
        <v>7050</v>
      </c>
      <c r="Y334">
        <f t="shared" si="57"/>
        <v>4000460</v>
      </c>
      <c r="Z334" t="str">
        <f t="shared" si="55"/>
        <v>4000460_0_1_7050,4000460_0_1_7050,4000460_0_1_7050</v>
      </c>
      <c r="AB334" t="str">
        <f t="shared" si="59"/>
        <v>40000_50653055_1_566,40000_50600035_1_1380,4000460_0_1_7050,4000460_0_1_7050,4000460_0_1_7050,30000_90003_1,30000_90002_11_10000</v>
      </c>
      <c r="AN334" t="str">
        <f t="shared" si="56"/>
        <v>30000_90003_1,30000_90002_11,40000_50653055_1,40000_50600035_1</v>
      </c>
    </row>
    <row r="335" spans="2:40">
      <c r="B335" t="s">
        <v>1027</v>
      </c>
      <c r="R335" t="str">
        <f>VLOOKUP(S335,[4]equip.xml!$A$2316:$C$2777,3,0)</f>
        <v>岁月永恒护符</v>
      </c>
      <c r="S335">
        <v>50700105</v>
      </c>
      <c r="T335" t="str">
        <f>VLOOKUP(U335,[4]equip.xml!$A$2316:$C$2777,3,0)</f>
        <v>虚空之冠</v>
      </c>
      <c r="U335">
        <v>50650015</v>
      </c>
      <c r="V335">
        <v>559</v>
      </c>
      <c r="W335">
        <f t="shared" si="58"/>
        <v>1370</v>
      </c>
      <c r="X335">
        <v>7075</v>
      </c>
      <c r="Y335">
        <f t="shared" si="57"/>
        <v>4000465</v>
      </c>
      <c r="Z335" t="str">
        <f t="shared" si="55"/>
        <v>4000465_0_1_7075,4000465_0_1_7075,4000465_0_1_7075</v>
      </c>
      <c r="AB335" t="str">
        <f t="shared" si="59"/>
        <v>40000_50700105_1_559,40000_50650015_1_1370,4000465_0_1_7075,4000465_0_1_7075,4000465_0_1_7075,30000_90003_1,30000_90002_9_10000</v>
      </c>
      <c r="AN335" t="str">
        <f t="shared" si="56"/>
        <v>30000_90003_1,30000_90002_9,40000_50700105_1,40000_50650015_1</v>
      </c>
    </row>
    <row r="336" spans="2:40">
      <c r="B336" t="s">
        <v>1025</v>
      </c>
      <c r="R336" t="str">
        <f>VLOOKUP(S336,[4]equip.xml!$A$2316:$C$2777,3,0)</f>
        <v>裂隙之手</v>
      </c>
      <c r="S336">
        <v>50700095</v>
      </c>
      <c r="T336" t="str">
        <f>VLOOKUP(U336,[4]equip.xml!$A$2316:$C$2777,3,0)</f>
        <v>日怒之盾</v>
      </c>
      <c r="U336">
        <v>50651065</v>
      </c>
      <c r="V336">
        <v>552</v>
      </c>
      <c r="W336">
        <f t="shared" si="58"/>
        <v>1360</v>
      </c>
      <c r="X336">
        <v>7100</v>
      </c>
      <c r="Y336">
        <f t="shared" si="57"/>
        <v>4000465</v>
      </c>
      <c r="Z336" t="str">
        <f t="shared" si="55"/>
        <v>4000465_0_1_7100,4000465_0_1_7100,4000465_0_1_7100</v>
      </c>
      <c r="AB336" t="str">
        <f t="shared" si="59"/>
        <v>40000_50700095_1_552,40000_50651065_1_1360,4000465_0_1_7100,4000465_0_1_7100,4000465_0_1_7100,30000_90003_1,30000_90002_9_10000</v>
      </c>
      <c r="AN336" t="str">
        <f t="shared" si="56"/>
        <v>30000_90003_1,30000_90002_9,40000_50700095_1,40000_50651065_1</v>
      </c>
    </row>
    <row r="337" spans="2:40">
      <c r="B337" t="s">
        <v>1025</v>
      </c>
      <c r="R337" t="str">
        <f>VLOOKUP(S337,[4]equip.xml!$A$2316:$C$2777,3,0)</f>
        <v>虚灵护腿</v>
      </c>
      <c r="S337">
        <v>50700075</v>
      </c>
      <c r="T337" s="14" t="str">
        <f>VLOOKUP(U337,[4]equip.xml!$A$2316:$C$2777,3,0)</f>
        <v>虚空魔典</v>
      </c>
      <c r="U337">
        <v>50703065</v>
      </c>
      <c r="V337">
        <v>545</v>
      </c>
      <c r="W337">
        <f t="shared" ref="W337:W368" si="60">W336-10</f>
        <v>1350</v>
      </c>
      <c r="X337">
        <v>7125</v>
      </c>
      <c r="Y337">
        <f t="shared" si="57"/>
        <v>4000465</v>
      </c>
      <c r="Z337" t="str">
        <f t="shared" ref="Z337:Z400" si="61">Y337&amp;"_0_1_"&amp;X337&amp;","&amp;Y337&amp;"_0_1_"&amp;X337&amp;","&amp;Y337&amp;"_0_1_"&amp;X337</f>
        <v>4000465_0_1_7125,4000465_0_1_7125,4000465_0_1_7125</v>
      </c>
      <c r="AB337" t="str">
        <f t="shared" si="59"/>
        <v>40000_50700075_1_545,40000_50703065_1_1350,4000465_0_1_7125,4000465_0_1_7125,4000465_0_1_7125,30000_90003_1,30000_90002_10_10000</v>
      </c>
      <c r="AN337" t="str">
        <f t="shared" ref="AN337:AN400" si="62">B77&amp;","&amp;"40000_"&amp;S337&amp;"_1"&amp;","&amp;"40000_"&amp;U337&amp;"_1"</f>
        <v>30000_90003_1,30000_90002_10,40000_50700075_1,40000_50703065_1</v>
      </c>
    </row>
    <row r="338" spans="2:40">
      <c r="B338" t="s">
        <v>1026</v>
      </c>
      <c r="R338" t="str">
        <f>VLOOKUP(S338,[4]equip.xml!$A$2316:$C$2777,3,0)</f>
        <v>无影轻靴</v>
      </c>
      <c r="S338">
        <v>50700085</v>
      </c>
      <c r="T338" t="str">
        <f>VLOOKUP(U338,[4]equip.xml!$A$2316:$C$2777,3,0)</f>
        <v>龙语秘典</v>
      </c>
      <c r="U338">
        <v>50653065</v>
      </c>
      <c r="V338">
        <v>538</v>
      </c>
      <c r="W338">
        <f t="shared" si="60"/>
        <v>1340</v>
      </c>
      <c r="X338">
        <v>7150</v>
      </c>
      <c r="Y338">
        <f t="shared" si="57"/>
        <v>4000465</v>
      </c>
      <c r="Z338" t="str">
        <f t="shared" si="61"/>
        <v>4000465_0_1_7150,4000465_0_1_7150,4000465_0_1_7150</v>
      </c>
      <c r="AB338" t="str">
        <f t="shared" si="59"/>
        <v>40000_50700085_1_538,40000_50653065_1_1340,4000465_0_1_7150,4000465_0_1_7150,4000465_0_1_7150,30000_90003_1,30000_90002_10_10000</v>
      </c>
      <c r="AN338" t="str">
        <f t="shared" si="62"/>
        <v>30000_90003_1,30000_90002_10,40000_50700085_1,40000_50653065_1</v>
      </c>
    </row>
    <row r="339" spans="2:40">
      <c r="B339" t="s">
        <v>1026</v>
      </c>
      <c r="R339" t="str">
        <f>VLOOKUP(S339,[4]equip.xml!$A$2316:$C$2777,3,0)</f>
        <v>光铸胸甲</v>
      </c>
      <c r="S339">
        <v>50700045</v>
      </c>
      <c r="T339" t="str">
        <f>VLOOKUP(U339,[4]equip.xml!$A$2316:$C$2777,3,0)</f>
        <v>时轮金杖</v>
      </c>
      <c r="U339">
        <v>50653055</v>
      </c>
      <c r="V339">
        <v>531</v>
      </c>
      <c r="W339">
        <f t="shared" si="60"/>
        <v>1330</v>
      </c>
      <c r="X339">
        <v>7175</v>
      </c>
      <c r="Y339">
        <f t="shared" si="57"/>
        <v>4000465</v>
      </c>
      <c r="Z339" t="str">
        <f t="shared" si="61"/>
        <v>4000465_0_1_7175,4000465_0_1_7175,4000465_0_1_7175</v>
      </c>
      <c r="AB339" t="str">
        <f t="shared" si="59"/>
        <v>40000_50700045_1_531,40000_50653055_1_1330,4000465_0_1_7175,4000465_0_1_7175,4000465_0_1_7175,30000_90003_1,30000_90002_10_10000</v>
      </c>
      <c r="AN339" t="str">
        <f t="shared" si="62"/>
        <v>30000_90003_1,30000_90002_10,40000_50700045_1,40000_50653055_1</v>
      </c>
    </row>
    <row r="340" spans="2:40">
      <c r="B340" t="s">
        <v>1026</v>
      </c>
      <c r="R340" t="str">
        <f>VLOOKUP(S340,[4]equip.xml!$A$2316:$C$2777,3,0)</f>
        <v>破碎之冠</v>
      </c>
      <c r="S340">
        <v>50700015</v>
      </c>
      <c r="T340" t="str">
        <f>VLOOKUP(U340,[4]equip.xml!$A$2316:$C$2777,3,0)</f>
        <v>追噬之矢</v>
      </c>
      <c r="U340">
        <v>50652065</v>
      </c>
      <c r="V340">
        <v>524</v>
      </c>
      <c r="W340">
        <f t="shared" si="60"/>
        <v>1320</v>
      </c>
      <c r="X340">
        <v>7200</v>
      </c>
      <c r="Y340">
        <f t="shared" si="57"/>
        <v>4000465</v>
      </c>
      <c r="Z340" t="str">
        <f t="shared" si="61"/>
        <v>4000465_0_1_7200,4000465_0_1_7200,4000465_0_1_7200</v>
      </c>
      <c r="AB340" t="str">
        <f t="shared" si="59"/>
        <v>40000_50700015_1_524,40000_50652065_1_1320,4000465_0_1_7200,4000465_0_1_7200,4000465_0_1_7200,30000_90003_1,30000_90002_11_10000</v>
      </c>
      <c r="AN340" t="str">
        <f t="shared" si="62"/>
        <v>30000_90003_1,30000_90002_11,40000_50700015_1,40000_50652065_1</v>
      </c>
    </row>
    <row r="341" spans="2:40">
      <c r="B341" t="s">
        <v>1027</v>
      </c>
      <c r="R341" t="str">
        <f>VLOOKUP(S341,[4]equip.xml!$A$2316:$C$2777,3,0)</f>
        <v>灵谕之戒</v>
      </c>
      <c r="S341">
        <v>50700025</v>
      </c>
      <c r="T341" t="str">
        <f>VLOOKUP(U341,[4]equip.xml!$A$2316:$C$2777,3,0)</f>
        <v>憎恨之击</v>
      </c>
      <c r="U341">
        <v>50652055</v>
      </c>
      <c r="V341">
        <v>517</v>
      </c>
      <c r="W341">
        <f t="shared" si="60"/>
        <v>1310</v>
      </c>
      <c r="X341">
        <v>7225</v>
      </c>
      <c r="Y341">
        <f t="shared" si="57"/>
        <v>4000465</v>
      </c>
      <c r="Z341" t="str">
        <f t="shared" si="61"/>
        <v>4000465_0_1_7225,4000465_0_1_7225,4000465_0_1_7225</v>
      </c>
      <c r="AB341" t="str">
        <f t="shared" si="59"/>
        <v>40000_50700025_1_517,40000_50652055_1_1310,4000465_0_1_7225,4000465_0_1_7225,4000465_0_1_7225,30000_90003_1,30000_90002_11_10000</v>
      </c>
      <c r="AN341" t="str">
        <f t="shared" si="62"/>
        <v>30000_90003_1,30000_90002_11,40000_50700025_1,40000_50652055_1</v>
      </c>
    </row>
    <row r="342" spans="2:40">
      <c r="B342" t="s">
        <v>1027</v>
      </c>
      <c r="R342" t="str">
        <f>VLOOKUP(S342,[4]equip.xml!$A$2316:$C$2777,3,0)</f>
        <v>怒涛腰带</v>
      </c>
      <c r="S342">
        <v>50700035</v>
      </c>
      <c r="T342" t="str">
        <f>VLOOKUP(U342,[4]equip.xml!$A$2316:$C$2777,3,0)</f>
        <v>统御腰带</v>
      </c>
      <c r="U342">
        <v>50650035</v>
      </c>
      <c r="V342">
        <v>510</v>
      </c>
      <c r="W342">
        <f t="shared" si="60"/>
        <v>1300</v>
      </c>
      <c r="X342">
        <v>7250</v>
      </c>
      <c r="Y342">
        <f t="shared" si="57"/>
        <v>4000465</v>
      </c>
      <c r="Z342" t="str">
        <f t="shared" si="61"/>
        <v>4000465_0_1_7250,4000465_0_1_7250,4000465_0_1_7250</v>
      </c>
      <c r="AB342" t="str">
        <f t="shared" si="59"/>
        <v>40000_50700035_1_510,40000_50650035_1_1300,4000465_0_1_7250,4000465_0_1_7250,4000465_0_1_7250,30000_90003_1,30000_90002_11_10000</v>
      </c>
      <c r="AN342" t="str">
        <f t="shared" si="62"/>
        <v>30000_90003_1,30000_90002_11,40000_50700035_1,40000_50650035_1</v>
      </c>
    </row>
    <row r="343" spans="2:40">
      <c r="B343" t="s">
        <v>1027</v>
      </c>
      <c r="R343" t="str">
        <f>VLOOKUP(S343,[4]equip.xml!$A$2316:$C$2777,3,0)</f>
        <v>瓦解法杖</v>
      </c>
      <c r="S343">
        <v>50703055</v>
      </c>
      <c r="T343" t="str">
        <f>VLOOKUP(U343,[4]equip.xml!$A$2316:$C$2777,3,0)</f>
        <v>魂歌之刃</v>
      </c>
      <c r="U343">
        <v>50651055</v>
      </c>
      <c r="V343">
        <v>503</v>
      </c>
      <c r="W343">
        <f t="shared" si="60"/>
        <v>1290</v>
      </c>
      <c r="X343">
        <v>7275</v>
      </c>
      <c r="Y343">
        <f t="shared" si="57"/>
        <v>4000465</v>
      </c>
      <c r="Z343" t="str">
        <f t="shared" si="61"/>
        <v>4000465_0_1_7275,4000465_0_1_7275,4000465_0_1_7275</v>
      </c>
      <c r="AB343" t="str">
        <f t="shared" si="59"/>
        <v>40000_50703055_1_503,40000_50651055_1_1290,4000465_0_1_7275,4000465_0_1_7275,4000465_0_1_7275,30000_90003_1,30000_90002_12_10000</v>
      </c>
      <c r="AN343" t="str">
        <f t="shared" si="62"/>
        <v>30000_90003_1,30000_90002_12,40000_50703055_1,40000_50651055_1</v>
      </c>
    </row>
    <row r="344" spans="2:40">
      <c r="B344" t="s">
        <v>1028</v>
      </c>
      <c r="R344" t="str">
        <f>VLOOKUP(S344,[4]equip.xml!$A$2316:$C$2777,3,0)</f>
        <v>守望胸甲</v>
      </c>
      <c r="S344">
        <v>50750045</v>
      </c>
      <c r="T344" t="str">
        <f>VLOOKUP(U344,[4]equip.xml!$A$2316:$C$2777,3,0)</f>
        <v>破碎之冠</v>
      </c>
      <c r="U344">
        <v>50700015</v>
      </c>
      <c r="V344">
        <v>496</v>
      </c>
      <c r="W344">
        <f t="shared" si="60"/>
        <v>1280</v>
      </c>
      <c r="X344">
        <v>7300</v>
      </c>
      <c r="Y344">
        <f t="shared" si="57"/>
        <v>4000470</v>
      </c>
      <c r="Z344" t="str">
        <f t="shared" si="61"/>
        <v>4000470_0_1_7300,4000470_0_1_7300,4000470_0_1_7300</v>
      </c>
      <c r="AB344" t="str">
        <f t="shared" si="59"/>
        <v>40000_50750045_1_496,40000_50700015_1_1280,4000470_0_1_7300,4000470_0_1_7300,4000470_0_1_7300,30000_90003_1,30000_90002_5_10000</v>
      </c>
      <c r="AN344" t="str">
        <f t="shared" si="62"/>
        <v>30000_90003_1,30000_90002_5,40000_50750045_1,40000_50700015_1</v>
      </c>
    </row>
    <row r="345" spans="2:40">
      <c r="B345" t="s">
        <v>1026</v>
      </c>
      <c r="R345" t="str">
        <f>VLOOKUP(S345,[4]equip.xml!$A$2316:$C$2777,3,0)</f>
        <v>地脉之环</v>
      </c>
      <c r="S345">
        <v>50750025</v>
      </c>
      <c r="T345" t="str">
        <f>VLOOKUP(U345,[4]equip.xml!$A$2316:$C$2777,3,0)</f>
        <v>永恒之盾</v>
      </c>
      <c r="U345">
        <v>50701065</v>
      </c>
      <c r="V345">
        <v>489</v>
      </c>
      <c r="W345">
        <f t="shared" si="60"/>
        <v>1270</v>
      </c>
      <c r="X345">
        <v>7325</v>
      </c>
      <c r="Y345">
        <f t="shared" si="57"/>
        <v>4000470</v>
      </c>
      <c r="Z345" t="str">
        <f t="shared" si="61"/>
        <v>4000470_0_1_7325,4000470_0_1_7325,4000470_0_1_7325</v>
      </c>
      <c r="AB345" t="str">
        <f t="shared" si="59"/>
        <v>40000_50750025_1_489,40000_50701065_1_1270,4000470_0_1_7325,4000470_0_1_7325,4000470_0_1_7325,30000_90003_1,30000_90002_5_10000</v>
      </c>
      <c r="AN345" t="str">
        <f t="shared" si="62"/>
        <v>30000_90003_1,30000_90002_5,40000_50750025_1,40000_50701065_1</v>
      </c>
    </row>
    <row r="346" spans="2:40">
      <c r="B346" t="s">
        <v>1026</v>
      </c>
      <c r="R346" t="str">
        <f>VLOOKUP(S346,[4]equip.xml!$A$2316:$C$2777,3,0)</f>
        <v>薄霜护手</v>
      </c>
      <c r="S346">
        <v>50750095</v>
      </c>
      <c r="T346" t="str">
        <f>VLOOKUP(U346,[4]equip.xml!$A$2316:$C$2777,3,0)</f>
        <v>日怒凰弓</v>
      </c>
      <c r="U346">
        <v>50702055</v>
      </c>
      <c r="V346">
        <v>482</v>
      </c>
      <c r="W346">
        <f t="shared" si="60"/>
        <v>1260</v>
      </c>
      <c r="X346">
        <v>7350</v>
      </c>
      <c r="Y346">
        <f t="shared" ref="Y346:Y352" si="63">Y337+5</f>
        <v>4000470</v>
      </c>
      <c r="Z346" t="str">
        <f t="shared" si="61"/>
        <v>4000470_0_1_7350,4000470_0_1_7350,4000470_0_1_7350</v>
      </c>
      <c r="AB346" t="str">
        <f t="shared" si="59"/>
        <v>40000_50750095_1_482,40000_50702055_1_1260,4000470_0_1_7350,4000470_0_1_7350,4000470_0_1_7350,30000_90003_1,30000_90002_6_10000</v>
      </c>
      <c r="AN346" t="str">
        <f t="shared" si="62"/>
        <v>30000_90003_1,30000_90002_6,40000_50750095_1,40000_50702055_1</v>
      </c>
    </row>
    <row r="347" spans="2:40">
      <c r="B347" t="s">
        <v>1027</v>
      </c>
      <c r="R347" t="str">
        <f>VLOOKUP(S347,[4]equip.xml!$A$2316:$C$2777,3,0)</f>
        <v>缚誓护腰</v>
      </c>
      <c r="S347">
        <v>50750035</v>
      </c>
      <c r="T347" s="14" t="str">
        <f>VLOOKUP(U347,[4]equip.xml!$A$2316:$C$2777,3,0)</f>
        <v>魔枢秘典</v>
      </c>
      <c r="U347">
        <v>50753066</v>
      </c>
      <c r="V347">
        <v>475</v>
      </c>
      <c r="W347">
        <f t="shared" si="60"/>
        <v>1250</v>
      </c>
      <c r="X347">
        <v>7375</v>
      </c>
      <c r="Y347">
        <f t="shared" si="63"/>
        <v>4000470</v>
      </c>
      <c r="Z347" t="str">
        <f t="shared" si="61"/>
        <v>4000470_0_1_7375,4000470_0_1_7375,4000470_0_1_7375</v>
      </c>
      <c r="AB347" t="str">
        <f t="shared" si="59"/>
        <v>40000_50750035_1_475,40000_50753066_1_1250,4000470_0_1_7375,4000470_0_1_7375,4000470_0_1_7375,30000_90003_1,30000_90002_6_10000</v>
      </c>
      <c r="AN347" t="str">
        <f t="shared" si="62"/>
        <v>30000_90003_1,30000_90002_6,40000_50750035_1,40000_50753066_1</v>
      </c>
    </row>
    <row r="348" spans="2:40">
      <c r="B348" t="s">
        <v>1027</v>
      </c>
      <c r="R348" t="str">
        <f>VLOOKUP(S348,[4]equip.xml!$A$2316:$C$2777,3,0)</f>
        <v>踏冰长靴</v>
      </c>
      <c r="S348">
        <v>50750085</v>
      </c>
      <c r="T348" t="str">
        <f>VLOOKUP(U348,[4]equip.xml!$A$2316:$C$2777,3,0)</f>
        <v>虚空魔典</v>
      </c>
      <c r="U348">
        <v>50703065</v>
      </c>
      <c r="V348">
        <v>468</v>
      </c>
      <c r="W348">
        <f t="shared" si="60"/>
        <v>1240</v>
      </c>
      <c r="X348">
        <v>7400</v>
      </c>
      <c r="Y348">
        <f t="shared" si="63"/>
        <v>4000470</v>
      </c>
      <c r="Z348" t="str">
        <f t="shared" si="61"/>
        <v>4000470_0_1_7400,4000470_0_1_7400,4000470_0_1_7400</v>
      </c>
      <c r="AB348" t="str">
        <f t="shared" si="59"/>
        <v>40000_50750085_1_468,40000_50703065_1_1240,4000470_0_1_7400,4000470_0_1_7400,4000470_0_1_7400,30000_90003_1,30000_90002_6_10000</v>
      </c>
      <c r="AN348" t="str">
        <f t="shared" si="62"/>
        <v>30000_90003_1,30000_90002_6,40000_50750085_1,40000_50703065_1</v>
      </c>
    </row>
    <row r="349" spans="2:40">
      <c r="B349" t="s">
        <v>1027</v>
      </c>
      <c r="R349" t="str">
        <f>VLOOKUP(S349,[4]equip.xml!$A$2316:$C$2777,3,0)</f>
        <v>极光挂坠</v>
      </c>
      <c r="S349">
        <v>50750105</v>
      </c>
      <c r="T349" t="str">
        <f>VLOOKUP(U349,[4]equip.xml!$A$2316:$C$2777,3,0)</f>
        <v>逐日之矢</v>
      </c>
      <c r="U349">
        <v>50702065</v>
      </c>
      <c r="V349">
        <v>461</v>
      </c>
      <c r="W349">
        <f t="shared" si="60"/>
        <v>1230</v>
      </c>
      <c r="X349">
        <v>7425</v>
      </c>
      <c r="Y349">
        <f t="shared" si="63"/>
        <v>4000470</v>
      </c>
      <c r="Z349" t="str">
        <f t="shared" si="61"/>
        <v>4000470_0_1_7425,4000470_0_1_7425,4000470_0_1_7425</v>
      </c>
      <c r="AB349" t="str">
        <f t="shared" si="59"/>
        <v>40000_50750105_1_461,40000_50702065_1_1230,4000470_0_1_7425,4000470_0_1_7425,4000470_0_1_7425,30000_90003_1,30000_90002_7_10000</v>
      </c>
      <c r="AN349" t="str">
        <f t="shared" si="62"/>
        <v>30000_90003_1,30000_90002_7,40000_50750105_1,40000_50702065_1</v>
      </c>
    </row>
    <row r="350" spans="2:40">
      <c r="B350" t="s">
        <v>1028</v>
      </c>
      <c r="R350" t="str">
        <f>VLOOKUP(S350,[4]equip.xml!$A$2316:$C$2777,3,0)</f>
        <v>凛冬头盔</v>
      </c>
      <c r="S350">
        <v>50750015</v>
      </c>
      <c r="T350" t="str">
        <f>VLOOKUP(U350,[4]equip.xml!$A$2316:$C$2777,3,0)</f>
        <v>怒涛腰带</v>
      </c>
      <c r="U350">
        <v>50700035</v>
      </c>
      <c r="V350">
        <v>454</v>
      </c>
      <c r="W350">
        <f t="shared" si="60"/>
        <v>1220</v>
      </c>
      <c r="X350">
        <v>7450</v>
      </c>
      <c r="Y350">
        <f t="shared" si="63"/>
        <v>4000470</v>
      </c>
      <c r="Z350" t="str">
        <f t="shared" si="61"/>
        <v>4000470_0_1_7450,4000470_0_1_7450,4000470_0_1_7450</v>
      </c>
      <c r="AB350" t="str">
        <f t="shared" si="59"/>
        <v>40000_50750015_1_454,40000_50700035_1_1220,4000470_0_1_7450,4000470_0_1_7450,4000470_0_1_7450,30000_90003_1,30000_90002_7_10000</v>
      </c>
      <c r="AN350" t="str">
        <f t="shared" si="62"/>
        <v>30000_90003_1,30000_90002_7,40000_50750015_1,40000_50700035_1</v>
      </c>
    </row>
    <row r="351" spans="2:40">
      <c r="B351" t="s">
        <v>1028</v>
      </c>
      <c r="R351" t="str">
        <f>VLOOKUP(S351,[4]equip.xml!$A$2316:$C$2777,3,0)</f>
        <v>缚誓护腰</v>
      </c>
      <c r="S351">
        <v>50750035</v>
      </c>
      <c r="T351" t="str">
        <f>VLOOKUP(U351,[4]equip.xml!$A$2316:$C$2777,3,0)</f>
        <v>瓦解法杖</v>
      </c>
      <c r="U351">
        <v>50703055</v>
      </c>
      <c r="V351">
        <v>447</v>
      </c>
      <c r="W351">
        <f t="shared" si="60"/>
        <v>1210</v>
      </c>
      <c r="X351">
        <v>7475</v>
      </c>
      <c r="Y351">
        <f t="shared" si="63"/>
        <v>4000470</v>
      </c>
      <c r="Z351" t="str">
        <f t="shared" si="61"/>
        <v>4000470_0_1_7475,4000470_0_1_7475,4000470_0_1_7475</v>
      </c>
      <c r="AB351" t="str">
        <f t="shared" si="59"/>
        <v>40000_50750035_1_447,40000_50703055_1_1210,4000470_0_1_7475,4000470_0_1_7475,4000470_0_1_7475,30000_90003_1,30000_90002_7_10000</v>
      </c>
      <c r="AN351" t="str">
        <f t="shared" si="62"/>
        <v>30000_90003_1,30000_90002_7,40000_50750035_1,40000_50703055_1</v>
      </c>
    </row>
    <row r="352" spans="2:40">
      <c r="B352" t="s">
        <v>1028</v>
      </c>
      <c r="R352" t="str">
        <f>VLOOKUP(S352,[4]equip.xml!$A$2316:$C$2777,3,0)</f>
        <v>奥核之杖</v>
      </c>
      <c r="S352">
        <v>50753056</v>
      </c>
      <c r="T352" t="str">
        <f>VLOOKUP(U352,[4]equip.xml!$A$2316:$C$2777,3,0)</f>
        <v>命运</v>
      </c>
      <c r="U352">
        <v>50701055</v>
      </c>
      <c r="V352">
        <v>440</v>
      </c>
      <c r="W352">
        <f t="shared" si="60"/>
        <v>1200</v>
      </c>
      <c r="X352">
        <v>7500</v>
      </c>
      <c r="Y352">
        <f t="shared" si="63"/>
        <v>4000470</v>
      </c>
      <c r="Z352" t="str">
        <f t="shared" si="61"/>
        <v>4000470_0_1_7500,4000470_0_1_7500,4000470_0_1_7500</v>
      </c>
      <c r="AB352" t="str">
        <f t="shared" si="59"/>
        <v>40000_50753056_1_440,40000_50701055_1_1200,4000470_0_1_7500,4000470_0_1_7500,4000470_0_1_7500,30000_90003_1,30000_90002_8_10000</v>
      </c>
      <c r="AN352" t="str">
        <f t="shared" si="62"/>
        <v>30000_90003_1,30000_90002_8,40000_50753056_1,40000_50701055_1</v>
      </c>
    </row>
    <row r="353" spans="2:40">
      <c r="B353" t="s">
        <v>1029</v>
      </c>
      <c r="R353" t="str">
        <f>VLOOKUP(S353,[4]equip.xml!$A$2316:$C$2777,3,0)</f>
        <v>亏蚀项链</v>
      </c>
      <c r="S353">
        <v>50800105</v>
      </c>
      <c r="T353" t="str">
        <f>VLOOKUP(U353,[4]equip.xml!$A$2316:$C$2777,3,0)</f>
        <v>嚎风之息</v>
      </c>
      <c r="U353">
        <v>50752055</v>
      </c>
      <c r="V353">
        <v>433</v>
      </c>
      <c r="W353">
        <f t="shared" si="60"/>
        <v>1190</v>
      </c>
      <c r="X353">
        <v>7525</v>
      </c>
      <c r="Y353">
        <v>4004074</v>
      </c>
      <c r="Z353" t="str">
        <f t="shared" si="61"/>
        <v>4004074_0_1_7525,4004074_0_1_7525,4004074_0_1_7525</v>
      </c>
      <c r="AB353" t="str">
        <f t="shared" si="59"/>
        <v>40000_50800105_1_433,40000_50752055_1_1190,4004074_0_1_7525,4004074_0_1_7525,4004074_0_1_7525,30000_90003_1,30000_90002_6_10000</v>
      </c>
      <c r="AN353" t="str">
        <f t="shared" si="62"/>
        <v>30000_90003_1,30000_90002_6,40000_50800105_1,40000_50752055_1</v>
      </c>
    </row>
    <row r="354" spans="2:40">
      <c r="B354" t="s">
        <v>1022</v>
      </c>
      <c r="R354" t="str">
        <f>VLOOKUP(S354,[4]equip.xml!$A$2316:$C$2777,3,0)</f>
        <v>缚法之靴</v>
      </c>
      <c r="S354">
        <v>50800085</v>
      </c>
      <c r="T354" s="14" t="str">
        <f>VLOOKUP(U354,[4]equip.xml!$A$2316:$C$2777,3,0)</f>
        <v>上古纪事</v>
      </c>
      <c r="U354">
        <v>50803066</v>
      </c>
      <c r="V354">
        <v>426</v>
      </c>
      <c r="W354">
        <f t="shared" si="60"/>
        <v>1180</v>
      </c>
      <c r="X354">
        <v>7550</v>
      </c>
      <c r="Y354">
        <v>4004074</v>
      </c>
      <c r="Z354" t="str">
        <f t="shared" si="61"/>
        <v>4004074_0_1_7550,4004074_0_1_7550,4004074_0_1_7550</v>
      </c>
      <c r="AB354" t="str">
        <f t="shared" si="59"/>
        <v>40000_50800085_1_426,40000_50803066_1_1180,4004074_0_1_7550,4004074_0_1_7550,4004074_0_1_7550,30000_90003_1,30000_90002_6_10000</v>
      </c>
      <c r="AN354" t="str">
        <f t="shared" si="62"/>
        <v>30000_90003_1,30000_90002_6,40000_50800085_1,40000_50803066_1</v>
      </c>
    </row>
    <row r="355" spans="2:40">
      <c r="B355" t="s">
        <v>1022</v>
      </c>
      <c r="R355" t="str">
        <f>VLOOKUP(S355,[4]equip.xml!$A$2316:$C$2777,3,0)</f>
        <v>梦境护手</v>
      </c>
      <c r="S355">
        <v>50800095</v>
      </c>
      <c r="T355" t="str">
        <f>VLOOKUP(U355,[4]equip.xml!$A$2316:$C$2777,3,0)</f>
        <v>凯旋护盾</v>
      </c>
      <c r="U355">
        <v>50751065</v>
      </c>
      <c r="V355">
        <v>419</v>
      </c>
      <c r="W355">
        <f t="shared" si="60"/>
        <v>1170</v>
      </c>
      <c r="X355">
        <v>7575</v>
      </c>
      <c r="Y355">
        <v>4004074</v>
      </c>
      <c r="Z355" t="str">
        <f t="shared" si="61"/>
        <v>4004074_0_1_7575,4004074_0_1_7575,4004074_0_1_7575</v>
      </c>
      <c r="AB355" t="str">
        <f t="shared" si="59"/>
        <v>40000_50800095_1_419,40000_50751065_1_1170,4004074_0_1_7575,4004074_0_1_7575,4004074_0_1_7575,30000_90003_1,30000_90002_7_10000</v>
      </c>
      <c r="AN355" t="str">
        <f t="shared" si="62"/>
        <v>30000_90003_1,30000_90002_7,40000_50800095_1,40000_50751065_1</v>
      </c>
    </row>
    <row r="356" spans="2:40">
      <c r="B356" t="s">
        <v>1023</v>
      </c>
      <c r="R356" t="str">
        <f>VLOOKUP(S356,[4]equip.xml!$A$2316:$C$2777,3,0)</f>
        <v>迷失护腿</v>
      </c>
      <c r="S356">
        <v>50800075</v>
      </c>
      <c r="T356" t="str">
        <f>VLOOKUP(U356,[4]equip.xml!$A$2316:$C$2777,3,0)</f>
        <v>缚誓护腰</v>
      </c>
      <c r="U356">
        <v>50750035</v>
      </c>
      <c r="V356">
        <v>412</v>
      </c>
      <c r="W356">
        <f t="shared" si="60"/>
        <v>1160</v>
      </c>
      <c r="X356">
        <v>7600</v>
      </c>
      <c r="Y356">
        <v>4004074</v>
      </c>
      <c r="Z356" t="str">
        <f t="shared" si="61"/>
        <v>4004074_0_1_7600,4004074_0_1_7600,4004074_0_1_7600</v>
      </c>
      <c r="AB356" t="str">
        <f t="shared" si="59"/>
        <v>40000_50800075_1_412,40000_50750035_1_1160,4004074_0_1_7600,4004074_0_1_7600,4004074_0_1_7600,30000_90003_1,30000_90002_7_10000</v>
      </c>
      <c r="AN356" t="str">
        <f t="shared" si="62"/>
        <v>30000_90003_1,30000_90002_7,40000_50800075_1,40000_50750035_1</v>
      </c>
    </row>
    <row r="357" spans="2:40">
      <c r="B357" t="s">
        <v>1023</v>
      </c>
      <c r="R357" t="str">
        <f>VLOOKUP(S357,[4]equip.xml!$A$2316:$C$2777,3,0)</f>
        <v>联合徽记</v>
      </c>
      <c r="S357">
        <v>50800025</v>
      </c>
      <c r="T357" t="str">
        <f>VLOOKUP(U357,[4]equip.xml!$A$2316:$C$2777,3,0)</f>
        <v>尘封遗典</v>
      </c>
      <c r="U357">
        <v>50753065</v>
      </c>
      <c r="V357">
        <v>405</v>
      </c>
      <c r="W357">
        <f t="shared" si="60"/>
        <v>1150</v>
      </c>
      <c r="X357">
        <v>7625</v>
      </c>
      <c r="Y357">
        <v>4004074</v>
      </c>
      <c r="Z357" t="str">
        <f t="shared" si="61"/>
        <v>4004074_0_1_7625,4004074_0_1_7625,4004074_0_1_7625</v>
      </c>
      <c r="AB357" t="str">
        <f t="shared" si="59"/>
        <v>40000_50800025_1_405,40000_50753065_1_1150,4004074_0_1_7625,4004074_0_1_7625,4004074_0_1_7625,30000_90003_1,30000_90002_7_10000</v>
      </c>
      <c r="AN357" t="str">
        <f t="shared" si="62"/>
        <v>30000_90003_1,30000_90002_7,40000_50800025_1,40000_50753065_1</v>
      </c>
    </row>
    <row r="358" spans="2:40">
      <c r="B358" t="s">
        <v>1023</v>
      </c>
      <c r="R358" t="str">
        <f>VLOOKUP(S358,[4]equip.xml!$A$2316:$C$2777,3,0)</f>
        <v>复仇战甲</v>
      </c>
      <c r="S358">
        <v>50800045</v>
      </c>
      <c r="T358" t="str">
        <f>VLOOKUP(U358,[4]equip.xml!$A$2316:$C$2777,3,0)</f>
        <v>疾鹰箭袋</v>
      </c>
      <c r="U358">
        <v>50752065</v>
      </c>
      <c r="V358">
        <v>398</v>
      </c>
      <c r="W358">
        <f t="shared" si="60"/>
        <v>1140</v>
      </c>
      <c r="X358">
        <v>7650</v>
      </c>
      <c r="Y358">
        <v>4004074</v>
      </c>
      <c r="Z358" t="str">
        <f t="shared" si="61"/>
        <v>4004074_0_1_7650,4004074_0_1_7650,4004074_0_1_7650</v>
      </c>
      <c r="AB358" t="str">
        <f t="shared" si="59"/>
        <v>40000_50800045_1_398,40000_50752065_1_1140,4004074_0_1_7650,4004074_0_1_7650,4004074_0_1_7650,30000_90003_1,30000_90002_8_10000</v>
      </c>
      <c r="AN358" t="str">
        <f t="shared" si="62"/>
        <v>30000_90003_1,30000_90002_8,40000_50800045_1,40000_50752065_1</v>
      </c>
    </row>
    <row r="359" spans="2:40">
      <c r="B359" t="s">
        <v>1024</v>
      </c>
      <c r="R359" t="str">
        <f>VLOOKUP(S359,[4]equip.xml!$A$2316:$C$2777,3,0)</f>
        <v>怒岩腰带</v>
      </c>
      <c r="S359">
        <v>50800035</v>
      </c>
      <c r="T359" t="str">
        <f>VLOOKUP(U359,[4]equip.xml!$A$2316:$C$2777,3,0)</f>
        <v>唤海长杖</v>
      </c>
      <c r="U359">
        <v>50753055</v>
      </c>
      <c r="V359">
        <v>391</v>
      </c>
      <c r="W359">
        <f t="shared" si="60"/>
        <v>1130</v>
      </c>
      <c r="X359">
        <v>7675</v>
      </c>
      <c r="Y359">
        <v>4004074</v>
      </c>
      <c r="Z359" t="str">
        <f t="shared" si="61"/>
        <v>4004074_0_1_7675,4004074_0_1_7675,4004074_0_1_7675</v>
      </c>
      <c r="AB359" t="str">
        <f t="shared" si="59"/>
        <v>40000_50800035_1_391,40000_50753055_1_1130,4004074_0_1_7675,4004074_0_1_7675,4004074_0_1_7675,30000_90003_1,30000_90002_8_10000</v>
      </c>
      <c r="AN359" t="str">
        <f t="shared" si="62"/>
        <v>30000_90003_1,30000_90002_8,40000_50800035_1,40000_50753055_1</v>
      </c>
    </row>
    <row r="360" spans="2:40">
      <c r="B360" t="s">
        <v>1024</v>
      </c>
      <c r="R360" t="str">
        <f>VLOOKUP(S360,[4]equip.xml!$A$2316:$C$2777,3,0)</f>
        <v>浴火战盔</v>
      </c>
      <c r="S360">
        <v>50800015</v>
      </c>
      <c r="T360" t="str">
        <f>VLOOKUP(U360,[4]equip.xml!$A$2316:$C$2777,3,0)</f>
        <v>凌风之刃</v>
      </c>
      <c r="U360">
        <v>50751055</v>
      </c>
      <c r="V360">
        <v>384</v>
      </c>
      <c r="W360">
        <f t="shared" si="60"/>
        <v>1120</v>
      </c>
      <c r="X360">
        <v>7700</v>
      </c>
      <c r="Y360">
        <v>4004074</v>
      </c>
      <c r="Z360" t="str">
        <f t="shared" si="61"/>
        <v>4004074_0_1_7700,4004074_0_1_7700,4004074_0_1_7700</v>
      </c>
      <c r="AB360" t="str">
        <f t="shared" si="59"/>
        <v>40000_50800015_1_384,40000_50751055_1_1120,4004074_0_1_7700,4004074_0_1_7700,4004074_0_1_7700,30000_90003_1,30000_90002_8_10000</v>
      </c>
      <c r="AN360" t="str">
        <f t="shared" si="62"/>
        <v>30000_90003_1,30000_90002_8,40000_50800015_1,40000_50751055_1</v>
      </c>
    </row>
    <row r="361" spans="2:40">
      <c r="B361" t="s">
        <v>1024</v>
      </c>
      <c r="R361" t="str">
        <f>VLOOKUP(S361,[4]equip.xml!$A$2316:$C$2777,3,0)</f>
        <v>幻灭之杖</v>
      </c>
      <c r="S361">
        <v>50803056</v>
      </c>
      <c r="T361" t="str">
        <f>VLOOKUP(U361,[4]equip.xml!$A$2316:$C$2777,3,0)</f>
        <v>凛冬头盔</v>
      </c>
      <c r="U361">
        <v>50750015</v>
      </c>
      <c r="V361">
        <v>377</v>
      </c>
      <c r="W361">
        <f t="shared" si="60"/>
        <v>1110</v>
      </c>
      <c r="X361">
        <v>7725</v>
      </c>
      <c r="Y361">
        <v>4004074</v>
      </c>
      <c r="Z361" t="str">
        <f t="shared" si="61"/>
        <v>4004074_0_1_7725,4004074_0_1_7725,4004074_0_1_7725</v>
      </c>
      <c r="AB361" t="str">
        <f t="shared" si="59"/>
        <v>40000_50803056_1_377,40000_50750015_1_1110,4004074_0_1_7725,4004074_0_1_7725,4004074_0_1_7725,30000_90003_1,30000_90002_9_10000</v>
      </c>
      <c r="AN361" t="str">
        <f t="shared" si="62"/>
        <v>30000_90003_1,30000_90002_9,40000_50803056_1,40000_50750015_1</v>
      </c>
    </row>
    <row r="362" spans="2:40">
      <c r="B362" t="s">
        <v>1025</v>
      </c>
      <c r="R362" t="str">
        <f>VLOOKUP(S362,[4]equip.xml!$A$2316:$C$2777,3,0)</f>
        <v>漂泊者之链</v>
      </c>
      <c r="S362">
        <v>50850105</v>
      </c>
      <c r="T362" t="str">
        <f>VLOOKUP(U362,[4]equip.xml!$A$2316:$C$2777,3,0)</f>
        <v>荒原箭袋</v>
      </c>
      <c r="U362">
        <v>50802065</v>
      </c>
      <c r="V362">
        <v>370</v>
      </c>
      <c r="W362">
        <f t="shared" si="60"/>
        <v>1100</v>
      </c>
      <c r="X362">
        <v>7750</v>
      </c>
      <c r="Y362">
        <f>Y353+4</f>
        <v>4004078</v>
      </c>
      <c r="Z362" t="str">
        <f t="shared" si="61"/>
        <v>4004078_0_1_7750,4004078_0_1_7750,4004078_0_1_7750</v>
      </c>
      <c r="AB362" t="str">
        <f t="shared" si="59"/>
        <v>40000_50850105_1_370,40000_50802065_1_1100,4004078_0_1_7750,4004078_0_1_7750,4004078_0_1_7750,30000_90003_1,30000_90002_7_10000</v>
      </c>
      <c r="AN362" t="str">
        <f t="shared" si="62"/>
        <v>30000_90003_1,30000_90002_7,40000_50850105_1,40000_50802065_1</v>
      </c>
    </row>
    <row r="363" spans="2:40">
      <c r="B363" t="s">
        <v>1023</v>
      </c>
      <c r="R363" t="str">
        <f>VLOOKUP(S363,[4]equip.xml!$A$2316:$C$2777,3,0)</f>
        <v>统治长靴</v>
      </c>
      <c r="S363">
        <v>50850085</v>
      </c>
      <c r="T363" t="str">
        <f>VLOOKUP(U363,[4]equip.xml!$A$2316:$C$2777,3,0)</f>
        <v>龙骨弯弓</v>
      </c>
      <c r="U363">
        <v>50802055</v>
      </c>
      <c r="V363">
        <v>363</v>
      </c>
      <c r="W363">
        <f t="shared" si="60"/>
        <v>1090</v>
      </c>
      <c r="X363">
        <v>7775</v>
      </c>
      <c r="Y363">
        <f t="shared" ref="Y363:Y406" si="64">Y354+4</f>
        <v>4004078</v>
      </c>
      <c r="Z363" t="str">
        <f t="shared" si="61"/>
        <v>4004078_0_1_7775,4004078_0_1_7775,4004078_0_1_7775</v>
      </c>
      <c r="AB363" t="str">
        <f t="shared" si="59"/>
        <v>40000_50850085_1_363,40000_50802055_1_1090,4004078_0_1_7775,4004078_0_1_7775,4004078_0_1_7775,30000_90003_1,30000_90002_7_10000</v>
      </c>
      <c r="AN363" t="str">
        <f t="shared" si="62"/>
        <v>30000_90003_1,30000_90002_7,40000_50850085_1,40000_50802055_1</v>
      </c>
    </row>
    <row r="364" spans="2:40">
      <c r="B364" t="s">
        <v>1023</v>
      </c>
      <c r="R364" t="str">
        <f>VLOOKUP(S364,[4]equip.xml!$A$2316:$C$2777,3,0)</f>
        <v>梦魇胸甲</v>
      </c>
      <c r="S364">
        <v>50850045</v>
      </c>
      <c r="T364" t="str">
        <f>VLOOKUP(U364,[4]equip.xml!$A$2316:$C$2777,3,0)</f>
        <v>浴火战盔</v>
      </c>
      <c r="U364">
        <v>50800015</v>
      </c>
      <c r="V364">
        <v>356</v>
      </c>
      <c r="W364">
        <f t="shared" si="60"/>
        <v>1080</v>
      </c>
      <c r="X364">
        <v>7800</v>
      </c>
      <c r="Y364">
        <f t="shared" si="64"/>
        <v>4004078</v>
      </c>
      <c r="Z364" t="str">
        <f t="shared" si="61"/>
        <v>4004078_0_1_7800,4004078_0_1_7800,4004078_0_1_7800</v>
      </c>
      <c r="AB364" t="str">
        <f t="shared" si="59"/>
        <v>40000_50850045_1_356,40000_50800015_1_1080,4004078_0_1_7800,4004078_0_1_7800,4004078_0_1_7800,30000_90003_1,30000_90002_8_10000</v>
      </c>
      <c r="AN364" t="str">
        <f t="shared" si="62"/>
        <v>30000_90003_1,30000_90002_8,40000_50850045_1,40000_50800015_1</v>
      </c>
    </row>
    <row r="365" spans="2:40">
      <c r="B365" t="s">
        <v>1024</v>
      </c>
      <c r="R365" t="str">
        <f>VLOOKUP(S365,[4]equip.xml!$A$2316:$C$2777,3,0)</f>
        <v>神迹指环</v>
      </c>
      <c r="S365">
        <v>50850025</v>
      </c>
      <c r="T365" t="str">
        <f>VLOOKUP(U365,[4]equip.xml!$A$2316:$C$2777,3,0)</f>
        <v>死寂之剑</v>
      </c>
      <c r="U365">
        <v>50801055</v>
      </c>
      <c r="V365">
        <v>349</v>
      </c>
      <c r="W365">
        <f t="shared" si="60"/>
        <v>1070</v>
      </c>
      <c r="X365">
        <v>7825</v>
      </c>
      <c r="Y365">
        <f t="shared" si="64"/>
        <v>4004078</v>
      </c>
      <c r="Z365" t="str">
        <f t="shared" si="61"/>
        <v>4004078_0_1_7825,4004078_0_1_7825,4004078_0_1_7825</v>
      </c>
      <c r="AB365" t="str">
        <f t="shared" si="59"/>
        <v>40000_50850025_1_349,40000_50801055_1_1070,4004078_0_1_7825,4004078_0_1_7825,4004078_0_1_7825,30000_90003_1,30000_90002_8_10000</v>
      </c>
      <c r="AN365" t="str">
        <f t="shared" si="62"/>
        <v>30000_90003_1,30000_90002_8,40000_50850025_1,40000_50801055_1</v>
      </c>
    </row>
    <row r="366" spans="2:40">
      <c r="B366" t="s">
        <v>1024</v>
      </c>
      <c r="R366" t="str">
        <f>VLOOKUP(S366,[4]equip.xml!$A$2316:$C$2777,3,0)</f>
        <v>逝亡护腿</v>
      </c>
      <c r="S366">
        <v>50850075</v>
      </c>
      <c r="T366" t="str">
        <f>VLOOKUP(U366,[4]equip.xml!$A$2316:$C$2777,3,0)</f>
        <v>折戟之盾</v>
      </c>
      <c r="U366">
        <v>50801065</v>
      </c>
      <c r="V366">
        <v>342</v>
      </c>
      <c r="W366">
        <f t="shared" si="60"/>
        <v>1060</v>
      </c>
      <c r="X366">
        <v>7850</v>
      </c>
      <c r="Y366">
        <f t="shared" si="64"/>
        <v>4004078</v>
      </c>
      <c r="Z366" t="str">
        <f t="shared" si="61"/>
        <v>4004078_0_1_7850,4004078_0_1_7850,4004078_0_1_7850</v>
      </c>
      <c r="AB366" t="str">
        <f t="shared" si="59"/>
        <v>40000_50850075_1_342,40000_50801065_1_1060,4004078_0_1_7850,4004078_0_1_7850,4004078_0_1_7850,30000_90003_1,30000_90002_8_10000</v>
      </c>
      <c r="AN366" t="str">
        <f t="shared" si="62"/>
        <v>30000_90003_1,30000_90002_8,40000_50850075_1,40000_50801065_1</v>
      </c>
    </row>
    <row r="367" spans="2:40">
      <c r="B367" t="s">
        <v>1024</v>
      </c>
      <c r="R367" t="str">
        <f>VLOOKUP(S367,[4]equip.xml!$A$2316:$C$2777,3,0)</f>
        <v>誓烈手甲</v>
      </c>
      <c r="S367">
        <v>50850095</v>
      </c>
      <c r="T367" t="str">
        <f>VLOOKUP(U367,[4]equip.xml!$A$2316:$C$2777,3,0)</f>
        <v>显像符杖</v>
      </c>
      <c r="U367">
        <v>50803055</v>
      </c>
      <c r="V367">
        <v>335</v>
      </c>
      <c r="W367">
        <f t="shared" si="60"/>
        <v>1050</v>
      </c>
      <c r="X367">
        <v>7875</v>
      </c>
      <c r="Y367">
        <f t="shared" si="64"/>
        <v>4004078</v>
      </c>
      <c r="Z367" t="str">
        <f t="shared" si="61"/>
        <v>4004078_0_1_7875,4004078_0_1_7875,4004078_0_1_7875</v>
      </c>
      <c r="AB367" t="str">
        <f t="shared" si="59"/>
        <v>40000_50850095_1_335,40000_50803055_1_1050,4004078_0_1_7875,4004078_0_1_7875,4004078_0_1_7875,30000_90003_1,30000_90002_9_10000</v>
      </c>
      <c r="AN367" t="str">
        <f t="shared" si="62"/>
        <v>30000_90003_1,30000_90002_9,40000_50850095_1,40000_50803055_1</v>
      </c>
    </row>
    <row r="368" spans="2:40">
      <c r="B368" t="s">
        <v>1025</v>
      </c>
      <c r="R368" t="str">
        <f>VLOOKUP(S368,[4]equip.xml!$A$2316:$C$2777,3,0)</f>
        <v>低语之冠</v>
      </c>
      <c r="S368">
        <v>50850015</v>
      </c>
      <c r="T368" t="str">
        <f>VLOOKUP(U368,[4]equip.xml!$A$2316:$C$2777,3,0)</f>
        <v>王国古书</v>
      </c>
      <c r="U368">
        <v>50803065</v>
      </c>
      <c r="V368">
        <v>328</v>
      </c>
      <c r="W368">
        <f t="shared" si="60"/>
        <v>1040</v>
      </c>
      <c r="X368">
        <v>7900</v>
      </c>
      <c r="Y368">
        <f t="shared" si="64"/>
        <v>4004078</v>
      </c>
      <c r="Z368" t="str">
        <f t="shared" si="61"/>
        <v>4004078_0_1_7900,4004078_0_1_7900,4004078_0_1_7900</v>
      </c>
      <c r="AB368" t="str">
        <f t="shared" si="59"/>
        <v>40000_50850015_1_328,40000_50803065_1_1040,4004078_0_1_7900,4004078_0_1_7900,4004078_0_1_7900,30000_90003_1,30000_90002_9_10000</v>
      </c>
      <c r="AN368" t="str">
        <f t="shared" si="62"/>
        <v>30000_90003_1,30000_90002_9,40000_50850015_1,40000_50803065_1</v>
      </c>
    </row>
    <row r="369" spans="2:40">
      <c r="B369" t="s">
        <v>1025</v>
      </c>
      <c r="R369" t="str">
        <f>VLOOKUP(S369,[4]equip.xml!$A$2316:$C$2777,3,0)</f>
        <v>威严腰带</v>
      </c>
      <c r="S369">
        <v>50850035</v>
      </c>
      <c r="T369" t="str">
        <f>VLOOKUP(U369,[4]equip.xml!$A$2316:$C$2777,3,0)</f>
        <v>怒岩腰带</v>
      </c>
      <c r="U369">
        <v>50800035</v>
      </c>
      <c r="V369">
        <v>321</v>
      </c>
      <c r="W369">
        <f t="shared" ref="W369:W388" si="65">W368-10</f>
        <v>1030</v>
      </c>
      <c r="X369">
        <v>7925</v>
      </c>
      <c r="Y369">
        <f t="shared" si="64"/>
        <v>4004078</v>
      </c>
      <c r="Z369" t="str">
        <f t="shared" si="61"/>
        <v>4004078_0_1_7925,4004078_0_1_7925,4004078_0_1_7925</v>
      </c>
      <c r="AB369" t="str">
        <f t="shared" si="59"/>
        <v>40000_50850035_1_321,40000_50800035_1_1030,4004078_0_1_7925,4004078_0_1_7925,4004078_0_1_7925,30000_90003_1,30000_90002_9_10000</v>
      </c>
      <c r="AN369" t="str">
        <f t="shared" si="62"/>
        <v>30000_90003_1,30000_90002_9,40000_50850035_1,40000_50800035_1</v>
      </c>
    </row>
    <row r="370" spans="2:40">
      <c r="B370" t="s">
        <v>1025</v>
      </c>
      <c r="R370" t="str">
        <f>VLOOKUP(S370,[4]equip.xml!$A$2316:$C$2777,3,0)</f>
        <v>荒寂之杖</v>
      </c>
      <c r="S370">
        <v>50853056</v>
      </c>
      <c r="T370" s="14" t="str">
        <f>VLOOKUP(U370,[4]equip.xml!$A$2316:$C$2777,3,0)</f>
        <v>岁月之书</v>
      </c>
      <c r="U370">
        <v>50853066</v>
      </c>
      <c r="V370">
        <v>314</v>
      </c>
      <c r="W370">
        <f t="shared" si="65"/>
        <v>1020</v>
      </c>
      <c r="X370">
        <v>7950</v>
      </c>
      <c r="Y370">
        <f t="shared" si="64"/>
        <v>4004078</v>
      </c>
      <c r="Z370" t="str">
        <f t="shared" si="61"/>
        <v>4004078_0_1_7950,4004078_0_1_7950,4004078_0_1_7950</v>
      </c>
      <c r="AB370" t="str">
        <f t="shared" si="59"/>
        <v>40000_50853056_1_314,40000_50853066_1_1020,4004078_0_1_7950,4004078_0_1_7950,4004078_0_1_7950,30000_90003_1,30000_90002_10_10000</v>
      </c>
      <c r="AN370" t="str">
        <f t="shared" si="62"/>
        <v>30000_90003_1,30000_90002_10,40000_50853056_1,40000_50853066_1</v>
      </c>
    </row>
    <row r="371" spans="2:40">
      <c r="B371" t="s">
        <v>1026</v>
      </c>
      <c r="R371" t="str">
        <f>VLOOKUP(S371,[4]equip.xml!$A$2316:$C$2777,3,0)</f>
        <v>寒霜之心</v>
      </c>
      <c r="S371">
        <v>50900105</v>
      </c>
      <c r="T371" t="str">
        <f>VLOOKUP(U371,[4]equip.xml!$A$2316:$C$2777,3,0)</f>
        <v>悲鸣箭筒</v>
      </c>
      <c r="U371">
        <v>50852065</v>
      </c>
      <c r="V371">
        <v>307</v>
      </c>
      <c r="W371">
        <f t="shared" si="65"/>
        <v>1010</v>
      </c>
      <c r="X371">
        <v>7975</v>
      </c>
      <c r="Y371">
        <f t="shared" si="64"/>
        <v>4004082</v>
      </c>
      <c r="Z371" t="str">
        <f t="shared" si="61"/>
        <v>4004082_0_1_7975,4004082_0_1_7975,4004082_0_1_7975</v>
      </c>
      <c r="AB371" t="str">
        <f t="shared" si="59"/>
        <v>40000_50900105_1_307,40000_50852065_1_1010,4004082_0_1_7975,4004082_0_1_7975,4004082_0_1_7975,30000_90003_1,30000_90002_8_10000</v>
      </c>
      <c r="AN371" t="str">
        <f t="shared" si="62"/>
        <v>30000_90003_1,30000_90002_8,40000_50900105_1,40000_50852065_1</v>
      </c>
    </row>
    <row r="372" spans="2:40">
      <c r="B372" t="s">
        <v>1024</v>
      </c>
      <c r="R372" t="str">
        <f>VLOOKUP(S372,[4]equip.xml!$A$2316:$C$2777,3,0)</f>
        <v>无尽智慧指环</v>
      </c>
      <c r="S372">
        <v>50900025</v>
      </c>
      <c r="T372" t="str">
        <f>VLOOKUP(U372,[4]equip.xml!$A$2316:$C$2777,3,0)</f>
        <v>幻咒秘语</v>
      </c>
      <c r="U372">
        <v>50853065</v>
      </c>
      <c r="V372">
        <v>300</v>
      </c>
      <c r="W372">
        <f t="shared" si="65"/>
        <v>1000</v>
      </c>
      <c r="X372">
        <v>8000</v>
      </c>
      <c r="Y372">
        <f t="shared" si="64"/>
        <v>4004082</v>
      </c>
      <c r="Z372" t="str">
        <f t="shared" si="61"/>
        <v>4004082_0_1_8000,4004082_0_1_8000,4004082_0_1_8000</v>
      </c>
      <c r="AB372" t="str">
        <f t="shared" si="59"/>
        <v>40000_50900025_1_300,40000_50853065_1_1000,4004082_0_1_8000,4004082_0_1_8000,4004082_0_1_8000,30000_90003_1,30000_90002_8_10000</v>
      </c>
      <c r="AN372" t="str">
        <f t="shared" si="62"/>
        <v>30000_90003_1,30000_90002_8,40000_50900025_1,40000_50853065_1</v>
      </c>
    </row>
    <row r="373" spans="2:40">
      <c r="B373" t="s">
        <v>1024</v>
      </c>
      <c r="R373" t="str">
        <f>VLOOKUP(S373,[4]equip.xml!$A$2316:$C$2777,3,0)</f>
        <v>坚毅胸甲</v>
      </c>
      <c r="S373">
        <v>50900045</v>
      </c>
      <c r="T373" t="str">
        <f>VLOOKUP(U373,[4]equip.xml!$A$2316:$C$2777,3,0)</f>
        <v>谦逊之剑</v>
      </c>
      <c r="U373">
        <v>50851055</v>
      </c>
      <c r="V373">
        <v>293</v>
      </c>
      <c r="W373">
        <f t="shared" si="65"/>
        <v>990</v>
      </c>
      <c r="X373">
        <v>8025</v>
      </c>
      <c r="Y373">
        <f t="shared" si="64"/>
        <v>4004082</v>
      </c>
      <c r="Z373" t="str">
        <f t="shared" si="61"/>
        <v>4004082_0_1_8025,4004082_0_1_8025,4004082_0_1_8025</v>
      </c>
      <c r="AB373" t="str">
        <f t="shared" si="59"/>
        <v>40000_50900045_1_293,40000_50851055_1_990,4004082_0_1_8025,4004082_0_1_8025,4004082_0_1_8025,30000_90003_1,30000_90002_9_10000</v>
      </c>
      <c r="AN373" t="str">
        <f t="shared" si="62"/>
        <v>30000_90003_1,30000_90002_9,40000_50900045_1,40000_50851055_1</v>
      </c>
    </row>
    <row r="374" spans="2:40">
      <c r="B374" t="s">
        <v>1025</v>
      </c>
      <c r="R374" t="str">
        <f>VLOOKUP(S374,[4]equip.xml!$A$2316:$C$2777,3,0)</f>
        <v>复苏护腿</v>
      </c>
      <c r="S374">
        <v>50900075</v>
      </c>
      <c r="T374" t="str">
        <f>VLOOKUP(U374,[4]equip.xml!$A$2316:$C$2777,3,0)</f>
        <v>邪铁盾牌</v>
      </c>
      <c r="U374">
        <v>50851065</v>
      </c>
      <c r="V374">
        <v>286</v>
      </c>
      <c r="W374">
        <f t="shared" si="65"/>
        <v>980</v>
      </c>
      <c r="X374">
        <v>8050</v>
      </c>
      <c r="Y374">
        <f t="shared" si="64"/>
        <v>4004082</v>
      </c>
      <c r="Z374" t="str">
        <f t="shared" si="61"/>
        <v>4004082_0_1_8050,4004082_0_1_8050,4004082_0_1_8050</v>
      </c>
      <c r="AB374" t="str">
        <f t="shared" si="59"/>
        <v>40000_50900075_1_286,40000_50851065_1_980,4004082_0_1_8050,4004082_0_1_8050,4004082_0_1_8050,30000_90003_1,30000_90002_9_10000</v>
      </c>
      <c r="AN374" t="str">
        <f t="shared" si="62"/>
        <v>30000_90003_1,30000_90002_9,40000_50900075_1,40000_50851065_1</v>
      </c>
    </row>
    <row r="375" spans="2:40">
      <c r="B375" t="s">
        <v>1025</v>
      </c>
      <c r="R375" t="str">
        <f>VLOOKUP(S375,[4]equip.xml!$A$2316:$C$2777,3,0)</f>
        <v>秩序战靴</v>
      </c>
      <c r="S375">
        <v>50900085</v>
      </c>
      <c r="T375" t="str">
        <f>VLOOKUP(U375,[4]equip.xml!$A$2316:$C$2777,3,0)</f>
        <v>威严腰带</v>
      </c>
      <c r="U375">
        <v>50850035</v>
      </c>
      <c r="V375">
        <v>279</v>
      </c>
      <c r="W375">
        <f t="shared" si="65"/>
        <v>970</v>
      </c>
      <c r="X375">
        <v>8075</v>
      </c>
      <c r="Y375">
        <f t="shared" si="64"/>
        <v>4004082</v>
      </c>
      <c r="Z375" t="str">
        <f t="shared" si="61"/>
        <v>4004082_0_1_8075,4004082_0_1_8075,4004082_0_1_8075</v>
      </c>
      <c r="AB375" t="str">
        <f t="shared" si="59"/>
        <v>40000_50900085_1_279,40000_50850035_1_970,4004082_0_1_8075,4004082_0_1_8075,4004082_0_1_8075,30000_90003_1,30000_90002_9_10000</v>
      </c>
      <c r="AN375" t="str">
        <f t="shared" si="62"/>
        <v>30000_90003_1,30000_90002_9,40000_50900085_1,40000_50850035_1</v>
      </c>
    </row>
    <row r="376" spans="2:40">
      <c r="B376" t="s">
        <v>1025</v>
      </c>
      <c r="R376" t="str">
        <f>VLOOKUP(S376,[4]equip.xml!$A$2316:$C$2777,3,0)</f>
        <v>超载护手</v>
      </c>
      <c r="S376">
        <v>50900095</v>
      </c>
      <c r="T376" t="str">
        <f>VLOOKUP(U376,[4]equip.xml!$A$2316:$C$2777,3,0)</f>
        <v>低语之冠</v>
      </c>
      <c r="U376">
        <v>50850015</v>
      </c>
      <c r="V376">
        <v>272</v>
      </c>
      <c r="W376">
        <f t="shared" si="65"/>
        <v>960</v>
      </c>
      <c r="X376">
        <v>8100</v>
      </c>
      <c r="Y376">
        <f t="shared" si="64"/>
        <v>4004082</v>
      </c>
      <c r="Z376" t="str">
        <f t="shared" si="61"/>
        <v>4004082_0_1_8100,4004082_0_1_8100,4004082_0_1_8100</v>
      </c>
      <c r="AB376" t="str">
        <f t="shared" si="59"/>
        <v>40000_50900095_1_272,40000_50850015_1_960,4004082_0_1_8100,4004082_0_1_8100,4004082_0_1_8100,30000_90003_1,30000_90002_10_10000</v>
      </c>
      <c r="AN376" t="str">
        <f t="shared" si="62"/>
        <v>30000_90003_1,30000_90002_10,40000_50900095_1,40000_50850015_1</v>
      </c>
    </row>
    <row r="377" spans="2:40">
      <c r="B377" t="s">
        <v>1026</v>
      </c>
      <c r="R377" t="str">
        <f>VLOOKUP(S377,[4]equip.xml!$A$2316:$C$2777,3,0)</f>
        <v>风暴之冠</v>
      </c>
      <c r="S377">
        <v>50900015</v>
      </c>
      <c r="T377" t="str">
        <f>VLOOKUP(U377,[4]equip.xml!$A$2316:$C$2777,3,0)</f>
        <v>归还法杖</v>
      </c>
      <c r="U377">
        <v>50853055</v>
      </c>
      <c r="V377">
        <v>265</v>
      </c>
      <c r="W377">
        <f t="shared" si="65"/>
        <v>950</v>
      </c>
      <c r="X377">
        <v>8125</v>
      </c>
      <c r="Y377">
        <f t="shared" si="64"/>
        <v>4004082</v>
      </c>
      <c r="Z377" t="str">
        <f t="shared" si="61"/>
        <v>4004082_0_1_8125,4004082_0_1_8125,4004082_0_1_8125</v>
      </c>
      <c r="AB377" t="str">
        <f t="shared" si="59"/>
        <v>40000_50900015_1_265,40000_50853055_1_950,4004082_0_1_8125,4004082_0_1_8125,4004082_0_1_8125,30000_90003_1,30000_90002_10_10000</v>
      </c>
      <c r="AN377" t="str">
        <f t="shared" si="62"/>
        <v>30000_90003_1,30000_90002_10,40000_50900015_1,40000_50853055_1</v>
      </c>
    </row>
    <row r="378" spans="2:40">
      <c r="B378" t="s">
        <v>1026</v>
      </c>
      <c r="R378" t="str">
        <f>VLOOKUP(S378,[4]equip.xml!$A$2316:$C$2777,3,0)</f>
        <v>丰饶腰带</v>
      </c>
      <c r="S378">
        <v>50900035</v>
      </c>
      <c r="T378" t="str">
        <f>VLOOKUP(U378,[4]equip.xml!$A$2316:$C$2777,3,0)</f>
        <v>悔恨长弓</v>
      </c>
      <c r="U378">
        <v>50852055</v>
      </c>
      <c r="V378">
        <v>258</v>
      </c>
      <c r="W378">
        <f t="shared" si="65"/>
        <v>940</v>
      </c>
      <c r="X378">
        <v>8150</v>
      </c>
      <c r="Y378">
        <f t="shared" si="64"/>
        <v>4004082</v>
      </c>
      <c r="Z378" t="str">
        <f t="shared" si="61"/>
        <v>4004082_0_1_8150,4004082_0_1_8150,4004082_0_1_8150</v>
      </c>
      <c r="AB378" t="str">
        <f t="shared" si="59"/>
        <v>40000_50900035_1_258,40000_50852055_1_940,4004082_0_1_8150,4004082_0_1_8150,4004082_0_1_8150,30000_90003_1,30000_90002_10_10000</v>
      </c>
      <c r="AN378" t="str">
        <f t="shared" si="62"/>
        <v>30000_90003_1,30000_90002_10,40000_50900035_1,40000_50852055_1</v>
      </c>
    </row>
    <row r="379" spans="2:40">
      <c r="B379" t="s">
        <v>1026</v>
      </c>
      <c r="R379" t="str">
        <f>VLOOKUP(S379,[4]equip.xml!$A$2316:$C$2777,3,0)</f>
        <v>观察者之杖</v>
      </c>
      <c r="S379">
        <v>50903055</v>
      </c>
      <c r="T379" s="14" t="str">
        <f>VLOOKUP(U379,[4]equip.xml!$A$2316:$C$2777,3,0)</f>
        <v>星界之书</v>
      </c>
      <c r="U379">
        <v>50903066</v>
      </c>
      <c r="V379">
        <v>251</v>
      </c>
      <c r="W379">
        <f t="shared" si="65"/>
        <v>930</v>
      </c>
      <c r="X379">
        <v>8175</v>
      </c>
      <c r="Y379">
        <f t="shared" si="64"/>
        <v>4004082</v>
      </c>
      <c r="Z379" t="str">
        <f t="shared" si="61"/>
        <v>4004082_0_1_8175,4004082_0_1_8175,4004082_0_1_8175</v>
      </c>
      <c r="AB379" t="str">
        <f t="shared" si="59"/>
        <v>40000_50903055_1_251,40000_50903066_1_930,4004082_0_1_8175,4004082_0_1_8175,4004082_0_1_8175,30000_90003_1,30000_90002_11_10000</v>
      </c>
      <c r="AN379" t="str">
        <f t="shared" si="62"/>
        <v>30000_90003_1,30000_90002_11,40000_50903055_1,40000_50903066_1</v>
      </c>
    </row>
    <row r="380" spans="2:40">
      <c r="B380" t="s">
        <v>1027</v>
      </c>
      <c r="R380" t="str">
        <f>VLOOKUP(S380,[4]equip.xml!$A$2316:$C$2777,3,0)</f>
        <v>寒霜之心</v>
      </c>
      <c r="S380">
        <v>50900105</v>
      </c>
      <c r="T380" t="str">
        <f>VLOOKUP(U380,[4]equip.xml!$A$2316:$C$2777,3,0)</f>
        <v>破晓之弓</v>
      </c>
      <c r="U380">
        <v>50902055</v>
      </c>
      <c r="V380">
        <v>244</v>
      </c>
      <c r="W380">
        <f t="shared" si="65"/>
        <v>920</v>
      </c>
      <c r="X380">
        <v>8200</v>
      </c>
      <c r="Y380">
        <f t="shared" si="64"/>
        <v>4004086</v>
      </c>
      <c r="Z380" t="str">
        <f t="shared" si="61"/>
        <v>4004086_0_1_8200,4004086_0_1_8200,4004086_0_1_8200</v>
      </c>
      <c r="AB380" t="str">
        <f t="shared" si="59"/>
        <v>40000_50900105_1_244,40000_50902055_1_920,4004086_0_1_8200,4004086_0_1_8200,4004086_0_1_8200,30000_90003_1,30000_90002_9_10000</v>
      </c>
      <c r="AN380" t="str">
        <f t="shared" si="62"/>
        <v>30000_90003_1,30000_90002_9,40000_50900105_1,40000_50902055_1</v>
      </c>
    </row>
    <row r="381" spans="2:40">
      <c r="B381" t="s">
        <v>1025</v>
      </c>
      <c r="R381" t="str">
        <f>VLOOKUP(S381,[4]equip.xml!$A$2316:$C$2777,3,0)</f>
        <v>无尽智慧指环</v>
      </c>
      <c r="S381">
        <v>50900025</v>
      </c>
      <c r="T381" t="str">
        <f>VLOOKUP(U381,[4]equip.xml!$A$2316:$C$2777,3,0)</f>
        <v>丰饶腰带</v>
      </c>
      <c r="U381">
        <v>50900035</v>
      </c>
      <c r="V381">
        <v>237</v>
      </c>
      <c r="W381">
        <f t="shared" si="65"/>
        <v>910</v>
      </c>
      <c r="X381">
        <v>8225</v>
      </c>
      <c r="Y381">
        <f t="shared" si="64"/>
        <v>4004086</v>
      </c>
      <c r="Z381" t="str">
        <f t="shared" si="61"/>
        <v>4004086_0_1_8225,4004086_0_1_8225,4004086_0_1_8225</v>
      </c>
      <c r="AB381" t="str">
        <f t="shared" si="59"/>
        <v>40000_50900025_1_237,40000_50900035_1_910,4004086_0_1_8225,4004086_0_1_8225,4004086_0_1_8225,30000_90003_1,30000_90002_9_10000</v>
      </c>
      <c r="AN381" t="str">
        <f t="shared" si="62"/>
        <v>30000_90003_1,30000_90002_9,40000_50900025_1,40000_50900035_1</v>
      </c>
    </row>
    <row r="382" spans="2:40">
      <c r="B382" t="s">
        <v>1025</v>
      </c>
      <c r="R382" t="str">
        <f>VLOOKUP(S382,[4]equip.xml!$A$2316:$C$2777,3,0)</f>
        <v>群山之拥</v>
      </c>
      <c r="S382">
        <v>50900046</v>
      </c>
      <c r="T382" t="str">
        <f>VLOOKUP(U382,[4]equip.xml!$A$2316:$C$2777,3,0)</f>
        <v>灵痕箭袋</v>
      </c>
      <c r="U382">
        <v>50902065</v>
      </c>
      <c r="V382">
        <v>230</v>
      </c>
      <c r="W382">
        <f t="shared" si="65"/>
        <v>900</v>
      </c>
      <c r="X382">
        <v>8250</v>
      </c>
      <c r="Y382">
        <f t="shared" si="64"/>
        <v>4004086</v>
      </c>
      <c r="Z382" t="str">
        <f t="shared" si="61"/>
        <v>4004086_0_1_8250,4004086_0_1_8250,4004086_0_1_8250</v>
      </c>
      <c r="AB382" t="str">
        <f t="shared" si="59"/>
        <v>40000_50900046_1_230,40000_50902065_1_900,4004086_0_1_8250,4004086_0_1_8250,4004086_0_1_8250,30000_90003_1,30000_90002_10_10000</v>
      </c>
      <c r="AN382" t="str">
        <f t="shared" si="62"/>
        <v>30000_90003_1,30000_90002_10,40000_50900046_1,40000_50902065_1</v>
      </c>
    </row>
    <row r="383" spans="2:40">
      <c r="B383" t="s">
        <v>1026</v>
      </c>
      <c r="R383" t="str">
        <f>VLOOKUP(S383,[4]equip.xml!$A$2316:$C$2777,3,0)</f>
        <v>虔信腿甲</v>
      </c>
      <c r="S383">
        <v>50900076</v>
      </c>
      <c r="T383" t="str">
        <f>VLOOKUP(U383,[4]equip.xml!$A$2316:$C$2777,3,0)</f>
        <v>湮灭之剑</v>
      </c>
      <c r="U383">
        <v>50901055</v>
      </c>
      <c r="V383">
        <v>223</v>
      </c>
      <c r="W383">
        <f t="shared" si="65"/>
        <v>890</v>
      </c>
      <c r="X383">
        <v>8275</v>
      </c>
      <c r="Y383">
        <f t="shared" si="64"/>
        <v>4004086</v>
      </c>
      <c r="Z383" t="str">
        <f t="shared" si="61"/>
        <v>4004086_0_1_8275,4004086_0_1_8275,4004086_0_1_8275</v>
      </c>
      <c r="AB383" t="str">
        <f t="shared" si="59"/>
        <v>40000_50900076_1_223,40000_50901055_1_890,4004086_0_1_8275,4004086_0_1_8275,4004086_0_1_8275,30000_90003_1,30000_90002_10_10000</v>
      </c>
      <c r="AN383" t="str">
        <f t="shared" si="62"/>
        <v>30000_90003_1,30000_90002_10,40000_50900076_1,40000_50901055_1</v>
      </c>
    </row>
    <row r="384" spans="2:40">
      <c r="B384" t="s">
        <v>1026</v>
      </c>
      <c r="R384" t="str">
        <f>VLOOKUP(S384,[4]equip.xml!$A$2316:$C$2777,3,0)</f>
        <v>秩序战靴</v>
      </c>
      <c r="S384">
        <v>50900085</v>
      </c>
      <c r="T384" t="str">
        <f>VLOOKUP(U384,[4]equip.xml!$A$2316:$C$2777,3,0)</f>
        <v>灾祸之盾</v>
      </c>
      <c r="U384">
        <v>50901065</v>
      </c>
      <c r="V384">
        <v>216</v>
      </c>
      <c r="W384">
        <f t="shared" si="65"/>
        <v>880</v>
      </c>
      <c r="X384">
        <v>8300</v>
      </c>
      <c r="Y384">
        <f t="shared" si="64"/>
        <v>4004086</v>
      </c>
      <c r="Z384" t="str">
        <f t="shared" si="61"/>
        <v>4004086_0_1_8300,4004086_0_1_8300,4004086_0_1_8300</v>
      </c>
      <c r="AB384" t="str">
        <f t="shared" si="59"/>
        <v>40000_50900085_1_216,40000_50901065_1_880,4004086_0_1_8300,4004086_0_1_8300,4004086_0_1_8300,30000_90003_1,30000_90002_10_10000</v>
      </c>
      <c r="AN384" t="str">
        <f t="shared" si="62"/>
        <v>30000_90003_1,30000_90002_10,40000_50900085_1,40000_50901065_1</v>
      </c>
    </row>
    <row r="385" spans="2:40">
      <c r="B385" t="s">
        <v>1026</v>
      </c>
      <c r="R385" t="str">
        <f>VLOOKUP(S385,[4]equip.xml!$A$2316:$C$2777,3,0)</f>
        <v>超载护手</v>
      </c>
      <c r="S385">
        <v>50900095</v>
      </c>
      <c r="T385" t="str">
        <f>VLOOKUP(U385,[4]equip.xml!$A$2316:$C$2777,3,0)</f>
        <v>风暴之冠</v>
      </c>
      <c r="U385">
        <v>50900015</v>
      </c>
      <c r="V385">
        <v>209</v>
      </c>
      <c r="W385">
        <f t="shared" si="65"/>
        <v>870</v>
      </c>
      <c r="X385">
        <v>8325</v>
      </c>
      <c r="Y385">
        <f t="shared" si="64"/>
        <v>4004086</v>
      </c>
      <c r="Z385" t="str">
        <f t="shared" si="61"/>
        <v>4004086_0_1_8325,4004086_0_1_8325,4004086_0_1_8325</v>
      </c>
      <c r="AB385" t="str">
        <f t="shared" si="59"/>
        <v>40000_50900095_1_209,40000_50900015_1_870,4004086_0_1_8325,4004086_0_1_8325,4004086_0_1_8325,30000_90003_1,30000_90002_11_10000</v>
      </c>
      <c r="AN385" t="str">
        <f t="shared" si="62"/>
        <v>30000_90003_1,30000_90002_11,40000_50900095_1,40000_50900015_1</v>
      </c>
    </row>
    <row r="386" spans="2:40">
      <c r="B386" t="s">
        <v>1027</v>
      </c>
      <c r="R386" t="str">
        <f>VLOOKUP(S386,[4]equip.xml!$A$2316:$C$2777,3,0)</f>
        <v>风暴之冠</v>
      </c>
      <c r="S386">
        <v>50900015</v>
      </c>
      <c r="T386" s="14" t="str">
        <f>VLOOKUP(U386,[4]equip.xml!$A$2316:$C$2777,3,0)</f>
        <v>云河指南</v>
      </c>
      <c r="U386">
        <v>50903065</v>
      </c>
      <c r="V386">
        <v>202</v>
      </c>
      <c r="W386">
        <f t="shared" si="65"/>
        <v>860</v>
      </c>
      <c r="X386">
        <v>8350</v>
      </c>
      <c r="Y386">
        <f t="shared" si="64"/>
        <v>4004086</v>
      </c>
      <c r="Z386" t="str">
        <f t="shared" si="61"/>
        <v>4004086_0_1_8350,4004086_0_1_8350,4004086_0_1_8350</v>
      </c>
      <c r="AB386" t="str">
        <f t="shared" si="59"/>
        <v>40000_50900015_1_202,40000_50903065_1_860,4004086_0_1_8350,4004086_0_1_8350,4004086_0_1_8350,30000_90003_1,30000_90002_11_10000</v>
      </c>
      <c r="AN386" t="str">
        <f t="shared" si="62"/>
        <v>30000_90003_1,30000_90002_11,40000_50900015_1,40000_50903065_1</v>
      </c>
    </row>
    <row r="387" spans="2:40">
      <c r="B387" t="s">
        <v>1027</v>
      </c>
      <c r="R387" t="str">
        <f>VLOOKUP(S387,[4]equip.xml!$A$2316:$C$2777,3,0)</f>
        <v>丰饶腰带</v>
      </c>
      <c r="S387">
        <v>50900035</v>
      </c>
      <c r="T387" t="str">
        <f>VLOOKUP(U387,[4]equip.xml!$A$2316:$C$2777,3,0)</f>
        <v>观察者之杖</v>
      </c>
      <c r="U387">
        <v>50903055</v>
      </c>
      <c r="V387">
        <v>195</v>
      </c>
      <c r="W387">
        <f t="shared" si="65"/>
        <v>850</v>
      </c>
      <c r="X387">
        <v>8375</v>
      </c>
      <c r="Y387">
        <f t="shared" si="64"/>
        <v>4004086</v>
      </c>
      <c r="Z387" t="str">
        <f t="shared" si="61"/>
        <v>4004086_0_1_8375,4004086_0_1_8375,4004086_0_1_8375</v>
      </c>
      <c r="AB387" t="str">
        <f t="shared" ref="AB387:AB406" si="66">"40000_"&amp;S387&amp;"_1_"&amp;V387&amp;","&amp;"40000_"&amp;U387&amp;"_1_"&amp;W387&amp;","&amp;Z387&amp;","&amp;B397&amp;"_10000"</f>
        <v>40000_50900035_1_195,40000_50903055_1_850,4004086_0_1_8375,4004086_0_1_8375,4004086_0_1_8375,30000_90003_1,30000_90002_11_10000</v>
      </c>
      <c r="AN387" t="str">
        <f t="shared" si="62"/>
        <v>30000_90003_1,30000_90002_11,40000_50900035_1,40000_50903055_1</v>
      </c>
    </row>
    <row r="388" spans="2:40">
      <c r="B388" t="s">
        <v>1027</v>
      </c>
      <c r="R388" t="str">
        <f>VLOOKUP(S388,[4]equip.xml!$A$2316:$C$2777,3,0)</f>
        <v>星辰权杖</v>
      </c>
      <c r="S388">
        <v>50903056</v>
      </c>
      <c r="T388" t="str">
        <f>VLOOKUP(U388,[4]equip.xml!$A$2316:$C$2777,3,0)</f>
        <v>云河指南</v>
      </c>
      <c r="U388">
        <v>50903065</v>
      </c>
      <c r="V388">
        <v>188</v>
      </c>
      <c r="W388">
        <f t="shared" si="65"/>
        <v>840</v>
      </c>
      <c r="X388">
        <v>8400</v>
      </c>
      <c r="Y388">
        <f t="shared" si="64"/>
        <v>4004086</v>
      </c>
      <c r="Z388" t="str">
        <f t="shared" si="61"/>
        <v>4004086_0_1_8400,4004086_0_1_8400,4004086_0_1_8400</v>
      </c>
      <c r="AB388" t="str">
        <f t="shared" si="66"/>
        <v>40000_50903056_1_188,40000_50903065_1_840,4004086_0_1_8400,4004086_0_1_8400,4004086_0_1_8400,30000_90003_1,30000_90002_12_10000</v>
      </c>
      <c r="AN388" t="str">
        <f t="shared" si="62"/>
        <v>30000_90003_1,30000_90002_12,40000_50903056_1,40000_50903065_1</v>
      </c>
    </row>
    <row r="389" spans="2:40">
      <c r="B389" t="s">
        <v>1028</v>
      </c>
      <c r="R389" t="str">
        <f>VLOOKUP(S389,[4]equip.xml!$A$2316:$C$2777,3,0)</f>
        <v>圣灵之佑</v>
      </c>
      <c r="S389">
        <v>50950105</v>
      </c>
      <c r="T389" t="str">
        <f>VLOOKUP(U389,[4]equip.xml!$A$2316:$C$2777,3,0)</f>
        <v>魂铸头盔</v>
      </c>
      <c r="U389">
        <v>50950015</v>
      </c>
      <c r="V389">
        <v>0</v>
      </c>
      <c r="W389">
        <v>0</v>
      </c>
      <c r="X389">
        <v>8425</v>
      </c>
      <c r="Y389">
        <f t="shared" si="64"/>
        <v>4004090</v>
      </c>
      <c r="Z389" t="str">
        <f t="shared" si="61"/>
        <v>4004090_0_1_8425,4004090_0_1_8425,4004090_0_1_8425</v>
      </c>
      <c r="AB389" t="str">
        <f t="shared" si="66"/>
        <v>40000_50950105_1_0,40000_50950015_1_0,4004090_0_1_8425,4004090_0_1_8425,4004090_0_1_8425,30000_90004_1,30000_90003_1,30000_90002_2_10000</v>
      </c>
      <c r="AN389" t="str">
        <f t="shared" si="62"/>
        <v>30000_90004_1,30000_90003_1,30000_90002_2,40000_50950105_1,40000_50950015_1</v>
      </c>
    </row>
    <row r="390" spans="2:40">
      <c r="B390" t="s">
        <v>1026</v>
      </c>
      <c r="R390" t="str">
        <f>VLOOKUP(S390,[4]equip.xml!$A$2316:$C$2777,3,0)</f>
        <v>云霄之环</v>
      </c>
      <c r="S390">
        <v>50950025</v>
      </c>
      <c r="T390" t="str">
        <f>VLOOKUP(U390,[4]equip.xml!$A$2316:$C$2777,3,0)</f>
        <v>灵魂之弦</v>
      </c>
      <c r="U390">
        <v>50952055</v>
      </c>
      <c r="V390">
        <v>0</v>
      </c>
      <c r="W390">
        <v>0</v>
      </c>
      <c r="X390">
        <v>8450</v>
      </c>
      <c r="Y390">
        <f t="shared" si="64"/>
        <v>4004090</v>
      </c>
      <c r="Z390" t="str">
        <f t="shared" si="61"/>
        <v>4004090_0_1_8450,4004090_0_1_8450,4004090_0_1_8450</v>
      </c>
      <c r="AB390" t="str">
        <f t="shared" si="66"/>
        <v>40000_50950025_1_0,40000_50952055_1_0,4004090_0_1_8450,4004090_0_1_8450,4004090_0_1_8450,30000_90004_1,30000_90003_1,30000_90002_2_10000</v>
      </c>
      <c r="AN390" t="str">
        <f t="shared" si="62"/>
        <v>30000_90004_1,30000_90003_1,30000_90002_2,40000_50950025_1,40000_50952055_1</v>
      </c>
    </row>
    <row r="391" spans="2:40">
      <c r="B391" t="s">
        <v>1026</v>
      </c>
      <c r="R391" t="str">
        <f>VLOOKUP(S391,[4]equip.xml!$A$2316:$C$2777,3,0)</f>
        <v>诸王战铠</v>
      </c>
      <c r="S391">
        <v>50950046</v>
      </c>
      <c r="T391" t="str">
        <f>VLOOKUP(U391,[4]equip.xml!$A$2316:$C$2777,3,0)</f>
        <v>魂织箭袋</v>
      </c>
      <c r="U391">
        <v>50952065</v>
      </c>
      <c r="V391">
        <v>0</v>
      </c>
      <c r="W391">
        <v>0</v>
      </c>
      <c r="X391">
        <v>8475</v>
      </c>
      <c r="Y391">
        <f t="shared" si="64"/>
        <v>4004090</v>
      </c>
      <c r="Z391" t="str">
        <f t="shared" si="61"/>
        <v>4004090_0_1_8475,4004090_0_1_8475,4004090_0_1_8475</v>
      </c>
      <c r="AB391" t="str">
        <f t="shared" si="66"/>
        <v>40000_50950046_1_0,40000_50952065_1_0,4004090_0_1_8475,4004090_0_1_8475,4004090_0_1_8475,30000_90004_1,30000_90003_1,30000_90002_3_10000</v>
      </c>
      <c r="AN391" t="str">
        <f t="shared" si="62"/>
        <v>30000_90004_1,30000_90003_1,30000_90002_3,40000_50950046_1,40000_50952065_1</v>
      </c>
    </row>
    <row r="392" spans="2:40">
      <c r="B392" t="s">
        <v>1027</v>
      </c>
      <c r="R392" t="str">
        <f>VLOOKUP(S392,[4]equip.xml!$A$2316:$C$2777,3,0)</f>
        <v>不朽护腿</v>
      </c>
      <c r="S392">
        <v>50950076</v>
      </c>
      <c r="T392" t="str">
        <f>VLOOKUP(U392,[4]equip.xml!$A$2316:$C$2777,3,0)</f>
        <v>破天者腰带</v>
      </c>
      <c r="U392">
        <v>50950035</v>
      </c>
      <c r="V392">
        <v>0</v>
      </c>
      <c r="W392">
        <v>0</v>
      </c>
      <c r="X392">
        <v>8500</v>
      </c>
      <c r="Y392">
        <f t="shared" si="64"/>
        <v>4004090</v>
      </c>
      <c r="Z392" t="str">
        <f t="shared" si="61"/>
        <v>4004090_0_1_8500,4004090_0_1_8500,4004090_0_1_8500</v>
      </c>
      <c r="AB392" t="str">
        <f t="shared" si="66"/>
        <v>40000_50950076_1_0,40000_50950035_1_0,4004090_0_1_8500,4004090_0_1_8500,4004090_0_1_8500,30000_90004_1,30000_90003_1,30000_90002_3_10000</v>
      </c>
      <c r="AN392" t="str">
        <f t="shared" si="62"/>
        <v>30000_90004_1,30000_90003_1,30000_90002_3,40000_50950076_1,40000_50950035_1</v>
      </c>
    </row>
    <row r="393" spans="2:40">
      <c r="B393" t="s">
        <v>1027</v>
      </c>
      <c r="R393" t="str">
        <f>VLOOKUP(S393,[4]equip.xml!$A$2316:$C$2777,3,0)</f>
        <v>圣洁怒火之靴</v>
      </c>
      <c r="S393">
        <v>50950085</v>
      </c>
      <c r="T393" t="str">
        <f>VLOOKUP(U393,[4]equip.xml!$A$2316:$C$2777,3,0)</f>
        <v>聚能魔典</v>
      </c>
      <c r="U393">
        <v>50953065</v>
      </c>
      <c r="V393">
        <v>0</v>
      </c>
      <c r="W393">
        <v>0</v>
      </c>
      <c r="X393">
        <v>8525</v>
      </c>
      <c r="Y393">
        <f t="shared" si="64"/>
        <v>4004090</v>
      </c>
      <c r="Z393" t="str">
        <f t="shared" si="61"/>
        <v>4004090_0_1_8525,4004090_0_1_8525,4004090_0_1_8525</v>
      </c>
      <c r="AB393" t="str">
        <f t="shared" si="66"/>
        <v>40000_50950085_1_0,40000_50953065_1_0,4004090_0_1_8525,4004090_0_1_8525,4004090_0_1_8525,30000_90004_1,30000_90003_1,30000_90002_3_10000</v>
      </c>
      <c r="AN393" t="str">
        <f t="shared" si="62"/>
        <v>30000_90004_1,30000_90003_1,30000_90002_3,40000_50950085_1,40000_50953065_1</v>
      </c>
    </row>
    <row r="394" spans="2:40">
      <c r="B394" t="s">
        <v>1027</v>
      </c>
      <c r="R394" t="str">
        <f>VLOOKUP(S394,[4]equip.xml!$A$2316:$C$2777,3,0)</f>
        <v>破灭之手</v>
      </c>
      <c r="S394">
        <v>50950095</v>
      </c>
      <c r="T394" t="str">
        <f>VLOOKUP(U394,[4]equip.xml!$A$2316:$C$2777,3,0)</f>
        <v>云颠之剑</v>
      </c>
      <c r="U394">
        <v>50951055</v>
      </c>
      <c r="V394">
        <v>0</v>
      </c>
      <c r="W394">
        <v>0</v>
      </c>
      <c r="X394">
        <v>8550</v>
      </c>
      <c r="Y394">
        <f t="shared" si="64"/>
        <v>4004090</v>
      </c>
      <c r="Z394" t="str">
        <f t="shared" si="61"/>
        <v>4004090_0_1_8550,4004090_0_1_8550,4004090_0_1_8550</v>
      </c>
      <c r="AB394" t="str">
        <f t="shared" si="66"/>
        <v>40000_50950095_1_0,40000_50951055_1_0,4004090_0_1_8550,4004090_0_1_8550,4004090_0_1_8550,30000_90004_1,30000_90003_1,30000_90002_4_10000</v>
      </c>
      <c r="AN394" t="str">
        <f t="shared" si="62"/>
        <v>30000_90004_1,30000_90003_1,30000_90002_4,40000_50950095_1,40000_50951055_1</v>
      </c>
    </row>
    <row r="395" spans="2:40">
      <c r="B395" t="s">
        <v>1028</v>
      </c>
      <c r="R395" t="str">
        <f>VLOOKUP(S395,[4]equip.xml!$A$2316:$C$2777,3,0)</f>
        <v>魂铸头盔</v>
      </c>
      <c r="S395">
        <v>50950015</v>
      </c>
      <c r="T395" s="14" t="str">
        <f>VLOOKUP(U395,[4]equip.xml!$A$2316:$C$2777,3,0)</f>
        <v>聚能魔典</v>
      </c>
      <c r="U395">
        <v>50953065</v>
      </c>
      <c r="V395">
        <v>0</v>
      </c>
      <c r="W395">
        <v>0</v>
      </c>
      <c r="X395">
        <v>8575</v>
      </c>
      <c r="Y395">
        <f t="shared" si="64"/>
        <v>4004090</v>
      </c>
      <c r="Z395" t="str">
        <f t="shared" si="61"/>
        <v>4004090_0_1_8575,4004090_0_1_8575,4004090_0_1_8575</v>
      </c>
      <c r="AB395" t="str">
        <f t="shared" si="66"/>
        <v>40000_50950015_1_0,40000_50953065_1_0,4004090_0_1_8575,4004090_0_1_8575,4004090_0_1_8575,30000_90004_1,30000_90003_1,30000_90002_4_10000</v>
      </c>
      <c r="AN395" t="str">
        <f t="shared" si="62"/>
        <v>30000_90004_1,30000_90003_1,30000_90002_4,40000_50950015_1,40000_50953065_1</v>
      </c>
    </row>
    <row r="396" spans="2:40">
      <c r="B396" t="s">
        <v>1028</v>
      </c>
      <c r="R396" t="str">
        <f>VLOOKUP(S396,[4]equip.xml!$A$2316:$C$2777,3,0)</f>
        <v>破天者腰带</v>
      </c>
      <c r="S396">
        <v>50950035</v>
      </c>
      <c r="T396" t="str">
        <f>VLOOKUP(U396,[4]equip.xml!$A$2316:$C$2777,3,0)</f>
        <v>歼灭之杖</v>
      </c>
      <c r="U396">
        <v>50953055</v>
      </c>
      <c r="V396">
        <v>0</v>
      </c>
      <c r="W396">
        <v>0</v>
      </c>
      <c r="X396">
        <v>8600</v>
      </c>
      <c r="Y396">
        <f t="shared" si="64"/>
        <v>4004090</v>
      </c>
      <c r="Z396" t="str">
        <f t="shared" si="61"/>
        <v>4004090_0_1_8600,4004090_0_1_8600,4004090_0_1_8600</v>
      </c>
      <c r="AB396" t="str">
        <f t="shared" si="66"/>
        <v>40000_50950035_1_0,40000_50953055_1_0,4004090_0_1_8600,4004090_0_1_8600,4004090_0_1_8600,30000_90004_1,30000_90003_1,30000_90002_4_10000</v>
      </c>
      <c r="AN396" t="str">
        <f t="shared" si="62"/>
        <v>30000_90004_1,30000_90003_1,30000_90002_4,40000_50950035_1,40000_50953055_1</v>
      </c>
    </row>
    <row r="397" spans="2:40">
      <c r="B397" t="s">
        <v>1028</v>
      </c>
      <c r="R397" t="str">
        <f>VLOOKUP(S397,[4]equip.xml!$A$2316:$C$2777,3,0)</f>
        <v>末日降临</v>
      </c>
      <c r="S397">
        <v>50953056</v>
      </c>
      <c r="T397" t="str">
        <f>VLOOKUP(U397,[4]equip.xml!$A$2316:$C$2777,3,0)</f>
        <v>聚能魔典</v>
      </c>
      <c r="U397">
        <v>50953065</v>
      </c>
      <c r="V397">
        <v>0</v>
      </c>
      <c r="W397">
        <v>0</v>
      </c>
      <c r="X397">
        <v>8625</v>
      </c>
      <c r="Y397">
        <f t="shared" si="64"/>
        <v>4004090</v>
      </c>
      <c r="Z397" t="str">
        <f t="shared" si="61"/>
        <v>4004090_0_1_8625,4004090_0_1_8625,4004090_0_1_8625</v>
      </c>
      <c r="AB397" t="str">
        <f t="shared" si="66"/>
        <v>40000_50953056_1_0,40000_50953065_1_0,4004090_0_1_8625,4004090_0_1_8625,4004090_0_1_8625,30000_90004_1,30000_90003_1,30000_90002_5_10000</v>
      </c>
      <c r="AN397" t="str">
        <f t="shared" si="62"/>
        <v>30000_90004_1,30000_90003_1,30000_90002_5,40000_50953056_1,40000_50953065_1</v>
      </c>
    </row>
    <row r="398" spans="2:40">
      <c r="B398" t="s">
        <v>1029</v>
      </c>
      <c r="R398" t="str">
        <f>VLOOKUP(S398,[4]equip.xml!$A$2316:$C$2777,3,0)</f>
        <v>永志不渝</v>
      </c>
      <c r="S398">
        <v>51000105</v>
      </c>
      <c r="T398" t="str">
        <f>VLOOKUP(U398,[4]equip.xml!$A$2316:$C$2777,3,0)</f>
        <v>天灾统领</v>
      </c>
      <c r="U398">
        <v>51000015</v>
      </c>
      <c r="V398">
        <v>0</v>
      </c>
      <c r="W398">
        <v>0</v>
      </c>
      <c r="X398">
        <v>8650</v>
      </c>
      <c r="Y398">
        <f t="shared" si="64"/>
        <v>4004094</v>
      </c>
      <c r="Z398" t="str">
        <f t="shared" si="61"/>
        <v>4004094_0_1_8650,4004094_0_1_8650,4004094_0_1_8650</v>
      </c>
      <c r="AB398" t="str">
        <f t="shared" si="66"/>
        <v>40000_51000105_1_0,40000_51000015_1_0,4004094_0_1_8650,4004094_0_1_8650,4004094_0_1_8650,30000_90004_1,30000_90003_1,30000_90002_3_10000</v>
      </c>
      <c r="AN398" t="str">
        <f t="shared" si="62"/>
        <v>30000_90004_1,30000_90003_1,30000_90002_3,40000_51000105_1,40000_51000015_1</v>
      </c>
    </row>
    <row r="399" spans="2:40">
      <c r="B399" t="s">
        <v>1030</v>
      </c>
      <c r="R399" t="str">
        <f>VLOOKUP(S399,[4]equip.xml!$A$2316:$C$2777,3,0)</f>
        <v>镇魂挽歌</v>
      </c>
      <c r="S399">
        <v>51000025</v>
      </c>
      <c r="T399" t="str">
        <f>VLOOKUP(U399,[4]equip.xml!$A$2316:$C$2777,3,0)</f>
        <v>苍穹怒火</v>
      </c>
      <c r="U399">
        <v>51002055</v>
      </c>
      <c r="V399">
        <v>0</v>
      </c>
      <c r="W399">
        <v>0</v>
      </c>
      <c r="X399">
        <v>8675</v>
      </c>
      <c r="Y399">
        <f t="shared" si="64"/>
        <v>4004094</v>
      </c>
      <c r="Z399" t="str">
        <f t="shared" si="61"/>
        <v>4004094_0_1_8675,4004094_0_1_8675,4004094_0_1_8675</v>
      </c>
      <c r="AB399" t="str">
        <f t="shared" si="66"/>
        <v>40000_51000025_1_0,40000_51002055_1_0,4004094_0_1_8675,4004094_0_1_8675,4004094_0_1_8675,30000_90004_1,30000_90003_1,30000_90002_3_10000</v>
      </c>
      <c r="AN399" t="str">
        <f t="shared" si="62"/>
        <v>30000_90004_1,30000_90003_1,30000_90002_3,40000_51000025_1,40000_51002055_1</v>
      </c>
    </row>
    <row r="400" spans="2:40">
      <c r="B400" t="s">
        <v>1030</v>
      </c>
      <c r="R400" t="str">
        <f>VLOOKUP(S400,[4]equip.xml!$A$2316:$C$2777,3,0)</f>
        <v>碎界之铠</v>
      </c>
      <c r="S400">
        <v>51000046</v>
      </c>
      <c r="T400" t="str">
        <f>VLOOKUP(U400,[4]equip.xml!$A$2316:$C$2777,3,0)</f>
        <v>天际之矢</v>
      </c>
      <c r="U400">
        <v>51002065</v>
      </c>
      <c r="V400">
        <v>0</v>
      </c>
      <c r="W400">
        <v>0</v>
      </c>
      <c r="X400">
        <v>8700</v>
      </c>
      <c r="Y400">
        <f t="shared" si="64"/>
        <v>4004094</v>
      </c>
      <c r="Z400" t="str">
        <f t="shared" si="61"/>
        <v>4004094_0_1_8700,4004094_0_1_8700,4004094_0_1_8700</v>
      </c>
      <c r="AB400" t="str">
        <f t="shared" si="66"/>
        <v>40000_51000046_1_0,40000_51002065_1_0,4004094_0_1_8700,4004094_0_1_8700,4004094_0_1_8700,30000_90004_1,30000_90003_1,30000_90002_4_10000</v>
      </c>
      <c r="AN400" t="str">
        <f t="shared" si="62"/>
        <v>30000_90004_1,30000_90003_1,30000_90002_4,40000_51000046_1,40000_51002065_1</v>
      </c>
    </row>
    <row r="401" spans="2:40">
      <c r="B401" t="s">
        <v>1031</v>
      </c>
      <c r="R401" t="str">
        <f>VLOOKUP(S401,[4]equip.xml!$A$2316:$C$2777,3,0)</f>
        <v>涅磐腿甲</v>
      </c>
      <c r="S401">
        <v>51000076</v>
      </c>
      <c r="T401" t="str">
        <f>VLOOKUP(U401,[4]equip.xml!$A$2316:$C$2777,3,0)</f>
        <v>雷霆护腰</v>
      </c>
      <c r="U401">
        <v>51000035</v>
      </c>
      <c r="V401">
        <v>0</v>
      </c>
      <c r="W401">
        <v>0</v>
      </c>
      <c r="X401">
        <v>8725</v>
      </c>
      <c r="Y401">
        <f t="shared" si="64"/>
        <v>4004094</v>
      </c>
      <c r="Z401" t="str">
        <f t="shared" ref="Z401:Z406" si="67">Y401&amp;"_0_1_"&amp;X401&amp;","&amp;Y401&amp;"_0_1_"&amp;X401&amp;","&amp;Y401&amp;"_0_1_"&amp;X401</f>
        <v>4004094_0_1_8725,4004094_0_1_8725,4004094_0_1_8725</v>
      </c>
      <c r="AB401" t="str">
        <f t="shared" si="66"/>
        <v>40000_51000076_1_0,40000_51000035_1_0,4004094_0_1_8725,4004094_0_1_8725,4004094_0_1_8725,30000_90004_1,30000_90003_1,30000_90002_4_10000</v>
      </c>
      <c r="AN401" t="str">
        <f t="shared" ref="AN401:AN406" si="68">B141&amp;","&amp;"40000_"&amp;S401&amp;"_1"&amp;","&amp;"40000_"&amp;U401&amp;"_1"</f>
        <v>30000_90004_1,30000_90003_1,30000_90002_4,40000_51000076_1,40000_51000035_1</v>
      </c>
    </row>
    <row r="402" spans="2:40">
      <c r="B402" t="s">
        <v>1031</v>
      </c>
      <c r="R402" t="str">
        <f>VLOOKUP(S402,[4]equip.xml!$A$2316:$C$2777,3,0)</f>
        <v>星旅之靴</v>
      </c>
      <c r="S402">
        <v>51000085</v>
      </c>
      <c r="T402" t="str">
        <f>VLOOKUP(U402,[4]equip.xml!$A$2316:$C$2777,3,0)</f>
        <v>决战之书</v>
      </c>
      <c r="U402">
        <v>51003065</v>
      </c>
      <c r="V402">
        <v>0</v>
      </c>
      <c r="W402">
        <v>0</v>
      </c>
      <c r="X402">
        <v>8750</v>
      </c>
      <c r="Y402">
        <f t="shared" si="64"/>
        <v>4004094</v>
      </c>
      <c r="Z402" t="str">
        <f t="shared" si="67"/>
        <v>4004094_0_1_8750,4004094_0_1_8750,4004094_0_1_8750</v>
      </c>
      <c r="AB402" t="str">
        <f t="shared" si="66"/>
        <v>40000_51000085_1_0,40000_51003065_1_0,4004094_0_1_8750,4004094_0_1_8750,4004094_0_1_8750,30000_90004_1,30000_90003_1,30000_90002_4_10000</v>
      </c>
      <c r="AN402" t="str">
        <f t="shared" si="68"/>
        <v>30000_90004_1,30000_90003_1,30000_90002_4,40000_51000085_1,40000_51003065_1</v>
      </c>
    </row>
    <row r="403" spans="2:40">
      <c r="B403" t="s">
        <v>1031</v>
      </c>
      <c r="R403" t="str">
        <f>VLOOKUP(S403,[4]equip.xml!$A$2316:$C$2777,3,0)</f>
        <v>泰坦之拳</v>
      </c>
      <c r="S403">
        <v>51000095</v>
      </c>
      <c r="T403" t="str">
        <f>VLOOKUP(U403,[4]equip.xml!$A$2316:$C$2777,3,0)</f>
        <v>毁天灭地</v>
      </c>
      <c r="U403">
        <v>51001055</v>
      </c>
      <c r="V403">
        <v>0</v>
      </c>
      <c r="W403">
        <v>0</v>
      </c>
      <c r="X403">
        <v>8775</v>
      </c>
      <c r="Y403">
        <f t="shared" si="64"/>
        <v>4004094</v>
      </c>
      <c r="Z403" t="str">
        <f t="shared" si="67"/>
        <v>4004094_0_1_8775,4004094_0_1_8775,4004094_0_1_8775</v>
      </c>
      <c r="AB403" t="str">
        <f t="shared" si="66"/>
        <v>40000_51000095_1_0,40000_51001055_1_0,4004094_0_1_8775,4004094_0_1_8775,4004094_0_1_8775,30000_90004_1,30000_90003_1,30000_90002_5_10000</v>
      </c>
      <c r="AN403" t="str">
        <f t="shared" si="68"/>
        <v>30000_90004_1,30000_90003_1,30000_90002_5,40000_51000095_1,40000_51001055_1</v>
      </c>
    </row>
    <row r="404" spans="2:40">
      <c r="B404" t="s">
        <v>1032</v>
      </c>
      <c r="R404" t="str">
        <f>VLOOKUP(S404,[4]equip.xml!$A$2316:$C$2777,3,0)</f>
        <v>天灾统领</v>
      </c>
      <c r="S404">
        <v>51000015</v>
      </c>
      <c r="T404" s="14" t="str">
        <f>VLOOKUP(U404,[4]equip.xml!$A$2316:$C$2777,3,0)</f>
        <v>叹息之墙</v>
      </c>
      <c r="U404">
        <v>51001065</v>
      </c>
      <c r="V404">
        <v>0</v>
      </c>
      <c r="W404">
        <v>0</v>
      </c>
      <c r="X404">
        <v>8800</v>
      </c>
      <c r="Y404">
        <f t="shared" si="64"/>
        <v>4004094</v>
      </c>
      <c r="Z404" t="str">
        <f t="shared" si="67"/>
        <v>4004094_0_1_8800,4004094_0_1_8800,4004094_0_1_8800</v>
      </c>
      <c r="AB404" t="str">
        <f t="shared" si="66"/>
        <v>40000_51000015_1_0,40000_51001065_1_0,4004094_0_1_8800,4004094_0_1_8800,4004094_0_1_8800,30000_90004_1,30000_90003_1,30000_90002_5_10000</v>
      </c>
      <c r="AN404" t="str">
        <f t="shared" si="68"/>
        <v>30000_90004_1,30000_90003_1,30000_90002_5,40000_51000015_1,40000_51001065_1</v>
      </c>
    </row>
    <row r="405" spans="2:40">
      <c r="B405" t="s">
        <v>1032</v>
      </c>
      <c r="R405" t="str">
        <f>VLOOKUP(S405,[4]equip.xml!$A$2316:$C$2777,3,0)</f>
        <v>雷霆护腰</v>
      </c>
      <c r="S405">
        <v>51000035</v>
      </c>
      <c r="T405" t="str">
        <f>VLOOKUP(U405,[4]equip.xml!$A$2316:$C$2777,3,0)</f>
        <v>混沌终幕</v>
      </c>
      <c r="U405">
        <v>51003055</v>
      </c>
      <c r="V405">
        <v>0</v>
      </c>
      <c r="W405">
        <v>0</v>
      </c>
      <c r="X405">
        <v>8825</v>
      </c>
      <c r="Y405">
        <f t="shared" si="64"/>
        <v>4004094</v>
      </c>
      <c r="Z405" t="str">
        <f t="shared" si="67"/>
        <v>4004094_0_1_8825,4004094_0_1_8825,4004094_0_1_8825</v>
      </c>
      <c r="AB405" t="str">
        <f t="shared" si="66"/>
        <v>40000_51000035_1_0,40000_51003055_1_0,4004094_0_1_8825,4004094_0_1_8825,4004094_0_1_8825,30000_90004_1,30000_90003_1,30000_90002_5_10000</v>
      </c>
      <c r="AN405" t="str">
        <f t="shared" si="68"/>
        <v>30000_90004_1,30000_90003_1,30000_90002_5,40000_51000035_1,40000_51003055_1</v>
      </c>
    </row>
    <row r="406" spans="2:40">
      <c r="B406" t="s">
        <v>1032</v>
      </c>
      <c r="R406" t="str">
        <f>VLOOKUP(S406,[4]equip.xml!$A$2316:$C$2777,3,0)</f>
        <v>埃提耶什，守护者的传说之杖</v>
      </c>
      <c r="S406">
        <v>51003056</v>
      </c>
      <c r="T406" t="str">
        <f>VLOOKUP(U406,[4]equip.xml!$A$2316:$C$2777,3,0)</f>
        <v>决战之书</v>
      </c>
      <c r="U406">
        <v>51003065</v>
      </c>
      <c r="V406">
        <v>0</v>
      </c>
      <c r="W406">
        <v>0</v>
      </c>
      <c r="X406" s="14">
        <v>8850</v>
      </c>
      <c r="Y406" s="14">
        <f t="shared" si="64"/>
        <v>4004094</v>
      </c>
      <c r="Z406" s="14" t="str">
        <f t="shared" si="67"/>
        <v>4004094_0_1_8850,4004094_0_1_8850,4004094_0_1_8850</v>
      </c>
      <c r="AA406" s="14"/>
      <c r="AB406" t="str">
        <f t="shared" si="66"/>
        <v>40000_51003056_1_0,40000_51003065_1_0,4004094_0_1_8850,4004094_0_1_8850,4004094_0_1_8850,30000_90004_1,30000_90003_1,30000_90002_6_10000</v>
      </c>
      <c r="AN406" t="str">
        <f t="shared" si="68"/>
        <v>30000_90004_1,30000_90003_1,30000_90002_6,40000_51003056_1,40000_51003065_1</v>
      </c>
    </row>
    <row r="407" spans="2:40">
      <c r="B407" t="s">
        <v>1033</v>
      </c>
    </row>
    <row r="408" spans="2:40">
      <c r="B408" t="s">
        <v>1031</v>
      </c>
    </row>
    <row r="409" spans="2:40">
      <c r="B409" t="s">
        <v>1031</v>
      </c>
    </row>
    <row r="410" spans="2:40">
      <c r="B410" t="s">
        <v>1032</v>
      </c>
    </row>
    <row r="411" spans="2:40">
      <c r="B411" t="s">
        <v>1032</v>
      </c>
    </row>
    <row r="412" spans="2:40">
      <c r="B412" t="s">
        <v>1032</v>
      </c>
    </row>
    <row r="413" spans="2:40">
      <c r="B413" t="s">
        <v>1033</v>
      </c>
    </row>
    <row r="414" spans="2:40">
      <c r="B414" t="s">
        <v>1033</v>
      </c>
    </row>
    <row r="415" spans="2:40">
      <c r="B415" t="s">
        <v>1033</v>
      </c>
    </row>
    <row r="416" spans="2:40">
      <c r="B416" t="s">
        <v>1034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2:N146"/>
  <sheetViews>
    <sheetView topLeftCell="A112" workbookViewId="0">
      <selection activeCell="K116" sqref="K116"/>
    </sheetView>
  </sheetViews>
  <sheetFormatPr defaultRowHeight="13.5"/>
  <cols>
    <col min="1" max="1" width="17.25" bestFit="1" customWidth="1"/>
    <col min="2" max="2" width="16.125" bestFit="1" customWidth="1"/>
    <col min="3" max="3" width="17.25" bestFit="1" customWidth="1"/>
    <col min="4" max="8" width="16.125" bestFit="1" customWidth="1"/>
    <col min="9" max="10" width="15" bestFit="1" customWidth="1"/>
    <col min="11" max="11" width="14.5" customWidth="1"/>
    <col min="12" max="12" width="13.125" customWidth="1"/>
    <col min="13" max="13" width="15.125" customWidth="1"/>
  </cols>
  <sheetData>
    <row r="2" spans="1:14">
      <c r="A2" s="15" t="s">
        <v>95</v>
      </c>
      <c r="B2" s="15"/>
      <c r="C2" s="15"/>
      <c r="D2" s="15"/>
      <c r="E2" s="15"/>
      <c r="F2" s="15"/>
      <c r="G2" s="15"/>
      <c r="H2" s="15"/>
      <c r="I2" s="15"/>
      <c r="J2" s="15"/>
    </row>
    <row r="3" spans="1:14">
      <c r="A3" t="s">
        <v>87</v>
      </c>
      <c r="B3" t="s">
        <v>98</v>
      </c>
      <c r="C3" t="s">
        <v>88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96</v>
      </c>
      <c r="J3" t="s">
        <v>97</v>
      </c>
      <c r="K3" t="s">
        <v>119</v>
      </c>
      <c r="L3" t="s">
        <v>120</v>
      </c>
      <c r="M3" t="s">
        <v>121</v>
      </c>
      <c r="N3" t="str">
        <f>A3&amp;","&amp;B3&amp;","&amp;C3&amp;","&amp;D3&amp;","&amp;E3&amp;","&amp;F3&amp;","&amp;G3&amp;","&amp;H3&amp;","&amp;I3&amp;","&amp;J3&amp;","&amp;K3&amp;","&amp;L3&amp;","&amp;M3</f>
        <v>4000105_0_1_200,4000110_0_1_120,4000205_0_1_130,4000210_0_1_126,4000305_0_1_64,4000310_0_1_64,4000405_0_1_0,4000410_0_1_0,4000505_0_1_0,4000510_0_1_0,30000_40003_1_205,30000_40002_1_88,30000_40001_1_44</v>
      </c>
    </row>
    <row r="4" spans="1:14">
      <c r="A4" t="s">
        <v>106</v>
      </c>
      <c r="B4" t="s">
        <v>107</v>
      </c>
      <c r="C4" t="s">
        <v>108</v>
      </c>
      <c r="D4" t="s">
        <v>109</v>
      </c>
      <c r="E4" t="s">
        <v>110</v>
      </c>
      <c r="F4" t="s">
        <v>111</v>
      </c>
      <c r="G4" t="s">
        <v>104</v>
      </c>
      <c r="H4" t="s">
        <v>105</v>
      </c>
      <c r="I4" t="s">
        <v>96</v>
      </c>
      <c r="J4" t="s">
        <v>97</v>
      </c>
      <c r="K4" t="s">
        <v>122</v>
      </c>
      <c r="L4" t="s">
        <v>123</v>
      </c>
      <c r="M4" t="s">
        <v>124</v>
      </c>
      <c r="N4" t="str">
        <f t="shared" ref="N4:N33" si="0">A4&amp;","&amp;B4&amp;","&amp;C4&amp;","&amp;D4&amp;","&amp;E4&amp;","&amp;F4&amp;","&amp;G4&amp;","&amp;H4&amp;","&amp;I4&amp;","&amp;J4&amp;","&amp;K4&amp;","&amp;L4&amp;","&amp;M4</f>
        <v>4000105_0_1_175,4000110_0_1_174,4000205_0_1_140,4000210_0_1_139,4000305_0_1_70,4000310_0_1_69,4000405_0_1_0,4000410_0_1_0,4000505_0_1_0,4000510_0_1_0,30000_40003_1_213,30000_40002_1_91,30000_40001_1_45</v>
      </c>
    </row>
    <row r="5" spans="1:14">
      <c r="A5" t="s">
        <v>113</v>
      </c>
      <c r="B5" t="s">
        <v>116</v>
      </c>
      <c r="C5" t="s">
        <v>114</v>
      </c>
      <c r="D5" t="s">
        <v>89</v>
      </c>
      <c r="E5" t="s">
        <v>90</v>
      </c>
      <c r="F5" t="s">
        <v>91</v>
      </c>
      <c r="G5" t="s">
        <v>105</v>
      </c>
      <c r="H5" t="s">
        <v>112</v>
      </c>
      <c r="I5" t="s">
        <v>97</v>
      </c>
      <c r="J5" t="s">
        <v>115</v>
      </c>
      <c r="K5" t="s">
        <v>125</v>
      </c>
      <c r="L5" t="s">
        <v>126</v>
      </c>
      <c r="M5" t="s">
        <v>127</v>
      </c>
      <c r="N5" t="str">
        <f t="shared" si="0"/>
        <v>4000110_0_1_192,4000115_0_1_185,4000210_0_1_125,4000215_0_1_163,4000310_0_1_57,4000315_0_1_74,4000410_0_1_0,4000415_0_1_0,4000510_0_1_0,4000515_0_1_0,30000_40003_1_220,30000_40002_1_94,30000_40001_1_47</v>
      </c>
    </row>
    <row r="6" spans="1:14">
      <c r="A6" t="s">
        <v>117</v>
      </c>
      <c r="B6" t="s">
        <v>92</v>
      </c>
      <c r="C6" t="s">
        <v>118</v>
      </c>
      <c r="D6" t="s">
        <v>94</v>
      </c>
      <c r="E6" t="s">
        <v>90</v>
      </c>
      <c r="F6" t="s">
        <v>93</v>
      </c>
      <c r="G6" t="s">
        <v>105</v>
      </c>
      <c r="H6" t="s">
        <v>112</v>
      </c>
      <c r="I6" t="s">
        <v>97</v>
      </c>
      <c r="J6" t="s">
        <v>115</v>
      </c>
      <c r="K6" t="s">
        <v>128</v>
      </c>
      <c r="L6" t="s">
        <v>129</v>
      </c>
      <c r="M6" t="s">
        <v>130</v>
      </c>
      <c r="N6" t="str">
        <f t="shared" si="0"/>
        <v>4000110_0_1_188,4000115_0_1_198,4000210_0_1_138,4000215_0_1_179,4000310_0_1_57,4000315_0_1_82,4000410_0_1_0,4000415_0_1_0,4000510_0_1_0,4000515_0_1_0,30000_40003_1_228,30000_40002_1_97,30000_40001_1_48</v>
      </c>
    </row>
    <row r="7" spans="1:14">
      <c r="A7" t="s">
        <v>271</v>
      </c>
      <c r="B7" t="s">
        <v>272</v>
      </c>
      <c r="C7" t="s">
        <v>273</v>
      </c>
      <c r="D7" t="s">
        <v>274</v>
      </c>
      <c r="E7" t="s">
        <v>275</v>
      </c>
      <c r="F7" t="s">
        <v>276</v>
      </c>
      <c r="G7" t="s">
        <v>277</v>
      </c>
      <c r="H7" t="s">
        <v>278</v>
      </c>
      <c r="I7" t="s">
        <v>279</v>
      </c>
      <c r="J7" t="s">
        <v>280</v>
      </c>
      <c r="K7" t="s">
        <v>131</v>
      </c>
      <c r="L7" t="s">
        <v>132</v>
      </c>
      <c r="M7" t="s">
        <v>133</v>
      </c>
      <c r="N7" t="str">
        <f t="shared" si="0"/>
        <v>4000115_0_1_188_0,4000120_0_1_214_0,4000215_0_1_134_0,4000220_0_1_191_0,4000315_0_1_57_0,4000320_0_1_87_0,4000415_0_1_0_1,4000420_0_1_0_1,4000515_0_1_0_1,4000520_0_1_0_1,30000_40003_1_235,30000_40002_1_101,30000_40001_1_50</v>
      </c>
    </row>
    <row r="8" spans="1:14">
      <c r="A8" t="s">
        <v>281</v>
      </c>
      <c r="B8" t="s">
        <v>282</v>
      </c>
      <c r="C8" t="s">
        <v>283</v>
      </c>
      <c r="D8" t="s">
        <v>284</v>
      </c>
      <c r="E8" t="s">
        <v>275</v>
      </c>
      <c r="F8" t="s">
        <v>285</v>
      </c>
      <c r="G8" t="s">
        <v>286</v>
      </c>
      <c r="H8" t="s">
        <v>287</v>
      </c>
      <c r="I8" t="s">
        <v>279</v>
      </c>
      <c r="J8" t="s">
        <v>280</v>
      </c>
      <c r="K8" t="s">
        <v>134</v>
      </c>
      <c r="L8" t="s">
        <v>135</v>
      </c>
      <c r="M8" t="s">
        <v>136</v>
      </c>
      <c r="N8" t="str">
        <f t="shared" si="0"/>
        <v>4000115_0_1_157_0,4000120_0_1_231_0,4000215_0_1_100_0,4000220_0_1_204_0,4000315_0_1_57_0,4000320_0_1_95_0,4000415_0_1_38_1,4000420_0_1_38_1,4000515_0_1_0_1,4000520_0_1_0_1,30000_40003_1_243,30000_40002_1_104,30000_40001_1_52</v>
      </c>
    </row>
    <row r="9" spans="1:14">
      <c r="A9" t="s">
        <v>288</v>
      </c>
      <c r="B9" t="s">
        <v>289</v>
      </c>
      <c r="C9" t="s">
        <v>283</v>
      </c>
      <c r="D9" t="s">
        <v>290</v>
      </c>
      <c r="E9" t="s">
        <v>275</v>
      </c>
      <c r="F9" t="s">
        <v>291</v>
      </c>
      <c r="G9" t="s">
        <v>286</v>
      </c>
      <c r="H9" t="s">
        <v>292</v>
      </c>
      <c r="I9" t="s">
        <v>279</v>
      </c>
      <c r="J9" t="s">
        <v>280</v>
      </c>
      <c r="K9" t="s">
        <v>137</v>
      </c>
      <c r="L9" t="s">
        <v>138</v>
      </c>
      <c r="M9" t="s">
        <v>139</v>
      </c>
      <c r="N9" t="str">
        <f t="shared" si="0"/>
        <v>4000115_0_1_156_0,4000120_0_1_243_0,4000215_0_1_100_0,4000220_0_1_214_0,4000315_0_1_57_0,4000320_0_1_100_0,4000415_0_1_38_1,4000420_0_1_40_1,4000515_0_1_0_1,4000520_0_1_0_1,30000_40003_1_251,30000_40002_1_107,30000_40001_1_53</v>
      </c>
    </row>
    <row r="10" spans="1:14">
      <c r="A10" t="s">
        <v>293</v>
      </c>
      <c r="B10" t="s">
        <v>294</v>
      </c>
      <c r="C10" t="s">
        <v>295</v>
      </c>
      <c r="D10" t="s">
        <v>296</v>
      </c>
      <c r="E10" t="s">
        <v>297</v>
      </c>
      <c r="F10" t="s">
        <v>298</v>
      </c>
      <c r="G10" t="s">
        <v>287</v>
      </c>
      <c r="H10" t="s">
        <v>299</v>
      </c>
      <c r="I10" t="s">
        <v>280</v>
      </c>
      <c r="J10" t="s">
        <v>300</v>
      </c>
      <c r="K10" t="s">
        <v>140</v>
      </c>
      <c r="L10" t="s">
        <v>141</v>
      </c>
      <c r="M10" t="s">
        <v>142</v>
      </c>
      <c r="N10" t="str">
        <f t="shared" si="0"/>
        <v>4000120_0_1_158_0,4000125_0_1_275_0,4000220_0_1_100_0,4000225_0_1_240_0,4000320_0_1_57_0,4000325_0_1_113_0,4000420_0_1_38_1,4000425_0_1_47_1,4000520_0_1_0_1,4000525_0_1_0_1,30000_40003_1_258,30000_40002_1_110,30000_40001_1_55</v>
      </c>
    </row>
    <row r="11" spans="1:14">
      <c r="A11" t="s">
        <v>301</v>
      </c>
      <c r="B11" t="s">
        <v>302</v>
      </c>
      <c r="C11" t="s">
        <v>303</v>
      </c>
      <c r="D11" t="s">
        <v>304</v>
      </c>
      <c r="E11" t="s">
        <v>297</v>
      </c>
      <c r="F11" t="s">
        <v>305</v>
      </c>
      <c r="G11" t="s">
        <v>287</v>
      </c>
      <c r="H11" t="s">
        <v>306</v>
      </c>
      <c r="I11" t="s">
        <v>280</v>
      </c>
      <c r="J11" t="s">
        <v>300</v>
      </c>
      <c r="K11" t="s">
        <v>143</v>
      </c>
      <c r="L11" t="s">
        <v>144</v>
      </c>
      <c r="M11" t="s">
        <v>145</v>
      </c>
      <c r="N11" t="str">
        <f t="shared" si="0"/>
        <v>4000120_0_1_155_0,4000125_0_1_282_0,4000220_0_1_103_0,4000225_0_1_245_0,4000320_0_1_57_0,4000325_0_1_115_0,4000420_0_1_38_1,4000425_0_1_48_1,4000520_0_1_0_1,4000525_0_1_0_1,30000_40003_1_266,30000_40002_1_114,30000_40001_1_57</v>
      </c>
    </row>
    <row r="12" spans="1:14">
      <c r="A12" t="s">
        <v>307</v>
      </c>
      <c r="B12" t="s">
        <v>308</v>
      </c>
      <c r="C12" t="s">
        <v>309</v>
      </c>
      <c r="D12" t="s">
        <v>310</v>
      </c>
      <c r="E12" t="s">
        <v>311</v>
      </c>
      <c r="F12" t="s">
        <v>312</v>
      </c>
      <c r="G12" t="s">
        <v>313</v>
      </c>
      <c r="H12" t="s">
        <v>314</v>
      </c>
      <c r="I12" t="s">
        <v>300</v>
      </c>
      <c r="J12" t="s">
        <v>315</v>
      </c>
      <c r="K12" t="s">
        <v>146</v>
      </c>
      <c r="L12" t="s">
        <v>147</v>
      </c>
      <c r="M12" t="s">
        <v>148</v>
      </c>
      <c r="N12" t="str">
        <f t="shared" si="0"/>
        <v>4000125_0_1_155_0,4000130_0_1_320_0,4000225_0_1_104_0,4000230_0_1_276_0,4000325_0_1_57_0,4000330_0_1_131_0,4000425_0_1_38_1,4000430_0_1_56_1,4000525_0_1_0_1,4000530_0_1_0_1,30000_40003_1_273,30000_40002_1_117,30000_40001_1_58</v>
      </c>
    </row>
    <row r="13" spans="1:14">
      <c r="A13" t="s">
        <v>316</v>
      </c>
      <c r="B13" t="s">
        <v>317</v>
      </c>
      <c r="C13" t="s">
        <v>318</v>
      </c>
      <c r="D13" t="s">
        <v>319</v>
      </c>
      <c r="E13" t="s">
        <v>320</v>
      </c>
      <c r="F13" t="s">
        <v>321</v>
      </c>
      <c r="G13" t="s">
        <v>306</v>
      </c>
      <c r="H13" t="s">
        <v>322</v>
      </c>
      <c r="I13" t="s">
        <v>300</v>
      </c>
      <c r="J13" t="s">
        <v>315</v>
      </c>
      <c r="K13" t="s">
        <v>149</v>
      </c>
      <c r="L13" t="s">
        <v>150</v>
      </c>
      <c r="M13" t="s">
        <v>151</v>
      </c>
      <c r="N13" t="str">
        <f t="shared" si="0"/>
        <v>4000125_0_1_247_0,4000130_0_1_241_0,4000225_0_1_197_0,4000230_0_1_193_0,4000325_0_1_96_0,4000330_0_1_97_0,4000425_0_1_48_1,4000430_0_1_48_1,4000525_0_1_0_1,4000530_0_1_0_1,30000_40003_1_281,30000_40002_1_120,30000_40001_1_60</v>
      </c>
    </row>
    <row r="14" spans="1:14">
      <c r="A14" t="s">
        <v>323</v>
      </c>
      <c r="B14" t="s">
        <v>324</v>
      </c>
      <c r="C14" t="s">
        <v>325</v>
      </c>
      <c r="D14" t="s">
        <v>326</v>
      </c>
      <c r="E14" t="s">
        <v>327</v>
      </c>
      <c r="F14" t="s">
        <v>328</v>
      </c>
      <c r="G14" t="s">
        <v>329</v>
      </c>
      <c r="H14" t="s">
        <v>330</v>
      </c>
      <c r="I14" t="s">
        <v>300</v>
      </c>
      <c r="J14" t="s">
        <v>315</v>
      </c>
      <c r="K14" t="s">
        <v>152</v>
      </c>
      <c r="L14" t="s">
        <v>153</v>
      </c>
      <c r="M14" t="s">
        <v>154</v>
      </c>
      <c r="N14" t="str">
        <f t="shared" si="0"/>
        <v>4000125_0_1_267_0,4000130_0_1_261_0,4000225_0_1_214_0,4000230_0_1_209_0,4000325_0_1_105_0,4000330_0_1_104_0,4000425_0_1_52_1,4000430_0_1_52_1,4000525_0_1_0_1,4000530_0_1_0_1,30000_40003_1_289,30000_40002_1_123,30000_40001_1_61</v>
      </c>
    </row>
    <row r="15" spans="1:14">
      <c r="A15" t="s">
        <v>331</v>
      </c>
      <c r="B15" t="s">
        <v>332</v>
      </c>
      <c r="C15" t="s">
        <v>333</v>
      </c>
      <c r="D15" t="s">
        <v>334</v>
      </c>
      <c r="E15" t="s">
        <v>335</v>
      </c>
      <c r="F15" t="s">
        <v>336</v>
      </c>
      <c r="G15" t="s">
        <v>337</v>
      </c>
      <c r="H15" t="s">
        <v>338</v>
      </c>
      <c r="I15" t="s">
        <v>315</v>
      </c>
      <c r="J15" t="s">
        <v>339</v>
      </c>
      <c r="K15" t="s">
        <v>155</v>
      </c>
      <c r="L15" t="s">
        <v>156</v>
      </c>
      <c r="M15" t="s">
        <v>157</v>
      </c>
      <c r="N15" t="str">
        <f t="shared" si="0"/>
        <v>4000130_0_1_273_0,4000135_0_1_269_0,4000230_0_1_220_0,4000235_0_1_214_0,4000330_0_1_107_0,4000335_0_1_107_0,4000430_0_1_54_1,4000435_0_1_53_1,4000530_0_1_0_1,4000535_0_1_0_1,30000_40003_1_296,30000_40002_1_127,30000_40001_1_63</v>
      </c>
    </row>
    <row r="16" spans="1:14">
      <c r="A16" t="s">
        <v>340</v>
      </c>
      <c r="B16" t="s">
        <v>341</v>
      </c>
      <c r="C16" t="s">
        <v>342</v>
      </c>
      <c r="D16" t="s">
        <v>343</v>
      </c>
      <c r="E16" t="s">
        <v>344</v>
      </c>
      <c r="F16" t="s">
        <v>345</v>
      </c>
      <c r="G16" t="s">
        <v>346</v>
      </c>
      <c r="H16" t="s">
        <v>347</v>
      </c>
      <c r="I16" t="s">
        <v>315</v>
      </c>
      <c r="J16" t="s">
        <v>339</v>
      </c>
      <c r="K16" t="s">
        <v>158</v>
      </c>
      <c r="L16" t="s">
        <v>159</v>
      </c>
      <c r="M16" t="s">
        <v>160</v>
      </c>
      <c r="N16" t="str">
        <f t="shared" si="0"/>
        <v>4000130_0_1_295_0,4000135_0_1_288_0,4000230_0_1_237_0,4000235_0_1_231_0,4000330_0_1_116_0,4000335_0_1_115_0,4000430_0_1_58_1,4000435_0_1_57_1,4000530_0_1_0_1,4000535_0_1_0_1,30000_40003_1_304,30000_40002_1_130,30000_40001_1_65</v>
      </c>
    </row>
    <row r="17" spans="1:14">
      <c r="A17" t="s">
        <v>348</v>
      </c>
      <c r="B17" t="s">
        <v>349</v>
      </c>
      <c r="C17" t="s">
        <v>350</v>
      </c>
      <c r="D17" t="s">
        <v>351</v>
      </c>
      <c r="E17" t="s">
        <v>352</v>
      </c>
      <c r="F17" t="s">
        <v>353</v>
      </c>
      <c r="G17" t="s">
        <v>354</v>
      </c>
      <c r="H17" t="s">
        <v>355</v>
      </c>
      <c r="I17" t="s">
        <v>356</v>
      </c>
      <c r="J17" t="s">
        <v>357</v>
      </c>
      <c r="K17" t="s">
        <v>161</v>
      </c>
      <c r="L17" t="s">
        <v>162</v>
      </c>
      <c r="M17" t="s">
        <v>163</v>
      </c>
      <c r="N17" t="str">
        <f t="shared" si="0"/>
        <v>4000135_0_1_297_0,4000140_0_1_296_0,4000235_0_1_237_0,4000240_0_1_237_0,4000335_0_1_118_0,4000340_0_1_119_0,4000435_0_1_59_1,4000440_0_1_59_1,4000535_0_1_6_1,4000540_0_1_5_1,30000_40003_1_311,30000_40002_1_133,30000_40001_1_66</v>
      </c>
    </row>
    <row r="18" spans="1:14">
      <c r="A18" t="s">
        <v>358</v>
      </c>
      <c r="B18" t="s">
        <v>359</v>
      </c>
      <c r="C18" t="s">
        <v>360</v>
      </c>
      <c r="D18" t="s">
        <v>361</v>
      </c>
      <c r="E18" t="s">
        <v>362</v>
      </c>
      <c r="F18" t="s">
        <v>363</v>
      </c>
      <c r="G18" t="s">
        <v>364</v>
      </c>
      <c r="H18" t="s">
        <v>365</v>
      </c>
      <c r="I18" t="s">
        <v>356</v>
      </c>
      <c r="J18" t="s">
        <v>366</v>
      </c>
      <c r="K18" t="s">
        <v>164</v>
      </c>
      <c r="L18" t="s">
        <v>165</v>
      </c>
      <c r="M18" t="s">
        <v>166</v>
      </c>
      <c r="N18" t="str">
        <f t="shared" si="0"/>
        <v>4000135_0_1_319_0,4000140_0_1_318_0,4000235_0_1_255_0,4000240_0_1_255_0,4000335_0_1_128_0,4000340_0_1_127_0,4000435_0_1_64_1,4000440_0_1_63_1,4000535_0_1_6_1,4000540_0_1_6_1,30000_40003_1_319,30000_40002_1_136,30000_40001_1_68</v>
      </c>
    </row>
    <row r="19" spans="1:14">
      <c r="A19" t="s">
        <v>367</v>
      </c>
      <c r="B19" t="s">
        <v>368</v>
      </c>
      <c r="C19" t="s">
        <v>369</v>
      </c>
      <c r="D19" t="s">
        <v>370</v>
      </c>
      <c r="E19" t="s">
        <v>371</v>
      </c>
      <c r="F19" t="s">
        <v>372</v>
      </c>
      <c r="G19" t="s">
        <v>373</v>
      </c>
      <c r="H19" t="s">
        <v>374</v>
      </c>
      <c r="I19" t="s">
        <v>375</v>
      </c>
      <c r="J19" t="s">
        <v>366</v>
      </c>
      <c r="K19" t="s">
        <v>167</v>
      </c>
      <c r="L19" t="s">
        <v>168</v>
      </c>
      <c r="M19" t="s">
        <v>169</v>
      </c>
      <c r="N19" t="str">
        <f t="shared" si="0"/>
        <v>4000135_0_1_326_0,4000140_0_1_326_0,4000235_0_1_261_0,4000240_0_1_261_0,4000335_0_1_131_0,4000340_0_1_130_0,4000435_0_1_65_1,4000440_0_1_65_1,4000535_0_1_7_1,4000540_0_1_6_1,30000_40003_1_327,30000_40002_1_140,30000_40001_1_70</v>
      </c>
    </row>
    <row r="20" spans="1:14">
      <c r="A20" t="s">
        <v>376</v>
      </c>
      <c r="B20" t="s">
        <v>377</v>
      </c>
      <c r="C20" t="s">
        <v>378</v>
      </c>
      <c r="D20" t="s">
        <v>379</v>
      </c>
      <c r="E20" t="s">
        <v>380</v>
      </c>
      <c r="F20" t="s">
        <v>381</v>
      </c>
      <c r="G20" t="s">
        <v>382</v>
      </c>
      <c r="H20" t="s">
        <v>383</v>
      </c>
      <c r="I20" t="s">
        <v>384</v>
      </c>
      <c r="J20" t="s">
        <v>385</v>
      </c>
      <c r="K20" t="s">
        <v>170</v>
      </c>
      <c r="L20" t="s">
        <v>171</v>
      </c>
      <c r="M20" t="s">
        <v>172</v>
      </c>
      <c r="N20" t="str">
        <f t="shared" si="0"/>
        <v>4000140_0_1_357_0,4000145_0_1_356_0,4000240_0_1_285_0,4000245_0_1_285_0,4000340_0_1_143_0,4000345_0_1_142_0,4000440_0_1_71_1,4000445_0_1_71_1,4000540_0_1_7_1,4000545_0_1_7_1,30000_40003_1_334,30000_40002_1_143,30000_40001_1_71</v>
      </c>
    </row>
    <row r="21" spans="1:14">
      <c r="A21" t="s">
        <v>386</v>
      </c>
      <c r="B21" t="s">
        <v>387</v>
      </c>
      <c r="C21" t="s">
        <v>388</v>
      </c>
      <c r="D21" t="s">
        <v>389</v>
      </c>
      <c r="E21" t="s">
        <v>390</v>
      </c>
      <c r="F21" t="s">
        <v>391</v>
      </c>
      <c r="G21" t="s">
        <v>392</v>
      </c>
      <c r="H21" t="s">
        <v>393</v>
      </c>
      <c r="I21" t="s">
        <v>384</v>
      </c>
      <c r="J21" t="s">
        <v>385</v>
      </c>
      <c r="K21" t="s">
        <v>173</v>
      </c>
      <c r="L21" t="s">
        <v>174</v>
      </c>
      <c r="M21" t="s">
        <v>175</v>
      </c>
      <c r="N21" t="str">
        <f t="shared" si="0"/>
        <v>4000140_0_1_370_0,4000145_0_1_366_0,4000240_0_1_295_0,4000245_0_1_294_0,4000340_0_1_147_0,4000345_0_1_147_0,4000440_0_1_74_1,4000445_0_1_73_1,4000540_0_1_7_1,4000545_0_1_7_1,30000_40003_1_342,30000_40002_1_146,30000_40001_1_73</v>
      </c>
    </row>
    <row r="22" spans="1:14">
      <c r="A22" t="s">
        <v>394</v>
      </c>
      <c r="B22" t="s">
        <v>395</v>
      </c>
      <c r="C22" t="s">
        <v>396</v>
      </c>
      <c r="D22" t="s">
        <v>397</v>
      </c>
      <c r="E22" t="s">
        <v>398</v>
      </c>
      <c r="F22" t="s">
        <v>399</v>
      </c>
      <c r="G22" t="s">
        <v>400</v>
      </c>
      <c r="H22" t="s">
        <v>401</v>
      </c>
      <c r="I22" t="s">
        <v>402</v>
      </c>
      <c r="J22" t="s">
        <v>403</v>
      </c>
      <c r="K22" t="s">
        <v>176</v>
      </c>
      <c r="L22" t="s">
        <v>177</v>
      </c>
      <c r="M22" t="s">
        <v>178</v>
      </c>
      <c r="N22" t="str">
        <f t="shared" si="0"/>
        <v>4000145_0_1_380_0,4000150_0_1_380_0,4000245_0_1_304_0,4000250_0_1_304_0,4000345_0_1_152_0,4000350_0_1_152_0,4000445_0_1_76_1,4000450_0_1_76_1,4000545_0_1_8_1,4000550_0_1_7_1,30000_40003_1_350,30000_40002_1_150,30000_40001_1_75</v>
      </c>
    </row>
    <row r="23" spans="1:14">
      <c r="A23" t="s">
        <v>404</v>
      </c>
      <c r="B23" t="s">
        <v>405</v>
      </c>
      <c r="C23" t="s">
        <v>406</v>
      </c>
      <c r="D23" t="s">
        <v>407</v>
      </c>
      <c r="E23" t="s">
        <v>408</v>
      </c>
      <c r="F23" t="s">
        <v>409</v>
      </c>
      <c r="G23" t="s">
        <v>410</v>
      </c>
      <c r="H23" t="s">
        <v>411</v>
      </c>
      <c r="I23" t="s">
        <v>402</v>
      </c>
      <c r="J23" t="s">
        <v>403</v>
      </c>
      <c r="K23" t="s">
        <v>179</v>
      </c>
      <c r="L23" t="s">
        <v>180</v>
      </c>
      <c r="M23" t="s">
        <v>181</v>
      </c>
      <c r="N23" t="str">
        <f t="shared" si="0"/>
        <v>4000145_0_1_396_0,4000150_0_1_396_0,4000245_0_1_317_0,4000250_0_1_316_0,4000345_0_1_158_0,4000350_0_1_158_0,4000445_0_1_79_1,4000450_0_1_79_1,4000545_0_1_8_1,4000550_0_1_7_1,30000_40003_1_357,30000_40002_1_153,30000_40001_1_76</v>
      </c>
    </row>
    <row r="24" spans="1:14">
      <c r="A24" t="s">
        <v>412</v>
      </c>
      <c r="B24" t="s">
        <v>413</v>
      </c>
      <c r="C24" t="s">
        <v>414</v>
      </c>
      <c r="D24" t="s">
        <v>415</v>
      </c>
      <c r="E24" t="s">
        <v>416</v>
      </c>
      <c r="F24" t="s">
        <v>417</v>
      </c>
      <c r="G24" t="s">
        <v>418</v>
      </c>
      <c r="H24" t="s">
        <v>419</v>
      </c>
      <c r="I24" t="s">
        <v>402</v>
      </c>
      <c r="J24" t="s">
        <v>420</v>
      </c>
      <c r="K24" t="s">
        <v>182</v>
      </c>
      <c r="L24" t="s">
        <v>183</v>
      </c>
      <c r="M24" t="s">
        <v>184</v>
      </c>
      <c r="N24" t="str">
        <f t="shared" si="0"/>
        <v>4000145_0_1_412_0,4000150_0_1_412_0,4000245_0_1_330_0,4000250_0_1_329_0,4000345_0_1_165_0,4000350_0_1_164_0,4000445_0_1_82_1,4000450_0_1_82_1,4000545_0_1_8_1,4000550_0_1_8_1,30000_40003_1_365,30000_40002_1_156,30000_40001_1_78</v>
      </c>
    </row>
    <row r="25" spans="1:14">
      <c r="A25" t="s">
        <v>421</v>
      </c>
      <c r="B25" t="s">
        <v>422</v>
      </c>
      <c r="C25" t="s">
        <v>423</v>
      </c>
      <c r="D25" t="s">
        <v>424</v>
      </c>
      <c r="E25" t="s">
        <v>425</v>
      </c>
      <c r="F25" t="s">
        <v>426</v>
      </c>
      <c r="G25" t="s">
        <v>427</v>
      </c>
      <c r="H25" t="s">
        <v>428</v>
      </c>
      <c r="I25" t="s">
        <v>429</v>
      </c>
      <c r="J25" t="s">
        <v>430</v>
      </c>
      <c r="K25" t="s">
        <v>185</v>
      </c>
      <c r="L25" t="s">
        <v>186</v>
      </c>
      <c r="M25" t="s">
        <v>187</v>
      </c>
      <c r="N25" t="str">
        <f t="shared" si="0"/>
        <v>4000150_0_1_444_0,4000155_0_1_444_0,4000250_0_1_355_0,4000255_0_1_355_0,4000350_0_1_177_0,4000355_0_1_178_0,4000450_0_1_89_1,4000455_0_1_88_1,4000550_0_1_9_1,4000555_0_1_8_1,30000_40003_1_372,30000_40002_1_159,30000_40001_1_79</v>
      </c>
    </row>
    <row r="26" spans="1:14">
      <c r="A26" t="s">
        <v>431</v>
      </c>
      <c r="B26" t="s">
        <v>432</v>
      </c>
      <c r="C26" t="s">
        <v>433</v>
      </c>
      <c r="D26" t="s">
        <v>434</v>
      </c>
      <c r="E26" t="s">
        <v>435</v>
      </c>
      <c r="F26" t="s">
        <v>436</v>
      </c>
      <c r="G26" t="s">
        <v>437</v>
      </c>
      <c r="H26" t="s">
        <v>438</v>
      </c>
      <c r="I26" t="s">
        <v>429</v>
      </c>
      <c r="J26" t="s">
        <v>439</v>
      </c>
      <c r="K26" t="s">
        <v>188</v>
      </c>
      <c r="L26" t="s">
        <v>189</v>
      </c>
      <c r="M26" t="s">
        <v>190</v>
      </c>
      <c r="N26" t="str">
        <f t="shared" si="0"/>
        <v>4000150_0_1_453_0,4000155_0_1_453_0,4000250_0_1_363_0,4000255_0_1_362_0,4000350_0_1_181_0,4000355_0_1_181_0,4000450_0_1_91_1,4000455_0_1_90_1,4000550_0_1_9_1,4000555_0_1_9_1,30000_40003_1_380,30000_40002_1_163,30000_40001_1_81</v>
      </c>
    </row>
    <row r="27" spans="1:14">
      <c r="A27" t="s">
        <v>440</v>
      </c>
      <c r="B27" t="s">
        <v>441</v>
      </c>
      <c r="C27" t="s">
        <v>442</v>
      </c>
      <c r="D27" t="s">
        <v>443</v>
      </c>
      <c r="E27" t="s">
        <v>444</v>
      </c>
      <c r="F27" t="s">
        <v>445</v>
      </c>
      <c r="G27" t="s">
        <v>446</v>
      </c>
      <c r="H27" t="s">
        <v>447</v>
      </c>
      <c r="I27" t="s">
        <v>439</v>
      </c>
      <c r="J27" t="s">
        <v>448</v>
      </c>
      <c r="K27" t="s">
        <v>191</v>
      </c>
      <c r="L27" t="s">
        <v>192</v>
      </c>
      <c r="M27" t="s">
        <v>193</v>
      </c>
      <c r="N27" t="str">
        <f t="shared" si="0"/>
        <v>4000155_0_1_463_0,4000160_0_1_462_0,4000255_0_1_370_0,4000260_0_1_370_0,4000355_0_1_185_0,4000360_0_1_185_0,4000455_0_1_93_1,4000460_0_1_92_1,4000555_0_1_9_1,4000560_0_1_9_1,30000_40003_1_388,30000_40002_1_166,30000_40001_1_83</v>
      </c>
    </row>
    <row r="28" spans="1:14">
      <c r="A28" t="s">
        <v>449</v>
      </c>
      <c r="B28" t="s">
        <v>450</v>
      </c>
      <c r="C28" t="s">
        <v>451</v>
      </c>
      <c r="D28" t="s">
        <v>452</v>
      </c>
      <c r="E28" t="s">
        <v>453</v>
      </c>
      <c r="F28" t="s">
        <v>454</v>
      </c>
      <c r="G28" t="s">
        <v>455</v>
      </c>
      <c r="H28" t="s">
        <v>456</v>
      </c>
      <c r="I28" t="s">
        <v>439</v>
      </c>
      <c r="J28" t="s">
        <v>448</v>
      </c>
      <c r="K28" t="s">
        <v>194</v>
      </c>
      <c r="L28" t="s">
        <v>195</v>
      </c>
      <c r="M28" t="s">
        <v>196</v>
      </c>
      <c r="N28" t="str">
        <f t="shared" si="0"/>
        <v>4000155_0_1_472_0,4000160_0_1_471_0,4000255_0_1_377_0,4000260_0_1_377_0,4000355_0_1_189_0,4000360_0_1_188_0,4000455_0_1_94_1,4000460_0_1_94_1,4000555_0_1_9_1,4000560_0_1_9_1,30000_40003_1_395,30000_40002_1_169,30000_40001_1_84</v>
      </c>
    </row>
    <row r="29" spans="1:14">
      <c r="A29" t="s">
        <v>457</v>
      </c>
      <c r="B29" t="s">
        <v>458</v>
      </c>
      <c r="C29" t="s">
        <v>459</v>
      </c>
      <c r="D29" t="s">
        <v>460</v>
      </c>
      <c r="E29" t="s">
        <v>461</v>
      </c>
      <c r="F29" t="s">
        <v>462</v>
      </c>
      <c r="G29" t="s">
        <v>463</v>
      </c>
      <c r="H29" t="s">
        <v>464</v>
      </c>
      <c r="I29" t="s">
        <v>465</v>
      </c>
      <c r="J29" t="s">
        <v>448</v>
      </c>
      <c r="K29" t="s">
        <v>197</v>
      </c>
      <c r="L29" t="s">
        <v>198</v>
      </c>
      <c r="M29" t="s">
        <v>199</v>
      </c>
      <c r="N29" t="str">
        <f t="shared" si="0"/>
        <v>4000155_0_1_481_0,4000160_0_1_480_0,4000255_0_1_385_0,4000260_0_1_384_0,4000355_0_1_192_0,4000360_0_1_192_0,4000455_0_1_96_1,4000460_0_1_96_1,4000555_0_1_10_1,4000560_0_1_9_1,30000_40003_1_403,30000_40002_1_172,30000_40001_1_86</v>
      </c>
    </row>
    <row r="30" spans="1:14">
      <c r="A30" t="s">
        <v>466</v>
      </c>
      <c r="B30" t="s">
        <v>467</v>
      </c>
      <c r="C30" t="s">
        <v>468</v>
      </c>
      <c r="D30" t="s">
        <v>469</v>
      </c>
      <c r="E30" t="s">
        <v>470</v>
      </c>
      <c r="F30" t="s">
        <v>471</v>
      </c>
      <c r="G30" t="s">
        <v>472</v>
      </c>
      <c r="H30" t="s">
        <v>473</v>
      </c>
      <c r="I30" t="s">
        <v>448</v>
      </c>
      <c r="J30" t="s">
        <v>474</v>
      </c>
      <c r="K30" t="s">
        <v>200</v>
      </c>
      <c r="L30" t="s">
        <v>201</v>
      </c>
      <c r="M30" t="s">
        <v>202</v>
      </c>
      <c r="N30" t="str">
        <f t="shared" si="0"/>
        <v>4000160_0_1_490_0,4000165_0_1_490_0,4000260_0_1_392_0,4000265_0_1_392_0,4000360_0_1_196_0,4000365_0_1_196_0,4000460_0_1_98_1,4000465_0_1_98_1,4000560_0_1_9_1,4000565_0_1_10_1,30000_40003_1_410,30000_40002_1_176,30000_40001_1_88</v>
      </c>
    </row>
    <row r="31" spans="1:14">
      <c r="A31" t="s">
        <v>475</v>
      </c>
      <c r="B31" t="s">
        <v>476</v>
      </c>
      <c r="C31" t="s">
        <v>477</v>
      </c>
      <c r="D31" t="s">
        <v>478</v>
      </c>
      <c r="E31" t="s">
        <v>479</v>
      </c>
      <c r="F31" t="s">
        <v>480</v>
      </c>
      <c r="G31" t="s">
        <v>481</v>
      </c>
      <c r="H31" t="s">
        <v>482</v>
      </c>
      <c r="I31" t="s">
        <v>448</v>
      </c>
      <c r="J31" t="s">
        <v>474</v>
      </c>
      <c r="K31" t="s">
        <v>203</v>
      </c>
      <c r="L31" t="s">
        <v>204</v>
      </c>
      <c r="M31" t="s">
        <v>205</v>
      </c>
      <c r="N31" t="str">
        <f t="shared" si="0"/>
        <v>4000160_0_1_499_0,4000165_0_1_499_0,4000260_0_1_399_0,4000265_0_1_399_0,4000360_0_1_200_0,4000365_0_1_200_0,4000460_0_1_100_1,4000465_0_1_100_1,4000560_0_1_9_1,4000565_0_1_10_1,30000_40003_1_418,30000_40002_1_179,30000_40001_1_89</v>
      </c>
    </row>
    <row r="32" spans="1:14">
      <c r="A32" t="s">
        <v>483</v>
      </c>
      <c r="B32" t="s">
        <v>484</v>
      </c>
      <c r="C32" t="s">
        <v>485</v>
      </c>
      <c r="D32" t="s">
        <v>486</v>
      </c>
      <c r="E32" t="s">
        <v>487</v>
      </c>
      <c r="F32" t="s">
        <v>488</v>
      </c>
      <c r="G32" t="s">
        <v>489</v>
      </c>
      <c r="H32" t="s">
        <v>490</v>
      </c>
      <c r="I32" t="s">
        <v>474</v>
      </c>
      <c r="J32" t="s">
        <v>491</v>
      </c>
      <c r="K32" t="s">
        <v>206</v>
      </c>
      <c r="L32" t="s">
        <v>207</v>
      </c>
      <c r="M32" t="s">
        <v>208</v>
      </c>
      <c r="N32" t="str">
        <f t="shared" si="0"/>
        <v>4000165_0_1_508_0,4000170_0_1_508_0,4000265_0_1_407_0,4000270_0_1_406_0,4000365_0_1_203_0,4000370_0_1_203_0,4000465_0_1_102_1,4000470_0_1_101_1,4000565_0_1_10_1,4000570_0_1_10_1,30000_40003_1_426,30000_40002_1_182,30000_40001_1_91</v>
      </c>
    </row>
    <row r="33" spans="1:14">
      <c r="A33" t="s">
        <v>492</v>
      </c>
      <c r="B33" t="s">
        <v>493</v>
      </c>
      <c r="C33" t="s">
        <v>494</v>
      </c>
      <c r="D33" t="s">
        <v>495</v>
      </c>
      <c r="E33" t="s">
        <v>496</v>
      </c>
      <c r="F33" t="s">
        <v>497</v>
      </c>
      <c r="G33" t="s">
        <v>498</v>
      </c>
      <c r="H33" t="s">
        <v>499</v>
      </c>
      <c r="I33" t="s">
        <v>474</v>
      </c>
      <c r="J33" t="s">
        <v>491</v>
      </c>
      <c r="K33" t="s">
        <v>209</v>
      </c>
      <c r="L33" t="s">
        <v>210</v>
      </c>
      <c r="M33" t="s">
        <v>211</v>
      </c>
      <c r="N33" t="str">
        <f t="shared" si="0"/>
        <v>4000165_0_1_518_0,4000170_0_1_517_0,4000265_0_1_414_0,4000270_0_1_414_0,4000365_0_1_207_0,4000370_0_1_207_0,4000465_0_1_104_1,4000470_0_1_103_1,4000565_0_1_10_1,4000570_0_1_10_1,30000_40003_1_433,30000_40002_1_185,30000_40001_1_92</v>
      </c>
    </row>
    <row r="38" spans="1:14">
      <c r="A38">
        <v>1</v>
      </c>
      <c r="B38">
        <v>0</v>
      </c>
      <c r="C38">
        <f>1-A38-B38</f>
        <v>0</v>
      </c>
      <c r="D38" t="str">
        <f>"1_"&amp;A38*10000</f>
        <v>1_10000</v>
      </c>
      <c r="E38" t="str">
        <f>"2_"&amp;B38*10000</f>
        <v>2_0</v>
      </c>
      <c r="F38" t="str">
        <f>"3_"&amp;C38*10000</f>
        <v>3_0</v>
      </c>
      <c r="G38" t="str">
        <f>D38&amp;","&amp;E38&amp;","&amp;F38</f>
        <v>1_10000,2_0,3_0</v>
      </c>
    </row>
    <row r="39" spans="1:14">
      <c r="A39">
        <v>1</v>
      </c>
      <c r="B39">
        <v>0</v>
      </c>
      <c r="C39">
        <f t="shared" ref="C39:C73" si="1">1-A39-B39</f>
        <v>0</v>
      </c>
      <c r="D39" t="str">
        <f t="shared" ref="D39:D73" si="2">"1_"&amp;A39*10000</f>
        <v>1_10000</v>
      </c>
      <c r="E39" t="str">
        <f t="shared" ref="E39:E73" si="3">"2_"&amp;B39*10000</f>
        <v>2_0</v>
      </c>
      <c r="F39" t="str">
        <f t="shared" ref="F39:F73" si="4">"3_"&amp;C39*10000</f>
        <v>3_0</v>
      </c>
      <c r="G39" t="str">
        <f t="shared" ref="G39:G73" si="5">D39&amp;","&amp;E39&amp;","&amp;F39</f>
        <v>1_10000,2_0,3_0</v>
      </c>
    </row>
    <row r="40" spans="1:14">
      <c r="A40">
        <v>1</v>
      </c>
      <c r="B40">
        <v>0</v>
      </c>
      <c r="C40">
        <f t="shared" si="1"/>
        <v>0</v>
      </c>
      <c r="D40" t="str">
        <f t="shared" si="2"/>
        <v>1_10000</v>
      </c>
      <c r="E40" t="str">
        <f t="shared" si="3"/>
        <v>2_0</v>
      </c>
      <c r="F40" t="str">
        <f t="shared" si="4"/>
        <v>3_0</v>
      </c>
      <c r="G40" t="str">
        <f t="shared" si="5"/>
        <v>1_10000,2_0,3_0</v>
      </c>
    </row>
    <row r="41" spans="1:14">
      <c r="A41">
        <v>1</v>
      </c>
      <c r="B41">
        <v>0</v>
      </c>
      <c r="C41">
        <f t="shared" si="1"/>
        <v>0</v>
      </c>
      <c r="D41" t="str">
        <f t="shared" si="2"/>
        <v>1_10000</v>
      </c>
      <c r="E41" t="str">
        <f t="shared" si="3"/>
        <v>2_0</v>
      </c>
      <c r="F41" t="str">
        <f t="shared" si="4"/>
        <v>3_0</v>
      </c>
      <c r="G41" t="str">
        <f t="shared" si="5"/>
        <v>1_10000,2_0,3_0</v>
      </c>
    </row>
    <row r="42" spans="1:14">
      <c r="A42">
        <v>1</v>
      </c>
      <c r="B42">
        <v>0</v>
      </c>
      <c r="C42">
        <f t="shared" si="1"/>
        <v>0</v>
      </c>
      <c r="D42" t="str">
        <f t="shared" si="2"/>
        <v>1_10000</v>
      </c>
      <c r="E42" t="str">
        <f t="shared" si="3"/>
        <v>2_0</v>
      </c>
      <c r="F42" t="str">
        <f t="shared" si="4"/>
        <v>3_0</v>
      </c>
      <c r="G42" t="str">
        <f t="shared" si="5"/>
        <v>1_10000,2_0,3_0</v>
      </c>
    </row>
    <row r="43" spans="1:14">
      <c r="A43">
        <v>1</v>
      </c>
      <c r="B43">
        <v>0</v>
      </c>
      <c r="C43">
        <f t="shared" si="1"/>
        <v>0</v>
      </c>
      <c r="D43" t="str">
        <f t="shared" si="2"/>
        <v>1_10000</v>
      </c>
      <c r="E43" t="str">
        <f t="shared" si="3"/>
        <v>2_0</v>
      </c>
      <c r="F43" t="str">
        <f t="shared" si="4"/>
        <v>3_0</v>
      </c>
      <c r="G43" t="str">
        <f t="shared" si="5"/>
        <v>1_10000,2_0,3_0</v>
      </c>
    </row>
    <row r="44" spans="1:14">
      <c r="A44">
        <v>0.7</v>
      </c>
      <c r="B44">
        <v>0.3</v>
      </c>
      <c r="C44">
        <f t="shared" si="1"/>
        <v>0</v>
      </c>
      <c r="D44" t="str">
        <f t="shared" si="2"/>
        <v>1_7000</v>
      </c>
      <c r="E44" t="str">
        <f t="shared" si="3"/>
        <v>2_3000</v>
      </c>
      <c r="F44" t="str">
        <f t="shared" si="4"/>
        <v>3_0</v>
      </c>
      <c r="G44" t="str">
        <f t="shared" si="5"/>
        <v>1_7000,2_3000,3_0</v>
      </c>
    </row>
    <row r="45" spans="1:14">
      <c r="A45">
        <v>0.65</v>
      </c>
      <c r="B45">
        <f t="shared" ref="B45" si="6">B44+0.05</f>
        <v>0.35</v>
      </c>
      <c r="C45">
        <f t="shared" si="1"/>
        <v>0</v>
      </c>
      <c r="D45" t="str">
        <f t="shared" si="2"/>
        <v>1_6500</v>
      </c>
      <c r="E45" t="str">
        <f t="shared" si="3"/>
        <v>2_3500</v>
      </c>
      <c r="F45" t="str">
        <f t="shared" si="4"/>
        <v>3_0</v>
      </c>
      <c r="G45" t="str">
        <f t="shared" si="5"/>
        <v>1_6500,2_3500,3_0</v>
      </c>
    </row>
    <row r="46" spans="1:14">
      <c r="A46">
        <v>0.6</v>
      </c>
      <c r="B46">
        <v>0.4</v>
      </c>
      <c r="C46">
        <f t="shared" si="1"/>
        <v>0</v>
      </c>
      <c r="D46" t="str">
        <f t="shared" si="2"/>
        <v>1_6000</v>
      </c>
      <c r="E46" t="str">
        <f t="shared" si="3"/>
        <v>2_4000</v>
      </c>
      <c r="F46" t="str">
        <f t="shared" si="4"/>
        <v>3_0</v>
      </c>
      <c r="G46" t="str">
        <f t="shared" si="5"/>
        <v>1_6000,2_4000,3_0</v>
      </c>
    </row>
    <row r="47" spans="1:14">
      <c r="A47">
        <v>0.55000000000000004</v>
      </c>
      <c r="B47">
        <v>0.45</v>
      </c>
      <c r="C47">
        <f t="shared" si="1"/>
        <v>0</v>
      </c>
      <c r="D47" t="str">
        <f t="shared" si="2"/>
        <v>1_5500</v>
      </c>
      <c r="E47" t="str">
        <f t="shared" si="3"/>
        <v>2_4500</v>
      </c>
      <c r="F47" t="str">
        <f t="shared" si="4"/>
        <v>3_0</v>
      </c>
      <c r="G47" t="str">
        <f t="shared" si="5"/>
        <v>1_5500,2_4500,3_0</v>
      </c>
    </row>
    <row r="48" spans="1:14">
      <c r="A48">
        <v>0.55000000000000004</v>
      </c>
      <c r="B48">
        <v>0.45</v>
      </c>
      <c r="C48">
        <f t="shared" si="1"/>
        <v>0</v>
      </c>
      <c r="D48" t="str">
        <f t="shared" si="2"/>
        <v>1_5500</v>
      </c>
      <c r="E48" t="str">
        <f t="shared" si="3"/>
        <v>2_4500</v>
      </c>
      <c r="F48" t="str">
        <f t="shared" si="4"/>
        <v>3_0</v>
      </c>
      <c r="G48" t="str">
        <f t="shared" si="5"/>
        <v>1_5500,2_4500,3_0</v>
      </c>
    </row>
    <row r="49" spans="1:7">
      <c r="A49">
        <f t="shared" ref="A49:A53" si="7">A47-0.05</f>
        <v>0.5</v>
      </c>
      <c r="B49">
        <v>0.5</v>
      </c>
      <c r="C49">
        <f t="shared" si="1"/>
        <v>0</v>
      </c>
      <c r="D49" t="str">
        <f t="shared" si="2"/>
        <v>1_5000</v>
      </c>
      <c r="E49" t="str">
        <f t="shared" si="3"/>
        <v>2_5000</v>
      </c>
      <c r="F49" t="str">
        <f t="shared" si="4"/>
        <v>3_0</v>
      </c>
      <c r="G49" t="str">
        <f t="shared" si="5"/>
        <v>1_5000,2_5000,3_0</v>
      </c>
    </row>
    <row r="50" spans="1:7">
      <c r="A50">
        <f t="shared" si="7"/>
        <v>0.5</v>
      </c>
      <c r="B50">
        <v>0.5</v>
      </c>
      <c r="C50">
        <f t="shared" si="1"/>
        <v>0</v>
      </c>
      <c r="D50" t="str">
        <f t="shared" si="2"/>
        <v>1_5000</v>
      </c>
      <c r="E50" t="str">
        <f t="shared" si="3"/>
        <v>2_5000</v>
      </c>
      <c r="F50" t="str">
        <f t="shared" si="4"/>
        <v>3_0</v>
      </c>
      <c r="G50" t="str">
        <f t="shared" si="5"/>
        <v>1_5000,2_5000,3_0</v>
      </c>
    </row>
    <row r="51" spans="1:7">
      <c r="A51">
        <v>0.5</v>
      </c>
      <c r="B51">
        <v>0.5</v>
      </c>
      <c r="C51">
        <f t="shared" si="1"/>
        <v>0</v>
      </c>
      <c r="D51" t="str">
        <f t="shared" si="2"/>
        <v>1_5000</v>
      </c>
      <c r="E51" t="str">
        <f t="shared" si="3"/>
        <v>2_5000</v>
      </c>
      <c r="F51" t="str">
        <f t="shared" si="4"/>
        <v>3_0</v>
      </c>
      <c r="G51" t="str">
        <f t="shared" si="5"/>
        <v>1_5000,2_5000,3_0</v>
      </c>
    </row>
    <row r="52" spans="1:7">
      <c r="A52">
        <v>0.5</v>
      </c>
      <c r="B52">
        <v>0.5</v>
      </c>
      <c r="C52">
        <f t="shared" si="1"/>
        <v>0</v>
      </c>
      <c r="D52" t="str">
        <f t="shared" si="2"/>
        <v>1_5000</v>
      </c>
      <c r="E52" t="str">
        <f t="shared" si="3"/>
        <v>2_5000</v>
      </c>
      <c r="F52" t="str">
        <f t="shared" si="4"/>
        <v>3_0</v>
      </c>
      <c r="G52" t="str">
        <f t="shared" si="5"/>
        <v>1_5000,2_5000,3_0</v>
      </c>
    </row>
    <row r="53" spans="1:7">
      <c r="A53">
        <f t="shared" si="7"/>
        <v>0.45</v>
      </c>
      <c r="B53">
        <v>0.5</v>
      </c>
      <c r="C53">
        <f t="shared" si="1"/>
        <v>5.0000000000000044E-2</v>
      </c>
      <c r="D53" t="str">
        <f t="shared" si="2"/>
        <v>1_4500</v>
      </c>
      <c r="E53" t="str">
        <f t="shared" si="3"/>
        <v>2_5000</v>
      </c>
      <c r="F53" t="str">
        <f t="shared" si="4"/>
        <v>3_500</v>
      </c>
      <c r="G53" t="str">
        <f t="shared" si="5"/>
        <v>1_4500,2_5000,3_500</v>
      </c>
    </row>
    <row r="54" spans="1:7">
      <c r="A54">
        <v>0.3</v>
      </c>
      <c r="B54">
        <v>0.55000000000000004</v>
      </c>
      <c r="C54">
        <f t="shared" si="1"/>
        <v>0.14999999999999991</v>
      </c>
      <c r="D54" t="str">
        <f t="shared" si="2"/>
        <v>1_3000</v>
      </c>
      <c r="E54" t="str">
        <f t="shared" si="3"/>
        <v>2_5500</v>
      </c>
      <c r="F54" t="str">
        <f t="shared" si="4"/>
        <v>3_1500</v>
      </c>
      <c r="G54" t="str">
        <f t="shared" si="5"/>
        <v>1_3000,2_5500,3_1500</v>
      </c>
    </row>
    <row r="55" spans="1:7">
      <c r="A55">
        <v>0.2</v>
      </c>
      <c r="B55">
        <v>0.6</v>
      </c>
      <c r="C55">
        <f t="shared" si="1"/>
        <v>0.20000000000000007</v>
      </c>
      <c r="D55" t="str">
        <f t="shared" si="2"/>
        <v>1_2000</v>
      </c>
      <c r="E55" t="str">
        <f t="shared" si="3"/>
        <v>2_6000</v>
      </c>
      <c r="F55" t="str">
        <f t="shared" si="4"/>
        <v>3_2000</v>
      </c>
      <c r="G55" t="str">
        <f t="shared" si="5"/>
        <v>1_2000,2_6000,3_2000</v>
      </c>
    </row>
    <row r="56" spans="1:7">
      <c r="A56">
        <v>0.2</v>
      </c>
      <c r="B56">
        <v>0.6</v>
      </c>
      <c r="C56">
        <f t="shared" si="1"/>
        <v>0.20000000000000007</v>
      </c>
      <c r="D56" t="str">
        <f t="shared" si="2"/>
        <v>1_2000</v>
      </c>
      <c r="E56" t="str">
        <f t="shared" si="3"/>
        <v>2_6000</v>
      </c>
      <c r="F56" t="str">
        <f t="shared" si="4"/>
        <v>3_2000</v>
      </c>
      <c r="G56" t="str">
        <f t="shared" si="5"/>
        <v>1_2000,2_6000,3_2000</v>
      </c>
    </row>
    <row r="57" spans="1:7">
      <c r="A57">
        <v>0.1</v>
      </c>
      <c r="B57">
        <v>0.65</v>
      </c>
      <c r="C57">
        <f t="shared" si="1"/>
        <v>0.25</v>
      </c>
      <c r="D57" t="str">
        <f t="shared" si="2"/>
        <v>1_1000</v>
      </c>
      <c r="E57" t="str">
        <f t="shared" si="3"/>
        <v>2_6500</v>
      </c>
      <c r="F57" t="str">
        <f t="shared" si="4"/>
        <v>3_2500</v>
      </c>
      <c r="G57" t="str">
        <f t="shared" si="5"/>
        <v>1_1000,2_6500,3_2500</v>
      </c>
    </row>
    <row r="58" spans="1:7">
      <c r="A58">
        <v>0.1</v>
      </c>
      <c r="B58">
        <v>0.65</v>
      </c>
      <c r="C58">
        <f t="shared" si="1"/>
        <v>0.25</v>
      </c>
      <c r="D58" t="str">
        <f t="shared" si="2"/>
        <v>1_1000</v>
      </c>
      <c r="E58" t="str">
        <f t="shared" si="3"/>
        <v>2_6500</v>
      </c>
      <c r="F58" t="str">
        <f t="shared" si="4"/>
        <v>3_2500</v>
      </c>
      <c r="G58" t="str">
        <f t="shared" si="5"/>
        <v>1_1000,2_6500,3_2500</v>
      </c>
    </row>
    <row r="59" spans="1:7">
      <c r="A59">
        <v>0</v>
      </c>
      <c r="B59">
        <v>0.6</v>
      </c>
      <c r="C59">
        <f t="shared" si="1"/>
        <v>0.4</v>
      </c>
      <c r="D59" t="str">
        <f t="shared" si="2"/>
        <v>1_0</v>
      </c>
      <c r="E59" t="str">
        <f t="shared" si="3"/>
        <v>2_6000</v>
      </c>
      <c r="F59" t="str">
        <f t="shared" si="4"/>
        <v>3_4000</v>
      </c>
      <c r="G59" t="str">
        <f t="shared" si="5"/>
        <v>1_0,2_6000,3_4000</v>
      </c>
    </row>
    <row r="60" spans="1:7">
      <c r="A60">
        <v>0</v>
      </c>
      <c r="B60">
        <v>0.55000000000000004</v>
      </c>
      <c r="C60">
        <f t="shared" si="1"/>
        <v>0.44999999999999996</v>
      </c>
      <c r="D60" t="str">
        <f t="shared" si="2"/>
        <v>1_0</v>
      </c>
      <c r="E60" t="str">
        <f t="shared" si="3"/>
        <v>2_5500</v>
      </c>
      <c r="F60" t="str">
        <f t="shared" si="4"/>
        <v>3_4500</v>
      </c>
      <c r="G60" t="str">
        <f t="shared" si="5"/>
        <v>1_0,2_5500,3_4500</v>
      </c>
    </row>
    <row r="61" spans="1:7">
      <c r="A61">
        <v>0</v>
      </c>
      <c r="B61">
        <v>0.5</v>
      </c>
      <c r="C61">
        <f t="shared" si="1"/>
        <v>0.5</v>
      </c>
      <c r="D61" t="str">
        <f t="shared" si="2"/>
        <v>1_0</v>
      </c>
      <c r="E61" t="str">
        <f t="shared" si="3"/>
        <v>2_5000</v>
      </c>
      <c r="F61" t="str">
        <f t="shared" si="4"/>
        <v>3_5000</v>
      </c>
      <c r="G61" t="str">
        <f t="shared" si="5"/>
        <v>1_0,2_5000,3_5000</v>
      </c>
    </row>
    <row r="62" spans="1:7">
      <c r="A62">
        <v>0</v>
      </c>
      <c r="B62">
        <v>0.4</v>
      </c>
      <c r="C62">
        <f t="shared" si="1"/>
        <v>0.6</v>
      </c>
      <c r="D62" t="str">
        <f t="shared" si="2"/>
        <v>1_0</v>
      </c>
      <c r="E62" t="str">
        <f t="shared" si="3"/>
        <v>2_4000</v>
      </c>
      <c r="F62" t="str">
        <f t="shared" si="4"/>
        <v>3_6000</v>
      </c>
      <c r="G62" t="str">
        <f t="shared" si="5"/>
        <v>1_0,2_4000,3_6000</v>
      </c>
    </row>
    <row r="63" spans="1:7">
      <c r="A63">
        <v>0</v>
      </c>
      <c r="B63">
        <v>0.3</v>
      </c>
      <c r="C63">
        <f t="shared" si="1"/>
        <v>0.7</v>
      </c>
      <c r="D63" t="str">
        <f t="shared" si="2"/>
        <v>1_0</v>
      </c>
      <c r="E63" t="str">
        <f t="shared" si="3"/>
        <v>2_3000</v>
      </c>
      <c r="F63" t="str">
        <f t="shared" si="4"/>
        <v>3_7000</v>
      </c>
      <c r="G63" t="str">
        <f t="shared" si="5"/>
        <v>1_0,2_3000,3_7000</v>
      </c>
    </row>
    <row r="64" spans="1:7">
      <c r="A64">
        <v>0</v>
      </c>
      <c r="B64">
        <v>0</v>
      </c>
      <c r="C64">
        <f t="shared" si="1"/>
        <v>1</v>
      </c>
      <c r="D64" t="str">
        <f t="shared" si="2"/>
        <v>1_0</v>
      </c>
      <c r="E64" t="str">
        <f t="shared" si="3"/>
        <v>2_0</v>
      </c>
      <c r="F64" t="str">
        <f t="shared" si="4"/>
        <v>3_10000</v>
      </c>
      <c r="G64" t="str">
        <f t="shared" si="5"/>
        <v>1_0,2_0,3_10000</v>
      </c>
    </row>
    <row r="65" spans="1:7">
      <c r="A65">
        <v>0</v>
      </c>
      <c r="B65">
        <v>0</v>
      </c>
      <c r="C65">
        <f t="shared" si="1"/>
        <v>1</v>
      </c>
      <c r="D65" t="str">
        <f t="shared" si="2"/>
        <v>1_0</v>
      </c>
      <c r="E65" t="str">
        <f t="shared" si="3"/>
        <v>2_0</v>
      </c>
      <c r="F65" t="str">
        <f t="shared" si="4"/>
        <v>3_10000</v>
      </c>
      <c r="G65" t="str">
        <f t="shared" si="5"/>
        <v>1_0,2_0,3_10000</v>
      </c>
    </row>
    <row r="66" spans="1:7">
      <c r="A66">
        <v>0</v>
      </c>
      <c r="B66">
        <v>0</v>
      </c>
      <c r="C66">
        <f t="shared" si="1"/>
        <v>1</v>
      </c>
      <c r="D66" t="str">
        <f t="shared" si="2"/>
        <v>1_0</v>
      </c>
      <c r="E66" t="str">
        <f t="shared" si="3"/>
        <v>2_0</v>
      </c>
      <c r="F66" t="str">
        <f t="shared" si="4"/>
        <v>3_10000</v>
      </c>
      <c r="G66" t="str">
        <f t="shared" si="5"/>
        <v>1_0,2_0,3_10000</v>
      </c>
    </row>
    <row r="67" spans="1:7">
      <c r="A67">
        <v>0</v>
      </c>
      <c r="B67">
        <v>0</v>
      </c>
      <c r="C67">
        <f t="shared" si="1"/>
        <v>1</v>
      </c>
      <c r="D67" t="str">
        <f t="shared" si="2"/>
        <v>1_0</v>
      </c>
      <c r="E67" t="str">
        <f t="shared" si="3"/>
        <v>2_0</v>
      </c>
      <c r="F67" t="str">
        <f t="shared" si="4"/>
        <v>3_10000</v>
      </c>
      <c r="G67" t="str">
        <f t="shared" si="5"/>
        <v>1_0,2_0,3_10000</v>
      </c>
    </row>
    <row r="68" spans="1:7">
      <c r="A68">
        <v>0</v>
      </c>
      <c r="B68">
        <v>0</v>
      </c>
      <c r="C68">
        <f t="shared" si="1"/>
        <v>1</v>
      </c>
      <c r="D68" t="str">
        <f t="shared" si="2"/>
        <v>1_0</v>
      </c>
      <c r="E68" t="str">
        <f t="shared" si="3"/>
        <v>2_0</v>
      </c>
      <c r="F68" t="str">
        <f t="shared" si="4"/>
        <v>3_10000</v>
      </c>
      <c r="G68" t="str">
        <f t="shared" si="5"/>
        <v>1_0,2_0,3_10000</v>
      </c>
    </row>
    <row r="69" spans="1:7">
      <c r="A69">
        <v>0</v>
      </c>
      <c r="B69">
        <v>0</v>
      </c>
      <c r="C69">
        <f t="shared" si="1"/>
        <v>1</v>
      </c>
      <c r="D69" t="str">
        <f t="shared" si="2"/>
        <v>1_0</v>
      </c>
      <c r="E69" t="str">
        <f t="shared" si="3"/>
        <v>2_0</v>
      </c>
      <c r="F69" t="str">
        <f t="shared" si="4"/>
        <v>3_10000</v>
      </c>
      <c r="G69" t="str">
        <f t="shared" si="5"/>
        <v>1_0,2_0,3_10000</v>
      </c>
    </row>
    <row r="70" spans="1:7">
      <c r="A70">
        <v>0</v>
      </c>
      <c r="B70">
        <v>0</v>
      </c>
      <c r="C70">
        <f t="shared" si="1"/>
        <v>1</v>
      </c>
      <c r="D70" t="str">
        <f t="shared" si="2"/>
        <v>1_0</v>
      </c>
      <c r="E70" t="str">
        <f t="shared" si="3"/>
        <v>2_0</v>
      </c>
      <c r="F70" t="str">
        <f t="shared" si="4"/>
        <v>3_10000</v>
      </c>
      <c r="G70" t="str">
        <f t="shared" si="5"/>
        <v>1_0,2_0,3_10000</v>
      </c>
    </row>
    <row r="71" spans="1:7">
      <c r="A71">
        <v>0</v>
      </c>
      <c r="B71">
        <v>0</v>
      </c>
      <c r="C71">
        <f t="shared" si="1"/>
        <v>1</v>
      </c>
      <c r="D71" t="str">
        <f t="shared" si="2"/>
        <v>1_0</v>
      </c>
      <c r="E71" t="str">
        <f t="shared" si="3"/>
        <v>2_0</v>
      </c>
      <c r="F71" t="str">
        <f t="shared" si="4"/>
        <v>3_10000</v>
      </c>
      <c r="G71" t="str">
        <f t="shared" si="5"/>
        <v>1_0,2_0,3_10000</v>
      </c>
    </row>
    <row r="72" spans="1:7">
      <c r="A72">
        <v>0</v>
      </c>
      <c r="B72">
        <v>0</v>
      </c>
      <c r="C72">
        <f t="shared" si="1"/>
        <v>1</v>
      </c>
      <c r="D72" t="str">
        <f t="shared" si="2"/>
        <v>1_0</v>
      </c>
      <c r="E72" t="str">
        <f t="shared" si="3"/>
        <v>2_0</v>
      </c>
      <c r="F72" t="str">
        <f t="shared" si="4"/>
        <v>3_10000</v>
      </c>
      <c r="G72" t="str">
        <f t="shared" si="5"/>
        <v>1_0,2_0,3_10000</v>
      </c>
    </row>
    <row r="73" spans="1:7">
      <c r="A73">
        <v>0</v>
      </c>
      <c r="B73">
        <v>0</v>
      </c>
      <c r="C73">
        <f t="shared" si="1"/>
        <v>1</v>
      </c>
      <c r="D73" t="str">
        <f t="shared" si="2"/>
        <v>1_0</v>
      </c>
      <c r="E73" t="str">
        <f t="shared" si="3"/>
        <v>2_0</v>
      </c>
      <c r="F73" t="str">
        <f t="shared" si="4"/>
        <v>3_10000</v>
      </c>
      <c r="G73" t="str">
        <f t="shared" si="5"/>
        <v>1_0,2_0,3_10000</v>
      </c>
    </row>
    <row r="80" spans="1:7">
      <c r="E80">
        <v>1</v>
      </c>
      <c r="F80">
        <v>2</v>
      </c>
      <c r="G80">
        <v>3</v>
      </c>
    </row>
    <row r="81" spans="1:13">
      <c r="E81">
        <v>30</v>
      </c>
      <c r="F81">
        <v>47</v>
      </c>
      <c r="G81">
        <v>57</v>
      </c>
    </row>
    <row r="82" spans="1:13">
      <c r="A82" t="s">
        <v>213</v>
      </c>
      <c r="K82">
        <v>1</v>
      </c>
      <c r="L82">
        <f>M82*K82</f>
        <v>8.2000000000000003E-2</v>
      </c>
      <c r="M82">
        <v>8.2000000000000003E-2</v>
      </c>
    </row>
    <row r="83" spans="1:13">
      <c r="A83" t="s">
        <v>213</v>
      </c>
      <c r="K83">
        <v>1</v>
      </c>
      <c r="L83">
        <f t="shared" ref="L83:L116" si="8">M83*K83</f>
        <v>8.1500000000000003E-2</v>
      </c>
      <c r="M83">
        <v>8.1500000000000003E-2</v>
      </c>
    </row>
    <row r="84" spans="1:13">
      <c r="A84" t="s">
        <v>213</v>
      </c>
      <c r="K84">
        <v>1</v>
      </c>
      <c r="L84">
        <f t="shared" si="8"/>
        <v>8.1000000000000003E-2</v>
      </c>
      <c r="M84">
        <v>8.1000000000000003E-2</v>
      </c>
    </row>
    <row r="85" spans="1:13">
      <c r="A85" t="s">
        <v>213</v>
      </c>
      <c r="K85">
        <v>1</v>
      </c>
      <c r="L85">
        <f t="shared" si="8"/>
        <v>8.0500000000000002E-2</v>
      </c>
      <c r="M85">
        <v>8.0500000000000002E-2</v>
      </c>
    </row>
    <row r="86" spans="1:13">
      <c r="A86" t="s">
        <v>213</v>
      </c>
      <c r="K86">
        <v>1</v>
      </c>
      <c r="L86">
        <f t="shared" si="8"/>
        <v>0.08</v>
      </c>
      <c r="M86">
        <v>0.08</v>
      </c>
    </row>
    <row r="87" spans="1:13">
      <c r="A87" t="s">
        <v>612</v>
      </c>
      <c r="H87" t="s">
        <v>515</v>
      </c>
      <c r="J87" t="s">
        <v>514</v>
      </c>
      <c r="K87">
        <v>1</v>
      </c>
      <c r="L87">
        <f t="shared" si="8"/>
        <v>7.9500000000000001E-2</v>
      </c>
      <c r="M87">
        <v>7.9500000000000001E-2</v>
      </c>
    </row>
    <row r="88" spans="1:13">
      <c r="A88" t="s">
        <v>513</v>
      </c>
      <c r="E88">
        <v>0.7</v>
      </c>
      <c r="F88">
        <v>0.3</v>
      </c>
      <c r="H88">
        <f>E$81*E88+F$81*F88+G$81*G88</f>
        <v>35.1</v>
      </c>
      <c r="I88">
        <f>ROUNDDOWN((F$80*F88+E$80*E88+G$80*G88)*J88,0)</f>
        <v>46</v>
      </c>
      <c r="J88">
        <v>36</v>
      </c>
      <c r="K88">
        <f>(F$80*F88+E$80*E88+G$80*G88)</f>
        <v>1.2999999999999998</v>
      </c>
      <c r="L88">
        <f t="shared" si="8"/>
        <v>0.10269999999999999</v>
      </c>
      <c r="M88">
        <v>7.9000000000000001E-2</v>
      </c>
    </row>
    <row r="89" spans="1:13">
      <c r="A89" t="s">
        <v>214</v>
      </c>
      <c r="E89">
        <v>0.65</v>
      </c>
      <c r="F89">
        <v>0.35</v>
      </c>
      <c r="H89">
        <f t="shared" ref="H89:H116" si="9">E$81*E89+F$81*F89+G$81*G89</f>
        <v>35.950000000000003</v>
      </c>
      <c r="I89">
        <f t="shared" ref="I89:I116" si="10">ROUNDDOWN((F$80*F89+E$80*E89+G$80*G89)*J89,0)</f>
        <v>59</v>
      </c>
      <c r="J89">
        <v>44</v>
      </c>
      <c r="K89">
        <f t="shared" ref="K89:K116" si="11">(F$80*F89+E$80*E89+G$80*G89)</f>
        <v>1.35</v>
      </c>
      <c r="L89">
        <f t="shared" si="8"/>
        <v>0.10597500000000001</v>
      </c>
      <c r="M89">
        <v>7.85E-2</v>
      </c>
    </row>
    <row r="90" spans="1:13">
      <c r="A90" t="s">
        <v>215</v>
      </c>
      <c r="E90">
        <v>0.6</v>
      </c>
      <c r="F90">
        <v>0.4</v>
      </c>
      <c r="H90">
        <f t="shared" si="9"/>
        <v>36.799999999999997</v>
      </c>
      <c r="I90">
        <f t="shared" si="10"/>
        <v>72</v>
      </c>
      <c r="J90">
        <v>52</v>
      </c>
      <c r="K90">
        <f t="shared" si="11"/>
        <v>1.4</v>
      </c>
      <c r="L90">
        <f t="shared" si="8"/>
        <v>0.10919999999999999</v>
      </c>
      <c r="M90">
        <v>7.8E-2</v>
      </c>
    </row>
    <row r="91" spans="1:13">
      <c r="A91" s="3" t="s">
        <v>216</v>
      </c>
      <c r="E91">
        <v>0.55000000000000004</v>
      </c>
      <c r="F91">
        <v>0.45</v>
      </c>
      <c r="H91">
        <f t="shared" si="9"/>
        <v>37.650000000000006</v>
      </c>
      <c r="I91">
        <f t="shared" si="10"/>
        <v>87</v>
      </c>
      <c r="J91">
        <v>60</v>
      </c>
      <c r="K91">
        <f t="shared" si="11"/>
        <v>1.4500000000000002</v>
      </c>
      <c r="L91">
        <f t="shared" si="8"/>
        <v>0.11237500000000002</v>
      </c>
      <c r="M91">
        <v>7.7499999999999999E-2</v>
      </c>
    </row>
    <row r="92" spans="1:13">
      <c r="A92" t="s">
        <v>216</v>
      </c>
      <c r="E92">
        <v>0.55000000000000004</v>
      </c>
      <c r="F92">
        <v>0.45</v>
      </c>
      <c r="H92">
        <f t="shared" si="9"/>
        <v>37.650000000000006</v>
      </c>
      <c r="I92">
        <f t="shared" si="10"/>
        <v>98</v>
      </c>
      <c r="J92">
        <v>68</v>
      </c>
      <c r="K92">
        <f t="shared" si="11"/>
        <v>1.4500000000000002</v>
      </c>
      <c r="L92">
        <f t="shared" si="8"/>
        <v>0.11165000000000001</v>
      </c>
      <c r="M92">
        <v>7.6999999999999999E-2</v>
      </c>
    </row>
    <row r="93" spans="1:13">
      <c r="A93" t="s">
        <v>217</v>
      </c>
      <c r="E93">
        <v>0.5</v>
      </c>
      <c r="F93">
        <v>0.5</v>
      </c>
      <c r="H93">
        <f t="shared" si="9"/>
        <v>38.5</v>
      </c>
      <c r="I93">
        <f t="shared" si="10"/>
        <v>120</v>
      </c>
      <c r="J93">
        <v>80</v>
      </c>
      <c r="K93">
        <f t="shared" si="11"/>
        <v>1.5</v>
      </c>
      <c r="L93">
        <f t="shared" si="8"/>
        <v>0.11474999999999999</v>
      </c>
      <c r="M93">
        <v>7.6499999999999999E-2</v>
      </c>
    </row>
    <row r="94" spans="1:13">
      <c r="A94" t="s">
        <v>501</v>
      </c>
      <c r="E94">
        <v>0</v>
      </c>
      <c r="F94">
        <v>1</v>
      </c>
      <c r="H94">
        <f t="shared" si="9"/>
        <v>47</v>
      </c>
      <c r="I94">
        <f t="shared" si="10"/>
        <v>184</v>
      </c>
      <c r="J94">
        <v>92</v>
      </c>
      <c r="K94">
        <f t="shared" si="11"/>
        <v>2</v>
      </c>
      <c r="L94">
        <f t="shared" si="8"/>
        <v>0.152</v>
      </c>
      <c r="M94">
        <v>7.5999999999999998E-2</v>
      </c>
    </row>
    <row r="95" spans="1:13">
      <c r="A95" t="s">
        <v>501</v>
      </c>
      <c r="E95">
        <v>0</v>
      </c>
      <c r="F95">
        <v>1</v>
      </c>
      <c r="H95">
        <f t="shared" si="9"/>
        <v>47</v>
      </c>
      <c r="I95">
        <f t="shared" si="10"/>
        <v>208</v>
      </c>
      <c r="J95">
        <v>104</v>
      </c>
      <c r="K95">
        <f t="shared" si="11"/>
        <v>2</v>
      </c>
      <c r="L95">
        <f t="shared" si="8"/>
        <v>0.151</v>
      </c>
      <c r="M95">
        <v>7.5499999999999998E-2</v>
      </c>
    </row>
    <row r="96" spans="1:13">
      <c r="A96" t="s">
        <v>501</v>
      </c>
      <c r="F96">
        <v>1</v>
      </c>
      <c r="H96">
        <f t="shared" si="9"/>
        <v>47</v>
      </c>
      <c r="I96">
        <f t="shared" si="10"/>
        <v>232</v>
      </c>
      <c r="J96">
        <v>116</v>
      </c>
      <c r="K96">
        <f t="shared" si="11"/>
        <v>2</v>
      </c>
      <c r="L96">
        <f t="shared" si="8"/>
        <v>0.15</v>
      </c>
      <c r="M96">
        <v>7.4999999999999997E-2</v>
      </c>
    </row>
    <row r="97" spans="1:13">
      <c r="A97" t="s">
        <v>502</v>
      </c>
      <c r="F97">
        <v>0.8</v>
      </c>
      <c r="G97">
        <v>0.2</v>
      </c>
      <c r="H97">
        <f t="shared" si="9"/>
        <v>49</v>
      </c>
      <c r="I97">
        <f t="shared" si="10"/>
        <v>281</v>
      </c>
      <c r="J97">
        <v>128</v>
      </c>
      <c r="K97">
        <f t="shared" si="11"/>
        <v>2.2000000000000002</v>
      </c>
      <c r="L97">
        <f t="shared" si="8"/>
        <v>0.16390000000000002</v>
      </c>
      <c r="M97">
        <v>7.4499999999999997E-2</v>
      </c>
    </row>
    <row r="98" spans="1:13">
      <c r="A98" t="s">
        <v>503</v>
      </c>
      <c r="F98">
        <v>0.75</v>
      </c>
      <c r="G98">
        <v>0.25</v>
      </c>
      <c r="H98">
        <f t="shared" si="9"/>
        <v>49.5</v>
      </c>
      <c r="I98">
        <f t="shared" si="10"/>
        <v>315</v>
      </c>
      <c r="J98">
        <v>140</v>
      </c>
      <c r="K98">
        <f t="shared" si="11"/>
        <v>2.25</v>
      </c>
      <c r="L98">
        <f t="shared" si="8"/>
        <v>0.16649999999999998</v>
      </c>
      <c r="M98">
        <v>7.3999999999999996E-2</v>
      </c>
    </row>
    <row r="99" spans="1:13">
      <c r="A99" t="s">
        <v>504</v>
      </c>
      <c r="F99">
        <v>0.7</v>
      </c>
      <c r="G99">
        <v>0.3</v>
      </c>
      <c r="H99">
        <f t="shared" si="9"/>
        <v>50</v>
      </c>
      <c r="I99">
        <f t="shared" si="10"/>
        <v>349</v>
      </c>
      <c r="J99">
        <v>152</v>
      </c>
      <c r="K99">
        <f t="shared" si="11"/>
        <v>2.2999999999999998</v>
      </c>
      <c r="L99">
        <f t="shared" si="8"/>
        <v>0.16904999999999998</v>
      </c>
      <c r="M99">
        <v>7.3499999999999996E-2</v>
      </c>
    </row>
    <row r="100" spans="1:13">
      <c r="A100" s="4" t="s">
        <v>505</v>
      </c>
      <c r="F100">
        <v>0.65</v>
      </c>
      <c r="G100">
        <v>0.35</v>
      </c>
      <c r="H100">
        <f t="shared" si="9"/>
        <v>50.5</v>
      </c>
      <c r="I100">
        <f t="shared" si="10"/>
        <v>385</v>
      </c>
      <c r="J100">
        <v>164</v>
      </c>
      <c r="K100">
        <f t="shared" si="11"/>
        <v>2.3499999999999996</v>
      </c>
      <c r="L100">
        <f t="shared" si="8"/>
        <v>0.17154999999999995</v>
      </c>
      <c r="M100">
        <v>7.2999999999999995E-2</v>
      </c>
    </row>
    <row r="101" spans="1:13">
      <c r="A101" t="s">
        <v>506</v>
      </c>
      <c r="F101">
        <v>0.6</v>
      </c>
      <c r="G101">
        <v>0.4</v>
      </c>
      <c r="H101">
        <f t="shared" si="9"/>
        <v>51</v>
      </c>
      <c r="I101">
        <f t="shared" si="10"/>
        <v>422</v>
      </c>
      <c r="J101">
        <v>176</v>
      </c>
      <c r="K101">
        <f t="shared" si="11"/>
        <v>2.4000000000000004</v>
      </c>
      <c r="L101">
        <f t="shared" si="8"/>
        <v>0.17400000000000002</v>
      </c>
      <c r="M101">
        <v>7.2499999999999995E-2</v>
      </c>
    </row>
    <row r="102" spans="1:13">
      <c r="A102" t="s">
        <v>507</v>
      </c>
      <c r="F102">
        <v>0.55000000000000004</v>
      </c>
      <c r="G102">
        <v>0.45</v>
      </c>
      <c r="H102">
        <f t="shared" si="9"/>
        <v>51.5</v>
      </c>
      <c r="I102">
        <f t="shared" si="10"/>
        <v>460</v>
      </c>
      <c r="J102">
        <v>188</v>
      </c>
      <c r="K102">
        <f t="shared" si="11"/>
        <v>2.4500000000000002</v>
      </c>
      <c r="L102">
        <f t="shared" si="8"/>
        <v>0.1764</v>
      </c>
      <c r="M102">
        <v>7.1999999999999995E-2</v>
      </c>
    </row>
    <row r="103" spans="1:13">
      <c r="A103" t="s">
        <v>508</v>
      </c>
      <c r="F103">
        <v>0.5</v>
      </c>
      <c r="G103">
        <v>0.5</v>
      </c>
      <c r="H103">
        <f t="shared" si="9"/>
        <v>52</v>
      </c>
      <c r="I103">
        <f t="shared" si="10"/>
        <v>510</v>
      </c>
      <c r="J103">
        <v>204</v>
      </c>
      <c r="K103">
        <f t="shared" si="11"/>
        <v>2.5</v>
      </c>
      <c r="L103">
        <f t="shared" si="8"/>
        <v>0.17874999999999999</v>
      </c>
      <c r="M103">
        <v>7.1499999999999994E-2</v>
      </c>
    </row>
    <row r="104" spans="1:13">
      <c r="A104" t="s">
        <v>509</v>
      </c>
      <c r="F104">
        <v>0.4</v>
      </c>
      <c r="G104">
        <v>0.6</v>
      </c>
      <c r="H104">
        <f t="shared" si="9"/>
        <v>53</v>
      </c>
      <c r="I104">
        <f t="shared" si="10"/>
        <v>572</v>
      </c>
      <c r="J104">
        <v>220</v>
      </c>
      <c r="K104">
        <f t="shared" si="11"/>
        <v>2.5999999999999996</v>
      </c>
      <c r="L104">
        <f t="shared" si="8"/>
        <v>0.18459999999999996</v>
      </c>
      <c r="M104">
        <v>7.0999999999999994E-2</v>
      </c>
    </row>
    <row r="105" spans="1:13">
      <c r="A105" t="s">
        <v>510</v>
      </c>
      <c r="F105">
        <v>0.3</v>
      </c>
      <c r="G105">
        <v>0.7</v>
      </c>
      <c r="H105">
        <f t="shared" si="9"/>
        <v>54</v>
      </c>
      <c r="I105">
        <f t="shared" si="10"/>
        <v>637</v>
      </c>
      <c r="J105">
        <v>236</v>
      </c>
      <c r="K105">
        <f t="shared" si="11"/>
        <v>2.6999999999999997</v>
      </c>
      <c r="L105">
        <f t="shared" si="8"/>
        <v>0.19034999999999996</v>
      </c>
      <c r="M105">
        <v>7.0499999999999993E-2</v>
      </c>
    </row>
    <row r="106" spans="1:13">
      <c r="A106" t="s">
        <v>511</v>
      </c>
      <c r="F106">
        <v>0.25</v>
      </c>
      <c r="G106">
        <v>0.75</v>
      </c>
      <c r="H106">
        <f t="shared" si="9"/>
        <v>54.5</v>
      </c>
      <c r="I106">
        <f t="shared" si="10"/>
        <v>693</v>
      </c>
      <c r="J106">
        <v>252</v>
      </c>
      <c r="K106">
        <f t="shared" si="11"/>
        <v>2.75</v>
      </c>
      <c r="L106">
        <f t="shared" si="8"/>
        <v>0.1925</v>
      </c>
      <c r="M106">
        <v>7.0000000000000007E-2</v>
      </c>
    </row>
    <row r="107" spans="1:13">
      <c r="A107" t="s">
        <v>512</v>
      </c>
      <c r="F107">
        <v>0.2</v>
      </c>
      <c r="G107">
        <v>0.8</v>
      </c>
      <c r="H107">
        <f t="shared" si="9"/>
        <v>55</v>
      </c>
      <c r="I107">
        <f t="shared" si="10"/>
        <v>750</v>
      </c>
      <c r="J107">
        <v>268</v>
      </c>
      <c r="K107">
        <f t="shared" si="11"/>
        <v>2.8000000000000003</v>
      </c>
      <c r="L107">
        <f t="shared" si="8"/>
        <v>0.19460000000000002</v>
      </c>
      <c r="M107">
        <v>6.9500000000000006E-2</v>
      </c>
    </row>
    <row r="108" spans="1:13">
      <c r="A108" t="s">
        <v>218</v>
      </c>
      <c r="G108">
        <v>1</v>
      </c>
      <c r="H108">
        <f t="shared" si="9"/>
        <v>57</v>
      </c>
      <c r="I108">
        <f t="shared" si="10"/>
        <v>852</v>
      </c>
      <c r="J108">
        <v>284</v>
      </c>
      <c r="K108">
        <f t="shared" si="11"/>
        <v>3</v>
      </c>
      <c r="L108">
        <f t="shared" si="8"/>
        <v>0.20700000000000002</v>
      </c>
      <c r="M108">
        <v>6.9000000000000006E-2</v>
      </c>
    </row>
    <row r="109" spans="1:13">
      <c r="A109" t="s">
        <v>218</v>
      </c>
      <c r="G109">
        <v>1</v>
      </c>
      <c r="H109">
        <f t="shared" si="9"/>
        <v>57</v>
      </c>
      <c r="I109">
        <f t="shared" si="10"/>
        <v>900</v>
      </c>
      <c r="J109">
        <v>300</v>
      </c>
      <c r="K109">
        <f t="shared" si="11"/>
        <v>3</v>
      </c>
      <c r="L109">
        <f t="shared" si="8"/>
        <v>0.20550000000000002</v>
      </c>
      <c r="M109">
        <v>6.8500000000000005E-2</v>
      </c>
    </row>
    <row r="110" spans="1:13">
      <c r="A110" t="s">
        <v>218</v>
      </c>
      <c r="G110">
        <v>1</v>
      </c>
      <c r="H110">
        <f t="shared" si="9"/>
        <v>57</v>
      </c>
      <c r="I110">
        <f t="shared" si="10"/>
        <v>948</v>
      </c>
      <c r="J110">
        <v>316</v>
      </c>
      <c r="K110">
        <f t="shared" si="11"/>
        <v>3</v>
      </c>
      <c r="L110">
        <f t="shared" si="8"/>
        <v>0.20400000000000001</v>
      </c>
      <c r="M110">
        <v>6.8000000000000005E-2</v>
      </c>
    </row>
    <row r="111" spans="1:13">
      <c r="A111" t="s">
        <v>218</v>
      </c>
      <c r="G111">
        <v>1</v>
      </c>
      <c r="H111">
        <f t="shared" si="9"/>
        <v>57</v>
      </c>
      <c r="I111">
        <f t="shared" si="10"/>
        <v>996</v>
      </c>
      <c r="J111">
        <v>332</v>
      </c>
      <c r="K111">
        <f t="shared" si="11"/>
        <v>3</v>
      </c>
      <c r="L111">
        <f t="shared" si="8"/>
        <v>0.20250000000000001</v>
      </c>
      <c r="M111">
        <v>6.7500000000000004E-2</v>
      </c>
    </row>
    <row r="112" spans="1:13">
      <c r="A112" t="s">
        <v>218</v>
      </c>
      <c r="G112">
        <v>1</v>
      </c>
      <c r="H112">
        <f t="shared" si="9"/>
        <v>57</v>
      </c>
      <c r="I112">
        <f t="shared" si="10"/>
        <v>1044</v>
      </c>
      <c r="J112">
        <v>348</v>
      </c>
      <c r="K112">
        <f t="shared" si="11"/>
        <v>3</v>
      </c>
      <c r="L112">
        <f t="shared" si="8"/>
        <v>0.20100000000000001</v>
      </c>
      <c r="M112">
        <v>6.7000000000000004E-2</v>
      </c>
    </row>
    <row r="113" spans="1:13">
      <c r="A113" t="s">
        <v>218</v>
      </c>
      <c r="G113">
        <v>1</v>
      </c>
      <c r="H113">
        <f t="shared" si="9"/>
        <v>57</v>
      </c>
      <c r="I113">
        <f t="shared" si="10"/>
        <v>1104</v>
      </c>
      <c r="J113">
        <v>368</v>
      </c>
      <c r="K113">
        <f t="shared" si="11"/>
        <v>3</v>
      </c>
      <c r="L113">
        <f t="shared" si="8"/>
        <v>0.19950000000000001</v>
      </c>
      <c r="M113">
        <v>6.6500000000000004E-2</v>
      </c>
    </row>
    <row r="114" spans="1:13">
      <c r="A114" t="s">
        <v>218</v>
      </c>
      <c r="G114">
        <v>1</v>
      </c>
      <c r="H114">
        <f t="shared" si="9"/>
        <v>57</v>
      </c>
      <c r="I114">
        <f t="shared" si="10"/>
        <v>1164</v>
      </c>
      <c r="J114">
        <v>388</v>
      </c>
      <c r="K114">
        <f t="shared" si="11"/>
        <v>3</v>
      </c>
      <c r="L114">
        <f t="shared" si="8"/>
        <v>0.19800000000000001</v>
      </c>
      <c r="M114">
        <v>6.6000000000000003E-2</v>
      </c>
    </row>
    <row r="115" spans="1:13">
      <c r="A115" t="s">
        <v>218</v>
      </c>
      <c r="G115">
        <v>1</v>
      </c>
      <c r="H115">
        <f t="shared" si="9"/>
        <v>57</v>
      </c>
      <c r="I115">
        <f t="shared" si="10"/>
        <v>1224</v>
      </c>
      <c r="J115">
        <v>408</v>
      </c>
      <c r="K115">
        <f t="shared" si="11"/>
        <v>3</v>
      </c>
      <c r="L115">
        <f t="shared" si="8"/>
        <v>0.19650000000000001</v>
      </c>
      <c r="M115">
        <v>6.5500000000000003E-2</v>
      </c>
    </row>
    <row r="116" spans="1:13">
      <c r="A116" t="s">
        <v>218</v>
      </c>
      <c r="G116">
        <v>1</v>
      </c>
      <c r="H116">
        <f t="shared" si="9"/>
        <v>57</v>
      </c>
      <c r="I116">
        <f t="shared" si="10"/>
        <v>1284</v>
      </c>
      <c r="J116">
        <v>428</v>
      </c>
      <c r="K116">
        <f t="shared" si="11"/>
        <v>3</v>
      </c>
      <c r="L116">
        <f t="shared" si="8"/>
        <v>0.19500000000000001</v>
      </c>
      <c r="M116">
        <v>6.5000000000000002E-2</v>
      </c>
    </row>
    <row r="129" spans="5:10">
      <c r="E129">
        <v>136</v>
      </c>
      <c r="F129">
        <v>137</v>
      </c>
      <c r="G129">
        <v>138</v>
      </c>
      <c r="H129">
        <v>139</v>
      </c>
      <c r="J129" t="str">
        <f>E129&amp;"_1,"&amp;F129&amp;"_1,"&amp;G129&amp;"_1,"&amp;H129&amp;"_1"</f>
        <v>136_1,137_1,138_1,139_1</v>
      </c>
    </row>
    <row r="130" spans="5:10">
      <c r="E130">
        <v>140</v>
      </c>
      <c r="F130">
        <v>141</v>
      </c>
      <c r="G130">
        <v>142</v>
      </c>
      <c r="H130">
        <v>143</v>
      </c>
      <c r="J130" t="str">
        <f t="shared" ref="J130:J146" si="12">E130&amp;"_1,"&amp;F130&amp;"_1,"&amp;G130&amp;"_1,"&amp;H130&amp;"_1"</f>
        <v>140_1,141_1,142_1,143_1</v>
      </c>
    </row>
    <row r="131" spans="5:10">
      <c r="E131">
        <v>144</v>
      </c>
      <c r="F131">
        <v>145</v>
      </c>
      <c r="G131">
        <v>146</v>
      </c>
      <c r="H131">
        <v>147</v>
      </c>
      <c r="J131" t="str">
        <f t="shared" si="12"/>
        <v>144_1,145_1,146_1,147_1</v>
      </c>
    </row>
    <row r="132" spans="5:10">
      <c r="E132">
        <v>148</v>
      </c>
      <c r="F132">
        <v>149</v>
      </c>
      <c r="G132">
        <v>150</v>
      </c>
      <c r="H132">
        <v>151</v>
      </c>
      <c r="J132" t="str">
        <f t="shared" si="12"/>
        <v>148_1,149_1,150_1,151_1</v>
      </c>
    </row>
    <row r="133" spans="5:10">
      <c r="E133">
        <v>152</v>
      </c>
      <c r="F133">
        <v>153</v>
      </c>
      <c r="G133">
        <v>154</v>
      </c>
      <c r="H133">
        <v>155</v>
      </c>
      <c r="J133" t="str">
        <f t="shared" si="12"/>
        <v>152_1,153_1,154_1,155_1</v>
      </c>
    </row>
    <row r="134" spans="5:10">
      <c r="E134">
        <v>156</v>
      </c>
      <c r="F134">
        <v>157</v>
      </c>
      <c r="G134">
        <v>158</v>
      </c>
      <c r="H134">
        <v>159</v>
      </c>
      <c r="J134" t="str">
        <f t="shared" si="12"/>
        <v>156_1,157_1,158_1,159_1</v>
      </c>
    </row>
    <row r="135" spans="5:10">
      <c r="E135">
        <v>160</v>
      </c>
      <c r="F135">
        <v>161</v>
      </c>
      <c r="G135">
        <v>162</v>
      </c>
      <c r="H135">
        <v>163</v>
      </c>
      <c r="J135" t="str">
        <f t="shared" si="12"/>
        <v>160_1,161_1,162_1,163_1</v>
      </c>
    </row>
    <row r="136" spans="5:10">
      <c r="E136">
        <v>164</v>
      </c>
      <c r="F136">
        <v>165</v>
      </c>
      <c r="G136">
        <v>166</v>
      </c>
      <c r="H136">
        <v>167</v>
      </c>
      <c r="J136" t="str">
        <f t="shared" si="12"/>
        <v>164_1,165_1,166_1,167_1</v>
      </c>
    </row>
    <row r="137" spans="5:10">
      <c r="E137">
        <v>168</v>
      </c>
      <c r="F137">
        <v>169</v>
      </c>
      <c r="G137">
        <v>170</v>
      </c>
      <c r="H137">
        <v>171</v>
      </c>
      <c r="J137" t="str">
        <f t="shared" si="12"/>
        <v>168_1,169_1,170_1,171_1</v>
      </c>
    </row>
    <row r="138" spans="5:10">
      <c r="E138">
        <v>172</v>
      </c>
      <c r="F138">
        <v>173</v>
      </c>
      <c r="G138">
        <v>174</v>
      </c>
      <c r="H138">
        <v>175</v>
      </c>
      <c r="J138" t="str">
        <f t="shared" si="12"/>
        <v>172_1,173_1,174_1,175_1</v>
      </c>
    </row>
    <row r="139" spans="5:10">
      <c r="E139">
        <v>176</v>
      </c>
      <c r="F139">
        <v>177</v>
      </c>
      <c r="G139">
        <v>178</v>
      </c>
      <c r="H139">
        <v>179</v>
      </c>
      <c r="J139" t="str">
        <f t="shared" si="12"/>
        <v>176_1,177_1,178_1,179_1</v>
      </c>
    </row>
    <row r="140" spans="5:10">
      <c r="E140">
        <v>180</v>
      </c>
      <c r="F140">
        <v>181</v>
      </c>
      <c r="G140">
        <v>182</v>
      </c>
      <c r="H140">
        <v>183</v>
      </c>
      <c r="J140" t="str">
        <f t="shared" si="12"/>
        <v>180_1,181_1,182_1,183_1</v>
      </c>
    </row>
    <row r="141" spans="5:10">
      <c r="E141">
        <v>184</v>
      </c>
      <c r="F141">
        <v>185</v>
      </c>
      <c r="G141">
        <v>186</v>
      </c>
      <c r="H141">
        <v>187</v>
      </c>
      <c r="J141" t="str">
        <f t="shared" si="12"/>
        <v>184_1,185_1,186_1,187_1</v>
      </c>
    </row>
    <row r="142" spans="5:10">
      <c r="E142">
        <v>188</v>
      </c>
      <c r="F142">
        <v>189</v>
      </c>
      <c r="G142">
        <v>190</v>
      </c>
      <c r="H142">
        <v>191</v>
      </c>
      <c r="J142" t="str">
        <f t="shared" si="12"/>
        <v>188_1,189_1,190_1,191_1</v>
      </c>
    </row>
    <row r="143" spans="5:10">
      <c r="E143">
        <v>192</v>
      </c>
      <c r="F143">
        <v>193</v>
      </c>
      <c r="G143">
        <v>194</v>
      </c>
      <c r="H143">
        <v>195</v>
      </c>
      <c r="J143" t="str">
        <f t="shared" si="12"/>
        <v>192_1,193_1,194_1,195_1</v>
      </c>
    </row>
    <row r="144" spans="5:10">
      <c r="E144">
        <v>196</v>
      </c>
      <c r="F144">
        <v>197</v>
      </c>
      <c r="G144">
        <v>198</v>
      </c>
      <c r="H144">
        <v>199</v>
      </c>
      <c r="J144" t="str">
        <f t="shared" si="12"/>
        <v>196_1,197_1,198_1,199_1</v>
      </c>
    </row>
    <row r="145" spans="5:10">
      <c r="E145">
        <v>200</v>
      </c>
      <c r="F145">
        <v>201</v>
      </c>
      <c r="G145">
        <v>202</v>
      </c>
      <c r="H145">
        <v>203</v>
      </c>
      <c r="J145" t="str">
        <f t="shared" si="12"/>
        <v>200_1,201_1,202_1,203_1</v>
      </c>
    </row>
    <row r="146" spans="5:10">
      <c r="E146">
        <v>204</v>
      </c>
      <c r="F146">
        <v>205</v>
      </c>
      <c r="G146">
        <v>206</v>
      </c>
      <c r="H146">
        <v>207</v>
      </c>
      <c r="J146" t="str">
        <f t="shared" si="12"/>
        <v>204_1,205_1,206_1,207_1</v>
      </c>
    </row>
  </sheetData>
  <mergeCells count="1">
    <mergeCell ref="A2:J2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dimension ref="A1:B72"/>
  <sheetViews>
    <sheetView workbookViewId="0">
      <selection activeCell="J17" sqref="J17"/>
    </sheetView>
  </sheetViews>
  <sheetFormatPr defaultRowHeight="13.5"/>
  <sheetData>
    <row r="1" spans="1:2">
      <c r="A1" t="s">
        <v>1037</v>
      </c>
      <c r="B1" t="s">
        <v>1038</v>
      </c>
    </row>
    <row r="2" spans="1:2">
      <c r="A2">
        <v>30</v>
      </c>
      <c r="B2">
        <v>1</v>
      </c>
    </row>
    <row r="3" spans="1:2">
      <c r="A3">
        <v>31</v>
      </c>
      <c r="B3">
        <v>2</v>
      </c>
    </row>
    <row r="4" spans="1:2">
      <c r="A4">
        <v>32</v>
      </c>
      <c r="B4">
        <v>2</v>
      </c>
    </row>
    <row r="5" spans="1:2">
      <c r="A5">
        <v>33</v>
      </c>
      <c r="B5">
        <v>2</v>
      </c>
    </row>
    <row r="6" spans="1:2">
      <c r="A6">
        <v>34</v>
      </c>
      <c r="B6">
        <v>2</v>
      </c>
    </row>
    <row r="7" spans="1:2">
      <c r="A7">
        <v>35</v>
      </c>
      <c r="B7">
        <v>2</v>
      </c>
    </row>
    <row r="8" spans="1:2">
      <c r="A8">
        <v>36</v>
      </c>
      <c r="B8">
        <f>B3+1</f>
        <v>3</v>
      </c>
    </row>
    <row r="9" spans="1:2">
      <c r="A9">
        <v>37</v>
      </c>
      <c r="B9">
        <f t="shared" ref="B9:B72" si="0">B4+1</f>
        <v>3</v>
      </c>
    </row>
    <row r="10" spans="1:2">
      <c r="A10">
        <v>38</v>
      </c>
      <c r="B10">
        <f t="shared" si="0"/>
        <v>3</v>
      </c>
    </row>
    <row r="11" spans="1:2">
      <c r="A11">
        <v>39</v>
      </c>
      <c r="B11">
        <f t="shared" si="0"/>
        <v>3</v>
      </c>
    </row>
    <row r="12" spans="1:2">
      <c r="A12">
        <v>40</v>
      </c>
      <c r="B12">
        <f t="shared" si="0"/>
        <v>3</v>
      </c>
    </row>
    <row r="13" spans="1:2">
      <c r="A13">
        <v>41</v>
      </c>
      <c r="B13">
        <f t="shared" si="0"/>
        <v>4</v>
      </c>
    </row>
    <row r="14" spans="1:2">
      <c r="A14">
        <v>42</v>
      </c>
      <c r="B14">
        <f t="shared" si="0"/>
        <v>4</v>
      </c>
    </row>
    <row r="15" spans="1:2">
      <c r="A15">
        <v>43</v>
      </c>
      <c r="B15">
        <f t="shared" si="0"/>
        <v>4</v>
      </c>
    </row>
    <row r="16" spans="1:2">
      <c r="A16">
        <v>44</v>
      </c>
      <c r="B16">
        <f t="shared" si="0"/>
        <v>4</v>
      </c>
    </row>
    <row r="17" spans="1:2">
      <c r="A17">
        <v>45</v>
      </c>
      <c r="B17">
        <f t="shared" si="0"/>
        <v>4</v>
      </c>
    </row>
    <row r="18" spans="1:2">
      <c r="A18">
        <v>46</v>
      </c>
      <c r="B18">
        <f t="shared" si="0"/>
        <v>5</v>
      </c>
    </row>
    <row r="19" spans="1:2">
      <c r="A19">
        <v>47</v>
      </c>
      <c r="B19">
        <f t="shared" si="0"/>
        <v>5</v>
      </c>
    </row>
    <row r="20" spans="1:2">
      <c r="A20">
        <v>48</v>
      </c>
      <c r="B20">
        <f t="shared" si="0"/>
        <v>5</v>
      </c>
    </row>
    <row r="21" spans="1:2">
      <c r="A21">
        <v>49</v>
      </c>
      <c r="B21">
        <f t="shared" si="0"/>
        <v>5</v>
      </c>
    </row>
    <row r="22" spans="1:2">
      <c r="A22">
        <v>50</v>
      </c>
      <c r="B22">
        <f t="shared" si="0"/>
        <v>5</v>
      </c>
    </row>
    <row r="23" spans="1:2">
      <c r="A23">
        <v>51</v>
      </c>
      <c r="B23">
        <f t="shared" si="0"/>
        <v>6</v>
      </c>
    </row>
    <row r="24" spans="1:2">
      <c r="A24">
        <v>52</v>
      </c>
      <c r="B24">
        <f t="shared" si="0"/>
        <v>6</v>
      </c>
    </row>
    <row r="25" spans="1:2">
      <c r="A25">
        <v>53</v>
      </c>
      <c r="B25">
        <f t="shared" si="0"/>
        <v>6</v>
      </c>
    </row>
    <row r="26" spans="1:2">
      <c r="A26">
        <v>54</v>
      </c>
      <c r="B26">
        <f t="shared" si="0"/>
        <v>6</v>
      </c>
    </row>
    <row r="27" spans="1:2">
      <c r="A27">
        <v>55</v>
      </c>
      <c r="B27">
        <f t="shared" si="0"/>
        <v>6</v>
      </c>
    </row>
    <row r="28" spans="1:2">
      <c r="A28">
        <v>56</v>
      </c>
      <c r="B28">
        <f t="shared" si="0"/>
        <v>7</v>
      </c>
    </row>
    <row r="29" spans="1:2">
      <c r="A29">
        <v>57</v>
      </c>
      <c r="B29">
        <f t="shared" si="0"/>
        <v>7</v>
      </c>
    </row>
    <row r="30" spans="1:2">
      <c r="A30">
        <v>58</v>
      </c>
      <c r="B30">
        <f t="shared" si="0"/>
        <v>7</v>
      </c>
    </row>
    <row r="31" spans="1:2">
      <c r="A31">
        <v>59</v>
      </c>
      <c r="B31">
        <f t="shared" si="0"/>
        <v>7</v>
      </c>
    </row>
    <row r="32" spans="1:2">
      <c r="A32">
        <v>60</v>
      </c>
      <c r="B32">
        <f t="shared" si="0"/>
        <v>7</v>
      </c>
    </row>
    <row r="33" spans="1:2">
      <c r="A33">
        <v>61</v>
      </c>
      <c r="B33">
        <f t="shared" si="0"/>
        <v>8</v>
      </c>
    </row>
    <row r="34" spans="1:2">
      <c r="A34">
        <v>62</v>
      </c>
      <c r="B34">
        <f t="shared" si="0"/>
        <v>8</v>
      </c>
    </row>
    <row r="35" spans="1:2">
      <c r="A35">
        <v>63</v>
      </c>
      <c r="B35">
        <f t="shared" si="0"/>
        <v>8</v>
      </c>
    </row>
    <row r="36" spans="1:2">
      <c r="A36">
        <v>64</v>
      </c>
      <c r="B36">
        <f t="shared" si="0"/>
        <v>8</v>
      </c>
    </row>
    <row r="37" spans="1:2">
      <c r="A37">
        <v>65</v>
      </c>
      <c r="B37">
        <f t="shared" si="0"/>
        <v>8</v>
      </c>
    </row>
    <row r="38" spans="1:2">
      <c r="A38">
        <v>66</v>
      </c>
      <c r="B38">
        <f t="shared" si="0"/>
        <v>9</v>
      </c>
    </row>
    <row r="39" spans="1:2">
      <c r="A39">
        <v>67</v>
      </c>
      <c r="B39">
        <f t="shared" si="0"/>
        <v>9</v>
      </c>
    </row>
    <row r="40" spans="1:2">
      <c r="A40">
        <v>68</v>
      </c>
      <c r="B40">
        <f t="shared" si="0"/>
        <v>9</v>
      </c>
    </row>
    <row r="41" spans="1:2">
      <c r="A41">
        <v>69</v>
      </c>
      <c r="B41">
        <f t="shared" si="0"/>
        <v>9</v>
      </c>
    </row>
    <row r="42" spans="1:2">
      <c r="A42">
        <v>70</v>
      </c>
      <c r="B42">
        <f t="shared" si="0"/>
        <v>9</v>
      </c>
    </row>
    <row r="43" spans="1:2">
      <c r="A43">
        <v>71</v>
      </c>
      <c r="B43">
        <f t="shared" si="0"/>
        <v>10</v>
      </c>
    </row>
    <row r="44" spans="1:2">
      <c r="A44">
        <v>72</v>
      </c>
      <c r="B44">
        <f t="shared" si="0"/>
        <v>10</v>
      </c>
    </row>
    <row r="45" spans="1:2">
      <c r="A45">
        <v>73</v>
      </c>
      <c r="B45">
        <f t="shared" si="0"/>
        <v>10</v>
      </c>
    </row>
    <row r="46" spans="1:2">
      <c r="A46">
        <v>74</v>
      </c>
      <c r="B46">
        <f t="shared" si="0"/>
        <v>10</v>
      </c>
    </row>
    <row r="47" spans="1:2">
      <c r="A47">
        <v>75</v>
      </c>
      <c r="B47">
        <f t="shared" si="0"/>
        <v>10</v>
      </c>
    </row>
    <row r="48" spans="1:2">
      <c r="A48">
        <v>76</v>
      </c>
      <c r="B48">
        <f t="shared" si="0"/>
        <v>11</v>
      </c>
    </row>
    <row r="49" spans="1:2">
      <c r="A49">
        <v>77</v>
      </c>
      <c r="B49">
        <f t="shared" si="0"/>
        <v>11</v>
      </c>
    </row>
    <row r="50" spans="1:2">
      <c r="A50">
        <v>78</v>
      </c>
      <c r="B50">
        <f t="shared" si="0"/>
        <v>11</v>
      </c>
    </row>
    <row r="51" spans="1:2">
      <c r="A51">
        <v>79</v>
      </c>
      <c r="B51">
        <f t="shared" si="0"/>
        <v>11</v>
      </c>
    </row>
    <row r="52" spans="1:2">
      <c r="A52">
        <v>80</v>
      </c>
      <c r="B52">
        <f t="shared" si="0"/>
        <v>11</v>
      </c>
    </row>
    <row r="53" spans="1:2">
      <c r="A53">
        <v>81</v>
      </c>
      <c r="B53">
        <f t="shared" si="0"/>
        <v>12</v>
      </c>
    </row>
    <row r="54" spans="1:2">
      <c r="A54">
        <v>82</v>
      </c>
      <c r="B54">
        <f t="shared" si="0"/>
        <v>12</v>
      </c>
    </row>
    <row r="55" spans="1:2">
      <c r="A55">
        <v>83</v>
      </c>
      <c r="B55">
        <f t="shared" si="0"/>
        <v>12</v>
      </c>
    </row>
    <row r="56" spans="1:2">
      <c r="A56">
        <v>84</v>
      </c>
      <c r="B56">
        <f t="shared" si="0"/>
        <v>12</v>
      </c>
    </row>
    <row r="57" spans="1:2">
      <c r="A57">
        <v>85</v>
      </c>
      <c r="B57">
        <f t="shared" si="0"/>
        <v>12</v>
      </c>
    </row>
    <row r="58" spans="1:2">
      <c r="A58">
        <v>86</v>
      </c>
      <c r="B58">
        <f t="shared" si="0"/>
        <v>13</v>
      </c>
    </row>
    <row r="59" spans="1:2">
      <c r="A59">
        <v>87</v>
      </c>
      <c r="B59">
        <f t="shared" si="0"/>
        <v>13</v>
      </c>
    </row>
    <row r="60" spans="1:2">
      <c r="A60">
        <v>88</v>
      </c>
      <c r="B60">
        <f t="shared" si="0"/>
        <v>13</v>
      </c>
    </row>
    <row r="61" spans="1:2">
      <c r="A61">
        <v>89</v>
      </c>
      <c r="B61">
        <f t="shared" si="0"/>
        <v>13</v>
      </c>
    </row>
    <row r="62" spans="1:2">
      <c r="A62">
        <v>90</v>
      </c>
      <c r="B62">
        <f t="shared" si="0"/>
        <v>13</v>
      </c>
    </row>
    <row r="63" spans="1:2">
      <c r="A63">
        <v>91</v>
      </c>
      <c r="B63">
        <f t="shared" si="0"/>
        <v>14</v>
      </c>
    </row>
    <row r="64" spans="1:2">
      <c r="A64">
        <v>92</v>
      </c>
      <c r="B64">
        <f t="shared" si="0"/>
        <v>14</v>
      </c>
    </row>
    <row r="65" spans="1:2">
      <c r="A65">
        <v>93</v>
      </c>
      <c r="B65">
        <f t="shared" si="0"/>
        <v>14</v>
      </c>
    </row>
    <row r="66" spans="1:2">
      <c r="A66">
        <v>94</v>
      </c>
      <c r="B66">
        <f t="shared" si="0"/>
        <v>14</v>
      </c>
    </row>
    <row r="67" spans="1:2">
      <c r="A67">
        <v>95</v>
      </c>
      <c r="B67">
        <f t="shared" si="0"/>
        <v>14</v>
      </c>
    </row>
    <row r="68" spans="1:2">
      <c r="A68">
        <v>96</v>
      </c>
      <c r="B68">
        <f t="shared" si="0"/>
        <v>15</v>
      </c>
    </row>
    <row r="69" spans="1:2">
      <c r="A69">
        <v>97</v>
      </c>
      <c r="B69">
        <f t="shared" si="0"/>
        <v>15</v>
      </c>
    </row>
    <row r="70" spans="1:2">
      <c r="A70">
        <v>98</v>
      </c>
      <c r="B70">
        <f t="shared" si="0"/>
        <v>15</v>
      </c>
    </row>
    <row r="71" spans="1:2">
      <c r="A71">
        <v>99</v>
      </c>
      <c r="B71">
        <f t="shared" si="0"/>
        <v>15</v>
      </c>
    </row>
    <row r="72" spans="1:2">
      <c r="A72">
        <v>100</v>
      </c>
      <c r="B72">
        <f t="shared" si="0"/>
        <v>15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mapActivity.xml</vt:lpstr>
      <vt:lpstr>map-客户端</vt:lpstr>
      <vt:lpstr>掉落权重</vt:lpstr>
      <vt:lpstr>精英副本</vt:lpstr>
      <vt:lpstr>精英副本客户端</vt:lpstr>
      <vt:lpstr>精英副本掉落</vt:lpstr>
      <vt:lpstr>Sheet3</vt:lpstr>
      <vt:lpstr>eliteMapLevelIndex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2006-09-13T11:21:00Z</dcterms:created>
  <dcterms:modified xsi:type="dcterms:W3CDTF">2014-10-30T05:37:01Z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2052-9.1.0.4715</vt:lpwstr>
  </property>
</Properties>
</file>