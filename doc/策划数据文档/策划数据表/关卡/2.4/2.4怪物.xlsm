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onster.xml" sheetId="1" r:id="rId1"/>
    <sheet name="monster-客户端" sheetId="2" r:id="rId2"/>
    <sheet name="精英副本难度" sheetId="3" r:id="rId3"/>
  </sheets>
  <functionGroups/>
  <externalReferences>
    <externalReference r:id="rId4"/>
    <externalReference r:id="rId5"/>
    <externalReference r:id="rId6"/>
  </externalReferences>
  <calcPr calcId="124519"/>
</workbook>
</file>

<file path=xl/calcChain.xml><?xml version="1.0" encoding="utf-8"?>
<calcChain xmlns="http://schemas.openxmlformats.org/spreadsheetml/2006/main">
  <c r="V252" i="1"/>
  <c r="V253"/>
  <c r="V254"/>
  <c r="V255"/>
  <c r="V256"/>
  <c r="V257"/>
  <c r="V258"/>
  <c r="V259"/>
  <c r="V260"/>
  <c r="V261"/>
  <c r="V262"/>
  <c r="V263"/>
  <c r="V264"/>
  <c r="E205" l="1"/>
  <c r="E206"/>
  <c r="E207"/>
  <c r="E209"/>
  <c r="E210"/>
  <c r="E663"/>
  <c r="E263"/>
  <c r="E264"/>
  <c r="A821" i="2" l="1"/>
  <c r="B821"/>
  <c r="C821"/>
  <c r="D821"/>
  <c r="E821"/>
  <c r="F821"/>
  <c r="G821"/>
  <c r="A822"/>
  <c r="B822"/>
  <c r="C822"/>
  <c r="D822"/>
  <c r="E822"/>
  <c r="F822"/>
  <c r="G822"/>
  <c r="A823"/>
  <c r="B823"/>
  <c r="C823"/>
  <c r="D823"/>
  <c r="E823"/>
  <c r="F823"/>
  <c r="G823"/>
  <c r="A824"/>
  <c r="B824"/>
  <c r="C824"/>
  <c r="D824"/>
  <c r="E824"/>
  <c r="F824"/>
  <c r="G824"/>
  <c r="A825"/>
  <c r="B825"/>
  <c r="C825"/>
  <c r="D825"/>
  <c r="E825"/>
  <c r="F825"/>
  <c r="G825"/>
  <c r="A826"/>
  <c r="B826"/>
  <c r="C826"/>
  <c r="D826"/>
  <c r="E826"/>
  <c r="F826"/>
  <c r="G826"/>
  <c r="A827"/>
  <c r="B827"/>
  <c r="C827"/>
  <c r="D827"/>
  <c r="E827"/>
  <c r="F827"/>
  <c r="G827"/>
  <c r="A828"/>
  <c r="B828"/>
  <c r="C828"/>
  <c r="D828"/>
  <c r="E828"/>
  <c r="F828"/>
  <c r="G828"/>
  <c r="A829"/>
  <c r="B829"/>
  <c r="C829"/>
  <c r="D829"/>
  <c r="E829"/>
  <c r="F829"/>
  <c r="G829"/>
  <c r="A830"/>
  <c r="B830"/>
  <c r="C830"/>
  <c r="D830"/>
  <c r="E830"/>
  <c r="F830"/>
  <c r="G830"/>
  <c r="A831"/>
  <c r="B831"/>
  <c r="C831"/>
  <c r="D831"/>
  <c r="E831"/>
  <c r="F831"/>
  <c r="G831"/>
  <c r="A748"/>
  <c r="B748"/>
  <c r="C748"/>
  <c r="D748"/>
  <c r="E748"/>
  <c r="F748"/>
  <c r="G748"/>
  <c r="A749"/>
  <c r="B749"/>
  <c r="C749"/>
  <c r="D749"/>
  <c r="E749"/>
  <c r="F749"/>
  <c r="G749"/>
  <c r="A750"/>
  <c r="B750"/>
  <c r="C750"/>
  <c r="D750"/>
  <c r="E750"/>
  <c r="F750"/>
  <c r="G750"/>
  <c r="A751"/>
  <c r="B751"/>
  <c r="C751"/>
  <c r="D751"/>
  <c r="E751"/>
  <c r="F751"/>
  <c r="G751"/>
  <c r="A752"/>
  <c r="B752"/>
  <c r="C752"/>
  <c r="D752"/>
  <c r="E752"/>
  <c r="F752"/>
  <c r="G752"/>
  <c r="A753"/>
  <c r="B753"/>
  <c r="C753"/>
  <c r="D753"/>
  <c r="E753"/>
  <c r="F753"/>
  <c r="G753"/>
  <c r="A754"/>
  <c r="B754"/>
  <c r="C754"/>
  <c r="D754"/>
  <c r="E754"/>
  <c r="F754"/>
  <c r="G754"/>
  <c r="A755"/>
  <c r="B755"/>
  <c r="C755"/>
  <c r="D755"/>
  <c r="E755"/>
  <c r="F755"/>
  <c r="G755"/>
  <c r="A756"/>
  <c r="B756"/>
  <c r="C756"/>
  <c r="D756"/>
  <c r="E756"/>
  <c r="F756"/>
  <c r="G756"/>
  <c r="A757"/>
  <c r="B757"/>
  <c r="C757"/>
  <c r="D757"/>
  <c r="E757"/>
  <c r="F757"/>
  <c r="G757"/>
  <c r="A758"/>
  <c r="B758"/>
  <c r="C758"/>
  <c r="D758"/>
  <c r="E758"/>
  <c r="F758"/>
  <c r="G758"/>
  <c r="A759"/>
  <c r="B759"/>
  <c r="C759"/>
  <c r="D759"/>
  <c r="E759"/>
  <c r="F759"/>
  <c r="G759"/>
  <c r="A760"/>
  <c r="B760"/>
  <c r="C760"/>
  <c r="D760"/>
  <c r="E760"/>
  <c r="F760"/>
  <c r="G760"/>
  <c r="A761"/>
  <c r="B761"/>
  <c r="C761"/>
  <c r="D761"/>
  <c r="E761"/>
  <c r="F761"/>
  <c r="G761"/>
  <c r="A762"/>
  <c r="B762"/>
  <c r="C762"/>
  <c r="D762"/>
  <c r="E762"/>
  <c r="F762"/>
  <c r="G762"/>
  <c r="A763"/>
  <c r="B763"/>
  <c r="C763"/>
  <c r="D763"/>
  <c r="E763"/>
  <c r="F763"/>
  <c r="G763"/>
  <c r="A764"/>
  <c r="B764"/>
  <c r="C764"/>
  <c r="D764"/>
  <c r="E764"/>
  <c r="F764"/>
  <c r="G764"/>
  <c r="A765"/>
  <c r="B765"/>
  <c r="C765"/>
  <c r="D765"/>
  <c r="E765"/>
  <c r="F765"/>
  <c r="G765"/>
  <c r="A766"/>
  <c r="B766"/>
  <c r="C766"/>
  <c r="D766"/>
  <c r="E766"/>
  <c r="F766"/>
  <c r="G766"/>
  <c r="A767"/>
  <c r="B767"/>
  <c r="C767"/>
  <c r="D767"/>
  <c r="E767"/>
  <c r="F767"/>
  <c r="G767"/>
  <c r="A768"/>
  <c r="B768"/>
  <c r="C768"/>
  <c r="D768"/>
  <c r="E768"/>
  <c r="F768"/>
  <c r="G768"/>
  <c r="A769"/>
  <c r="B769"/>
  <c r="C769"/>
  <c r="D769"/>
  <c r="E769"/>
  <c r="F769"/>
  <c r="G769"/>
  <c r="A770"/>
  <c r="B770"/>
  <c r="C770"/>
  <c r="D770"/>
  <c r="E770"/>
  <c r="F770"/>
  <c r="G770"/>
  <c r="A771"/>
  <c r="B771"/>
  <c r="C771"/>
  <c r="D771"/>
  <c r="E771"/>
  <c r="F771"/>
  <c r="G771"/>
  <c r="A772"/>
  <c r="B772"/>
  <c r="C772"/>
  <c r="D772"/>
  <c r="E772"/>
  <c r="F772"/>
  <c r="G772"/>
  <c r="A773"/>
  <c r="B773"/>
  <c r="C773"/>
  <c r="D773"/>
  <c r="E773"/>
  <c r="F773"/>
  <c r="G773"/>
  <c r="A774"/>
  <c r="B774"/>
  <c r="C774"/>
  <c r="D774"/>
  <c r="E774"/>
  <c r="F774"/>
  <c r="G774"/>
  <c r="A775"/>
  <c r="B775"/>
  <c r="C775"/>
  <c r="D775"/>
  <c r="E775"/>
  <c r="F775"/>
  <c r="G775"/>
  <c r="A776"/>
  <c r="B776"/>
  <c r="C776"/>
  <c r="D776"/>
  <c r="E776"/>
  <c r="F776"/>
  <c r="G776"/>
  <c r="A777"/>
  <c r="B777"/>
  <c r="C777"/>
  <c r="D777"/>
  <c r="E777"/>
  <c r="F777"/>
  <c r="G777"/>
  <c r="A778"/>
  <c r="B778"/>
  <c r="C778"/>
  <c r="D778"/>
  <c r="E778"/>
  <c r="F778"/>
  <c r="G778"/>
  <c r="A779"/>
  <c r="B779"/>
  <c r="C779"/>
  <c r="D779"/>
  <c r="E779"/>
  <c r="F779"/>
  <c r="G779"/>
  <c r="A780"/>
  <c r="B780"/>
  <c r="C780"/>
  <c r="D780"/>
  <c r="E780"/>
  <c r="F780"/>
  <c r="G780"/>
  <c r="A781"/>
  <c r="B781"/>
  <c r="C781"/>
  <c r="D781"/>
  <c r="E781"/>
  <c r="F781"/>
  <c r="G781"/>
  <c r="A782"/>
  <c r="B782"/>
  <c r="C782"/>
  <c r="D782"/>
  <c r="E782"/>
  <c r="F782"/>
  <c r="G782"/>
  <c r="A783"/>
  <c r="B783"/>
  <c r="C783"/>
  <c r="D783"/>
  <c r="E783"/>
  <c r="F783"/>
  <c r="G783"/>
  <c r="A784"/>
  <c r="B784"/>
  <c r="C784"/>
  <c r="D784"/>
  <c r="E784"/>
  <c r="F784"/>
  <c r="G784"/>
  <c r="A785"/>
  <c r="B785"/>
  <c r="C785"/>
  <c r="D785"/>
  <c r="E785"/>
  <c r="F785"/>
  <c r="G785"/>
  <c r="A786"/>
  <c r="B786"/>
  <c r="C786"/>
  <c r="D786"/>
  <c r="E786"/>
  <c r="F786"/>
  <c r="G786"/>
  <c r="A787"/>
  <c r="B787"/>
  <c r="C787"/>
  <c r="D787"/>
  <c r="E787"/>
  <c r="F787"/>
  <c r="G787"/>
  <c r="A788"/>
  <c r="B788"/>
  <c r="C788"/>
  <c r="D788"/>
  <c r="E788"/>
  <c r="F788"/>
  <c r="G788"/>
  <c r="A789"/>
  <c r="B789"/>
  <c r="C789"/>
  <c r="D789"/>
  <c r="E789"/>
  <c r="F789"/>
  <c r="G789"/>
  <c r="A790"/>
  <c r="B790"/>
  <c r="C790"/>
  <c r="D790"/>
  <c r="E790"/>
  <c r="F790"/>
  <c r="G790"/>
  <c r="A791"/>
  <c r="B791"/>
  <c r="C791"/>
  <c r="D791"/>
  <c r="E791"/>
  <c r="F791"/>
  <c r="G791"/>
  <c r="A792"/>
  <c r="B792"/>
  <c r="C792"/>
  <c r="D792"/>
  <c r="E792"/>
  <c r="F792"/>
  <c r="G792"/>
  <c r="A793"/>
  <c r="B793"/>
  <c r="C793"/>
  <c r="D793"/>
  <c r="E793"/>
  <c r="F793"/>
  <c r="G793"/>
  <c r="A794"/>
  <c r="B794"/>
  <c r="C794"/>
  <c r="D794"/>
  <c r="E794"/>
  <c r="F794"/>
  <c r="G794"/>
  <c r="A795"/>
  <c r="B795"/>
  <c r="C795"/>
  <c r="D795"/>
  <c r="E795"/>
  <c r="F795"/>
  <c r="G795"/>
  <c r="A796"/>
  <c r="B796"/>
  <c r="C796"/>
  <c r="D796"/>
  <c r="E796"/>
  <c r="F796"/>
  <c r="G796"/>
  <c r="A797"/>
  <c r="B797"/>
  <c r="C797"/>
  <c r="D797"/>
  <c r="E797"/>
  <c r="F797"/>
  <c r="G797"/>
  <c r="A798"/>
  <c r="B798"/>
  <c r="C798"/>
  <c r="D798"/>
  <c r="E798"/>
  <c r="F798"/>
  <c r="G798"/>
  <c r="A799"/>
  <c r="B799"/>
  <c r="C799"/>
  <c r="D799"/>
  <c r="E799"/>
  <c r="F799"/>
  <c r="G799"/>
  <c r="A800"/>
  <c r="B800"/>
  <c r="C800"/>
  <c r="D800"/>
  <c r="E800"/>
  <c r="F800"/>
  <c r="G800"/>
  <c r="A801"/>
  <c r="B801"/>
  <c r="C801"/>
  <c r="D801"/>
  <c r="E801"/>
  <c r="F801"/>
  <c r="G801"/>
  <c r="A802"/>
  <c r="B802"/>
  <c r="C802"/>
  <c r="D802"/>
  <c r="E802"/>
  <c r="F802"/>
  <c r="G802"/>
  <c r="A803"/>
  <c r="B803"/>
  <c r="C803"/>
  <c r="D803"/>
  <c r="E803"/>
  <c r="F803"/>
  <c r="G803"/>
  <c r="A804"/>
  <c r="B804"/>
  <c r="C804"/>
  <c r="D804"/>
  <c r="E804"/>
  <c r="F804"/>
  <c r="G804"/>
  <c r="A805"/>
  <c r="B805"/>
  <c r="C805"/>
  <c r="D805"/>
  <c r="E805"/>
  <c r="F805"/>
  <c r="G805"/>
  <c r="A806"/>
  <c r="B806"/>
  <c r="C806"/>
  <c r="D806"/>
  <c r="E806"/>
  <c r="F806"/>
  <c r="G806"/>
  <c r="A807"/>
  <c r="B807"/>
  <c r="C807"/>
  <c r="D807"/>
  <c r="E807"/>
  <c r="F807"/>
  <c r="G807"/>
  <c r="A808"/>
  <c r="B808"/>
  <c r="C808"/>
  <c r="D808"/>
  <c r="E808"/>
  <c r="F808"/>
  <c r="G808"/>
  <c r="A809"/>
  <c r="B809"/>
  <c r="C809"/>
  <c r="D809"/>
  <c r="E809"/>
  <c r="F809"/>
  <c r="G809"/>
  <c r="A810"/>
  <c r="B810"/>
  <c r="C810"/>
  <c r="D810"/>
  <c r="E810"/>
  <c r="F810"/>
  <c r="G810"/>
  <c r="A811"/>
  <c r="B811"/>
  <c r="C811"/>
  <c r="D811"/>
  <c r="E811"/>
  <c r="F811"/>
  <c r="G811"/>
  <c r="A812"/>
  <c r="B812"/>
  <c r="C812"/>
  <c r="D812"/>
  <c r="E812"/>
  <c r="F812"/>
  <c r="G812"/>
  <c r="A813"/>
  <c r="B813"/>
  <c r="C813"/>
  <c r="D813"/>
  <c r="E813"/>
  <c r="F813"/>
  <c r="G813"/>
  <c r="A814"/>
  <c r="B814"/>
  <c r="C814"/>
  <c r="D814"/>
  <c r="E814"/>
  <c r="F814"/>
  <c r="G814"/>
  <c r="A815"/>
  <c r="B815"/>
  <c r="C815"/>
  <c r="D815"/>
  <c r="E815"/>
  <c r="F815"/>
  <c r="G815"/>
  <c r="A816"/>
  <c r="B816"/>
  <c r="C816"/>
  <c r="D816"/>
  <c r="E816"/>
  <c r="F816"/>
  <c r="G816"/>
  <c r="A817"/>
  <c r="B817"/>
  <c r="C817"/>
  <c r="D817"/>
  <c r="E817"/>
  <c r="F817"/>
  <c r="G817"/>
  <c r="A818"/>
  <c r="B818"/>
  <c r="C818"/>
  <c r="D818"/>
  <c r="E818"/>
  <c r="F818"/>
  <c r="G818"/>
  <c r="A819"/>
  <c r="B819"/>
  <c r="C819"/>
  <c r="D819"/>
  <c r="E819"/>
  <c r="F819"/>
  <c r="G819"/>
  <c r="A820"/>
  <c r="B820"/>
  <c r="C820"/>
  <c r="D820"/>
  <c r="E820"/>
  <c r="F820"/>
  <c r="G820"/>
  <c r="A3"/>
  <c r="B3"/>
  <c r="C3"/>
  <c r="D3"/>
  <c r="E3"/>
  <c r="F3"/>
  <c r="G3"/>
  <c r="A4"/>
  <c r="B4"/>
  <c r="C4"/>
  <c r="D4"/>
  <c r="E4"/>
  <c r="F4"/>
  <c r="G4"/>
  <c r="A5"/>
  <c r="B5"/>
  <c r="C5"/>
  <c r="D5"/>
  <c r="E5"/>
  <c r="F5"/>
  <c r="G5"/>
  <c r="A6"/>
  <c r="B6"/>
  <c r="C6"/>
  <c r="D6"/>
  <c r="E6"/>
  <c r="F6"/>
  <c r="G6"/>
  <c r="A7"/>
  <c r="B7"/>
  <c r="C7"/>
  <c r="D7"/>
  <c r="E7"/>
  <c r="F7"/>
  <c r="G7"/>
  <c r="A8"/>
  <c r="B8"/>
  <c r="C8"/>
  <c r="D8"/>
  <c r="E8"/>
  <c r="F8"/>
  <c r="G8"/>
  <c r="A9"/>
  <c r="B9"/>
  <c r="C9"/>
  <c r="D9"/>
  <c r="E9"/>
  <c r="F9"/>
  <c r="G9"/>
  <c r="A10"/>
  <c r="B10"/>
  <c r="C10"/>
  <c r="D10"/>
  <c r="E10"/>
  <c r="F10"/>
  <c r="G10"/>
  <c r="A11"/>
  <c r="B11"/>
  <c r="C11"/>
  <c r="D11"/>
  <c r="E11"/>
  <c r="F11"/>
  <c r="G11"/>
  <c r="A12"/>
  <c r="B12"/>
  <c r="C12"/>
  <c r="D12"/>
  <c r="E12"/>
  <c r="F12"/>
  <c r="G12"/>
  <c r="A13"/>
  <c r="B13"/>
  <c r="C13"/>
  <c r="D13"/>
  <c r="E13"/>
  <c r="F13"/>
  <c r="G13"/>
  <c r="A14"/>
  <c r="B14"/>
  <c r="C14"/>
  <c r="D14"/>
  <c r="E14"/>
  <c r="F14"/>
  <c r="G14"/>
  <c r="A15"/>
  <c r="B15"/>
  <c r="C15"/>
  <c r="D15"/>
  <c r="E15"/>
  <c r="F15"/>
  <c r="G15"/>
  <c r="A16"/>
  <c r="B16"/>
  <c r="C16"/>
  <c r="D16"/>
  <c r="E16"/>
  <c r="F16"/>
  <c r="G16"/>
  <c r="A17"/>
  <c r="B17"/>
  <c r="C17"/>
  <c r="D17"/>
  <c r="E17"/>
  <c r="F17"/>
  <c r="G17"/>
  <c r="A18"/>
  <c r="B18"/>
  <c r="C18"/>
  <c r="D18"/>
  <c r="E18"/>
  <c r="F18"/>
  <c r="G18"/>
  <c r="A19"/>
  <c r="B19"/>
  <c r="C19"/>
  <c r="D19"/>
  <c r="E19"/>
  <c r="F19"/>
  <c r="G19"/>
  <c r="A20"/>
  <c r="B20"/>
  <c r="C20"/>
  <c r="D20"/>
  <c r="E20"/>
  <c r="F20"/>
  <c r="G20"/>
  <c r="A21"/>
  <c r="B21"/>
  <c r="C21"/>
  <c r="D21"/>
  <c r="E21"/>
  <c r="F21"/>
  <c r="G21"/>
  <c r="A22"/>
  <c r="B22"/>
  <c r="C22"/>
  <c r="D22"/>
  <c r="E22"/>
  <c r="F22"/>
  <c r="G22"/>
  <c r="A23"/>
  <c r="B23"/>
  <c r="C23"/>
  <c r="D23"/>
  <c r="E23"/>
  <c r="F23"/>
  <c r="G23"/>
  <c r="A24"/>
  <c r="B24"/>
  <c r="C24"/>
  <c r="D24"/>
  <c r="E24"/>
  <c r="F24"/>
  <c r="G24"/>
  <c r="A25"/>
  <c r="B25"/>
  <c r="C25"/>
  <c r="D25"/>
  <c r="E25"/>
  <c r="F25"/>
  <c r="G25"/>
  <c r="A26"/>
  <c r="B26"/>
  <c r="C26"/>
  <c r="D26"/>
  <c r="E26"/>
  <c r="F26"/>
  <c r="G26"/>
  <c r="A27"/>
  <c r="B27"/>
  <c r="C27"/>
  <c r="D27"/>
  <c r="E27"/>
  <c r="F27"/>
  <c r="G27"/>
  <c r="A28"/>
  <c r="B28"/>
  <c r="C28"/>
  <c r="D28"/>
  <c r="E28"/>
  <c r="F28"/>
  <c r="G28"/>
  <c r="A29"/>
  <c r="B29"/>
  <c r="C29"/>
  <c r="D29"/>
  <c r="E29"/>
  <c r="F29"/>
  <c r="G29"/>
  <c r="A30"/>
  <c r="B30"/>
  <c r="C30"/>
  <c r="D30"/>
  <c r="E30"/>
  <c r="F30"/>
  <c r="G30"/>
  <c r="A31"/>
  <c r="B31"/>
  <c r="C31"/>
  <c r="D31"/>
  <c r="E31"/>
  <c r="F31"/>
  <c r="G31"/>
  <c r="A32"/>
  <c r="B32"/>
  <c r="C32"/>
  <c r="D32"/>
  <c r="E32"/>
  <c r="F32"/>
  <c r="G32"/>
  <c r="A33"/>
  <c r="B33"/>
  <c r="C33"/>
  <c r="D33"/>
  <c r="E33"/>
  <c r="F33"/>
  <c r="G33"/>
  <c r="A34"/>
  <c r="B34"/>
  <c r="C34"/>
  <c r="D34"/>
  <c r="E34"/>
  <c r="F34"/>
  <c r="G34"/>
  <c r="A35"/>
  <c r="B35"/>
  <c r="C35"/>
  <c r="D35"/>
  <c r="E35"/>
  <c r="F35"/>
  <c r="G35"/>
  <c r="A36"/>
  <c r="B36"/>
  <c r="C36"/>
  <c r="D36"/>
  <c r="E36"/>
  <c r="F36"/>
  <c r="G36"/>
  <c r="A37"/>
  <c r="B37"/>
  <c r="C37"/>
  <c r="D37"/>
  <c r="E37"/>
  <c r="F37"/>
  <c r="G37"/>
  <c r="A38"/>
  <c r="B38"/>
  <c r="C38"/>
  <c r="D38"/>
  <c r="E38"/>
  <c r="F38"/>
  <c r="G38"/>
  <c r="A39"/>
  <c r="B39"/>
  <c r="C39"/>
  <c r="D39"/>
  <c r="E39"/>
  <c r="F39"/>
  <c r="G39"/>
  <c r="A40"/>
  <c r="B40"/>
  <c r="C40"/>
  <c r="D40"/>
  <c r="E40"/>
  <c r="F40"/>
  <c r="G40"/>
  <c r="A41"/>
  <c r="B41"/>
  <c r="C41"/>
  <c r="D41"/>
  <c r="E41"/>
  <c r="F41"/>
  <c r="G41"/>
  <c r="A42"/>
  <c r="B42"/>
  <c r="C42"/>
  <c r="D42"/>
  <c r="E42"/>
  <c r="F42"/>
  <c r="G42"/>
  <c r="A43"/>
  <c r="B43"/>
  <c r="C43"/>
  <c r="D43"/>
  <c r="E43"/>
  <c r="F43"/>
  <c r="G43"/>
  <c r="A44"/>
  <c r="B44"/>
  <c r="C44"/>
  <c r="D44"/>
  <c r="E44"/>
  <c r="F44"/>
  <c r="G44"/>
  <c r="A45"/>
  <c r="B45"/>
  <c r="C45"/>
  <c r="D45"/>
  <c r="E45"/>
  <c r="F45"/>
  <c r="G45"/>
  <c r="A46"/>
  <c r="B46"/>
  <c r="C46"/>
  <c r="D46"/>
  <c r="E46"/>
  <c r="F46"/>
  <c r="G46"/>
  <c r="A47"/>
  <c r="B47"/>
  <c r="C47"/>
  <c r="D47"/>
  <c r="E47"/>
  <c r="F47"/>
  <c r="G47"/>
  <c r="A48"/>
  <c r="B48"/>
  <c r="C48"/>
  <c r="D48"/>
  <c r="E48"/>
  <c r="F48"/>
  <c r="G48"/>
  <c r="A49"/>
  <c r="B49"/>
  <c r="C49"/>
  <c r="D49"/>
  <c r="E49"/>
  <c r="F49"/>
  <c r="G49"/>
  <c r="A50"/>
  <c r="B50"/>
  <c r="C50"/>
  <c r="D50"/>
  <c r="E50"/>
  <c r="F50"/>
  <c r="G50"/>
  <c r="A51"/>
  <c r="B51"/>
  <c r="C51"/>
  <c r="D51"/>
  <c r="E51"/>
  <c r="F51"/>
  <c r="G51"/>
  <c r="A52"/>
  <c r="B52"/>
  <c r="C52"/>
  <c r="D52"/>
  <c r="E52"/>
  <c r="F52"/>
  <c r="G52"/>
  <c r="A53"/>
  <c r="B53"/>
  <c r="C53"/>
  <c r="D53"/>
  <c r="E53"/>
  <c r="F53"/>
  <c r="G53"/>
  <c r="A54"/>
  <c r="B54"/>
  <c r="C54"/>
  <c r="D54"/>
  <c r="E54"/>
  <c r="F54"/>
  <c r="G54"/>
  <c r="A55"/>
  <c r="B55"/>
  <c r="C55"/>
  <c r="D55"/>
  <c r="E55"/>
  <c r="F55"/>
  <c r="G55"/>
  <c r="A56"/>
  <c r="B56"/>
  <c r="C56"/>
  <c r="D56"/>
  <c r="E56"/>
  <c r="F56"/>
  <c r="G56"/>
  <c r="A57"/>
  <c r="B57"/>
  <c r="C57"/>
  <c r="D57"/>
  <c r="E57"/>
  <c r="F57"/>
  <c r="G57"/>
  <c r="A58"/>
  <c r="B58"/>
  <c r="C58"/>
  <c r="D58"/>
  <c r="E58"/>
  <c r="F58"/>
  <c r="G58"/>
  <c r="A59"/>
  <c r="B59"/>
  <c r="C59"/>
  <c r="D59"/>
  <c r="E59"/>
  <c r="F59"/>
  <c r="G59"/>
  <c r="A60"/>
  <c r="B60"/>
  <c r="C60"/>
  <c r="D60"/>
  <c r="E60"/>
  <c r="F60"/>
  <c r="G60"/>
  <c r="A61"/>
  <c r="B61"/>
  <c r="C61"/>
  <c r="D61"/>
  <c r="E61"/>
  <c r="F61"/>
  <c r="G61"/>
  <c r="A62"/>
  <c r="B62"/>
  <c r="C62"/>
  <c r="D62"/>
  <c r="E62"/>
  <c r="F62"/>
  <c r="G62"/>
  <c r="A63"/>
  <c r="B63"/>
  <c r="C63"/>
  <c r="D63"/>
  <c r="E63"/>
  <c r="F63"/>
  <c r="G63"/>
  <c r="A64"/>
  <c r="B64"/>
  <c r="C64"/>
  <c r="D64"/>
  <c r="E64"/>
  <c r="F64"/>
  <c r="G64"/>
  <c r="A65"/>
  <c r="B65"/>
  <c r="C65"/>
  <c r="D65"/>
  <c r="E65"/>
  <c r="F65"/>
  <c r="G65"/>
  <c r="A66"/>
  <c r="B66"/>
  <c r="C66"/>
  <c r="D66"/>
  <c r="E66"/>
  <c r="F66"/>
  <c r="G66"/>
  <c r="A67"/>
  <c r="B67"/>
  <c r="C67"/>
  <c r="D67"/>
  <c r="E67"/>
  <c r="F67"/>
  <c r="G67"/>
  <c r="A68"/>
  <c r="B68"/>
  <c r="C68"/>
  <c r="D68"/>
  <c r="E68"/>
  <c r="F68"/>
  <c r="G68"/>
  <c r="A69"/>
  <c r="B69"/>
  <c r="C69"/>
  <c r="D69"/>
  <c r="E69"/>
  <c r="F69"/>
  <c r="G69"/>
  <c r="A70"/>
  <c r="B70"/>
  <c r="C70"/>
  <c r="D70"/>
  <c r="E70"/>
  <c r="F70"/>
  <c r="G70"/>
  <c r="A71"/>
  <c r="B71"/>
  <c r="C71"/>
  <c r="D71"/>
  <c r="E71"/>
  <c r="F71"/>
  <c r="G71"/>
  <c r="A72"/>
  <c r="B72"/>
  <c r="C72"/>
  <c r="D72"/>
  <c r="E72"/>
  <c r="F72"/>
  <c r="G72"/>
  <c r="A73"/>
  <c r="B73"/>
  <c r="C73"/>
  <c r="D73"/>
  <c r="E73"/>
  <c r="F73"/>
  <c r="G73"/>
  <c r="A74"/>
  <c r="B74"/>
  <c r="C74"/>
  <c r="D74"/>
  <c r="E74"/>
  <c r="F74"/>
  <c r="G74"/>
  <c r="A75"/>
  <c r="B75"/>
  <c r="C75"/>
  <c r="D75"/>
  <c r="E75"/>
  <c r="F75"/>
  <c r="G75"/>
  <c r="A76"/>
  <c r="B76"/>
  <c r="C76"/>
  <c r="D76"/>
  <c r="E76"/>
  <c r="F76"/>
  <c r="G76"/>
  <c r="A77"/>
  <c r="B77"/>
  <c r="C77"/>
  <c r="D77"/>
  <c r="E77"/>
  <c r="F77"/>
  <c r="G77"/>
  <c r="A78"/>
  <c r="B78"/>
  <c r="C78"/>
  <c r="D78"/>
  <c r="E78"/>
  <c r="F78"/>
  <c r="G78"/>
  <c r="A79"/>
  <c r="B79"/>
  <c r="C79"/>
  <c r="D79"/>
  <c r="E79"/>
  <c r="F79"/>
  <c r="G79"/>
  <c r="A80"/>
  <c r="B80"/>
  <c r="C80"/>
  <c r="D80"/>
  <c r="E80"/>
  <c r="F80"/>
  <c r="G80"/>
  <c r="A81"/>
  <c r="B81"/>
  <c r="C81"/>
  <c r="D81"/>
  <c r="E81"/>
  <c r="F81"/>
  <c r="G81"/>
  <c r="A82"/>
  <c r="B82"/>
  <c r="C82"/>
  <c r="D82"/>
  <c r="E82"/>
  <c r="F82"/>
  <c r="G82"/>
  <c r="A83"/>
  <c r="B83"/>
  <c r="C83"/>
  <c r="D83"/>
  <c r="E83"/>
  <c r="F83"/>
  <c r="G83"/>
  <c r="A84"/>
  <c r="B84"/>
  <c r="C84"/>
  <c r="D84"/>
  <c r="E84"/>
  <c r="F84"/>
  <c r="G84"/>
  <c r="A85"/>
  <c r="B85"/>
  <c r="C85"/>
  <c r="D85"/>
  <c r="E85"/>
  <c r="F85"/>
  <c r="G85"/>
  <c r="A86"/>
  <c r="B86"/>
  <c r="C86"/>
  <c r="D86"/>
  <c r="E86"/>
  <c r="F86"/>
  <c r="G86"/>
  <c r="A87"/>
  <c r="B87"/>
  <c r="C87"/>
  <c r="D87"/>
  <c r="E87"/>
  <c r="F87"/>
  <c r="G87"/>
  <c r="A88"/>
  <c r="B88"/>
  <c r="C88"/>
  <c r="D88"/>
  <c r="E88"/>
  <c r="F88"/>
  <c r="G88"/>
  <c r="A89"/>
  <c r="B89"/>
  <c r="C89"/>
  <c r="D89"/>
  <c r="E89"/>
  <c r="F89"/>
  <c r="G89"/>
  <c r="A90"/>
  <c r="B90"/>
  <c r="C90"/>
  <c r="D90"/>
  <c r="E90"/>
  <c r="F90"/>
  <c r="G90"/>
  <c r="A91"/>
  <c r="B91"/>
  <c r="C91"/>
  <c r="D91"/>
  <c r="E91"/>
  <c r="F91"/>
  <c r="G91"/>
  <c r="A92"/>
  <c r="B92"/>
  <c r="C92"/>
  <c r="D92"/>
  <c r="E92"/>
  <c r="F92"/>
  <c r="G92"/>
  <c r="A93"/>
  <c r="B93"/>
  <c r="C93"/>
  <c r="D93"/>
  <c r="E93"/>
  <c r="F93"/>
  <c r="G93"/>
  <c r="A94"/>
  <c r="B94"/>
  <c r="C94"/>
  <c r="D94"/>
  <c r="E94"/>
  <c r="F94"/>
  <c r="G94"/>
  <c r="A95"/>
  <c r="B95"/>
  <c r="C95"/>
  <c r="D95"/>
  <c r="E95"/>
  <c r="F95"/>
  <c r="G95"/>
  <c r="A96"/>
  <c r="B96"/>
  <c r="C96"/>
  <c r="D96"/>
  <c r="E96"/>
  <c r="F96"/>
  <c r="G96"/>
  <c r="A97"/>
  <c r="B97"/>
  <c r="C97"/>
  <c r="D97"/>
  <c r="E97"/>
  <c r="F97"/>
  <c r="G97"/>
  <c r="A98"/>
  <c r="B98"/>
  <c r="C98"/>
  <c r="D98"/>
  <c r="E98"/>
  <c r="F98"/>
  <c r="G98"/>
  <c r="A99"/>
  <c r="B99"/>
  <c r="C99"/>
  <c r="D99"/>
  <c r="E99"/>
  <c r="F99"/>
  <c r="G99"/>
  <c r="A100"/>
  <c r="B100"/>
  <c r="C100"/>
  <c r="D100"/>
  <c r="E100"/>
  <c r="F100"/>
  <c r="G100"/>
  <c r="A101"/>
  <c r="B101"/>
  <c r="C101"/>
  <c r="D101"/>
  <c r="E101"/>
  <c r="F101"/>
  <c r="G101"/>
  <c r="A102"/>
  <c r="B102"/>
  <c r="C102"/>
  <c r="D102"/>
  <c r="E102"/>
  <c r="F102"/>
  <c r="G102"/>
  <c r="A103"/>
  <c r="B103"/>
  <c r="C103"/>
  <c r="D103"/>
  <c r="E103"/>
  <c r="F103"/>
  <c r="G103"/>
  <c r="A104"/>
  <c r="B104"/>
  <c r="C104"/>
  <c r="D104"/>
  <c r="E104"/>
  <c r="F104"/>
  <c r="G104"/>
  <c r="A105"/>
  <c r="B105"/>
  <c r="C105"/>
  <c r="D105"/>
  <c r="E105"/>
  <c r="F105"/>
  <c r="G105"/>
  <c r="A106"/>
  <c r="B106"/>
  <c r="C106"/>
  <c r="D106"/>
  <c r="E106"/>
  <c r="F106"/>
  <c r="G106"/>
  <c r="A107"/>
  <c r="B107"/>
  <c r="C107"/>
  <c r="D107"/>
  <c r="E107"/>
  <c r="F107"/>
  <c r="G107"/>
  <c r="A108"/>
  <c r="B108"/>
  <c r="C108"/>
  <c r="D108"/>
  <c r="E108"/>
  <c r="F108"/>
  <c r="G108"/>
  <c r="A109"/>
  <c r="B109"/>
  <c r="C109"/>
  <c r="D109"/>
  <c r="E109"/>
  <c r="F109"/>
  <c r="G109"/>
  <c r="A110"/>
  <c r="B110"/>
  <c r="C110"/>
  <c r="D110"/>
  <c r="E110"/>
  <c r="F110"/>
  <c r="G110"/>
  <c r="A111"/>
  <c r="B111"/>
  <c r="C111"/>
  <c r="D111"/>
  <c r="E111"/>
  <c r="F111"/>
  <c r="G111"/>
  <c r="A112"/>
  <c r="B112"/>
  <c r="C112"/>
  <c r="D112"/>
  <c r="E112"/>
  <c r="F112"/>
  <c r="G112"/>
  <c r="A113"/>
  <c r="B113"/>
  <c r="C113"/>
  <c r="D113"/>
  <c r="E113"/>
  <c r="F113"/>
  <c r="G113"/>
  <c r="A114"/>
  <c r="B114"/>
  <c r="C114"/>
  <c r="D114"/>
  <c r="E114"/>
  <c r="F114"/>
  <c r="G114"/>
  <c r="A115"/>
  <c r="B115"/>
  <c r="C115"/>
  <c r="D115"/>
  <c r="E115"/>
  <c r="F115"/>
  <c r="G115"/>
  <c r="A116"/>
  <c r="B116"/>
  <c r="C116"/>
  <c r="D116"/>
  <c r="E116"/>
  <c r="F116"/>
  <c r="G116"/>
  <c r="A117"/>
  <c r="B117"/>
  <c r="C117"/>
  <c r="D117"/>
  <c r="E117"/>
  <c r="F117"/>
  <c r="G117"/>
  <c r="A118"/>
  <c r="B118"/>
  <c r="C118"/>
  <c r="D118"/>
  <c r="E118"/>
  <c r="F118"/>
  <c r="G118"/>
  <c r="A119"/>
  <c r="B119"/>
  <c r="C119"/>
  <c r="D119"/>
  <c r="E119"/>
  <c r="F119"/>
  <c r="G119"/>
  <c r="A120"/>
  <c r="B120"/>
  <c r="C120"/>
  <c r="D120"/>
  <c r="E120"/>
  <c r="F120"/>
  <c r="G120"/>
  <c r="A121"/>
  <c r="B121"/>
  <c r="C121"/>
  <c r="D121"/>
  <c r="E121"/>
  <c r="F121"/>
  <c r="G121"/>
  <c r="A122"/>
  <c r="B122"/>
  <c r="C122"/>
  <c r="D122"/>
  <c r="E122"/>
  <c r="F122"/>
  <c r="G122"/>
  <c r="A123"/>
  <c r="B123"/>
  <c r="C123"/>
  <c r="D123"/>
  <c r="E123"/>
  <c r="F123"/>
  <c r="G123"/>
  <c r="A124"/>
  <c r="B124"/>
  <c r="C124"/>
  <c r="D124"/>
  <c r="E124"/>
  <c r="F124"/>
  <c r="G124"/>
  <c r="A125"/>
  <c r="B125"/>
  <c r="C125"/>
  <c r="D125"/>
  <c r="E125"/>
  <c r="F125"/>
  <c r="G125"/>
  <c r="A126"/>
  <c r="B126"/>
  <c r="C126"/>
  <c r="D126"/>
  <c r="E126"/>
  <c r="F126"/>
  <c r="G126"/>
  <c r="A127"/>
  <c r="B127"/>
  <c r="C127"/>
  <c r="D127"/>
  <c r="E127"/>
  <c r="F127"/>
  <c r="G127"/>
  <c r="A128"/>
  <c r="B128"/>
  <c r="C128"/>
  <c r="D128"/>
  <c r="E128"/>
  <c r="F128"/>
  <c r="G128"/>
  <c r="A129"/>
  <c r="B129"/>
  <c r="C129"/>
  <c r="D129"/>
  <c r="E129"/>
  <c r="F129"/>
  <c r="G129"/>
  <c r="A130"/>
  <c r="B130"/>
  <c r="C130"/>
  <c r="D130"/>
  <c r="E130"/>
  <c r="F130"/>
  <c r="G130"/>
  <c r="A131"/>
  <c r="B131"/>
  <c r="C131"/>
  <c r="D131"/>
  <c r="E131"/>
  <c r="F131"/>
  <c r="G131"/>
  <c r="A132"/>
  <c r="B132"/>
  <c r="C132"/>
  <c r="D132"/>
  <c r="E132"/>
  <c r="F132"/>
  <c r="G132"/>
  <c r="A133"/>
  <c r="B133"/>
  <c r="C133"/>
  <c r="D133"/>
  <c r="E133"/>
  <c r="F133"/>
  <c r="G133"/>
  <c r="A134"/>
  <c r="B134"/>
  <c r="C134"/>
  <c r="D134"/>
  <c r="E134"/>
  <c r="F134"/>
  <c r="G134"/>
  <c r="A135"/>
  <c r="B135"/>
  <c r="C135"/>
  <c r="D135"/>
  <c r="E135"/>
  <c r="F135"/>
  <c r="G135"/>
  <c r="A136"/>
  <c r="B136"/>
  <c r="C136"/>
  <c r="D136"/>
  <c r="E136"/>
  <c r="F136"/>
  <c r="G136"/>
  <c r="A137"/>
  <c r="B137"/>
  <c r="C137"/>
  <c r="D137"/>
  <c r="E137"/>
  <c r="F137"/>
  <c r="G137"/>
  <c r="A138"/>
  <c r="B138"/>
  <c r="C138"/>
  <c r="D138"/>
  <c r="E138"/>
  <c r="F138"/>
  <c r="G138"/>
  <c r="A139"/>
  <c r="B139"/>
  <c r="C139"/>
  <c r="D139"/>
  <c r="E139"/>
  <c r="F139"/>
  <c r="G139"/>
  <c r="A140"/>
  <c r="B140"/>
  <c r="C140"/>
  <c r="D140"/>
  <c r="E140"/>
  <c r="F140"/>
  <c r="G140"/>
  <c r="A141"/>
  <c r="B141"/>
  <c r="C141"/>
  <c r="D141"/>
  <c r="E141"/>
  <c r="F141"/>
  <c r="G141"/>
  <c r="A142"/>
  <c r="B142"/>
  <c r="C142"/>
  <c r="D142"/>
  <c r="E142"/>
  <c r="F142"/>
  <c r="G142"/>
  <c r="A143"/>
  <c r="B143"/>
  <c r="C143"/>
  <c r="D143"/>
  <c r="E143"/>
  <c r="F143"/>
  <c r="G143"/>
  <c r="A144"/>
  <c r="B144"/>
  <c r="C144"/>
  <c r="D144"/>
  <c r="E144"/>
  <c r="F144"/>
  <c r="G144"/>
  <c r="A145"/>
  <c r="B145"/>
  <c r="C145"/>
  <c r="D145"/>
  <c r="E145"/>
  <c r="F145"/>
  <c r="G145"/>
  <c r="A146"/>
  <c r="B146"/>
  <c r="C146"/>
  <c r="D146"/>
  <c r="E146"/>
  <c r="F146"/>
  <c r="G146"/>
  <c r="A147"/>
  <c r="B147"/>
  <c r="C147"/>
  <c r="D147"/>
  <c r="E147"/>
  <c r="F147"/>
  <c r="G147"/>
  <c r="A148"/>
  <c r="B148"/>
  <c r="C148"/>
  <c r="D148"/>
  <c r="E148"/>
  <c r="F148"/>
  <c r="G148"/>
  <c r="A149"/>
  <c r="B149"/>
  <c r="C149"/>
  <c r="D149"/>
  <c r="E149"/>
  <c r="F149"/>
  <c r="G149"/>
  <c r="A150"/>
  <c r="B150"/>
  <c r="C150"/>
  <c r="D150"/>
  <c r="E150"/>
  <c r="F150"/>
  <c r="G150"/>
  <c r="A151"/>
  <c r="B151"/>
  <c r="C151"/>
  <c r="D151"/>
  <c r="E151"/>
  <c r="F151"/>
  <c r="G151"/>
  <c r="A152"/>
  <c r="B152"/>
  <c r="C152"/>
  <c r="D152"/>
  <c r="E152"/>
  <c r="F152"/>
  <c r="G152"/>
  <c r="A153"/>
  <c r="B153"/>
  <c r="C153"/>
  <c r="D153"/>
  <c r="E153"/>
  <c r="F153"/>
  <c r="G153"/>
  <c r="A154"/>
  <c r="B154"/>
  <c r="C154"/>
  <c r="D154"/>
  <c r="E154"/>
  <c r="F154"/>
  <c r="G154"/>
  <c r="A155"/>
  <c r="B155"/>
  <c r="C155"/>
  <c r="D155"/>
  <c r="E155"/>
  <c r="F155"/>
  <c r="G155"/>
  <c r="A156"/>
  <c r="B156"/>
  <c r="C156"/>
  <c r="D156"/>
  <c r="E156"/>
  <c r="F156"/>
  <c r="G156"/>
  <c r="A157"/>
  <c r="B157"/>
  <c r="C157"/>
  <c r="D157"/>
  <c r="E157"/>
  <c r="F157"/>
  <c r="G157"/>
  <c r="A158"/>
  <c r="B158"/>
  <c r="C158"/>
  <c r="D158"/>
  <c r="E158"/>
  <c r="F158"/>
  <c r="G158"/>
  <c r="A159"/>
  <c r="B159"/>
  <c r="C159"/>
  <c r="D159"/>
  <c r="E159"/>
  <c r="F159"/>
  <c r="G159"/>
  <c r="A160"/>
  <c r="B160"/>
  <c r="C160"/>
  <c r="D160"/>
  <c r="E160"/>
  <c r="F160"/>
  <c r="G160"/>
  <c r="A161"/>
  <c r="B161"/>
  <c r="C161"/>
  <c r="D161"/>
  <c r="E161"/>
  <c r="F161"/>
  <c r="G161"/>
  <c r="A162"/>
  <c r="B162"/>
  <c r="C162"/>
  <c r="D162"/>
  <c r="E162"/>
  <c r="F162"/>
  <c r="G162"/>
  <c r="A163"/>
  <c r="B163"/>
  <c r="C163"/>
  <c r="D163"/>
  <c r="E163"/>
  <c r="F163"/>
  <c r="G163"/>
  <c r="A164"/>
  <c r="B164"/>
  <c r="C164"/>
  <c r="D164"/>
  <c r="E164"/>
  <c r="F164"/>
  <c r="G164"/>
  <c r="A165"/>
  <c r="B165"/>
  <c r="C165"/>
  <c r="D165"/>
  <c r="E165"/>
  <c r="F165"/>
  <c r="G165"/>
  <c r="A166"/>
  <c r="B166"/>
  <c r="C166"/>
  <c r="D166"/>
  <c r="E166"/>
  <c r="F166"/>
  <c r="G166"/>
  <c r="A167"/>
  <c r="B167"/>
  <c r="C167"/>
  <c r="D167"/>
  <c r="E167"/>
  <c r="F167"/>
  <c r="G167"/>
  <c r="A168"/>
  <c r="B168"/>
  <c r="C168"/>
  <c r="D168"/>
  <c r="E168"/>
  <c r="F168"/>
  <c r="G168"/>
  <c r="A169"/>
  <c r="B169"/>
  <c r="C169"/>
  <c r="D169"/>
  <c r="E169"/>
  <c r="F169"/>
  <c r="G169"/>
  <c r="A170"/>
  <c r="B170"/>
  <c r="C170"/>
  <c r="D170"/>
  <c r="E170"/>
  <c r="F170"/>
  <c r="G170"/>
  <c r="A171"/>
  <c r="B171"/>
  <c r="C171"/>
  <c r="D171"/>
  <c r="E171"/>
  <c r="F171"/>
  <c r="G171"/>
  <c r="A172"/>
  <c r="B172"/>
  <c r="C172"/>
  <c r="D172"/>
  <c r="E172"/>
  <c r="F172"/>
  <c r="G172"/>
  <c r="A173"/>
  <c r="B173"/>
  <c r="C173"/>
  <c r="D173"/>
  <c r="E173"/>
  <c r="F173"/>
  <c r="G173"/>
  <c r="A174"/>
  <c r="B174"/>
  <c r="C174"/>
  <c r="D174"/>
  <c r="E174"/>
  <c r="F174"/>
  <c r="G174"/>
  <c r="A175"/>
  <c r="B175"/>
  <c r="C175"/>
  <c r="D175"/>
  <c r="E175"/>
  <c r="F175"/>
  <c r="G175"/>
  <c r="A176"/>
  <c r="B176"/>
  <c r="C176"/>
  <c r="D176"/>
  <c r="E176"/>
  <c r="F176"/>
  <c r="G176"/>
  <c r="A177"/>
  <c r="B177"/>
  <c r="C177"/>
  <c r="D177"/>
  <c r="E177"/>
  <c r="F177"/>
  <c r="G177"/>
  <c r="A178"/>
  <c r="B178"/>
  <c r="C178"/>
  <c r="D178"/>
  <c r="E178"/>
  <c r="F178"/>
  <c r="G178"/>
  <c r="A179"/>
  <c r="B179"/>
  <c r="C179"/>
  <c r="D179"/>
  <c r="E179"/>
  <c r="F179"/>
  <c r="G179"/>
  <c r="A180"/>
  <c r="B180"/>
  <c r="C180"/>
  <c r="D180"/>
  <c r="E180"/>
  <c r="F180"/>
  <c r="G180"/>
  <c r="A181"/>
  <c r="B181"/>
  <c r="C181"/>
  <c r="D181"/>
  <c r="E181"/>
  <c r="F181"/>
  <c r="G181"/>
  <c r="A182"/>
  <c r="B182"/>
  <c r="C182"/>
  <c r="D182"/>
  <c r="E182"/>
  <c r="F182"/>
  <c r="G182"/>
  <c r="A183"/>
  <c r="B183"/>
  <c r="C183"/>
  <c r="D183"/>
  <c r="E183"/>
  <c r="F183"/>
  <c r="G183"/>
  <c r="A184"/>
  <c r="B184"/>
  <c r="C184"/>
  <c r="D184"/>
  <c r="E184"/>
  <c r="F184"/>
  <c r="G184"/>
  <c r="A185"/>
  <c r="B185"/>
  <c r="C185"/>
  <c r="D185"/>
  <c r="E185"/>
  <c r="F185"/>
  <c r="G185"/>
  <c r="A186"/>
  <c r="B186"/>
  <c r="C186"/>
  <c r="D186"/>
  <c r="E186"/>
  <c r="F186"/>
  <c r="G186"/>
  <c r="A187"/>
  <c r="B187"/>
  <c r="C187"/>
  <c r="D187"/>
  <c r="E187"/>
  <c r="F187"/>
  <c r="G187"/>
  <c r="A188"/>
  <c r="B188"/>
  <c r="C188"/>
  <c r="D188"/>
  <c r="E188"/>
  <c r="F188"/>
  <c r="G188"/>
  <c r="A189"/>
  <c r="B189"/>
  <c r="C189"/>
  <c r="D189"/>
  <c r="E189"/>
  <c r="F189"/>
  <c r="G189"/>
  <c r="A190"/>
  <c r="B190"/>
  <c r="C190"/>
  <c r="D190"/>
  <c r="E190"/>
  <c r="F190"/>
  <c r="G190"/>
  <c r="A191"/>
  <c r="B191"/>
  <c r="C191"/>
  <c r="D191"/>
  <c r="E191"/>
  <c r="F191"/>
  <c r="G191"/>
  <c r="A192"/>
  <c r="B192"/>
  <c r="C192"/>
  <c r="D192"/>
  <c r="E192"/>
  <c r="F192"/>
  <c r="G192"/>
  <c r="A193"/>
  <c r="B193"/>
  <c r="C193"/>
  <c r="D193"/>
  <c r="E193"/>
  <c r="F193"/>
  <c r="G193"/>
  <c r="A194"/>
  <c r="B194"/>
  <c r="C194"/>
  <c r="D194"/>
  <c r="E194"/>
  <c r="F194"/>
  <c r="G194"/>
  <c r="A195"/>
  <c r="B195"/>
  <c r="C195"/>
  <c r="D195"/>
  <c r="E195"/>
  <c r="F195"/>
  <c r="G195"/>
  <c r="A196"/>
  <c r="B196"/>
  <c r="C196"/>
  <c r="D196"/>
  <c r="E196"/>
  <c r="F196"/>
  <c r="G196"/>
  <c r="A197"/>
  <c r="B197"/>
  <c r="C197"/>
  <c r="D197"/>
  <c r="E197"/>
  <c r="F197"/>
  <c r="G197"/>
  <c r="A198"/>
  <c r="B198"/>
  <c r="C198"/>
  <c r="D198"/>
  <c r="E198"/>
  <c r="F198"/>
  <c r="G198"/>
  <c r="A199"/>
  <c r="B199"/>
  <c r="C199"/>
  <c r="D199"/>
  <c r="E199"/>
  <c r="F199"/>
  <c r="G199"/>
  <c r="A200"/>
  <c r="B200"/>
  <c r="C200"/>
  <c r="D200"/>
  <c r="E200"/>
  <c r="F200"/>
  <c r="G200"/>
  <c r="A201"/>
  <c r="B201"/>
  <c r="C201"/>
  <c r="D201"/>
  <c r="E201"/>
  <c r="F201"/>
  <c r="G201"/>
  <c r="A202"/>
  <c r="B202"/>
  <c r="C202"/>
  <c r="D202"/>
  <c r="E202"/>
  <c r="F202"/>
  <c r="G202"/>
  <c r="A203"/>
  <c r="B203"/>
  <c r="C203"/>
  <c r="D203"/>
  <c r="E203"/>
  <c r="F203"/>
  <c r="G203"/>
  <c r="A204"/>
  <c r="B204"/>
  <c r="C204"/>
  <c r="D204"/>
  <c r="E204"/>
  <c r="F204"/>
  <c r="G204"/>
  <c r="A205"/>
  <c r="B205"/>
  <c r="C205"/>
  <c r="D205"/>
  <c r="E205"/>
  <c r="F205"/>
  <c r="G205"/>
  <c r="A206"/>
  <c r="B206"/>
  <c r="C206"/>
  <c r="D206"/>
  <c r="E206"/>
  <c r="F206"/>
  <c r="G206"/>
  <c r="A207"/>
  <c r="B207"/>
  <c r="C207"/>
  <c r="D207"/>
  <c r="E207"/>
  <c r="F207"/>
  <c r="G207"/>
  <c r="A208"/>
  <c r="B208"/>
  <c r="C208"/>
  <c r="D208"/>
  <c r="E208"/>
  <c r="F208"/>
  <c r="G208"/>
  <c r="A209"/>
  <c r="B209"/>
  <c r="C209"/>
  <c r="D209"/>
  <c r="E209"/>
  <c r="F209"/>
  <c r="G209"/>
  <c r="A210"/>
  <c r="B210"/>
  <c r="C210"/>
  <c r="D210"/>
  <c r="E210"/>
  <c r="F210"/>
  <c r="G210"/>
  <c r="A211"/>
  <c r="B211"/>
  <c r="C211"/>
  <c r="D211"/>
  <c r="E211"/>
  <c r="F211"/>
  <c r="G211"/>
  <c r="A212"/>
  <c r="B212"/>
  <c r="C212"/>
  <c r="D212"/>
  <c r="E212"/>
  <c r="F212"/>
  <c r="G212"/>
  <c r="A213"/>
  <c r="B213"/>
  <c r="C213"/>
  <c r="D213"/>
  <c r="E213"/>
  <c r="F213"/>
  <c r="G213"/>
  <c r="A214"/>
  <c r="B214"/>
  <c r="C214"/>
  <c r="D214"/>
  <c r="E214"/>
  <c r="F214"/>
  <c r="G214"/>
  <c r="A215"/>
  <c r="B215"/>
  <c r="C215"/>
  <c r="D215"/>
  <c r="E215"/>
  <c r="F215"/>
  <c r="G215"/>
  <c r="A216"/>
  <c r="B216"/>
  <c r="C216"/>
  <c r="D216"/>
  <c r="E216"/>
  <c r="F216"/>
  <c r="G216"/>
  <c r="A217"/>
  <c r="B217"/>
  <c r="C217"/>
  <c r="D217"/>
  <c r="E217"/>
  <c r="F217"/>
  <c r="G217"/>
  <c r="A218"/>
  <c r="B218"/>
  <c r="C218"/>
  <c r="D218"/>
  <c r="E218"/>
  <c r="F218"/>
  <c r="G218"/>
  <c r="A219"/>
  <c r="B219"/>
  <c r="C219"/>
  <c r="D219"/>
  <c r="E219"/>
  <c r="F219"/>
  <c r="G219"/>
  <c r="A220"/>
  <c r="B220"/>
  <c r="C220"/>
  <c r="D220"/>
  <c r="E220"/>
  <c r="F220"/>
  <c r="G220"/>
  <c r="A221"/>
  <c r="B221"/>
  <c r="C221"/>
  <c r="D221"/>
  <c r="E221"/>
  <c r="F221"/>
  <c r="G221"/>
  <c r="A222"/>
  <c r="B222"/>
  <c r="C222"/>
  <c r="D222"/>
  <c r="E222"/>
  <c r="F222"/>
  <c r="G222"/>
  <c r="A223"/>
  <c r="B223"/>
  <c r="C223"/>
  <c r="D223"/>
  <c r="E223"/>
  <c r="F223"/>
  <c r="G223"/>
  <c r="A224"/>
  <c r="B224"/>
  <c r="C224"/>
  <c r="D224"/>
  <c r="E224"/>
  <c r="F224"/>
  <c r="G224"/>
  <c r="A225"/>
  <c r="B225"/>
  <c r="C225"/>
  <c r="D225"/>
  <c r="E225"/>
  <c r="F225"/>
  <c r="G225"/>
  <c r="A226"/>
  <c r="B226"/>
  <c r="C226"/>
  <c r="D226"/>
  <c r="E226"/>
  <c r="F226"/>
  <c r="G226"/>
  <c r="A227"/>
  <c r="B227"/>
  <c r="C227"/>
  <c r="D227"/>
  <c r="E227"/>
  <c r="F227"/>
  <c r="G227"/>
  <c r="A228"/>
  <c r="B228"/>
  <c r="C228"/>
  <c r="D228"/>
  <c r="E228"/>
  <c r="F228"/>
  <c r="G228"/>
  <c r="A229"/>
  <c r="B229"/>
  <c r="C229"/>
  <c r="D229"/>
  <c r="E229"/>
  <c r="F229"/>
  <c r="G229"/>
  <c r="A230"/>
  <c r="B230"/>
  <c r="C230"/>
  <c r="D230"/>
  <c r="E230"/>
  <c r="F230"/>
  <c r="G230"/>
  <c r="A231"/>
  <c r="B231"/>
  <c r="C231"/>
  <c r="D231"/>
  <c r="E231"/>
  <c r="F231"/>
  <c r="G231"/>
  <c r="A232"/>
  <c r="B232"/>
  <c r="C232"/>
  <c r="D232"/>
  <c r="E232"/>
  <c r="F232"/>
  <c r="G232"/>
  <c r="A233"/>
  <c r="B233"/>
  <c r="C233"/>
  <c r="D233"/>
  <c r="E233"/>
  <c r="F233"/>
  <c r="G233"/>
  <c r="A234"/>
  <c r="B234"/>
  <c r="C234"/>
  <c r="D234"/>
  <c r="E234"/>
  <c r="F234"/>
  <c r="G234"/>
  <c r="A235"/>
  <c r="B235"/>
  <c r="C235"/>
  <c r="D235"/>
  <c r="E235"/>
  <c r="F235"/>
  <c r="G235"/>
  <c r="A236"/>
  <c r="B236"/>
  <c r="C236"/>
  <c r="D236"/>
  <c r="E236"/>
  <c r="F236"/>
  <c r="G236"/>
  <c r="A237"/>
  <c r="B237"/>
  <c r="C237"/>
  <c r="D237"/>
  <c r="E237"/>
  <c r="F237"/>
  <c r="G237"/>
  <c r="A238"/>
  <c r="B238"/>
  <c r="C238"/>
  <c r="D238"/>
  <c r="E238"/>
  <c r="F238"/>
  <c r="G238"/>
  <c r="A239"/>
  <c r="B239"/>
  <c r="C239"/>
  <c r="D239"/>
  <c r="E239"/>
  <c r="F239"/>
  <c r="G239"/>
  <c r="A240"/>
  <c r="B240"/>
  <c r="C240"/>
  <c r="D240"/>
  <c r="E240"/>
  <c r="F240"/>
  <c r="G240"/>
  <c r="A241"/>
  <c r="B241"/>
  <c r="C241"/>
  <c r="D241"/>
  <c r="E241"/>
  <c r="F241"/>
  <c r="G241"/>
  <c r="A242"/>
  <c r="B242"/>
  <c r="C242"/>
  <c r="D242"/>
  <c r="E242"/>
  <c r="F242"/>
  <c r="G242"/>
  <c r="A243"/>
  <c r="B243"/>
  <c r="C243"/>
  <c r="D243"/>
  <c r="E243"/>
  <c r="F243"/>
  <c r="G243"/>
  <c r="A244"/>
  <c r="B244"/>
  <c r="C244"/>
  <c r="D244"/>
  <c r="E244"/>
  <c r="F244"/>
  <c r="G244"/>
  <c r="A245"/>
  <c r="B245"/>
  <c r="C245"/>
  <c r="D245"/>
  <c r="E245"/>
  <c r="F245"/>
  <c r="G245"/>
  <c r="A246"/>
  <c r="B246"/>
  <c r="C246"/>
  <c r="D246"/>
  <c r="E246"/>
  <c r="F246"/>
  <c r="G246"/>
  <c r="A247"/>
  <c r="B247"/>
  <c r="C247"/>
  <c r="D247"/>
  <c r="E247"/>
  <c r="F247"/>
  <c r="G247"/>
  <c r="A248"/>
  <c r="B248"/>
  <c r="C248"/>
  <c r="D248"/>
  <c r="E248"/>
  <c r="F248"/>
  <c r="G248"/>
  <c r="A249"/>
  <c r="B249"/>
  <c r="C249"/>
  <c r="D249"/>
  <c r="E249"/>
  <c r="F249"/>
  <c r="G249"/>
  <c r="A250"/>
  <c r="B250"/>
  <c r="C250"/>
  <c r="D250"/>
  <c r="E250"/>
  <c r="F250"/>
  <c r="G250"/>
  <c r="A251"/>
  <c r="B251"/>
  <c r="C251"/>
  <c r="D251"/>
  <c r="E251"/>
  <c r="F251"/>
  <c r="G251"/>
  <c r="A252"/>
  <c r="B252"/>
  <c r="C252"/>
  <c r="D252"/>
  <c r="E252"/>
  <c r="F252"/>
  <c r="G252"/>
  <c r="A253"/>
  <c r="B253"/>
  <c r="C253"/>
  <c r="D253"/>
  <c r="E253"/>
  <c r="F253"/>
  <c r="G253"/>
  <c r="A254"/>
  <c r="B254"/>
  <c r="C254"/>
  <c r="D254"/>
  <c r="E254"/>
  <c r="F254"/>
  <c r="G254"/>
  <c r="A255"/>
  <c r="B255"/>
  <c r="C255"/>
  <c r="D255"/>
  <c r="E255"/>
  <c r="F255"/>
  <c r="G255"/>
  <c r="A256"/>
  <c r="B256"/>
  <c r="C256"/>
  <c r="D256"/>
  <c r="E256"/>
  <c r="F256"/>
  <c r="G256"/>
  <c r="A257"/>
  <c r="B257"/>
  <c r="C257"/>
  <c r="D257"/>
  <c r="E257"/>
  <c r="F257"/>
  <c r="G257"/>
  <c r="A258"/>
  <c r="B258"/>
  <c r="C258"/>
  <c r="D258"/>
  <c r="E258"/>
  <c r="F258"/>
  <c r="G258"/>
  <c r="A259"/>
  <c r="B259"/>
  <c r="C259"/>
  <c r="D259"/>
  <c r="E259"/>
  <c r="F259"/>
  <c r="G259"/>
  <c r="A260"/>
  <c r="B260"/>
  <c r="C260"/>
  <c r="D260"/>
  <c r="E260"/>
  <c r="F260"/>
  <c r="G260"/>
  <c r="A261"/>
  <c r="B261"/>
  <c r="C261"/>
  <c r="D261"/>
  <c r="E261"/>
  <c r="F261"/>
  <c r="G261"/>
  <c r="A262"/>
  <c r="B262"/>
  <c r="C262"/>
  <c r="D262"/>
  <c r="E262"/>
  <c r="F262"/>
  <c r="G262"/>
  <c r="A263"/>
  <c r="B263"/>
  <c r="C263"/>
  <c r="D263"/>
  <c r="E263"/>
  <c r="F263"/>
  <c r="G263"/>
  <c r="A264"/>
  <c r="B264"/>
  <c r="C264"/>
  <c r="D264"/>
  <c r="E264"/>
  <c r="F264"/>
  <c r="G264"/>
  <c r="A265"/>
  <c r="B265"/>
  <c r="C265"/>
  <c r="D265"/>
  <c r="E265"/>
  <c r="F265"/>
  <c r="G265"/>
  <c r="A266"/>
  <c r="B266"/>
  <c r="C266"/>
  <c r="D266"/>
  <c r="E266"/>
  <c r="F266"/>
  <c r="G266"/>
  <c r="A267"/>
  <c r="B267"/>
  <c r="C267"/>
  <c r="D267"/>
  <c r="E267"/>
  <c r="F267"/>
  <c r="G267"/>
  <c r="A268"/>
  <c r="B268"/>
  <c r="C268"/>
  <c r="D268"/>
  <c r="E268"/>
  <c r="F268"/>
  <c r="G268"/>
  <c r="A269"/>
  <c r="B269"/>
  <c r="C269"/>
  <c r="D269"/>
  <c r="E269"/>
  <c r="F269"/>
  <c r="G269"/>
  <c r="A270"/>
  <c r="B270"/>
  <c r="C270"/>
  <c r="D270"/>
  <c r="E270"/>
  <c r="F270"/>
  <c r="G270"/>
  <c r="A271"/>
  <c r="B271"/>
  <c r="C271"/>
  <c r="D271"/>
  <c r="E271"/>
  <c r="F271"/>
  <c r="G271"/>
  <c r="A272"/>
  <c r="B272"/>
  <c r="C272"/>
  <c r="D272"/>
  <c r="E272"/>
  <c r="F272"/>
  <c r="G272"/>
  <c r="A273"/>
  <c r="B273"/>
  <c r="C273"/>
  <c r="D273"/>
  <c r="E273"/>
  <c r="F273"/>
  <c r="G273"/>
  <c r="A274"/>
  <c r="B274"/>
  <c r="C274"/>
  <c r="D274"/>
  <c r="E274"/>
  <c r="F274"/>
  <c r="G274"/>
  <c r="A275"/>
  <c r="B275"/>
  <c r="C275"/>
  <c r="D275"/>
  <c r="E275"/>
  <c r="F275"/>
  <c r="G275"/>
  <c r="A276"/>
  <c r="B276"/>
  <c r="C276"/>
  <c r="D276"/>
  <c r="E276"/>
  <c r="F276"/>
  <c r="G276"/>
  <c r="A277"/>
  <c r="B277"/>
  <c r="C277"/>
  <c r="D277"/>
  <c r="E277"/>
  <c r="F277"/>
  <c r="G277"/>
  <c r="A278"/>
  <c r="B278"/>
  <c r="C278"/>
  <c r="D278"/>
  <c r="E278"/>
  <c r="F278"/>
  <c r="G278"/>
  <c r="A279"/>
  <c r="B279"/>
  <c r="C279"/>
  <c r="D279"/>
  <c r="E279"/>
  <c r="F279"/>
  <c r="G279"/>
  <c r="A280"/>
  <c r="B280"/>
  <c r="C280"/>
  <c r="D280"/>
  <c r="E280"/>
  <c r="F280"/>
  <c r="G280"/>
  <c r="A281"/>
  <c r="B281"/>
  <c r="C281"/>
  <c r="D281"/>
  <c r="E281"/>
  <c r="F281"/>
  <c r="G281"/>
  <c r="A282"/>
  <c r="B282"/>
  <c r="C282"/>
  <c r="D282"/>
  <c r="E282"/>
  <c r="F282"/>
  <c r="G282"/>
  <c r="A283"/>
  <c r="B283"/>
  <c r="C283"/>
  <c r="D283"/>
  <c r="E283"/>
  <c r="F283"/>
  <c r="G283"/>
  <c r="A284"/>
  <c r="B284"/>
  <c r="C284"/>
  <c r="D284"/>
  <c r="E284"/>
  <c r="F284"/>
  <c r="G284"/>
  <c r="A285"/>
  <c r="B285"/>
  <c r="C285"/>
  <c r="D285"/>
  <c r="E285"/>
  <c r="F285"/>
  <c r="G285"/>
  <c r="A286"/>
  <c r="B286"/>
  <c r="C286"/>
  <c r="D286"/>
  <c r="E286"/>
  <c r="F286"/>
  <c r="G286"/>
  <c r="A287"/>
  <c r="B287"/>
  <c r="C287"/>
  <c r="D287"/>
  <c r="E287"/>
  <c r="F287"/>
  <c r="G287"/>
  <c r="A288"/>
  <c r="B288"/>
  <c r="C288"/>
  <c r="D288"/>
  <c r="E288"/>
  <c r="F288"/>
  <c r="G288"/>
  <c r="A289"/>
  <c r="B289"/>
  <c r="C289"/>
  <c r="D289"/>
  <c r="E289"/>
  <c r="F289"/>
  <c r="G289"/>
  <c r="A290"/>
  <c r="B290"/>
  <c r="C290"/>
  <c r="D290"/>
  <c r="E290"/>
  <c r="F290"/>
  <c r="G290"/>
  <c r="A291"/>
  <c r="B291"/>
  <c r="C291"/>
  <c r="D291"/>
  <c r="E291"/>
  <c r="F291"/>
  <c r="G291"/>
  <c r="A292"/>
  <c r="B292"/>
  <c r="C292"/>
  <c r="D292"/>
  <c r="E292"/>
  <c r="F292"/>
  <c r="G292"/>
  <c r="A293"/>
  <c r="B293"/>
  <c r="C293"/>
  <c r="D293"/>
  <c r="E293"/>
  <c r="F293"/>
  <c r="G293"/>
  <c r="A294"/>
  <c r="B294"/>
  <c r="C294"/>
  <c r="D294"/>
  <c r="E294"/>
  <c r="F294"/>
  <c r="G294"/>
  <c r="A295"/>
  <c r="B295"/>
  <c r="C295"/>
  <c r="D295"/>
  <c r="E295"/>
  <c r="F295"/>
  <c r="G295"/>
  <c r="A296"/>
  <c r="B296"/>
  <c r="C296"/>
  <c r="D296"/>
  <c r="E296"/>
  <c r="F296"/>
  <c r="G296"/>
  <c r="A297"/>
  <c r="B297"/>
  <c r="C297"/>
  <c r="D297"/>
  <c r="E297"/>
  <c r="F297"/>
  <c r="G297"/>
  <c r="A298"/>
  <c r="B298"/>
  <c r="C298"/>
  <c r="D298"/>
  <c r="E298"/>
  <c r="F298"/>
  <c r="G298"/>
  <c r="A299"/>
  <c r="B299"/>
  <c r="C299"/>
  <c r="D299"/>
  <c r="E299"/>
  <c r="F299"/>
  <c r="G299"/>
  <c r="A300"/>
  <c r="B300"/>
  <c r="C300"/>
  <c r="D300"/>
  <c r="E300"/>
  <c r="F300"/>
  <c r="G300"/>
  <c r="A301"/>
  <c r="B301"/>
  <c r="C301"/>
  <c r="D301"/>
  <c r="E301"/>
  <c r="F301"/>
  <c r="G301"/>
  <c r="A302"/>
  <c r="B302"/>
  <c r="C302"/>
  <c r="D302"/>
  <c r="E302"/>
  <c r="F302"/>
  <c r="G302"/>
  <c r="A303"/>
  <c r="B303"/>
  <c r="C303"/>
  <c r="D303"/>
  <c r="E303"/>
  <c r="F303"/>
  <c r="G303"/>
  <c r="A304"/>
  <c r="B304"/>
  <c r="C304"/>
  <c r="D304"/>
  <c r="E304"/>
  <c r="F304"/>
  <c r="G304"/>
  <c r="A305"/>
  <c r="B305"/>
  <c r="C305"/>
  <c r="D305"/>
  <c r="E305"/>
  <c r="F305"/>
  <c r="G305"/>
  <c r="A306"/>
  <c r="B306"/>
  <c r="C306"/>
  <c r="D306"/>
  <c r="E306"/>
  <c r="F306"/>
  <c r="G306"/>
  <c r="A307"/>
  <c r="B307"/>
  <c r="C307"/>
  <c r="D307"/>
  <c r="E307"/>
  <c r="F307"/>
  <c r="G307"/>
  <c r="A308"/>
  <c r="B308"/>
  <c r="C308"/>
  <c r="D308"/>
  <c r="E308"/>
  <c r="F308"/>
  <c r="G308"/>
  <c r="A309"/>
  <c r="B309"/>
  <c r="C309"/>
  <c r="D309"/>
  <c r="E309"/>
  <c r="F309"/>
  <c r="G309"/>
  <c r="A310"/>
  <c r="B310"/>
  <c r="C310"/>
  <c r="D310"/>
  <c r="E310"/>
  <c r="F310"/>
  <c r="G310"/>
  <c r="A311"/>
  <c r="B311"/>
  <c r="C311"/>
  <c r="D311"/>
  <c r="E311"/>
  <c r="F311"/>
  <c r="G311"/>
  <c r="A312"/>
  <c r="B312"/>
  <c r="C312"/>
  <c r="D312"/>
  <c r="E312"/>
  <c r="F312"/>
  <c r="G312"/>
  <c r="A313"/>
  <c r="B313"/>
  <c r="C313"/>
  <c r="D313"/>
  <c r="E313"/>
  <c r="F313"/>
  <c r="G313"/>
  <c r="A314"/>
  <c r="B314"/>
  <c r="C314"/>
  <c r="D314"/>
  <c r="E314"/>
  <c r="F314"/>
  <c r="G314"/>
  <c r="A315"/>
  <c r="B315"/>
  <c r="C315"/>
  <c r="D315"/>
  <c r="E315"/>
  <c r="F315"/>
  <c r="G315"/>
  <c r="A316"/>
  <c r="B316"/>
  <c r="C316"/>
  <c r="D316"/>
  <c r="E316"/>
  <c r="F316"/>
  <c r="G316"/>
  <c r="A317"/>
  <c r="B317"/>
  <c r="C317"/>
  <c r="D317"/>
  <c r="E317"/>
  <c r="F317"/>
  <c r="G317"/>
  <c r="A318"/>
  <c r="B318"/>
  <c r="C318"/>
  <c r="D318"/>
  <c r="E318"/>
  <c r="F318"/>
  <c r="G318"/>
  <c r="A319"/>
  <c r="B319"/>
  <c r="C319"/>
  <c r="D319"/>
  <c r="E319"/>
  <c r="F319"/>
  <c r="G319"/>
  <c r="A320"/>
  <c r="B320"/>
  <c r="C320"/>
  <c r="D320"/>
  <c r="E320"/>
  <c r="F320"/>
  <c r="G320"/>
  <c r="A321"/>
  <c r="B321"/>
  <c r="C321"/>
  <c r="D321"/>
  <c r="E321"/>
  <c r="F321"/>
  <c r="G321"/>
  <c r="A322"/>
  <c r="B322"/>
  <c r="C322"/>
  <c r="D322"/>
  <c r="E322"/>
  <c r="F322"/>
  <c r="G322"/>
  <c r="A323"/>
  <c r="B323"/>
  <c r="C323"/>
  <c r="D323"/>
  <c r="E323"/>
  <c r="F323"/>
  <c r="G323"/>
  <c r="A324"/>
  <c r="B324"/>
  <c r="C324"/>
  <c r="D324"/>
  <c r="E324"/>
  <c r="F324"/>
  <c r="G324"/>
  <c r="A325"/>
  <c r="B325"/>
  <c r="C325"/>
  <c r="D325"/>
  <c r="E325"/>
  <c r="F325"/>
  <c r="G325"/>
  <c r="A326"/>
  <c r="B326"/>
  <c r="C326"/>
  <c r="D326"/>
  <c r="E326"/>
  <c r="F326"/>
  <c r="G326"/>
  <c r="A327"/>
  <c r="B327"/>
  <c r="C327"/>
  <c r="D327"/>
  <c r="E327"/>
  <c r="F327"/>
  <c r="G327"/>
  <c r="A328"/>
  <c r="B328"/>
  <c r="C328"/>
  <c r="D328"/>
  <c r="E328"/>
  <c r="F328"/>
  <c r="G328"/>
  <c r="A329"/>
  <c r="B329"/>
  <c r="C329"/>
  <c r="D329"/>
  <c r="E329"/>
  <c r="F329"/>
  <c r="G329"/>
  <c r="A330"/>
  <c r="B330"/>
  <c r="C330"/>
  <c r="D330"/>
  <c r="E330"/>
  <c r="F330"/>
  <c r="G330"/>
  <c r="A331"/>
  <c r="B331"/>
  <c r="C331"/>
  <c r="D331"/>
  <c r="E331"/>
  <c r="F331"/>
  <c r="G331"/>
  <c r="A332"/>
  <c r="B332"/>
  <c r="C332"/>
  <c r="D332"/>
  <c r="E332"/>
  <c r="F332"/>
  <c r="G332"/>
  <c r="A333"/>
  <c r="B333"/>
  <c r="C333"/>
  <c r="D333"/>
  <c r="E333"/>
  <c r="F333"/>
  <c r="G333"/>
  <c r="A334"/>
  <c r="B334"/>
  <c r="C334"/>
  <c r="D334"/>
  <c r="E334"/>
  <c r="F334"/>
  <c r="G334"/>
  <c r="A335"/>
  <c r="B335"/>
  <c r="C335"/>
  <c r="D335"/>
  <c r="E335"/>
  <c r="F335"/>
  <c r="G335"/>
  <c r="A336"/>
  <c r="B336"/>
  <c r="C336"/>
  <c r="D336"/>
  <c r="E336"/>
  <c r="F336"/>
  <c r="G336"/>
  <c r="A337"/>
  <c r="B337"/>
  <c r="C337"/>
  <c r="D337"/>
  <c r="E337"/>
  <c r="F337"/>
  <c r="G337"/>
  <c r="A338"/>
  <c r="B338"/>
  <c r="C338"/>
  <c r="D338"/>
  <c r="E338"/>
  <c r="F338"/>
  <c r="G338"/>
  <c r="A339"/>
  <c r="B339"/>
  <c r="C339"/>
  <c r="D339"/>
  <c r="E339"/>
  <c r="F339"/>
  <c r="G339"/>
  <c r="A340"/>
  <c r="B340"/>
  <c r="C340"/>
  <c r="D340"/>
  <c r="E340"/>
  <c r="F340"/>
  <c r="G340"/>
  <c r="A341"/>
  <c r="B341"/>
  <c r="C341"/>
  <c r="D341"/>
  <c r="E341"/>
  <c r="F341"/>
  <c r="G341"/>
  <c r="A342"/>
  <c r="B342"/>
  <c r="C342"/>
  <c r="D342"/>
  <c r="E342"/>
  <c r="F342"/>
  <c r="G342"/>
  <c r="A343"/>
  <c r="B343"/>
  <c r="C343"/>
  <c r="D343"/>
  <c r="E343"/>
  <c r="F343"/>
  <c r="G343"/>
  <c r="A344"/>
  <c r="B344"/>
  <c r="C344"/>
  <c r="D344"/>
  <c r="E344"/>
  <c r="F344"/>
  <c r="G344"/>
  <c r="A345"/>
  <c r="B345"/>
  <c r="C345"/>
  <c r="D345"/>
  <c r="E345"/>
  <c r="F345"/>
  <c r="G345"/>
  <c r="A346"/>
  <c r="B346"/>
  <c r="C346"/>
  <c r="D346"/>
  <c r="E346"/>
  <c r="F346"/>
  <c r="G346"/>
  <c r="A347"/>
  <c r="B347"/>
  <c r="C347"/>
  <c r="D347"/>
  <c r="E347"/>
  <c r="F347"/>
  <c r="G347"/>
  <c r="A348"/>
  <c r="B348"/>
  <c r="C348"/>
  <c r="D348"/>
  <c r="E348"/>
  <c r="F348"/>
  <c r="G348"/>
  <c r="A349"/>
  <c r="B349"/>
  <c r="C349"/>
  <c r="D349"/>
  <c r="E349"/>
  <c r="F349"/>
  <c r="G349"/>
  <c r="A350"/>
  <c r="B350"/>
  <c r="C350"/>
  <c r="D350"/>
  <c r="E350"/>
  <c r="F350"/>
  <c r="G350"/>
  <c r="A351"/>
  <c r="B351"/>
  <c r="C351"/>
  <c r="D351"/>
  <c r="E351"/>
  <c r="F351"/>
  <c r="G351"/>
  <c r="A352"/>
  <c r="B352"/>
  <c r="C352"/>
  <c r="D352"/>
  <c r="E352"/>
  <c r="F352"/>
  <c r="G352"/>
  <c r="A353"/>
  <c r="B353"/>
  <c r="C353"/>
  <c r="D353"/>
  <c r="E353"/>
  <c r="F353"/>
  <c r="G353"/>
  <c r="A354"/>
  <c r="B354"/>
  <c r="C354"/>
  <c r="D354"/>
  <c r="E354"/>
  <c r="F354"/>
  <c r="G354"/>
  <c r="A355"/>
  <c r="B355"/>
  <c r="C355"/>
  <c r="D355"/>
  <c r="E355"/>
  <c r="F355"/>
  <c r="G355"/>
  <c r="A356"/>
  <c r="B356"/>
  <c r="C356"/>
  <c r="D356"/>
  <c r="E356"/>
  <c r="F356"/>
  <c r="G356"/>
  <c r="A357"/>
  <c r="B357"/>
  <c r="C357"/>
  <c r="D357"/>
  <c r="E357"/>
  <c r="F357"/>
  <c r="G357"/>
  <c r="A358"/>
  <c r="B358"/>
  <c r="C358"/>
  <c r="D358"/>
  <c r="E358"/>
  <c r="F358"/>
  <c r="G358"/>
  <c r="A359"/>
  <c r="B359"/>
  <c r="C359"/>
  <c r="D359"/>
  <c r="E359"/>
  <c r="F359"/>
  <c r="G359"/>
  <c r="A360"/>
  <c r="B360"/>
  <c r="C360"/>
  <c r="D360"/>
  <c r="E360"/>
  <c r="F360"/>
  <c r="G360"/>
  <c r="A361"/>
  <c r="B361"/>
  <c r="C361"/>
  <c r="D361"/>
  <c r="E361"/>
  <c r="F361"/>
  <c r="G361"/>
  <c r="A362"/>
  <c r="B362"/>
  <c r="C362"/>
  <c r="D362"/>
  <c r="E362"/>
  <c r="F362"/>
  <c r="G362"/>
  <c r="A363"/>
  <c r="B363"/>
  <c r="C363"/>
  <c r="D363"/>
  <c r="E363"/>
  <c r="F363"/>
  <c r="G363"/>
  <c r="A364"/>
  <c r="B364"/>
  <c r="C364"/>
  <c r="D364"/>
  <c r="E364"/>
  <c r="F364"/>
  <c r="G364"/>
  <c r="A365"/>
  <c r="B365"/>
  <c r="C365"/>
  <c r="D365"/>
  <c r="E365"/>
  <c r="F365"/>
  <c r="G365"/>
  <c r="A366"/>
  <c r="B366"/>
  <c r="C366"/>
  <c r="D366"/>
  <c r="E366"/>
  <c r="F366"/>
  <c r="G366"/>
  <c r="A367"/>
  <c r="B367"/>
  <c r="C367"/>
  <c r="D367"/>
  <c r="E367"/>
  <c r="F367"/>
  <c r="G367"/>
  <c r="A368"/>
  <c r="B368"/>
  <c r="C368"/>
  <c r="D368"/>
  <c r="E368"/>
  <c r="F368"/>
  <c r="G368"/>
  <c r="A369"/>
  <c r="B369"/>
  <c r="C369"/>
  <c r="D369"/>
  <c r="E369"/>
  <c r="F369"/>
  <c r="G369"/>
  <c r="A370"/>
  <c r="B370"/>
  <c r="C370"/>
  <c r="D370"/>
  <c r="E370"/>
  <c r="F370"/>
  <c r="G370"/>
  <c r="A371"/>
  <c r="B371"/>
  <c r="C371"/>
  <c r="D371"/>
  <c r="E371"/>
  <c r="F371"/>
  <c r="G371"/>
  <c r="A372"/>
  <c r="B372"/>
  <c r="C372"/>
  <c r="D372"/>
  <c r="E372"/>
  <c r="F372"/>
  <c r="G372"/>
  <c r="A373"/>
  <c r="B373"/>
  <c r="C373"/>
  <c r="D373"/>
  <c r="E373"/>
  <c r="F373"/>
  <c r="G373"/>
  <c r="A374"/>
  <c r="B374"/>
  <c r="C374"/>
  <c r="D374"/>
  <c r="E374"/>
  <c r="F374"/>
  <c r="G374"/>
  <c r="A375"/>
  <c r="B375"/>
  <c r="C375"/>
  <c r="D375"/>
  <c r="E375"/>
  <c r="F375"/>
  <c r="G375"/>
  <c r="A376"/>
  <c r="B376"/>
  <c r="C376"/>
  <c r="D376"/>
  <c r="E376"/>
  <c r="F376"/>
  <c r="G376"/>
  <c r="A377"/>
  <c r="B377"/>
  <c r="C377"/>
  <c r="D377"/>
  <c r="E377"/>
  <c r="F377"/>
  <c r="G377"/>
  <c r="A378"/>
  <c r="B378"/>
  <c r="C378"/>
  <c r="D378"/>
  <c r="E378"/>
  <c r="F378"/>
  <c r="G378"/>
  <c r="A379"/>
  <c r="B379"/>
  <c r="C379"/>
  <c r="D379"/>
  <c r="E379"/>
  <c r="F379"/>
  <c r="G379"/>
  <c r="A380"/>
  <c r="B380"/>
  <c r="C380"/>
  <c r="D380"/>
  <c r="E380"/>
  <c r="F380"/>
  <c r="G380"/>
  <c r="A381"/>
  <c r="B381"/>
  <c r="C381"/>
  <c r="D381"/>
  <c r="E381"/>
  <c r="F381"/>
  <c r="G381"/>
  <c r="A382"/>
  <c r="B382"/>
  <c r="C382"/>
  <c r="D382"/>
  <c r="E382"/>
  <c r="F382"/>
  <c r="G382"/>
  <c r="A383"/>
  <c r="B383"/>
  <c r="C383"/>
  <c r="D383"/>
  <c r="E383"/>
  <c r="F383"/>
  <c r="G383"/>
  <c r="A384"/>
  <c r="B384"/>
  <c r="C384"/>
  <c r="D384"/>
  <c r="E384"/>
  <c r="F384"/>
  <c r="G384"/>
  <c r="A385"/>
  <c r="B385"/>
  <c r="C385"/>
  <c r="D385"/>
  <c r="E385"/>
  <c r="F385"/>
  <c r="G385"/>
  <c r="A386"/>
  <c r="B386"/>
  <c r="C386"/>
  <c r="D386"/>
  <c r="E386"/>
  <c r="F386"/>
  <c r="G386"/>
  <c r="A387"/>
  <c r="B387"/>
  <c r="C387"/>
  <c r="D387"/>
  <c r="E387"/>
  <c r="F387"/>
  <c r="G387"/>
  <c r="A388"/>
  <c r="B388"/>
  <c r="C388"/>
  <c r="D388"/>
  <c r="E388"/>
  <c r="F388"/>
  <c r="G388"/>
  <c r="A389"/>
  <c r="B389"/>
  <c r="C389"/>
  <c r="D389"/>
  <c r="E389"/>
  <c r="F389"/>
  <c r="G389"/>
  <c r="A390"/>
  <c r="B390"/>
  <c r="C390"/>
  <c r="D390"/>
  <c r="E390"/>
  <c r="F390"/>
  <c r="G390"/>
  <c r="A391"/>
  <c r="B391"/>
  <c r="C391"/>
  <c r="D391"/>
  <c r="E391"/>
  <c r="F391"/>
  <c r="G391"/>
  <c r="A392"/>
  <c r="B392"/>
  <c r="C392"/>
  <c r="D392"/>
  <c r="E392"/>
  <c r="F392"/>
  <c r="G392"/>
  <c r="A393"/>
  <c r="B393"/>
  <c r="C393"/>
  <c r="D393"/>
  <c r="E393"/>
  <c r="F393"/>
  <c r="G393"/>
  <c r="A394"/>
  <c r="B394"/>
  <c r="C394"/>
  <c r="D394"/>
  <c r="E394"/>
  <c r="F394"/>
  <c r="G394"/>
  <c r="A395"/>
  <c r="B395"/>
  <c r="C395"/>
  <c r="D395"/>
  <c r="E395"/>
  <c r="F395"/>
  <c r="G395"/>
  <c r="A396"/>
  <c r="B396"/>
  <c r="C396"/>
  <c r="D396"/>
  <c r="E396"/>
  <c r="F396"/>
  <c r="G396"/>
  <c r="A397"/>
  <c r="B397"/>
  <c r="C397"/>
  <c r="D397"/>
  <c r="E397"/>
  <c r="F397"/>
  <c r="G397"/>
  <c r="A398"/>
  <c r="B398"/>
  <c r="C398"/>
  <c r="D398"/>
  <c r="E398"/>
  <c r="F398"/>
  <c r="G398"/>
  <c r="A399"/>
  <c r="B399"/>
  <c r="C399"/>
  <c r="D399"/>
  <c r="E399"/>
  <c r="F399"/>
  <c r="G399"/>
  <c r="A400"/>
  <c r="B400"/>
  <c r="C400"/>
  <c r="D400"/>
  <c r="E400"/>
  <c r="F400"/>
  <c r="G400"/>
  <c r="A401"/>
  <c r="B401"/>
  <c r="C401"/>
  <c r="D401"/>
  <c r="E401"/>
  <c r="F401"/>
  <c r="G401"/>
  <c r="A402"/>
  <c r="B402"/>
  <c r="C402"/>
  <c r="D402"/>
  <c r="E402"/>
  <c r="F402"/>
  <c r="G402"/>
  <c r="A403"/>
  <c r="B403"/>
  <c r="C403"/>
  <c r="D403"/>
  <c r="E403"/>
  <c r="F403"/>
  <c r="G403"/>
  <c r="A404"/>
  <c r="B404"/>
  <c r="C404"/>
  <c r="D404"/>
  <c r="E404"/>
  <c r="F404"/>
  <c r="G404"/>
  <c r="A405"/>
  <c r="B405"/>
  <c r="C405"/>
  <c r="D405"/>
  <c r="E405"/>
  <c r="F405"/>
  <c r="G405"/>
  <c r="A406"/>
  <c r="B406"/>
  <c r="C406"/>
  <c r="D406"/>
  <c r="E406"/>
  <c r="F406"/>
  <c r="G406"/>
  <c r="A407"/>
  <c r="B407"/>
  <c r="C407"/>
  <c r="D407"/>
  <c r="E407"/>
  <c r="F407"/>
  <c r="G407"/>
  <c r="A408"/>
  <c r="B408"/>
  <c r="C408"/>
  <c r="D408"/>
  <c r="E408"/>
  <c r="F408"/>
  <c r="G408"/>
  <c r="A409"/>
  <c r="B409"/>
  <c r="C409"/>
  <c r="D409"/>
  <c r="E409"/>
  <c r="F409"/>
  <c r="G409"/>
  <c r="A410"/>
  <c r="B410"/>
  <c r="C410"/>
  <c r="D410"/>
  <c r="E410"/>
  <c r="F410"/>
  <c r="G410"/>
  <c r="A411"/>
  <c r="B411"/>
  <c r="C411"/>
  <c r="D411"/>
  <c r="E411"/>
  <c r="F411"/>
  <c r="G411"/>
  <c r="A412"/>
  <c r="B412"/>
  <c r="C412"/>
  <c r="D412"/>
  <c r="E412"/>
  <c r="F412"/>
  <c r="G412"/>
  <c r="A413"/>
  <c r="B413"/>
  <c r="C413"/>
  <c r="D413"/>
  <c r="E413"/>
  <c r="F413"/>
  <c r="G413"/>
  <c r="A414"/>
  <c r="B414"/>
  <c r="C414"/>
  <c r="D414"/>
  <c r="E414"/>
  <c r="F414"/>
  <c r="G414"/>
  <c r="A415"/>
  <c r="B415"/>
  <c r="C415"/>
  <c r="D415"/>
  <c r="E415"/>
  <c r="F415"/>
  <c r="G415"/>
  <c r="A416"/>
  <c r="B416"/>
  <c r="C416"/>
  <c r="D416"/>
  <c r="E416"/>
  <c r="F416"/>
  <c r="G416"/>
  <c r="A417"/>
  <c r="B417"/>
  <c r="C417"/>
  <c r="D417"/>
  <c r="E417"/>
  <c r="F417"/>
  <c r="G417"/>
  <c r="A418"/>
  <c r="B418"/>
  <c r="C418"/>
  <c r="D418"/>
  <c r="E418"/>
  <c r="F418"/>
  <c r="G418"/>
  <c r="A419"/>
  <c r="B419"/>
  <c r="C419"/>
  <c r="D419"/>
  <c r="E419"/>
  <c r="F419"/>
  <c r="G419"/>
  <c r="A420"/>
  <c r="B420"/>
  <c r="C420"/>
  <c r="D420"/>
  <c r="E420"/>
  <c r="F420"/>
  <c r="G420"/>
  <c r="A421"/>
  <c r="B421"/>
  <c r="C421"/>
  <c r="D421"/>
  <c r="E421"/>
  <c r="F421"/>
  <c r="G421"/>
  <c r="A422"/>
  <c r="B422"/>
  <c r="C422"/>
  <c r="D422"/>
  <c r="E422"/>
  <c r="F422"/>
  <c r="G422"/>
  <c r="A423"/>
  <c r="B423"/>
  <c r="C423"/>
  <c r="D423"/>
  <c r="E423"/>
  <c r="F423"/>
  <c r="G423"/>
  <c r="A424"/>
  <c r="B424"/>
  <c r="C424"/>
  <c r="D424"/>
  <c r="E424"/>
  <c r="F424"/>
  <c r="G424"/>
  <c r="A425"/>
  <c r="B425"/>
  <c r="C425"/>
  <c r="D425"/>
  <c r="E425"/>
  <c r="F425"/>
  <c r="G425"/>
  <c r="A426"/>
  <c r="B426"/>
  <c r="C426"/>
  <c r="D426"/>
  <c r="E426"/>
  <c r="F426"/>
  <c r="G426"/>
  <c r="A427"/>
  <c r="B427"/>
  <c r="C427"/>
  <c r="D427"/>
  <c r="E427"/>
  <c r="F427"/>
  <c r="G427"/>
  <c r="A428"/>
  <c r="B428"/>
  <c r="C428"/>
  <c r="D428"/>
  <c r="E428"/>
  <c r="F428"/>
  <c r="G428"/>
  <c r="A429"/>
  <c r="B429"/>
  <c r="C429"/>
  <c r="D429"/>
  <c r="E429"/>
  <c r="F429"/>
  <c r="G429"/>
  <c r="A430"/>
  <c r="B430"/>
  <c r="C430"/>
  <c r="D430"/>
  <c r="E430"/>
  <c r="F430"/>
  <c r="G430"/>
  <c r="A431"/>
  <c r="B431"/>
  <c r="C431"/>
  <c r="D431"/>
  <c r="E431"/>
  <c r="F431"/>
  <c r="G431"/>
  <c r="A432"/>
  <c r="B432"/>
  <c r="C432"/>
  <c r="D432"/>
  <c r="E432"/>
  <c r="F432"/>
  <c r="G432"/>
  <c r="A433"/>
  <c r="B433"/>
  <c r="C433"/>
  <c r="D433"/>
  <c r="E433"/>
  <c r="F433"/>
  <c r="G433"/>
  <c r="A434"/>
  <c r="B434"/>
  <c r="C434"/>
  <c r="D434"/>
  <c r="E434"/>
  <c r="F434"/>
  <c r="G434"/>
  <c r="A435"/>
  <c r="B435"/>
  <c r="C435"/>
  <c r="D435"/>
  <c r="E435"/>
  <c r="F435"/>
  <c r="G435"/>
  <c r="A436"/>
  <c r="B436"/>
  <c r="C436"/>
  <c r="D436"/>
  <c r="E436"/>
  <c r="F436"/>
  <c r="G436"/>
  <c r="A437"/>
  <c r="B437"/>
  <c r="C437"/>
  <c r="D437"/>
  <c r="E437"/>
  <c r="F437"/>
  <c r="G437"/>
  <c r="A438"/>
  <c r="B438"/>
  <c r="C438"/>
  <c r="D438"/>
  <c r="E438"/>
  <c r="F438"/>
  <c r="G438"/>
  <c r="A439"/>
  <c r="B439"/>
  <c r="C439"/>
  <c r="D439"/>
  <c r="E439"/>
  <c r="F439"/>
  <c r="G439"/>
  <c r="A440"/>
  <c r="B440"/>
  <c r="C440"/>
  <c r="D440"/>
  <c r="E440"/>
  <c r="F440"/>
  <c r="G440"/>
  <c r="A441"/>
  <c r="B441"/>
  <c r="C441"/>
  <c r="D441"/>
  <c r="E441"/>
  <c r="F441"/>
  <c r="G441"/>
  <c r="A442"/>
  <c r="B442"/>
  <c r="C442"/>
  <c r="D442"/>
  <c r="E442"/>
  <c r="F442"/>
  <c r="G442"/>
  <c r="A443"/>
  <c r="B443"/>
  <c r="C443"/>
  <c r="D443"/>
  <c r="E443"/>
  <c r="F443"/>
  <c r="G443"/>
  <c r="A444"/>
  <c r="B444"/>
  <c r="C444"/>
  <c r="D444"/>
  <c r="E444"/>
  <c r="F444"/>
  <c r="G444"/>
  <c r="A445"/>
  <c r="B445"/>
  <c r="C445"/>
  <c r="D445"/>
  <c r="E445"/>
  <c r="F445"/>
  <c r="G445"/>
  <c r="A446"/>
  <c r="B446"/>
  <c r="C446"/>
  <c r="D446"/>
  <c r="E446"/>
  <c r="F446"/>
  <c r="G446"/>
  <c r="A447"/>
  <c r="B447"/>
  <c r="C447"/>
  <c r="D447"/>
  <c r="E447"/>
  <c r="F447"/>
  <c r="G447"/>
  <c r="A448"/>
  <c r="B448"/>
  <c r="C448"/>
  <c r="D448"/>
  <c r="E448"/>
  <c r="F448"/>
  <c r="G448"/>
  <c r="A449"/>
  <c r="B449"/>
  <c r="C449"/>
  <c r="D449"/>
  <c r="E449"/>
  <c r="F449"/>
  <c r="G449"/>
  <c r="A450"/>
  <c r="B450"/>
  <c r="C450"/>
  <c r="D450"/>
  <c r="E450"/>
  <c r="F450"/>
  <c r="G450"/>
  <c r="A451"/>
  <c r="B451"/>
  <c r="C451"/>
  <c r="D451"/>
  <c r="E451"/>
  <c r="F451"/>
  <c r="G451"/>
  <c r="A452"/>
  <c r="B452"/>
  <c r="C452"/>
  <c r="D452"/>
  <c r="E452"/>
  <c r="F452"/>
  <c r="G452"/>
  <c r="A453"/>
  <c r="B453"/>
  <c r="C453"/>
  <c r="D453"/>
  <c r="E453"/>
  <c r="F453"/>
  <c r="G453"/>
  <c r="A454"/>
  <c r="B454"/>
  <c r="C454"/>
  <c r="D454"/>
  <c r="E454"/>
  <c r="F454"/>
  <c r="G454"/>
  <c r="A455"/>
  <c r="B455"/>
  <c r="C455"/>
  <c r="D455"/>
  <c r="E455"/>
  <c r="F455"/>
  <c r="G455"/>
  <c r="A456"/>
  <c r="B456"/>
  <c r="C456"/>
  <c r="D456"/>
  <c r="E456"/>
  <c r="F456"/>
  <c r="G456"/>
  <c r="A457"/>
  <c r="B457"/>
  <c r="C457"/>
  <c r="D457"/>
  <c r="E457"/>
  <c r="F457"/>
  <c r="G457"/>
  <c r="A458"/>
  <c r="B458"/>
  <c r="C458"/>
  <c r="D458"/>
  <c r="E458"/>
  <c r="F458"/>
  <c r="G458"/>
  <c r="A459"/>
  <c r="B459"/>
  <c r="C459"/>
  <c r="D459"/>
  <c r="E459"/>
  <c r="F459"/>
  <c r="G459"/>
  <c r="A460"/>
  <c r="B460"/>
  <c r="C460"/>
  <c r="D460"/>
  <c r="E460"/>
  <c r="F460"/>
  <c r="G460"/>
  <c r="A461"/>
  <c r="B461"/>
  <c r="C461"/>
  <c r="D461"/>
  <c r="E461"/>
  <c r="F461"/>
  <c r="G461"/>
  <c r="A462"/>
  <c r="B462"/>
  <c r="C462"/>
  <c r="D462"/>
  <c r="E462"/>
  <c r="F462"/>
  <c r="G462"/>
  <c r="A463"/>
  <c r="B463"/>
  <c r="C463"/>
  <c r="D463"/>
  <c r="E463"/>
  <c r="F463"/>
  <c r="G463"/>
  <c r="A464"/>
  <c r="B464"/>
  <c r="C464"/>
  <c r="D464"/>
  <c r="E464"/>
  <c r="F464"/>
  <c r="G464"/>
  <c r="A465"/>
  <c r="B465"/>
  <c r="C465"/>
  <c r="D465"/>
  <c r="E465"/>
  <c r="F465"/>
  <c r="G465"/>
  <c r="A466"/>
  <c r="B466"/>
  <c r="C466"/>
  <c r="D466"/>
  <c r="E466"/>
  <c r="F466"/>
  <c r="G466"/>
  <c r="A467"/>
  <c r="B467"/>
  <c r="C467"/>
  <c r="D467"/>
  <c r="E467"/>
  <c r="F467"/>
  <c r="G467"/>
  <c r="A468"/>
  <c r="B468"/>
  <c r="C468"/>
  <c r="D468"/>
  <c r="E468"/>
  <c r="F468"/>
  <c r="G468"/>
  <c r="A469"/>
  <c r="B469"/>
  <c r="C469"/>
  <c r="D469"/>
  <c r="E469"/>
  <c r="F469"/>
  <c r="G469"/>
  <c r="A470"/>
  <c r="B470"/>
  <c r="C470"/>
  <c r="D470"/>
  <c r="E470"/>
  <c r="F470"/>
  <c r="G470"/>
  <c r="A471"/>
  <c r="B471"/>
  <c r="C471"/>
  <c r="D471"/>
  <c r="E471"/>
  <c r="F471"/>
  <c r="G471"/>
  <c r="A472"/>
  <c r="B472"/>
  <c r="C472"/>
  <c r="D472"/>
  <c r="E472"/>
  <c r="F472"/>
  <c r="G472"/>
  <c r="A473"/>
  <c r="B473"/>
  <c r="C473"/>
  <c r="D473"/>
  <c r="E473"/>
  <c r="F473"/>
  <c r="G473"/>
  <c r="A474"/>
  <c r="B474"/>
  <c r="C474"/>
  <c r="D474"/>
  <c r="E474"/>
  <c r="F474"/>
  <c r="G474"/>
  <c r="A475"/>
  <c r="B475"/>
  <c r="C475"/>
  <c r="D475"/>
  <c r="E475"/>
  <c r="F475"/>
  <c r="G475"/>
  <c r="A476"/>
  <c r="B476"/>
  <c r="C476"/>
  <c r="D476"/>
  <c r="E476"/>
  <c r="F476"/>
  <c r="G476"/>
  <c r="A477"/>
  <c r="B477"/>
  <c r="C477"/>
  <c r="D477"/>
  <c r="E477"/>
  <c r="F477"/>
  <c r="G477"/>
  <c r="A478"/>
  <c r="B478"/>
  <c r="C478"/>
  <c r="D478"/>
  <c r="E478"/>
  <c r="F478"/>
  <c r="G478"/>
  <c r="A479"/>
  <c r="B479"/>
  <c r="C479"/>
  <c r="D479"/>
  <c r="E479"/>
  <c r="F479"/>
  <c r="G479"/>
  <c r="A480"/>
  <c r="B480"/>
  <c r="C480"/>
  <c r="D480"/>
  <c r="E480"/>
  <c r="F480"/>
  <c r="G480"/>
  <c r="A481"/>
  <c r="B481"/>
  <c r="C481"/>
  <c r="D481"/>
  <c r="E481"/>
  <c r="F481"/>
  <c r="G481"/>
  <c r="A482"/>
  <c r="B482"/>
  <c r="C482"/>
  <c r="D482"/>
  <c r="E482"/>
  <c r="F482"/>
  <c r="G482"/>
  <c r="A483"/>
  <c r="B483"/>
  <c r="C483"/>
  <c r="D483"/>
  <c r="E483"/>
  <c r="F483"/>
  <c r="G483"/>
  <c r="A484"/>
  <c r="B484"/>
  <c r="C484"/>
  <c r="D484"/>
  <c r="E484"/>
  <c r="F484"/>
  <c r="G484"/>
  <c r="A485"/>
  <c r="B485"/>
  <c r="C485"/>
  <c r="D485"/>
  <c r="E485"/>
  <c r="F485"/>
  <c r="G485"/>
  <c r="A486"/>
  <c r="B486"/>
  <c r="C486"/>
  <c r="D486"/>
  <c r="E486"/>
  <c r="F486"/>
  <c r="G486"/>
  <c r="A487"/>
  <c r="B487"/>
  <c r="C487"/>
  <c r="D487"/>
  <c r="E487"/>
  <c r="F487"/>
  <c r="G487"/>
  <c r="A488"/>
  <c r="B488"/>
  <c r="C488"/>
  <c r="D488"/>
  <c r="E488"/>
  <c r="F488"/>
  <c r="G488"/>
  <c r="A489"/>
  <c r="B489"/>
  <c r="C489"/>
  <c r="D489"/>
  <c r="E489"/>
  <c r="F489"/>
  <c r="G489"/>
  <c r="A490"/>
  <c r="B490"/>
  <c r="C490"/>
  <c r="D490"/>
  <c r="E490"/>
  <c r="F490"/>
  <c r="G490"/>
  <c r="A491"/>
  <c r="B491"/>
  <c r="C491"/>
  <c r="D491"/>
  <c r="E491"/>
  <c r="F491"/>
  <c r="G491"/>
  <c r="A492"/>
  <c r="B492"/>
  <c r="C492"/>
  <c r="D492"/>
  <c r="E492"/>
  <c r="F492"/>
  <c r="G492"/>
  <c r="A493"/>
  <c r="B493"/>
  <c r="C493"/>
  <c r="D493"/>
  <c r="E493"/>
  <c r="F493"/>
  <c r="G493"/>
  <c r="A494"/>
  <c r="B494"/>
  <c r="C494"/>
  <c r="D494"/>
  <c r="E494"/>
  <c r="F494"/>
  <c r="G494"/>
  <c r="A495"/>
  <c r="B495"/>
  <c r="C495"/>
  <c r="D495"/>
  <c r="E495"/>
  <c r="F495"/>
  <c r="G495"/>
  <c r="A496"/>
  <c r="B496"/>
  <c r="C496"/>
  <c r="D496"/>
  <c r="E496"/>
  <c r="F496"/>
  <c r="G496"/>
  <c r="A497"/>
  <c r="B497"/>
  <c r="C497"/>
  <c r="D497"/>
  <c r="E497"/>
  <c r="F497"/>
  <c r="G497"/>
  <c r="A498"/>
  <c r="B498"/>
  <c r="C498"/>
  <c r="D498"/>
  <c r="E498"/>
  <c r="F498"/>
  <c r="G498"/>
  <c r="A499"/>
  <c r="B499"/>
  <c r="C499"/>
  <c r="D499"/>
  <c r="E499"/>
  <c r="F499"/>
  <c r="G499"/>
  <c r="A500"/>
  <c r="B500"/>
  <c r="C500"/>
  <c r="D500"/>
  <c r="E500"/>
  <c r="F500"/>
  <c r="G500"/>
  <c r="A501"/>
  <c r="B501"/>
  <c r="C501"/>
  <c r="D501"/>
  <c r="E501"/>
  <c r="F501"/>
  <c r="G501"/>
  <c r="A502"/>
  <c r="B502"/>
  <c r="C502"/>
  <c r="D502"/>
  <c r="E502"/>
  <c r="F502"/>
  <c r="G502"/>
  <c r="A503"/>
  <c r="B503"/>
  <c r="C503"/>
  <c r="D503"/>
  <c r="E503"/>
  <c r="F503"/>
  <c r="G503"/>
  <c r="A504"/>
  <c r="B504"/>
  <c r="C504"/>
  <c r="D504"/>
  <c r="E504"/>
  <c r="F504"/>
  <c r="G504"/>
  <c r="A505"/>
  <c r="B505"/>
  <c r="C505"/>
  <c r="D505"/>
  <c r="E505"/>
  <c r="F505"/>
  <c r="G505"/>
  <c r="A506"/>
  <c r="B506"/>
  <c r="C506"/>
  <c r="D506"/>
  <c r="E506"/>
  <c r="F506"/>
  <c r="G506"/>
  <c r="A507"/>
  <c r="B507"/>
  <c r="C507"/>
  <c r="D507"/>
  <c r="E507"/>
  <c r="F507"/>
  <c r="G507"/>
  <c r="A508"/>
  <c r="B508"/>
  <c r="C508"/>
  <c r="D508"/>
  <c r="E508"/>
  <c r="F508"/>
  <c r="G508"/>
  <c r="A509"/>
  <c r="B509"/>
  <c r="C509"/>
  <c r="D509"/>
  <c r="E509"/>
  <c r="F509"/>
  <c r="G509"/>
  <c r="A510"/>
  <c r="B510"/>
  <c r="C510"/>
  <c r="D510"/>
  <c r="E510"/>
  <c r="F510"/>
  <c r="G510"/>
  <c r="A511"/>
  <c r="B511"/>
  <c r="C511"/>
  <c r="D511"/>
  <c r="E511"/>
  <c r="F511"/>
  <c r="G511"/>
  <c r="A512"/>
  <c r="B512"/>
  <c r="C512"/>
  <c r="D512"/>
  <c r="E512"/>
  <c r="F512"/>
  <c r="G512"/>
  <c r="A513"/>
  <c r="B513"/>
  <c r="C513"/>
  <c r="D513"/>
  <c r="E513"/>
  <c r="F513"/>
  <c r="G513"/>
  <c r="A514"/>
  <c r="B514"/>
  <c r="C514"/>
  <c r="D514"/>
  <c r="E514"/>
  <c r="F514"/>
  <c r="G514"/>
  <c r="A515"/>
  <c r="B515"/>
  <c r="C515"/>
  <c r="D515"/>
  <c r="E515"/>
  <c r="F515"/>
  <c r="G515"/>
  <c r="A516"/>
  <c r="B516"/>
  <c r="C516"/>
  <c r="D516"/>
  <c r="E516"/>
  <c r="F516"/>
  <c r="G516"/>
  <c r="A517"/>
  <c r="B517"/>
  <c r="C517"/>
  <c r="D517"/>
  <c r="E517"/>
  <c r="F517"/>
  <c r="G517"/>
  <c r="A518"/>
  <c r="B518"/>
  <c r="C518"/>
  <c r="D518"/>
  <c r="E518"/>
  <c r="F518"/>
  <c r="G518"/>
  <c r="A519"/>
  <c r="B519"/>
  <c r="C519"/>
  <c r="D519"/>
  <c r="E519"/>
  <c r="F519"/>
  <c r="G519"/>
  <c r="A520"/>
  <c r="B520"/>
  <c r="C520"/>
  <c r="D520"/>
  <c r="E520"/>
  <c r="F520"/>
  <c r="G520"/>
  <c r="A521"/>
  <c r="B521"/>
  <c r="C521"/>
  <c r="D521"/>
  <c r="E521"/>
  <c r="F521"/>
  <c r="G521"/>
  <c r="A522"/>
  <c r="B522"/>
  <c r="C522"/>
  <c r="D522"/>
  <c r="E522"/>
  <c r="F522"/>
  <c r="G522"/>
  <c r="A523"/>
  <c r="B523"/>
  <c r="C523"/>
  <c r="D523"/>
  <c r="E523"/>
  <c r="F523"/>
  <c r="G523"/>
  <c r="A524"/>
  <c r="B524"/>
  <c r="C524"/>
  <c r="D524"/>
  <c r="E524"/>
  <c r="F524"/>
  <c r="G524"/>
  <c r="A525"/>
  <c r="B525"/>
  <c r="C525"/>
  <c r="D525"/>
  <c r="E525"/>
  <c r="F525"/>
  <c r="G525"/>
  <c r="A526"/>
  <c r="B526"/>
  <c r="C526"/>
  <c r="D526"/>
  <c r="E526"/>
  <c r="F526"/>
  <c r="G526"/>
  <c r="A527"/>
  <c r="B527"/>
  <c r="C527"/>
  <c r="D527"/>
  <c r="E527"/>
  <c r="F527"/>
  <c r="G527"/>
  <c r="A528"/>
  <c r="B528"/>
  <c r="C528"/>
  <c r="D528"/>
  <c r="E528"/>
  <c r="F528"/>
  <c r="G528"/>
  <c r="A529"/>
  <c r="B529"/>
  <c r="C529"/>
  <c r="D529"/>
  <c r="E529"/>
  <c r="F529"/>
  <c r="G529"/>
  <c r="A530"/>
  <c r="B530"/>
  <c r="C530"/>
  <c r="D530"/>
  <c r="E530"/>
  <c r="F530"/>
  <c r="G530"/>
  <c r="A531"/>
  <c r="B531"/>
  <c r="C531"/>
  <c r="D531"/>
  <c r="E531"/>
  <c r="F531"/>
  <c r="G531"/>
  <c r="A532"/>
  <c r="B532"/>
  <c r="C532"/>
  <c r="D532"/>
  <c r="E532"/>
  <c r="F532"/>
  <c r="G532"/>
  <c r="A533"/>
  <c r="B533"/>
  <c r="C533"/>
  <c r="D533"/>
  <c r="E533"/>
  <c r="F533"/>
  <c r="G533"/>
  <c r="A534"/>
  <c r="B534"/>
  <c r="C534"/>
  <c r="D534"/>
  <c r="E534"/>
  <c r="F534"/>
  <c r="G534"/>
  <c r="A535"/>
  <c r="B535"/>
  <c r="C535"/>
  <c r="D535"/>
  <c r="E535"/>
  <c r="F535"/>
  <c r="G535"/>
  <c r="A536"/>
  <c r="B536"/>
  <c r="C536"/>
  <c r="D536"/>
  <c r="E536"/>
  <c r="F536"/>
  <c r="G536"/>
  <c r="A537"/>
  <c r="B537"/>
  <c r="C537"/>
  <c r="D537"/>
  <c r="E537"/>
  <c r="F537"/>
  <c r="G537"/>
  <c r="A538"/>
  <c r="B538"/>
  <c r="C538"/>
  <c r="D538"/>
  <c r="E538"/>
  <c r="F538"/>
  <c r="G538"/>
  <c r="A539"/>
  <c r="B539"/>
  <c r="C539"/>
  <c r="D539"/>
  <c r="E539"/>
  <c r="F539"/>
  <c r="G539"/>
  <c r="A540"/>
  <c r="B540"/>
  <c r="C540"/>
  <c r="D540"/>
  <c r="E540"/>
  <c r="F540"/>
  <c r="G540"/>
  <c r="A541"/>
  <c r="B541"/>
  <c r="C541"/>
  <c r="D541"/>
  <c r="E541"/>
  <c r="F541"/>
  <c r="G541"/>
  <c r="A542"/>
  <c r="B542"/>
  <c r="C542"/>
  <c r="D542"/>
  <c r="E542"/>
  <c r="F542"/>
  <c r="G542"/>
  <c r="A543"/>
  <c r="B543"/>
  <c r="C543"/>
  <c r="D543"/>
  <c r="E543"/>
  <c r="F543"/>
  <c r="G543"/>
  <c r="A544"/>
  <c r="B544"/>
  <c r="C544"/>
  <c r="D544"/>
  <c r="E544"/>
  <c r="F544"/>
  <c r="G544"/>
  <c r="A545"/>
  <c r="B545"/>
  <c r="C545"/>
  <c r="D545"/>
  <c r="E545"/>
  <c r="F545"/>
  <c r="G545"/>
  <c r="A546"/>
  <c r="B546"/>
  <c r="C546"/>
  <c r="D546"/>
  <c r="E546"/>
  <c r="F546"/>
  <c r="G546"/>
  <c r="A547"/>
  <c r="B547"/>
  <c r="C547"/>
  <c r="D547"/>
  <c r="E547"/>
  <c r="F547"/>
  <c r="G547"/>
  <c r="A548"/>
  <c r="B548"/>
  <c r="C548"/>
  <c r="D548"/>
  <c r="E548"/>
  <c r="F548"/>
  <c r="G548"/>
  <c r="A549"/>
  <c r="B549"/>
  <c r="C549"/>
  <c r="D549"/>
  <c r="E549"/>
  <c r="F549"/>
  <c r="G549"/>
  <c r="A550"/>
  <c r="B550"/>
  <c r="C550"/>
  <c r="D550"/>
  <c r="E550"/>
  <c r="F550"/>
  <c r="G550"/>
  <c r="A551"/>
  <c r="B551"/>
  <c r="C551"/>
  <c r="D551"/>
  <c r="E551"/>
  <c r="F551"/>
  <c r="G551"/>
  <c r="A552"/>
  <c r="B552"/>
  <c r="C552"/>
  <c r="D552"/>
  <c r="E552"/>
  <c r="F552"/>
  <c r="G552"/>
  <c r="A553"/>
  <c r="B553"/>
  <c r="C553"/>
  <c r="D553"/>
  <c r="E553"/>
  <c r="F553"/>
  <c r="G553"/>
  <c r="A554"/>
  <c r="B554"/>
  <c r="C554"/>
  <c r="D554"/>
  <c r="E554"/>
  <c r="F554"/>
  <c r="G554"/>
  <c r="A555"/>
  <c r="B555"/>
  <c r="C555"/>
  <c r="D555"/>
  <c r="E555"/>
  <c r="F555"/>
  <c r="G555"/>
  <c r="A556"/>
  <c r="B556"/>
  <c r="C556"/>
  <c r="D556"/>
  <c r="E556"/>
  <c r="F556"/>
  <c r="G556"/>
  <c r="A557"/>
  <c r="B557"/>
  <c r="C557"/>
  <c r="D557"/>
  <c r="E557"/>
  <c r="F557"/>
  <c r="G557"/>
  <c r="A558"/>
  <c r="B558"/>
  <c r="C558"/>
  <c r="D558"/>
  <c r="E558"/>
  <c r="F558"/>
  <c r="G558"/>
  <c r="A559"/>
  <c r="B559"/>
  <c r="C559"/>
  <c r="D559"/>
  <c r="E559"/>
  <c r="F559"/>
  <c r="G559"/>
  <c r="A560"/>
  <c r="B560"/>
  <c r="C560"/>
  <c r="D560"/>
  <c r="E560"/>
  <c r="F560"/>
  <c r="G560"/>
  <c r="A561"/>
  <c r="B561"/>
  <c r="C561"/>
  <c r="D561"/>
  <c r="E561"/>
  <c r="F561"/>
  <c r="G561"/>
  <c r="A562"/>
  <c r="B562"/>
  <c r="C562"/>
  <c r="D562"/>
  <c r="E562"/>
  <c r="F562"/>
  <c r="G562"/>
  <c r="A563"/>
  <c r="B563"/>
  <c r="C563"/>
  <c r="D563"/>
  <c r="E563"/>
  <c r="F563"/>
  <c r="G563"/>
  <c r="A564"/>
  <c r="B564"/>
  <c r="C564"/>
  <c r="D564"/>
  <c r="E564"/>
  <c r="F564"/>
  <c r="G564"/>
  <c r="A565"/>
  <c r="B565"/>
  <c r="C565"/>
  <c r="D565"/>
  <c r="E565"/>
  <c r="F565"/>
  <c r="G565"/>
  <c r="A566"/>
  <c r="B566"/>
  <c r="C566"/>
  <c r="D566"/>
  <c r="E566"/>
  <c r="F566"/>
  <c r="G566"/>
  <c r="A567"/>
  <c r="B567"/>
  <c r="C567"/>
  <c r="D567"/>
  <c r="E567"/>
  <c r="F567"/>
  <c r="G567"/>
  <c r="A568"/>
  <c r="B568"/>
  <c r="C568"/>
  <c r="D568"/>
  <c r="E568"/>
  <c r="F568"/>
  <c r="G568"/>
  <c r="A569"/>
  <c r="B569"/>
  <c r="C569"/>
  <c r="D569"/>
  <c r="E569"/>
  <c r="F569"/>
  <c r="G569"/>
  <c r="A570"/>
  <c r="B570"/>
  <c r="C570"/>
  <c r="D570"/>
  <c r="E570"/>
  <c r="F570"/>
  <c r="G570"/>
  <c r="A571"/>
  <c r="B571"/>
  <c r="C571"/>
  <c r="D571"/>
  <c r="E571"/>
  <c r="F571"/>
  <c r="G571"/>
  <c r="A572"/>
  <c r="B572"/>
  <c r="C572"/>
  <c r="D572"/>
  <c r="E572"/>
  <c r="F572"/>
  <c r="G572"/>
  <c r="A573"/>
  <c r="B573"/>
  <c r="C573"/>
  <c r="D573"/>
  <c r="E573"/>
  <c r="F573"/>
  <c r="G573"/>
  <c r="A574"/>
  <c r="B574"/>
  <c r="C574"/>
  <c r="D574"/>
  <c r="E574"/>
  <c r="F574"/>
  <c r="G574"/>
  <c r="A575"/>
  <c r="B575"/>
  <c r="C575"/>
  <c r="D575"/>
  <c r="E575"/>
  <c r="F575"/>
  <c r="G575"/>
  <c r="A576"/>
  <c r="B576"/>
  <c r="C576"/>
  <c r="D576"/>
  <c r="E576"/>
  <c r="F576"/>
  <c r="G576"/>
  <c r="A577"/>
  <c r="B577"/>
  <c r="C577"/>
  <c r="D577"/>
  <c r="E577"/>
  <c r="F577"/>
  <c r="G577"/>
  <c r="A578"/>
  <c r="B578"/>
  <c r="C578"/>
  <c r="D578"/>
  <c r="E578"/>
  <c r="F578"/>
  <c r="G578"/>
  <c r="A579"/>
  <c r="B579"/>
  <c r="C579"/>
  <c r="D579"/>
  <c r="E579"/>
  <c r="F579"/>
  <c r="G579"/>
  <c r="A580"/>
  <c r="B580"/>
  <c r="C580"/>
  <c r="D580"/>
  <c r="E580"/>
  <c r="F580"/>
  <c r="G580"/>
  <c r="A581"/>
  <c r="B581"/>
  <c r="C581"/>
  <c r="D581"/>
  <c r="E581"/>
  <c r="F581"/>
  <c r="G581"/>
  <c r="A582"/>
  <c r="B582"/>
  <c r="C582"/>
  <c r="D582"/>
  <c r="E582"/>
  <c r="F582"/>
  <c r="G582"/>
  <c r="A583"/>
  <c r="B583"/>
  <c r="C583"/>
  <c r="D583"/>
  <c r="E583"/>
  <c r="F583"/>
  <c r="G583"/>
  <c r="A584"/>
  <c r="B584"/>
  <c r="C584"/>
  <c r="D584"/>
  <c r="E584"/>
  <c r="F584"/>
  <c r="G584"/>
  <c r="A585"/>
  <c r="B585"/>
  <c r="C585"/>
  <c r="D585"/>
  <c r="E585"/>
  <c r="F585"/>
  <c r="G585"/>
  <c r="A586"/>
  <c r="B586"/>
  <c r="C586"/>
  <c r="D586"/>
  <c r="E586"/>
  <c r="F586"/>
  <c r="G586"/>
  <c r="A587"/>
  <c r="B587"/>
  <c r="C587"/>
  <c r="D587"/>
  <c r="E587"/>
  <c r="F587"/>
  <c r="G587"/>
  <c r="A588"/>
  <c r="B588"/>
  <c r="C588"/>
  <c r="D588"/>
  <c r="E588"/>
  <c r="F588"/>
  <c r="G588"/>
  <c r="A589"/>
  <c r="B589"/>
  <c r="C589"/>
  <c r="D589"/>
  <c r="E589"/>
  <c r="F589"/>
  <c r="G589"/>
  <c r="A590"/>
  <c r="B590"/>
  <c r="C590"/>
  <c r="D590"/>
  <c r="E590"/>
  <c r="F590"/>
  <c r="G590"/>
  <c r="A591"/>
  <c r="B591"/>
  <c r="C591"/>
  <c r="D591"/>
  <c r="E591"/>
  <c r="F591"/>
  <c r="G591"/>
  <c r="A592"/>
  <c r="B592"/>
  <c r="C592"/>
  <c r="D592"/>
  <c r="E592"/>
  <c r="F592"/>
  <c r="G592"/>
  <c r="A593"/>
  <c r="B593"/>
  <c r="C593"/>
  <c r="D593"/>
  <c r="E593"/>
  <c r="F593"/>
  <c r="G593"/>
  <c r="A594"/>
  <c r="B594"/>
  <c r="C594"/>
  <c r="D594"/>
  <c r="E594"/>
  <c r="F594"/>
  <c r="G594"/>
  <c r="A595"/>
  <c r="B595"/>
  <c r="C595"/>
  <c r="D595"/>
  <c r="E595"/>
  <c r="F595"/>
  <c r="G595"/>
  <c r="A596"/>
  <c r="B596"/>
  <c r="C596"/>
  <c r="D596"/>
  <c r="E596"/>
  <c r="F596"/>
  <c r="G596"/>
  <c r="A597"/>
  <c r="B597"/>
  <c r="C597"/>
  <c r="D597"/>
  <c r="E597"/>
  <c r="F597"/>
  <c r="G597"/>
  <c r="A598"/>
  <c r="B598"/>
  <c r="C598"/>
  <c r="D598"/>
  <c r="E598"/>
  <c r="F598"/>
  <c r="G598"/>
  <c r="A599"/>
  <c r="B599"/>
  <c r="C599"/>
  <c r="D599"/>
  <c r="E599"/>
  <c r="F599"/>
  <c r="G599"/>
  <c r="A600"/>
  <c r="B600"/>
  <c r="C600"/>
  <c r="D600"/>
  <c r="E600"/>
  <c r="F600"/>
  <c r="G600"/>
  <c r="A601"/>
  <c r="B601"/>
  <c r="C601"/>
  <c r="D601"/>
  <c r="E601"/>
  <c r="F601"/>
  <c r="G601"/>
  <c r="A602"/>
  <c r="B602"/>
  <c r="C602"/>
  <c r="D602"/>
  <c r="E602"/>
  <c r="F602"/>
  <c r="G602"/>
  <c r="A603"/>
  <c r="B603"/>
  <c r="C603"/>
  <c r="D603"/>
  <c r="E603"/>
  <c r="F603"/>
  <c r="G603"/>
  <c r="A604"/>
  <c r="B604"/>
  <c r="C604"/>
  <c r="D604"/>
  <c r="E604"/>
  <c r="F604"/>
  <c r="G604"/>
  <c r="A605"/>
  <c r="B605"/>
  <c r="C605"/>
  <c r="D605"/>
  <c r="E605"/>
  <c r="F605"/>
  <c r="G605"/>
  <c r="A606"/>
  <c r="B606"/>
  <c r="C606"/>
  <c r="D606"/>
  <c r="E606"/>
  <c r="F606"/>
  <c r="G606"/>
  <c r="A607"/>
  <c r="B607"/>
  <c r="C607"/>
  <c r="D607"/>
  <c r="E607"/>
  <c r="F607"/>
  <c r="G607"/>
  <c r="A608"/>
  <c r="B608"/>
  <c r="C608"/>
  <c r="D608"/>
  <c r="E608"/>
  <c r="F608"/>
  <c r="G608"/>
  <c r="A609"/>
  <c r="B609"/>
  <c r="C609"/>
  <c r="D609"/>
  <c r="E609"/>
  <c r="F609"/>
  <c r="G609"/>
  <c r="A610"/>
  <c r="B610"/>
  <c r="C610"/>
  <c r="D610"/>
  <c r="E610"/>
  <c r="F610"/>
  <c r="G610"/>
  <c r="A611"/>
  <c r="B611"/>
  <c r="C611"/>
  <c r="D611"/>
  <c r="E611"/>
  <c r="F611"/>
  <c r="G611"/>
  <c r="A612"/>
  <c r="B612"/>
  <c r="C612"/>
  <c r="D612"/>
  <c r="E612"/>
  <c r="F612"/>
  <c r="G612"/>
  <c r="A613"/>
  <c r="B613"/>
  <c r="C613"/>
  <c r="D613"/>
  <c r="E613"/>
  <c r="F613"/>
  <c r="G613"/>
  <c r="A614"/>
  <c r="B614"/>
  <c r="C614"/>
  <c r="D614"/>
  <c r="E614"/>
  <c r="F614"/>
  <c r="G614"/>
  <c r="A615"/>
  <c r="B615"/>
  <c r="C615"/>
  <c r="D615"/>
  <c r="E615"/>
  <c r="F615"/>
  <c r="G615"/>
  <c r="A616"/>
  <c r="B616"/>
  <c r="C616"/>
  <c r="D616"/>
  <c r="E616"/>
  <c r="F616"/>
  <c r="G616"/>
  <c r="A617"/>
  <c r="B617"/>
  <c r="C617"/>
  <c r="D617"/>
  <c r="E617"/>
  <c r="F617"/>
  <c r="G617"/>
  <c r="A618"/>
  <c r="B618"/>
  <c r="C618"/>
  <c r="D618"/>
  <c r="E618"/>
  <c r="F618"/>
  <c r="G618"/>
  <c r="A619"/>
  <c r="B619"/>
  <c r="C619"/>
  <c r="D619"/>
  <c r="E619"/>
  <c r="F619"/>
  <c r="G619"/>
  <c r="A620"/>
  <c r="B620"/>
  <c r="C620"/>
  <c r="D620"/>
  <c r="E620"/>
  <c r="F620"/>
  <c r="G620"/>
  <c r="A621"/>
  <c r="B621"/>
  <c r="C621"/>
  <c r="D621"/>
  <c r="E621"/>
  <c r="F621"/>
  <c r="G621"/>
  <c r="A622"/>
  <c r="B622"/>
  <c r="C622"/>
  <c r="D622"/>
  <c r="E622"/>
  <c r="F622"/>
  <c r="G622"/>
  <c r="A623"/>
  <c r="B623"/>
  <c r="C623"/>
  <c r="D623"/>
  <c r="E623"/>
  <c r="F623"/>
  <c r="G623"/>
  <c r="A624"/>
  <c r="B624"/>
  <c r="C624"/>
  <c r="D624"/>
  <c r="E624"/>
  <c r="F624"/>
  <c r="G624"/>
  <c r="A625"/>
  <c r="B625"/>
  <c r="C625"/>
  <c r="D625"/>
  <c r="E625"/>
  <c r="F625"/>
  <c r="G625"/>
  <c r="A626"/>
  <c r="B626"/>
  <c r="C626"/>
  <c r="D626"/>
  <c r="E626"/>
  <c r="F626"/>
  <c r="G626"/>
  <c r="A627"/>
  <c r="B627"/>
  <c r="C627"/>
  <c r="D627"/>
  <c r="E627"/>
  <c r="F627"/>
  <c r="G627"/>
  <c r="A628"/>
  <c r="B628"/>
  <c r="C628"/>
  <c r="D628"/>
  <c r="E628"/>
  <c r="F628"/>
  <c r="G628"/>
  <c r="A629"/>
  <c r="B629"/>
  <c r="C629"/>
  <c r="D629"/>
  <c r="E629"/>
  <c r="F629"/>
  <c r="G629"/>
  <c r="A630"/>
  <c r="B630"/>
  <c r="C630"/>
  <c r="D630"/>
  <c r="E630"/>
  <c r="F630"/>
  <c r="G630"/>
  <c r="A631"/>
  <c r="B631"/>
  <c r="C631"/>
  <c r="D631"/>
  <c r="E631"/>
  <c r="F631"/>
  <c r="G631"/>
  <c r="A632"/>
  <c r="B632"/>
  <c r="C632"/>
  <c r="D632"/>
  <c r="E632"/>
  <c r="F632"/>
  <c r="G632"/>
  <c r="A633"/>
  <c r="B633"/>
  <c r="C633"/>
  <c r="D633"/>
  <c r="E633"/>
  <c r="F633"/>
  <c r="G633"/>
  <c r="A634"/>
  <c r="B634"/>
  <c r="C634"/>
  <c r="D634"/>
  <c r="E634"/>
  <c r="F634"/>
  <c r="G634"/>
  <c r="A635"/>
  <c r="B635"/>
  <c r="C635"/>
  <c r="D635"/>
  <c r="E635"/>
  <c r="F635"/>
  <c r="G635"/>
  <c r="A636"/>
  <c r="B636"/>
  <c r="C636"/>
  <c r="D636"/>
  <c r="E636"/>
  <c r="F636"/>
  <c r="G636"/>
  <c r="A637"/>
  <c r="B637"/>
  <c r="C637"/>
  <c r="D637"/>
  <c r="E637"/>
  <c r="F637"/>
  <c r="G637"/>
  <c r="A638"/>
  <c r="B638"/>
  <c r="C638"/>
  <c r="D638"/>
  <c r="E638"/>
  <c r="F638"/>
  <c r="G638"/>
  <c r="A639"/>
  <c r="B639"/>
  <c r="C639"/>
  <c r="D639"/>
  <c r="E639"/>
  <c r="F639"/>
  <c r="G639"/>
  <c r="A640"/>
  <c r="B640"/>
  <c r="C640"/>
  <c r="D640"/>
  <c r="E640"/>
  <c r="F640"/>
  <c r="G640"/>
  <c r="A641"/>
  <c r="B641"/>
  <c r="C641"/>
  <c r="D641"/>
  <c r="E641"/>
  <c r="F641"/>
  <c r="G641"/>
  <c r="A642"/>
  <c r="B642"/>
  <c r="C642"/>
  <c r="D642"/>
  <c r="E642"/>
  <c r="F642"/>
  <c r="G642"/>
  <c r="A643"/>
  <c r="B643"/>
  <c r="C643"/>
  <c r="D643"/>
  <c r="E643"/>
  <c r="F643"/>
  <c r="G643"/>
  <c r="A644"/>
  <c r="B644"/>
  <c r="C644"/>
  <c r="D644"/>
  <c r="E644"/>
  <c r="F644"/>
  <c r="G644"/>
  <c r="A645"/>
  <c r="B645"/>
  <c r="C645"/>
  <c r="D645"/>
  <c r="E645"/>
  <c r="F645"/>
  <c r="G645"/>
  <c r="A646"/>
  <c r="B646"/>
  <c r="C646"/>
  <c r="D646"/>
  <c r="E646"/>
  <c r="F646"/>
  <c r="G646"/>
  <c r="A647"/>
  <c r="B647"/>
  <c r="C647"/>
  <c r="D647"/>
  <c r="E647"/>
  <c r="F647"/>
  <c r="G647"/>
  <c r="A648"/>
  <c r="B648"/>
  <c r="C648"/>
  <c r="D648"/>
  <c r="E648"/>
  <c r="F648"/>
  <c r="G648"/>
  <c r="A649"/>
  <c r="B649"/>
  <c r="C649"/>
  <c r="D649"/>
  <c r="E649"/>
  <c r="F649"/>
  <c r="G649"/>
  <c r="A650"/>
  <c r="B650"/>
  <c r="C650"/>
  <c r="D650"/>
  <c r="E650"/>
  <c r="F650"/>
  <c r="G650"/>
  <c r="A651"/>
  <c r="B651"/>
  <c r="C651"/>
  <c r="D651"/>
  <c r="E651"/>
  <c r="F651"/>
  <c r="G651"/>
  <c r="A652"/>
  <c r="B652"/>
  <c r="C652"/>
  <c r="D652"/>
  <c r="E652"/>
  <c r="F652"/>
  <c r="G652"/>
  <c r="A653"/>
  <c r="B653"/>
  <c r="C653"/>
  <c r="D653"/>
  <c r="E653"/>
  <c r="F653"/>
  <c r="G653"/>
  <c r="A654"/>
  <c r="B654"/>
  <c r="C654"/>
  <c r="D654"/>
  <c r="E654"/>
  <c r="F654"/>
  <c r="G654"/>
  <c r="A655"/>
  <c r="B655"/>
  <c r="C655"/>
  <c r="D655"/>
  <c r="E655"/>
  <c r="F655"/>
  <c r="G655"/>
  <c r="A656"/>
  <c r="B656"/>
  <c r="C656"/>
  <c r="D656"/>
  <c r="E656"/>
  <c r="F656"/>
  <c r="G656"/>
  <c r="A657"/>
  <c r="B657"/>
  <c r="C657"/>
  <c r="D657"/>
  <c r="E657"/>
  <c r="F657"/>
  <c r="G657"/>
  <c r="A658"/>
  <c r="B658"/>
  <c r="C658"/>
  <c r="D658"/>
  <c r="E658"/>
  <c r="F658"/>
  <c r="G658"/>
  <c r="A659"/>
  <c r="B659"/>
  <c r="C659"/>
  <c r="D659"/>
  <c r="E659"/>
  <c r="F659"/>
  <c r="G659"/>
  <c r="A660"/>
  <c r="B660"/>
  <c r="C660"/>
  <c r="D660"/>
  <c r="E660"/>
  <c r="F660"/>
  <c r="G660"/>
  <c r="A661"/>
  <c r="B661"/>
  <c r="C661"/>
  <c r="D661"/>
  <c r="E661"/>
  <c r="F661"/>
  <c r="G661"/>
  <c r="A662"/>
  <c r="B662"/>
  <c r="C662"/>
  <c r="D662"/>
  <c r="E662"/>
  <c r="F662"/>
  <c r="G662"/>
  <c r="A663"/>
  <c r="B663"/>
  <c r="C663"/>
  <c r="D663"/>
  <c r="E663"/>
  <c r="F663"/>
  <c r="G663"/>
  <c r="A664"/>
  <c r="B664"/>
  <c r="C664"/>
  <c r="D664"/>
  <c r="E664"/>
  <c r="F664"/>
  <c r="G664"/>
  <c r="A665"/>
  <c r="B665"/>
  <c r="C665"/>
  <c r="D665"/>
  <c r="E665"/>
  <c r="F665"/>
  <c r="G665"/>
  <c r="A666"/>
  <c r="B666"/>
  <c r="C666"/>
  <c r="D666"/>
  <c r="E666"/>
  <c r="F666"/>
  <c r="G666"/>
  <c r="A667"/>
  <c r="B667"/>
  <c r="C667"/>
  <c r="D667"/>
  <c r="E667"/>
  <c r="F667"/>
  <c r="G667"/>
  <c r="A668"/>
  <c r="B668"/>
  <c r="C668"/>
  <c r="D668"/>
  <c r="E668"/>
  <c r="F668"/>
  <c r="G668"/>
  <c r="A669"/>
  <c r="B669"/>
  <c r="C669"/>
  <c r="D669"/>
  <c r="E669"/>
  <c r="F669"/>
  <c r="G669"/>
  <c r="A670"/>
  <c r="B670"/>
  <c r="C670"/>
  <c r="D670"/>
  <c r="E670"/>
  <c r="F670"/>
  <c r="G670"/>
  <c r="A671"/>
  <c r="B671"/>
  <c r="C671"/>
  <c r="D671"/>
  <c r="E671"/>
  <c r="F671"/>
  <c r="G671"/>
  <c r="A672"/>
  <c r="B672"/>
  <c r="C672"/>
  <c r="D672"/>
  <c r="E672"/>
  <c r="F672"/>
  <c r="G672"/>
  <c r="A673"/>
  <c r="B673"/>
  <c r="C673"/>
  <c r="D673"/>
  <c r="E673"/>
  <c r="F673"/>
  <c r="G673"/>
  <c r="A674"/>
  <c r="B674"/>
  <c r="C674"/>
  <c r="D674"/>
  <c r="E674"/>
  <c r="F674"/>
  <c r="G674"/>
  <c r="A675"/>
  <c r="B675"/>
  <c r="C675"/>
  <c r="D675"/>
  <c r="E675"/>
  <c r="F675"/>
  <c r="G675"/>
  <c r="A676"/>
  <c r="B676"/>
  <c r="C676"/>
  <c r="D676"/>
  <c r="E676"/>
  <c r="F676"/>
  <c r="G676"/>
  <c r="A677"/>
  <c r="B677"/>
  <c r="C677"/>
  <c r="D677"/>
  <c r="E677"/>
  <c r="F677"/>
  <c r="G677"/>
  <c r="A678"/>
  <c r="B678"/>
  <c r="C678"/>
  <c r="D678"/>
  <c r="E678"/>
  <c r="F678"/>
  <c r="G678"/>
  <c r="A679"/>
  <c r="B679"/>
  <c r="C679"/>
  <c r="D679"/>
  <c r="E679"/>
  <c r="F679"/>
  <c r="G679"/>
  <c r="A680"/>
  <c r="B680"/>
  <c r="C680"/>
  <c r="D680"/>
  <c r="E680"/>
  <c r="F680"/>
  <c r="G680"/>
  <c r="A681"/>
  <c r="B681"/>
  <c r="C681"/>
  <c r="D681"/>
  <c r="E681"/>
  <c r="F681"/>
  <c r="G681"/>
  <c r="A682"/>
  <c r="B682"/>
  <c r="C682"/>
  <c r="D682"/>
  <c r="E682"/>
  <c r="F682"/>
  <c r="G682"/>
  <c r="A683"/>
  <c r="B683"/>
  <c r="C683"/>
  <c r="D683"/>
  <c r="E683"/>
  <c r="F683"/>
  <c r="G683"/>
  <c r="A684"/>
  <c r="B684"/>
  <c r="C684"/>
  <c r="D684"/>
  <c r="E684"/>
  <c r="F684"/>
  <c r="G684"/>
  <c r="A685"/>
  <c r="B685"/>
  <c r="C685"/>
  <c r="D685"/>
  <c r="E685"/>
  <c r="F685"/>
  <c r="G685"/>
  <c r="A686"/>
  <c r="B686"/>
  <c r="C686"/>
  <c r="D686"/>
  <c r="E686"/>
  <c r="F686"/>
  <c r="G686"/>
  <c r="A687"/>
  <c r="B687"/>
  <c r="C687"/>
  <c r="D687"/>
  <c r="E687"/>
  <c r="F687"/>
  <c r="G687"/>
  <c r="A688"/>
  <c r="B688"/>
  <c r="C688"/>
  <c r="D688"/>
  <c r="E688"/>
  <c r="F688"/>
  <c r="G688"/>
  <c r="A689"/>
  <c r="B689"/>
  <c r="C689"/>
  <c r="D689"/>
  <c r="E689"/>
  <c r="F689"/>
  <c r="G689"/>
  <c r="A690"/>
  <c r="B690"/>
  <c r="C690"/>
  <c r="D690"/>
  <c r="E690"/>
  <c r="F690"/>
  <c r="G690"/>
  <c r="A691"/>
  <c r="B691"/>
  <c r="C691"/>
  <c r="D691"/>
  <c r="E691"/>
  <c r="F691"/>
  <c r="G691"/>
  <c r="A692"/>
  <c r="B692"/>
  <c r="C692"/>
  <c r="D692"/>
  <c r="E692"/>
  <c r="F692"/>
  <c r="G692"/>
  <c r="A693"/>
  <c r="B693"/>
  <c r="C693"/>
  <c r="D693"/>
  <c r="E693"/>
  <c r="F693"/>
  <c r="G693"/>
  <c r="A694"/>
  <c r="B694"/>
  <c r="C694"/>
  <c r="D694"/>
  <c r="E694"/>
  <c r="F694"/>
  <c r="G694"/>
  <c r="A695"/>
  <c r="B695"/>
  <c r="C695"/>
  <c r="D695"/>
  <c r="E695"/>
  <c r="F695"/>
  <c r="G695"/>
  <c r="A696"/>
  <c r="B696"/>
  <c r="C696"/>
  <c r="D696"/>
  <c r="E696"/>
  <c r="F696"/>
  <c r="G696"/>
  <c r="A697"/>
  <c r="B697"/>
  <c r="C697"/>
  <c r="D697"/>
  <c r="E697"/>
  <c r="F697"/>
  <c r="G697"/>
  <c r="A698"/>
  <c r="B698"/>
  <c r="C698"/>
  <c r="D698"/>
  <c r="E698"/>
  <c r="F698"/>
  <c r="G698"/>
  <c r="A699"/>
  <c r="B699"/>
  <c r="C699"/>
  <c r="D699"/>
  <c r="E699"/>
  <c r="F699"/>
  <c r="G699"/>
  <c r="A700"/>
  <c r="B700"/>
  <c r="C700"/>
  <c r="D700"/>
  <c r="E700"/>
  <c r="F700"/>
  <c r="G700"/>
  <c r="A701"/>
  <c r="B701"/>
  <c r="C701"/>
  <c r="D701"/>
  <c r="E701"/>
  <c r="F701"/>
  <c r="G701"/>
  <c r="A702"/>
  <c r="B702"/>
  <c r="C702"/>
  <c r="D702"/>
  <c r="E702"/>
  <c r="F702"/>
  <c r="G702"/>
  <c r="A703"/>
  <c r="B703"/>
  <c r="C703"/>
  <c r="D703"/>
  <c r="E703"/>
  <c r="F703"/>
  <c r="G703"/>
  <c r="A704"/>
  <c r="B704"/>
  <c r="C704"/>
  <c r="D704"/>
  <c r="E704"/>
  <c r="F704"/>
  <c r="G704"/>
  <c r="A705"/>
  <c r="B705"/>
  <c r="C705"/>
  <c r="D705"/>
  <c r="E705"/>
  <c r="F705"/>
  <c r="G705"/>
  <c r="A706"/>
  <c r="B706"/>
  <c r="C706"/>
  <c r="D706"/>
  <c r="E706"/>
  <c r="F706"/>
  <c r="G706"/>
  <c r="A707"/>
  <c r="B707"/>
  <c r="C707"/>
  <c r="D707"/>
  <c r="E707"/>
  <c r="F707"/>
  <c r="G707"/>
  <c r="A708"/>
  <c r="B708"/>
  <c r="C708"/>
  <c r="D708"/>
  <c r="E708"/>
  <c r="F708"/>
  <c r="G708"/>
  <c r="A709"/>
  <c r="B709"/>
  <c r="C709"/>
  <c r="D709"/>
  <c r="E709"/>
  <c r="F709"/>
  <c r="G709"/>
  <c r="A710"/>
  <c r="B710"/>
  <c r="C710"/>
  <c r="D710"/>
  <c r="E710"/>
  <c r="F710"/>
  <c r="G710"/>
  <c r="A711"/>
  <c r="B711"/>
  <c r="C711"/>
  <c r="D711"/>
  <c r="E711"/>
  <c r="F711"/>
  <c r="G711"/>
  <c r="A712"/>
  <c r="B712"/>
  <c r="C712"/>
  <c r="D712"/>
  <c r="E712"/>
  <c r="F712"/>
  <c r="G712"/>
  <c r="A713"/>
  <c r="B713"/>
  <c r="C713"/>
  <c r="D713"/>
  <c r="E713"/>
  <c r="F713"/>
  <c r="G713"/>
  <c r="A714"/>
  <c r="B714"/>
  <c r="C714"/>
  <c r="D714"/>
  <c r="E714"/>
  <c r="F714"/>
  <c r="G714"/>
  <c r="A715"/>
  <c r="B715"/>
  <c r="C715"/>
  <c r="D715"/>
  <c r="E715"/>
  <c r="F715"/>
  <c r="G715"/>
  <c r="A716"/>
  <c r="B716"/>
  <c r="C716"/>
  <c r="D716"/>
  <c r="E716"/>
  <c r="F716"/>
  <c r="G716"/>
  <c r="A717"/>
  <c r="B717"/>
  <c r="C717"/>
  <c r="D717"/>
  <c r="E717"/>
  <c r="F717"/>
  <c r="G717"/>
  <c r="A718"/>
  <c r="B718"/>
  <c r="C718"/>
  <c r="D718"/>
  <c r="E718"/>
  <c r="F718"/>
  <c r="G718"/>
  <c r="A719"/>
  <c r="B719"/>
  <c r="C719"/>
  <c r="D719"/>
  <c r="E719"/>
  <c r="F719"/>
  <c r="G719"/>
  <c r="A720"/>
  <c r="B720"/>
  <c r="C720"/>
  <c r="D720"/>
  <c r="E720"/>
  <c r="F720"/>
  <c r="G720"/>
  <c r="A721"/>
  <c r="B721"/>
  <c r="C721"/>
  <c r="D721"/>
  <c r="E721"/>
  <c r="F721"/>
  <c r="G721"/>
  <c r="A722"/>
  <c r="B722"/>
  <c r="C722"/>
  <c r="D722"/>
  <c r="E722"/>
  <c r="F722"/>
  <c r="G722"/>
  <c r="A723"/>
  <c r="B723"/>
  <c r="C723"/>
  <c r="D723"/>
  <c r="E723"/>
  <c r="F723"/>
  <c r="G723"/>
  <c r="A724"/>
  <c r="B724"/>
  <c r="C724"/>
  <c r="D724"/>
  <c r="E724"/>
  <c r="F724"/>
  <c r="G724"/>
  <c r="A725"/>
  <c r="B725"/>
  <c r="C725"/>
  <c r="D725"/>
  <c r="E725"/>
  <c r="F725"/>
  <c r="G725"/>
  <c r="A726"/>
  <c r="B726"/>
  <c r="C726"/>
  <c r="D726"/>
  <c r="E726"/>
  <c r="F726"/>
  <c r="G726"/>
  <c r="A727"/>
  <c r="B727"/>
  <c r="C727"/>
  <c r="D727"/>
  <c r="E727"/>
  <c r="F727"/>
  <c r="G727"/>
  <c r="A728"/>
  <c r="B728"/>
  <c r="C728"/>
  <c r="D728"/>
  <c r="E728"/>
  <c r="F728"/>
  <c r="G728"/>
  <c r="A729"/>
  <c r="B729"/>
  <c r="C729"/>
  <c r="D729"/>
  <c r="E729"/>
  <c r="F729"/>
  <c r="G729"/>
  <c r="A730"/>
  <c r="B730"/>
  <c r="C730"/>
  <c r="D730"/>
  <c r="E730"/>
  <c r="F730"/>
  <c r="G730"/>
  <c r="A731"/>
  <c r="B731"/>
  <c r="C731"/>
  <c r="D731"/>
  <c r="E731"/>
  <c r="F731"/>
  <c r="G731"/>
  <c r="A732"/>
  <c r="B732"/>
  <c r="C732"/>
  <c r="D732"/>
  <c r="E732"/>
  <c r="F732"/>
  <c r="G732"/>
  <c r="A733"/>
  <c r="B733"/>
  <c r="C733"/>
  <c r="D733"/>
  <c r="E733"/>
  <c r="F733"/>
  <c r="G733"/>
  <c r="A734"/>
  <c r="B734"/>
  <c r="C734"/>
  <c r="D734"/>
  <c r="E734"/>
  <c r="F734"/>
  <c r="G734"/>
  <c r="A735"/>
  <c r="B735"/>
  <c r="C735"/>
  <c r="D735"/>
  <c r="E735"/>
  <c r="F735"/>
  <c r="G735"/>
  <c r="A736"/>
  <c r="B736"/>
  <c r="C736"/>
  <c r="D736"/>
  <c r="E736"/>
  <c r="F736"/>
  <c r="G736"/>
  <c r="A737"/>
  <c r="B737"/>
  <c r="C737"/>
  <c r="D737"/>
  <c r="E737"/>
  <c r="F737"/>
  <c r="G737"/>
  <c r="A738"/>
  <c r="B738"/>
  <c r="C738"/>
  <c r="D738"/>
  <c r="E738"/>
  <c r="F738"/>
  <c r="G738"/>
  <c r="A739"/>
  <c r="B739"/>
  <c r="C739"/>
  <c r="D739"/>
  <c r="E739"/>
  <c r="F739"/>
  <c r="G739"/>
  <c r="A740"/>
  <c r="B740"/>
  <c r="C740"/>
  <c r="D740"/>
  <c r="E740"/>
  <c r="F740"/>
  <c r="G740"/>
  <c r="A741"/>
  <c r="B741"/>
  <c r="C741"/>
  <c r="D741"/>
  <c r="E741"/>
  <c r="F741"/>
  <c r="G741"/>
  <c r="A742"/>
  <c r="B742"/>
  <c r="C742"/>
  <c r="D742"/>
  <c r="E742"/>
  <c r="F742"/>
  <c r="G742"/>
  <c r="A743"/>
  <c r="B743"/>
  <c r="C743"/>
  <c r="D743"/>
  <c r="E743"/>
  <c r="F743"/>
  <c r="G743"/>
  <c r="A744"/>
  <c r="B744"/>
  <c r="C744"/>
  <c r="D744"/>
  <c r="E744"/>
  <c r="F744"/>
  <c r="G744"/>
  <c r="A745"/>
  <c r="B745"/>
  <c r="C745"/>
  <c r="D745"/>
  <c r="E745"/>
  <c r="F745"/>
  <c r="G745"/>
  <c r="A746"/>
  <c r="B746"/>
  <c r="C746"/>
  <c r="D746"/>
  <c r="E746"/>
  <c r="F746"/>
  <c r="G746"/>
  <c r="A747"/>
  <c r="B747"/>
  <c r="C747"/>
  <c r="D747"/>
  <c r="E747"/>
  <c r="F747"/>
  <c r="G747"/>
  <c r="I468" i="1" l="1"/>
  <c r="I469" s="1"/>
  <c r="H468"/>
  <c r="H469" s="1"/>
  <c r="C468"/>
  <c r="C469" s="1"/>
  <c r="K467"/>
  <c r="K468" s="1"/>
  <c r="K469" s="1"/>
  <c r="J467"/>
  <c r="J468" s="1"/>
  <c r="J469" s="1"/>
  <c r="I467"/>
  <c r="H467"/>
  <c r="C467"/>
  <c r="B467"/>
  <c r="B468" s="1"/>
  <c r="B469" s="1"/>
  <c r="A467"/>
  <c r="A468" s="1"/>
  <c r="A469" s="1"/>
  <c r="I480"/>
  <c r="I481" s="1"/>
  <c r="H480"/>
  <c r="H481" s="1"/>
  <c r="C480"/>
  <c r="C481" s="1"/>
  <c r="K479"/>
  <c r="K480" s="1"/>
  <c r="K481" s="1"/>
  <c r="J479"/>
  <c r="J480" s="1"/>
  <c r="J481" s="1"/>
  <c r="I479"/>
  <c r="H479"/>
  <c r="C479"/>
  <c r="B479"/>
  <c r="B480" s="1"/>
  <c r="B481" s="1"/>
  <c r="A479"/>
  <c r="A480" s="1"/>
  <c r="A481" s="1"/>
  <c r="K492"/>
  <c r="K493" s="1"/>
  <c r="H492"/>
  <c r="H493" s="1"/>
  <c r="C492"/>
  <c r="C493" s="1"/>
  <c r="B492"/>
  <c r="B493" s="1"/>
  <c r="K491"/>
  <c r="J491"/>
  <c r="J492" s="1"/>
  <c r="J493" s="1"/>
  <c r="I491"/>
  <c r="I492" s="1"/>
  <c r="I493" s="1"/>
  <c r="H491"/>
  <c r="C491"/>
  <c r="B491"/>
  <c r="A491"/>
  <c r="A492" s="1"/>
  <c r="A493" s="1"/>
  <c r="I504"/>
  <c r="I505" s="1"/>
  <c r="H504"/>
  <c r="H505" s="1"/>
  <c r="C504"/>
  <c r="C505" s="1"/>
  <c r="K503"/>
  <c r="K504" s="1"/>
  <c r="K505" s="1"/>
  <c r="J503"/>
  <c r="J504" s="1"/>
  <c r="J505" s="1"/>
  <c r="I503"/>
  <c r="H503"/>
  <c r="C503"/>
  <c r="B503"/>
  <c r="B504" s="1"/>
  <c r="B505" s="1"/>
  <c r="A503"/>
  <c r="A504" s="1"/>
  <c r="A505" s="1"/>
  <c r="K456"/>
  <c r="J456"/>
  <c r="A456"/>
  <c r="K455"/>
  <c r="J455"/>
  <c r="I455"/>
  <c r="I456" s="1"/>
  <c r="H455"/>
  <c r="H456" s="1"/>
  <c r="C455"/>
  <c r="C456" s="1"/>
  <c r="A455"/>
  <c r="K445"/>
  <c r="J445"/>
  <c r="I445"/>
  <c r="A445"/>
  <c r="K444"/>
  <c r="J444"/>
  <c r="I444"/>
  <c r="H444"/>
  <c r="H445" s="1"/>
  <c r="C444"/>
  <c r="C445" s="1"/>
  <c r="A444"/>
  <c r="K434"/>
  <c r="J434"/>
  <c r="A434"/>
  <c r="K433"/>
  <c r="J433"/>
  <c r="I433"/>
  <c r="I434" s="1"/>
  <c r="H433"/>
  <c r="H434" s="1"/>
  <c r="C433"/>
  <c r="C434" s="1"/>
  <c r="A433"/>
  <c r="K423"/>
  <c r="J423"/>
  <c r="I423"/>
  <c r="A423"/>
  <c r="K422"/>
  <c r="J422"/>
  <c r="I422"/>
  <c r="H422"/>
  <c r="H423" s="1"/>
  <c r="C422"/>
  <c r="C423" s="1"/>
  <c r="A422"/>
  <c r="K412"/>
  <c r="J412"/>
  <c r="A412"/>
  <c r="K411"/>
  <c r="J411"/>
  <c r="I411"/>
  <c r="I412" s="1"/>
  <c r="H411"/>
  <c r="H412" s="1"/>
  <c r="C411"/>
  <c r="C412" s="1"/>
  <c r="A411"/>
  <c r="K404"/>
  <c r="J404"/>
  <c r="I404"/>
  <c r="H404"/>
  <c r="C404"/>
  <c r="A404"/>
  <c r="K394"/>
  <c r="J394"/>
  <c r="I394"/>
  <c r="H394"/>
  <c r="C394"/>
  <c r="A394"/>
  <c r="K384"/>
  <c r="J384"/>
  <c r="I384"/>
  <c r="H384"/>
  <c r="C384"/>
  <c r="A384"/>
  <c r="K374"/>
  <c r="J374"/>
  <c r="I374"/>
  <c r="H374"/>
  <c r="C374"/>
  <c r="A374"/>
  <c r="K364"/>
  <c r="J364"/>
  <c r="I364"/>
  <c r="H364"/>
  <c r="C364"/>
  <c r="A364"/>
  <c r="K354"/>
  <c r="J354"/>
  <c r="I354"/>
  <c r="H354"/>
  <c r="C354"/>
  <c r="A354"/>
  <c r="K517"/>
  <c r="J517"/>
  <c r="I517"/>
  <c r="H517"/>
  <c r="C517"/>
  <c r="A517"/>
  <c r="K527"/>
  <c r="J527"/>
  <c r="I527"/>
  <c r="H527"/>
  <c r="C527"/>
  <c r="A527"/>
  <c r="K537"/>
  <c r="J537"/>
  <c r="I537"/>
  <c r="H537"/>
  <c r="C537"/>
  <c r="A537"/>
  <c r="K547"/>
  <c r="J547"/>
  <c r="I547"/>
  <c r="H547"/>
  <c r="C547"/>
  <c r="A547"/>
  <c r="K557"/>
  <c r="J557"/>
  <c r="I557"/>
  <c r="H557"/>
  <c r="C557"/>
  <c r="A557"/>
  <c r="K567"/>
  <c r="J567"/>
  <c r="I567"/>
  <c r="H567"/>
  <c r="C567"/>
  <c r="A567"/>
  <c r="K575"/>
  <c r="J575"/>
  <c r="A575"/>
  <c r="K574"/>
  <c r="J574"/>
  <c r="I574"/>
  <c r="I575" s="1"/>
  <c r="H574"/>
  <c r="H575" s="1"/>
  <c r="C574"/>
  <c r="C575" s="1"/>
  <c r="A574"/>
  <c r="K586"/>
  <c r="J586"/>
  <c r="A586"/>
  <c r="K585"/>
  <c r="J585"/>
  <c r="I585"/>
  <c r="I586" s="1"/>
  <c r="H585"/>
  <c r="H586" s="1"/>
  <c r="C585"/>
  <c r="C586" s="1"/>
  <c r="A585"/>
  <c r="J597"/>
  <c r="I597"/>
  <c r="H597"/>
  <c r="C597"/>
  <c r="K596"/>
  <c r="K597" s="1"/>
  <c r="J596"/>
  <c r="I596"/>
  <c r="H596"/>
  <c r="C596"/>
  <c r="A596"/>
  <c r="A597" s="1"/>
  <c r="K608"/>
  <c r="J608"/>
  <c r="I608"/>
  <c r="A608"/>
  <c r="K607"/>
  <c r="J607"/>
  <c r="I607"/>
  <c r="H607"/>
  <c r="H608" s="1"/>
  <c r="C607"/>
  <c r="C608" s="1"/>
  <c r="A607"/>
  <c r="J619"/>
  <c r="I619"/>
  <c r="H619"/>
  <c r="C619"/>
  <c r="K618"/>
  <c r="K619" s="1"/>
  <c r="J618"/>
  <c r="I618"/>
  <c r="H618"/>
  <c r="C618"/>
  <c r="A618"/>
  <c r="A619" s="1"/>
  <c r="I631"/>
  <c r="I632" s="1"/>
  <c r="H631"/>
  <c r="H632" s="1"/>
  <c r="C631"/>
  <c r="C632" s="1"/>
  <c r="K630"/>
  <c r="K631" s="1"/>
  <c r="K632" s="1"/>
  <c r="J630"/>
  <c r="J631" s="1"/>
  <c r="J632" s="1"/>
  <c r="I630"/>
  <c r="H630"/>
  <c r="C630"/>
  <c r="B630"/>
  <c r="B631" s="1"/>
  <c r="B632" s="1"/>
  <c r="A630"/>
  <c r="A631" s="1"/>
  <c r="A632" s="1"/>
  <c r="I643"/>
  <c r="I644" s="1"/>
  <c r="H643"/>
  <c r="H644" s="1"/>
  <c r="C643"/>
  <c r="C644" s="1"/>
  <c r="K642"/>
  <c r="K643" s="1"/>
  <c r="K644" s="1"/>
  <c r="J642"/>
  <c r="J643" s="1"/>
  <c r="J644" s="1"/>
  <c r="I642"/>
  <c r="H642"/>
  <c r="C642"/>
  <c r="B642"/>
  <c r="B643" s="1"/>
  <c r="B644" s="1"/>
  <c r="A642"/>
  <c r="A643" s="1"/>
  <c r="A644" s="1"/>
  <c r="I655"/>
  <c r="I656" s="1"/>
  <c r="K654"/>
  <c r="K655" s="1"/>
  <c r="K656" s="1"/>
  <c r="J654"/>
  <c r="J655" s="1"/>
  <c r="J656" s="1"/>
  <c r="I654"/>
  <c r="H654"/>
  <c r="H655" s="1"/>
  <c r="H656" s="1"/>
  <c r="C654"/>
  <c r="C655" s="1"/>
  <c r="C656" s="1"/>
  <c r="B654"/>
  <c r="B655" s="1"/>
  <c r="B656" s="1"/>
  <c r="A654"/>
  <c r="A655" s="1"/>
  <c r="A656" s="1"/>
  <c r="K667"/>
  <c r="K668" s="1"/>
  <c r="J667"/>
  <c r="J668" s="1"/>
  <c r="B667"/>
  <c r="B668" s="1"/>
  <c r="A667"/>
  <c r="A668" s="1"/>
  <c r="K666"/>
  <c r="J666"/>
  <c r="I666"/>
  <c r="I667" s="1"/>
  <c r="I668" s="1"/>
  <c r="H666"/>
  <c r="H667" s="1"/>
  <c r="H668" s="1"/>
  <c r="C666"/>
  <c r="C667" s="1"/>
  <c r="C668" s="1"/>
  <c r="B666"/>
  <c r="A666"/>
  <c r="K806"/>
  <c r="K807" s="1"/>
  <c r="H806"/>
  <c r="H807" s="1"/>
  <c r="C806"/>
  <c r="C807" s="1"/>
  <c r="B806"/>
  <c r="B807" s="1"/>
  <c r="K805"/>
  <c r="J805"/>
  <c r="J806" s="1"/>
  <c r="J807" s="1"/>
  <c r="I805"/>
  <c r="I806" s="1"/>
  <c r="I807" s="1"/>
  <c r="H805"/>
  <c r="C805"/>
  <c r="B805"/>
  <c r="A805"/>
  <c r="A806" s="1"/>
  <c r="A807" s="1"/>
  <c r="K830"/>
  <c r="K831" s="1"/>
  <c r="H830"/>
  <c r="H831" s="1"/>
  <c r="C830"/>
  <c r="C831" s="1"/>
  <c r="B830"/>
  <c r="B831" s="1"/>
  <c r="K829"/>
  <c r="J829"/>
  <c r="J830" s="1"/>
  <c r="J831" s="1"/>
  <c r="I829"/>
  <c r="I830" s="1"/>
  <c r="I831" s="1"/>
  <c r="H829"/>
  <c r="C829"/>
  <c r="B829"/>
  <c r="A829"/>
  <c r="A830" s="1"/>
  <c r="A831" s="1"/>
  <c r="K818"/>
  <c r="K819" s="1"/>
  <c r="J818"/>
  <c r="J819" s="1"/>
  <c r="B818"/>
  <c r="B819" s="1"/>
  <c r="A818"/>
  <c r="A819" s="1"/>
  <c r="K817"/>
  <c r="J817"/>
  <c r="I817"/>
  <c r="I818" s="1"/>
  <c r="I819" s="1"/>
  <c r="H817"/>
  <c r="H818" s="1"/>
  <c r="H819" s="1"/>
  <c r="C817"/>
  <c r="C818" s="1"/>
  <c r="C819" s="1"/>
  <c r="B817"/>
  <c r="A817"/>
  <c r="B794"/>
  <c r="B795" s="1"/>
  <c r="C794"/>
  <c r="C795" s="1"/>
  <c r="H793"/>
  <c r="H794" s="1"/>
  <c r="H795" s="1"/>
  <c r="I793"/>
  <c r="I794" s="1"/>
  <c r="I795" s="1"/>
  <c r="J793"/>
  <c r="J794" s="1"/>
  <c r="J795" s="1"/>
  <c r="K793"/>
  <c r="K794" s="1"/>
  <c r="K795" s="1"/>
  <c r="B793"/>
  <c r="C793"/>
  <c r="A794"/>
  <c r="A795" s="1"/>
  <c r="A793"/>
  <c r="K782"/>
  <c r="J782"/>
  <c r="H782"/>
  <c r="C782"/>
  <c r="A782"/>
  <c r="K781"/>
  <c r="J781"/>
  <c r="I781"/>
  <c r="I782" s="1"/>
  <c r="H781"/>
  <c r="C781"/>
  <c r="A781"/>
  <c r="K771"/>
  <c r="J771"/>
  <c r="A771"/>
  <c r="K770"/>
  <c r="J770"/>
  <c r="I770"/>
  <c r="I771" s="1"/>
  <c r="H770"/>
  <c r="H771" s="1"/>
  <c r="C770"/>
  <c r="C771" s="1"/>
  <c r="A770"/>
  <c r="K760"/>
  <c r="J760"/>
  <c r="I760"/>
  <c r="A760"/>
  <c r="K759"/>
  <c r="J759"/>
  <c r="I759"/>
  <c r="H759"/>
  <c r="H760" s="1"/>
  <c r="C759"/>
  <c r="C760" s="1"/>
  <c r="A759"/>
  <c r="J749"/>
  <c r="I749"/>
  <c r="H749"/>
  <c r="C749"/>
  <c r="K748"/>
  <c r="K749" s="1"/>
  <c r="J748"/>
  <c r="I748"/>
  <c r="H748"/>
  <c r="C748"/>
  <c r="A748"/>
  <c r="A749" s="1"/>
  <c r="H738"/>
  <c r="I738"/>
  <c r="J738"/>
  <c r="K738"/>
  <c r="H737"/>
  <c r="I737"/>
  <c r="J737"/>
  <c r="K737"/>
  <c r="C738"/>
  <c r="C737"/>
  <c r="A738"/>
  <c r="A737"/>
  <c r="K730"/>
  <c r="J730"/>
  <c r="I730"/>
  <c r="H730"/>
  <c r="C730"/>
  <c r="A730"/>
  <c r="K720"/>
  <c r="J720"/>
  <c r="I720"/>
  <c r="H720"/>
  <c r="C720"/>
  <c r="A720"/>
  <c r="K710"/>
  <c r="J710"/>
  <c r="I710"/>
  <c r="H710"/>
  <c r="C710"/>
  <c r="A710"/>
  <c r="K700"/>
  <c r="J700"/>
  <c r="I700"/>
  <c r="H700"/>
  <c r="C700"/>
  <c r="A700"/>
  <c r="K690"/>
  <c r="J690"/>
  <c r="I690"/>
  <c r="H690"/>
  <c r="C690"/>
  <c r="A690"/>
  <c r="H680"/>
  <c r="I680"/>
  <c r="J680"/>
  <c r="K680"/>
  <c r="C680"/>
  <c r="A680"/>
  <c r="C3" i="3" l="1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2"/>
  <c r="E108" i="1" l="1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248" s="1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6"/>
  <c r="E348" l="1"/>
  <c r="E349"/>
  <c r="E350"/>
  <c r="E351"/>
  <c r="E352"/>
  <c r="E353"/>
  <c r="E355"/>
  <c r="E356"/>
  <c r="E357"/>
  <c r="E358"/>
  <c r="E359"/>
  <c r="E360"/>
  <c r="E361"/>
  <c r="E362"/>
  <c r="E363"/>
  <c r="E365"/>
  <c r="E366"/>
  <c r="E367"/>
  <c r="E368"/>
  <c r="E369"/>
  <c r="E370"/>
  <c r="E371"/>
  <c r="E372"/>
  <c r="E373"/>
  <c r="E375"/>
  <c r="E376"/>
  <c r="E377"/>
  <c r="E378"/>
  <c r="E379"/>
  <c r="E380"/>
  <c r="E381"/>
  <c r="E382"/>
  <c r="E383"/>
  <c r="E385"/>
  <c r="E386"/>
  <c r="E387"/>
  <c r="E388"/>
  <c r="E389"/>
  <c r="E390"/>
  <c r="E391"/>
  <c r="E392"/>
  <c r="E393"/>
  <c r="E395"/>
  <c r="E396"/>
  <c r="E397"/>
  <c r="E398"/>
  <c r="E399"/>
  <c r="E400"/>
  <c r="E401"/>
  <c r="E402"/>
  <c r="E403"/>
  <c r="E405"/>
  <c r="E406"/>
  <c r="E407"/>
  <c r="E408"/>
  <c r="E409"/>
  <c r="E410"/>
  <c r="E413"/>
  <c r="E414"/>
  <c r="E415"/>
  <c r="E416"/>
  <c r="E417"/>
  <c r="E418"/>
  <c r="E419"/>
  <c r="E420"/>
  <c r="E421"/>
  <c r="E424"/>
  <c r="E425"/>
  <c r="E426"/>
  <c r="E427"/>
  <c r="E428"/>
  <c r="E429"/>
  <c r="E430"/>
  <c r="E431"/>
  <c r="E432"/>
  <c r="E435"/>
  <c r="E436"/>
  <c r="E437"/>
  <c r="E510"/>
  <c r="E511"/>
  <c r="E512"/>
  <c r="E513"/>
  <c r="E514"/>
  <c r="E515"/>
  <c r="E516"/>
  <c r="E518"/>
  <c r="E519"/>
  <c r="E520"/>
  <c r="E521"/>
  <c r="E522"/>
  <c r="E523"/>
  <c r="E524"/>
  <c r="E525"/>
  <c r="E526"/>
  <c r="E528"/>
  <c r="E529"/>
  <c r="E530"/>
  <c r="E531"/>
  <c r="E532"/>
  <c r="E533"/>
  <c r="E534"/>
  <c r="E535"/>
  <c r="E536"/>
  <c r="E538"/>
  <c r="E539"/>
  <c r="E540"/>
  <c r="E541"/>
  <c r="E542"/>
  <c r="E543"/>
  <c r="E544"/>
  <c r="E545"/>
  <c r="E546"/>
  <c r="E548"/>
  <c r="E549"/>
  <c r="E550"/>
  <c r="E551"/>
  <c r="E552"/>
  <c r="E553"/>
  <c r="E554"/>
  <c r="E555"/>
  <c r="E556"/>
  <c r="E558"/>
  <c r="E559"/>
  <c r="E560"/>
  <c r="E561"/>
  <c r="E562"/>
  <c r="E563"/>
  <c r="E564"/>
  <c r="E565"/>
  <c r="E566"/>
  <c r="E568"/>
  <c r="E569"/>
  <c r="E570"/>
  <c r="E571"/>
  <c r="E572"/>
  <c r="E573"/>
  <c r="E576"/>
  <c r="E577"/>
  <c r="E578"/>
  <c r="E579"/>
  <c r="E580"/>
  <c r="E581"/>
  <c r="E582"/>
  <c r="E583"/>
  <c r="E584"/>
  <c r="E587"/>
  <c r="E588"/>
  <c r="E589"/>
  <c r="E590"/>
  <c r="E591"/>
  <c r="E592"/>
  <c r="E593"/>
  <c r="E594"/>
  <c r="E595"/>
  <c r="E598"/>
  <c r="E599"/>
  <c r="E600"/>
  <c r="E673"/>
  <c r="E674"/>
  <c r="E675"/>
  <c r="E676"/>
  <c r="E677"/>
  <c r="E678"/>
  <c r="E679"/>
  <c r="E681"/>
  <c r="E682"/>
  <c r="E683"/>
  <c r="E684"/>
  <c r="E685"/>
  <c r="E686"/>
  <c r="E687"/>
  <c r="E688"/>
  <c r="E689"/>
  <c r="E691"/>
  <c r="E692"/>
  <c r="E693"/>
  <c r="E694"/>
  <c r="E695"/>
  <c r="E696"/>
  <c r="E697"/>
  <c r="E698"/>
  <c r="E699"/>
  <c r="E701"/>
  <c r="E702"/>
  <c r="E703"/>
  <c r="E704"/>
  <c r="E705"/>
  <c r="E706"/>
  <c r="E707"/>
  <c r="E708"/>
  <c r="E709"/>
  <c r="E711"/>
  <c r="E712"/>
  <c r="E713"/>
  <c r="E714"/>
  <c r="E715"/>
  <c r="E716"/>
  <c r="E717"/>
  <c r="E718"/>
  <c r="E719"/>
  <c r="E721"/>
  <c r="E722"/>
  <c r="E723"/>
  <c r="E724"/>
  <c r="E725"/>
  <c r="E726"/>
  <c r="E727"/>
  <c r="E728"/>
  <c r="E729"/>
  <c r="E731"/>
  <c r="E732"/>
  <c r="E733"/>
  <c r="E734"/>
  <c r="E735"/>
  <c r="E736"/>
  <c r="E739"/>
  <c r="E740"/>
  <c r="E741"/>
  <c r="E742"/>
  <c r="E743"/>
  <c r="E744"/>
  <c r="E745"/>
  <c r="E746"/>
  <c r="E747"/>
  <c r="E750"/>
  <c r="E751"/>
  <c r="E752"/>
  <c r="E753"/>
  <c r="E754"/>
  <c r="E755"/>
  <c r="E756"/>
  <c r="E757"/>
  <c r="E758"/>
  <c r="E761"/>
  <c r="E762"/>
  <c r="E763"/>
  <c r="E347"/>
  <c r="F763" l="1"/>
  <c r="F762"/>
  <c r="F761"/>
  <c r="F757"/>
  <c r="F756"/>
  <c r="F755"/>
  <c r="F754"/>
  <c r="F753"/>
  <c r="F752"/>
  <c r="F751"/>
  <c r="F750"/>
  <c r="F746"/>
  <c r="F745"/>
  <c r="F744"/>
  <c r="F743"/>
  <c r="F742"/>
  <c r="F741"/>
  <c r="F740"/>
  <c r="F739"/>
  <c r="F735"/>
  <c r="F734"/>
  <c r="F733"/>
  <c r="F732"/>
  <c r="F731"/>
  <c r="F728"/>
  <c r="F727"/>
  <c r="F726"/>
  <c r="F725"/>
  <c r="F724"/>
  <c r="F723"/>
  <c r="F722"/>
  <c r="F721"/>
  <c r="F718"/>
  <c r="F717"/>
  <c r="F716"/>
  <c r="F715"/>
  <c r="F714"/>
  <c r="F713"/>
  <c r="F712"/>
  <c r="F711"/>
  <c r="F708"/>
  <c r="F707"/>
  <c r="F706"/>
  <c r="F705"/>
  <c r="F704"/>
  <c r="F703"/>
  <c r="F702"/>
  <c r="F701"/>
  <c r="F698"/>
  <c r="F697"/>
  <c r="F696"/>
  <c r="F695"/>
  <c r="F694"/>
  <c r="F693"/>
  <c r="F692"/>
  <c r="F691"/>
  <c r="F688"/>
  <c r="F687"/>
  <c r="F686"/>
  <c r="F685"/>
  <c r="F684"/>
  <c r="F683"/>
  <c r="F682"/>
  <c r="F681"/>
  <c r="F678"/>
  <c r="F677"/>
  <c r="F676"/>
  <c r="F675"/>
  <c r="F674"/>
  <c r="F673"/>
  <c r="F600"/>
  <c r="F599"/>
  <c r="F598"/>
  <c r="F594"/>
  <c r="F593"/>
  <c r="F592"/>
  <c r="F591"/>
  <c r="F590"/>
  <c r="F589"/>
  <c r="F588"/>
  <c r="F587"/>
  <c r="F583"/>
  <c r="F582"/>
  <c r="F581"/>
  <c r="F580"/>
  <c r="F579"/>
  <c r="F578"/>
  <c r="F577"/>
  <c r="F576"/>
  <c r="F572"/>
  <c r="F571"/>
  <c r="F570"/>
  <c r="F569"/>
  <c r="F568"/>
  <c r="F565"/>
  <c r="F564"/>
  <c r="F563"/>
  <c r="F562"/>
  <c r="F561"/>
  <c r="F560"/>
  <c r="F559"/>
  <c r="F558"/>
  <c r="F555"/>
  <c r="F554"/>
  <c r="F553"/>
  <c r="F552"/>
  <c r="F551"/>
  <c r="F550"/>
  <c r="F549"/>
  <c r="F548"/>
  <c r="F545"/>
  <c r="F544"/>
  <c r="F543"/>
  <c r="F542"/>
  <c r="F541"/>
  <c r="F540"/>
  <c r="F539"/>
  <c r="F538"/>
  <c r="F535"/>
  <c r="F534"/>
  <c r="F533"/>
  <c r="F532"/>
  <c r="F531"/>
  <c r="F530"/>
  <c r="F529"/>
  <c r="F528"/>
  <c r="F525"/>
  <c r="F524"/>
  <c r="F523"/>
  <c r="F522"/>
  <c r="F521"/>
  <c r="F520"/>
  <c r="F519"/>
  <c r="F518"/>
  <c r="F515"/>
  <c r="F514"/>
  <c r="F513"/>
  <c r="F512"/>
  <c r="F511"/>
  <c r="F510"/>
  <c r="F437"/>
  <c r="F436"/>
  <c r="F435"/>
  <c r="F431"/>
  <c r="F430"/>
  <c r="F429"/>
  <c r="F428"/>
  <c r="F427"/>
  <c r="F426"/>
  <c r="F425"/>
  <c r="F424"/>
  <c r="F420"/>
  <c r="F419"/>
  <c r="F418"/>
  <c r="F417"/>
  <c r="F416"/>
  <c r="F415"/>
  <c r="F414"/>
  <c r="F413"/>
  <c r="F409"/>
  <c r="F408"/>
  <c r="F407"/>
  <c r="F406"/>
  <c r="F405"/>
  <c r="F402"/>
  <c r="F401"/>
  <c r="F400"/>
  <c r="F399"/>
  <c r="F398"/>
  <c r="F397"/>
  <c r="F396"/>
  <c r="F395"/>
  <c r="F392"/>
  <c r="F391"/>
  <c r="F390"/>
  <c r="F389"/>
  <c r="F388"/>
  <c r="F387"/>
  <c r="F386"/>
  <c r="F385"/>
  <c r="F382"/>
  <c r="F381"/>
  <c r="F380"/>
  <c r="F379"/>
  <c r="F378"/>
  <c r="F377"/>
  <c r="F376"/>
  <c r="F375"/>
  <c r="F372"/>
  <c r="F371"/>
  <c r="F370"/>
  <c r="F369"/>
  <c r="F368"/>
  <c r="F367"/>
  <c r="F366"/>
  <c r="F365"/>
  <c r="F362"/>
  <c r="F361"/>
  <c r="F360"/>
  <c r="F359"/>
  <c r="F358"/>
  <c r="F357"/>
  <c r="F356"/>
  <c r="F355"/>
  <c r="F352"/>
  <c r="F351"/>
  <c r="F350"/>
  <c r="F349"/>
  <c r="F348"/>
  <c r="F432"/>
  <c r="F433" s="1"/>
  <c r="F434" s="1"/>
  <c r="E433"/>
  <c r="E434" s="1"/>
  <c r="F421"/>
  <c r="F422" s="1"/>
  <c r="F423" s="1"/>
  <c r="E422"/>
  <c r="E423" s="1"/>
  <c r="F410"/>
  <c r="F411" s="1"/>
  <c r="F412" s="1"/>
  <c r="E411"/>
  <c r="E412" s="1"/>
  <c r="F403"/>
  <c r="F404" s="1"/>
  <c r="E404"/>
  <c r="F393"/>
  <c r="F394" s="1"/>
  <c r="E394"/>
  <c r="F383"/>
  <c r="F384" s="1"/>
  <c r="E384"/>
  <c r="F373"/>
  <c r="F374" s="1"/>
  <c r="E374"/>
  <c r="F363"/>
  <c r="F364" s="1"/>
  <c r="E364"/>
  <c r="F353"/>
  <c r="F354" s="1"/>
  <c r="E354"/>
  <c r="F516"/>
  <c r="F517" s="1"/>
  <c r="E517"/>
  <c r="F526"/>
  <c r="F527" s="1"/>
  <c r="E527"/>
  <c r="F536"/>
  <c r="F537" s="1"/>
  <c r="E537"/>
  <c r="F546"/>
  <c r="F547" s="1"/>
  <c r="E547"/>
  <c r="F556"/>
  <c r="F557" s="1"/>
  <c r="E557"/>
  <c r="F566"/>
  <c r="F567" s="1"/>
  <c r="E567"/>
  <c r="F573"/>
  <c r="F574" s="1"/>
  <c r="F575" s="1"/>
  <c r="E574"/>
  <c r="E575" s="1"/>
  <c r="F584"/>
  <c r="F585" s="1"/>
  <c r="F586" s="1"/>
  <c r="E585"/>
  <c r="E586" s="1"/>
  <c r="F595"/>
  <c r="F596" s="1"/>
  <c r="F597" s="1"/>
  <c r="E596"/>
  <c r="E597" s="1"/>
  <c r="F758"/>
  <c r="F759" s="1"/>
  <c r="F760" s="1"/>
  <c r="E759"/>
  <c r="E760" s="1"/>
  <c r="F747"/>
  <c r="F748" s="1"/>
  <c r="F749" s="1"/>
  <c r="E748"/>
  <c r="E749" s="1"/>
  <c r="F729"/>
  <c r="F730" s="1"/>
  <c r="E730"/>
  <c r="F736"/>
  <c r="F737" s="1"/>
  <c r="F738" s="1"/>
  <c r="E737"/>
  <c r="E738" s="1"/>
  <c r="F709"/>
  <c r="F710" s="1"/>
  <c r="E710"/>
  <c r="F689"/>
  <c r="F690" s="1"/>
  <c r="E690"/>
  <c r="F699"/>
  <c r="F700" s="1"/>
  <c r="E700"/>
  <c r="F719"/>
  <c r="F720" s="1"/>
  <c r="E720"/>
  <c r="F679"/>
  <c r="F680" s="1"/>
  <c r="E680"/>
  <c r="F347"/>
  <c r="O257" l="1"/>
  <c r="O258"/>
  <c r="O259"/>
  <c r="N253"/>
  <c r="N254" s="1"/>
  <c r="N255" l="1"/>
  <c r="O254"/>
  <c r="O253"/>
  <c r="F205"/>
  <c r="F206"/>
  <c r="F207"/>
  <c r="F208"/>
  <c r="F209"/>
  <c r="F210"/>
  <c r="F211"/>
  <c r="F212"/>
  <c r="F263"/>
  <c r="F264"/>
  <c r="C150"/>
  <c r="C151"/>
  <c r="C152"/>
  <c r="C149"/>
  <c r="C155" l="1"/>
  <c r="E151"/>
  <c r="F151" s="1"/>
  <c r="C153"/>
  <c r="E149"/>
  <c r="F149" s="1"/>
  <c r="C156"/>
  <c r="E152"/>
  <c r="C154"/>
  <c r="E150"/>
  <c r="F150" s="1"/>
  <c r="N256"/>
  <c r="O256" s="1"/>
  <c r="O255"/>
  <c r="F336"/>
  <c r="F337"/>
  <c r="F338"/>
  <c r="F339"/>
  <c r="F340"/>
  <c r="F341"/>
  <c r="F342"/>
  <c r="F343"/>
  <c r="F344"/>
  <c r="F345"/>
  <c r="F266"/>
  <c r="F152" l="1"/>
  <c r="E249"/>
  <c r="F249" s="1"/>
  <c r="E764"/>
  <c r="C158"/>
  <c r="E154"/>
  <c r="F154" s="1"/>
  <c r="C157"/>
  <c r="E153"/>
  <c r="F153" s="1"/>
  <c r="C160"/>
  <c r="E156"/>
  <c r="C159"/>
  <c r="E155"/>
  <c r="F155" s="1"/>
  <c r="E765"/>
  <c r="E439"/>
  <c r="E438"/>
  <c r="E602"/>
  <c r="E601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346"/>
  <c r="F265"/>
  <c r="E443" l="1"/>
  <c r="F443" s="1"/>
  <c r="F444" s="1"/>
  <c r="F445" s="1"/>
  <c r="E250"/>
  <c r="F250" s="1"/>
  <c r="F601"/>
  <c r="F602"/>
  <c r="F438"/>
  <c r="F439"/>
  <c r="F765"/>
  <c r="F764"/>
  <c r="E440"/>
  <c r="E606"/>
  <c r="E604"/>
  <c r="E766"/>
  <c r="E603"/>
  <c r="E767"/>
  <c r="E441"/>
  <c r="C164"/>
  <c r="E160"/>
  <c r="F156"/>
  <c r="E442"/>
  <c r="E772"/>
  <c r="E605"/>
  <c r="E609"/>
  <c r="E446"/>
  <c r="C163"/>
  <c r="E159"/>
  <c r="E611" s="1"/>
  <c r="C161"/>
  <c r="E157"/>
  <c r="F157" s="1"/>
  <c r="E768"/>
  <c r="E769"/>
  <c r="C162"/>
  <c r="E158"/>
  <c r="F158" s="1"/>
  <c r="F147"/>
  <c r="F148"/>
  <c r="F248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6"/>
  <c r="E444" l="1"/>
  <c r="E445" s="1"/>
  <c r="E449"/>
  <c r="F449" s="1"/>
  <c r="E251"/>
  <c r="F251" s="1"/>
  <c r="F768"/>
  <c r="F611"/>
  <c r="F446"/>
  <c r="F609"/>
  <c r="F605"/>
  <c r="F772"/>
  <c r="F442"/>
  <c r="F441"/>
  <c r="F767"/>
  <c r="F603"/>
  <c r="F766"/>
  <c r="F604"/>
  <c r="F440"/>
  <c r="F606"/>
  <c r="F607" s="1"/>
  <c r="F608" s="1"/>
  <c r="E607"/>
  <c r="E608" s="1"/>
  <c r="F769"/>
  <c r="F770" s="1"/>
  <c r="F771" s="1"/>
  <c r="E770"/>
  <c r="E771" s="1"/>
  <c r="E775"/>
  <c r="E610"/>
  <c r="E773"/>
  <c r="E447"/>
  <c r="C166"/>
  <c r="E162"/>
  <c r="F162" s="1"/>
  <c r="C165"/>
  <c r="E161"/>
  <c r="F161" s="1"/>
  <c r="C168"/>
  <c r="E164"/>
  <c r="C167"/>
  <c r="E163"/>
  <c r="F163" s="1"/>
  <c r="F160"/>
  <c r="E612"/>
  <c r="F159"/>
  <c r="E774"/>
  <c r="E448"/>
  <c r="G2" i="2"/>
  <c r="F164" i="1" l="1"/>
  <c r="E252"/>
  <c r="F252" s="1"/>
  <c r="F448"/>
  <c r="F774"/>
  <c r="F612"/>
  <c r="F447"/>
  <c r="F773"/>
  <c r="F610"/>
  <c r="F775"/>
  <c r="E614"/>
  <c r="E451"/>
  <c r="E776"/>
  <c r="E615"/>
  <c r="E777"/>
  <c r="E778"/>
  <c r="E452"/>
  <c r="C171"/>
  <c r="E167"/>
  <c r="E780" s="1"/>
  <c r="C172"/>
  <c r="E168"/>
  <c r="E450"/>
  <c r="C170"/>
  <c r="E166"/>
  <c r="F166" s="1"/>
  <c r="C169"/>
  <c r="E165"/>
  <c r="F165" s="1"/>
  <c r="E613"/>
  <c r="F2" i="2"/>
  <c r="E2"/>
  <c r="D2"/>
  <c r="C2"/>
  <c r="B2"/>
  <c r="A2"/>
  <c r="F168" i="1" l="1"/>
  <c r="E253"/>
  <c r="F253" s="1"/>
  <c r="F613"/>
  <c r="F450"/>
  <c r="F452"/>
  <c r="F778"/>
  <c r="F777"/>
  <c r="F615"/>
  <c r="F776"/>
  <c r="F451"/>
  <c r="F614"/>
  <c r="E457"/>
  <c r="F780"/>
  <c r="F781" s="1"/>
  <c r="F782" s="1"/>
  <c r="E781"/>
  <c r="E782" s="1"/>
  <c r="E783"/>
  <c r="E453"/>
  <c r="E616"/>
  <c r="E617"/>
  <c r="E622"/>
  <c r="E621"/>
  <c r="E459"/>
  <c r="C174"/>
  <c r="E170"/>
  <c r="F170" s="1"/>
  <c r="C176"/>
  <c r="E172"/>
  <c r="C173"/>
  <c r="E169"/>
  <c r="F169" s="1"/>
  <c r="C175"/>
  <c r="E171"/>
  <c r="F167"/>
  <c r="E779"/>
  <c r="E620"/>
  <c r="E454"/>
  <c r="F172" l="1"/>
  <c r="E254"/>
  <c r="F254" s="1"/>
  <c r="F620"/>
  <c r="F779"/>
  <c r="F459"/>
  <c r="F621"/>
  <c r="F622"/>
  <c r="F616"/>
  <c r="F453"/>
  <c r="F783"/>
  <c r="F457"/>
  <c r="F454"/>
  <c r="F455" s="1"/>
  <c r="F456" s="1"/>
  <c r="E455"/>
  <c r="E456" s="1"/>
  <c r="F617"/>
  <c r="F618" s="1"/>
  <c r="F619" s="1"/>
  <c r="E618"/>
  <c r="E619" s="1"/>
  <c r="E624"/>
  <c r="F171"/>
  <c r="E623"/>
  <c r="C177"/>
  <c r="E173"/>
  <c r="F173" s="1"/>
  <c r="C179"/>
  <c r="E175"/>
  <c r="C178"/>
  <c r="E174"/>
  <c r="F174" s="1"/>
  <c r="C180"/>
  <c r="E176"/>
  <c r="E255" s="1"/>
  <c r="F255" s="1"/>
  <c r="F623" l="1"/>
  <c r="F624"/>
  <c r="C184"/>
  <c r="E180"/>
  <c r="F176"/>
  <c r="E627"/>
  <c r="C182"/>
  <c r="E178"/>
  <c r="F178" s="1"/>
  <c r="C181"/>
  <c r="E177"/>
  <c r="F177" s="1"/>
  <c r="F175"/>
  <c r="E788"/>
  <c r="C183"/>
  <c r="E179"/>
  <c r="F179" s="1"/>
  <c r="F180" l="1"/>
  <c r="E256"/>
  <c r="F256" s="1"/>
  <c r="F788"/>
  <c r="F627"/>
  <c r="E797"/>
  <c r="C188"/>
  <c r="E184"/>
  <c r="C187"/>
  <c r="E183"/>
  <c r="F183" s="1"/>
  <c r="C186"/>
  <c r="E182"/>
  <c r="F182" s="1"/>
  <c r="C185"/>
  <c r="E181"/>
  <c r="F181" s="1"/>
  <c r="F184" l="1"/>
  <c r="E257"/>
  <c r="F257" s="1"/>
  <c r="F797"/>
  <c r="C190"/>
  <c r="E186"/>
  <c r="F186" s="1"/>
  <c r="C192"/>
  <c r="E188"/>
  <c r="C189"/>
  <c r="E185"/>
  <c r="F185" s="1"/>
  <c r="C191"/>
  <c r="E187"/>
  <c r="F187" s="1"/>
  <c r="F188" l="1"/>
  <c r="E258"/>
  <c r="F258" s="1"/>
  <c r="C194"/>
  <c r="E190"/>
  <c r="F190" s="1"/>
  <c r="C195"/>
  <c r="E191"/>
  <c r="F191" s="1"/>
  <c r="C193"/>
  <c r="E189"/>
  <c r="F189" s="1"/>
  <c r="C196"/>
  <c r="E192"/>
  <c r="F192" l="1"/>
  <c r="E259"/>
  <c r="F259" s="1"/>
  <c r="C198"/>
  <c r="E194"/>
  <c r="F194" s="1"/>
  <c r="C200"/>
  <c r="E196"/>
  <c r="C197"/>
  <c r="E193"/>
  <c r="F193" s="1"/>
  <c r="C199"/>
  <c r="E195"/>
  <c r="F195" s="1"/>
  <c r="F196" l="1"/>
  <c r="E260"/>
  <c r="F260" s="1"/>
  <c r="C204"/>
  <c r="E200"/>
  <c r="C202"/>
  <c r="E198"/>
  <c r="F198" s="1"/>
  <c r="C203"/>
  <c r="E199"/>
  <c r="F199" s="1"/>
  <c r="C201"/>
  <c r="E197"/>
  <c r="F197" s="1"/>
  <c r="F200" l="1"/>
  <c r="E261"/>
  <c r="F261" s="1"/>
  <c r="E202"/>
  <c r="F202" s="1"/>
  <c r="E204"/>
  <c r="E201"/>
  <c r="F201" s="1"/>
  <c r="E203"/>
  <c r="F203" s="1"/>
  <c r="F204" l="1"/>
  <c r="E262"/>
  <c r="F262" s="1"/>
  <c r="E460"/>
  <c r="E660"/>
  <c r="E825"/>
  <c r="E789"/>
  <c r="E499"/>
  <c r="E650"/>
  <c r="E815"/>
  <c r="E652"/>
  <c r="E458"/>
  <c r="E670"/>
  <c r="E477"/>
  <c r="E471"/>
  <c r="E835"/>
  <c r="E478"/>
  <c r="E800"/>
  <c r="E651"/>
  <c r="E501"/>
  <c r="E809"/>
  <c r="E464"/>
  <c r="E486"/>
  <c r="E810"/>
  <c r="E636"/>
  <c r="E463"/>
  <c r="E508"/>
  <c r="E646"/>
  <c r="E633"/>
  <c r="E488"/>
  <c r="E461"/>
  <c r="E641"/>
  <c r="E645"/>
  <c r="E823"/>
  <c r="E494"/>
  <c r="E495"/>
  <c r="E820"/>
  <c r="E784"/>
  <c r="E785"/>
  <c r="E787"/>
  <c r="E827"/>
  <c r="E473"/>
  <c r="E483"/>
  <c r="E672"/>
  <c r="E639"/>
  <c r="E804"/>
  <c r="E490"/>
  <c r="E648"/>
  <c r="E653"/>
  <c r="E489"/>
  <c r="E640"/>
  <c r="E498"/>
  <c r="E664"/>
  <c r="E671"/>
  <c r="E822"/>
  <c r="E635"/>
  <c r="E462"/>
  <c r="E661"/>
  <c r="E812"/>
  <c r="E665"/>
  <c r="E657"/>
  <c r="E803"/>
  <c r="E482"/>
  <c r="E811"/>
  <c r="E791"/>
  <c r="E816"/>
  <c r="E647"/>
  <c r="E472"/>
  <c r="E808"/>
  <c r="E476"/>
  <c r="E821"/>
  <c r="E502"/>
  <c r="E626"/>
  <c r="E484"/>
  <c r="E832"/>
  <c r="E658"/>
  <c r="E833"/>
  <c r="E500"/>
  <c r="E475"/>
  <c r="E813"/>
  <c r="E826"/>
  <c r="E799"/>
  <c r="E662"/>
  <c r="E796"/>
  <c r="E786"/>
  <c r="E497"/>
  <c r="E509"/>
  <c r="E628"/>
  <c r="E798"/>
  <c r="E470"/>
  <c r="E506"/>
  <c r="E465"/>
  <c r="E649"/>
  <c r="E637"/>
  <c r="E485"/>
  <c r="E638"/>
  <c r="E487"/>
  <c r="E792"/>
  <c r="E659"/>
  <c r="E669"/>
  <c r="E814"/>
  <c r="E790"/>
  <c r="E625"/>
  <c r="E828"/>
  <c r="E474"/>
  <c r="E629"/>
  <c r="E466"/>
  <c r="E834"/>
  <c r="E824"/>
  <c r="E507"/>
  <c r="E801"/>
  <c r="E802"/>
  <c r="E496"/>
  <c r="E634"/>
  <c r="F834" l="1"/>
  <c r="F658"/>
  <c r="F648"/>
  <c r="F672"/>
  <c r="F809"/>
  <c r="F670"/>
  <c r="F660"/>
  <c r="F496"/>
  <c r="F798"/>
  <c r="F786"/>
  <c r="F833"/>
  <c r="F507"/>
  <c r="F497"/>
  <c r="F799"/>
  <c r="F484"/>
  <c r="F671"/>
  <c r="F508"/>
  <c r="F811"/>
  <c r="F635"/>
  <c r="F823"/>
  <c r="F659"/>
  <c r="F509"/>
  <c r="F821"/>
  <c r="F647"/>
  <c r="F822"/>
  <c r="F495"/>
  <c r="F646"/>
  <c r="F810"/>
  <c r="F835"/>
  <c r="F634"/>
  <c r="F802"/>
  <c r="F801"/>
  <c r="F824"/>
  <c r="F474"/>
  <c r="F625"/>
  <c r="F790"/>
  <c r="F814"/>
  <c r="F669"/>
  <c r="F487"/>
  <c r="F638"/>
  <c r="F485"/>
  <c r="F637"/>
  <c r="F649"/>
  <c r="F465"/>
  <c r="F506"/>
  <c r="F470"/>
  <c r="F628"/>
  <c r="F796"/>
  <c r="F662"/>
  <c r="F826"/>
  <c r="F813"/>
  <c r="F475"/>
  <c r="F500"/>
  <c r="F832"/>
  <c r="F626"/>
  <c r="F476"/>
  <c r="F808"/>
  <c r="F472"/>
  <c r="F791"/>
  <c r="F482"/>
  <c r="F803"/>
  <c r="F657"/>
  <c r="F812"/>
  <c r="F661"/>
  <c r="F462"/>
  <c r="F664"/>
  <c r="F498"/>
  <c r="F640"/>
  <c r="F489"/>
  <c r="F639"/>
  <c r="F483"/>
  <c r="F663"/>
  <c r="F473"/>
  <c r="F827"/>
  <c r="F787"/>
  <c r="F785"/>
  <c r="F784"/>
  <c r="F820"/>
  <c r="F494"/>
  <c r="F645"/>
  <c r="F461"/>
  <c r="F488"/>
  <c r="F633"/>
  <c r="F463"/>
  <c r="F636"/>
  <c r="F486"/>
  <c r="F464"/>
  <c r="F501"/>
  <c r="F651"/>
  <c r="F800"/>
  <c r="F471"/>
  <c r="F477"/>
  <c r="F458"/>
  <c r="F652"/>
  <c r="F815"/>
  <c r="F650"/>
  <c r="F499"/>
  <c r="F789"/>
  <c r="F825"/>
  <c r="F460"/>
  <c r="F466"/>
  <c r="F467" s="1"/>
  <c r="F468" s="1"/>
  <c r="F469" s="1"/>
  <c r="E467"/>
  <c r="E468" s="1"/>
  <c r="E469" s="1"/>
  <c r="F478"/>
  <c r="F479" s="1"/>
  <c r="F480" s="1"/>
  <c r="F481" s="1"/>
  <c r="E479"/>
  <c r="E480" s="1"/>
  <c r="E481" s="1"/>
  <c r="F490"/>
  <c r="F491" s="1"/>
  <c r="F492" s="1"/>
  <c r="F493" s="1"/>
  <c r="E491"/>
  <c r="E492" s="1"/>
  <c r="E493" s="1"/>
  <c r="F502"/>
  <c r="F503" s="1"/>
  <c r="F504" s="1"/>
  <c r="F505" s="1"/>
  <c r="E503"/>
  <c r="E504" s="1"/>
  <c r="E505" s="1"/>
  <c r="F629"/>
  <c r="F630" s="1"/>
  <c r="F631" s="1"/>
  <c r="F632" s="1"/>
  <c r="E630"/>
  <c r="E631" s="1"/>
  <c r="E632" s="1"/>
  <c r="F641"/>
  <c r="F642" s="1"/>
  <c r="F643" s="1"/>
  <c r="F644" s="1"/>
  <c r="E642"/>
  <c r="E643" s="1"/>
  <c r="E644" s="1"/>
  <c r="F653"/>
  <c r="F654" s="1"/>
  <c r="F655" s="1"/>
  <c r="F656" s="1"/>
  <c r="E654"/>
  <c r="E655" s="1"/>
  <c r="E656" s="1"/>
  <c r="F665"/>
  <c r="F666" s="1"/>
  <c r="F667" s="1"/>
  <c r="F668" s="1"/>
  <c r="E666"/>
  <c r="E667" s="1"/>
  <c r="E668" s="1"/>
  <c r="F804"/>
  <c r="F805" s="1"/>
  <c r="F806" s="1"/>
  <c r="F807" s="1"/>
  <c r="E805"/>
  <c r="E806" s="1"/>
  <c r="E807" s="1"/>
  <c r="F828"/>
  <c r="F829" s="1"/>
  <c r="F830" s="1"/>
  <c r="F831" s="1"/>
  <c r="E829"/>
  <c r="E830" s="1"/>
  <c r="E831" s="1"/>
  <c r="F792"/>
  <c r="F793" s="1"/>
  <c r="F794" s="1"/>
  <c r="F795" s="1"/>
  <c r="E793"/>
  <c r="E794" s="1"/>
  <c r="E795" s="1"/>
  <c r="F816"/>
  <c r="F817" s="1"/>
  <c r="F818" s="1"/>
  <c r="F819" s="1"/>
  <c r="E817"/>
  <c r="E818" s="1"/>
  <c r="E819" s="1"/>
  <c r="L210" l="1"/>
  <c r="L204"/>
  <c r="L207"/>
  <c r="L197"/>
  <c r="L195"/>
  <c r="L186"/>
  <c r="L184"/>
  <c r="L201" l="1"/>
  <c r="L199"/>
  <c r="L212"/>
  <c r="L208"/>
  <c r="L211"/>
  <c r="L206" l="1"/>
  <c r="L209"/>
  <c r="L203"/>
  <c r="L202" l="1"/>
  <c r="L205"/>
  <c r="L200"/>
  <c r="L198"/>
  <c r="L196"/>
  <c r="L177" l="1"/>
  <c r="L175"/>
  <c r="L176" l="1"/>
  <c r="L178"/>
  <c r="L166"/>
  <c r="L181" l="1"/>
  <c r="L179"/>
  <c r="L185" l="1"/>
  <c r="L183"/>
  <c r="L167"/>
  <c r="L169"/>
  <c r="L182"/>
  <c r="L180"/>
  <c r="L170" l="1"/>
  <c r="L168"/>
  <c r="L172" l="1"/>
  <c r="L174"/>
  <c r="L173"/>
  <c r="L171"/>
  <c r="L189" l="1"/>
  <c r="L187"/>
  <c r="L190" l="1"/>
  <c r="L188"/>
  <c r="L193"/>
  <c r="L191"/>
  <c r="L194" l="1"/>
  <c r="L192"/>
  <c r="B406" i="3" l="1"/>
  <c r="D406" s="1"/>
  <c r="B379"/>
  <c r="D379" s="1"/>
  <c r="B388"/>
  <c r="D388" s="1"/>
  <c r="B397"/>
  <c r="D397" s="1"/>
  <c r="B361"/>
  <c r="D361" s="1"/>
  <c r="B370"/>
  <c r="D370" s="1"/>
  <c r="B376" l="1"/>
  <c r="D376" s="1"/>
  <c r="B378"/>
  <c r="D378" s="1"/>
  <c r="B377"/>
  <c r="D377" s="1"/>
  <c r="B372"/>
  <c r="D372" s="1"/>
  <c r="B374"/>
  <c r="D374" s="1"/>
  <c r="B373"/>
  <c r="D373" s="1"/>
  <c r="B371"/>
  <c r="D371" s="1"/>
  <c r="B375"/>
  <c r="D375" s="1"/>
  <c r="B396"/>
  <c r="D396" s="1"/>
  <c r="B394"/>
  <c r="D394" s="1"/>
  <c r="B395"/>
  <c r="D395" s="1"/>
  <c r="B398"/>
  <c r="D398" s="1"/>
  <c r="B400"/>
  <c r="D400" s="1"/>
  <c r="B402"/>
  <c r="D402" s="1"/>
  <c r="B399"/>
  <c r="D399" s="1"/>
  <c r="B401"/>
  <c r="D401" s="1"/>
  <c r="B358"/>
  <c r="D358" s="1"/>
  <c r="B360"/>
  <c r="D360" s="1"/>
  <c r="B359"/>
  <c r="D359" s="1"/>
  <c r="B380"/>
  <c r="D380" s="1"/>
  <c r="B383"/>
  <c r="D383" s="1"/>
  <c r="B382"/>
  <c r="D382" s="1"/>
  <c r="B381"/>
  <c r="D381" s="1"/>
  <c r="B384"/>
  <c r="D384" s="1"/>
  <c r="B405"/>
  <c r="D405" s="1"/>
  <c r="B404"/>
  <c r="D404" s="1"/>
  <c r="B403"/>
  <c r="D403" s="1"/>
  <c r="B364"/>
  <c r="D364" s="1"/>
  <c r="B366"/>
  <c r="D366" s="1"/>
  <c r="B362"/>
  <c r="D362" s="1"/>
  <c r="B363"/>
  <c r="D363" s="1"/>
  <c r="B365"/>
  <c r="D365" s="1"/>
  <c r="B354"/>
  <c r="D354" s="1"/>
  <c r="B357"/>
  <c r="D357" s="1"/>
  <c r="B353"/>
  <c r="D353" s="1"/>
  <c r="B356"/>
  <c r="D356" s="1"/>
  <c r="B355"/>
  <c r="D355" s="1"/>
  <c r="B369"/>
  <c r="D369" s="1"/>
  <c r="B368"/>
  <c r="D368" s="1"/>
  <c r="B367"/>
  <c r="D367" s="1"/>
  <c r="B393"/>
  <c r="D393" s="1"/>
  <c r="B389"/>
  <c r="D389" s="1"/>
  <c r="B390"/>
  <c r="D390" s="1"/>
  <c r="B391"/>
  <c r="D391" s="1"/>
  <c r="B392"/>
  <c r="D392" s="1"/>
  <c r="B385"/>
  <c r="D385" s="1"/>
  <c r="B387"/>
  <c r="D387" s="1"/>
  <c r="B386"/>
  <c r="D386" s="1"/>
  <c r="B244" l="1"/>
  <c r="D244" s="1"/>
  <c r="B271"/>
  <c r="D271" s="1"/>
  <c r="B226"/>
  <c r="D226" s="1"/>
  <c r="B91"/>
  <c r="D91" s="1"/>
  <c r="B235"/>
  <c r="D235" s="1"/>
  <c r="B118"/>
  <c r="D118" s="1"/>
  <c r="B136"/>
  <c r="D136" s="1"/>
  <c r="B127" l="1"/>
  <c r="D127" s="1"/>
  <c r="B262"/>
  <c r="D262" s="1"/>
  <c r="B243" l="1"/>
  <c r="D243" s="1"/>
  <c r="B269"/>
  <c r="D269" s="1"/>
  <c r="B122"/>
  <c r="D122" s="1"/>
  <c r="B90"/>
  <c r="D90" s="1"/>
  <c r="B237"/>
  <c r="D237" s="1"/>
  <c r="B239"/>
  <c r="D239" s="1"/>
  <c r="B110"/>
  <c r="D110" s="1"/>
  <c r="B83"/>
  <c r="D83" s="1"/>
  <c r="B132"/>
  <c r="D132" s="1"/>
  <c r="B124"/>
  <c r="D124" s="1"/>
  <c r="B119"/>
  <c r="D119" s="1"/>
  <c r="B240"/>
  <c r="D240" s="1"/>
  <c r="B264"/>
  <c r="D264" s="1"/>
  <c r="B85"/>
  <c r="D85" s="1"/>
  <c r="B115"/>
  <c r="D115" s="1"/>
  <c r="B131"/>
  <c r="D131" s="1"/>
  <c r="B242"/>
  <c r="D242" s="1"/>
  <c r="B268"/>
  <c r="D268" s="1"/>
  <c r="B121"/>
  <c r="D121" s="1"/>
  <c r="B238"/>
  <c r="D238" s="1"/>
  <c r="B225"/>
  <c r="D225" s="1"/>
  <c r="B231"/>
  <c r="D231" s="1"/>
  <c r="B113"/>
  <c r="D113" s="1"/>
  <c r="B135"/>
  <c r="D135" s="1"/>
  <c r="B263"/>
  <c r="D263" s="1"/>
  <c r="B265"/>
  <c r="D265" s="1"/>
  <c r="B222"/>
  <c r="D222" s="1"/>
  <c r="B84"/>
  <c r="D84" s="1"/>
  <c r="B117"/>
  <c r="D117" s="1"/>
  <c r="B129"/>
  <c r="D129" s="1"/>
  <c r="B126"/>
  <c r="D126" s="1"/>
  <c r="B109"/>
  <c r="D109" s="1"/>
  <c r="B232"/>
  <c r="D232" s="1"/>
  <c r="B223"/>
  <c r="D223" s="1"/>
  <c r="B228"/>
  <c r="D228" s="1"/>
  <c r="B114"/>
  <c r="D114" s="1"/>
  <c r="B267"/>
  <c r="D267" s="1"/>
  <c r="B221"/>
  <c r="D221" s="1"/>
  <c r="B87"/>
  <c r="D87" s="1"/>
  <c r="B128"/>
  <c r="D128" s="1"/>
  <c r="B233"/>
  <c r="D233" s="1"/>
  <c r="B270"/>
  <c r="D270" s="1"/>
  <c r="B120"/>
  <c r="D120" s="1"/>
  <c r="B89"/>
  <c r="D89" s="1"/>
  <c r="B229"/>
  <c r="D229" s="1"/>
  <c r="B227"/>
  <c r="D227" s="1"/>
  <c r="B111"/>
  <c r="D111" s="1"/>
  <c r="B134"/>
  <c r="D134" s="1"/>
  <c r="B218"/>
  <c r="D218" s="1"/>
  <c r="B241"/>
  <c r="D241" s="1"/>
  <c r="B123"/>
  <c r="D123" s="1"/>
  <c r="B88"/>
  <c r="D88" s="1"/>
  <c r="B236"/>
  <c r="D236" s="1"/>
  <c r="B224"/>
  <c r="D224" s="1"/>
  <c r="B230"/>
  <c r="D230" s="1"/>
  <c r="B112"/>
  <c r="D112" s="1"/>
  <c r="B133"/>
  <c r="D133" s="1"/>
  <c r="B266"/>
  <c r="D266" s="1"/>
  <c r="B219"/>
  <c r="D219" s="1"/>
  <c r="B220"/>
  <c r="D220" s="1"/>
  <c r="B86"/>
  <c r="D86" s="1"/>
  <c r="B116"/>
  <c r="D116" s="1"/>
  <c r="B100"/>
  <c r="D100" s="1"/>
  <c r="B130"/>
  <c r="D130" s="1"/>
  <c r="B125"/>
  <c r="D125" s="1"/>
  <c r="B234"/>
  <c r="D234" s="1"/>
  <c r="B103"/>
  <c r="D103" s="1"/>
  <c r="B104"/>
  <c r="D104" s="1"/>
  <c r="B102"/>
  <c r="D102" s="1"/>
  <c r="B105"/>
  <c r="D105" s="1"/>
  <c r="B98"/>
  <c r="D98" s="1"/>
  <c r="B97"/>
  <c r="D97" s="1"/>
  <c r="B99"/>
  <c r="D99" s="1"/>
  <c r="B107"/>
  <c r="D107" s="1"/>
  <c r="B106"/>
  <c r="D106" s="1"/>
  <c r="B96"/>
  <c r="D96" s="1"/>
  <c r="B94"/>
  <c r="D94" s="1"/>
  <c r="B95"/>
  <c r="D95" s="1"/>
  <c r="B258"/>
  <c r="D258" s="1"/>
  <c r="B101" l="1"/>
  <c r="D101" s="1"/>
  <c r="B261"/>
  <c r="D261" s="1"/>
  <c r="B108"/>
  <c r="D108" s="1"/>
  <c r="B257"/>
  <c r="D257" s="1"/>
  <c r="B256"/>
  <c r="D256" s="1"/>
  <c r="B92"/>
  <c r="D92" s="1"/>
  <c r="B254"/>
  <c r="D254" s="1"/>
  <c r="B260"/>
  <c r="D260" s="1"/>
  <c r="B255"/>
  <c r="D255" s="1"/>
  <c r="B93"/>
  <c r="D93" s="1"/>
  <c r="B253"/>
  <c r="D253" s="1"/>
  <c r="B259"/>
  <c r="D259" s="1"/>
  <c r="B249"/>
  <c r="D249" s="1"/>
  <c r="B246" l="1"/>
  <c r="D246" s="1"/>
  <c r="B245"/>
  <c r="D245" s="1"/>
  <c r="B251"/>
  <c r="D251" s="1"/>
  <c r="B252"/>
  <c r="D252" s="1"/>
  <c r="B248"/>
  <c r="D248" s="1"/>
  <c r="B247"/>
  <c r="D247" s="1"/>
  <c r="B250"/>
  <c r="D250" s="1"/>
  <c r="B289" l="1"/>
  <c r="D289" s="1"/>
  <c r="B325"/>
  <c r="D325" s="1"/>
  <c r="B319" l="1"/>
  <c r="D319" s="1"/>
  <c r="B318"/>
  <c r="D318" s="1"/>
  <c r="B321"/>
  <c r="D321" s="1"/>
  <c r="B320"/>
  <c r="D320" s="1"/>
  <c r="B317"/>
  <c r="D317" s="1"/>
  <c r="B280"/>
  <c r="D280" s="1"/>
  <c r="B352"/>
  <c r="D352" s="1"/>
  <c r="B298"/>
  <c r="D298" s="1"/>
  <c r="B284"/>
  <c r="D284" s="1"/>
  <c r="B281"/>
  <c r="D281" s="1"/>
  <c r="B285"/>
  <c r="D285" s="1"/>
  <c r="B283"/>
  <c r="D283" s="1"/>
  <c r="B282"/>
  <c r="D282" s="1"/>
  <c r="B334"/>
  <c r="D334" s="1"/>
  <c r="B343"/>
  <c r="D343" s="1"/>
  <c r="B307"/>
  <c r="D307" s="1"/>
  <c r="B316"/>
  <c r="D316" s="1"/>
  <c r="B323"/>
  <c r="D323" s="1"/>
  <c r="B322"/>
  <c r="D322" s="1"/>
  <c r="B324"/>
  <c r="D324" s="1"/>
  <c r="B288"/>
  <c r="D288" s="1"/>
  <c r="B287"/>
  <c r="D287" s="1"/>
  <c r="B286"/>
  <c r="D286" s="1"/>
  <c r="B64" l="1"/>
  <c r="D64" s="1"/>
  <c r="B37"/>
  <c r="D37" s="1"/>
  <c r="B28"/>
  <c r="D28" s="1"/>
  <c r="B59"/>
  <c r="D59" s="1"/>
  <c r="B301"/>
  <c r="D301" s="1"/>
  <c r="B303"/>
  <c r="D303" s="1"/>
  <c r="B300"/>
  <c r="D300" s="1"/>
  <c r="B302"/>
  <c r="D302" s="1"/>
  <c r="B299"/>
  <c r="D299" s="1"/>
  <c r="B337"/>
  <c r="D337" s="1"/>
  <c r="B338"/>
  <c r="D338" s="1"/>
  <c r="B335"/>
  <c r="D335" s="1"/>
  <c r="B336"/>
  <c r="D336" s="1"/>
  <c r="B339"/>
  <c r="D339" s="1"/>
  <c r="B329"/>
  <c r="D329" s="1"/>
  <c r="B327"/>
  <c r="D327" s="1"/>
  <c r="B328"/>
  <c r="D328" s="1"/>
  <c r="B326"/>
  <c r="D326" s="1"/>
  <c r="B330"/>
  <c r="D330" s="1"/>
  <c r="B25"/>
  <c r="D25" s="1"/>
  <c r="B292"/>
  <c r="D292" s="1"/>
  <c r="B290"/>
  <c r="D290" s="1"/>
  <c r="B291"/>
  <c r="D291" s="1"/>
  <c r="B294"/>
  <c r="D294" s="1"/>
  <c r="B293"/>
  <c r="D293" s="1"/>
  <c r="B351"/>
  <c r="D351" s="1"/>
  <c r="B349"/>
  <c r="D349" s="1"/>
  <c r="B350"/>
  <c r="D350" s="1"/>
  <c r="B305"/>
  <c r="D305" s="1"/>
  <c r="B304"/>
  <c r="D304" s="1"/>
  <c r="B306"/>
  <c r="D306" s="1"/>
  <c r="B341"/>
  <c r="D341" s="1"/>
  <c r="B340"/>
  <c r="D340" s="1"/>
  <c r="B342"/>
  <c r="D342" s="1"/>
  <c r="B331"/>
  <c r="D331" s="1"/>
  <c r="B333"/>
  <c r="D333" s="1"/>
  <c r="B332"/>
  <c r="D332" s="1"/>
  <c r="B345"/>
  <c r="D345" s="1"/>
  <c r="B347"/>
  <c r="D347" s="1"/>
  <c r="B346"/>
  <c r="D346" s="1"/>
  <c r="B348"/>
  <c r="D348" s="1"/>
  <c r="B344"/>
  <c r="D344" s="1"/>
  <c r="B274"/>
  <c r="D274" s="1"/>
  <c r="B273"/>
  <c r="D273" s="1"/>
  <c r="B276"/>
  <c r="D276" s="1"/>
  <c r="B275"/>
  <c r="D275" s="1"/>
  <c r="B272"/>
  <c r="D272" s="1"/>
  <c r="B314"/>
  <c r="D314" s="1"/>
  <c r="B315"/>
  <c r="D315" s="1"/>
  <c r="B313"/>
  <c r="D313" s="1"/>
  <c r="B295"/>
  <c r="D295" s="1"/>
  <c r="B297"/>
  <c r="D297" s="1"/>
  <c r="B296"/>
  <c r="D296" s="1"/>
  <c r="B34"/>
  <c r="D34" s="1"/>
  <c r="B308"/>
  <c r="D308" s="1"/>
  <c r="B311"/>
  <c r="D311" s="1"/>
  <c r="B310"/>
  <c r="D310" s="1"/>
  <c r="B309"/>
  <c r="D309" s="1"/>
  <c r="B312"/>
  <c r="D312" s="1"/>
  <c r="B277"/>
  <c r="D277" s="1"/>
  <c r="B279"/>
  <c r="D279" s="1"/>
  <c r="B278"/>
  <c r="D278" s="1"/>
  <c r="B29" l="1"/>
  <c r="D29" s="1"/>
  <c r="B62"/>
  <c r="D62" s="1"/>
  <c r="B46"/>
  <c r="D46" s="1"/>
  <c r="B36"/>
  <c r="D36" s="1"/>
  <c r="B60"/>
  <c r="D60" s="1"/>
  <c r="B32"/>
  <c r="D32" s="1"/>
  <c r="B31"/>
  <c r="D31" s="1"/>
  <c r="B82"/>
  <c r="D82" s="1"/>
  <c r="B55"/>
  <c r="D55" s="1"/>
  <c r="B61"/>
  <c r="D61" s="1"/>
  <c r="B23"/>
  <c r="D23" s="1"/>
  <c r="B58"/>
  <c r="D58" s="1"/>
  <c r="B20"/>
  <c r="D20" s="1"/>
  <c r="B56"/>
  <c r="D56" s="1"/>
  <c r="B33"/>
  <c r="D33" s="1"/>
  <c r="B10"/>
  <c r="D10" s="1"/>
  <c r="B63"/>
  <c r="D63" s="1"/>
  <c r="B21"/>
  <c r="D21" s="1"/>
  <c r="B24"/>
  <c r="D24" s="1"/>
  <c r="B26"/>
  <c r="D26" s="1"/>
  <c r="B30"/>
  <c r="D30" s="1"/>
  <c r="B73"/>
  <c r="D73" s="1"/>
  <c r="B19"/>
  <c r="D19" s="1"/>
  <c r="B35"/>
  <c r="D35" s="1"/>
  <c r="B22"/>
  <c r="D22" s="1"/>
  <c r="B27"/>
  <c r="D27" s="1"/>
  <c r="B57"/>
  <c r="D57" s="1"/>
  <c r="B52"/>
  <c r="D52" s="1"/>
  <c r="B43"/>
  <c r="D43" s="1"/>
  <c r="B68"/>
  <c r="D68" s="1"/>
  <c r="B7"/>
  <c r="D7" s="1"/>
  <c r="B77"/>
  <c r="D77" s="1"/>
  <c r="B16"/>
  <c r="D16" s="1"/>
  <c r="B6" l="1"/>
  <c r="D6" s="1"/>
  <c r="B71"/>
  <c r="D71" s="1"/>
  <c r="B47"/>
  <c r="D47" s="1"/>
  <c r="B78"/>
  <c r="D78" s="1"/>
  <c r="B39"/>
  <c r="D39" s="1"/>
  <c r="B66"/>
  <c r="D66" s="1"/>
  <c r="B11"/>
  <c r="D11" s="1"/>
  <c r="B72"/>
  <c r="D72" s="1"/>
  <c r="B49"/>
  <c r="D49" s="1"/>
  <c r="B74"/>
  <c r="D74" s="1"/>
  <c r="B69"/>
  <c r="D69" s="1"/>
  <c r="B12"/>
  <c r="D12" s="1"/>
  <c r="B80"/>
  <c r="D80" s="1"/>
  <c r="B5"/>
  <c r="D5" s="1"/>
  <c r="B17"/>
  <c r="D17" s="1"/>
  <c r="B70"/>
  <c r="D70" s="1"/>
  <c r="B51"/>
  <c r="D51" s="1"/>
  <c r="B76"/>
  <c r="D76" s="1"/>
  <c r="B42"/>
  <c r="D42" s="1"/>
  <c r="B8"/>
  <c r="D8" s="1"/>
  <c r="B67"/>
  <c r="D67" s="1"/>
  <c r="B14"/>
  <c r="D14" s="1"/>
  <c r="B79"/>
  <c r="D79" s="1"/>
  <c r="B2"/>
  <c r="D2" s="1"/>
  <c r="B44"/>
  <c r="D44" s="1"/>
  <c r="B54"/>
  <c r="D54" s="1"/>
  <c r="B3"/>
  <c r="D3" s="1"/>
  <c r="B38"/>
  <c r="D38" s="1"/>
  <c r="B65"/>
  <c r="D65" s="1"/>
  <c r="B53"/>
  <c r="D53" s="1"/>
  <c r="B81"/>
  <c r="D81" s="1"/>
  <c r="B4"/>
  <c r="D4" s="1"/>
  <c r="B18"/>
  <c r="D18" s="1"/>
  <c r="B50"/>
  <c r="D50" s="1"/>
  <c r="B48"/>
  <c r="D48" s="1"/>
  <c r="B75"/>
  <c r="D75" s="1"/>
  <c r="B41"/>
  <c r="D41" s="1"/>
  <c r="B40"/>
  <c r="D40" s="1"/>
  <c r="B9"/>
  <c r="D9" s="1"/>
  <c r="B45"/>
  <c r="D45" s="1"/>
  <c r="B15"/>
  <c r="D15" s="1"/>
  <c r="B13"/>
  <c r="D13" s="1"/>
  <c r="B145" l="1"/>
  <c r="D145" s="1"/>
  <c r="B181"/>
  <c r="D181" s="1"/>
  <c r="B163"/>
  <c r="D163" s="1"/>
  <c r="B208"/>
  <c r="D208" s="1"/>
  <c r="B154"/>
  <c r="D154" s="1"/>
  <c r="B151"/>
  <c r="D151" s="1"/>
  <c r="B203"/>
  <c r="D203" s="1"/>
  <c r="B160"/>
  <c r="D160" s="1"/>
  <c r="B142"/>
  <c r="D142" s="1"/>
  <c r="B178"/>
  <c r="D178" s="1"/>
  <c r="B190" l="1"/>
  <c r="D190" s="1"/>
  <c r="B179"/>
  <c r="D179" s="1"/>
  <c r="B146"/>
  <c r="D146" s="1"/>
  <c r="B206"/>
  <c r="D206" s="1"/>
  <c r="B161"/>
  <c r="D161" s="1"/>
  <c r="B177"/>
  <c r="D177" s="1"/>
  <c r="B159"/>
  <c r="D159" s="1"/>
  <c r="B174"/>
  <c r="D174" s="1"/>
  <c r="B172"/>
  <c r="D172" s="1"/>
  <c r="B150"/>
  <c r="D150" s="1"/>
  <c r="B149"/>
  <c r="D149" s="1"/>
  <c r="B155"/>
  <c r="D155" s="1"/>
  <c r="B143"/>
  <c r="D143" s="1"/>
  <c r="B175"/>
  <c r="D175" s="1"/>
  <c r="B139"/>
  <c r="D139" s="1"/>
  <c r="B202"/>
  <c r="D202" s="1"/>
  <c r="B152"/>
  <c r="D152" s="1"/>
  <c r="B157"/>
  <c r="D157" s="1"/>
  <c r="B176"/>
  <c r="D176" s="1"/>
  <c r="B141"/>
  <c r="D141" s="1"/>
  <c r="B204"/>
  <c r="D204" s="1"/>
  <c r="B148"/>
  <c r="D148" s="1"/>
  <c r="B205"/>
  <c r="D205" s="1"/>
  <c r="B156"/>
  <c r="D156" s="1"/>
  <c r="B137"/>
  <c r="D137" s="1"/>
  <c r="B200"/>
  <c r="D200" s="1"/>
  <c r="B199"/>
  <c r="D199" s="1"/>
  <c r="B217"/>
  <c r="D217" s="1"/>
  <c r="B180"/>
  <c r="D180" s="1"/>
  <c r="B147"/>
  <c r="D147" s="1"/>
  <c r="B207"/>
  <c r="D207" s="1"/>
  <c r="B158"/>
  <c r="D158" s="1"/>
  <c r="B144"/>
  <c r="D144" s="1"/>
  <c r="B162"/>
  <c r="D162" s="1"/>
  <c r="B173"/>
  <c r="D173" s="1"/>
  <c r="B138"/>
  <c r="D138" s="1"/>
  <c r="B140"/>
  <c r="D140" s="1"/>
  <c r="B201"/>
  <c r="D201" s="1"/>
  <c r="B153"/>
  <c r="D153" s="1"/>
  <c r="B212"/>
  <c r="D212" s="1"/>
  <c r="B169"/>
  <c r="D169" s="1"/>
  <c r="B194"/>
  <c r="D194" s="1"/>
  <c r="B187"/>
  <c r="D187" s="1"/>
  <c r="B166" l="1"/>
  <c r="D166" s="1"/>
  <c r="B192"/>
  <c r="D192" s="1"/>
  <c r="B182"/>
  <c r="D182" s="1"/>
  <c r="B214"/>
  <c r="D214" s="1"/>
  <c r="B213"/>
  <c r="D213" s="1"/>
  <c r="B209"/>
  <c r="D209" s="1"/>
  <c r="B164"/>
  <c r="D164" s="1"/>
  <c r="B191"/>
  <c r="D191" s="1"/>
  <c r="B171"/>
  <c r="D171" s="1"/>
  <c r="B185"/>
  <c r="D185" s="1"/>
  <c r="B186"/>
  <c r="D186" s="1"/>
  <c r="B210"/>
  <c r="D210" s="1"/>
  <c r="B198"/>
  <c r="D198" s="1"/>
  <c r="B167"/>
  <c r="D167" s="1"/>
  <c r="B168"/>
  <c r="D168" s="1"/>
  <c r="B188"/>
  <c r="D188" s="1"/>
  <c r="B193"/>
  <c r="D193" s="1"/>
  <c r="B170"/>
  <c r="D170" s="1"/>
  <c r="B183"/>
  <c r="D183" s="1"/>
  <c r="B215"/>
  <c r="D215" s="1"/>
  <c r="B197"/>
  <c r="D197" s="1"/>
  <c r="B165"/>
  <c r="D165" s="1"/>
  <c r="B189"/>
  <c r="D189" s="1"/>
  <c r="B195"/>
  <c r="D195" s="1"/>
  <c r="B184"/>
  <c r="D184" s="1"/>
  <c r="B216"/>
  <c r="D216" s="1"/>
  <c r="B211"/>
  <c r="D211" s="1"/>
  <c r="B196"/>
  <c r="D196" s="1"/>
</calcChain>
</file>

<file path=xl/sharedStrings.xml><?xml version="1.0" encoding="utf-8"?>
<sst xmlns="http://schemas.openxmlformats.org/spreadsheetml/2006/main" count="1831" uniqueCount="638">
  <si>
    <t>id</t>
  </si>
  <si>
    <t>职业(profession)</t>
  </si>
  <si>
    <t>等级(level）</t>
  </si>
  <si>
    <t>名字(name)</t>
  </si>
  <si>
    <t>技能(skills)</t>
  </si>
  <si>
    <t>力量(strenght)</t>
  </si>
  <si>
    <t>敏捷(agility)</t>
  </si>
  <si>
    <t>智力(intellect)</t>
  </si>
  <si>
    <t>耐力(stamina)</t>
  </si>
  <si>
    <t>生命值(hp)</t>
  </si>
  <si>
    <t>魔法值(mp)</t>
  </si>
  <si>
    <t>最小伤害(minDmg)</t>
  </si>
  <si>
    <t>最大伤害(maxDmg)</t>
  </si>
  <si>
    <t>护甲(armor)</t>
  </si>
  <si>
    <t>物抗(phyDef)</t>
  </si>
  <si>
    <t>魔抗(magDef)</t>
  </si>
  <si>
    <t>暴击(critical)</t>
  </si>
  <si>
    <t>命中(hit)</t>
  </si>
  <si>
    <t>闪避(dodge)</t>
  </si>
  <si>
    <t>韧性(resilience)</t>
  </si>
  <si>
    <t>怪物头像路径</t>
    <phoneticPr fontId="1" type="noConversion"/>
  </si>
  <si>
    <t>怪物类型</t>
    <phoneticPr fontId="1" type="noConversion"/>
  </si>
  <si>
    <t>No</t>
    <phoneticPr fontId="1" type="noConversion"/>
  </si>
  <si>
    <t>怪物头像ID</t>
    <phoneticPr fontId="1" type="noConversion"/>
  </si>
  <si>
    <t>逃跑回合数</t>
    <phoneticPr fontId="1" type="noConversion"/>
  </si>
  <si>
    <t>runRound</t>
    <phoneticPr fontId="1" type="noConversion"/>
  </si>
  <si>
    <t>data</t>
    <phoneticPr fontId="1" type="noConversion"/>
  </si>
  <si>
    <t xml:space="preserve"> </t>
    <phoneticPr fontId="1" type="noConversion"/>
  </si>
  <si>
    <t>回合回魔</t>
    <phoneticPr fontId="1" type="noConversion"/>
  </si>
  <si>
    <t>怪物头像路径</t>
    <phoneticPr fontId="1" type="noConversion"/>
  </si>
  <si>
    <t>是否为Boss</t>
    <phoneticPr fontId="1" type="noConversion"/>
  </si>
  <si>
    <t>id</t>
    <phoneticPr fontId="1" type="noConversion"/>
  </si>
  <si>
    <t>profession</t>
    <phoneticPr fontId="1" type="noConversion"/>
  </si>
  <si>
    <t>level</t>
    <phoneticPr fontId="1" type="noConversion"/>
  </si>
  <si>
    <t>name</t>
    <phoneticPr fontId="1" type="noConversion"/>
  </si>
  <si>
    <t>skills</t>
    <phoneticPr fontId="1" type="noConversion"/>
  </si>
  <si>
    <t>strenght</t>
    <phoneticPr fontId="1" type="noConversion"/>
  </si>
  <si>
    <t>agility</t>
    <phoneticPr fontId="1" type="noConversion"/>
  </si>
  <si>
    <t>intellect</t>
    <phoneticPr fontId="1" type="noConversion"/>
  </si>
  <si>
    <t>stamina</t>
    <phoneticPr fontId="1" type="noConversion"/>
  </si>
  <si>
    <t>hp</t>
    <phoneticPr fontId="1" type="noConversion"/>
  </si>
  <si>
    <t>mp</t>
    <phoneticPr fontId="1" type="noConversion"/>
  </si>
  <si>
    <t>minDmg</t>
    <phoneticPr fontId="1" type="noConversion"/>
  </si>
  <si>
    <t>maxDmg</t>
    <phoneticPr fontId="1" type="noConversion"/>
  </si>
  <si>
    <t>armor</t>
    <phoneticPr fontId="1" type="noConversion"/>
  </si>
  <si>
    <t>phyDef</t>
    <phoneticPr fontId="1" type="noConversion"/>
  </si>
  <si>
    <t>magDef</t>
    <phoneticPr fontId="1" type="noConversion"/>
  </si>
  <si>
    <t>critical</t>
    <phoneticPr fontId="1" type="noConversion"/>
  </si>
  <si>
    <t>hit</t>
    <phoneticPr fontId="1" type="noConversion"/>
  </si>
  <si>
    <t>dodge</t>
    <phoneticPr fontId="1" type="noConversion"/>
  </si>
  <si>
    <t>resilience</t>
    <phoneticPr fontId="1" type="noConversion"/>
  </si>
  <si>
    <t>recoverMp</t>
    <phoneticPr fontId="1" type="noConversion"/>
  </si>
  <si>
    <t>monster/10002.png</t>
  </si>
  <si>
    <t>monster/10003.png</t>
  </si>
  <si>
    <t>monster/10004.png</t>
  </si>
  <si>
    <t>monster/10005.png</t>
  </si>
  <si>
    <t>monster/10006.png</t>
  </si>
  <si>
    <t>monster/10007.png</t>
  </si>
  <si>
    <t>monster/10008.png</t>
  </si>
  <si>
    <t>monster/10009.png</t>
  </si>
  <si>
    <t>monster/10010.png</t>
  </si>
  <si>
    <t>monster/10011.png</t>
  </si>
  <si>
    <t>monster/10012.png</t>
  </si>
  <si>
    <t>monster/10013.png</t>
  </si>
  <si>
    <t>monster/10014.png</t>
  </si>
  <si>
    <t>monster/10015.png</t>
  </si>
  <si>
    <t>monster/10016.png</t>
  </si>
  <si>
    <t>monster/10017.png</t>
  </si>
  <si>
    <t>monster/10018.png</t>
  </si>
  <si>
    <t>monster/10019.png</t>
  </si>
  <si>
    <t>monster/10020.png</t>
  </si>
  <si>
    <t>monster/10021.png</t>
  </si>
  <si>
    <t>monster/10022.png</t>
  </si>
  <si>
    <t>monster/10023.png</t>
  </si>
  <si>
    <t>monster/10024.png</t>
  </si>
  <si>
    <t>monster/10025.png</t>
  </si>
  <si>
    <t>monster/10026.png</t>
  </si>
  <si>
    <t>monster/10027.png</t>
  </si>
  <si>
    <t>monster/10028.png</t>
  </si>
  <si>
    <t>monster/10029.png</t>
  </si>
  <si>
    <t>monster/10030.png</t>
  </si>
  <si>
    <t>monster/10031.png</t>
  </si>
  <si>
    <t>monster/10032.png</t>
  </si>
  <si>
    <t>monster/10033.png</t>
  </si>
  <si>
    <t>monster/10034.png</t>
  </si>
  <si>
    <t>monster/10035.png</t>
  </si>
  <si>
    <t>monster/10036.png</t>
  </si>
  <si>
    <t>monster/10037.png</t>
  </si>
  <si>
    <t>monster/10038.png</t>
  </si>
  <si>
    <t>monster/10039.png</t>
  </si>
  <si>
    <t>monster/10040.png</t>
  </si>
  <si>
    <t>monster/10041.png</t>
  </si>
  <si>
    <t>monster/10042.png</t>
  </si>
  <si>
    <t>monster/10043.png</t>
  </si>
  <si>
    <t>monster/10044.png</t>
  </si>
  <si>
    <t>monster/10045.png</t>
  </si>
  <si>
    <t>monster/10046.png</t>
  </si>
  <si>
    <t>monster/10047.png</t>
  </si>
  <si>
    <t>monster/10048.png</t>
  </si>
  <si>
    <t>monster/10049.png</t>
  </si>
  <si>
    <t>monster/10050.png</t>
  </si>
  <si>
    <t>monster/10051.png</t>
  </si>
  <si>
    <t>monster/10052.png</t>
  </si>
  <si>
    <t>monster/10053.png</t>
  </si>
  <si>
    <t>monster/10054.png</t>
  </si>
  <si>
    <t>monster/10055.png</t>
  </si>
  <si>
    <t>monster/10056.png</t>
  </si>
  <si>
    <t>monster/10057.png</t>
  </si>
  <si>
    <t>monster/10058.png</t>
  </si>
  <si>
    <t>monster/10059.png</t>
  </si>
  <si>
    <t>monster/10060.png</t>
  </si>
  <si>
    <t>monster/10061.png</t>
  </si>
  <si>
    <t>monster/10062.png</t>
  </si>
  <si>
    <t>monster/10063.png</t>
  </si>
  <si>
    <t>monster/10064.png</t>
  </si>
  <si>
    <t>monster/10065.png</t>
  </si>
  <si>
    <t>monster/10066.png</t>
  </si>
  <si>
    <t>monster/10067.png</t>
  </si>
  <si>
    <t>monster/10068.png</t>
  </si>
  <si>
    <t>monster/10069.png</t>
  </si>
  <si>
    <t>monster/10070.png</t>
  </si>
  <si>
    <t>monster/10071.png</t>
  </si>
  <si>
    <t>monster/10072.png</t>
  </si>
  <si>
    <t>monster/10073.png</t>
  </si>
  <si>
    <t>monster/10074.png</t>
  </si>
  <si>
    <t>monster/10075.png</t>
  </si>
  <si>
    <t>monster/10076.png</t>
  </si>
  <si>
    <t>monster/10077.png</t>
  </si>
  <si>
    <t>monster/10078.png</t>
  </si>
  <si>
    <t>monster/10079.png</t>
  </si>
  <si>
    <t>monster/10080.png</t>
  </si>
  <si>
    <t>monster/10081.png</t>
  </si>
  <si>
    <t>monster/10082.png</t>
  </si>
  <si>
    <t>monster/10083.png</t>
  </si>
  <si>
    <t>monster/10084.png</t>
  </si>
  <si>
    <t>monster/10085.png</t>
  </si>
  <si>
    <t>monster/10086.png</t>
  </si>
  <si>
    <t>monster/10087.png</t>
  </si>
  <si>
    <t>monster/10088.png</t>
  </si>
  <si>
    <t>monster/10089.png</t>
  </si>
  <si>
    <t>monster/10090.png</t>
  </si>
  <si>
    <t>monster/10091.png</t>
  </si>
  <si>
    <t>monster/10092.png</t>
  </si>
  <si>
    <t>monster/10093.png</t>
  </si>
  <si>
    <t>monster/10094.png</t>
  </si>
  <si>
    <t>monster/10095.png</t>
  </si>
  <si>
    <t>monster/10096.png</t>
  </si>
  <si>
    <t>monster/10097.png</t>
  </si>
  <si>
    <t>monster/10098.png</t>
  </si>
  <si>
    <t>monster/10099.png</t>
  </si>
  <si>
    <t>monster/10100.png</t>
  </si>
  <si>
    <t>monster/10101.png</t>
  </si>
  <si>
    <t>monster/10102.png</t>
  </si>
  <si>
    <t>monster/10103.png</t>
  </si>
  <si>
    <t>monster/10104.png</t>
  </si>
  <si>
    <t>monster/10105.png</t>
  </si>
  <si>
    <t>monster/10106.png</t>
  </si>
  <si>
    <t>monster/10107.png</t>
  </si>
  <si>
    <t>monster/10108.png</t>
  </si>
  <si>
    <t>monster/10109.png</t>
  </si>
  <si>
    <t>monster/10110.png</t>
  </si>
  <si>
    <t>monster/10111.png</t>
  </si>
  <si>
    <t>No</t>
    <phoneticPr fontId="1" type="noConversion"/>
  </si>
  <si>
    <t>掉落经验</t>
    <phoneticPr fontId="1" type="noConversion"/>
  </si>
  <si>
    <t>掉落金币</t>
    <phoneticPr fontId="1" type="noConversion"/>
  </si>
  <si>
    <t>dropCoin</t>
    <phoneticPr fontId="1" type="noConversion"/>
  </si>
  <si>
    <t>dropExp</t>
    <phoneticPr fontId="1" type="noConversion"/>
  </si>
  <si>
    <t>UI/Program/HeroWarrior_Man_1.png</t>
    <phoneticPr fontId="1" type="noConversion"/>
  </si>
  <si>
    <t>UI/Program/HeroHunter_Man_1.png</t>
    <phoneticPr fontId="1" type="noConversion"/>
  </si>
  <si>
    <t>UI/Program/HeroMaster_Man_1.png</t>
    <phoneticPr fontId="1" type="noConversion"/>
  </si>
  <si>
    <t>UI/Program/HeroWarrior_Woman_1.png</t>
    <phoneticPr fontId="1" type="noConversion"/>
  </si>
  <si>
    <t>UI/Program/HeroMaster_Woman_1.png</t>
    <phoneticPr fontId="1" type="noConversion"/>
  </si>
  <si>
    <t>子车鸿德</t>
  </si>
  <si>
    <t>阴博涉</t>
  </si>
  <si>
    <t>庚明达</t>
  </si>
  <si>
    <t>令狐旭彬</t>
  </si>
  <si>
    <t>辉安国</t>
  </si>
  <si>
    <t>狄昂雄</t>
  </si>
  <si>
    <t>訾阳曦</t>
  </si>
  <si>
    <t>漆国兴</t>
  </si>
  <si>
    <t>剑旭尧</t>
  </si>
  <si>
    <t>枚元青</t>
  </si>
  <si>
    <t>星元恺</t>
  </si>
  <si>
    <t>秋承宣</t>
  </si>
  <si>
    <t>濯俊逸</t>
  </si>
  <si>
    <t>安奇逸</t>
  </si>
  <si>
    <t>尹君浩</t>
  </si>
  <si>
    <t>刁弘懿</t>
  </si>
  <si>
    <t>锺离骏伟</t>
  </si>
  <si>
    <t>袭浦和</t>
  </si>
  <si>
    <t>能高格</t>
  </si>
  <si>
    <t>阚信然</t>
  </si>
  <si>
    <t>太史开霁</t>
  </si>
  <si>
    <t>贲俊悟</t>
  </si>
  <si>
    <t>买文柏</t>
  </si>
  <si>
    <t>裘弘伟</t>
  </si>
  <si>
    <t>江晋鹏</t>
  </si>
  <si>
    <t>左丘建木</t>
  </si>
  <si>
    <t>司寇德华</t>
  </si>
  <si>
    <t>晁兴国</t>
  </si>
  <si>
    <t>柴永贞</t>
  </si>
  <si>
    <t>茂永昌</t>
  </si>
  <si>
    <t>郎英朗</t>
  </si>
  <si>
    <t>苦嘉石</t>
  </si>
  <si>
    <t>素志文</t>
  </si>
  <si>
    <t>奚运盛</t>
  </si>
  <si>
    <t>玄庆生</t>
  </si>
  <si>
    <t>愈德本</t>
  </si>
  <si>
    <t>春天翰</t>
  </si>
  <si>
    <t>巨长平</t>
  </si>
  <si>
    <t>颜欣悦</t>
  </si>
  <si>
    <t>荀文星</t>
  </si>
  <si>
    <t>巴鸿文</t>
  </si>
  <si>
    <t>洛安宜</t>
  </si>
  <si>
    <t>翟腾逸</t>
  </si>
  <si>
    <t>谷梁彦昌</t>
  </si>
  <si>
    <t>吉德容</t>
  </si>
  <si>
    <t>沙玉泽</t>
  </si>
  <si>
    <t>希睿德</t>
  </si>
  <si>
    <t>泰文曜</t>
  </si>
  <si>
    <t>闭雅昶</t>
  </si>
  <si>
    <t>喜睿思</t>
  </si>
  <si>
    <t>鲁嘉泽</t>
  </si>
  <si>
    <t>凤元正</t>
  </si>
  <si>
    <t>骆康复</t>
  </si>
  <si>
    <t>势德厚</t>
  </si>
  <si>
    <t>闵宏达</t>
  </si>
  <si>
    <t>邬宏博</t>
  </si>
  <si>
    <t>郸飞鸿</t>
  </si>
  <si>
    <t>后英卫</t>
  </si>
  <si>
    <t>栋永宁</t>
  </si>
  <si>
    <t>妫睿好</t>
  </si>
  <si>
    <t>衷星洲</t>
  </si>
  <si>
    <t>圣立群</t>
  </si>
  <si>
    <t>歧金鑫</t>
  </si>
  <si>
    <t>旗天赋</t>
  </si>
  <si>
    <t>少星泽</t>
  </si>
  <si>
    <t>豆良朋</t>
  </si>
  <si>
    <t>蚁华容</t>
  </si>
  <si>
    <t>淡博学</t>
  </si>
  <si>
    <t>建长运</t>
  </si>
  <si>
    <t>巧弘益</t>
  </si>
  <si>
    <t>盈振翱</t>
  </si>
  <si>
    <t>刁修雅</t>
  </si>
  <si>
    <t>沙鸿达</t>
  </si>
  <si>
    <t>谯睿好</t>
  </si>
  <si>
    <t>璩鸿才</t>
  </si>
  <si>
    <t>张良吉</t>
  </si>
  <si>
    <t>肥浩宕</t>
  </si>
  <si>
    <t>丛博学</t>
  </si>
  <si>
    <t>郦永昌</t>
  </si>
  <si>
    <t>田嘉悦</t>
  </si>
  <si>
    <t>封元忠</t>
  </si>
  <si>
    <t>图门运骏</t>
  </si>
  <si>
    <t>UI/Program/HeroHunter_Man_1.png</t>
    <phoneticPr fontId="1" type="noConversion"/>
  </si>
  <si>
    <t>狂暴回合</t>
    <phoneticPr fontId="1" type="noConversion"/>
  </si>
  <si>
    <t>狂暴加成</t>
    <phoneticPr fontId="1" type="noConversion"/>
  </si>
  <si>
    <t>rageRound</t>
    <phoneticPr fontId="1" type="noConversion"/>
  </si>
  <si>
    <t>rageAddition</t>
    <phoneticPr fontId="1" type="noConversion"/>
  </si>
  <si>
    <t>试炼假人</t>
  </si>
  <si>
    <t>草原狼</t>
  </si>
  <si>
    <t>沼泽水猴</t>
  </si>
  <si>
    <t>古堡侍女</t>
  </si>
  <si>
    <t>古堡护卫</t>
  </si>
  <si>
    <t>古堡管家</t>
  </si>
  <si>
    <t>森林巨蛾</t>
  </si>
  <si>
    <t>日光法师</t>
  </si>
  <si>
    <t>日光盗贼</t>
  </si>
  <si>
    <t>日光监工</t>
  </si>
  <si>
    <t>变异鱼人</t>
  </si>
  <si>
    <t>软浆怪</t>
  </si>
  <si>
    <t>暮光湖船夫</t>
  </si>
  <si>
    <t>狼之鬼灵</t>
  </si>
  <si>
    <t>怨骨掠夺者</t>
  </si>
  <si>
    <t>狂躁恶鬼</t>
  </si>
  <si>
    <t>鬼怪仆从</t>
  </si>
  <si>
    <t>南风猎犬</t>
  </si>
  <si>
    <t>南风守卫</t>
  </si>
  <si>
    <t>南风监工</t>
  </si>
  <si>
    <t>古堡总管</t>
  </si>
  <si>
    <t>残忍的暴徒</t>
  </si>
  <si>
    <t>狡猾的盗贼</t>
  </si>
  <si>
    <t>圣光祈愿者</t>
  </si>
  <si>
    <t>圣光护教</t>
  </si>
  <si>
    <t>巨型白鼠</t>
  </si>
  <si>
    <t>地窖蝙蝠</t>
  </si>
  <si>
    <t>地窖酒鬼</t>
  </si>
  <si>
    <t>酿酒师</t>
  </si>
  <si>
    <t>钢铁建筑工</t>
  </si>
  <si>
    <t>钢铁守卫</t>
  </si>
  <si>
    <t>钢铁机械师</t>
  </si>
  <si>
    <t>钢铁监工</t>
  </si>
  <si>
    <t>红龙幼崽</t>
  </si>
  <si>
    <t>红龙守卫</t>
  </si>
  <si>
    <t>红龙战士</t>
  </si>
  <si>
    <t>红龙破法者</t>
  </si>
  <si>
    <t>蓝龙守卫</t>
  </si>
  <si>
    <t>蓝龙破法者</t>
  </si>
  <si>
    <t>白龙占卜师</t>
  </si>
  <si>
    <t>白龙祭祀</t>
  </si>
  <si>
    <t>熔炉搬运工</t>
  </si>
  <si>
    <t>熔炉锻造者</t>
  </si>
  <si>
    <t>熔炉守卫</t>
  </si>
  <si>
    <t>熔炉监工</t>
  </si>
  <si>
    <t>夜行僵尸</t>
  </si>
  <si>
    <t>绝望幽灵</t>
  </si>
  <si>
    <t>绝望药剂师</t>
  </si>
  <si>
    <t>绝望研究员</t>
  </si>
  <si>
    <t>溶洞长虫</t>
  </si>
  <si>
    <t>溶洞泥浆怪</t>
  </si>
  <si>
    <t>艾达泥偶</t>
  </si>
  <si>
    <t>石岩卫士</t>
  </si>
  <si>
    <t>城墙巡视者</t>
  </si>
  <si>
    <t>城墙守卫</t>
  </si>
  <si>
    <t>城墙更夫</t>
  </si>
  <si>
    <t>城墙报信者</t>
  </si>
  <si>
    <t>城墙弓箭手</t>
  </si>
  <si>
    <t>城墙火炬手</t>
  </si>
  <si>
    <t>凛风守卫</t>
  </si>
  <si>
    <t>凛风侍女</t>
  </si>
  <si>
    <t>凛风近卫</t>
  </si>
  <si>
    <t>凛风军长</t>
  </si>
  <si>
    <t>骷髅护卫</t>
  </si>
  <si>
    <t>鲜肉食尸鬼</t>
  </si>
  <si>
    <t>嚎叫女妖</t>
  </si>
  <si>
    <t>邪恶召唤者</t>
  </si>
  <si>
    <t>变异巨鳄</t>
  </si>
  <si>
    <t>密林猛虎</t>
  </si>
  <si>
    <t>密林研究员</t>
  </si>
  <si>
    <t>密林药剂师</t>
  </si>
  <si>
    <t>圣坛祈愿者</t>
  </si>
  <si>
    <t>圣坛信徒</t>
  </si>
  <si>
    <t>圣坛守卫</t>
  </si>
  <si>
    <t>圣坛祭祀</t>
  </si>
  <si>
    <t>怒牙斥候</t>
  </si>
  <si>
    <t>怒牙军犬</t>
  </si>
  <si>
    <t>怒牙撕裂者</t>
  </si>
  <si>
    <t>怒牙毁灭者</t>
  </si>
  <si>
    <t>尘沙堡新兵</t>
  </si>
  <si>
    <t>尘沙堡小鬼</t>
  </si>
  <si>
    <t>尘沙堡术士</t>
  </si>
  <si>
    <t>尘沙堡守卫</t>
  </si>
  <si>
    <t>潮汐勇士</t>
  </si>
  <si>
    <t>潮汐复生者</t>
  </si>
  <si>
    <t>潮汐预言者</t>
  </si>
  <si>
    <t>潮汐祭祀</t>
  </si>
  <si>
    <t>魔法守卫</t>
  </si>
  <si>
    <t>钢铁护卫</t>
  </si>
  <si>
    <t>魔法漫步者</t>
  </si>
  <si>
    <t>星城占星师</t>
  </si>
  <si>
    <t>墓穴守卫</t>
  </si>
  <si>
    <t>盗墓者</t>
  </si>
  <si>
    <t>虚灵哨兵</t>
  </si>
  <si>
    <t>虚灵巫师</t>
  </si>
  <si>
    <t>十字献祭者</t>
  </si>
  <si>
    <t>献祭者之灵</t>
  </si>
  <si>
    <t>十字祭祀</t>
  </si>
  <si>
    <t>十字侩子手</t>
  </si>
  <si>
    <t>时光看守</t>
  </si>
  <si>
    <t>时光哨兵</t>
  </si>
  <si>
    <t>永恒刺客</t>
  </si>
  <si>
    <t>永恒探索者</t>
  </si>
  <si>
    <t>折月看守</t>
  </si>
  <si>
    <t>折月侍女</t>
  </si>
  <si>
    <t>折月预言者</t>
  </si>
  <si>
    <t>折月管家</t>
  </si>
  <si>
    <t>虚空旅者</t>
  </si>
  <si>
    <t>密教信徒</t>
  </si>
  <si>
    <t>密教誓死者</t>
  </si>
  <si>
    <t>密教祭司</t>
  </si>
  <si>
    <t>拾金人</t>
  </si>
  <si>
    <t>铸币师</t>
  </si>
  <si>
    <t>流金守卫</t>
  </si>
  <si>
    <t>流金近卫</t>
  </si>
  <si>
    <t>变异灵猴</t>
  </si>
  <si>
    <t>森林巨蜥</t>
  </si>
  <si>
    <t>塔姆捕食者</t>
  </si>
  <si>
    <t>塔姆斩杀者</t>
  </si>
  <si>
    <t>王陵清理者</t>
  </si>
  <si>
    <t>王陵守卫</t>
  </si>
  <si>
    <t>复生的守卫</t>
  </si>
  <si>
    <t>复生的贵族</t>
  </si>
  <si>
    <t>巨型鳄鱼</t>
  </si>
  <si>
    <t>丛林巨人</t>
  </si>
  <si>
    <t>丛林伐木者</t>
  </si>
  <si>
    <t>风投公司监工</t>
  </si>
  <si>
    <t>红魔狱卒</t>
  </si>
  <si>
    <t>红魔囚徒</t>
  </si>
  <si>
    <t>红魔守卫</t>
  </si>
  <si>
    <t>红魔破法者</t>
  </si>
  <si>
    <t>金砂堡哨兵</t>
  </si>
  <si>
    <t>金砂堡刺客</t>
  </si>
  <si>
    <t>金砂堡守卫</t>
  </si>
  <si>
    <t>金砂堡总管</t>
  </si>
  <si>
    <t>法力浮龙</t>
  </si>
  <si>
    <t>达雅守护者</t>
  </si>
  <si>
    <t>达雅骑士</t>
  </si>
  <si>
    <t>达雅魔导师</t>
  </si>
  <si>
    <t>红谷恶灵</t>
  </si>
  <si>
    <t>红谷鲜血傀儡</t>
  </si>
  <si>
    <t>红谷侩子手</t>
  </si>
  <si>
    <t>红谷斩杀者</t>
  </si>
  <si>
    <t>骷髅守卫</t>
  </si>
  <si>
    <t>骷髅盾兵</t>
  </si>
  <si>
    <t>地穴勇士</t>
  </si>
  <si>
    <t>地穴通灵师</t>
  </si>
  <si>
    <t>流云守卫</t>
  </si>
  <si>
    <t>流云哨兵</t>
  </si>
  <si>
    <t>流云看守者</t>
  </si>
  <si>
    <t>流云通灵师</t>
  </si>
  <si>
    <t>饮光朝圣者</t>
  </si>
  <si>
    <t>饮光祭祀</t>
  </si>
  <si>
    <t>悬崖巨猿</t>
  </si>
  <si>
    <t>峭壁爬行者</t>
  </si>
  <si>
    <t>灾祸守卫</t>
  </si>
  <si>
    <t>灾祸斥候</t>
  </si>
  <si>
    <t>灾祸法师</t>
  </si>
  <si>
    <t>灵魂献祭者</t>
  </si>
  <si>
    <t>遗迹巨蟒</t>
  </si>
  <si>
    <t>遗迹犀牛</t>
  </si>
  <si>
    <t>努玛入侵者</t>
  </si>
  <si>
    <t>努玛先锋</t>
  </si>
  <si>
    <t>游荡的幽灵</t>
  </si>
  <si>
    <t>暴怒的幽灵</t>
  </si>
  <si>
    <t>迷茫的幽灵</t>
  </si>
  <si>
    <t>幽灵守卫</t>
  </si>
  <si>
    <t>霜寒探索者</t>
  </si>
  <si>
    <t>霜寒矿工</t>
  </si>
  <si>
    <t>霜寒守卫</t>
  </si>
  <si>
    <t>符文巨人</t>
  </si>
  <si>
    <t>铁卫苦工</t>
  </si>
  <si>
    <t>铁卫雕刻者</t>
  </si>
  <si>
    <t>铁卫监工</t>
  </si>
  <si>
    <t>铁卫工程师</t>
  </si>
  <si>
    <t>喋血魔像</t>
  </si>
  <si>
    <t>喋血斥候</t>
  </si>
  <si>
    <t>喋血亡魂</t>
  </si>
  <si>
    <t>喋血巨人</t>
  </si>
  <si>
    <t>苦塔信徒</t>
  </si>
  <si>
    <t>苦塔潜修者</t>
  </si>
  <si>
    <t>苦塔僧侣</t>
  </si>
  <si>
    <t>苦塔守望者</t>
  </si>
  <si>
    <t>雪域苍狼</t>
  </si>
  <si>
    <t>雪域猛犸</t>
  </si>
  <si>
    <t>雪庭守卫</t>
  </si>
  <si>
    <t>雪庭巡视者</t>
  </si>
  <si>
    <t>食尸鬼</t>
  </si>
  <si>
    <t>复活的僵尸</t>
  </si>
  <si>
    <t>幽魂兽</t>
  </si>
  <si>
    <t>游荡的亡魂</t>
  </si>
  <si>
    <t>地狱守卫</t>
  </si>
  <si>
    <t>地狱三头犬</t>
  </si>
  <si>
    <t>石脊石像鬼</t>
  </si>
  <si>
    <t>熔岩巨兽</t>
  </si>
  <si>
    <t>安塔恶魔守卫</t>
  </si>
  <si>
    <t>安塔巨兽</t>
  </si>
  <si>
    <t>安塔恶魔督军</t>
  </si>
  <si>
    <t>安踏恶魔统领</t>
  </si>
  <si>
    <t>鬼灵步卒</t>
  </si>
  <si>
    <t>灵魂倒影</t>
  </si>
  <si>
    <t>魅影法师</t>
  </si>
  <si>
    <t>灵魂兽</t>
  </si>
  <si>
    <t>教官尼德</t>
  </si>
  <si>
    <t>艾伯特</t>
  </si>
  <si>
    <t>朝圣者马修</t>
  </si>
  <si>
    <t>遗迹恶灵</t>
  </si>
  <si>
    <t>深渊领主</t>
  </si>
  <si>
    <t>南风城主本森</t>
  </si>
  <si>
    <t>圣光祭祀亚伯</t>
  </si>
  <si>
    <t>嗜酒的威廉</t>
  </si>
  <si>
    <t>钢铁意志</t>
  </si>
  <si>
    <t>卡尔玛尔</t>
  </si>
  <si>
    <t>阿格特</t>
  </si>
  <si>
    <t>锻造师卡姆</t>
  </si>
  <si>
    <t>绝望的托恩</t>
  </si>
  <si>
    <t>卡森那什</t>
  </si>
  <si>
    <t>看门人埃里克</t>
  </si>
  <si>
    <t>马佐夫将军</t>
  </si>
  <si>
    <t>城主玛尔斯</t>
  </si>
  <si>
    <t>鲜血歌者德克</t>
  </si>
  <si>
    <t>疯狂的比尔</t>
  </si>
  <si>
    <t>圣徒弗雷德</t>
  </si>
  <si>
    <t>瑞克将军</t>
  </si>
  <si>
    <t>金砂尼索克</t>
  </si>
  <si>
    <t>潮汐领主霍格</t>
  </si>
  <si>
    <t>梦游人艾德文</t>
  </si>
  <si>
    <t>猛犸之灵</t>
  </si>
  <si>
    <t>灵魂祭祀鲍勃</t>
  </si>
  <si>
    <t>穿梭者萨贝鲁</t>
  </si>
  <si>
    <t>南森格林</t>
  </si>
  <si>
    <t>大法师萨琳娜</t>
  </si>
  <si>
    <t>杰森塔姆</t>
  </si>
  <si>
    <t>守陵人伊利肯</t>
  </si>
  <si>
    <t>伐木总管吉姆</t>
  </si>
  <si>
    <t>典狱长里奇</t>
  </si>
  <si>
    <t>帕奇维克</t>
  </si>
  <si>
    <t>达雅的分身</t>
  </si>
  <si>
    <t>恶魔微笑拉兹</t>
  </si>
  <si>
    <t>骷髅领主艾伦</t>
  </si>
  <si>
    <t>阿那卡利斯</t>
  </si>
  <si>
    <t>饮光之峰玛卡</t>
  </si>
  <si>
    <t>特伦斯黑风</t>
  </si>
  <si>
    <t>努玛守护拉德</t>
  </si>
  <si>
    <t>引魂师克里斯</t>
  </si>
  <si>
    <t>霜寒矿主鲍勃</t>
  </si>
  <si>
    <t>铸造者科莫兹</t>
  </si>
  <si>
    <t>嗜血的约书亚</t>
  </si>
  <si>
    <t>苦修者艾亚</t>
  </si>
  <si>
    <t>庭守克比斯多</t>
  </si>
  <si>
    <t>隐藏者麦肯</t>
  </si>
  <si>
    <t>往生者奥斯卡</t>
  </si>
  <si>
    <t>恶魔将军安塔</t>
  </si>
  <si>
    <t>里奥伯特</t>
  </si>
  <si>
    <t>monster/10112.png</t>
  </si>
  <si>
    <t>monster/10113.png</t>
  </si>
  <si>
    <t>monster/10114.png</t>
  </si>
  <si>
    <t>monster/10115.png</t>
  </si>
  <si>
    <t>monster/10116.png</t>
  </si>
  <si>
    <t>monster/10117.png</t>
  </si>
  <si>
    <t>monster/10118.png</t>
  </si>
  <si>
    <t>monster/10119.png</t>
  </si>
  <si>
    <t>monster/10120.png</t>
  </si>
  <si>
    <t>monster/10121.png</t>
  </si>
  <si>
    <t>monster/10122.png</t>
  </si>
  <si>
    <t>monster/10123.png</t>
  </si>
  <si>
    <t>monster/10124.png</t>
  </si>
  <si>
    <t>monster/10125.png</t>
  </si>
  <si>
    <t>monster/10126.png</t>
  </si>
  <si>
    <t>monster/10127.png</t>
  </si>
  <si>
    <t>monster/10128.png</t>
  </si>
  <si>
    <t>monster/10129.png</t>
  </si>
  <si>
    <t>monster/10001.png</t>
  </si>
  <si>
    <t>monster/10131.png</t>
  </si>
  <si>
    <t>monster/10132.png</t>
  </si>
  <si>
    <t>monster/10133.png</t>
  </si>
  <si>
    <t>monster/10134.png</t>
  </si>
  <si>
    <t>monster/10135.png</t>
  </si>
  <si>
    <t>monster/10136.png</t>
  </si>
  <si>
    <t>monster/10137.png</t>
  </si>
  <si>
    <t>monster/10138.png</t>
  </si>
  <si>
    <t>monster/10139.png</t>
  </si>
  <si>
    <t>monster/10140.png</t>
  </si>
  <si>
    <t>monster/10141.png</t>
  </si>
  <si>
    <t>monster/10054.png</t>
    <phoneticPr fontId="1" type="noConversion"/>
  </si>
  <si>
    <t>monster/10057.png</t>
    <phoneticPr fontId="1" type="noConversion"/>
  </si>
  <si>
    <t>遗迹看守</t>
    <phoneticPr fontId="1" type="noConversion"/>
  </si>
  <si>
    <t>监工金索克</t>
    <phoneticPr fontId="1" type="noConversion"/>
  </si>
  <si>
    <t>等级</t>
    <phoneticPr fontId="1" type="noConversion"/>
  </si>
  <si>
    <t>血量</t>
    <phoneticPr fontId="1" type="noConversion"/>
  </si>
  <si>
    <t>削减后血量</t>
    <phoneticPr fontId="1" type="noConversion"/>
  </si>
  <si>
    <t>战士幻象</t>
  </si>
  <si>
    <t>法力风暴</t>
  </si>
  <si>
    <t>角斗士里奥</t>
  </si>
  <si>
    <t>荒野游侠</t>
  </si>
  <si>
    <t>憾地者</t>
  </si>
  <si>
    <t>拉兹</t>
  </si>
  <si>
    <t>塔克</t>
  </si>
  <si>
    <t>狂野安东尼</t>
  </si>
  <si>
    <t>巡林者瑞克</t>
  </si>
  <si>
    <t>坚定的格雷格</t>
  </si>
  <si>
    <t>莱恩的倒影</t>
  </si>
  <si>
    <t>混乱的玛尔达</t>
  </si>
  <si>
    <t>驯兽师瓦纳</t>
  </si>
  <si>
    <t>炎之安苏</t>
  </si>
  <si>
    <t>迅捷的维恩</t>
  </si>
  <si>
    <t>暮光预言者</t>
  </si>
  <si>
    <t>卡雷</t>
  </si>
  <si>
    <t>疾风克鲁</t>
  </si>
  <si>
    <t>拨弄的赛亚</t>
  </si>
  <si>
    <t>火舞者</t>
  </si>
  <si>
    <t>舞钢者拜伦</t>
  </si>
  <si>
    <t>风暴之王</t>
  </si>
  <si>
    <t>雷伊战争使者</t>
  </si>
  <si>
    <t>暴君泰伦</t>
  </si>
  <si>
    <t>猎人幻象</t>
  </si>
  <si>
    <t>菲德丝的倒影</t>
  </si>
  <si>
    <t>惊人的盖亚</t>
  </si>
  <si>
    <t>咒术大师</t>
  </si>
  <si>
    <t>法师幻象</t>
  </si>
  <si>
    <t>赛琳娜的倒影</t>
  </si>
  <si>
    <t>幻术师艾莉</t>
  </si>
  <si>
    <t>影子武士</t>
  </si>
  <si>
    <t>迪皮斯</t>
    <phoneticPr fontId="1" type="noConversion"/>
  </si>
  <si>
    <t>拉兹</t>
    <phoneticPr fontId="1" type="noConversion"/>
  </si>
  <si>
    <t>多兰</t>
    <phoneticPr fontId="1" type="noConversion"/>
  </si>
  <si>
    <t>约翰</t>
    <phoneticPr fontId="1" type="noConversion"/>
  </si>
  <si>
    <t>血誓审判者</t>
  </si>
  <si>
    <t>血誓审判者</t>
    <phoneticPr fontId="1" type="noConversion"/>
  </si>
  <si>
    <t>血誓预言者</t>
    <phoneticPr fontId="1" type="noConversion"/>
  </si>
  <si>
    <t>血誓召唤者</t>
    <phoneticPr fontId="1" type="noConversion"/>
  </si>
  <si>
    <t>血誓领主</t>
    <phoneticPr fontId="1" type="noConversion"/>
  </si>
  <si>
    <t>UI/Program/HeroWarrior_Man_1.png</t>
    <phoneticPr fontId="1" type="noConversion"/>
  </si>
  <si>
    <t>monster/10061.png</t>
    <phoneticPr fontId="1" type="noConversion"/>
  </si>
  <si>
    <t>monster/10067.png</t>
    <phoneticPr fontId="1" type="noConversion"/>
  </si>
  <si>
    <t>monster/10096.png</t>
    <phoneticPr fontId="1" type="noConversion"/>
  </si>
  <si>
    <t>monster/10123.png</t>
    <phoneticPr fontId="1" type="noConversion"/>
  </si>
  <si>
    <t>monster/10106.png</t>
    <phoneticPr fontId="1" type="noConversion"/>
  </si>
  <si>
    <t>monster/10085.png</t>
    <phoneticPr fontId="1" type="noConversion"/>
  </si>
  <si>
    <t>monster/10086.png</t>
    <phoneticPr fontId="1" type="noConversion"/>
  </si>
  <si>
    <t>monster/10094.png</t>
    <phoneticPr fontId="1" type="noConversion"/>
  </si>
  <si>
    <t>monster/10119.png</t>
    <phoneticPr fontId="1" type="noConversion"/>
  </si>
  <si>
    <t>UI/Program/HeroHunter_Woman_1.png</t>
  </si>
  <si>
    <t>UI/Program/MercenaryWarrior_1.png</t>
    <phoneticPr fontId="1" type="noConversion"/>
  </si>
  <si>
    <t>monster/10056.png</t>
    <phoneticPr fontId="1" type="noConversion"/>
  </si>
  <si>
    <t>monster/10010.png</t>
    <phoneticPr fontId="1" type="noConversion"/>
  </si>
  <si>
    <t>monster/10134.png</t>
    <phoneticPr fontId="1" type="noConversion"/>
  </si>
  <si>
    <t>monster/10125.png</t>
    <phoneticPr fontId="1" type="noConversion"/>
  </si>
  <si>
    <t>monster/10061.png</t>
    <phoneticPr fontId="1" type="noConversion"/>
  </si>
  <si>
    <t>monster/10116.png</t>
    <phoneticPr fontId="1" type="noConversion"/>
  </si>
  <si>
    <t>monster/10081.png</t>
    <phoneticPr fontId="1" type="noConversion"/>
  </si>
  <si>
    <t>monster/10082.png</t>
    <phoneticPr fontId="1" type="noConversion"/>
  </si>
  <si>
    <t>monster/10083.png</t>
    <phoneticPr fontId="1" type="noConversion"/>
  </si>
  <si>
    <t>monster/10072.png</t>
    <phoneticPr fontId="1" type="noConversion"/>
  </si>
  <si>
    <t>monster/10084.png</t>
    <phoneticPr fontId="1" type="noConversion"/>
  </si>
  <si>
    <t>monster/10138.png</t>
    <phoneticPr fontId="1" type="noConversion"/>
  </si>
  <si>
    <t>monster/10127.png</t>
    <phoneticPr fontId="1" type="noConversion"/>
  </si>
  <si>
    <t>monster/10140.png</t>
    <phoneticPr fontId="1" type="noConversion"/>
  </si>
  <si>
    <t>UI/Program/HeroHunter_Woman_1.png</t>
    <phoneticPr fontId="1" type="noConversion"/>
  </si>
  <si>
    <t>UI/Program/MercenaryHunter_1.png</t>
    <phoneticPr fontId="1" type="noConversion"/>
  </si>
  <si>
    <t>UI/Program/MercenaryMaster_1.png</t>
    <phoneticPr fontId="1" type="noConversion"/>
  </si>
  <si>
    <t>monster/10130.png</t>
    <phoneticPr fontId="1" type="noConversion"/>
  </si>
  <si>
    <t>monster/10105.png</t>
    <phoneticPr fontId="1" type="noConversion"/>
  </si>
  <si>
    <t>monster/10136.png</t>
    <phoneticPr fontId="1" type="noConversion"/>
  </si>
  <si>
    <t>monster/10111.png</t>
    <phoneticPr fontId="1" type="noConversion"/>
  </si>
  <si>
    <t>monster/10114.png</t>
    <phoneticPr fontId="1" type="noConversion"/>
  </si>
  <si>
    <t>日光弗雷尔</t>
  </si>
  <si>
    <t>monster/10073.png</t>
    <phoneticPr fontId="1" type="noConversion"/>
  </si>
  <si>
    <t>monster/10080.png</t>
    <phoneticPr fontId="1" type="noConversion"/>
  </si>
  <si>
    <t>25,30</t>
  </si>
  <si>
    <t>17,14</t>
  </si>
  <si>
    <t>1,2</t>
  </si>
  <si>
    <t>6,19,23</t>
  </si>
  <si>
    <t>17,18,8</t>
  </si>
  <si>
    <t>10,9</t>
  </si>
  <si>
    <t>15,11</t>
  </si>
  <si>
    <t>10,15,17,14</t>
  </si>
  <si>
    <t>22,27</t>
  </si>
  <si>
    <t>26,24</t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</si>
</sst>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25968;&#20540;&#35745;&#31639;/&#25346;&#26426;WOW&#25968;&#20540;&#24635;&#3492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25968;&#20540;&#35745;&#31639;/&#25512;&#31639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25968;&#20540;&#35745;&#31639;/&#31934;&#33521;&#21103;&#26412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3">
          <cell r="A3">
            <v>1</v>
          </cell>
          <cell r="G3">
            <v>10</v>
          </cell>
        </row>
        <row r="4">
          <cell r="A4">
            <v>2</v>
          </cell>
          <cell r="G4">
            <v>12</v>
          </cell>
        </row>
        <row r="5">
          <cell r="A5">
            <v>3</v>
          </cell>
          <cell r="G5">
            <v>14</v>
          </cell>
        </row>
        <row r="6">
          <cell r="A6">
            <v>4</v>
          </cell>
          <cell r="G6">
            <v>16</v>
          </cell>
        </row>
        <row r="7">
          <cell r="A7">
            <v>5</v>
          </cell>
          <cell r="G7">
            <v>18</v>
          </cell>
        </row>
        <row r="8">
          <cell r="A8">
            <v>6</v>
          </cell>
          <cell r="G8">
            <v>20</v>
          </cell>
        </row>
        <row r="9">
          <cell r="A9">
            <v>7</v>
          </cell>
          <cell r="G9">
            <v>22</v>
          </cell>
        </row>
        <row r="10">
          <cell r="A10">
            <v>8</v>
          </cell>
          <cell r="G10">
            <v>24</v>
          </cell>
        </row>
        <row r="11">
          <cell r="A11">
            <v>9</v>
          </cell>
          <cell r="G11">
            <v>28</v>
          </cell>
        </row>
        <row r="12">
          <cell r="A12">
            <v>10</v>
          </cell>
          <cell r="G12">
            <v>32</v>
          </cell>
        </row>
        <row r="13">
          <cell r="A13">
            <v>11</v>
          </cell>
          <cell r="G13">
            <v>36</v>
          </cell>
        </row>
        <row r="14">
          <cell r="A14">
            <v>12</v>
          </cell>
          <cell r="G14">
            <v>40</v>
          </cell>
        </row>
        <row r="15">
          <cell r="A15">
            <v>13</v>
          </cell>
          <cell r="G15">
            <v>44</v>
          </cell>
        </row>
        <row r="16">
          <cell r="A16">
            <v>14</v>
          </cell>
          <cell r="G16">
            <v>48</v>
          </cell>
        </row>
        <row r="17">
          <cell r="A17">
            <v>15</v>
          </cell>
          <cell r="G17">
            <v>52</v>
          </cell>
        </row>
        <row r="18">
          <cell r="A18">
            <v>16</v>
          </cell>
          <cell r="G18">
            <v>56</v>
          </cell>
        </row>
        <row r="19">
          <cell r="A19">
            <v>17</v>
          </cell>
          <cell r="G19">
            <v>60</v>
          </cell>
        </row>
        <row r="20">
          <cell r="A20">
            <v>18</v>
          </cell>
          <cell r="G20">
            <v>64</v>
          </cell>
        </row>
        <row r="21">
          <cell r="A21">
            <v>19</v>
          </cell>
          <cell r="G21">
            <v>68</v>
          </cell>
        </row>
        <row r="22">
          <cell r="A22">
            <v>20</v>
          </cell>
          <cell r="G22">
            <v>72</v>
          </cell>
        </row>
        <row r="23">
          <cell r="A23">
            <v>21</v>
          </cell>
          <cell r="G23">
            <v>78</v>
          </cell>
        </row>
        <row r="24">
          <cell r="A24">
            <v>22</v>
          </cell>
          <cell r="G24">
            <v>84</v>
          </cell>
        </row>
        <row r="25">
          <cell r="A25">
            <v>23</v>
          </cell>
          <cell r="G25">
            <v>90</v>
          </cell>
        </row>
        <row r="26">
          <cell r="A26">
            <v>24</v>
          </cell>
          <cell r="G26">
            <v>96</v>
          </cell>
        </row>
        <row r="27">
          <cell r="A27">
            <v>25</v>
          </cell>
          <cell r="G27">
            <v>102</v>
          </cell>
        </row>
        <row r="28">
          <cell r="A28">
            <v>26</v>
          </cell>
          <cell r="G28">
            <v>108</v>
          </cell>
        </row>
        <row r="29">
          <cell r="A29">
            <v>27</v>
          </cell>
          <cell r="G29">
            <v>114</v>
          </cell>
        </row>
        <row r="30">
          <cell r="A30">
            <v>28</v>
          </cell>
          <cell r="G30">
            <v>120</v>
          </cell>
        </row>
        <row r="31">
          <cell r="A31">
            <v>29</v>
          </cell>
          <cell r="G31">
            <v>126</v>
          </cell>
        </row>
        <row r="32">
          <cell r="A32">
            <v>30</v>
          </cell>
          <cell r="G32">
            <v>132</v>
          </cell>
        </row>
        <row r="33">
          <cell r="A33">
            <v>31</v>
          </cell>
          <cell r="G33">
            <v>138</v>
          </cell>
        </row>
        <row r="34">
          <cell r="A34">
            <v>32</v>
          </cell>
          <cell r="G34">
            <v>144</v>
          </cell>
        </row>
        <row r="35">
          <cell r="A35">
            <v>33</v>
          </cell>
          <cell r="G35">
            <v>150</v>
          </cell>
        </row>
        <row r="36">
          <cell r="A36">
            <v>34</v>
          </cell>
          <cell r="G36">
            <v>156</v>
          </cell>
        </row>
        <row r="37">
          <cell r="A37">
            <v>35</v>
          </cell>
          <cell r="G37">
            <v>162</v>
          </cell>
        </row>
        <row r="38">
          <cell r="A38">
            <v>36</v>
          </cell>
          <cell r="G38">
            <v>168</v>
          </cell>
        </row>
        <row r="39">
          <cell r="A39">
            <v>37</v>
          </cell>
          <cell r="G39">
            <v>174</v>
          </cell>
        </row>
        <row r="40">
          <cell r="A40">
            <v>38</v>
          </cell>
          <cell r="G40">
            <v>180</v>
          </cell>
        </row>
        <row r="41">
          <cell r="A41">
            <v>39</v>
          </cell>
          <cell r="G41">
            <v>186</v>
          </cell>
        </row>
        <row r="42">
          <cell r="A42">
            <v>40</v>
          </cell>
          <cell r="G42">
            <v>192</v>
          </cell>
        </row>
        <row r="43">
          <cell r="A43">
            <v>41</v>
          </cell>
          <cell r="G43">
            <v>200</v>
          </cell>
        </row>
        <row r="44">
          <cell r="A44">
            <v>42</v>
          </cell>
          <cell r="G44">
            <v>208</v>
          </cell>
        </row>
        <row r="45">
          <cell r="A45">
            <v>43</v>
          </cell>
          <cell r="G45">
            <v>216</v>
          </cell>
        </row>
        <row r="46">
          <cell r="A46">
            <v>44</v>
          </cell>
          <cell r="G46">
            <v>224</v>
          </cell>
        </row>
        <row r="47">
          <cell r="A47">
            <v>45</v>
          </cell>
          <cell r="G47">
            <v>232</v>
          </cell>
        </row>
        <row r="48">
          <cell r="A48">
            <v>46</v>
          </cell>
          <cell r="G48">
            <v>240</v>
          </cell>
        </row>
        <row r="49">
          <cell r="A49">
            <v>47</v>
          </cell>
          <cell r="G49">
            <v>248</v>
          </cell>
        </row>
        <row r="50">
          <cell r="A50">
            <v>48</v>
          </cell>
          <cell r="G50">
            <v>256</v>
          </cell>
        </row>
        <row r="51">
          <cell r="A51">
            <v>49</v>
          </cell>
          <cell r="G51">
            <v>264</v>
          </cell>
        </row>
        <row r="52">
          <cell r="A52">
            <v>50</v>
          </cell>
          <cell r="G52">
            <v>272</v>
          </cell>
        </row>
        <row r="53">
          <cell r="A53">
            <v>51</v>
          </cell>
          <cell r="G53">
            <v>280</v>
          </cell>
        </row>
        <row r="54">
          <cell r="A54">
            <v>52</v>
          </cell>
          <cell r="G54">
            <v>288</v>
          </cell>
        </row>
        <row r="55">
          <cell r="A55">
            <v>53</v>
          </cell>
          <cell r="G55">
            <v>296</v>
          </cell>
        </row>
        <row r="56">
          <cell r="A56">
            <v>54</v>
          </cell>
          <cell r="G56">
            <v>304</v>
          </cell>
        </row>
        <row r="57">
          <cell r="A57">
            <v>55</v>
          </cell>
          <cell r="G57">
            <v>312</v>
          </cell>
        </row>
        <row r="58">
          <cell r="A58">
            <v>56</v>
          </cell>
          <cell r="G58">
            <v>320</v>
          </cell>
        </row>
        <row r="59">
          <cell r="A59">
            <v>57</v>
          </cell>
          <cell r="G59">
            <v>328</v>
          </cell>
        </row>
        <row r="60">
          <cell r="A60">
            <v>58</v>
          </cell>
          <cell r="G60">
            <v>336</v>
          </cell>
        </row>
        <row r="61">
          <cell r="A61">
            <v>59</v>
          </cell>
          <cell r="G61">
            <v>344</v>
          </cell>
        </row>
        <row r="62">
          <cell r="A62">
            <v>60</v>
          </cell>
          <cell r="G62">
            <v>352</v>
          </cell>
        </row>
        <row r="63">
          <cell r="A63">
            <v>61</v>
          </cell>
          <cell r="G63">
            <v>362</v>
          </cell>
        </row>
        <row r="64">
          <cell r="A64">
            <v>62</v>
          </cell>
          <cell r="G64">
            <v>372</v>
          </cell>
        </row>
        <row r="65">
          <cell r="A65">
            <v>63</v>
          </cell>
          <cell r="G65">
            <v>382</v>
          </cell>
        </row>
        <row r="66">
          <cell r="A66">
            <v>64</v>
          </cell>
          <cell r="G66">
            <v>392</v>
          </cell>
        </row>
        <row r="67">
          <cell r="A67">
            <v>65</v>
          </cell>
          <cell r="G67">
            <v>402</v>
          </cell>
        </row>
        <row r="68">
          <cell r="A68">
            <v>66</v>
          </cell>
          <cell r="G68">
            <v>412</v>
          </cell>
        </row>
        <row r="69">
          <cell r="A69">
            <v>67</v>
          </cell>
          <cell r="G69">
            <v>422</v>
          </cell>
        </row>
        <row r="70">
          <cell r="A70">
            <v>68</v>
          </cell>
          <cell r="G70">
            <v>432</v>
          </cell>
        </row>
        <row r="71">
          <cell r="A71">
            <v>69</v>
          </cell>
          <cell r="G71">
            <v>442</v>
          </cell>
        </row>
        <row r="72">
          <cell r="A72">
            <v>70</v>
          </cell>
          <cell r="G72">
            <v>452</v>
          </cell>
        </row>
        <row r="73">
          <cell r="A73">
            <v>71</v>
          </cell>
          <cell r="G73">
            <v>464</v>
          </cell>
        </row>
        <row r="74">
          <cell r="A74">
            <v>72</v>
          </cell>
          <cell r="G74">
            <v>476</v>
          </cell>
        </row>
        <row r="75">
          <cell r="A75">
            <v>73</v>
          </cell>
          <cell r="G75">
            <v>488</v>
          </cell>
        </row>
        <row r="76">
          <cell r="A76">
            <v>74</v>
          </cell>
          <cell r="G76">
            <v>500</v>
          </cell>
        </row>
        <row r="77">
          <cell r="A77">
            <v>75</v>
          </cell>
          <cell r="G77">
            <v>512</v>
          </cell>
        </row>
        <row r="78">
          <cell r="A78">
            <v>76</v>
          </cell>
          <cell r="G78">
            <v>524</v>
          </cell>
        </row>
        <row r="79">
          <cell r="A79">
            <v>77</v>
          </cell>
          <cell r="G79">
            <v>536</v>
          </cell>
        </row>
        <row r="80">
          <cell r="A80">
            <v>78</v>
          </cell>
          <cell r="G80">
            <v>548</v>
          </cell>
        </row>
        <row r="81">
          <cell r="A81">
            <v>79</v>
          </cell>
          <cell r="G81">
            <v>560</v>
          </cell>
        </row>
        <row r="82">
          <cell r="A82">
            <v>80</v>
          </cell>
          <cell r="G82">
            <v>600</v>
          </cell>
        </row>
        <row r="83">
          <cell r="A83">
            <v>81</v>
          </cell>
          <cell r="G83">
            <v>640</v>
          </cell>
        </row>
        <row r="84">
          <cell r="A84">
            <v>82</v>
          </cell>
          <cell r="G84">
            <v>680</v>
          </cell>
        </row>
        <row r="85">
          <cell r="A85">
            <v>83</v>
          </cell>
          <cell r="G85">
            <v>720</v>
          </cell>
        </row>
        <row r="86">
          <cell r="A86">
            <v>84</v>
          </cell>
          <cell r="G86">
            <v>760</v>
          </cell>
        </row>
        <row r="87">
          <cell r="A87">
            <v>85</v>
          </cell>
          <cell r="G87">
            <v>800</v>
          </cell>
        </row>
        <row r="88">
          <cell r="A88">
            <v>86</v>
          </cell>
          <cell r="G88">
            <v>840</v>
          </cell>
        </row>
        <row r="89">
          <cell r="A89">
            <v>87</v>
          </cell>
          <cell r="G89">
            <v>880</v>
          </cell>
        </row>
        <row r="90">
          <cell r="A90">
            <v>88</v>
          </cell>
          <cell r="G90">
            <v>920</v>
          </cell>
        </row>
        <row r="91">
          <cell r="A91">
            <v>89</v>
          </cell>
          <cell r="G91">
            <v>960</v>
          </cell>
        </row>
        <row r="92">
          <cell r="A92">
            <v>90</v>
          </cell>
          <cell r="G92">
            <v>1000</v>
          </cell>
        </row>
        <row r="93">
          <cell r="A93">
            <v>91</v>
          </cell>
          <cell r="G93">
            <v>1040</v>
          </cell>
        </row>
        <row r="94">
          <cell r="A94">
            <v>92</v>
          </cell>
          <cell r="G94">
            <v>1080</v>
          </cell>
        </row>
        <row r="95">
          <cell r="A95">
            <v>93</v>
          </cell>
          <cell r="G95">
            <v>1120</v>
          </cell>
        </row>
        <row r="96">
          <cell r="A96">
            <v>94</v>
          </cell>
          <cell r="G96">
            <v>1160</v>
          </cell>
        </row>
        <row r="97">
          <cell r="A97">
            <v>95</v>
          </cell>
          <cell r="G97">
            <v>1200</v>
          </cell>
        </row>
        <row r="98">
          <cell r="A98">
            <v>96</v>
          </cell>
          <cell r="G98">
            <v>1240</v>
          </cell>
        </row>
        <row r="99">
          <cell r="A99">
            <v>97</v>
          </cell>
          <cell r="G99">
            <v>1280</v>
          </cell>
        </row>
        <row r="100">
          <cell r="A100">
            <v>98</v>
          </cell>
          <cell r="G100">
            <v>1320</v>
          </cell>
        </row>
        <row r="101">
          <cell r="A101">
            <v>99</v>
          </cell>
          <cell r="G101">
            <v>1360</v>
          </cell>
        </row>
        <row r="102">
          <cell r="A102">
            <v>100</v>
          </cell>
          <cell r="G102">
            <v>1400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1">
          <cell r="AQ11">
            <v>7370.9999999999991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天天挂机经验"/>
      <sheetName val="数值拟合"/>
      <sheetName val="特效"/>
      <sheetName val="经验值"/>
      <sheetName val="等级属性"/>
      <sheetName val="强化规则"/>
      <sheetName val="战斗力成长"/>
      <sheetName val="装备属性设计"/>
      <sheetName val="地图强度"/>
      <sheetName val="佣兵培养"/>
      <sheetName val="魔兽估算"/>
      <sheetName val="神器强度"/>
      <sheetName val="神器经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9">
          <cell r="K9">
            <v>3236.94</v>
          </cell>
        </row>
      </sheetData>
      <sheetData sheetId="7" refreshError="1"/>
      <sheetData sheetId="8">
        <row r="81">
          <cell r="K81">
            <v>80</v>
          </cell>
          <cell r="L81">
            <v>209861</v>
          </cell>
          <cell r="M81">
            <v>0.65</v>
          </cell>
        </row>
        <row r="82">
          <cell r="K82">
            <v>81</v>
          </cell>
          <cell r="L82">
            <v>238072</v>
          </cell>
          <cell r="M82">
            <v>0.7</v>
          </cell>
        </row>
        <row r="83">
          <cell r="K83">
            <v>82</v>
          </cell>
          <cell r="L83">
            <v>268686</v>
          </cell>
          <cell r="M83">
            <v>0.75</v>
          </cell>
        </row>
        <row r="84">
          <cell r="K84">
            <v>83</v>
          </cell>
          <cell r="L84">
            <v>301877</v>
          </cell>
          <cell r="M84">
            <v>0.8</v>
          </cell>
        </row>
        <row r="85">
          <cell r="K85">
            <v>84</v>
          </cell>
          <cell r="L85">
            <v>337830</v>
          </cell>
          <cell r="M85">
            <v>0.85</v>
          </cell>
        </row>
        <row r="86">
          <cell r="K86">
            <v>85</v>
          </cell>
          <cell r="L86">
            <v>376742</v>
          </cell>
          <cell r="M86">
            <v>0.9</v>
          </cell>
        </row>
        <row r="87">
          <cell r="K87">
            <v>86</v>
          </cell>
          <cell r="L87">
            <v>418041</v>
          </cell>
          <cell r="M87">
            <v>0.95</v>
          </cell>
        </row>
        <row r="88">
          <cell r="K88">
            <v>87</v>
          </cell>
          <cell r="L88">
            <v>462565</v>
          </cell>
          <cell r="M88">
            <v>1</v>
          </cell>
        </row>
        <row r="89">
          <cell r="K89">
            <v>88</v>
          </cell>
          <cell r="L89">
            <v>510532</v>
          </cell>
          <cell r="M89">
            <v>1.05</v>
          </cell>
        </row>
        <row r="90">
          <cell r="K90">
            <v>89</v>
          </cell>
          <cell r="L90">
            <v>562174</v>
          </cell>
          <cell r="M90">
            <v>1.1000000000000001</v>
          </cell>
        </row>
        <row r="91">
          <cell r="K91">
            <v>90</v>
          </cell>
          <cell r="L91">
            <v>617739</v>
          </cell>
          <cell r="M91">
            <v>1.1499999999999999</v>
          </cell>
        </row>
        <row r="92">
          <cell r="K92">
            <v>91</v>
          </cell>
          <cell r="L92">
            <v>675515</v>
          </cell>
          <cell r="M92">
            <v>1.2</v>
          </cell>
        </row>
        <row r="93">
          <cell r="K93">
            <v>92</v>
          </cell>
          <cell r="L93">
            <v>737385</v>
          </cell>
          <cell r="M93">
            <v>1.25</v>
          </cell>
        </row>
        <row r="94">
          <cell r="K94">
            <v>93</v>
          </cell>
          <cell r="L94">
            <v>803605</v>
          </cell>
          <cell r="M94">
            <v>1.3</v>
          </cell>
        </row>
        <row r="95">
          <cell r="K95">
            <v>94</v>
          </cell>
          <cell r="L95">
            <v>874446</v>
          </cell>
          <cell r="M95">
            <v>1.35</v>
          </cell>
        </row>
        <row r="96">
          <cell r="K96">
            <v>95</v>
          </cell>
          <cell r="L96">
            <v>950194</v>
          </cell>
          <cell r="M96">
            <v>1.4</v>
          </cell>
        </row>
        <row r="97">
          <cell r="K97">
            <v>96</v>
          </cell>
          <cell r="L97">
            <v>1030973</v>
          </cell>
          <cell r="M97">
            <v>1.45</v>
          </cell>
        </row>
        <row r="98">
          <cell r="K98">
            <v>97</v>
          </cell>
          <cell r="L98">
            <v>1117250</v>
          </cell>
          <cell r="M98">
            <v>1.5</v>
          </cell>
        </row>
        <row r="99">
          <cell r="K99">
            <v>98</v>
          </cell>
          <cell r="L99">
            <v>1209362</v>
          </cell>
          <cell r="M99">
            <v>1.55</v>
          </cell>
        </row>
        <row r="100">
          <cell r="K100">
            <v>99</v>
          </cell>
          <cell r="L100">
            <v>1307662</v>
          </cell>
          <cell r="M100">
            <v>1.6</v>
          </cell>
        </row>
        <row r="101">
          <cell r="K101">
            <v>100</v>
          </cell>
          <cell r="L101">
            <v>1412526</v>
          </cell>
          <cell r="M101">
            <v>1.65</v>
          </cell>
        </row>
        <row r="102">
          <cell r="K102">
            <v>101</v>
          </cell>
          <cell r="L102">
            <v>1483152</v>
          </cell>
          <cell r="M102">
            <v>1.7</v>
          </cell>
        </row>
        <row r="103">
          <cell r="K103">
            <v>102</v>
          </cell>
          <cell r="L103">
            <v>1557310</v>
          </cell>
          <cell r="M103">
            <v>1.75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战士难度"/>
      <sheetName val="猎人难度"/>
      <sheetName val="法师难度"/>
      <sheetName val="怪物抗性与玩家穿透"/>
      <sheetName val="怪物模型"/>
      <sheetName val="怪物生成器"/>
    </sheetNames>
    <sheetDataSet>
      <sheetData sheetId="0"/>
      <sheetData sheetId="1">
        <row r="1">
          <cell r="C1">
            <v>32012</v>
          </cell>
        </row>
        <row r="2">
          <cell r="C2">
            <v>39572</v>
          </cell>
        </row>
        <row r="3">
          <cell r="C3">
            <v>52500</v>
          </cell>
        </row>
        <row r="4">
          <cell r="C4">
            <v>59371</v>
          </cell>
        </row>
        <row r="5">
          <cell r="C5">
            <v>67140</v>
          </cell>
        </row>
        <row r="6">
          <cell r="C6">
            <v>79104</v>
          </cell>
        </row>
        <row r="7">
          <cell r="C7">
            <v>88403</v>
          </cell>
        </row>
        <row r="8">
          <cell r="C8">
            <v>98795</v>
          </cell>
        </row>
        <row r="9">
          <cell r="C9">
            <v>114576</v>
          </cell>
        </row>
        <row r="10">
          <cell r="C10">
            <v>55889</v>
          </cell>
        </row>
        <row r="11">
          <cell r="C11">
            <v>67365</v>
          </cell>
        </row>
        <row r="12">
          <cell r="C12">
            <v>86413</v>
          </cell>
        </row>
        <row r="13">
          <cell r="C13">
            <v>96870</v>
          </cell>
        </row>
        <row r="14">
          <cell r="C14">
            <v>108592</v>
          </cell>
        </row>
        <row r="15">
          <cell r="C15">
            <v>126458</v>
          </cell>
        </row>
        <row r="16">
          <cell r="C16">
            <v>140552</v>
          </cell>
        </row>
        <row r="17">
          <cell r="C17">
            <v>156217</v>
          </cell>
        </row>
        <row r="18">
          <cell r="C18">
            <v>179852</v>
          </cell>
        </row>
        <row r="19">
          <cell r="C19">
            <v>92599</v>
          </cell>
        </row>
        <row r="20">
          <cell r="C20">
            <v>108904</v>
          </cell>
        </row>
        <row r="21">
          <cell r="C21">
            <v>135194</v>
          </cell>
        </row>
        <row r="22">
          <cell r="C22">
            <v>150115</v>
          </cell>
        </row>
        <row r="23">
          <cell r="C23">
            <v>166683</v>
          </cell>
        </row>
        <row r="24">
          <cell r="C24">
            <v>191652</v>
          </cell>
        </row>
        <row r="25">
          <cell r="C25">
            <v>211679</v>
          </cell>
        </row>
        <row r="26">
          <cell r="C26">
            <v>233800</v>
          </cell>
        </row>
        <row r="27">
          <cell r="C27">
            <v>266930</v>
          </cell>
        </row>
        <row r="28">
          <cell r="C28">
            <v>136233</v>
          </cell>
        </row>
        <row r="29">
          <cell r="C29">
            <v>158796</v>
          </cell>
        </row>
        <row r="30">
          <cell r="C30">
            <v>194795</v>
          </cell>
        </row>
        <row r="31">
          <cell r="C31">
            <v>215484</v>
          </cell>
        </row>
        <row r="32">
          <cell r="C32">
            <v>238371</v>
          </cell>
        </row>
        <row r="33">
          <cell r="C33">
            <v>272712</v>
          </cell>
        </row>
        <row r="34">
          <cell r="C34">
            <v>300440</v>
          </cell>
        </row>
        <row r="35">
          <cell r="C35">
            <v>330987</v>
          </cell>
        </row>
        <row r="36">
          <cell r="C36">
            <v>376602</v>
          </cell>
        </row>
        <row r="37">
          <cell r="C37">
            <v>205857</v>
          </cell>
        </row>
        <row r="38">
          <cell r="C38">
            <v>236146</v>
          </cell>
        </row>
        <row r="39">
          <cell r="C39">
            <v>283574</v>
          </cell>
        </row>
        <row r="40">
          <cell r="C40">
            <v>311468</v>
          </cell>
        </row>
        <row r="41">
          <cell r="C41">
            <v>342105</v>
          </cell>
        </row>
        <row r="42">
          <cell r="C42">
            <v>387694</v>
          </cell>
        </row>
        <row r="43">
          <cell r="C43">
            <v>424979</v>
          </cell>
        </row>
        <row r="44">
          <cell r="C44">
            <v>465849</v>
          </cell>
        </row>
        <row r="45">
          <cell r="C45">
            <v>526522</v>
          </cell>
        </row>
        <row r="46">
          <cell r="C46">
            <v>297057</v>
          </cell>
        </row>
        <row r="47">
          <cell r="C47">
            <v>336949</v>
          </cell>
        </row>
        <row r="48">
          <cell r="C48">
            <v>398593</v>
          </cell>
        </row>
        <row r="49">
          <cell r="C49">
            <v>435461</v>
          </cell>
        </row>
        <row r="50">
          <cell r="C50">
            <v>475739</v>
          </cell>
        </row>
        <row r="51">
          <cell r="C51">
            <v>535297</v>
          </cell>
        </row>
        <row r="52">
          <cell r="C52">
            <v>584488</v>
          </cell>
        </row>
        <row r="53">
          <cell r="C53">
            <v>638200</v>
          </cell>
        </row>
        <row r="54">
          <cell r="C54">
            <v>717570</v>
          </cell>
        </row>
        <row r="55">
          <cell r="C55">
            <v>441390</v>
          </cell>
        </row>
        <row r="56">
          <cell r="C56">
            <v>496479</v>
          </cell>
        </row>
        <row r="57">
          <cell r="C57">
            <v>580771</v>
          </cell>
        </row>
        <row r="58">
          <cell r="C58">
            <v>631834</v>
          </cell>
        </row>
        <row r="59">
          <cell r="C59">
            <v>687387</v>
          </cell>
        </row>
        <row r="60">
          <cell r="C60">
            <v>769128</v>
          </cell>
        </row>
        <row r="61">
          <cell r="C61">
            <v>837170</v>
          </cell>
        </row>
        <row r="62">
          <cell r="C62">
            <v>911232</v>
          </cell>
        </row>
        <row r="63">
          <cell r="C63">
            <v>1020271</v>
          </cell>
        </row>
        <row r="64">
          <cell r="C64">
            <v>644882</v>
          </cell>
        </row>
        <row r="65">
          <cell r="C65">
            <v>718649</v>
          </cell>
        </row>
        <row r="66">
          <cell r="C66">
            <v>830293</v>
          </cell>
        </row>
        <row r="67">
          <cell r="C67">
            <v>898913</v>
          </cell>
        </row>
        <row r="68">
          <cell r="C68">
            <v>973204</v>
          </cell>
        </row>
        <row r="69">
          <cell r="C69">
            <v>1081897</v>
          </cell>
        </row>
        <row r="70">
          <cell r="C70">
            <v>1173208</v>
          </cell>
        </row>
        <row r="71">
          <cell r="C71">
            <v>1272226</v>
          </cell>
        </row>
        <row r="72">
          <cell r="C72">
            <v>1417370</v>
          </cell>
        </row>
        <row r="73">
          <cell r="C73">
            <v>918191</v>
          </cell>
        </row>
        <row r="74">
          <cell r="C74">
            <v>1018864</v>
          </cell>
        </row>
        <row r="75">
          <cell r="C75">
            <v>1170469</v>
          </cell>
        </row>
        <row r="76">
          <cell r="C76">
            <v>1264283</v>
          </cell>
        </row>
        <row r="77">
          <cell r="C77">
            <v>1365615</v>
          </cell>
        </row>
        <row r="78">
          <cell r="C78">
            <v>1513471</v>
          </cell>
        </row>
        <row r="79">
          <cell r="C79">
            <v>1638231</v>
          </cell>
        </row>
        <row r="80">
          <cell r="C80">
            <v>1773276</v>
          </cell>
        </row>
        <row r="81">
          <cell r="C81">
            <v>1970808</v>
          </cell>
        </row>
        <row r="82">
          <cell r="C82">
            <v>1256089</v>
          </cell>
        </row>
        <row r="83">
          <cell r="C83">
            <v>1399176</v>
          </cell>
        </row>
        <row r="84">
          <cell r="C84">
            <v>1615629</v>
          </cell>
        </row>
        <row r="85">
          <cell r="C85">
            <v>1748757</v>
          </cell>
        </row>
        <row r="86">
          <cell r="C86">
            <v>1892855</v>
          </cell>
        </row>
        <row r="87">
          <cell r="C87">
            <v>2103623</v>
          </cell>
        </row>
        <row r="88">
          <cell r="C88">
            <v>2280762</v>
          </cell>
        </row>
        <row r="89">
          <cell r="C89">
            <v>2472818</v>
          </cell>
        </row>
        <row r="90">
          <cell r="C90">
            <v>2754281</v>
          </cell>
        </row>
        <row r="91">
          <cell r="C91">
            <v>1674661</v>
          </cell>
        </row>
        <row r="92">
          <cell r="C92">
            <v>1870982</v>
          </cell>
        </row>
        <row r="93">
          <cell r="C93">
            <v>2169002</v>
          </cell>
        </row>
        <row r="94">
          <cell r="C94">
            <v>2351443</v>
          </cell>
        </row>
        <row r="95">
          <cell r="C95">
            <v>2549230</v>
          </cell>
        </row>
        <row r="96">
          <cell r="C96">
            <v>2839064</v>
          </cell>
        </row>
        <row r="97">
          <cell r="C97">
            <v>3081924</v>
          </cell>
        </row>
        <row r="98">
          <cell r="C98">
            <v>3345558</v>
          </cell>
        </row>
        <row r="99">
          <cell r="C99">
            <v>3732480</v>
          </cell>
        </row>
        <row r="100">
          <cell r="C100">
            <v>2198486</v>
          </cell>
        </row>
        <row r="101">
          <cell r="C101">
            <v>2459068</v>
          </cell>
        </row>
        <row r="102">
          <cell r="C102">
            <v>2855176</v>
          </cell>
        </row>
        <row r="103">
          <cell r="C103">
            <v>3097225</v>
          </cell>
        </row>
        <row r="104">
          <cell r="C104">
            <v>3359794</v>
          </cell>
        </row>
        <row r="105">
          <cell r="C105">
            <v>3744834</v>
          </cell>
        </row>
        <row r="106">
          <cell r="C106">
            <v>4067097</v>
          </cell>
        </row>
        <row r="107">
          <cell r="C107">
            <v>4417092</v>
          </cell>
        </row>
        <row r="108">
          <cell r="C108">
            <v>4931046</v>
          </cell>
        </row>
        <row r="109">
          <cell r="C109">
            <v>2850251</v>
          </cell>
        </row>
        <row r="110">
          <cell r="C110">
            <v>3191249</v>
          </cell>
        </row>
        <row r="111">
          <cell r="C111">
            <v>3710201</v>
          </cell>
        </row>
        <row r="112">
          <cell r="C112">
            <v>4026826</v>
          </cell>
        </row>
        <row r="113">
          <cell r="C113">
            <v>4370472</v>
          </cell>
        </row>
        <row r="114">
          <cell r="C114">
            <v>4874711</v>
          </cell>
        </row>
        <row r="115">
          <cell r="C115">
            <v>5296325</v>
          </cell>
        </row>
        <row r="116">
          <cell r="C116">
            <v>5754405</v>
          </cell>
        </row>
        <row r="117">
          <cell r="C117">
            <v>6427392</v>
          </cell>
        </row>
        <row r="118">
          <cell r="C118">
            <v>3647580</v>
          </cell>
        </row>
        <row r="119">
          <cell r="C119">
            <v>4080867</v>
          </cell>
        </row>
        <row r="120">
          <cell r="C120">
            <v>4739682</v>
          </cell>
        </row>
        <row r="121">
          <cell r="C121">
            <v>5142117</v>
          </cell>
        </row>
        <row r="122">
          <cell r="C122">
            <v>5578722</v>
          </cell>
        </row>
        <row r="123">
          <cell r="C123">
            <v>6219065</v>
          </cell>
        </row>
        <row r="124">
          <cell r="C124">
            <v>6754883</v>
          </cell>
        </row>
        <row r="125">
          <cell r="C125">
            <v>7336865</v>
          </cell>
        </row>
        <row r="126">
          <cell r="C126">
            <v>8191577</v>
          </cell>
        </row>
        <row r="127">
          <cell r="C127">
            <v>4628567</v>
          </cell>
        </row>
        <row r="128">
          <cell r="C128">
            <v>5183687</v>
          </cell>
        </row>
        <row r="129">
          <cell r="C129">
            <v>6028767</v>
          </cell>
        </row>
        <row r="130">
          <cell r="C130">
            <v>6544159</v>
          </cell>
        </row>
        <row r="131">
          <cell r="C131">
            <v>7103610</v>
          </cell>
        </row>
        <row r="132">
          <cell r="C132">
            <v>7924640</v>
          </cell>
        </row>
        <row r="133">
          <cell r="C133">
            <v>8610956</v>
          </cell>
        </row>
        <row r="134">
          <cell r="C134">
            <v>9356710</v>
          </cell>
        </row>
        <row r="135">
          <cell r="C135">
            <v>10452470</v>
          </cell>
        </row>
      </sheetData>
      <sheetData sheetId="2">
        <row r="1">
          <cell r="C1">
            <v>66161</v>
          </cell>
        </row>
        <row r="2">
          <cell r="C2">
            <v>80087</v>
          </cell>
        </row>
        <row r="3">
          <cell r="C3">
            <v>103318</v>
          </cell>
        </row>
        <row r="4">
          <cell r="C4">
            <v>116001</v>
          </cell>
        </row>
        <row r="5">
          <cell r="C5">
            <v>130240</v>
          </cell>
        </row>
        <row r="6">
          <cell r="C6">
            <v>151981</v>
          </cell>
        </row>
        <row r="7">
          <cell r="C7">
            <v>169086</v>
          </cell>
        </row>
        <row r="8">
          <cell r="C8">
            <v>188117</v>
          </cell>
        </row>
        <row r="9">
          <cell r="C9">
            <v>216864</v>
          </cell>
        </row>
        <row r="10">
          <cell r="C10">
            <v>118454</v>
          </cell>
        </row>
        <row r="11">
          <cell r="C11">
            <v>139118</v>
          </cell>
        </row>
        <row r="12">
          <cell r="C12">
            <v>172382</v>
          </cell>
        </row>
        <row r="13">
          <cell r="C13">
            <v>191298</v>
          </cell>
        </row>
        <row r="14">
          <cell r="C14">
            <v>212290</v>
          </cell>
        </row>
        <row r="15">
          <cell r="C15">
            <v>243905</v>
          </cell>
        </row>
        <row r="16">
          <cell r="C16">
            <v>269288</v>
          </cell>
        </row>
        <row r="17">
          <cell r="C17">
            <v>297313</v>
          </cell>
        </row>
        <row r="18">
          <cell r="C18">
            <v>339268</v>
          </cell>
        </row>
        <row r="19">
          <cell r="C19">
            <v>207538</v>
          </cell>
        </row>
        <row r="20">
          <cell r="C20">
            <v>236560</v>
          </cell>
        </row>
        <row r="21">
          <cell r="C21">
            <v>281664</v>
          </cell>
        </row>
        <row r="22">
          <cell r="C22">
            <v>308443</v>
          </cell>
        </row>
        <row r="23">
          <cell r="C23">
            <v>337768</v>
          </cell>
        </row>
        <row r="24">
          <cell r="C24">
            <v>381251</v>
          </cell>
        </row>
        <row r="25">
          <cell r="C25">
            <v>417009</v>
          </cell>
        </row>
        <row r="26">
          <cell r="C26">
            <v>456120</v>
          </cell>
        </row>
        <row r="27">
          <cell r="C27">
            <v>514034</v>
          </cell>
        </row>
        <row r="28">
          <cell r="C28">
            <v>309565</v>
          </cell>
        </row>
        <row r="29">
          <cell r="C29">
            <v>347026</v>
          </cell>
        </row>
        <row r="30">
          <cell r="C30">
            <v>404120</v>
          </cell>
        </row>
        <row r="31">
          <cell r="C31">
            <v>438888</v>
          </cell>
        </row>
        <row r="32">
          <cell r="C32">
            <v>476647</v>
          </cell>
        </row>
        <row r="33">
          <cell r="C33">
            <v>532093</v>
          </cell>
        </row>
        <row r="34">
          <cell r="C34">
            <v>578398</v>
          </cell>
        </row>
        <row r="35">
          <cell r="C35">
            <v>628732</v>
          </cell>
        </row>
        <row r="36">
          <cell r="C36">
            <v>702724</v>
          </cell>
        </row>
        <row r="37">
          <cell r="C37">
            <v>495073</v>
          </cell>
        </row>
        <row r="38">
          <cell r="C38">
            <v>544862</v>
          </cell>
        </row>
        <row r="39">
          <cell r="C39">
            <v>619123</v>
          </cell>
        </row>
        <row r="40">
          <cell r="C40">
            <v>665687</v>
          </cell>
        </row>
        <row r="41">
          <cell r="C41">
            <v>715753</v>
          </cell>
        </row>
        <row r="42">
          <cell r="C42">
            <v>788414</v>
          </cell>
        </row>
        <row r="43">
          <cell r="C43">
            <v>850270</v>
          </cell>
        </row>
        <row r="44">
          <cell r="C44">
            <v>916978</v>
          </cell>
        </row>
        <row r="45">
          <cell r="C45">
            <v>1014134</v>
          </cell>
        </row>
        <row r="46">
          <cell r="C46">
            <v>747719</v>
          </cell>
        </row>
        <row r="47">
          <cell r="C47">
            <v>811678</v>
          </cell>
        </row>
        <row r="48">
          <cell r="C48">
            <v>905547</v>
          </cell>
        </row>
        <row r="49">
          <cell r="C49">
            <v>965761</v>
          </cell>
        </row>
        <row r="50">
          <cell r="C50">
            <v>1029979</v>
          </cell>
        </row>
        <row r="51">
          <cell r="C51">
            <v>1122294</v>
          </cell>
        </row>
        <row r="52">
          <cell r="C52">
            <v>1202152</v>
          </cell>
        </row>
        <row r="53">
          <cell r="C53">
            <v>1287693</v>
          </cell>
        </row>
        <row r="54">
          <cell r="C54">
            <v>1411290</v>
          </cell>
        </row>
        <row r="55">
          <cell r="C55">
            <v>1139576</v>
          </cell>
        </row>
        <row r="56">
          <cell r="C56">
            <v>1229783</v>
          </cell>
        </row>
        <row r="57">
          <cell r="C57">
            <v>1361264</v>
          </cell>
        </row>
        <row r="58">
          <cell r="C58">
            <v>1446454</v>
          </cell>
        </row>
        <row r="59">
          <cell r="C59">
            <v>1536976</v>
          </cell>
        </row>
        <row r="60">
          <cell r="C60">
            <v>1666544</v>
          </cell>
        </row>
        <row r="61">
          <cell r="C61">
            <v>1779460</v>
          </cell>
        </row>
        <row r="62">
          <cell r="C62">
            <v>1900026</v>
          </cell>
        </row>
        <row r="63">
          <cell r="C63">
            <v>2073583</v>
          </cell>
        </row>
        <row r="64">
          <cell r="C64">
            <v>1685396</v>
          </cell>
        </row>
        <row r="65">
          <cell r="C65">
            <v>1806683</v>
          </cell>
        </row>
        <row r="66">
          <cell r="C66">
            <v>1982083</v>
          </cell>
        </row>
        <row r="67">
          <cell r="C67">
            <v>2097051</v>
          </cell>
        </row>
        <row r="68">
          <cell r="C68">
            <v>2218687</v>
          </cell>
        </row>
        <row r="69">
          <cell r="C69">
            <v>2391914</v>
          </cell>
        </row>
        <row r="70">
          <cell r="C70">
            <v>2544212</v>
          </cell>
        </row>
        <row r="71">
          <cell r="C71">
            <v>2706206</v>
          </cell>
        </row>
        <row r="72">
          <cell r="C72">
            <v>2938356</v>
          </cell>
        </row>
        <row r="73">
          <cell r="C73">
            <v>2373997</v>
          </cell>
        </row>
        <row r="74">
          <cell r="C74">
            <v>2538958</v>
          </cell>
        </row>
        <row r="75">
          <cell r="C75">
            <v>2776874</v>
          </cell>
        </row>
        <row r="76">
          <cell r="C76">
            <v>2933451</v>
          </cell>
        </row>
        <row r="77">
          <cell r="C77">
            <v>3098856</v>
          </cell>
        </row>
        <row r="78">
          <cell r="C78">
            <v>3333994</v>
          </cell>
        </row>
        <row r="79">
          <cell r="C79">
            <v>3541375</v>
          </cell>
        </row>
        <row r="80">
          <cell r="C80">
            <v>3761655</v>
          </cell>
        </row>
        <row r="81">
          <cell r="C81">
            <v>4076822</v>
          </cell>
        </row>
        <row r="82">
          <cell r="C82">
            <v>3209315</v>
          </cell>
        </row>
        <row r="83">
          <cell r="C83">
            <v>3440886</v>
          </cell>
        </row>
        <row r="84">
          <cell r="C84">
            <v>3775846</v>
          </cell>
        </row>
        <row r="85">
          <cell r="C85">
            <v>3995330</v>
          </cell>
        </row>
        <row r="86">
          <cell r="C86">
            <v>4227573</v>
          </cell>
        </row>
        <row r="87">
          <cell r="C87">
            <v>4558364</v>
          </cell>
        </row>
        <row r="88">
          <cell r="C88">
            <v>4849118</v>
          </cell>
        </row>
        <row r="89">
          <cell r="C89">
            <v>5158417</v>
          </cell>
        </row>
        <row r="90">
          <cell r="C90">
            <v>5601721</v>
          </cell>
        </row>
        <row r="91">
          <cell r="C91">
            <v>4229252</v>
          </cell>
        </row>
        <row r="92">
          <cell r="C92">
            <v>4540920</v>
          </cell>
        </row>
        <row r="93">
          <cell r="C93">
            <v>4992494</v>
          </cell>
        </row>
        <row r="94">
          <cell r="C94">
            <v>5287653</v>
          </cell>
        </row>
        <row r="95">
          <cell r="C95">
            <v>5600263</v>
          </cell>
        </row>
        <row r="96">
          <cell r="C96">
            <v>6046012</v>
          </cell>
        </row>
        <row r="97">
          <cell r="C97">
            <v>6437059</v>
          </cell>
        </row>
        <row r="98">
          <cell r="C98">
            <v>6853399</v>
          </cell>
        </row>
        <row r="99">
          <cell r="C99">
            <v>7450704</v>
          </cell>
        </row>
        <row r="100">
          <cell r="C100">
            <v>5493664</v>
          </cell>
        </row>
        <row r="101">
          <cell r="C101">
            <v>5897926</v>
          </cell>
        </row>
        <row r="102">
          <cell r="C102">
            <v>6483590</v>
          </cell>
        </row>
        <row r="103">
          <cell r="C103">
            <v>6866460</v>
          </cell>
        </row>
        <row r="104">
          <cell r="C104">
            <v>7271939</v>
          </cell>
        </row>
        <row r="105">
          <cell r="C105">
            <v>7850067</v>
          </cell>
        </row>
        <row r="106">
          <cell r="C106">
            <v>8357314</v>
          </cell>
        </row>
        <row r="107">
          <cell r="C107">
            <v>8897339</v>
          </cell>
        </row>
        <row r="108">
          <cell r="C108">
            <v>9672037</v>
          </cell>
        </row>
        <row r="109">
          <cell r="C109">
            <v>7070587</v>
          </cell>
        </row>
        <row r="110">
          <cell r="C110">
            <v>7588774</v>
          </cell>
        </row>
        <row r="111">
          <cell r="C111">
            <v>8339240</v>
          </cell>
        </row>
        <row r="112">
          <cell r="C112">
            <v>8830085</v>
          </cell>
        </row>
        <row r="113">
          <cell r="C113">
            <v>9349820</v>
          </cell>
        </row>
        <row r="114">
          <cell r="C114">
            <v>10090696</v>
          </cell>
        </row>
        <row r="115">
          <cell r="C115">
            <v>10740979</v>
          </cell>
        </row>
        <row r="116">
          <cell r="C116">
            <v>11433170</v>
          </cell>
        </row>
        <row r="117">
          <cell r="C117">
            <v>12425971</v>
          </cell>
        </row>
        <row r="118">
          <cell r="C118">
            <v>9006666</v>
          </cell>
        </row>
        <row r="119">
          <cell r="C119">
            <v>9656245</v>
          </cell>
        </row>
        <row r="120">
          <cell r="C120">
            <v>10595804</v>
          </cell>
        </row>
        <row r="121">
          <cell r="C121">
            <v>11211489</v>
          </cell>
        </row>
        <row r="122">
          <cell r="C122">
            <v>11862949</v>
          </cell>
        </row>
        <row r="123">
          <cell r="C123">
            <v>12790824</v>
          </cell>
        </row>
        <row r="124">
          <cell r="C124">
            <v>13606429</v>
          </cell>
        </row>
        <row r="125">
          <cell r="C125">
            <v>14474040</v>
          </cell>
        </row>
        <row r="126">
          <cell r="C126">
            <v>15717517</v>
          </cell>
        </row>
        <row r="127">
          <cell r="C127">
            <v>11373825</v>
          </cell>
        </row>
        <row r="128">
          <cell r="C128">
            <v>12193842</v>
          </cell>
        </row>
        <row r="129">
          <cell r="C129">
            <v>13379890</v>
          </cell>
        </row>
        <row r="130">
          <cell r="C130">
            <v>14157129</v>
          </cell>
        </row>
        <row r="131">
          <cell r="C131">
            <v>14979518</v>
          </cell>
        </row>
        <row r="132">
          <cell r="C132">
            <v>16150825</v>
          </cell>
        </row>
        <row r="133">
          <cell r="C133">
            <v>17180440</v>
          </cell>
        </row>
        <row r="134">
          <cell r="C134">
            <v>18275694</v>
          </cell>
        </row>
        <row r="135">
          <cell r="C135">
            <v>19845406</v>
          </cell>
        </row>
      </sheetData>
      <sheetData sheetId="3">
        <row r="1">
          <cell r="C1">
            <v>41150</v>
          </cell>
        </row>
        <row r="2">
          <cell r="C2">
            <v>51351</v>
          </cell>
        </row>
        <row r="3">
          <cell r="C3">
            <v>68990</v>
          </cell>
        </row>
        <row r="4">
          <cell r="C4">
            <v>78255</v>
          </cell>
        </row>
        <row r="5">
          <cell r="C5">
            <v>88765</v>
          </cell>
        </row>
        <row r="6">
          <cell r="C6">
            <v>105005</v>
          </cell>
        </row>
        <row r="7">
          <cell r="C7">
            <v>117564</v>
          </cell>
        </row>
        <row r="8">
          <cell r="C8">
            <v>131625</v>
          </cell>
        </row>
        <row r="9">
          <cell r="C9">
            <v>153024</v>
          </cell>
        </row>
        <row r="10">
          <cell r="C10">
            <v>85868</v>
          </cell>
        </row>
        <row r="11">
          <cell r="C11">
            <v>102505</v>
          </cell>
        </row>
        <row r="12">
          <cell r="C12">
            <v>129807</v>
          </cell>
        </row>
        <row r="13">
          <cell r="C13">
            <v>144990</v>
          </cell>
        </row>
        <row r="14">
          <cell r="C14">
            <v>161948</v>
          </cell>
        </row>
        <row r="15">
          <cell r="C15">
            <v>187684</v>
          </cell>
        </row>
        <row r="16">
          <cell r="C16">
            <v>208113</v>
          </cell>
        </row>
        <row r="17">
          <cell r="C17">
            <v>230767</v>
          </cell>
        </row>
        <row r="18">
          <cell r="C18">
            <v>264852</v>
          </cell>
        </row>
        <row r="19">
          <cell r="C19">
            <v>153228</v>
          </cell>
        </row>
        <row r="20">
          <cell r="C20">
            <v>177345</v>
          </cell>
        </row>
        <row r="21">
          <cell r="C21">
            <v>215505</v>
          </cell>
        </row>
        <row r="22">
          <cell r="C22">
            <v>237660</v>
          </cell>
        </row>
        <row r="23">
          <cell r="C23">
            <v>262092</v>
          </cell>
        </row>
        <row r="24">
          <cell r="C24">
            <v>298619</v>
          </cell>
        </row>
        <row r="25">
          <cell r="C25">
            <v>328276</v>
          </cell>
        </row>
        <row r="26">
          <cell r="C26">
            <v>360878</v>
          </cell>
        </row>
        <row r="27">
          <cell r="C27">
            <v>409438</v>
          </cell>
        </row>
        <row r="28">
          <cell r="C28">
            <v>236912</v>
          </cell>
        </row>
        <row r="29">
          <cell r="C29">
            <v>268464</v>
          </cell>
        </row>
        <row r="30">
          <cell r="C30">
            <v>317164</v>
          </cell>
        </row>
        <row r="31">
          <cell r="C31">
            <v>346334</v>
          </cell>
        </row>
        <row r="32">
          <cell r="C32">
            <v>378187</v>
          </cell>
        </row>
        <row r="33">
          <cell r="C33">
            <v>425260</v>
          </cell>
        </row>
        <row r="34">
          <cell r="C34">
            <v>464174</v>
          </cell>
        </row>
        <row r="35">
          <cell r="C35">
            <v>506649</v>
          </cell>
        </row>
        <row r="36">
          <cell r="C36">
            <v>569388</v>
          </cell>
        </row>
        <row r="37">
          <cell r="C37">
            <v>385670</v>
          </cell>
        </row>
        <row r="38">
          <cell r="C38">
            <v>428415</v>
          </cell>
        </row>
        <row r="39">
          <cell r="C39">
            <v>492867</v>
          </cell>
        </row>
        <row r="40">
          <cell r="C40">
            <v>532682</v>
          </cell>
        </row>
        <row r="41">
          <cell r="C41">
            <v>575714</v>
          </cell>
        </row>
        <row r="42">
          <cell r="C42">
            <v>638545</v>
          </cell>
        </row>
        <row r="43">
          <cell r="C43">
            <v>691502</v>
          </cell>
        </row>
        <row r="44">
          <cell r="C44">
            <v>748850</v>
          </cell>
        </row>
        <row r="45">
          <cell r="C45">
            <v>832781</v>
          </cell>
        </row>
        <row r="46">
          <cell r="C46">
            <v>582456</v>
          </cell>
        </row>
        <row r="47">
          <cell r="C47">
            <v>637890</v>
          </cell>
        </row>
        <row r="48">
          <cell r="C48">
            <v>720093</v>
          </cell>
        </row>
        <row r="49">
          <cell r="C49">
            <v>772054</v>
          </cell>
        </row>
        <row r="50">
          <cell r="C50">
            <v>827763</v>
          </cell>
        </row>
        <row r="51">
          <cell r="C51">
            <v>908346</v>
          </cell>
        </row>
        <row r="52">
          <cell r="C52">
            <v>977328</v>
          </cell>
        </row>
        <row r="53">
          <cell r="C53">
            <v>1051548</v>
          </cell>
        </row>
        <row r="54">
          <cell r="C54">
            <v>1159350</v>
          </cell>
        </row>
        <row r="55">
          <cell r="C55">
            <v>899778</v>
          </cell>
        </row>
        <row r="56">
          <cell r="C56">
            <v>979732</v>
          </cell>
        </row>
        <row r="57">
          <cell r="C57">
            <v>1097495</v>
          </cell>
        </row>
        <row r="58">
          <cell r="C58">
            <v>1172650</v>
          </cell>
        </row>
        <row r="59">
          <cell r="C59">
            <v>1252952</v>
          </cell>
        </row>
        <row r="60">
          <cell r="C60">
            <v>1368639</v>
          </cell>
        </row>
        <row r="61">
          <cell r="C61">
            <v>1468346</v>
          </cell>
        </row>
        <row r="62">
          <cell r="C62">
            <v>1575317</v>
          </cell>
        </row>
        <row r="63">
          <cell r="C63">
            <v>1730165</v>
          </cell>
        </row>
        <row r="64">
          <cell r="C64">
            <v>1362296</v>
          </cell>
        </row>
        <row r="65">
          <cell r="C65">
            <v>1476862</v>
          </cell>
        </row>
        <row r="66">
          <cell r="C66">
            <v>1644742</v>
          </cell>
        </row>
        <row r="67">
          <cell r="C67">
            <v>1752674</v>
          </cell>
        </row>
        <row r="68">
          <cell r="C68">
            <v>1867689</v>
          </cell>
        </row>
        <row r="69">
          <cell r="C69">
            <v>2032867</v>
          </cell>
        </row>
        <row r="70">
          <cell r="C70">
            <v>2175991</v>
          </cell>
        </row>
        <row r="71">
          <cell r="C71">
            <v>2329191</v>
          </cell>
        </row>
        <row r="72">
          <cell r="C72">
            <v>2550366</v>
          </cell>
        </row>
        <row r="73">
          <cell r="C73">
            <v>1929114</v>
          </cell>
        </row>
        <row r="74">
          <cell r="C74">
            <v>2082039</v>
          </cell>
        </row>
        <row r="75">
          <cell r="C75">
            <v>2304959</v>
          </cell>
        </row>
        <row r="76">
          <cell r="C76">
            <v>2449369</v>
          </cell>
        </row>
        <row r="77">
          <cell r="C77">
            <v>2602826</v>
          </cell>
        </row>
        <row r="78">
          <cell r="C78">
            <v>2822495</v>
          </cell>
        </row>
        <row r="79">
          <cell r="C79">
            <v>3013906</v>
          </cell>
        </row>
        <row r="80">
          <cell r="C80">
            <v>3218299</v>
          </cell>
        </row>
        <row r="81">
          <cell r="C81">
            <v>3512544</v>
          </cell>
        </row>
        <row r="82">
          <cell r="C82">
            <v>2630954</v>
          </cell>
        </row>
        <row r="83">
          <cell r="C83">
            <v>2847373</v>
          </cell>
        </row>
        <row r="84">
          <cell r="C84">
            <v>3163874</v>
          </cell>
        </row>
        <row r="85">
          <cell r="C85">
            <v>3367942</v>
          </cell>
        </row>
        <row r="86">
          <cell r="C86">
            <v>3585173</v>
          </cell>
        </row>
        <row r="87">
          <cell r="C87">
            <v>3896763</v>
          </cell>
        </row>
        <row r="88">
          <cell r="C88">
            <v>4167322</v>
          </cell>
        </row>
        <row r="89">
          <cell r="C89">
            <v>4456667</v>
          </cell>
        </row>
        <row r="90">
          <cell r="C90">
            <v>4873949</v>
          </cell>
        </row>
        <row r="91">
          <cell r="C91">
            <v>3494224</v>
          </cell>
        </row>
        <row r="92">
          <cell r="C92">
            <v>3785601</v>
          </cell>
        </row>
        <row r="93">
          <cell r="C93">
            <v>4212244</v>
          </cell>
        </row>
        <row r="94">
          <cell r="C94">
            <v>4486842</v>
          </cell>
        </row>
        <row r="95">
          <cell r="C95">
            <v>4779341</v>
          </cell>
        </row>
        <row r="96">
          <cell r="C96">
            <v>5199213</v>
          </cell>
        </row>
        <row r="97">
          <cell r="C97">
            <v>5563321</v>
          </cell>
        </row>
        <row r="98">
          <cell r="C98">
            <v>5952927</v>
          </cell>
        </row>
        <row r="99">
          <cell r="C99">
            <v>6515172</v>
          </cell>
        </row>
        <row r="100">
          <cell r="C100">
            <v>4567864</v>
          </cell>
        </row>
        <row r="101">
          <cell r="C101">
            <v>4942840</v>
          </cell>
        </row>
        <row r="102">
          <cell r="C102">
            <v>5491122</v>
          </cell>
        </row>
        <row r="103">
          <cell r="C103">
            <v>5844728</v>
          </cell>
        </row>
        <row r="104">
          <cell r="C104">
            <v>6221105</v>
          </cell>
        </row>
        <row r="105">
          <cell r="C105">
            <v>6760910</v>
          </cell>
        </row>
        <row r="106">
          <cell r="C106">
            <v>7229723</v>
          </cell>
        </row>
        <row r="107">
          <cell r="C107">
            <v>7731045</v>
          </cell>
        </row>
        <row r="108">
          <cell r="C108">
            <v>8453960</v>
          </cell>
        </row>
        <row r="109">
          <cell r="C109">
            <v>5780783</v>
          </cell>
        </row>
        <row r="110">
          <cell r="C110">
            <v>6253769</v>
          </cell>
        </row>
        <row r="111">
          <cell r="C111">
            <v>6945156</v>
          </cell>
        </row>
        <row r="112">
          <cell r="C112">
            <v>7391244</v>
          </cell>
        </row>
        <row r="113">
          <cell r="C113">
            <v>7865985</v>
          </cell>
        </row>
        <row r="114">
          <cell r="C114">
            <v>8546741</v>
          </cell>
        </row>
        <row r="115">
          <cell r="C115">
            <v>9138154</v>
          </cell>
        </row>
        <row r="116">
          <cell r="C116">
            <v>9770491</v>
          </cell>
        </row>
        <row r="117">
          <cell r="C117">
            <v>10682189</v>
          </cell>
        </row>
        <row r="118">
          <cell r="C118">
            <v>7236442</v>
          </cell>
        </row>
        <row r="119">
          <cell r="C119">
            <v>7817165</v>
          </cell>
        </row>
        <row r="120">
          <cell r="C120">
            <v>8664594</v>
          </cell>
        </row>
        <row r="121">
          <cell r="C121">
            <v>9212718</v>
          </cell>
        </row>
        <row r="122">
          <cell r="C122">
            <v>9795516</v>
          </cell>
        </row>
        <row r="123">
          <cell r="C123">
            <v>10630329</v>
          </cell>
        </row>
        <row r="124">
          <cell r="C124">
            <v>11356914</v>
          </cell>
        </row>
        <row r="125">
          <cell r="C125">
            <v>12133160</v>
          </cell>
        </row>
        <row r="126">
          <cell r="C126">
            <v>13251308</v>
          </cell>
        </row>
        <row r="127">
          <cell r="C127">
            <v>8990922</v>
          </cell>
        </row>
        <row r="128">
          <cell r="C128">
            <v>9712005</v>
          </cell>
        </row>
        <row r="129">
          <cell r="C129">
            <v>10764200</v>
          </cell>
        </row>
        <row r="130">
          <cell r="C130">
            <v>11444820</v>
          </cell>
        </row>
        <row r="131">
          <cell r="C131">
            <v>12168476</v>
          </cell>
        </row>
        <row r="132">
          <cell r="C132">
            <v>13205023</v>
          </cell>
        </row>
        <row r="133">
          <cell r="C133">
            <v>14107240</v>
          </cell>
        </row>
        <row r="134">
          <cell r="C134">
            <v>15071099</v>
          </cell>
        </row>
        <row r="135">
          <cell r="C135">
            <v>16459454</v>
          </cell>
        </row>
      </sheetData>
      <sheetData sheetId="4">
        <row r="2">
          <cell r="A2">
            <v>30</v>
          </cell>
          <cell r="B2">
            <v>16</v>
          </cell>
          <cell r="C2">
            <v>14</v>
          </cell>
          <cell r="D2">
            <v>20</v>
          </cell>
          <cell r="E2">
            <v>0</v>
          </cell>
          <cell r="F2">
            <v>17.241379310344826</v>
          </cell>
          <cell r="G2">
            <v>0</v>
          </cell>
          <cell r="H2">
            <v>2815</v>
          </cell>
          <cell r="I2">
            <v>1550</v>
          </cell>
          <cell r="L2">
            <v>7.0546737213403876E-3</v>
          </cell>
          <cell r="M2">
            <v>0</v>
          </cell>
          <cell r="N2">
            <v>1.0071047957371226</v>
          </cell>
          <cell r="O2">
            <v>6.0875388080599011E-3</v>
          </cell>
          <cell r="P2">
            <v>0</v>
          </cell>
          <cell r="Q2">
            <v>1.0061248239113125</v>
          </cell>
        </row>
        <row r="3">
          <cell r="A3">
            <v>31</v>
          </cell>
          <cell r="B3">
            <v>18</v>
          </cell>
          <cell r="C3">
            <v>15</v>
          </cell>
          <cell r="D3">
            <v>50</v>
          </cell>
          <cell r="E3">
            <v>0</v>
          </cell>
          <cell r="F3">
            <v>42.372881355932201</v>
          </cell>
          <cell r="G3">
            <v>0</v>
          </cell>
          <cell r="H3">
            <v>3000</v>
          </cell>
          <cell r="I3">
            <v>1600</v>
          </cell>
          <cell r="L3">
            <v>1.6393442622950821E-2</v>
          </cell>
          <cell r="M3">
            <v>0</v>
          </cell>
          <cell r="N3">
            <v>1.0166666666666666</v>
          </cell>
          <cell r="O3">
            <v>1.3927576601671307E-2</v>
          </cell>
          <cell r="P3">
            <v>0</v>
          </cell>
          <cell r="Q3">
            <v>1.0141242937853108</v>
          </cell>
        </row>
        <row r="4">
          <cell r="A4">
            <v>32</v>
          </cell>
          <cell r="B4">
            <v>20</v>
          </cell>
          <cell r="C4">
            <v>16</v>
          </cell>
          <cell r="D4">
            <v>80</v>
          </cell>
          <cell r="E4">
            <v>10</v>
          </cell>
          <cell r="F4">
            <v>66.666666666666671</v>
          </cell>
          <cell r="G4">
            <v>8.6206896551724128</v>
          </cell>
          <cell r="H4">
            <v>3191</v>
          </cell>
          <cell r="I4">
            <v>1650</v>
          </cell>
          <cell r="L4">
            <v>2.4457352491592785E-2</v>
          </cell>
          <cell r="M4">
            <v>6.024096385542169E-3</v>
          </cell>
          <cell r="N4">
            <v>1.0312830593620315</v>
          </cell>
          <cell r="O4">
            <v>2.0464545175483476E-2</v>
          </cell>
          <cell r="P4">
            <v>5.1975051975051969E-3</v>
          </cell>
          <cell r="Q4">
            <v>1.0262259068275992</v>
          </cell>
        </row>
        <row r="5">
          <cell r="A5">
            <v>33</v>
          </cell>
          <cell r="B5">
            <v>22</v>
          </cell>
          <cell r="C5">
            <v>17</v>
          </cell>
          <cell r="D5">
            <v>110</v>
          </cell>
          <cell r="E5">
            <v>20</v>
          </cell>
          <cell r="F5">
            <v>90.163934426229517</v>
          </cell>
          <cell r="G5">
            <v>17.094017094017094</v>
          </cell>
          <cell r="H5">
            <v>3388</v>
          </cell>
          <cell r="I5">
            <v>1700</v>
          </cell>
          <cell r="L5">
            <v>3.1446540880503145E-2</v>
          </cell>
          <cell r="M5">
            <v>1.1627906976744186E-2</v>
          </cell>
          <cell r="N5">
            <v>1.0446142093200919</v>
          </cell>
          <cell r="O5">
            <v>2.5922853587722939E-2</v>
          </cell>
          <cell r="P5">
            <v>9.9552015928322541E-3</v>
          </cell>
          <cell r="Q5">
            <v>1.0369356348141303</v>
          </cell>
        </row>
        <row r="6">
          <cell r="A6">
            <v>34</v>
          </cell>
          <cell r="B6">
            <v>24</v>
          </cell>
          <cell r="C6">
            <v>18</v>
          </cell>
          <cell r="D6">
            <v>140</v>
          </cell>
          <cell r="E6">
            <v>30</v>
          </cell>
          <cell r="F6">
            <v>112.9032258064516</v>
          </cell>
          <cell r="G6">
            <v>25.423728813559322</v>
          </cell>
          <cell r="H6">
            <v>3591</v>
          </cell>
          <cell r="I6">
            <v>1750</v>
          </cell>
          <cell r="L6">
            <v>3.7523452157598502E-2</v>
          </cell>
          <cell r="M6">
            <v>1.6853932584269662E-2</v>
          </cell>
          <cell r="N6">
            <v>1.0567975494291284</v>
          </cell>
          <cell r="O6">
            <v>3.0482228860574282E-2</v>
          </cell>
          <cell r="P6">
            <v>1.4319809069212409E-2</v>
          </cell>
          <cell r="Q6">
            <v>1.0464252180174023</v>
          </cell>
        </row>
        <row r="7">
          <cell r="A7">
            <v>35</v>
          </cell>
          <cell r="B7">
            <v>26</v>
          </cell>
          <cell r="C7">
            <v>19</v>
          </cell>
          <cell r="D7">
            <v>170</v>
          </cell>
          <cell r="E7">
            <v>40</v>
          </cell>
          <cell r="F7">
            <v>134.92063492063494</v>
          </cell>
          <cell r="G7">
            <v>33.613445378151262</v>
          </cell>
          <cell r="H7">
            <v>3800</v>
          </cell>
          <cell r="I7">
            <v>1800</v>
          </cell>
          <cell r="L7">
            <v>4.2821158690176324E-2</v>
          </cell>
          <cell r="M7">
            <v>2.1739130434782608E-2</v>
          </cell>
          <cell r="N7">
            <v>1.0679532163742691</v>
          </cell>
          <cell r="O7">
            <v>3.4288019362646228E-2</v>
          </cell>
          <cell r="P7">
            <v>1.8331805682859761E-2</v>
          </cell>
          <cell r="Q7">
            <v>1.0548425998079545</v>
          </cell>
        </row>
        <row r="8">
          <cell r="A8">
            <v>36</v>
          </cell>
          <cell r="B8">
            <v>28</v>
          </cell>
          <cell r="C8">
            <v>20</v>
          </cell>
          <cell r="D8">
            <v>200</v>
          </cell>
          <cell r="E8">
            <v>50</v>
          </cell>
          <cell r="F8">
            <v>156.25</v>
          </cell>
          <cell r="G8">
            <v>41.666666666666671</v>
          </cell>
          <cell r="H8">
            <v>4015</v>
          </cell>
          <cell r="I8">
            <v>1850</v>
          </cell>
          <cell r="L8">
            <v>4.7449584816132859E-2</v>
          </cell>
          <cell r="M8">
            <v>2.6315789473684209E-2</v>
          </cell>
          <cell r="N8">
            <v>1.0781865302413247</v>
          </cell>
          <cell r="O8">
            <v>3.7458795325142347E-2</v>
          </cell>
          <cell r="P8">
            <v>2.2026431718061675E-2</v>
          </cell>
          <cell r="Q8">
            <v>1.0623155845758585</v>
          </cell>
        </row>
        <row r="9">
          <cell r="A9">
            <v>37</v>
          </cell>
          <cell r="B9">
            <v>30</v>
          </cell>
          <cell r="C9">
            <v>21</v>
          </cell>
          <cell r="D9">
            <v>230</v>
          </cell>
          <cell r="E9">
            <v>60</v>
          </cell>
          <cell r="F9">
            <v>176.92307692307691</v>
          </cell>
          <cell r="G9">
            <v>49.586776859504134</v>
          </cell>
          <cell r="H9">
            <v>4236</v>
          </cell>
          <cell r="I9">
            <v>1900</v>
          </cell>
          <cell r="L9">
            <v>5.150022391401702E-2</v>
          </cell>
          <cell r="M9">
            <v>3.0612244897959183E-2</v>
          </cell>
          <cell r="N9">
            <v>1.087590080015904</v>
          </cell>
          <cell r="O9">
            <v>4.0092037372751355E-2</v>
          </cell>
          <cell r="P9">
            <v>2.5434506146672319E-2</v>
          </cell>
          <cell r="Q9">
            <v>1.0689548827179796</v>
          </cell>
        </row>
        <row r="10">
          <cell r="A10">
            <v>38</v>
          </cell>
          <cell r="B10">
            <v>32</v>
          </cell>
          <cell r="C10">
            <v>22</v>
          </cell>
          <cell r="D10">
            <v>260</v>
          </cell>
          <cell r="E10">
            <v>70</v>
          </cell>
          <cell r="F10">
            <v>196.96969696969697</v>
          </cell>
          <cell r="G10">
            <v>57.377049180327873</v>
          </cell>
          <cell r="H10">
            <v>4463</v>
          </cell>
          <cell r="I10">
            <v>1950</v>
          </cell>
          <cell r="L10">
            <v>5.5049756510692355E-2</v>
          </cell>
          <cell r="M10">
            <v>3.4653465346534656E-2</v>
          </cell>
          <cell r="N10">
            <v>1.096245482801611</v>
          </cell>
          <cell r="O10">
            <v>4.2268450178502913E-2</v>
          </cell>
          <cell r="P10">
            <v>2.8583095140873826E-2</v>
          </cell>
          <cell r="Q10">
            <v>1.074856652656633</v>
          </cell>
        </row>
        <row r="11">
          <cell r="A11">
            <v>39</v>
          </cell>
          <cell r="B11">
            <v>34</v>
          </cell>
          <cell r="C11">
            <v>23</v>
          </cell>
          <cell r="D11">
            <v>290</v>
          </cell>
          <cell r="E11">
            <v>80</v>
          </cell>
          <cell r="F11">
            <v>216.41791044776119</v>
          </cell>
          <cell r="G11">
            <v>65.040650406504056</v>
          </cell>
          <cell r="H11">
            <v>4696</v>
          </cell>
          <cell r="I11">
            <v>2000</v>
          </cell>
          <cell r="L11">
            <v>5.8162855996791017E-2</v>
          </cell>
          <cell r="M11">
            <v>3.8461538461538464E-2</v>
          </cell>
          <cell r="N11">
            <v>1.1042248722316867</v>
          </cell>
          <cell r="O11">
            <v>4.4055272656563324E-2</v>
          </cell>
          <cell r="P11">
            <v>3.1496062992125984E-2</v>
          </cell>
          <cell r="Q11">
            <v>1.0801046291375216</v>
          </cell>
        </row>
        <row r="12">
          <cell r="A12">
            <v>40</v>
          </cell>
          <cell r="B12">
            <v>36</v>
          </cell>
          <cell r="C12">
            <v>24</v>
          </cell>
          <cell r="D12">
            <v>320</v>
          </cell>
          <cell r="E12">
            <v>90</v>
          </cell>
          <cell r="F12">
            <v>235.29411764705884</v>
          </cell>
          <cell r="G12">
            <v>72.58064516129032</v>
          </cell>
          <cell r="H12">
            <v>4935</v>
          </cell>
          <cell r="I12">
            <v>2050</v>
          </cell>
          <cell r="L12">
            <v>6.0894386298763085E-2</v>
          </cell>
          <cell r="M12">
            <v>4.2056074766355138E-2</v>
          </cell>
          <cell r="N12">
            <v>1.1115921615143203</v>
          </cell>
          <cell r="O12">
            <v>4.5508845781898864E-2</v>
          </cell>
          <cell r="P12">
            <v>3.4194528875379937E-2</v>
          </cell>
          <cell r="Q12">
            <v>1.0847719103376994</v>
          </cell>
        </row>
        <row r="13">
          <cell r="A13">
            <v>41</v>
          </cell>
          <cell r="B13">
            <v>38</v>
          </cell>
          <cell r="C13">
            <v>25</v>
          </cell>
          <cell r="D13">
            <v>350</v>
          </cell>
          <cell r="E13">
            <v>100</v>
          </cell>
          <cell r="F13">
            <v>253.62318840579709</v>
          </cell>
          <cell r="G13">
            <v>80</v>
          </cell>
          <cell r="H13">
            <v>5180</v>
          </cell>
          <cell r="I13">
            <v>2100</v>
          </cell>
          <cell r="L13">
            <v>6.3291139240506333E-2</v>
          </cell>
          <cell r="M13">
            <v>4.5454545454545456E-2</v>
          </cell>
          <cell r="N13">
            <v>1.1184041184041182</v>
          </cell>
          <cell r="O13">
            <v>4.6676624346527258E-2</v>
          </cell>
          <cell r="P13">
            <v>3.669724770642202E-2</v>
          </cell>
          <cell r="Q13">
            <v>1.0889224628355065</v>
          </cell>
        </row>
        <row r="14">
          <cell r="A14">
            <v>42</v>
          </cell>
          <cell r="B14">
            <v>40</v>
          </cell>
          <cell r="C14">
            <v>26</v>
          </cell>
          <cell r="D14">
            <v>380</v>
          </cell>
          <cell r="E14">
            <v>110</v>
          </cell>
          <cell r="F14">
            <v>271.42857142857144</v>
          </cell>
          <cell r="G14">
            <v>87.301587301587304</v>
          </cell>
          <cell r="H14">
            <v>5431</v>
          </cell>
          <cell r="I14">
            <v>2150</v>
          </cell>
          <cell r="L14">
            <v>6.5393219755635862E-2</v>
          </cell>
          <cell r="M14">
            <v>4.8672566371681415E-2</v>
          </cell>
          <cell r="N14">
            <v>1.1247112827737407</v>
          </cell>
          <cell r="O14">
            <v>4.7598767442443068E-2</v>
          </cell>
          <cell r="P14">
            <v>3.9020929407591345E-2</v>
          </cell>
          <cell r="Q14">
            <v>1.0926123926238318</v>
          </cell>
        </row>
        <row r="15">
          <cell r="A15">
            <v>43</v>
          </cell>
          <cell r="B15">
            <v>42</v>
          </cell>
          <cell r="C15">
            <v>27</v>
          </cell>
          <cell r="D15">
            <v>410</v>
          </cell>
          <cell r="E15">
            <v>120</v>
          </cell>
          <cell r="F15">
            <v>288.73239436619718</v>
          </cell>
          <cell r="G15">
            <v>94.488188976377941</v>
          </cell>
          <cell r="H15">
            <v>5688</v>
          </cell>
          <cell r="I15">
            <v>2200</v>
          </cell>
          <cell r="L15">
            <v>6.723515906854706E-2</v>
          </cell>
          <cell r="M15">
            <v>5.1724137931034482E-2</v>
          </cell>
          <cell r="N15">
            <v>1.1305587520777394</v>
          </cell>
          <cell r="O15">
            <v>4.830940643057114E-2</v>
          </cell>
          <cell r="P15">
            <v>4.1180507892930679E-2</v>
          </cell>
          <cell r="Q15">
            <v>1.0958910215721893</v>
          </cell>
        </row>
        <row r="16">
          <cell r="A16">
            <v>44</v>
          </cell>
          <cell r="B16">
            <v>44</v>
          </cell>
          <cell r="C16">
            <v>28</v>
          </cell>
          <cell r="D16">
            <v>440</v>
          </cell>
          <cell r="E16">
            <v>130</v>
          </cell>
          <cell r="F16">
            <v>305.55555555555554</v>
          </cell>
          <cell r="G16">
            <v>101.5625</v>
          </cell>
          <cell r="H16">
            <v>5951</v>
          </cell>
          <cell r="I16">
            <v>2250</v>
          </cell>
          <cell r="L16">
            <v>6.8846815834767636E-2</v>
          </cell>
          <cell r="M16">
            <v>5.4621848739495799E-2</v>
          </cell>
          <cell r="N16">
            <v>1.1359868556171699</v>
          </cell>
          <cell r="O16">
            <v>4.883766360617308E-2</v>
          </cell>
          <cell r="P16">
            <v>4.3189368770764118E-2</v>
          </cell>
          <cell r="Q16">
            <v>1.0988018016476118</v>
          </cell>
        </row>
        <row r="17">
          <cell r="A17">
            <v>45</v>
          </cell>
          <cell r="B17">
            <v>46</v>
          </cell>
          <cell r="C17">
            <v>29</v>
          </cell>
          <cell r="D17">
            <v>470</v>
          </cell>
          <cell r="E17">
            <v>140</v>
          </cell>
          <cell r="F17">
            <v>321.91780821917814</v>
          </cell>
          <cell r="G17">
            <v>108.52713178294574</v>
          </cell>
          <cell r="H17">
            <v>6220</v>
          </cell>
          <cell r="I17">
            <v>2300</v>
          </cell>
          <cell r="L17">
            <v>7.0254110612855011E-2</v>
          </cell>
          <cell r="M17">
            <v>5.737704918032787E-2</v>
          </cell>
          <cell r="N17">
            <v>1.1410317349363903</v>
          </cell>
          <cell r="O17">
            <v>4.9208476421810879E-2</v>
          </cell>
          <cell r="P17">
            <v>4.5059542967492761E-2</v>
          </cell>
          <cell r="Q17">
            <v>1.1013830934565856</v>
          </cell>
        </row>
        <row r="18">
          <cell r="A18">
            <v>46</v>
          </cell>
          <cell r="B18">
            <v>48</v>
          </cell>
          <cell r="C18">
            <v>30</v>
          </cell>
          <cell r="D18">
            <v>500</v>
          </cell>
          <cell r="E18">
            <v>150</v>
          </cell>
          <cell r="F18">
            <v>337.83783783783781</v>
          </cell>
          <cell r="G18">
            <v>115.38461538461537</v>
          </cell>
          <cell r="H18">
            <v>6495</v>
          </cell>
          <cell r="I18">
            <v>2350</v>
          </cell>
          <cell r="L18">
            <v>7.147962830593281E-2</v>
          </cell>
          <cell r="M18">
            <v>0.06</v>
          </cell>
          <cell r="N18">
            <v>1.1457258447578333</v>
          </cell>
          <cell r="O18">
            <v>4.9443268793386466E-2</v>
          </cell>
          <cell r="P18">
            <v>4.680187207488299E-2</v>
          </cell>
          <cell r="Q18">
            <v>1.103668831004097</v>
          </cell>
        </row>
        <row r="19">
          <cell r="A19">
            <v>47</v>
          </cell>
          <cell r="B19">
            <v>50</v>
          </cell>
          <cell r="C19">
            <v>31</v>
          </cell>
          <cell r="D19">
            <v>1000</v>
          </cell>
          <cell r="E19">
            <v>300</v>
          </cell>
          <cell r="F19">
            <v>666.66666666666674</v>
          </cell>
          <cell r="G19">
            <v>229.00763358778624</v>
          </cell>
          <cell r="H19">
            <v>6776</v>
          </cell>
          <cell r="I19">
            <v>2400</v>
          </cell>
          <cell r="L19">
            <v>0.12860082304526749</v>
          </cell>
          <cell r="M19">
            <v>0.1111111111111111</v>
          </cell>
          <cell r="N19">
            <v>1.2910271546635184</v>
          </cell>
          <cell r="O19">
            <v>8.9573629523468298E-2</v>
          </cell>
          <cell r="P19">
            <v>8.7108013937282222E-2</v>
          </cell>
          <cell r="Q19">
            <v>1.2031943305364541</v>
          </cell>
        </row>
        <row r="20">
          <cell r="A20">
            <v>48</v>
          </cell>
          <cell r="B20">
            <v>52</v>
          </cell>
          <cell r="C20">
            <v>32</v>
          </cell>
          <cell r="D20">
            <v>1500</v>
          </cell>
          <cell r="E20">
            <v>450</v>
          </cell>
          <cell r="F20">
            <v>986.84210526315792</v>
          </cell>
          <cell r="G20">
            <v>340.90909090909088</v>
          </cell>
          <cell r="H20">
            <v>7063</v>
          </cell>
          <cell r="I20">
            <v>2450</v>
          </cell>
          <cell r="L20">
            <v>0.17517225271516992</v>
          </cell>
          <cell r="M20">
            <v>0.15517241379310345</v>
          </cell>
          <cell r="N20">
            <v>1.4350553473548557</v>
          </cell>
          <cell r="O20">
            <v>0.12259148593957384</v>
          </cell>
          <cell r="P20">
            <v>0.12214983713355047</v>
          </cell>
          <cell r="Q20">
            <v>1.2983080850746616</v>
          </cell>
        </row>
        <row r="21">
          <cell r="A21">
            <v>49</v>
          </cell>
          <cell r="B21">
            <v>54</v>
          </cell>
          <cell r="C21">
            <v>33</v>
          </cell>
          <cell r="D21">
            <v>2000</v>
          </cell>
          <cell r="E21">
            <v>600</v>
          </cell>
          <cell r="F21">
            <v>1298.7012987012986</v>
          </cell>
          <cell r="G21">
            <v>451.12781954887214</v>
          </cell>
          <cell r="H21">
            <v>7356</v>
          </cell>
          <cell r="I21">
            <v>2500</v>
          </cell>
          <cell r="L21">
            <v>0.21376656690893545</v>
          </cell>
          <cell r="M21">
            <v>0.19354838709677419</v>
          </cell>
          <cell r="N21">
            <v>1.5771397498640569</v>
          </cell>
          <cell r="O21">
            <v>0.15005732189696463</v>
          </cell>
          <cell r="P21">
            <v>0.15286624203821655</v>
          </cell>
          <cell r="Q21">
            <v>1.3888596939903837</v>
          </cell>
        </row>
        <row r="22">
          <cell r="A22">
            <v>50</v>
          </cell>
          <cell r="B22">
            <v>56</v>
          </cell>
          <cell r="C22">
            <v>34</v>
          </cell>
          <cell r="D22">
            <v>2500</v>
          </cell>
          <cell r="E22">
            <v>750</v>
          </cell>
          <cell r="F22">
            <v>1602.5641025641023</v>
          </cell>
          <cell r="G22">
            <v>559.70149253731336</v>
          </cell>
          <cell r="H22">
            <v>7655</v>
          </cell>
          <cell r="I22">
            <v>2550</v>
          </cell>
          <cell r="L22">
            <v>0.24618414574101427</v>
          </cell>
          <cell r="M22">
            <v>0.22727272727272727</v>
          </cell>
          <cell r="N22">
            <v>1.7167556767971723</v>
          </cell>
          <cell r="O22">
            <v>0.17310861526956473</v>
          </cell>
          <cell r="P22">
            <v>0.17998560115190784</v>
          </cell>
          <cell r="Q22">
            <v>1.4747895599187224</v>
          </cell>
        </row>
        <row r="23">
          <cell r="A23">
            <v>51</v>
          </cell>
          <cell r="B23">
            <v>58</v>
          </cell>
          <cell r="C23">
            <v>35</v>
          </cell>
          <cell r="D23">
            <v>3000</v>
          </cell>
          <cell r="E23">
            <v>900</v>
          </cell>
          <cell r="F23">
            <v>1898.7341772151899</v>
          </cell>
          <cell r="G23">
            <v>666.66666666666663</v>
          </cell>
          <cell r="H23">
            <v>7960</v>
          </cell>
          <cell r="I23">
            <v>2600</v>
          </cell>
          <cell r="L23">
            <v>0.27372262773722628</v>
          </cell>
          <cell r="M23">
            <v>0.25714285714285712</v>
          </cell>
          <cell r="N23">
            <v>1.8534982605334362</v>
          </cell>
          <cell r="O23">
            <v>0.19259411432386625</v>
          </cell>
          <cell r="P23">
            <v>0.20408163265306123</v>
          </cell>
          <cell r="Q23">
            <v>1.5561073788285797</v>
          </cell>
        </row>
        <row r="24">
          <cell r="A24">
            <v>52</v>
          </cell>
          <cell r="B24">
            <v>60</v>
          </cell>
          <cell r="C24">
            <v>36</v>
          </cell>
          <cell r="D24">
            <v>3500</v>
          </cell>
          <cell r="E24">
            <v>1050</v>
          </cell>
          <cell r="F24">
            <v>2187.5</v>
          </cell>
          <cell r="G24">
            <v>772.05882352941182</v>
          </cell>
          <cell r="H24">
            <v>8271</v>
          </cell>
          <cell r="I24">
            <v>2650</v>
          </cell>
          <cell r="L24">
            <v>0.2973409226064056</v>
          </cell>
          <cell r="M24">
            <v>0.28378378378378377</v>
          </cell>
          <cell r="N24">
            <v>1.9870609517682838</v>
          </cell>
          <cell r="O24">
            <v>0.20916001338624085</v>
          </cell>
          <cell r="P24">
            <v>0.2256123764503653</v>
          </cell>
          <cell r="Q24">
            <v>1.632875137996699</v>
          </cell>
        </row>
        <row r="25">
          <cell r="A25">
            <v>53</v>
          </cell>
          <cell r="B25">
            <v>62</v>
          </cell>
          <cell r="C25">
            <v>37</v>
          </cell>
          <cell r="D25">
            <v>4000</v>
          </cell>
          <cell r="E25">
            <v>1200</v>
          </cell>
          <cell r="F25">
            <v>2469.1358024691363</v>
          </cell>
          <cell r="G25">
            <v>875.91240875912411</v>
          </cell>
          <cell r="H25">
            <v>8588</v>
          </cell>
          <cell r="I25">
            <v>2700</v>
          </cell>
          <cell r="L25">
            <v>0.31776294884016526</v>
          </cell>
          <cell r="M25">
            <v>0.30769230769230771</v>
          </cell>
          <cell r="N25">
            <v>2.1172178233193604</v>
          </cell>
          <cell r="O25">
            <v>0.22330699799470319</v>
          </cell>
          <cell r="P25">
            <v>0.2449479485609308</v>
          </cell>
          <cell r="Q25">
            <v>1.7051936863402923</v>
          </cell>
        </row>
        <row r="26">
          <cell r="A26">
            <v>54</v>
          </cell>
          <cell r="B26">
            <v>64</v>
          </cell>
          <cell r="C26">
            <v>38</v>
          </cell>
          <cell r="D26">
            <v>4500</v>
          </cell>
          <cell r="E26">
            <v>1350</v>
          </cell>
          <cell r="F26">
            <v>2743.9024390243903</v>
          </cell>
          <cell r="G26">
            <v>978.26086956521738</v>
          </cell>
          <cell r="H26">
            <v>8911</v>
          </cell>
          <cell r="I26">
            <v>2750</v>
          </cell>
          <cell r="L26">
            <v>0.33554544776675865</v>
          </cell>
          <cell r="M26">
            <v>0.32926829268292684</v>
          </cell>
          <cell r="N26">
            <v>2.24380897970843</v>
          </cell>
          <cell r="O26">
            <v>0.23542903541061963</v>
          </cell>
          <cell r="P26">
            <v>0.26239067055393583</v>
          </cell>
          <cell r="Q26">
            <v>1.7731921405419184</v>
          </cell>
        </row>
        <row r="27">
          <cell r="A27">
            <v>55</v>
          </cell>
          <cell r="B27">
            <v>66</v>
          </cell>
          <cell r="C27">
            <v>39</v>
          </cell>
          <cell r="D27">
            <v>5000</v>
          </cell>
          <cell r="E27">
            <v>1500</v>
          </cell>
          <cell r="F27">
            <v>3012.0481927710839</v>
          </cell>
          <cell r="G27">
            <v>1079.1366906474821</v>
          </cell>
          <cell r="H27">
            <v>9240</v>
          </cell>
          <cell r="I27">
            <v>2800</v>
          </cell>
          <cell r="L27">
            <v>0.351123595505618</v>
          </cell>
          <cell r="M27">
            <v>0.34883720930232559</v>
          </cell>
          <cell r="N27">
            <v>2.3667285095856521</v>
          </cell>
          <cell r="O27">
            <v>0.24584038075758169</v>
          </cell>
          <cell r="P27">
            <v>0.27818991097922846</v>
          </cell>
          <cell r="Q27">
            <v>1.8370195454607101</v>
          </cell>
        </row>
        <row r="28">
          <cell r="A28">
            <v>56</v>
          </cell>
          <cell r="B28">
            <v>68</v>
          </cell>
          <cell r="C28">
            <v>40</v>
          </cell>
          <cell r="D28">
            <v>5500</v>
          </cell>
          <cell r="E28">
            <v>1650</v>
          </cell>
          <cell r="F28">
            <v>3273.8095238095239</v>
          </cell>
          <cell r="G28">
            <v>1178.5714285714287</v>
          </cell>
          <cell r="H28">
            <v>9575</v>
          </cell>
          <cell r="I28">
            <v>2850</v>
          </cell>
          <cell r="L28">
            <v>0.36484245439469321</v>
          </cell>
          <cell r="M28">
            <v>0.36666666666666664</v>
          </cell>
          <cell r="N28">
            <v>2.4859145252164354</v>
          </cell>
          <cell r="O28">
            <v>0.25479477439080889</v>
          </cell>
          <cell r="P28">
            <v>0.29255319148936171</v>
          </cell>
          <cell r="Q28">
            <v>1.8968383285704005</v>
          </cell>
        </row>
        <row r="29">
          <cell r="A29">
            <v>57</v>
          </cell>
          <cell r="B29">
            <v>70</v>
          </cell>
          <cell r="C29">
            <v>41</v>
          </cell>
          <cell r="D29">
            <v>6000</v>
          </cell>
          <cell r="E29">
            <v>1800</v>
          </cell>
          <cell r="F29">
            <v>3529.4117647058824</v>
          </cell>
          <cell r="G29">
            <v>1276.5957446808511</v>
          </cell>
          <cell r="H29">
            <v>9916</v>
          </cell>
          <cell r="I29">
            <v>2900</v>
          </cell>
          <cell r="L29">
            <v>0.37697914048755971</v>
          </cell>
          <cell r="M29">
            <v>0.38297872340425532</v>
          </cell>
          <cell r="N29">
            <v>2.6013409188910996</v>
          </cell>
          <cell r="O29">
            <v>0.26249934375164063</v>
          </cell>
          <cell r="P29">
            <v>0.30565461029037183</v>
          </cell>
          <cell r="Q29">
            <v>1.9528191832758077</v>
          </cell>
        </row>
        <row r="30">
          <cell r="A30">
            <v>58</v>
          </cell>
          <cell r="B30">
            <v>72</v>
          </cell>
          <cell r="C30">
            <v>42</v>
          </cell>
          <cell r="D30">
            <v>6500</v>
          </cell>
          <cell r="E30">
            <v>1950</v>
          </cell>
          <cell r="F30">
            <v>3779.0697674418598</v>
          </cell>
          <cell r="G30">
            <v>1373.2394366197182</v>
          </cell>
          <cell r="H30">
            <v>10263</v>
          </cell>
          <cell r="I30">
            <v>2950</v>
          </cell>
          <cell r="L30">
            <v>0.38775875439957047</v>
          </cell>
          <cell r="M30">
            <v>0.39795918367346939</v>
          </cell>
          <cell r="N30">
            <v>2.7130105347991877</v>
          </cell>
          <cell r="O30">
            <v>0.26912483914615382</v>
          </cell>
          <cell r="P30">
            <v>0.31764130965955362</v>
          </cell>
          <cell r="Q30">
            <v>2.0051370907958033</v>
          </cell>
        </row>
        <row r="31">
          <cell r="A31">
            <v>59</v>
          </cell>
          <cell r="B31">
            <v>74</v>
          </cell>
          <cell r="C31">
            <v>43</v>
          </cell>
          <cell r="D31">
            <v>7000</v>
          </cell>
          <cell r="E31">
            <v>2100</v>
          </cell>
          <cell r="F31">
            <v>4022.9885057471261</v>
          </cell>
          <cell r="G31">
            <v>1468.5314685314686</v>
          </cell>
          <cell r="H31">
            <v>10616</v>
          </cell>
          <cell r="I31">
            <v>3000</v>
          </cell>
          <cell r="L31">
            <v>0.39736603088101724</v>
          </cell>
          <cell r="M31">
            <v>0.41176470588235292</v>
          </cell>
          <cell r="N31">
            <v>2.8209495101733228</v>
          </cell>
          <cell r="O31">
            <v>0.27481328400304023</v>
          </cell>
          <cell r="P31">
            <v>0.32863849765258213</v>
          </cell>
          <cell r="Q31">
            <v>2.0539682493532241</v>
          </cell>
        </row>
        <row r="32">
          <cell r="A32">
            <v>60</v>
          </cell>
          <cell r="B32">
            <v>76</v>
          </cell>
          <cell r="C32">
            <v>44</v>
          </cell>
          <cell r="D32">
            <v>7500</v>
          </cell>
          <cell r="E32">
            <v>2250</v>
          </cell>
          <cell r="F32">
            <v>4261.363636363636</v>
          </cell>
          <cell r="G32">
            <v>1562.5</v>
          </cell>
          <cell r="H32">
            <v>10975</v>
          </cell>
          <cell r="I32">
            <v>3050</v>
          </cell>
          <cell r="L32">
            <v>0.40595399188092018</v>
          </cell>
          <cell r="M32">
            <v>0.42452830188679247</v>
          </cell>
          <cell r="N32">
            <v>2.9252025841144182</v>
          </cell>
          <cell r="O32">
            <v>0.27968377088305485</v>
          </cell>
          <cell r="P32">
            <v>0.33875338753387535</v>
          </cell>
          <cell r="Q32">
            <v>2.0994877261354725</v>
          </cell>
        </row>
        <row r="33">
          <cell r="A33">
            <v>61</v>
          </cell>
          <cell r="B33">
            <v>78</v>
          </cell>
          <cell r="C33">
            <v>45</v>
          </cell>
          <cell r="D33">
            <v>8000</v>
          </cell>
          <cell r="E33">
            <v>2400</v>
          </cell>
          <cell r="F33">
            <v>4494.3820224719102</v>
          </cell>
          <cell r="G33">
            <v>1655.1724137931035</v>
          </cell>
          <cell r="H33">
            <v>11340</v>
          </cell>
          <cell r="I33">
            <v>3100</v>
          </cell>
          <cell r="L33">
            <v>0.41365046535677352</v>
          </cell>
          <cell r="M33">
            <v>0.43636363636363634</v>
          </cell>
          <cell r="N33">
            <v>3.025829208624907</v>
          </cell>
          <cell r="O33">
            <v>0.28383690731305794</v>
          </cell>
          <cell r="P33">
            <v>0.34807831762146485</v>
          </cell>
          <cell r="Q33">
            <v>2.1418676845513991</v>
          </cell>
        </row>
        <row r="34">
          <cell r="A34">
            <v>62</v>
          </cell>
          <cell r="B34">
            <v>80</v>
          </cell>
          <cell r="C34">
            <v>46</v>
          </cell>
          <cell r="D34">
            <v>8500</v>
          </cell>
          <cell r="E34">
            <v>2550</v>
          </cell>
          <cell r="F34">
            <v>4722.2222222222226</v>
          </cell>
          <cell r="G34">
            <v>1746.5753424657537</v>
          </cell>
          <cell r="H34">
            <v>11711</v>
          </cell>
          <cell r="I34">
            <v>3150</v>
          </cell>
          <cell r="L34">
            <v>0.4205630597199545</v>
          </cell>
          <cell r="M34">
            <v>0.44736842105263158</v>
          </cell>
          <cell r="N34">
            <v>3.1229003257011123</v>
          </cell>
          <cell r="O34">
            <v>0.28735826476176313</v>
          </cell>
          <cell r="P34">
            <v>0.35669324381032314</v>
          </cell>
          <cell r="Q34">
            <v>2.181276068777926</v>
          </cell>
        </row>
        <row r="35">
          <cell r="A35">
            <v>63</v>
          </cell>
          <cell r="B35">
            <v>82</v>
          </cell>
          <cell r="C35">
            <v>47</v>
          </cell>
          <cell r="D35">
            <v>9000</v>
          </cell>
          <cell r="E35">
            <v>2700</v>
          </cell>
          <cell r="F35">
            <v>4945.0549450549452</v>
          </cell>
          <cell r="G35">
            <v>1836.7346938775509</v>
          </cell>
          <cell r="H35">
            <v>12088</v>
          </cell>
          <cell r="I35">
            <v>3200</v>
          </cell>
          <cell r="L35">
            <v>0.42678300455235207</v>
          </cell>
          <cell r="M35">
            <v>0.4576271186440678</v>
          </cell>
          <cell r="N35">
            <v>3.2164956982131043</v>
          </cell>
          <cell r="O35">
            <v>0.29032108221376923</v>
          </cell>
          <cell r="P35">
            <v>0.36466774716369527</v>
          </cell>
          <cell r="Q35">
            <v>2.2178756510713313</v>
          </cell>
        </row>
        <row r="36">
          <cell r="A36">
            <v>64</v>
          </cell>
          <cell r="B36">
            <v>84</v>
          </cell>
          <cell r="C36">
            <v>48</v>
          </cell>
          <cell r="D36">
            <v>9500</v>
          </cell>
          <cell r="E36">
            <v>2850</v>
          </cell>
          <cell r="F36">
            <v>5163.0434782608691</v>
          </cell>
          <cell r="G36">
            <v>1925.6756756756756</v>
          </cell>
          <cell r="H36">
            <v>12471</v>
          </cell>
          <cell r="I36">
            <v>3250</v>
          </cell>
          <cell r="L36">
            <v>0.43238814801329023</v>
          </cell>
          <cell r="M36">
            <v>0.46721311475409838</v>
          </cell>
          <cell r="N36">
            <v>3.3067017017943168</v>
          </cell>
          <cell r="O36">
            <v>0.29278840582568794</v>
          </cell>
          <cell r="P36">
            <v>0.37206266318537856</v>
          </cell>
          <cell r="Q36">
            <v>2.2518233660675429</v>
          </cell>
        </row>
        <row r="37">
          <cell r="A37">
            <v>65</v>
          </cell>
          <cell r="B37">
            <v>86</v>
          </cell>
          <cell r="C37">
            <v>49</v>
          </cell>
          <cell r="D37">
            <v>10000</v>
          </cell>
          <cell r="E37">
            <v>3000</v>
          </cell>
          <cell r="F37">
            <v>5376.3440860215051</v>
          </cell>
          <cell r="G37">
            <v>2013.4228187919462</v>
          </cell>
          <cell r="H37">
            <v>12860</v>
          </cell>
          <cell r="I37">
            <v>3300</v>
          </cell>
          <cell r="L37">
            <v>0.43744531933508313</v>
          </cell>
          <cell r="M37">
            <v>0.47619047619047616</v>
          </cell>
          <cell r="N37">
            <v>3.3936095009189877</v>
          </cell>
          <cell r="O37">
            <v>0.29481479734430827</v>
          </cell>
          <cell r="P37">
            <v>0.37893141341417202</v>
          </cell>
          <cell r="Q37">
            <v>2.2832698712947881</v>
          </cell>
        </row>
        <row r="38">
          <cell r="A38">
            <v>66</v>
          </cell>
          <cell r="B38">
            <v>88</v>
          </cell>
          <cell r="C38">
            <v>50</v>
          </cell>
          <cell r="D38">
            <v>10500</v>
          </cell>
          <cell r="E38">
            <v>3150</v>
          </cell>
          <cell r="F38">
            <v>5585.1063829787236</v>
          </cell>
          <cell r="G38">
            <v>2100.0000000000005</v>
          </cell>
          <cell r="H38">
            <v>13255</v>
          </cell>
          <cell r="I38">
            <v>3350</v>
          </cell>
          <cell r="L38">
            <v>0.44201220795621976</v>
          </cell>
          <cell r="M38">
            <v>0.48461538461538461</v>
          </cell>
          <cell r="N38">
            <v>3.4773135454376556</v>
          </cell>
          <cell r="O38">
            <v>0.29644770944736498</v>
          </cell>
          <cell r="P38">
            <v>0.38532110091743127</v>
          </cell>
          <cell r="Q38">
            <v>2.312359285141266</v>
          </cell>
        </row>
        <row r="39">
          <cell r="A39">
            <v>67</v>
          </cell>
          <cell r="B39">
            <v>90</v>
          </cell>
          <cell r="C39">
            <v>51</v>
          </cell>
          <cell r="D39">
            <v>11000</v>
          </cell>
          <cell r="E39">
            <v>3300</v>
          </cell>
          <cell r="F39">
            <v>5789.4736842105276</v>
          </cell>
          <cell r="G39">
            <v>2185.4304635761591</v>
          </cell>
          <cell r="H39">
            <v>13656</v>
          </cell>
          <cell r="I39">
            <v>3400</v>
          </cell>
          <cell r="L39">
            <v>0.44613887086307591</v>
          </cell>
          <cell r="M39">
            <v>0.4925373134328358</v>
          </cell>
          <cell r="N39">
            <v>3.5579103346083594</v>
          </cell>
          <cell r="O39">
            <v>0.29772860143342794</v>
          </cell>
          <cell r="P39">
            <v>0.39127341712117619</v>
          </cell>
          <cell r="Q39">
            <v>2.3392290631667616</v>
          </cell>
        </row>
        <row r="40">
          <cell r="A40">
            <v>68</v>
          </cell>
          <cell r="B40">
            <v>92</v>
          </cell>
          <cell r="C40">
            <v>52</v>
          </cell>
          <cell r="D40">
            <v>11500</v>
          </cell>
          <cell r="E40">
            <v>3450</v>
          </cell>
          <cell r="F40">
            <v>5989.5833333333321</v>
          </cell>
          <cell r="G40">
            <v>2269.7368421052633</v>
          </cell>
          <cell r="H40">
            <v>14063</v>
          </cell>
          <cell r="I40">
            <v>3450</v>
          </cell>
          <cell r="L40">
            <v>0.44986895121855808</v>
          </cell>
          <cell r="M40">
            <v>0.5</v>
          </cell>
          <cell r="N40">
            <v>3.6354974045367277</v>
          </cell>
          <cell r="O40">
            <v>0.29869385075073446</v>
          </cell>
          <cell r="P40">
            <v>0.39682539682539686</v>
          </cell>
          <cell r="Q40">
            <v>2.3640099813994913</v>
          </cell>
        </row>
        <row r="41">
          <cell r="A41">
            <v>69</v>
          </cell>
          <cell r="B41">
            <v>94</v>
          </cell>
          <cell r="C41">
            <v>53</v>
          </cell>
          <cell r="D41">
            <v>12000</v>
          </cell>
          <cell r="E41">
            <v>3600</v>
          </cell>
          <cell r="F41">
            <v>6185.567010309278</v>
          </cell>
          <cell r="G41">
            <v>2352.9411764705883</v>
          </cell>
          <cell r="H41">
            <v>14476</v>
          </cell>
          <cell r="I41">
            <v>3500</v>
          </cell>
          <cell r="L41">
            <v>0.45324067079619279</v>
          </cell>
          <cell r="M41">
            <v>0.50704225352112675</v>
          </cell>
          <cell r="N41">
            <v>3.7101725022697667</v>
          </cell>
          <cell r="O41">
            <v>0.29937550270136493</v>
          </cell>
          <cell r="P41">
            <v>0.4020100502512563</v>
          </cell>
          <cell r="Q41">
            <v>2.3868262014969699</v>
          </cell>
        </row>
        <row r="42">
          <cell r="A42">
            <v>70</v>
          </cell>
          <cell r="B42">
            <v>96</v>
          </cell>
          <cell r="C42">
            <v>54</v>
          </cell>
          <cell r="D42">
            <v>12500</v>
          </cell>
          <cell r="E42">
            <v>3750</v>
          </cell>
          <cell r="F42">
            <v>6377.5510204081638</v>
          </cell>
          <cell r="G42">
            <v>2435.0649350649351</v>
          </cell>
          <cell r="H42">
            <v>14895</v>
          </cell>
          <cell r="I42">
            <v>3550</v>
          </cell>
          <cell r="L42">
            <v>0.45628764373060776</v>
          </cell>
          <cell r="M42">
            <v>0.51369863013698636</v>
          </cell>
          <cell r="N42">
            <v>3.782032915857009</v>
          </cell>
          <cell r="O42">
            <v>0.29980189091048637</v>
          </cell>
          <cell r="P42">
            <v>0.40685689486817839</v>
          </cell>
          <cell r="Q42">
            <v>2.4077953976733797</v>
          </cell>
        </row>
        <row r="43">
          <cell r="A43">
            <v>71</v>
          </cell>
          <cell r="B43">
            <v>98</v>
          </cell>
          <cell r="C43">
            <v>55</v>
          </cell>
          <cell r="D43">
            <v>13000</v>
          </cell>
          <cell r="E43">
            <v>3900</v>
          </cell>
          <cell r="F43">
            <v>6565.6565656565645</v>
          </cell>
          <cell r="G43">
            <v>2516.1290322580644</v>
          </cell>
          <cell r="H43">
            <v>15320</v>
          </cell>
          <cell r="I43">
            <v>3610</v>
          </cell>
          <cell r="L43">
            <v>0.45903954802259889</v>
          </cell>
          <cell r="M43">
            <v>0.51930758988015979</v>
          </cell>
          <cell r="N43">
            <v>3.8456275359279055</v>
          </cell>
          <cell r="O43">
            <v>0.29999815385751466</v>
          </cell>
          <cell r="P43">
            <v>0.41072086777947447</v>
          </cell>
          <cell r="Q43">
            <v>2.4242631086570161</v>
          </cell>
        </row>
        <row r="44">
          <cell r="A44">
            <v>72</v>
          </cell>
          <cell r="B44">
            <v>100</v>
          </cell>
          <cell r="C44">
            <v>56</v>
          </cell>
          <cell r="D44">
            <v>13500</v>
          </cell>
          <cell r="E44">
            <v>4050</v>
          </cell>
          <cell r="F44">
            <v>6750</v>
          </cell>
          <cell r="G44">
            <v>2596.1538461538457</v>
          </cell>
          <cell r="H44">
            <v>15751</v>
          </cell>
          <cell r="I44">
            <v>3680</v>
          </cell>
          <cell r="L44">
            <v>0.46152268298519711</v>
          </cell>
          <cell r="M44">
            <v>0.52393272962483828</v>
          </cell>
          <cell r="N44">
            <v>3.9008950087365051</v>
          </cell>
          <cell r="O44">
            <v>0.2999866672592329</v>
          </cell>
          <cell r="P44">
            <v>0.41365363402377736</v>
          </cell>
          <cell r="Q44">
            <v>2.4363487220326188</v>
          </cell>
        </row>
        <row r="45">
          <cell r="A45">
            <v>73</v>
          </cell>
          <cell r="B45">
            <v>102</v>
          </cell>
          <cell r="C45">
            <v>57</v>
          </cell>
          <cell r="D45">
            <v>14000</v>
          </cell>
          <cell r="E45">
            <v>4200</v>
          </cell>
          <cell r="F45">
            <v>6930.6930693069307</v>
          </cell>
          <cell r="G45">
            <v>2675.1592356687902</v>
          </cell>
          <cell r="H45">
            <v>16188</v>
          </cell>
          <cell r="I45">
            <v>3760</v>
          </cell>
          <cell r="L45">
            <v>0.46376043460977873</v>
          </cell>
          <cell r="M45">
            <v>0.52763819095477382</v>
          </cell>
          <cell r="N45">
            <v>3.9479020445930528</v>
          </cell>
          <cell r="O45">
            <v>0.29978740790102565</v>
          </cell>
          <cell r="P45">
            <v>0.41570987409929527</v>
          </cell>
          <cell r="Q45">
            <v>2.4442269953962246</v>
          </cell>
        </row>
        <row r="46">
          <cell r="A46">
            <v>74</v>
          </cell>
          <cell r="B46">
            <v>104</v>
          </cell>
          <cell r="C46">
            <v>58</v>
          </cell>
          <cell r="D46">
            <v>14500</v>
          </cell>
          <cell r="E46">
            <v>4350</v>
          </cell>
          <cell r="F46">
            <v>7107.8431372549021</v>
          </cell>
          <cell r="G46">
            <v>2753.1645569620255</v>
          </cell>
          <cell r="H46">
            <v>16631</v>
          </cell>
          <cell r="I46">
            <v>3850</v>
          </cell>
          <cell r="L46">
            <v>0.46577366612058718</v>
          </cell>
          <cell r="M46">
            <v>0.53048780487804881</v>
          </cell>
          <cell r="N46">
            <v>3.9868310392031154</v>
          </cell>
          <cell r="O46">
            <v>0.29941826129261134</v>
          </cell>
          <cell r="P46">
            <v>0.41694622831400369</v>
          </cell>
          <cell r="Q46">
            <v>2.4481193019639087</v>
          </cell>
        </row>
        <row r="47">
          <cell r="A47">
            <v>75</v>
          </cell>
          <cell r="B47">
            <v>106</v>
          </cell>
          <cell r="C47">
            <v>59</v>
          </cell>
          <cell r="D47">
            <v>15000</v>
          </cell>
          <cell r="E47">
            <v>4500</v>
          </cell>
          <cell r="F47">
            <v>7281.5533980582522</v>
          </cell>
          <cell r="G47">
            <v>2830.1886792452833</v>
          </cell>
          <cell r="H47">
            <v>17080</v>
          </cell>
          <cell r="I47">
            <v>3950</v>
          </cell>
          <cell r="L47">
            <v>0.46758104738154616</v>
          </cell>
          <cell r="M47">
            <v>0.53254437869822491</v>
          </cell>
          <cell r="N47">
            <v>4.0179646043933248</v>
          </cell>
          <cell r="O47">
            <v>0.29889528303390667</v>
          </cell>
          <cell r="P47">
            <v>0.41742034228468072</v>
          </cell>
          <cell r="Q47">
            <v>2.4482840031770676</v>
          </cell>
        </row>
        <row r="48">
          <cell r="A48">
            <v>76</v>
          </cell>
          <cell r="B48">
            <v>108</v>
          </cell>
          <cell r="C48">
            <v>60</v>
          </cell>
          <cell r="D48">
            <v>15500</v>
          </cell>
          <cell r="E48">
            <v>4650</v>
          </cell>
          <cell r="F48">
            <v>7451.9230769230762</v>
          </cell>
          <cell r="G48">
            <v>2906.25</v>
          </cell>
          <cell r="H48">
            <v>17535</v>
          </cell>
          <cell r="I48">
            <v>4060</v>
          </cell>
          <cell r="L48">
            <v>0.46919933403965491</v>
          </cell>
          <cell r="M48">
            <v>0.53386911595866815</v>
          </cell>
          <cell r="N48">
            <v>4.0416682468981815</v>
          </cell>
          <cell r="O48">
            <v>0.29823292183603728</v>
          </cell>
          <cell r="P48">
            <v>0.41719002332675398</v>
          </cell>
          <cell r="Q48">
            <v>2.4450065791656015</v>
          </cell>
        </row>
        <row r="49">
          <cell r="A49">
            <v>77</v>
          </cell>
          <cell r="B49">
            <v>110</v>
          </cell>
          <cell r="C49">
            <v>61</v>
          </cell>
          <cell r="D49">
            <v>16000</v>
          </cell>
          <cell r="E49">
            <v>4800</v>
          </cell>
          <cell r="F49">
            <v>7619.0476190476184</v>
          </cell>
          <cell r="G49">
            <v>2981.3664596273293</v>
          </cell>
          <cell r="H49">
            <v>17996</v>
          </cell>
          <cell r="I49">
            <v>4180</v>
          </cell>
          <cell r="L49">
            <v>0.4706436051300153</v>
          </cell>
          <cell r="M49">
            <v>0.534521158129176</v>
          </cell>
          <cell r="N49">
            <v>4.0583723549411834</v>
          </cell>
          <cell r="O49">
            <v>0.29744421062024551</v>
          </cell>
          <cell r="P49">
            <v>0.41631251192561886</v>
          </cell>
          <cell r="Q49">
            <v>2.438590059896411</v>
          </cell>
        </row>
        <row r="50">
          <cell r="A50">
            <v>78</v>
          </cell>
          <cell r="B50">
            <v>112</v>
          </cell>
          <cell r="C50">
            <v>62</v>
          </cell>
          <cell r="D50">
            <v>16500</v>
          </cell>
          <cell r="E50">
            <v>4950</v>
          </cell>
          <cell r="F50">
            <v>7783.0188679245284</v>
          </cell>
          <cell r="G50">
            <v>3055.5555555555561</v>
          </cell>
          <cell r="H50">
            <v>18463</v>
          </cell>
          <cell r="I50">
            <v>4310</v>
          </cell>
          <cell r="L50">
            <v>0.4719274661785316</v>
          </cell>
          <cell r="M50">
            <v>0.53455723542116629</v>
          </cell>
          <cell r="N50">
            <v>4.0685544915629208</v>
          </cell>
          <cell r="O50">
            <v>0.29654093091566808</v>
          </cell>
          <cell r="P50">
            <v>0.41484386785337157</v>
          </cell>
          <cell r="Q50">
            <v>2.4293461832281542</v>
          </cell>
        </row>
        <row r="51">
          <cell r="A51">
            <v>79</v>
          </cell>
          <cell r="B51">
            <v>114</v>
          </cell>
          <cell r="C51">
            <v>63</v>
          </cell>
          <cell r="D51">
            <v>17000</v>
          </cell>
          <cell r="E51">
            <v>5100</v>
          </cell>
          <cell r="F51">
            <v>7943.9252336448608</v>
          </cell>
          <cell r="G51">
            <v>3128.8343558282209</v>
          </cell>
          <cell r="H51">
            <v>18936</v>
          </cell>
          <cell r="I51">
            <v>4450</v>
          </cell>
          <cell r="L51">
            <v>0.47306322350845947</v>
          </cell>
          <cell r="M51">
            <v>0.53403141361256545</v>
          </cell>
          <cell r="N51">
            <v>4.0727227847320133</v>
          </cell>
          <cell r="O51">
            <v>0.29553375482241551</v>
          </cell>
          <cell r="P51">
            <v>0.41283846683126235</v>
          </cell>
          <cell r="Q51">
            <v>2.4175875787732251</v>
          </cell>
        </row>
        <row r="52">
          <cell r="A52">
            <v>80</v>
          </cell>
          <cell r="B52">
            <v>116</v>
          </cell>
          <cell r="C52">
            <v>64</v>
          </cell>
          <cell r="D52">
            <v>17500</v>
          </cell>
          <cell r="E52">
            <v>5250</v>
          </cell>
          <cell r="F52">
            <v>8101.8518518518513</v>
          </cell>
          <cell r="G52">
            <v>3201.2195121951218</v>
          </cell>
          <cell r="H52">
            <v>19415</v>
          </cell>
          <cell r="I52">
            <v>4600</v>
          </cell>
          <cell r="L52">
            <v>0.47406203440335909</v>
          </cell>
          <cell r="M52">
            <v>0.53299492385786806</v>
          </cell>
          <cell r="N52">
            <v>4.0714009786247747</v>
          </cell>
          <cell r="O52">
            <v>0.294432368043825</v>
          </cell>
          <cell r="P52">
            <v>0.41034860090667497</v>
          </cell>
          <cell r="Q52">
            <v>2.4036211533087277</v>
          </cell>
        </row>
        <row r="53">
          <cell r="A53">
            <v>81</v>
          </cell>
          <cell r="B53">
            <v>118</v>
          </cell>
          <cell r="C53">
            <v>65</v>
          </cell>
          <cell r="D53">
            <v>18000</v>
          </cell>
          <cell r="E53">
            <v>5400</v>
          </cell>
          <cell r="F53">
            <v>8256.880733944954</v>
          </cell>
          <cell r="G53">
            <v>3272.727272727273</v>
          </cell>
          <cell r="H53">
            <v>19900</v>
          </cell>
          <cell r="I53">
            <v>4760</v>
          </cell>
          <cell r="L53">
            <v>0.47493403693931396</v>
          </cell>
          <cell r="M53">
            <v>0.53149606299212604</v>
          </cell>
          <cell r="N53">
            <v>4.0651154934335549</v>
          </cell>
          <cell r="O53">
            <v>0.29324557687921537</v>
          </cell>
          <cell r="P53">
            <v>0.40742417383431417</v>
          </cell>
          <cell r="Q53">
            <v>2.3877427450961606</v>
          </cell>
        </row>
        <row r="54">
          <cell r="A54">
            <v>82</v>
          </cell>
          <cell r="B54">
            <v>120</v>
          </cell>
          <cell r="C54">
            <v>66</v>
          </cell>
          <cell r="D54">
            <v>18500</v>
          </cell>
          <cell r="E54">
            <v>5550</v>
          </cell>
          <cell r="F54">
            <v>8409.0909090909099</v>
          </cell>
          <cell r="G54">
            <v>3343.3734939759033</v>
          </cell>
          <cell r="H54">
            <v>20391</v>
          </cell>
          <cell r="I54">
            <v>4930</v>
          </cell>
          <cell r="L54">
            <v>0.47568846262631459</v>
          </cell>
          <cell r="M54">
            <v>0.52958015267175573</v>
          </cell>
          <cell r="N54">
            <v>4.0543846502697818</v>
          </cell>
          <cell r="O54">
            <v>0.29198140157385866</v>
          </cell>
          <cell r="P54">
            <v>0.40411248161470237</v>
          </cell>
          <cell r="Q54">
            <v>2.370233026993366</v>
          </cell>
        </row>
        <row r="55">
          <cell r="A55">
            <v>83</v>
          </cell>
          <cell r="B55">
            <v>122</v>
          </cell>
          <cell r="C55">
            <v>67</v>
          </cell>
          <cell r="D55">
            <v>19000</v>
          </cell>
          <cell r="E55">
            <v>5700</v>
          </cell>
          <cell r="F55">
            <v>8558.5585585585577</v>
          </cell>
          <cell r="G55">
            <v>3413.1736526946111</v>
          </cell>
          <cell r="H55">
            <v>20888</v>
          </cell>
          <cell r="I55">
            <v>5110</v>
          </cell>
          <cell r="L55">
            <v>0.47633373445647814</v>
          </cell>
          <cell r="M55">
            <v>0.5272895467160037</v>
          </cell>
          <cell r="N55">
            <v>4.0397100630255416</v>
          </cell>
          <cell r="O55">
            <v>0.29064715802149443</v>
          </cell>
          <cell r="P55">
            <v>0.40045806782495064</v>
          </cell>
          <cell r="Q55">
            <v>2.3513545738377988</v>
          </cell>
        </row>
        <row r="56">
          <cell r="A56">
            <v>84</v>
          </cell>
          <cell r="B56">
            <v>124</v>
          </cell>
          <cell r="C56">
            <v>68</v>
          </cell>
          <cell r="D56">
            <v>19500</v>
          </cell>
          <cell r="E56">
            <v>5850</v>
          </cell>
          <cell r="F56">
            <v>8705.3571428571431</v>
          </cell>
          <cell r="G56">
            <v>3482.1428571428573</v>
          </cell>
          <cell r="H56">
            <v>21391</v>
          </cell>
          <cell r="I56">
            <v>5300</v>
          </cell>
          <cell r="L56">
            <v>0.47687755251766895</v>
          </cell>
          <cell r="M56">
            <v>0.5246636771300448</v>
          </cell>
          <cell r="N56">
            <v>4.0215700836976929</v>
          </cell>
          <cell r="O56">
            <v>0.28924952948743204</v>
          </cell>
          <cell r="P56">
            <v>0.3965026433509557</v>
          </cell>
          <cell r="Q56">
            <v>2.3313499673920637</v>
          </cell>
        </row>
        <row r="57">
          <cell r="A57">
            <v>85</v>
          </cell>
          <cell r="B57">
            <v>126</v>
          </cell>
          <cell r="C57">
            <v>69</v>
          </cell>
          <cell r="D57">
            <v>20000</v>
          </cell>
          <cell r="E57">
            <v>6000</v>
          </cell>
          <cell r="F57">
            <v>8849.5575221238942</v>
          </cell>
          <cell r="G57">
            <v>3550.2958579881656</v>
          </cell>
          <cell r="H57">
            <v>21900</v>
          </cell>
          <cell r="I57">
            <v>5500</v>
          </cell>
          <cell r="L57">
            <v>0.47732696897374699</v>
          </cell>
          <cell r="M57">
            <v>0.52173913043478259</v>
          </cell>
          <cell r="N57">
            <v>4.0004151100041501</v>
          </cell>
          <cell r="O57">
            <v>0.28779462975220882</v>
          </cell>
          <cell r="P57">
            <v>0.39228506047728018</v>
          </cell>
          <cell r="Q57">
            <v>2.3104407893519863</v>
          </cell>
        </row>
        <row r="58">
          <cell r="A58">
            <v>86</v>
          </cell>
          <cell r="B58">
            <v>128</v>
          </cell>
          <cell r="C58">
            <v>70</v>
          </cell>
          <cell r="D58">
            <v>21000</v>
          </cell>
          <cell r="E58">
            <v>6400</v>
          </cell>
          <cell r="F58">
            <v>9210.5263157894751</v>
          </cell>
          <cell r="G58">
            <v>3764.7058823529414</v>
          </cell>
          <cell r="H58">
            <v>22415</v>
          </cell>
          <cell r="I58">
            <v>5710</v>
          </cell>
          <cell r="L58">
            <v>0.48370378901301392</v>
          </cell>
          <cell r="M58">
            <v>0.52848885218827413</v>
          </cell>
          <cell r="N58">
            <v>4.1077981696176211</v>
          </cell>
          <cell r="O58">
            <v>0.29123709195603159</v>
          </cell>
          <cell r="P58">
            <v>0.39734277022412623</v>
          </cell>
          <cell r="Q58">
            <v>2.3411468053605766</v>
          </cell>
        </row>
        <row r="59">
          <cell r="A59">
            <v>87</v>
          </cell>
          <cell r="B59">
            <v>130</v>
          </cell>
          <cell r="C59">
            <v>71</v>
          </cell>
          <cell r="D59">
            <v>22000</v>
          </cell>
          <cell r="E59">
            <v>6800</v>
          </cell>
          <cell r="F59">
            <v>9565.217391304348</v>
          </cell>
          <cell r="G59">
            <v>3976.6081871345027</v>
          </cell>
          <cell r="H59">
            <v>22936</v>
          </cell>
          <cell r="I59">
            <v>5930</v>
          </cell>
          <cell r="L59">
            <v>0.48958518782268112</v>
          </cell>
          <cell r="M59">
            <v>0.53417124901806756</v>
          </cell>
          <cell r="N59">
            <v>4.2058176693443032</v>
          </cell>
          <cell r="O59">
            <v>0.29430335719866013</v>
          </cell>
          <cell r="P59">
            <v>0.40140965626346636</v>
          </cell>
          <cell r="Q59">
            <v>2.3672942430651958</v>
          </cell>
        </row>
        <row r="60">
          <cell r="A60">
            <v>88</v>
          </cell>
          <cell r="B60">
            <v>132</v>
          </cell>
          <cell r="C60">
            <v>72</v>
          </cell>
          <cell r="D60">
            <v>23000</v>
          </cell>
          <cell r="E60">
            <v>7200</v>
          </cell>
          <cell r="F60">
            <v>9913.7931034482754</v>
          </cell>
          <cell r="G60">
            <v>4186.0465116279065</v>
          </cell>
          <cell r="H60">
            <v>23463</v>
          </cell>
          <cell r="I60">
            <v>6160</v>
          </cell>
          <cell r="L60">
            <v>0.49501754083894711</v>
          </cell>
          <cell r="M60">
            <v>0.53892215568862278</v>
          </cell>
          <cell r="N60">
            <v>4.2948643650599925</v>
          </cell>
          <cell r="O60">
            <v>0.29702653195953826</v>
          </cell>
          <cell r="P60">
            <v>0.40460348858119038</v>
          </cell>
          <cell r="Q60">
            <v>2.3892125115563094</v>
          </cell>
        </row>
        <row r="61">
          <cell r="A61">
            <v>89</v>
          </cell>
          <cell r="B61">
            <v>134</v>
          </cell>
          <cell r="C61">
            <v>73</v>
          </cell>
          <cell r="D61">
            <v>24000</v>
          </cell>
          <cell r="E61">
            <v>7600</v>
          </cell>
          <cell r="F61">
            <v>10256.410256410258</v>
          </cell>
          <cell r="G61">
            <v>4393.0635838150283</v>
          </cell>
          <cell r="H61">
            <v>23996</v>
          </cell>
          <cell r="I61">
            <v>6400</v>
          </cell>
          <cell r="L61">
            <v>0.50004167013917822</v>
          </cell>
          <cell r="M61">
            <v>0.54285714285714282</v>
          </cell>
          <cell r="N61">
            <v>4.3753646441073508</v>
          </cell>
          <cell r="O61">
            <v>0.29943616170750481</v>
          </cell>
          <cell r="P61">
            <v>0.40702656383890312</v>
          </cell>
          <cell r="Q61">
            <v>2.4072269974445866</v>
          </cell>
        </row>
        <row r="62">
          <cell r="A62">
            <v>90</v>
          </cell>
          <cell r="B62">
            <v>136</v>
          </cell>
          <cell r="C62">
            <v>74</v>
          </cell>
          <cell r="D62">
            <v>25000</v>
          </cell>
          <cell r="E62">
            <v>8000</v>
          </cell>
          <cell r="F62">
            <v>10593.22033898305</v>
          </cell>
          <cell r="G62">
            <v>4597.7011494252874</v>
          </cell>
          <cell r="H62">
            <v>24535</v>
          </cell>
          <cell r="I62">
            <v>6650</v>
          </cell>
          <cell r="L62">
            <v>0.50469365095387098</v>
          </cell>
          <cell r="M62">
            <v>0.5460750853242321</v>
          </cell>
          <cell r="N62">
            <v>4.4477675746325254</v>
          </cell>
          <cell r="O62">
            <v>0.3015586965909392</v>
          </cell>
          <cell r="P62">
            <v>0.40876807521332587</v>
          </cell>
          <cell r="Q62">
            <v>2.421654651918431</v>
          </cell>
        </row>
        <row r="63">
          <cell r="A63">
            <v>91</v>
          </cell>
          <cell r="B63">
            <v>138</v>
          </cell>
          <cell r="C63">
            <v>75</v>
          </cell>
          <cell r="D63">
            <v>26000</v>
          </cell>
          <cell r="E63">
            <v>8400</v>
          </cell>
          <cell r="F63">
            <v>10924.369747899158</v>
          </cell>
          <cell r="G63">
            <v>4800</v>
          </cell>
          <cell r="H63">
            <v>25080</v>
          </cell>
          <cell r="I63">
            <v>6910</v>
          </cell>
          <cell r="L63">
            <v>0.50900548159749415</v>
          </cell>
          <cell r="M63">
            <v>0.54866100587851074</v>
          </cell>
          <cell r="N63">
            <v>4.512534131012309</v>
          </cell>
          <cell r="O63">
            <v>0.30341788578417178</v>
          </cell>
          <cell r="P63">
            <v>0.40990606319385142</v>
          </cell>
          <cell r="Q63">
            <v>2.4328006803577273</v>
          </cell>
        </row>
        <row r="64">
          <cell r="A64">
            <v>92</v>
          </cell>
          <cell r="B64">
            <v>140</v>
          </cell>
          <cell r="C64">
            <v>76</v>
          </cell>
          <cell r="D64">
            <v>27000</v>
          </cell>
          <cell r="E64">
            <v>8800</v>
          </cell>
          <cell r="F64">
            <v>11249.999999999998</v>
          </cell>
          <cell r="G64">
            <v>4999.9999999999991</v>
          </cell>
          <cell r="H64">
            <v>25631</v>
          </cell>
          <cell r="I64">
            <v>7180</v>
          </cell>
          <cell r="L64">
            <v>0.51300564306207364</v>
          </cell>
          <cell r="M64">
            <v>0.55068836045056324</v>
          </cell>
          <cell r="N64">
            <v>4.5701283993127664</v>
          </cell>
          <cell r="O64">
            <v>0.30503511293077734</v>
          </cell>
          <cell r="P64">
            <v>0.41050903119868631</v>
          </cell>
          <cell r="Q64">
            <v>2.4409561715232324</v>
          </cell>
        </row>
        <row r="65">
          <cell r="A65">
            <v>93</v>
          </cell>
          <cell r="B65">
            <v>142</v>
          </cell>
          <cell r="C65">
            <v>77</v>
          </cell>
          <cell r="D65">
            <v>28000</v>
          </cell>
          <cell r="E65">
            <v>9200</v>
          </cell>
          <cell r="F65">
            <v>11570.247933884297</v>
          </cell>
          <cell r="G65">
            <v>5197.7401129943501</v>
          </cell>
          <cell r="H65">
            <v>26188</v>
          </cell>
          <cell r="I65">
            <v>7460</v>
          </cell>
          <cell r="L65">
            <v>0.51671956890824533</v>
          </cell>
          <cell r="M65">
            <v>0.55222088835534211</v>
          </cell>
          <cell r="N65">
            <v>4.6210105440921918</v>
          </cell>
          <cell r="O65">
            <v>0.30642968270519627</v>
          </cell>
          <cell r="P65">
            <v>0.41063729122218157</v>
          </cell>
          <cell r="Q65">
            <v>2.4463965110860251</v>
          </cell>
        </row>
        <row r="66">
          <cell r="A66">
            <v>94</v>
          </cell>
          <cell r="B66">
            <v>144</v>
          </cell>
          <cell r="C66">
            <v>78</v>
          </cell>
          <cell r="D66">
            <v>29000</v>
          </cell>
          <cell r="E66">
            <v>9600</v>
          </cell>
          <cell r="F66">
            <v>11885.245901639344</v>
          </cell>
          <cell r="G66">
            <v>5393.258426966293</v>
          </cell>
          <cell r="H66">
            <v>26751</v>
          </cell>
          <cell r="I66">
            <v>7750</v>
          </cell>
          <cell r="L66">
            <v>0.52017004179297233</v>
          </cell>
          <cell r="M66">
            <v>0.55331412103746402</v>
          </cell>
          <cell r="N66">
            <v>4.6656313119437209</v>
          </cell>
          <cell r="O66">
            <v>0.30761906661162058</v>
          </cell>
          <cell r="P66">
            <v>0.41034409061765337</v>
          </cell>
          <cell r="Q66">
            <v>2.4493804369474916</v>
          </cell>
        </row>
        <row r="67">
          <cell r="A67">
            <v>95</v>
          </cell>
          <cell r="B67">
            <v>146</v>
          </cell>
          <cell r="C67">
            <v>79</v>
          </cell>
          <cell r="D67">
            <v>30000</v>
          </cell>
          <cell r="E67">
            <v>10000</v>
          </cell>
          <cell r="F67">
            <v>12195.121951219511</v>
          </cell>
          <cell r="G67">
            <v>5586.5921787709503</v>
          </cell>
          <cell r="H67">
            <v>27320</v>
          </cell>
          <cell r="I67">
            <v>8050</v>
          </cell>
          <cell r="L67">
            <v>0.52337752965806006</v>
          </cell>
          <cell r="M67">
            <v>0.554016620498615</v>
          </cell>
          <cell r="N67">
            <v>4.7044278530051029</v>
          </cell>
          <cell r="O67">
            <v>0.30861911463348396</v>
          </cell>
          <cell r="P67">
            <v>0.4096765603555993</v>
          </cell>
          <cell r="Q67">
            <v>2.4501496091557176</v>
          </cell>
        </row>
        <row r="68">
          <cell r="A68">
            <v>96</v>
          </cell>
          <cell r="B68">
            <v>148</v>
          </cell>
          <cell r="C68">
            <v>80</v>
          </cell>
          <cell r="D68">
            <v>31000</v>
          </cell>
          <cell r="E68">
            <v>10400</v>
          </cell>
          <cell r="F68">
            <v>12500</v>
          </cell>
          <cell r="G68">
            <v>5777.7777777777783</v>
          </cell>
          <cell r="H68">
            <v>27895</v>
          </cell>
          <cell r="I68">
            <v>8360</v>
          </cell>
          <cell r="L68">
            <v>0.52636047202648784</v>
          </cell>
          <cell r="M68">
            <v>0.55437100213219614</v>
          </cell>
          <cell r="N68">
            <v>4.7378206552082274</v>
          </cell>
          <cell r="O68">
            <v>0.3094442381482857</v>
          </cell>
          <cell r="P68">
            <v>0.40867651681861056</v>
          </cell>
          <cell r="Q68">
            <v>2.4489285835782573</v>
          </cell>
        </row>
        <row r="69">
          <cell r="A69">
            <v>97</v>
          </cell>
          <cell r="B69">
            <v>150</v>
          </cell>
          <cell r="C69">
            <v>81</v>
          </cell>
          <cell r="D69">
            <v>32000</v>
          </cell>
          <cell r="E69">
            <v>10800</v>
          </cell>
          <cell r="F69">
            <v>12800</v>
          </cell>
          <cell r="G69">
            <v>5966.8508287292807</v>
          </cell>
          <cell r="H69">
            <v>28476</v>
          </cell>
          <cell r="I69">
            <v>8680</v>
          </cell>
          <cell r="L69">
            <v>0.52913552483629867</v>
          </cell>
          <cell r="M69">
            <v>0.55441478439425051</v>
          </cell>
          <cell r="N69">
            <v>4.7662114041543919</v>
          </cell>
          <cell r="O69">
            <v>0.31010756856284521</v>
          </cell>
          <cell r="P69">
            <v>0.4073811427795464</v>
          </cell>
          <cell r="Q69">
            <v>2.4459250946816788</v>
          </cell>
        </row>
        <row r="70">
          <cell r="A70">
            <v>98</v>
          </cell>
          <cell r="B70">
            <v>152</v>
          </cell>
          <cell r="C70">
            <v>82</v>
          </cell>
          <cell r="D70">
            <v>33000</v>
          </cell>
          <cell r="E70">
            <v>11200</v>
          </cell>
          <cell r="F70">
            <v>13095.238095238097</v>
          </cell>
          <cell r="G70">
            <v>6153.8461538461543</v>
          </cell>
          <cell r="H70">
            <v>29063</v>
          </cell>
          <cell r="I70">
            <v>9010</v>
          </cell>
          <cell r="L70">
            <v>0.53171777065240156</v>
          </cell>
          <cell r="M70">
            <v>0.55418109846610586</v>
          </cell>
          <cell r="N70">
            <v>4.7899816018345538</v>
          </cell>
          <cell r="O70">
            <v>0.31062109535164006</v>
          </cell>
          <cell r="P70">
            <v>0.40582356820372345</v>
          </cell>
          <cell r="Q70">
            <v>2.4413305680396125</v>
          </cell>
        </row>
        <row r="71">
          <cell r="A71">
            <v>99</v>
          </cell>
          <cell r="B71">
            <v>154</v>
          </cell>
          <cell r="C71">
            <v>83</v>
          </cell>
          <cell r="D71">
            <v>34000</v>
          </cell>
          <cell r="E71">
            <v>11600</v>
          </cell>
          <cell r="F71">
            <v>13385.826771653543</v>
          </cell>
          <cell r="G71">
            <v>6338.7978142076499</v>
          </cell>
          <cell r="H71">
            <v>29656</v>
          </cell>
          <cell r="I71">
            <v>9350</v>
          </cell>
          <cell r="L71">
            <v>0.53412089983662181</v>
          </cell>
          <cell r="M71">
            <v>0.55369928400954649</v>
          </cell>
          <cell r="N71">
            <v>4.8094917982888266</v>
          </cell>
          <cell r="O71">
            <v>0.31099578655590826</v>
          </cell>
          <cell r="P71">
            <v>0.40403336758328834</v>
          </cell>
          <cell r="Q71">
            <v>2.4353207970995125</v>
          </cell>
        </row>
        <row r="72">
          <cell r="A72">
            <v>100</v>
          </cell>
          <cell r="B72">
            <v>156</v>
          </cell>
          <cell r="C72">
            <v>84</v>
          </cell>
          <cell r="D72">
            <v>35000</v>
          </cell>
          <cell r="E72">
            <v>12000</v>
          </cell>
          <cell r="F72">
            <v>13671.875</v>
          </cell>
          <cell r="G72">
            <v>6521.7391304347821</v>
          </cell>
          <cell r="H72">
            <v>30255</v>
          </cell>
          <cell r="I72">
            <v>9700</v>
          </cell>
          <cell r="L72">
            <v>0.53635736725155159</v>
          </cell>
          <cell r="M72">
            <v>0.55299539170506917</v>
          </cell>
          <cell r="N72">
            <v>4.8250813105782973</v>
          </cell>
          <cell r="O72">
            <v>0.3112416942930723</v>
          </cell>
          <cell r="P72">
            <v>0.40203698740284105</v>
          </cell>
          <cell r="Q72">
            <v>2.4280567310684522</v>
          </cell>
        </row>
        <row r="73">
          <cell r="A73">
            <v>101</v>
          </cell>
          <cell r="D73">
            <v>36000</v>
          </cell>
          <cell r="E73">
            <v>12400</v>
          </cell>
          <cell r="Q73">
            <v>2.4353207970995125</v>
          </cell>
        </row>
        <row r="74">
          <cell r="A74">
            <v>102</v>
          </cell>
          <cell r="D74">
            <v>37000</v>
          </cell>
          <cell r="E74">
            <v>12800</v>
          </cell>
          <cell r="Q74">
            <v>2.4280567310684522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b.178.com/wow/cn/npc/122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C835"/>
  <sheetViews>
    <sheetView tabSelected="1" workbookViewId="0">
      <pane xSplit="4" topLeftCell="H1" activePane="topRight" state="frozen"/>
      <selection activeCell="A331" sqref="A331"/>
      <selection pane="topRight" activeCell="M27" sqref="M27"/>
    </sheetView>
  </sheetViews>
  <sheetFormatPr defaultColWidth="9" defaultRowHeight="13.5"/>
  <cols>
    <col min="1" max="1" width="8.5" bestFit="1" customWidth="1"/>
    <col min="2" max="2" width="18" customWidth="1"/>
    <col min="3" max="3" width="13.5" customWidth="1"/>
    <col min="4" max="6" width="17" customWidth="1"/>
    <col min="7" max="7" width="28.75" customWidth="1"/>
    <col min="8" max="8" width="15.875" customWidth="1"/>
    <col min="9" max="9" width="14.75" customWidth="1"/>
    <col min="10" max="10" width="16.875" customWidth="1"/>
    <col min="11" max="11" width="14.75" customWidth="1"/>
    <col min="12" max="13" width="11.25" customWidth="1"/>
    <col min="14" max="15" width="17.75" customWidth="1"/>
    <col min="16" max="16" width="12.5" customWidth="1"/>
    <col min="17" max="18" width="13.625" customWidth="1"/>
    <col min="19" max="19" width="15.875" customWidth="1"/>
    <col min="20" max="20" width="10.25" customWidth="1"/>
    <col min="21" max="21" width="12.5" customWidth="1"/>
    <col min="22" max="23" width="18" customWidth="1"/>
    <col min="24" max="24" width="26.25" customWidth="1"/>
    <col min="25" max="25" width="20" customWidth="1"/>
    <col min="26" max="26" width="26.25" customWidth="1"/>
  </cols>
  <sheetData>
    <row r="1" spans="1:29">
      <c r="A1" t="s">
        <v>26</v>
      </c>
      <c r="B1" t="s">
        <v>27</v>
      </c>
    </row>
    <row r="2" spans="1:29">
      <c r="X2" t="s">
        <v>162</v>
      </c>
      <c r="Y2" t="s">
        <v>162</v>
      </c>
      <c r="Z2" t="s">
        <v>22</v>
      </c>
    </row>
    <row r="3" spans="1:29">
      <c r="A3" t="s">
        <v>0</v>
      </c>
      <c r="B3" t="s">
        <v>1</v>
      </c>
      <c r="C3" t="s">
        <v>2</v>
      </c>
      <c r="D3" t="s">
        <v>3</v>
      </c>
      <c r="E3" t="s">
        <v>163</v>
      </c>
      <c r="F3" t="s">
        <v>164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28</v>
      </c>
      <c r="X3" t="s">
        <v>29</v>
      </c>
      <c r="Y3" t="s">
        <v>30</v>
      </c>
      <c r="Z3" t="s">
        <v>23</v>
      </c>
      <c r="AA3" t="s">
        <v>24</v>
      </c>
      <c r="AB3" t="s">
        <v>255</v>
      </c>
      <c r="AC3" t="s">
        <v>256</v>
      </c>
    </row>
    <row r="4" spans="1:29">
      <c r="A4" t="s">
        <v>31</v>
      </c>
      <c r="B4" t="s">
        <v>32</v>
      </c>
      <c r="C4" t="s">
        <v>33</v>
      </c>
      <c r="D4" t="s">
        <v>34</v>
      </c>
      <c r="E4" t="s">
        <v>166</v>
      </c>
      <c r="F4" t="s">
        <v>165</v>
      </c>
      <c r="G4" t="s">
        <v>35</v>
      </c>
      <c r="H4" t="s">
        <v>36</v>
      </c>
      <c r="I4" t="s">
        <v>37</v>
      </c>
      <c r="J4" t="s">
        <v>38</v>
      </c>
      <c r="K4" t="s">
        <v>39</v>
      </c>
      <c r="L4" t="s">
        <v>40</v>
      </c>
      <c r="M4" t="s">
        <v>41</v>
      </c>
      <c r="N4" t="s">
        <v>42</v>
      </c>
      <c r="O4" t="s">
        <v>43</v>
      </c>
      <c r="P4" t="s">
        <v>44</v>
      </c>
      <c r="Q4" t="s">
        <v>45</v>
      </c>
      <c r="R4" t="s">
        <v>46</v>
      </c>
      <c r="S4" t="s">
        <v>47</v>
      </c>
      <c r="T4" t="s">
        <v>48</v>
      </c>
      <c r="U4" t="s">
        <v>49</v>
      </c>
      <c r="V4" t="s">
        <v>50</v>
      </c>
      <c r="W4" t="s">
        <v>51</v>
      </c>
      <c r="AA4" t="s">
        <v>25</v>
      </c>
      <c r="AB4" t="s">
        <v>257</v>
      </c>
      <c r="AC4" t="s">
        <v>258</v>
      </c>
    </row>
    <row r="6" spans="1:29">
      <c r="A6">
        <v>1</v>
      </c>
      <c r="B6">
        <v>2001</v>
      </c>
      <c r="C6">
        <v>1</v>
      </c>
      <c r="D6" t="s">
        <v>259</v>
      </c>
      <c r="E6">
        <f>INDEX([1]用户升级!$G$3:$G$102,MATCH(C6,[1]用户升级!$A$3:$A$102,0))</f>
        <v>10</v>
      </c>
      <c r="F6">
        <f>E6</f>
        <v>10</v>
      </c>
      <c r="G6">
        <v>0</v>
      </c>
      <c r="H6">
        <v>0</v>
      </c>
      <c r="I6">
        <v>0</v>
      </c>
      <c r="J6">
        <v>0</v>
      </c>
      <c r="K6">
        <v>0</v>
      </c>
      <c r="L6">
        <v>100</v>
      </c>
      <c r="M6">
        <v>0</v>
      </c>
      <c r="N6">
        <v>5</v>
      </c>
      <c r="O6">
        <v>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53</v>
      </c>
      <c r="Y6">
        <v>0</v>
      </c>
      <c r="Z6">
        <v>0</v>
      </c>
      <c r="AA6">
        <v>10</v>
      </c>
      <c r="AB6">
        <v>50</v>
      </c>
      <c r="AC6">
        <v>1</v>
      </c>
    </row>
    <row r="7" spans="1:29">
      <c r="A7">
        <v>2</v>
      </c>
      <c r="B7">
        <v>2001</v>
      </c>
      <c r="C7">
        <v>2</v>
      </c>
      <c r="D7" t="s">
        <v>260</v>
      </c>
      <c r="E7">
        <f>INDEX([1]用户升级!$G$3:$G$102,MATCH(C7,[1]用户升级!$A$3:$A$102,0))</f>
        <v>12</v>
      </c>
      <c r="F7">
        <f t="shared" ref="F7:F70" si="0">E7</f>
        <v>12</v>
      </c>
      <c r="G7">
        <v>0</v>
      </c>
      <c r="H7">
        <v>0</v>
      </c>
      <c r="I7">
        <v>0</v>
      </c>
      <c r="J7">
        <v>0</v>
      </c>
      <c r="K7">
        <v>0</v>
      </c>
      <c r="L7">
        <v>108</v>
      </c>
      <c r="M7">
        <v>0</v>
      </c>
      <c r="N7">
        <v>6</v>
      </c>
      <c r="O7">
        <v>8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 t="s">
        <v>79</v>
      </c>
      <c r="Y7">
        <v>0</v>
      </c>
      <c r="Z7">
        <v>0</v>
      </c>
      <c r="AA7">
        <v>10</v>
      </c>
      <c r="AB7">
        <v>50</v>
      </c>
      <c r="AC7">
        <v>1</v>
      </c>
    </row>
    <row r="8" spans="1:29">
      <c r="A8">
        <v>3</v>
      </c>
      <c r="B8">
        <v>2001</v>
      </c>
      <c r="C8">
        <v>3</v>
      </c>
      <c r="D8" t="s">
        <v>261</v>
      </c>
      <c r="E8">
        <f>INDEX([1]用户升级!$G$3:$G$102,MATCH(C8,[1]用户升级!$A$3:$A$102,0))</f>
        <v>14</v>
      </c>
      <c r="F8">
        <f t="shared" si="0"/>
        <v>14</v>
      </c>
      <c r="G8">
        <v>0</v>
      </c>
      <c r="H8">
        <v>0</v>
      </c>
      <c r="I8">
        <v>0</v>
      </c>
      <c r="J8">
        <v>0</v>
      </c>
      <c r="K8">
        <v>0</v>
      </c>
      <c r="L8">
        <v>112</v>
      </c>
      <c r="M8">
        <v>0</v>
      </c>
      <c r="N8">
        <v>7</v>
      </c>
      <c r="O8">
        <v>9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t="s">
        <v>62</v>
      </c>
      <c r="Y8">
        <v>0</v>
      </c>
      <c r="Z8">
        <v>0</v>
      </c>
      <c r="AA8">
        <v>10</v>
      </c>
      <c r="AB8">
        <v>50</v>
      </c>
      <c r="AC8">
        <v>1</v>
      </c>
    </row>
    <row r="9" spans="1:29">
      <c r="A9">
        <v>4</v>
      </c>
      <c r="B9">
        <v>2001</v>
      </c>
      <c r="C9">
        <v>4</v>
      </c>
      <c r="D9" t="s">
        <v>259</v>
      </c>
      <c r="E9">
        <f>INDEX([1]用户升级!$G$3:$G$102,MATCH(C9,[1]用户升级!$A$3:$A$102,0))</f>
        <v>16</v>
      </c>
      <c r="F9">
        <f t="shared" si="0"/>
        <v>16</v>
      </c>
      <c r="G9">
        <v>0</v>
      </c>
      <c r="H9">
        <v>0</v>
      </c>
      <c r="I9">
        <v>0</v>
      </c>
      <c r="J9">
        <v>0</v>
      </c>
      <c r="K9">
        <v>0</v>
      </c>
      <c r="L9">
        <v>114</v>
      </c>
      <c r="M9">
        <v>0</v>
      </c>
      <c r="N9">
        <v>8</v>
      </c>
      <c r="O9">
        <v>10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t="s">
        <v>62</v>
      </c>
      <c r="Y9">
        <v>0</v>
      </c>
      <c r="Z9">
        <v>0</v>
      </c>
      <c r="AA9">
        <v>10</v>
      </c>
      <c r="AB9">
        <v>50</v>
      </c>
      <c r="AC9">
        <v>1</v>
      </c>
    </row>
    <row r="10" spans="1:29">
      <c r="A10">
        <v>5</v>
      </c>
      <c r="B10">
        <v>2001</v>
      </c>
      <c r="C10">
        <v>2</v>
      </c>
      <c r="D10" t="s">
        <v>262</v>
      </c>
      <c r="E10">
        <f>INDEX([1]用户升级!$G$3:$G$102,MATCH(C10,[1]用户升级!$A$3:$A$102,0))</f>
        <v>12</v>
      </c>
      <c r="F10">
        <f t="shared" si="0"/>
        <v>12</v>
      </c>
      <c r="G10">
        <v>0</v>
      </c>
      <c r="H10">
        <v>0</v>
      </c>
      <c r="I10">
        <v>0</v>
      </c>
      <c r="J10">
        <v>0</v>
      </c>
      <c r="K10">
        <v>0</v>
      </c>
      <c r="L10">
        <v>120</v>
      </c>
      <c r="M10">
        <v>0</v>
      </c>
      <c r="N10">
        <v>10</v>
      </c>
      <c r="O10">
        <v>13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 t="s">
        <v>52</v>
      </c>
      <c r="Y10">
        <v>0</v>
      </c>
      <c r="Z10">
        <v>0</v>
      </c>
      <c r="AA10">
        <v>10</v>
      </c>
      <c r="AB10">
        <v>50</v>
      </c>
      <c r="AC10">
        <v>1</v>
      </c>
    </row>
    <row r="11" spans="1:29">
      <c r="A11">
        <v>6</v>
      </c>
      <c r="B11">
        <v>2001</v>
      </c>
      <c r="C11">
        <v>3</v>
      </c>
      <c r="D11" t="s">
        <v>263</v>
      </c>
      <c r="E11">
        <f>INDEX([1]用户升级!$G$3:$G$102,MATCH(C11,[1]用户升级!$A$3:$A$102,0))</f>
        <v>14</v>
      </c>
      <c r="F11">
        <f t="shared" si="0"/>
        <v>14</v>
      </c>
      <c r="G11">
        <v>0</v>
      </c>
      <c r="H11">
        <v>0</v>
      </c>
      <c r="I11">
        <v>0</v>
      </c>
      <c r="J11">
        <v>0</v>
      </c>
      <c r="K11">
        <v>0</v>
      </c>
      <c r="L11">
        <v>136</v>
      </c>
      <c r="M11">
        <v>0</v>
      </c>
      <c r="N11">
        <v>13</v>
      </c>
      <c r="O11">
        <v>16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t="s">
        <v>53</v>
      </c>
      <c r="Y11">
        <v>0</v>
      </c>
      <c r="Z11">
        <v>0</v>
      </c>
      <c r="AA11">
        <v>10</v>
      </c>
      <c r="AB11">
        <v>50</v>
      </c>
      <c r="AC11">
        <v>1</v>
      </c>
    </row>
    <row r="12" spans="1:29">
      <c r="A12">
        <v>7</v>
      </c>
      <c r="B12">
        <v>2001</v>
      </c>
      <c r="C12">
        <v>4</v>
      </c>
      <c r="D12" t="s">
        <v>264</v>
      </c>
      <c r="E12">
        <f>INDEX([1]用户升级!$G$3:$G$102,MATCH(C12,[1]用户升级!$A$3:$A$102,0))</f>
        <v>16</v>
      </c>
      <c r="F12">
        <f t="shared" si="0"/>
        <v>16</v>
      </c>
      <c r="G12">
        <v>0</v>
      </c>
      <c r="H12">
        <v>0</v>
      </c>
      <c r="I12">
        <v>0</v>
      </c>
      <c r="J12">
        <v>0</v>
      </c>
      <c r="K12">
        <v>0</v>
      </c>
      <c r="L12">
        <v>149</v>
      </c>
      <c r="M12">
        <v>0</v>
      </c>
      <c r="N12">
        <v>16</v>
      </c>
      <c r="O12">
        <v>19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t="s">
        <v>54</v>
      </c>
      <c r="Y12">
        <v>0</v>
      </c>
      <c r="Z12">
        <v>0</v>
      </c>
      <c r="AA12">
        <v>10</v>
      </c>
      <c r="AB12">
        <v>50</v>
      </c>
      <c r="AC12">
        <v>1</v>
      </c>
    </row>
    <row r="13" spans="1:29">
      <c r="A13">
        <v>8</v>
      </c>
      <c r="B13">
        <v>2001</v>
      </c>
      <c r="C13">
        <v>3</v>
      </c>
      <c r="D13" t="s">
        <v>265</v>
      </c>
      <c r="E13">
        <f>INDEX([1]用户升级!$G$3:$G$102,MATCH(C13,[1]用户升级!$A$3:$A$102,0))</f>
        <v>14</v>
      </c>
      <c r="F13">
        <f t="shared" si="0"/>
        <v>14</v>
      </c>
      <c r="G13">
        <v>0</v>
      </c>
      <c r="H13">
        <v>0</v>
      </c>
      <c r="I13">
        <v>0</v>
      </c>
      <c r="J13">
        <v>0</v>
      </c>
      <c r="K13">
        <v>0</v>
      </c>
      <c r="L13">
        <v>143</v>
      </c>
      <c r="M13">
        <v>0</v>
      </c>
      <c r="N13">
        <v>18</v>
      </c>
      <c r="O13">
        <v>23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t="s">
        <v>55</v>
      </c>
      <c r="Y13">
        <v>0</v>
      </c>
      <c r="Z13">
        <v>0</v>
      </c>
      <c r="AA13">
        <v>10</v>
      </c>
      <c r="AB13">
        <v>50</v>
      </c>
      <c r="AC13">
        <v>1</v>
      </c>
    </row>
    <row r="14" spans="1:29">
      <c r="A14">
        <v>9</v>
      </c>
      <c r="B14">
        <v>2001</v>
      </c>
      <c r="C14">
        <v>4</v>
      </c>
      <c r="D14" t="s">
        <v>266</v>
      </c>
      <c r="E14">
        <f>INDEX([1]用户升级!$G$3:$G$102,MATCH(C14,[1]用户升级!$A$3:$A$102,0))</f>
        <v>16</v>
      </c>
      <c r="F14">
        <f t="shared" si="0"/>
        <v>16</v>
      </c>
      <c r="G14">
        <v>0</v>
      </c>
      <c r="H14">
        <v>0</v>
      </c>
      <c r="I14">
        <v>0</v>
      </c>
      <c r="J14">
        <v>0</v>
      </c>
      <c r="K14">
        <v>0</v>
      </c>
      <c r="L14">
        <v>156</v>
      </c>
      <c r="M14">
        <v>0</v>
      </c>
      <c r="N14">
        <v>32</v>
      </c>
      <c r="O14">
        <v>39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 t="s">
        <v>56</v>
      </c>
      <c r="Y14">
        <v>0</v>
      </c>
      <c r="Z14">
        <v>0</v>
      </c>
      <c r="AA14">
        <v>10</v>
      </c>
      <c r="AB14">
        <v>50</v>
      </c>
      <c r="AC14">
        <v>1</v>
      </c>
    </row>
    <row r="15" spans="1:29">
      <c r="A15">
        <v>10</v>
      </c>
      <c r="B15">
        <v>2001</v>
      </c>
      <c r="C15">
        <v>5</v>
      </c>
      <c r="D15" t="s">
        <v>267</v>
      </c>
      <c r="E15">
        <f>INDEX([1]用户升级!$G$3:$G$102,MATCH(C15,[1]用户升级!$A$3:$A$102,0))</f>
        <v>18</v>
      </c>
      <c r="F15">
        <f t="shared" si="0"/>
        <v>18</v>
      </c>
      <c r="G15">
        <v>0</v>
      </c>
      <c r="H15">
        <v>0</v>
      </c>
      <c r="I15">
        <v>0</v>
      </c>
      <c r="J15">
        <v>0</v>
      </c>
      <c r="K15">
        <v>0</v>
      </c>
      <c r="L15">
        <v>175</v>
      </c>
      <c r="M15">
        <v>0</v>
      </c>
      <c r="N15">
        <v>33</v>
      </c>
      <c r="O15">
        <v>41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 t="s">
        <v>57</v>
      </c>
      <c r="Y15">
        <v>0</v>
      </c>
      <c r="Z15">
        <v>0</v>
      </c>
      <c r="AA15">
        <v>10</v>
      </c>
      <c r="AB15">
        <v>50</v>
      </c>
      <c r="AC15">
        <v>1</v>
      </c>
    </row>
    <row r="16" spans="1:29">
      <c r="A16">
        <v>11</v>
      </c>
      <c r="B16">
        <v>2001</v>
      </c>
      <c r="C16">
        <v>6</v>
      </c>
      <c r="D16" t="s">
        <v>268</v>
      </c>
      <c r="E16">
        <f>INDEX([1]用户升级!$G$3:$G$102,MATCH(C16,[1]用户升级!$A$3:$A$102,0))</f>
        <v>20</v>
      </c>
      <c r="F16">
        <f t="shared" si="0"/>
        <v>20</v>
      </c>
      <c r="G16">
        <v>0</v>
      </c>
      <c r="H16">
        <v>0</v>
      </c>
      <c r="I16">
        <v>0</v>
      </c>
      <c r="J16">
        <v>0</v>
      </c>
      <c r="K16">
        <v>0</v>
      </c>
      <c r="L16">
        <v>189</v>
      </c>
      <c r="M16">
        <v>0</v>
      </c>
      <c r="N16">
        <v>43</v>
      </c>
      <c r="O16">
        <v>52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 t="s">
        <v>58</v>
      </c>
      <c r="Y16">
        <v>0</v>
      </c>
      <c r="Z16">
        <v>0</v>
      </c>
      <c r="AA16">
        <v>10</v>
      </c>
      <c r="AB16">
        <v>50</v>
      </c>
      <c r="AC16">
        <v>1</v>
      </c>
    </row>
    <row r="17" spans="1:29">
      <c r="A17">
        <v>12</v>
      </c>
      <c r="B17">
        <v>2001</v>
      </c>
      <c r="C17">
        <v>5</v>
      </c>
      <c r="D17" t="s">
        <v>269</v>
      </c>
      <c r="E17">
        <f>INDEX([1]用户升级!$G$3:$G$102,MATCH(C17,[1]用户升级!$A$3:$A$102,0))</f>
        <v>18</v>
      </c>
      <c r="F17">
        <f t="shared" si="0"/>
        <v>18</v>
      </c>
      <c r="G17">
        <v>0</v>
      </c>
      <c r="H17">
        <v>0</v>
      </c>
      <c r="I17">
        <v>0</v>
      </c>
      <c r="J17">
        <v>0</v>
      </c>
      <c r="K17">
        <v>0</v>
      </c>
      <c r="L17">
        <v>184</v>
      </c>
      <c r="M17">
        <v>0</v>
      </c>
      <c r="N17">
        <v>39</v>
      </c>
      <c r="O17">
        <v>47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59</v>
      </c>
      <c r="Y17">
        <v>0</v>
      </c>
      <c r="Z17">
        <v>0</v>
      </c>
      <c r="AA17">
        <v>10</v>
      </c>
      <c r="AB17">
        <v>50</v>
      </c>
      <c r="AC17">
        <v>1</v>
      </c>
    </row>
    <row r="18" spans="1:29">
      <c r="A18">
        <v>13</v>
      </c>
      <c r="B18">
        <v>2001</v>
      </c>
      <c r="C18">
        <v>6</v>
      </c>
      <c r="D18" t="s">
        <v>270</v>
      </c>
      <c r="E18">
        <f>INDEX([1]用户升级!$G$3:$G$102,MATCH(C18,[1]用户升级!$A$3:$A$102,0))</f>
        <v>20</v>
      </c>
      <c r="F18">
        <f t="shared" si="0"/>
        <v>20</v>
      </c>
      <c r="G18">
        <v>0</v>
      </c>
      <c r="H18">
        <v>0</v>
      </c>
      <c r="I18">
        <v>0</v>
      </c>
      <c r="J18">
        <v>0</v>
      </c>
      <c r="K18">
        <v>0</v>
      </c>
      <c r="L18">
        <v>198</v>
      </c>
      <c r="M18">
        <v>0</v>
      </c>
      <c r="N18">
        <v>49</v>
      </c>
      <c r="O18">
        <v>61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 t="s">
        <v>60</v>
      </c>
      <c r="Y18">
        <v>0</v>
      </c>
      <c r="Z18">
        <v>0</v>
      </c>
      <c r="AA18">
        <v>10</v>
      </c>
      <c r="AB18">
        <v>50</v>
      </c>
      <c r="AC18">
        <v>1</v>
      </c>
    </row>
    <row r="19" spans="1:29">
      <c r="A19">
        <v>14</v>
      </c>
      <c r="B19">
        <v>2001</v>
      </c>
      <c r="C19">
        <v>7</v>
      </c>
      <c r="D19" t="s">
        <v>271</v>
      </c>
      <c r="E19">
        <f>INDEX([1]用户升级!$G$3:$G$102,MATCH(C19,[1]用户升级!$A$3:$A$102,0))</f>
        <v>22</v>
      </c>
      <c r="F19">
        <f t="shared" si="0"/>
        <v>22</v>
      </c>
      <c r="G19">
        <v>0</v>
      </c>
      <c r="H19">
        <v>0</v>
      </c>
      <c r="I19">
        <v>0</v>
      </c>
      <c r="J19">
        <v>0</v>
      </c>
      <c r="K19">
        <v>0</v>
      </c>
      <c r="L19">
        <v>210</v>
      </c>
      <c r="M19">
        <v>0</v>
      </c>
      <c r="N19">
        <v>55</v>
      </c>
      <c r="O19">
        <v>67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t="s">
        <v>61</v>
      </c>
      <c r="Y19">
        <v>0</v>
      </c>
      <c r="Z19">
        <v>0</v>
      </c>
      <c r="AA19">
        <v>10</v>
      </c>
      <c r="AB19">
        <v>50</v>
      </c>
      <c r="AC19">
        <v>1</v>
      </c>
    </row>
    <row r="20" spans="1:29">
      <c r="A20">
        <v>15</v>
      </c>
      <c r="B20">
        <v>2001</v>
      </c>
      <c r="C20">
        <v>8</v>
      </c>
      <c r="D20" t="s">
        <v>545</v>
      </c>
      <c r="E20">
        <f>INDEX([1]用户升级!$G$3:$G$102,MATCH(C20,[1]用户升级!$A$3:$A$102,0))</f>
        <v>24</v>
      </c>
      <c r="F20">
        <f t="shared" si="0"/>
        <v>24</v>
      </c>
      <c r="G20">
        <v>0</v>
      </c>
      <c r="H20">
        <v>0</v>
      </c>
      <c r="I20">
        <v>0</v>
      </c>
      <c r="J20">
        <v>0</v>
      </c>
      <c r="K20">
        <v>0</v>
      </c>
      <c r="L20">
        <v>238</v>
      </c>
      <c r="M20">
        <v>0</v>
      </c>
      <c r="N20">
        <v>67</v>
      </c>
      <c r="O20">
        <v>82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t="s">
        <v>62</v>
      </c>
      <c r="Y20">
        <v>0</v>
      </c>
      <c r="Z20">
        <v>0</v>
      </c>
      <c r="AA20">
        <v>10</v>
      </c>
      <c r="AB20">
        <v>50</v>
      </c>
      <c r="AC20">
        <v>1</v>
      </c>
    </row>
    <row r="21" spans="1:29">
      <c r="A21">
        <v>16</v>
      </c>
      <c r="B21">
        <v>2001</v>
      </c>
      <c r="C21">
        <v>7</v>
      </c>
      <c r="D21" t="s">
        <v>272</v>
      </c>
      <c r="E21">
        <f>INDEX([1]用户升级!$G$3:$G$102,MATCH(C21,[1]用户升级!$A$3:$A$102,0))</f>
        <v>22</v>
      </c>
      <c r="F21">
        <f t="shared" si="0"/>
        <v>22</v>
      </c>
      <c r="G21">
        <v>0</v>
      </c>
      <c r="H21">
        <v>0</v>
      </c>
      <c r="I21">
        <v>0</v>
      </c>
      <c r="J21">
        <v>0</v>
      </c>
      <c r="K21">
        <v>0</v>
      </c>
      <c r="L21">
        <v>221</v>
      </c>
      <c r="M21">
        <v>0</v>
      </c>
      <c r="N21">
        <v>62</v>
      </c>
      <c r="O21">
        <v>75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t="s">
        <v>63</v>
      </c>
      <c r="Y21">
        <v>0</v>
      </c>
      <c r="Z21">
        <v>0</v>
      </c>
      <c r="AA21">
        <v>10</v>
      </c>
      <c r="AB21">
        <v>50</v>
      </c>
      <c r="AC21">
        <v>1</v>
      </c>
    </row>
    <row r="22" spans="1:29">
      <c r="A22">
        <v>17</v>
      </c>
      <c r="B22">
        <v>2001</v>
      </c>
      <c r="C22">
        <v>8</v>
      </c>
      <c r="D22" t="s">
        <v>273</v>
      </c>
      <c r="E22">
        <f>INDEX([1]用户升级!$G$3:$G$102,MATCH(C22,[1]用户升级!$A$3:$A$102,0))</f>
        <v>24</v>
      </c>
      <c r="F22">
        <f t="shared" si="0"/>
        <v>24</v>
      </c>
      <c r="G22">
        <v>0</v>
      </c>
      <c r="H22">
        <v>0</v>
      </c>
      <c r="I22">
        <v>0</v>
      </c>
      <c r="J22">
        <v>0</v>
      </c>
      <c r="K22">
        <v>0</v>
      </c>
      <c r="L22">
        <v>250</v>
      </c>
      <c r="M22">
        <v>0</v>
      </c>
      <c r="N22">
        <v>75</v>
      </c>
      <c r="O22">
        <v>92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 t="s">
        <v>64</v>
      </c>
      <c r="Y22">
        <v>0</v>
      </c>
      <c r="Z22">
        <v>0</v>
      </c>
      <c r="AA22">
        <v>10</v>
      </c>
      <c r="AB22">
        <v>50</v>
      </c>
      <c r="AC22">
        <v>1</v>
      </c>
    </row>
    <row r="23" spans="1:29">
      <c r="A23">
        <v>18</v>
      </c>
      <c r="B23">
        <v>2001</v>
      </c>
      <c r="C23">
        <v>9</v>
      </c>
      <c r="D23" t="s">
        <v>274</v>
      </c>
      <c r="E23">
        <f>INDEX([1]用户升级!$G$3:$G$102,MATCH(C23,[1]用户升级!$A$3:$A$102,0))</f>
        <v>28</v>
      </c>
      <c r="F23">
        <f t="shared" si="0"/>
        <v>28</v>
      </c>
      <c r="G23">
        <v>0</v>
      </c>
      <c r="H23">
        <v>0</v>
      </c>
      <c r="I23">
        <v>0</v>
      </c>
      <c r="J23">
        <v>0</v>
      </c>
      <c r="K23">
        <v>0</v>
      </c>
      <c r="L23">
        <v>304</v>
      </c>
      <c r="M23">
        <v>0</v>
      </c>
      <c r="N23">
        <v>83</v>
      </c>
      <c r="O23">
        <v>102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 t="s">
        <v>65</v>
      </c>
      <c r="Y23">
        <v>0</v>
      </c>
      <c r="Z23">
        <v>0</v>
      </c>
      <c r="AA23">
        <v>10</v>
      </c>
      <c r="AB23">
        <v>50</v>
      </c>
      <c r="AC23">
        <v>1</v>
      </c>
    </row>
    <row r="24" spans="1:29">
      <c r="A24">
        <v>19</v>
      </c>
      <c r="B24">
        <v>2001</v>
      </c>
      <c r="C24">
        <v>10</v>
      </c>
      <c r="D24" t="s">
        <v>275</v>
      </c>
      <c r="E24">
        <f>INDEX([1]用户升级!$G$3:$G$102,MATCH(C24,[1]用户升级!$A$3:$A$102,0))</f>
        <v>32</v>
      </c>
      <c r="F24">
        <f t="shared" si="0"/>
        <v>32</v>
      </c>
      <c r="G24">
        <v>0</v>
      </c>
      <c r="H24">
        <v>0</v>
      </c>
      <c r="I24">
        <v>0</v>
      </c>
      <c r="J24">
        <v>0</v>
      </c>
      <c r="K24">
        <v>0</v>
      </c>
      <c r="L24">
        <v>344</v>
      </c>
      <c r="M24">
        <v>0</v>
      </c>
      <c r="N24">
        <v>103</v>
      </c>
      <c r="O24">
        <v>127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t="s">
        <v>66</v>
      </c>
      <c r="Y24">
        <v>0</v>
      </c>
      <c r="Z24">
        <v>0</v>
      </c>
      <c r="AA24">
        <v>10</v>
      </c>
      <c r="AB24">
        <v>50</v>
      </c>
      <c r="AC24">
        <v>1</v>
      </c>
    </row>
    <row r="25" spans="1:29">
      <c r="A25">
        <v>20</v>
      </c>
      <c r="B25">
        <v>2001</v>
      </c>
      <c r="C25">
        <v>9</v>
      </c>
      <c r="D25" t="s">
        <v>276</v>
      </c>
      <c r="E25">
        <f>INDEX([1]用户升级!$G$3:$G$102,MATCH(C25,[1]用户升级!$A$3:$A$102,0))</f>
        <v>28</v>
      </c>
      <c r="F25">
        <f t="shared" si="0"/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319</v>
      </c>
      <c r="M25">
        <v>0</v>
      </c>
      <c r="N25">
        <v>94</v>
      </c>
      <c r="O25">
        <v>115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">
        <v>67</v>
      </c>
      <c r="Y25">
        <v>0</v>
      </c>
      <c r="Z25">
        <v>0</v>
      </c>
      <c r="AA25">
        <v>10</v>
      </c>
      <c r="AB25">
        <v>50</v>
      </c>
      <c r="AC25">
        <v>1</v>
      </c>
    </row>
    <row r="26" spans="1:29">
      <c r="A26">
        <v>21</v>
      </c>
      <c r="B26">
        <v>2001</v>
      </c>
      <c r="C26">
        <v>10</v>
      </c>
      <c r="D26" t="s">
        <v>277</v>
      </c>
      <c r="E26">
        <f>INDEX([1]用户升级!$G$3:$G$102,MATCH(C26,[1]用户升级!$A$3:$A$102,0))</f>
        <v>32</v>
      </c>
      <c r="F26">
        <f t="shared" si="0"/>
        <v>32</v>
      </c>
      <c r="G26">
        <v>0</v>
      </c>
      <c r="H26">
        <v>0</v>
      </c>
      <c r="I26">
        <v>0</v>
      </c>
      <c r="J26">
        <v>0</v>
      </c>
      <c r="K26">
        <v>0</v>
      </c>
      <c r="L26">
        <v>361</v>
      </c>
      <c r="M26">
        <v>0</v>
      </c>
      <c r="N26">
        <v>113</v>
      </c>
      <c r="O26">
        <v>138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t="s">
        <v>68</v>
      </c>
      <c r="Y26">
        <v>0</v>
      </c>
      <c r="Z26">
        <v>0</v>
      </c>
      <c r="AA26">
        <v>10</v>
      </c>
      <c r="AB26">
        <v>50</v>
      </c>
      <c r="AC26">
        <v>1</v>
      </c>
    </row>
    <row r="27" spans="1:29">
      <c r="A27">
        <v>22</v>
      </c>
      <c r="B27">
        <v>2001</v>
      </c>
      <c r="C27">
        <v>11</v>
      </c>
      <c r="D27" t="s">
        <v>278</v>
      </c>
      <c r="E27">
        <f>INDEX([1]用户升级!$G$3:$G$102,MATCH(C27,[1]用户升级!$A$3:$A$102,0))</f>
        <v>36</v>
      </c>
      <c r="F27">
        <f t="shared" si="0"/>
        <v>36</v>
      </c>
      <c r="G27">
        <v>0</v>
      </c>
      <c r="H27">
        <v>0</v>
      </c>
      <c r="I27">
        <v>0</v>
      </c>
      <c r="J27">
        <v>0</v>
      </c>
      <c r="K27">
        <v>0</v>
      </c>
      <c r="L27">
        <v>416</v>
      </c>
      <c r="M27">
        <v>0</v>
      </c>
      <c r="N27">
        <v>122</v>
      </c>
      <c r="O27">
        <v>150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 t="s">
        <v>69</v>
      </c>
      <c r="Y27">
        <v>0</v>
      </c>
      <c r="Z27">
        <v>0</v>
      </c>
      <c r="AA27">
        <v>10</v>
      </c>
      <c r="AB27">
        <v>50</v>
      </c>
      <c r="AC27">
        <v>1</v>
      </c>
    </row>
    <row r="28" spans="1:29">
      <c r="A28">
        <v>23</v>
      </c>
      <c r="B28">
        <v>2001</v>
      </c>
      <c r="C28">
        <v>12</v>
      </c>
      <c r="D28" t="s">
        <v>279</v>
      </c>
      <c r="E28">
        <f>INDEX([1]用户升级!$G$3:$G$102,MATCH(C28,[1]用户升级!$A$3:$A$102,0))</f>
        <v>40</v>
      </c>
      <c r="F28">
        <f t="shared" si="0"/>
        <v>40</v>
      </c>
      <c r="G28">
        <v>0</v>
      </c>
      <c r="H28">
        <v>0</v>
      </c>
      <c r="I28">
        <v>0</v>
      </c>
      <c r="J28">
        <v>0</v>
      </c>
      <c r="K28">
        <v>0</v>
      </c>
      <c r="L28">
        <v>476</v>
      </c>
      <c r="M28">
        <v>0</v>
      </c>
      <c r="N28">
        <v>145</v>
      </c>
      <c r="O28">
        <v>178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 t="s">
        <v>70</v>
      </c>
      <c r="Y28">
        <v>0</v>
      </c>
      <c r="Z28">
        <v>0</v>
      </c>
      <c r="AA28">
        <v>10</v>
      </c>
      <c r="AB28">
        <v>50</v>
      </c>
      <c r="AC28">
        <v>1</v>
      </c>
    </row>
    <row r="29" spans="1:29">
      <c r="A29">
        <v>24</v>
      </c>
      <c r="B29">
        <v>2001</v>
      </c>
      <c r="C29">
        <v>11</v>
      </c>
      <c r="D29" t="s">
        <v>280</v>
      </c>
      <c r="E29">
        <f>INDEX([1]用户升级!$G$3:$G$102,MATCH(C29,[1]用户升级!$A$3:$A$102,0))</f>
        <v>36</v>
      </c>
      <c r="F29">
        <f t="shared" si="0"/>
        <v>36</v>
      </c>
      <c r="G29">
        <v>0</v>
      </c>
      <c r="H29">
        <v>0</v>
      </c>
      <c r="I29">
        <v>0</v>
      </c>
      <c r="J29">
        <v>0</v>
      </c>
      <c r="K29">
        <v>0</v>
      </c>
      <c r="L29">
        <v>437</v>
      </c>
      <c r="M29">
        <v>0</v>
      </c>
      <c r="N29">
        <v>135</v>
      </c>
      <c r="O29">
        <v>165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 t="s">
        <v>71</v>
      </c>
      <c r="Y29">
        <v>0</v>
      </c>
      <c r="Z29">
        <v>0</v>
      </c>
      <c r="AA29">
        <v>10</v>
      </c>
      <c r="AB29">
        <v>50</v>
      </c>
      <c r="AC29">
        <v>1</v>
      </c>
    </row>
    <row r="30" spans="1:29">
      <c r="A30">
        <v>25</v>
      </c>
      <c r="B30">
        <v>2001</v>
      </c>
      <c r="C30">
        <v>12</v>
      </c>
      <c r="D30" t="s">
        <v>281</v>
      </c>
      <c r="E30">
        <f>INDEX([1]用户升级!$G$3:$G$102,MATCH(C30,[1]用户升级!$A$3:$A$102,0))</f>
        <v>40</v>
      </c>
      <c r="F30">
        <f t="shared" si="0"/>
        <v>40</v>
      </c>
      <c r="G30">
        <v>0</v>
      </c>
      <c r="H30">
        <v>0</v>
      </c>
      <c r="I30">
        <v>0</v>
      </c>
      <c r="J30">
        <v>0</v>
      </c>
      <c r="K30">
        <v>0</v>
      </c>
      <c r="L30">
        <v>500</v>
      </c>
      <c r="M30">
        <v>0</v>
      </c>
      <c r="N30">
        <v>157</v>
      </c>
      <c r="O30">
        <v>193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 t="s">
        <v>72</v>
      </c>
      <c r="Y30">
        <v>0</v>
      </c>
      <c r="Z30">
        <v>0</v>
      </c>
      <c r="AA30">
        <v>10</v>
      </c>
      <c r="AB30">
        <v>50</v>
      </c>
      <c r="AC30">
        <v>1</v>
      </c>
    </row>
    <row r="31" spans="1:29">
      <c r="A31">
        <v>26</v>
      </c>
      <c r="B31">
        <v>2001</v>
      </c>
      <c r="C31">
        <v>13</v>
      </c>
      <c r="D31" t="s">
        <v>282</v>
      </c>
      <c r="E31">
        <f>INDEX([1]用户升级!$G$3:$G$102,MATCH(C31,[1]用户升级!$A$3:$A$102,0))</f>
        <v>44</v>
      </c>
      <c r="F31">
        <f t="shared" si="0"/>
        <v>44</v>
      </c>
      <c r="G31">
        <v>0</v>
      </c>
      <c r="H31">
        <v>0</v>
      </c>
      <c r="I31">
        <v>0</v>
      </c>
      <c r="J31">
        <v>0</v>
      </c>
      <c r="K31">
        <v>0</v>
      </c>
      <c r="L31">
        <v>544</v>
      </c>
      <c r="M31">
        <v>0</v>
      </c>
      <c r="N31">
        <v>170</v>
      </c>
      <c r="O31">
        <v>207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t="s">
        <v>73</v>
      </c>
      <c r="Y31">
        <v>0</v>
      </c>
      <c r="Z31">
        <v>0</v>
      </c>
      <c r="AA31">
        <v>10</v>
      </c>
      <c r="AB31">
        <v>50</v>
      </c>
      <c r="AC31">
        <v>1</v>
      </c>
    </row>
    <row r="32" spans="1:29">
      <c r="A32">
        <v>27</v>
      </c>
      <c r="B32">
        <v>2001</v>
      </c>
      <c r="C32">
        <v>14</v>
      </c>
      <c r="D32" t="s">
        <v>283</v>
      </c>
      <c r="E32">
        <f>INDEX([1]用户升级!$G$3:$G$102,MATCH(C32,[1]用户升级!$A$3:$A$102,0))</f>
        <v>48</v>
      </c>
      <c r="F32">
        <f t="shared" si="0"/>
        <v>48</v>
      </c>
      <c r="G32">
        <v>0</v>
      </c>
      <c r="H32">
        <v>0</v>
      </c>
      <c r="I32">
        <v>0</v>
      </c>
      <c r="J32">
        <v>0</v>
      </c>
      <c r="K32">
        <v>0</v>
      </c>
      <c r="L32">
        <v>648</v>
      </c>
      <c r="M32">
        <v>0</v>
      </c>
      <c r="N32">
        <v>199</v>
      </c>
      <c r="O32">
        <v>244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 t="s">
        <v>74</v>
      </c>
      <c r="Y32">
        <v>0</v>
      </c>
      <c r="Z32">
        <v>0</v>
      </c>
      <c r="AA32">
        <v>10</v>
      </c>
      <c r="AB32">
        <v>50</v>
      </c>
      <c r="AC32">
        <v>1</v>
      </c>
    </row>
    <row r="33" spans="1:29">
      <c r="A33">
        <v>28</v>
      </c>
      <c r="B33">
        <v>2001</v>
      </c>
      <c r="C33">
        <v>13</v>
      </c>
      <c r="D33" t="s">
        <v>284</v>
      </c>
      <c r="E33">
        <f>INDEX([1]用户升级!$G$3:$G$102,MATCH(C33,[1]用户升级!$A$3:$A$102,0))</f>
        <v>44</v>
      </c>
      <c r="F33">
        <f t="shared" si="0"/>
        <v>44</v>
      </c>
      <c r="G33">
        <v>0</v>
      </c>
      <c r="H33">
        <v>0</v>
      </c>
      <c r="I33">
        <v>0</v>
      </c>
      <c r="J33">
        <v>0</v>
      </c>
      <c r="K33">
        <v>0</v>
      </c>
      <c r="L33">
        <v>571</v>
      </c>
      <c r="M33">
        <v>0</v>
      </c>
      <c r="N33">
        <v>184</v>
      </c>
      <c r="O33">
        <v>226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 t="s">
        <v>75</v>
      </c>
      <c r="Y33">
        <v>0</v>
      </c>
      <c r="Z33">
        <v>0</v>
      </c>
      <c r="AA33">
        <v>10</v>
      </c>
      <c r="AB33">
        <v>50</v>
      </c>
      <c r="AC33">
        <v>1</v>
      </c>
    </row>
    <row r="34" spans="1:29">
      <c r="A34">
        <v>29</v>
      </c>
      <c r="B34">
        <v>2001</v>
      </c>
      <c r="C34">
        <v>14</v>
      </c>
      <c r="D34" t="s">
        <v>285</v>
      </c>
      <c r="E34">
        <f>INDEX([1]用户升级!$G$3:$G$102,MATCH(C34,[1]用户升级!$A$3:$A$102,0))</f>
        <v>48</v>
      </c>
      <c r="F34">
        <f t="shared" si="0"/>
        <v>48</v>
      </c>
      <c r="G34">
        <v>0</v>
      </c>
      <c r="H34">
        <v>0</v>
      </c>
      <c r="I34">
        <v>0</v>
      </c>
      <c r="J34">
        <v>0</v>
      </c>
      <c r="K34">
        <v>0</v>
      </c>
      <c r="L34">
        <v>680</v>
      </c>
      <c r="M34">
        <v>0</v>
      </c>
      <c r="N34">
        <v>217</v>
      </c>
      <c r="O34">
        <v>265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 t="s">
        <v>76</v>
      </c>
      <c r="Y34">
        <v>0</v>
      </c>
      <c r="Z34">
        <v>0</v>
      </c>
      <c r="AA34">
        <v>10</v>
      </c>
      <c r="AB34">
        <v>50</v>
      </c>
      <c r="AC34">
        <v>1</v>
      </c>
    </row>
    <row r="35" spans="1:29">
      <c r="A35">
        <v>30</v>
      </c>
      <c r="B35">
        <v>2001</v>
      </c>
      <c r="C35">
        <v>15</v>
      </c>
      <c r="D35" t="s">
        <v>286</v>
      </c>
      <c r="E35">
        <f>INDEX([1]用户升级!$G$3:$G$102,MATCH(C35,[1]用户升级!$A$3:$A$102,0))</f>
        <v>52</v>
      </c>
      <c r="F35">
        <f t="shared" si="0"/>
        <v>52</v>
      </c>
      <c r="G35">
        <v>0</v>
      </c>
      <c r="H35">
        <v>0</v>
      </c>
      <c r="I35">
        <v>0</v>
      </c>
      <c r="J35">
        <v>0</v>
      </c>
      <c r="K35">
        <v>0</v>
      </c>
      <c r="L35">
        <v>779</v>
      </c>
      <c r="M35">
        <v>0</v>
      </c>
      <c r="N35">
        <v>233</v>
      </c>
      <c r="O35">
        <v>285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 t="s">
        <v>77</v>
      </c>
      <c r="Y35">
        <v>0</v>
      </c>
      <c r="Z35">
        <v>0</v>
      </c>
      <c r="AA35">
        <v>10</v>
      </c>
      <c r="AB35">
        <v>50</v>
      </c>
      <c r="AC35">
        <v>1</v>
      </c>
    </row>
    <row r="36" spans="1:29">
      <c r="A36">
        <v>31</v>
      </c>
      <c r="B36">
        <v>2001</v>
      </c>
      <c r="C36">
        <v>16</v>
      </c>
      <c r="D36" t="s">
        <v>287</v>
      </c>
      <c r="E36">
        <f>INDEX([1]用户升级!$G$3:$G$102,MATCH(C36,[1]用户升级!$A$3:$A$102,0))</f>
        <v>56</v>
      </c>
      <c r="F36">
        <f t="shared" si="0"/>
        <v>56</v>
      </c>
      <c r="G36">
        <v>0</v>
      </c>
      <c r="H36">
        <v>0</v>
      </c>
      <c r="I36">
        <v>0</v>
      </c>
      <c r="J36">
        <v>0</v>
      </c>
      <c r="K36">
        <v>0</v>
      </c>
      <c r="L36">
        <v>883</v>
      </c>
      <c r="M36">
        <v>0</v>
      </c>
      <c r="N36">
        <v>263</v>
      </c>
      <c r="O36">
        <v>321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 t="s">
        <v>78</v>
      </c>
      <c r="Y36">
        <v>0</v>
      </c>
      <c r="Z36">
        <v>0</v>
      </c>
      <c r="AA36">
        <v>10</v>
      </c>
      <c r="AB36">
        <v>50</v>
      </c>
      <c r="AC36">
        <v>1</v>
      </c>
    </row>
    <row r="37" spans="1:29">
      <c r="A37">
        <v>32</v>
      </c>
      <c r="B37">
        <v>2001</v>
      </c>
      <c r="C37">
        <v>15</v>
      </c>
      <c r="D37" t="s">
        <v>288</v>
      </c>
      <c r="E37">
        <f>INDEX([1]用户升级!$G$3:$G$102,MATCH(C37,[1]用户升级!$A$3:$A$102,0))</f>
        <v>52</v>
      </c>
      <c r="F37">
        <f t="shared" si="0"/>
        <v>52</v>
      </c>
      <c r="G37">
        <v>0</v>
      </c>
      <c r="H37">
        <v>0</v>
      </c>
      <c r="I37">
        <v>0</v>
      </c>
      <c r="J37">
        <v>0</v>
      </c>
      <c r="K37">
        <v>0</v>
      </c>
      <c r="L37">
        <v>818</v>
      </c>
      <c r="M37">
        <v>0</v>
      </c>
      <c r="N37">
        <v>248</v>
      </c>
      <c r="O37">
        <v>303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 t="s">
        <v>79</v>
      </c>
      <c r="Y37">
        <v>0</v>
      </c>
      <c r="Z37">
        <v>0</v>
      </c>
      <c r="AA37">
        <v>10</v>
      </c>
      <c r="AB37">
        <v>50</v>
      </c>
      <c r="AC37">
        <v>1</v>
      </c>
    </row>
    <row r="38" spans="1:29">
      <c r="A38">
        <v>33</v>
      </c>
      <c r="B38">
        <v>2001</v>
      </c>
      <c r="C38">
        <v>16</v>
      </c>
      <c r="D38" t="s">
        <v>289</v>
      </c>
      <c r="E38">
        <f>INDEX([1]用户升级!$G$3:$G$102,MATCH(C38,[1]用户升级!$A$3:$A$102,0))</f>
        <v>56</v>
      </c>
      <c r="F38">
        <f t="shared" si="0"/>
        <v>56</v>
      </c>
      <c r="G38">
        <v>0</v>
      </c>
      <c r="H38">
        <v>0</v>
      </c>
      <c r="I38">
        <v>0</v>
      </c>
      <c r="J38">
        <v>0</v>
      </c>
      <c r="K38">
        <v>0</v>
      </c>
      <c r="L38">
        <v>927</v>
      </c>
      <c r="M38">
        <v>0</v>
      </c>
      <c r="N38">
        <v>279</v>
      </c>
      <c r="O38">
        <v>341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 t="s">
        <v>80</v>
      </c>
      <c r="Y38">
        <v>0</v>
      </c>
      <c r="Z38">
        <v>0</v>
      </c>
      <c r="AA38">
        <v>10</v>
      </c>
      <c r="AB38">
        <v>50</v>
      </c>
      <c r="AC38">
        <v>1</v>
      </c>
    </row>
    <row r="39" spans="1:29">
      <c r="A39">
        <v>34</v>
      </c>
      <c r="B39">
        <v>2001</v>
      </c>
      <c r="C39">
        <v>17</v>
      </c>
      <c r="D39" t="s">
        <v>290</v>
      </c>
      <c r="E39">
        <f>INDEX([1]用户升级!$G$3:$G$102,MATCH(C39,[1]用户升级!$A$3:$A$102,0))</f>
        <v>60</v>
      </c>
      <c r="F39">
        <f t="shared" si="0"/>
        <v>60</v>
      </c>
      <c r="G39">
        <v>0</v>
      </c>
      <c r="H39">
        <v>0</v>
      </c>
      <c r="I39">
        <v>0</v>
      </c>
      <c r="J39">
        <v>0</v>
      </c>
      <c r="K39">
        <v>0</v>
      </c>
      <c r="L39">
        <v>1050</v>
      </c>
      <c r="M39">
        <v>0</v>
      </c>
      <c r="N39">
        <v>294</v>
      </c>
      <c r="O39">
        <v>359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 t="s">
        <v>81</v>
      </c>
      <c r="Y39">
        <v>0</v>
      </c>
      <c r="Z39">
        <v>0</v>
      </c>
      <c r="AA39">
        <v>10</v>
      </c>
      <c r="AB39">
        <v>50</v>
      </c>
      <c r="AC39">
        <v>1</v>
      </c>
    </row>
    <row r="40" spans="1:29">
      <c r="A40">
        <v>35</v>
      </c>
      <c r="B40">
        <v>2001</v>
      </c>
      <c r="C40">
        <v>18</v>
      </c>
      <c r="D40" t="s">
        <v>291</v>
      </c>
      <c r="E40">
        <f>INDEX([1]用户升级!$G$3:$G$102,MATCH(C40,[1]用户升级!$A$3:$A$102,0))</f>
        <v>64</v>
      </c>
      <c r="F40">
        <f t="shared" si="0"/>
        <v>64</v>
      </c>
      <c r="G40">
        <v>0</v>
      </c>
      <c r="H40">
        <v>0</v>
      </c>
      <c r="I40">
        <v>0</v>
      </c>
      <c r="J40">
        <v>0</v>
      </c>
      <c r="K40">
        <v>0</v>
      </c>
      <c r="L40">
        <v>1180</v>
      </c>
      <c r="M40">
        <v>0</v>
      </c>
      <c r="N40">
        <v>329</v>
      </c>
      <c r="O40">
        <v>402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 t="s">
        <v>82</v>
      </c>
      <c r="Y40">
        <v>0</v>
      </c>
      <c r="Z40">
        <v>0</v>
      </c>
      <c r="AA40">
        <v>10</v>
      </c>
      <c r="AB40">
        <v>50</v>
      </c>
      <c r="AC40">
        <v>1</v>
      </c>
    </row>
    <row r="41" spans="1:29">
      <c r="A41">
        <v>36</v>
      </c>
      <c r="B41">
        <v>2001</v>
      </c>
      <c r="C41">
        <v>17</v>
      </c>
      <c r="D41" t="s">
        <v>292</v>
      </c>
      <c r="E41">
        <f>INDEX([1]用户升级!$G$3:$G$102,MATCH(C41,[1]用户升级!$A$3:$A$102,0))</f>
        <v>60</v>
      </c>
      <c r="F41">
        <f t="shared" si="0"/>
        <v>60</v>
      </c>
      <c r="G41">
        <v>0</v>
      </c>
      <c r="H41">
        <v>0</v>
      </c>
      <c r="I41">
        <v>0</v>
      </c>
      <c r="J41">
        <v>0</v>
      </c>
      <c r="K41">
        <v>0</v>
      </c>
      <c r="L41">
        <v>1103</v>
      </c>
      <c r="M41">
        <v>0</v>
      </c>
      <c r="N41">
        <v>311</v>
      </c>
      <c r="O41">
        <v>381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 t="s">
        <v>83</v>
      </c>
      <c r="Y41">
        <v>0</v>
      </c>
      <c r="Z41">
        <v>0</v>
      </c>
      <c r="AA41">
        <v>10</v>
      </c>
      <c r="AB41">
        <v>50</v>
      </c>
      <c r="AC41">
        <v>1</v>
      </c>
    </row>
    <row r="42" spans="1:29">
      <c r="A42">
        <v>37</v>
      </c>
      <c r="B42">
        <v>2001</v>
      </c>
      <c r="C42">
        <v>18</v>
      </c>
      <c r="D42" t="s">
        <v>293</v>
      </c>
      <c r="E42">
        <f>INDEX([1]用户升级!$G$3:$G$102,MATCH(C42,[1]用户升级!$A$3:$A$102,0))</f>
        <v>64</v>
      </c>
      <c r="F42">
        <f t="shared" si="0"/>
        <v>64</v>
      </c>
      <c r="G42">
        <v>0</v>
      </c>
      <c r="H42">
        <v>0</v>
      </c>
      <c r="I42">
        <v>0</v>
      </c>
      <c r="J42">
        <v>0</v>
      </c>
      <c r="K42">
        <v>0</v>
      </c>
      <c r="L42">
        <v>1239</v>
      </c>
      <c r="M42">
        <v>0</v>
      </c>
      <c r="N42">
        <v>349</v>
      </c>
      <c r="O42">
        <v>427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 t="s">
        <v>84</v>
      </c>
      <c r="Y42">
        <v>0</v>
      </c>
      <c r="Z42">
        <v>0</v>
      </c>
      <c r="AA42">
        <v>10</v>
      </c>
      <c r="AB42">
        <v>50</v>
      </c>
      <c r="AC42">
        <v>1</v>
      </c>
    </row>
    <row r="43" spans="1:29">
      <c r="A43">
        <v>38</v>
      </c>
      <c r="B43">
        <v>2001</v>
      </c>
      <c r="C43">
        <v>19</v>
      </c>
      <c r="D43" t="s">
        <v>294</v>
      </c>
      <c r="E43">
        <f>INDEX([1]用户升级!$G$3:$G$102,MATCH(C43,[1]用户升级!$A$3:$A$102,0))</f>
        <v>68</v>
      </c>
      <c r="F43">
        <f t="shared" si="0"/>
        <v>68</v>
      </c>
      <c r="G43">
        <v>0</v>
      </c>
      <c r="H43">
        <v>0</v>
      </c>
      <c r="I43">
        <v>0</v>
      </c>
      <c r="J43">
        <v>0</v>
      </c>
      <c r="K43">
        <v>0</v>
      </c>
      <c r="L43">
        <v>1386</v>
      </c>
      <c r="M43">
        <v>0</v>
      </c>
      <c r="N43">
        <v>368</v>
      </c>
      <c r="O43">
        <v>450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 t="s">
        <v>85</v>
      </c>
      <c r="Y43">
        <v>0</v>
      </c>
      <c r="Z43">
        <v>0</v>
      </c>
      <c r="AA43">
        <v>10</v>
      </c>
      <c r="AB43">
        <v>50</v>
      </c>
      <c r="AC43">
        <v>1</v>
      </c>
    </row>
    <row r="44" spans="1:29">
      <c r="A44">
        <v>39</v>
      </c>
      <c r="B44">
        <v>2001</v>
      </c>
      <c r="C44">
        <v>20</v>
      </c>
      <c r="D44" t="s">
        <v>295</v>
      </c>
      <c r="E44">
        <f>INDEX([1]用户升级!$G$3:$G$102,MATCH(C44,[1]用户升级!$A$3:$A$102,0))</f>
        <v>72</v>
      </c>
      <c r="F44">
        <f t="shared" si="0"/>
        <v>72</v>
      </c>
      <c r="G44">
        <v>0</v>
      </c>
      <c r="H44">
        <v>0</v>
      </c>
      <c r="I44">
        <v>0</v>
      </c>
      <c r="J44">
        <v>0</v>
      </c>
      <c r="K44">
        <v>0</v>
      </c>
      <c r="L44">
        <v>1554</v>
      </c>
      <c r="M44">
        <v>0</v>
      </c>
      <c r="N44">
        <v>410</v>
      </c>
      <c r="O44">
        <v>501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 t="s">
        <v>86</v>
      </c>
      <c r="Y44">
        <v>0</v>
      </c>
      <c r="Z44">
        <v>0</v>
      </c>
      <c r="AA44">
        <v>10</v>
      </c>
      <c r="AB44">
        <v>50</v>
      </c>
      <c r="AC44">
        <v>1</v>
      </c>
    </row>
    <row r="45" spans="1:29">
      <c r="A45">
        <v>40</v>
      </c>
      <c r="B45">
        <v>2001</v>
      </c>
      <c r="C45">
        <v>19</v>
      </c>
      <c r="D45" t="s">
        <v>296</v>
      </c>
      <c r="E45">
        <f>INDEX([1]用户升级!$G$3:$G$102,MATCH(C45,[1]用户升级!$A$3:$A$102,0))</f>
        <v>68</v>
      </c>
      <c r="F45">
        <f t="shared" si="0"/>
        <v>68</v>
      </c>
      <c r="G45">
        <v>0</v>
      </c>
      <c r="H45">
        <v>0</v>
      </c>
      <c r="I45">
        <v>0</v>
      </c>
      <c r="J45">
        <v>0</v>
      </c>
      <c r="K45">
        <v>0</v>
      </c>
      <c r="L45">
        <v>1455</v>
      </c>
      <c r="M45">
        <v>0</v>
      </c>
      <c r="N45">
        <v>390</v>
      </c>
      <c r="O45">
        <v>476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 t="s">
        <v>87</v>
      </c>
      <c r="Y45">
        <v>0</v>
      </c>
      <c r="Z45">
        <v>0</v>
      </c>
      <c r="AA45">
        <v>10</v>
      </c>
      <c r="AB45">
        <v>50</v>
      </c>
      <c r="AC45">
        <v>1</v>
      </c>
    </row>
    <row r="46" spans="1:29">
      <c r="A46">
        <v>41</v>
      </c>
      <c r="B46">
        <v>2001</v>
      </c>
      <c r="C46">
        <v>20</v>
      </c>
      <c r="D46" t="s">
        <v>297</v>
      </c>
      <c r="E46">
        <f>INDEX([1]用户升级!$G$3:$G$102,MATCH(C46,[1]用户升级!$A$3:$A$102,0))</f>
        <v>72</v>
      </c>
      <c r="F46">
        <f t="shared" si="0"/>
        <v>72</v>
      </c>
      <c r="G46">
        <v>0</v>
      </c>
      <c r="H46">
        <v>0</v>
      </c>
      <c r="I46">
        <v>0</v>
      </c>
      <c r="J46">
        <v>0</v>
      </c>
      <c r="K46">
        <v>0</v>
      </c>
      <c r="L46">
        <v>1632</v>
      </c>
      <c r="M46">
        <v>0</v>
      </c>
      <c r="N46">
        <v>427</v>
      </c>
      <c r="O46">
        <v>523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 t="s">
        <v>88</v>
      </c>
      <c r="Y46">
        <v>0</v>
      </c>
      <c r="Z46">
        <v>0</v>
      </c>
      <c r="AA46">
        <v>10</v>
      </c>
      <c r="AB46">
        <v>50</v>
      </c>
      <c r="AC46">
        <v>1</v>
      </c>
    </row>
    <row r="47" spans="1:29">
      <c r="A47">
        <v>42</v>
      </c>
      <c r="B47">
        <v>2001</v>
      </c>
      <c r="C47">
        <v>21</v>
      </c>
      <c r="D47" t="s">
        <v>298</v>
      </c>
      <c r="E47">
        <f>INDEX([1]用户升级!$G$3:$G$102,MATCH(C47,[1]用户升级!$A$3:$A$102,0))</f>
        <v>78</v>
      </c>
      <c r="F47">
        <f t="shared" si="0"/>
        <v>78</v>
      </c>
      <c r="G47">
        <v>0</v>
      </c>
      <c r="H47">
        <v>0</v>
      </c>
      <c r="I47">
        <v>0</v>
      </c>
      <c r="J47">
        <v>0</v>
      </c>
      <c r="K47">
        <v>0</v>
      </c>
      <c r="L47">
        <v>1826</v>
      </c>
      <c r="M47">
        <v>0</v>
      </c>
      <c r="N47">
        <v>445</v>
      </c>
      <c r="O47">
        <v>544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 t="s">
        <v>89</v>
      </c>
      <c r="Y47">
        <v>0</v>
      </c>
      <c r="Z47">
        <v>0</v>
      </c>
      <c r="AA47">
        <v>10</v>
      </c>
      <c r="AB47">
        <v>50</v>
      </c>
      <c r="AC47">
        <v>1</v>
      </c>
    </row>
    <row r="48" spans="1:29">
      <c r="A48">
        <v>43</v>
      </c>
      <c r="B48">
        <v>2001</v>
      </c>
      <c r="C48">
        <v>22</v>
      </c>
      <c r="D48" t="s">
        <v>299</v>
      </c>
      <c r="E48">
        <f>INDEX([1]用户升级!$G$3:$G$102,MATCH(C48,[1]用户升级!$A$3:$A$102,0))</f>
        <v>84</v>
      </c>
      <c r="F48">
        <f t="shared" si="0"/>
        <v>84</v>
      </c>
      <c r="G48">
        <v>0</v>
      </c>
      <c r="H48">
        <v>0</v>
      </c>
      <c r="I48">
        <v>0</v>
      </c>
      <c r="J48">
        <v>0</v>
      </c>
      <c r="K48">
        <v>0</v>
      </c>
      <c r="L48">
        <v>2024</v>
      </c>
      <c r="M48">
        <v>0</v>
      </c>
      <c r="N48">
        <v>483</v>
      </c>
      <c r="O48">
        <v>590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 t="s">
        <v>90</v>
      </c>
      <c r="Y48">
        <v>0</v>
      </c>
      <c r="Z48">
        <v>0</v>
      </c>
      <c r="AA48">
        <v>10</v>
      </c>
      <c r="AB48">
        <v>50</v>
      </c>
      <c r="AC48">
        <v>1</v>
      </c>
    </row>
    <row r="49" spans="1:29">
      <c r="A49">
        <v>44</v>
      </c>
      <c r="B49">
        <v>2001</v>
      </c>
      <c r="C49">
        <v>21</v>
      </c>
      <c r="D49" t="s">
        <v>300</v>
      </c>
      <c r="E49">
        <f>INDEX([1]用户升级!$G$3:$G$102,MATCH(C49,[1]用户升级!$A$3:$A$102,0))</f>
        <v>78</v>
      </c>
      <c r="F49">
        <f t="shared" si="0"/>
        <v>78</v>
      </c>
      <c r="G49">
        <v>0</v>
      </c>
      <c r="H49">
        <v>0</v>
      </c>
      <c r="I49">
        <v>0</v>
      </c>
      <c r="J49">
        <v>0</v>
      </c>
      <c r="K49">
        <v>0</v>
      </c>
      <c r="L49">
        <v>1917</v>
      </c>
      <c r="M49">
        <v>0</v>
      </c>
      <c r="N49">
        <v>464</v>
      </c>
      <c r="O49">
        <v>567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 t="s">
        <v>91</v>
      </c>
      <c r="Y49">
        <v>0</v>
      </c>
      <c r="Z49">
        <v>0</v>
      </c>
      <c r="AA49">
        <v>10</v>
      </c>
      <c r="AB49">
        <v>50</v>
      </c>
      <c r="AC49">
        <v>1</v>
      </c>
    </row>
    <row r="50" spans="1:29">
      <c r="A50">
        <v>45</v>
      </c>
      <c r="B50">
        <v>2001</v>
      </c>
      <c r="C50">
        <v>22</v>
      </c>
      <c r="D50" t="s">
        <v>301</v>
      </c>
      <c r="E50">
        <f>INDEX([1]用户升级!$G$3:$G$102,MATCH(C50,[1]用户升级!$A$3:$A$102,0))</f>
        <v>84</v>
      </c>
      <c r="F50">
        <f t="shared" si="0"/>
        <v>84</v>
      </c>
      <c r="G50">
        <v>0</v>
      </c>
      <c r="H50">
        <v>0</v>
      </c>
      <c r="I50">
        <v>0</v>
      </c>
      <c r="J50">
        <v>0</v>
      </c>
      <c r="K50">
        <v>0</v>
      </c>
      <c r="L50">
        <v>2125</v>
      </c>
      <c r="M50">
        <v>0</v>
      </c>
      <c r="N50">
        <v>503</v>
      </c>
      <c r="O50">
        <v>615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 t="s">
        <v>92</v>
      </c>
      <c r="Y50">
        <v>0</v>
      </c>
      <c r="Z50">
        <v>0</v>
      </c>
      <c r="AA50">
        <v>10</v>
      </c>
      <c r="AB50">
        <v>50</v>
      </c>
      <c r="AC50">
        <v>1</v>
      </c>
    </row>
    <row r="51" spans="1:29">
      <c r="A51">
        <v>46</v>
      </c>
      <c r="B51">
        <v>2001</v>
      </c>
      <c r="C51">
        <v>23</v>
      </c>
      <c r="D51" t="s">
        <v>302</v>
      </c>
      <c r="E51">
        <f>INDEX([1]用户升级!$G$3:$G$102,MATCH(C51,[1]用户升级!$A$3:$A$102,0))</f>
        <v>90</v>
      </c>
      <c r="F51">
        <f t="shared" si="0"/>
        <v>90</v>
      </c>
      <c r="G51">
        <v>0</v>
      </c>
      <c r="H51">
        <v>0</v>
      </c>
      <c r="I51">
        <v>0</v>
      </c>
      <c r="J51">
        <v>0</v>
      </c>
      <c r="K51">
        <v>0</v>
      </c>
      <c r="L51">
        <v>2346</v>
      </c>
      <c r="M51">
        <v>0</v>
      </c>
      <c r="N51">
        <v>522</v>
      </c>
      <c r="O51">
        <v>638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 t="s">
        <v>93</v>
      </c>
      <c r="Y51">
        <v>0</v>
      </c>
      <c r="Z51">
        <v>0</v>
      </c>
      <c r="AA51">
        <v>10</v>
      </c>
      <c r="AB51">
        <v>50</v>
      </c>
      <c r="AC51">
        <v>1</v>
      </c>
    </row>
    <row r="52" spans="1:29">
      <c r="A52">
        <v>47</v>
      </c>
      <c r="B52">
        <v>2001</v>
      </c>
      <c r="C52">
        <v>24</v>
      </c>
      <c r="D52" t="s">
        <v>303</v>
      </c>
      <c r="E52">
        <f>INDEX([1]用户升级!$G$3:$G$102,MATCH(C52,[1]用户升级!$A$3:$A$102,0))</f>
        <v>96</v>
      </c>
      <c r="F52">
        <f t="shared" si="0"/>
        <v>96</v>
      </c>
      <c r="G52">
        <v>0</v>
      </c>
      <c r="H52">
        <v>0</v>
      </c>
      <c r="I52">
        <v>0</v>
      </c>
      <c r="J52">
        <v>0</v>
      </c>
      <c r="K52">
        <v>0</v>
      </c>
      <c r="L52">
        <v>2599</v>
      </c>
      <c r="M52">
        <v>0</v>
      </c>
      <c r="N52">
        <v>564</v>
      </c>
      <c r="O52">
        <v>689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 t="s">
        <v>94</v>
      </c>
      <c r="Y52">
        <v>0</v>
      </c>
      <c r="Z52">
        <v>0</v>
      </c>
      <c r="AA52">
        <v>10</v>
      </c>
      <c r="AB52">
        <v>50</v>
      </c>
      <c r="AC52">
        <v>1</v>
      </c>
    </row>
    <row r="53" spans="1:29">
      <c r="A53">
        <v>48</v>
      </c>
      <c r="B53">
        <v>2001</v>
      </c>
      <c r="C53">
        <v>23</v>
      </c>
      <c r="D53" t="s">
        <v>304</v>
      </c>
      <c r="E53">
        <f>INDEX([1]用户升级!$G$3:$G$102,MATCH(C53,[1]用户升级!$A$3:$A$102,0))</f>
        <v>90</v>
      </c>
      <c r="F53">
        <f t="shared" si="0"/>
        <v>90</v>
      </c>
      <c r="G53">
        <v>0</v>
      </c>
      <c r="H53">
        <v>0</v>
      </c>
      <c r="I53">
        <v>0</v>
      </c>
      <c r="J53">
        <v>0</v>
      </c>
      <c r="K53">
        <v>0</v>
      </c>
      <c r="L53">
        <v>2463</v>
      </c>
      <c r="M53">
        <v>0</v>
      </c>
      <c r="N53">
        <v>544</v>
      </c>
      <c r="O53">
        <v>664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 t="s">
        <v>95</v>
      </c>
      <c r="Y53">
        <v>0</v>
      </c>
      <c r="Z53">
        <v>0</v>
      </c>
      <c r="AA53">
        <v>10</v>
      </c>
      <c r="AB53">
        <v>50</v>
      </c>
      <c r="AC53">
        <v>1</v>
      </c>
    </row>
    <row r="54" spans="1:29">
      <c r="A54">
        <v>49</v>
      </c>
      <c r="B54">
        <v>2001</v>
      </c>
      <c r="C54">
        <v>24</v>
      </c>
      <c r="D54" t="s">
        <v>305</v>
      </c>
      <c r="E54">
        <f>INDEX([1]用户升级!$G$3:$G$102,MATCH(C54,[1]用户升级!$A$3:$A$102,0))</f>
        <v>96</v>
      </c>
      <c r="F54">
        <f t="shared" si="0"/>
        <v>96</v>
      </c>
      <c r="G54">
        <v>0</v>
      </c>
      <c r="H54">
        <v>0</v>
      </c>
      <c r="I54">
        <v>0</v>
      </c>
      <c r="J54">
        <v>0</v>
      </c>
      <c r="K54">
        <v>0</v>
      </c>
      <c r="L54">
        <v>2729</v>
      </c>
      <c r="M54">
        <v>0</v>
      </c>
      <c r="N54">
        <v>587</v>
      </c>
      <c r="O54">
        <v>717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 t="s">
        <v>96</v>
      </c>
      <c r="Y54">
        <v>0</v>
      </c>
      <c r="Z54">
        <v>0</v>
      </c>
      <c r="AA54">
        <v>10</v>
      </c>
      <c r="AB54">
        <v>50</v>
      </c>
      <c r="AC54">
        <v>1</v>
      </c>
    </row>
    <row r="55" spans="1:29">
      <c r="A55">
        <v>50</v>
      </c>
      <c r="B55">
        <v>2001</v>
      </c>
      <c r="C55">
        <v>25</v>
      </c>
      <c r="D55" t="s">
        <v>306</v>
      </c>
      <c r="E55">
        <f>INDEX([1]用户升级!$G$3:$G$102,MATCH(C55,[1]用户升级!$A$3:$A$102,0))</f>
        <v>102</v>
      </c>
      <c r="F55">
        <f t="shared" si="0"/>
        <v>102</v>
      </c>
      <c r="G55">
        <v>0</v>
      </c>
      <c r="H55">
        <v>0</v>
      </c>
      <c r="I55">
        <v>0</v>
      </c>
      <c r="J55">
        <v>0</v>
      </c>
      <c r="K55">
        <v>0</v>
      </c>
      <c r="L55">
        <v>3000</v>
      </c>
      <c r="M55">
        <v>0</v>
      </c>
      <c r="N55">
        <v>610</v>
      </c>
      <c r="O55">
        <v>745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 t="s">
        <v>97</v>
      </c>
      <c r="Y55">
        <v>0</v>
      </c>
      <c r="Z55">
        <v>0</v>
      </c>
      <c r="AA55">
        <v>10</v>
      </c>
      <c r="AB55">
        <v>50</v>
      </c>
      <c r="AC55">
        <v>1</v>
      </c>
    </row>
    <row r="56" spans="1:29">
      <c r="A56">
        <v>51</v>
      </c>
      <c r="B56">
        <v>2001</v>
      </c>
      <c r="C56">
        <v>26</v>
      </c>
      <c r="D56" t="s">
        <v>307</v>
      </c>
      <c r="E56">
        <f>INDEX([1]用户升级!$G$3:$G$102,MATCH(C56,[1]用户升级!$A$3:$A$102,0))</f>
        <v>108</v>
      </c>
      <c r="F56">
        <f t="shared" si="0"/>
        <v>108</v>
      </c>
      <c r="G56">
        <v>0</v>
      </c>
      <c r="H56">
        <v>0</v>
      </c>
      <c r="I56">
        <v>0</v>
      </c>
      <c r="J56">
        <v>0</v>
      </c>
      <c r="K56">
        <v>0</v>
      </c>
      <c r="L56">
        <v>3300</v>
      </c>
      <c r="M56">
        <v>0</v>
      </c>
      <c r="N56">
        <v>673</v>
      </c>
      <c r="O56">
        <v>823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 t="s">
        <v>98</v>
      </c>
      <c r="Y56">
        <v>0</v>
      </c>
      <c r="Z56">
        <v>0</v>
      </c>
      <c r="AA56">
        <v>10</v>
      </c>
      <c r="AB56">
        <v>50</v>
      </c>
      <c r="AC56">
        <v>1</v>
      </c>
    </row>
    <row r="57" spans="1:29">
      <c r="A57">
        <v>52</v>
      </c>
      <c r="B57">
        <v>2001</v>
      </c>
      <c r="C57">
        <v>25</v>
      </c>
      <c r="D57" t="s">
        <v>308</v>
      </c>
      <c r="E57">
        <f>INDEX([1]用户升级!$G$3:$G$102,MATCH(C57,[1]用户升级!$A$3:$A$102,0))</f>
        <v>102</v>
      </c>
      <c r="F57">
        <f t="shared" si="0"/>
        <v>102</v>
      </c>
      <c r="G57">
        <v>0</v>
      </c>
      <c r="H57">
        <v>0</v>
      </c>
      <c r="I57">
        <v>0</v>
      </c>
      <c r="J57">
        <v>0</v>
      </c>
      <c r="K57">
        <v>0</v>
      </c>
      <c r="L57">
        <v>3150</v>
      </c>
      <c r="M57">
        <v>0</v>
      </c>
      <c r="N57">
        <v>642</v>
      </c>
      <c r="O57">
        <v>785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 t="s">
        <v>99</v>
      </c>
      <c r="Y57">
        <v>0</v>
      </c>
      <c r="Z57">
        <v>0</v>
      </c>
      <c r="AA57">
        <v>10</v>
      </c>
      <c r="AB57">
        <v>50</v>
      </c>
      <c r="AC57">
        <v>1</v>
      </c>
    </row>
    <row r="58" spans="1:29">
      <c r="A58">
        <v>53</v>
      </c>
      <c r="B58">
        <v>2001</v>
      </c>
      <c r="C58">
        <v>26</v>
      </c>
      <c r="D58" t="s">
        <v>309</v>
      </c>
      <c r="E58">
        <f>INDEX([1]用户升级!$G$3:$G$102,MATCH(C58,[1]用户升级!$A$3:$A$102,0))</f>
        <v>108</v>
      </c>
      <c r="F58">
        <f t="shared" si="0"/>
        <v>108</v>
      </c>
      <c r="G58">
        <v>0</v>
      </c>
      <c r="H58">
        <v>0</v>
      </c>
      <c r="I58">
        <v>0</v>
      </c>
      <c r="J58">
        <v>0</v>
      </c>
      <c r="K58">
        <v>0</v>
      </c>
      <c r="L58">
        <v>3465</v>
      </c>
      <c r="M58">
        <v>0</v>
      </c>
      <c r="N58">
        <v>708</v>
      </c>
      <c r="O58">
        <v>866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 t="s">
        <v>100</v>
      </c>
      <c r="Y58">
        <v>0</v>
      </c>
      <c r="Z58">
        <v>0</v>
      </c>
      <c r="AA58">
        <v>10</v>
      </c>
      <c r="AB58">
        <v>50</v>
      </c>
      <c r="AC58">
        <v>1</v>
      </c>
    </row>
    <row r="59" spans="1:29">
      <c r="A59">
        <v>54</v>
      </c>
      <c r="B59">
        <v>2001</v>
      </c>
      <c r="C59">
        <v>27</v>
      </c>
      <c r="D59" t="s">
        <v>310</v>
      </c>
      <c r="E59">
        <f>INDEX([1]用户升级!$G$3:$G$102,MATCH(C59,[1]用户升级!$A$3:$A$102,0))</f>
        <v>114</v>
      </c>
      <c r="F59">
        <f t="shared" si="0"/>
        <v>114</v>
      </c>
      <c r="G59">
        <v>0</v>
      </c>
      <c r="H59">
        <v>0</v>
      </c>
      <c r="I59">
        <v>0</v>
      </c>
      <c r="J59">
        <v>0</v>
      </c>
      <c r="K59">
        <v>0</v>
      </c>
      <c r="L59">
        <v>3775</v>
      </c>
      <c r="M59">
        <v>0</v>
      </c>
      <c r="N59">
        <v>743</v>
      </c>
      <c r="O59">
        <v>909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 t="s">
        <v>101</v>
      </c>
      <c r="Y59">
        <v>0</v>
      </c>
      <c r="Z59">
        <v>0</v>
      </c>
      <c r="AA59">
        <v>10</v>
      </c>
      <c r="AB59">
        <v>50</v>
      </c>
      <c r="AC59">
        <v>1</v>
      </c>
    </row>
    <row r="60" spans="1:29">
      <c r="A60">
        <v>55</v>
      </c>
      <c r="B60">
        <v>2001</v>
      </c>
      <c r="C60">
        <v>28</v>
      </c>
      <c r="D60" t="s">
        <v>311</v>
      </c>
      <c r="E60">
        <f>INDEX([1]用户升级!$G$3:$G$102,MATCH(C60,[1]用户升级!$A$3:$A$102,0))</f>
        <v>120</v>
      </c>
      <c r="F60">
        <f t="shared" si="0"/>
        <v>120</v>
      </c>
      <c r="G60">
        <v>0</v>
      </c>
      <c r="H60">
        <v>0</v>
      </c>
      <c r="I60">
        <v>0</v>
      </c>
      <c r="J60">
        <v>0</v>
      </c>
      <c r="K60">
        <v>0</v>
      </c>
      <c r="L60">
        <v>4125</v>
      </c>
      <c r="M60">
        <v>0</v>
      </c>
      <c r="N60">
        <v>819</v>
      </c>
      <c r="O60">
        <v>1001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 t="s">
        <v>102</v>
      </c>
      <c r="Y60">
        <v>0</v>
      </c>
      <c r="Z60">
        <v>0</v>
      </c>
      <c r="AA60">
        <v>10</v>
      </c>
      <c r="AB60">
        <v>50</v>
      </c>
      <c r="AC60">
        <v>1</v>
      </c>
    </row>
    <row r="61" spans="1:29">
      <c r="A61">
        <v>56</v>
      </c>
      <c r="B61">
        <v>2001</v>
      </c>
      <c r="C61">
        <v>27</v>
      </c>
      <c r="D61" t="s">
        <v>312</v>
      </c>
      <c r="E61">
        <f>INDEX([1]用户升级!$G$3:$G$102,MATCH(C61,[1]用户升级!$A$3:$A$102,0))</f>
        <v>114</v>
      </c>
      <c r="F61">
        <f t="shared" si="0"/>
        <v>114</v>
      </c>
      <c r="G61">
        <v>0</v>
      </c>
      <c r="H61">
        <v>0</v>
      </c>
      <c r="I61">
        <v>0</v>
      </c>
      <c r="J61">
        <v>0</v>
      </c>
      <c r="K61">
        <v>0</v>
      </c>
      <c r="L61">
        <v>3964</v>
      </c>
      <c r="M61">
        <v>0</v>
      </c>
      <c r="N61">
        <v>781</v>
      </c>
      <c r="O61">
        <v>955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 t="s">
        <v>103</v>
      </c>
      <c r="Y61">
        <v>0</v>
      </c>
      <c r="Z61">
        <v>0</v>
      </c>
      <c r="AA61">
        <v>10</v>
      </c>
      <c r="AB61">
        <v>50</v>
      </c>
      <c r="AC61">
        <v>1</v>
      </c>
    </row>
    <row r="62" spans="1:29">
      <c r="A62">
        <v>57</v>
      </c>
      <c r="B62">
        <v>2001</v>
      </c>
      <c r="C62">
        <v>28</v>
      </c>
      <c r="D62" t="s">
        <v>313</v>
      </c>
      <c r="E62">
        <f>INDEX([1]用户升级!$G$3:$G$102,MATCH(C62,[1]用户升级!$A$3:$A$102,0))</f>
        <v>120</v>
      </c>
      <c r="F62">
        <f t="shared" si="0"/>
        <v>120</v>
      </c>
      <c r="G62">
        <v>0</v>
      </c>
      <c r="H62">
        <v>0</v>
      </c>
      <c r="I62">
        <v>0</v>
      </c>
      <c r="J62">
        <v>0</v>
      </c>
      <c r="K62">
        <v>0</v>
      </c>
      <c r="L62">
        <v>4331</v>
      </c>
      <c r="M62">
        <v>0</v>
      </c>
      <c r="N62">
        <v>861</v>
      </c>
      <c r="O62">
        <v>1052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 t="s">
        <v>104</v>
      </c>
      <c r="Y62">
        <v>0</v>
      </c>
      <c r="Z62">
        <v>0</v>
      </c>
      <c r="AA62">
        <v>10</v>
      </c>
      <c r="AB62">
        <v>50</v>
      </c>
      <c r="AC62">
        <v>1</v>
      </c>
    </row>
    <row r="63" spans="1:29">
      <c r="A63">
        <v>58</v>
      </c>
      <c r="B63">
        <v>2001</v>
      </c>
      <c r="C63">
        <v>29</v>
      </c>
      <c r="D63" t="s">
        <v>314</v>
      </c>
      <c r="E63">
        <f>INDEX([1]用户升级!$G$3:$G$102,MATCH(C63,[1]用户升级!$A$3:$A$102,0))</f>
        <v>126</v>
      </c>
      <c r="F63">
        <f t="shared" si="0"/>
        <v>126</v>
      </c>
      <c r="G63">
        <v>0</v>
      </c>
      <c r="H63">
        <v>0</v>
      </c>
      <c r="I63">
        <v>0</v>
      </c>
      <c r="J63">
        <v>0</v>
      </c>
      <c r="K63">
        <v>0</v>
      </c>
      <c r="L63">
        <v>4493</v>
      </c>
      <c r="M63">
        <v>0</v>
      </c>
      <c r="N63">
        <v>901</v>
      </c>
      <c r="O63">
        <v>1102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 t="s">
        <v>105</v>
      </c>
      <c r="Y63">
        <v>0</v>
      </c>
      <c r="Z63">
        <v>0</v>
      </c>
      <c r="AA63">
        <v>10</v>
      </c>
      <c r="AB63">
        <v>50</v>
      </c>
      <c r="AC63">
        <v>1</v>
      </c>
    </row>
    <row r="64" spans="1:29">
      <c r="A64">
        <v>59</v>
      </c>
      <c r="B64">
        <v>2001</v>
      </c>
      <c r="C64">
        <v>30</v>
      </c>
      <c r="D64" t="s">
        <v>315</v>
      </c>
      <c r="E64">
        <f>INDEX([1]用户升级!$G$3:$G$102,MATCH(C64,[1]用户升级!$A$3:$A$102,0))</f>
        <v>132</v>
      </c>
      <c r="F64">
        <f t="shared" si="0"/>
        <v>132</v>
      </c>
      <c r="G64">
        <v>0</v>
      </c>
      <c r="H64">
        <v>0</v>
      </c>
      <c r="I64">
        <v>0</v>
      </c>
      <c r="J64">
        <v>0</v>
      </c>
      <c r="K64">
        <v>0</v>
      </c>
      <c r="L64">
        <v>5109</v>
      </c>
      <c r="M64">
        <v>0</v>
      </c>
      <c r="N64">
        <v>993</v>
      </c>
      <c r="O64">
        <v>1214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t="s">
        <v>106</v>
      </c>
      <c r="Y64">
        <v>0</v>
      </c>
      <c r="Z64">
        <v>0</v>
      </c>
      <c r="AA64">
        <v>10</v>
      </c>
      <c r="AB64">
        <v>50</v>
      </c>
      <c r="AC64">
        <v>1</v>
      </c>
    </row>
    <row r="65" spans="1:29">
      <c r="A65">
        <v>60</v>
      </c>
      <c r="B65">
        <v>2001</v>
      </c>
      <c r="C65">
        <v>29</v>
      </c>
      <c r="D65" t="s">
        <v>313</v>
      </c>
      <c r="E65">
        <f>INDEX([1]用户升级!$G$3:$G$102,MATCH(C65,[1]用户升级!$A$3:$A$102,0))</f>
        <v>126</v>
      </c>
      <c r="F65">
        <f t="shared" si="0"/>
        <v>126</v>
      </c>
      <c r="G65">
        <v>0</v>
      </c>
      <c r="H65">
        <v>0</v>
      </c>
      <c r="I65">
        <v>0</v>
      </c>
      <c r="J65">
        <v>0</v>
      </c>
      <c r="K65">
        <v>0</v>
      </c>
      <c r="L65">
        <v>4718</v>
      </c>
      <c r="M65">
        <v>0</v>
      </c>
      <c r="N65">
        <v>947</v>
      </c>
      <c r="O65">
        <v>1158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 t="s">
        <v>107</v>
      </c>
      <c r="Y65">
        <v>0</v>
      </c>
      <c r="Z65">
        <v>0</v>
      </c>
      <c r="AA65">
        <v>10</v>
      </c>
      <c r="AB65">
        <v>50</v>
      </c>
      <c r="AC65">
        <v>1</v>
      </c>
    </row>
    <row r="66" spans="1:29">
      <c r="A66">
        <v>61</v>
      </c>
      <c r="B66">
        <v>2001</v>
      </c>
      <c r="C66">
        <v>30</v>
      </c>
      <c r="D66" t="s">
        <v>316</v>
      </c>
      <c r="E66">
        <f>INDEX([1]用户升级!$G$3:$G$102,MATCH(C66,[1]用户升级!$A$3:$A$102,0))</f>
        <v>132</v>
      </c>
      <c r="F66">
        <f t="shared" si="0"/>
        <v>132</v>
      </c>
      <c r="G66">
        <v>0</v>
      </c>
      <c r="H66">
        <v>0</v>
      </c>
      <c r="I66">
        <v>0</v>
      </c>
      <c r="J66">
        <v>0</v>
      </c>
      <c r="K66">
        <v>0</v>
      </c>
      <c r="L66">
        <v>5364</v>
      </c>
      <c r="M66">
        <v>0</v>
      </c>
      <c r="N66">
        <v>1016</v>
      </c>
      <c r="O66">
        <v>1242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 t="s">
        <v>108</v>
      </c>
      <c r="Y66">
        <v>0</v>
      </c>
      <c r="Z66">
        <v>0</v>
      </c>
      <c r="AA66">
        <v>10</v>
      </c>
      <c r="AB66">
        <v>50</v>
      </c>
      <c r="AC66">
        <v>1</v>
      </c>
    </row>
    <row r="67" spans="1:29">
      <c r="A67">
        <v>62</v>
      </c>
      <c r="B67">
        <v>2001</v>
      </c>
      <c r="C67">
        <v>31</v>
      </c>
      <c r="D67" t="s">
        <v>312</v>
      </c>
      <c r="E67">
        <f>INDEX([1]用户升级!$G$3:$G$102,MATCH(C67,[1]用户升级!$A$3:$A$102,0))</f>
        <v>138</v>
      </c>
      <c r="F67">
        <f t="shared" si="0"/>
        <v>138</v>
      </c>
      <c r="G67">
        <v>0</v>
      </c>
      <c r="H67">
        <v>0</v>
      </c>
      <c r="I67">
        <v>0</v>
      </c>
      <c r="J67">
        <v>0</v>
      </c>
      <c r="K67">
        <v>0</v>
      </c>
      <c r="L67">
        <v>5778</v>
      </c>
      <c r="M67">
        <v>0</v>
      </c>
      <c r="N67">
        <v>1039</v>
      </c>
      <c r="O67">
        <v>1270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 t="s">
        <v>109</v>
      </c>
      <c r="Y67">
        <v>0</v>
      </c>
      <c r="Z67">
        <v>0</v>
      </c>
      <c r="AA67">
        <v>10</v>
      </c>
      <c r="AB67">
        <v>50</v>
      </c>
      <c r="AC67">
        <v>1</v>
      </c>
    </row>
    <row r="68" spans="1:29">
      <c r="A68">
        <v>63</v>
      </c>
      <c r="B68">
        <v>2001</v>
      </c>
      <c r="C68">
        <v>32</v>
      </c>
      <c r="D68" t="s">
        <v>317</v>
      </c>
      <c r="E68">
        <f>INDEX([1]用户升级!$G$3:$G$102,MATCH(C68,[1]用户升级!$A$3:$A$102,0))</f>
        <v>144</v>
      </c>
      <c r="F68">
        <f t="shared" si="0"/>
        <v>144</v>
      </c>
      <c r="G68">
        <v>0</v>
      </c>
      <c r="H68">
        <v>0</v>
      </c>
      <c r="I68">
        <v>0</v>
      </c>
      <c r="J68">
        <v>0</v>
      </c>
      <c r="K68">
        <v>0</v>
      </c>
      <c r="L68">
        <v>6264</v>
      </c>
      <c r="M68">
        <v>0</v>
      </c>
      <c r="N68">
        <v>1109</v>
      </c>
      <c r="O68">
        <v>1356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 t="s">
        <v>110</v>
      </c>
      <c r="Y68">
        <v>0</v>
      </c>
      <c r="Z68">
        <v>0</v>
      </c>
      <c r="AA68">
        <v>10</v>
      </c>
      <c r="AB68">
        <v>50</v>
      </c>
      <c r="AC68">
        <v>1</v>
      </c>
    </row>
    <row r="69" spans="1:29">
      <c r="A69">
        <v>64</v>
      </c>
      <c r="B69">
        <v>2001</v>
      </c>
      <c r="C69">
        <v>31</v>
      </c>
      <c r="D69" t="s">
        <v>318</v>
      </c>
      <c r="E69">
        <f>INDEX([1]用户升级!$G$3:$G$102,MATCH(C69,[1]用户升级!$A$3:$A$102,0))</f>
        <v>138</v>
      </c>
      <c r="F69">
        <f t="shared" si="0"/>
        <v>138</v>
      </c>
      <c r="G69">
        <v>0</v>
      </c>
      <c r="H69">
        <v>0</v>
      </c>
      <c r="I69">
        <v>0</v>
      </c>
      <c r="J69">
        <v>0</v>
      </c>
      <c r="K69">
        <v>0</v>
      </c>
      <c r="L69">
        <v>6067</v>
      </c>
      <c r="M69">
        <v>0</v>
      </c>
      <c r="N69">
        <v>1074</v>
      </c>
      <c r="O69">
        <v>1313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 t="s">
        <v>111</v>
      </c>
      <c r="Y69">
        <v>0</v>
      </c>
      <c r="Z69">
        <v>0</v>
      </c>
      <c r="AA69">
        <v>10</v>
      </c>
      <c r="AB69">
        <v>50</v>
      </c>
      <c r="AC69">
        <v>1</v>
      </c>
    </row>
    <row r="70" spans="1:29">
      <c r="A70">
        <v>65</v>
      </c>
      <c r="B70">
        <v>2001</v>
      </c>
      <c r="C70">
        <v>32</v>
      </c>
      <c r="D70" t="s">
        <v>319</v>
      </c>
      <c r="E70">
        <f>INDEX([1]用户升级!$G$3:$G$102,MATCH(C70,[1]用户升级!$A$3:$A$102,0))</f>
        <v>144</v>
      </c>
      <c r="F70">
        <f t="shared" si="0"/>
        <v>144</v>
      </c>
      <c r="G70">
        <v>0</v>
      </c>
      <c r="H70">
        <v>0</v>
      </c>
      <c r="I70">
        <v>0</v>
      </c>
      <c r="J70">
        <v>0</v>
      </c>
      <c r="K70">
        <v>0</v>
      </c>
      <c r="L70">
        <v>6577</v>
      </c>
      <c r="M70">
        <v>0</v>
      </c>
      <c r="N70">
        <v>1147</v>
      </c>
      <c r="O70">
        <v>1402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 t="s">
        <v>112</v>
      </c>
      <c r="Y70">
        <v>0</v>
      </c>
      <c r="Z70">
        <v>0</v>
      </c>
      <c r="AA70">
        <v>10</v>
      </c>
      <c r="AB70">
        <v>50</v>
      </c>
      <c r="AC70">
        <v>1</v>
      </c>
    </row>
    <row r="71" spans="1:29">
      <c r="A71">
        <v>66</v>
      </c>
      <c r="B71">
        <v>2001</v>
      </c>
      <c r="C71">
        <v>33</v>
      </c>
      <c r="D71" t="s">
        <v>320</v>
      </c>
      <c r="E71">
        <f>INDEX([1]用户升级!$G$3:$G$102,MATCH(C71,[1]用户升级!$A$3:$A$102,0))</f>
        <v>150</v>
      </c>
      <c r="F71">
        <f t="shared" ref="F71:F134" si="1">E71</f>
        <v>150</v>
      </c>
      <c r="G71">
        <v>0</v>
      </c>
      <c r="H71">
        <v>0</v>
      </c>
      <c r="I71">
        <v>0</v>
      </c>
      <c r="J71">
        <v>0</v>
      </c>
      <c r="K71">
        <v>0</v>
      </c>
      <c r="L71">
        <v>6790</v>
      </c>
      <c r="M71">
        <v>0</v>
      </c>
      <c r="N71">
        <v>1185</v>
      </c>
      <c r="O71">
        <v>1448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 t="s">
        <v>113</v>
      </c>
      <c r="Y71">
        <v>0</v>
      </c>
      <c r="Z71">
        <v>0</v>
      </c>
      <c r="AA71">
        <v>10</v>
      </c>
      <c r="AB71">
        <v>50</v>
      </c>
      <c r="AC71">
        <v>1</v>
      </c>
    </row>
    <row r="72" spans="1:29">
      <c r="A72">
        <v>67</v>
      </c>
      <c r="B72">
        <v>2001</v>
      </c>
      <c r="C72">
        <v>34</v>
      </c>
      <c r="D72" t="s">
        <v>321</v>
      </c>
      <c r="E72">
        <f>INDEX([1]用户升级!$G$3:$G$102,MATCH(C72,[1]用户升级!$A$3:$A$102,0))</f>
        <v>156</v>
      </c>
      <c r="F72">
        <f t="shared" si="1"/>
        <v>156</v>
      </c>
      <c r="G72">
        <v>0</v>
      </c>
      <c r="H72">
        <v>0</v>
      </c>
      <c r="I72">
        <v>0</v>
      </c>
      <c r="J72">
        <v>0</v>
      </c>
      <c r="K72">
        <v>0</v>
      </c>
      <c r="L72">
        <v>7432</v>
      </c>
      <c r="M72">
        <v>0</v>
      </c>
      <c r="N72">
        <v>1266</v>
      </c>
      <c r="O72">
        <v>1547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 t="s">
        <v>114</v>
      </c>
      <c r="Y72">
        <v>0</v>
      </c>
      <c r="Z72">
        <v>0</v>
      </c>
      <c r="AA72">
        <v>10</v>
      </c>
      <c r="AB72">
        <v>50</v>
      </c>
      <c r="AC72">
        <v>1</v>
      </c>
    </row>
    <row r="73" spans="1:29">
      <c r="A73">
        <v>68</v>
      </c>
      <c r="B73">
        <v>2001</v>
      </c>
      <c r="C73">
        <v>33</v>
      </c>
      <c r="D73" t="s">
        <v>322</v>
      </c>
      <c r="E73">
        <f>INDEX([1]用户升级!$G$3:$G$102,MATCH(C73,[1]用户升级!$A$3:$A$102,0))</f>
        <v>150</v>
      </c>
      <c r="F73">
        <f t="shared" si="1"/>
        <v>150</v>
      </c>
      <c r="G73">
        <v>0</v>
      </c>
      <c r="H73">
        <v>0</v>
      </c>
      <c r="I73">
        <v>0</v>
      </c>
      <c r="J73">
        <v>0</v>
      </c>
      <c r="K73">
        <v>0</v>
      </c>
      <c r="L73">
        <v>7062</v>
      </c>
      <c r="M73">
        <v>0</v>
      </c>
      <c r="N73">
        <v>1225</v>
      </c>
      <c r="O73">
        <v>1498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 t="s">
        <v>115</v>
      </c>
      <c r="Y73">
        <v>0</v>
      </c>
      <c r="Z73">
        <v>0</v>
      </c>
      <c r="AA73">
        <v>10</v>
      </c>
      <c r="AB73">
        <v>50</v>
      </c>
      <c r="AC73">
        <v>1</v>
      </c>
    </row>
    <row r="74" spans="1:29">
      <c r="A74">
        <v>69</v>
      </c>
      <c r="B74">
        <v>2001</v>
      </c>
      <c r="C74">
        <v>34</v>
      </c>
      <c r="D74" t="s">
        <v>323</v>
      </c>
      <c r="E74">
        <f>INDEX([1]用户升级!$G$3:$G$102,MATCH(C74,[1]用户升级!$A$3:$A$102,0))</f>
        <v>156</v>
      </c>
      <c r="F74">
        <f t="shared" si="1"/>
        <v>156</v>
      </c>
      <c r="G74">
        <v>0</v>
      </c>
      <c r="H74">
        <v>0</v>
      </c>
      <c r="I74">
        <v>0</v>
      </c>
      <c r="J74">
        <v>0</v>
      </c>
      <c r="K74">
        <v>0</v>
      </c>
      <c r="L74">
        <v>7729</v>
      </c>
      <c r="M74">
        <v>0</v>
      </c>
      <c r="N74">
        <v>1309</v>
      </c>
      <c r="O74">
        <v>1600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 t="s">
        <v>116</v>
      </c>
      <c r="Y74">
        <v>0</v>
      </c>
      <c r="Z74">
        <v>0</v>
      </c>
      <c r="AA74">
        <v>10</v>
      </c>
      <c r="AB74">
        <v>50</v>
      </c>
      <c r="AC74">
        <v>1</v>
      </c>
    </row>
    <row r="75" spans="1:29">
      <c r="A75">
        <v>70</v>
      </c>
      <c r="B75">
        <v>2001</v>
      </c>
      <c r="C75">
        <v>35</v>
      </c>
      <c r="D75" t="s">
        <v>324</v>
      </c>
      <c r="E75">
        <f>INDEX([1]用户升级!$G$3:$G$102,MATCH(C75,[1]用户升级!$A$3:$A$102,0))</f>
        <v>162</v>
      </c>
      <c r="F75">
        <f t="shared" si="1"/>
        <v>162</v>
      </c>
      <c r="G75">
        <v>0</v>
      </c>
      <c r="H75">
        <v>0</v>
      </c>
      <c r="I75">
        <v>0</v>
      </c>
      <c r="J75">
        <v>0</v>
      </c>
      <c r="K75">
        <v>0</v>
      </c>
      <c r="L75">
        <v>8040</v>
      </c>
      <c r="M75">
        <v>0</v>
      </c>
      <c r="N75">
        <v>1352</v>
      </c>
      <c r="O75">
        <v>1653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 t="s">
        <v>117</v>
      </c>
      <c r="Y75">
        <v>0</v>
      </c>
      <c r="Z75">
        <v>0</v>
      </c>
      <c r="AA75">
        <v>10</v>
      </c>
      <c r="AB75">
        <v>50</v>
      </c>
      <c r="AC75">
        <v>1</v>
      </c>
    </row>
    <row r="76" spans="1:29">
      <c r="A76">
        <v>71</v>
      </c>
      <c r="B76">
        <v>2001</v>
      </c>
      <c r="C76">
        <v>36</v>
      </c>
      <c r="D76" t="s">
        <v>325</v>
      </c>
      <c r="E76">
        <f>INDEX([1]用户升级!$G$3:$G$102,MATCH(C76,[1]用户升级!$A$3:$A$102,0))</f>
        <v>168</v>
      </c>
      <c r="F76">
        <f t="shared" si="1"/>
        <v>168</v>
      </c>
      <c r="G76">
        <v>0</v>
      </c>
      <c r="H76">
        <v>0</v>
      </c>
      <c r="I76">
        <v>0</v>
      </c>
      <c r="J76">
        <v>0</v>
      </c>
      <c r="K76">
        <v>0</v>
      </c>
      <c r="L76">
        <v>8848</v>
      </c>
      <c r="M76">
        <v>0</v>
      </c>
      <c r="N76">
        <v>1428</v>
      </c>
      <c r="O76">
        <v>1745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 t="s">
        <v>118</v>
      </c>
      <c r="Y76">
        <v>0</v>
      </c>
      <c r="Z76">
        <v>0</v>
      </c>
      <c r="AA76">
        <v>10</v>
      </c>
      <c r="AB76">
        <v>50</v>
      </c>
      <c r="AC76">
        <v>1</v>
      </c>
    </row>
    <row r="77" spans="1:29">
      <c r="A77">
        <v>72</v>
      </c>
      <c r="B77">
        <v>2001</v>
      </c>
      <c r="C77">
        <v>35</v>
      </c>
      <c r="D77" t="s">
        <v>326</v>
      </c>
      <c r="E77">
        <f>INDEX([1]用户升级!$G$3:$G$102,MATCH(C77,[1]用户升级!$A$3:$A$102,0))</f>
        <v>162</v>
      </c>
      <c r="F77">
        <f t="shared" si="1"/>
        <v>162</v>
      </c>
      <c r="G77">
        <v>0</v>
      </c>
      <c r="H77">
        <v>0</v>
      </c>
      <c r="I77">
        <v>0</v>
      </c>
      <c r="J77">
        <v>0</v>
      </c>
      <c r="K77">
        <v>0</v>
      </c>
      <c r="L77">
        <v>8442</v>
      </c>
      <c r="M77">
        <v>0</v>
      </c>
      <c r="N77">
        <v>1390</v>
      </c>
      <c r="O77">
        <v>1699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 t="s">
        <v>119</v>
      </c>
      <c r="Y77">
        <v>0</v>
      </c>
      <c r="Z77">
        <v>0</v>
      </c>
      <c r="AA77">
        <v>10</v>
      </c>
      <c r="AB77">
        <v>50</v>
      </c>
      <c r="AC77">
        <v>1</v>
      </c>
    </row>
    <row r="78" spans="1:29">
      <c r="A78">
        <v>73</v>
      </c>
      <c r="B78">
        <v>2001</v>
      </c>
      <c r="C78">
        <v>36</v>
      </c>
      <c r="D78" t="s">
        <v>327</v>
      </c>
      <c r="E78">
        <f>INDEX([1]用户升级!$G$3:$G$102,MATCH(C78,[1]用户升级!$A$3:$A$102,0))</f>
        <v>168</v>
      </c>
      <c r="F78">
        <f t="shared" si="1"/>
        <v>168</v>
      </c>
      <c r="G78">
        <v>0</v>
      </c>
      <c r="H78">
        <v>0</v>
      </c>
      <c r="I78">
        <v>0</v>
      </c>
      <c r="J78">
        <v>0</v>
      </c>
      <c r="K78">
        <v>0</v>
      </c>
      <c r="L78">
        <v>9290</v>
      </c>
      <c r="M78">
        <v>0</v>
      </c>
      <c r="N78">
        <v>1468</v>
      </c>
      <c r="O78">
        <v>1795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 t="s">
        <v>120</v>
      </c>
      <c r="Y78">
        <v>0</v>
      </c>
      <c r="Z78">
        <v>0</v>
      </c>
      <c r="AA78">
        <v>10</v>
      </c>
      <c r="AB78">
        <v>50</v>
      </c>
      <c r="AC78">
        <v>1</v>
      </c>
    </row>
    <row r="79" spans="1:29">
      <c r="A79">
        <v>74</v>
      </c>
      <c r="B79">
        <v>2001</v>
      </c>
      <c r="C79">
        <v>37</v>
      </c>
      <c r="D79" t="s">
        <v>328</v>
      </c>
      <c r="E79">
        <f>INDEX([1]用户升级!$G$3:$G$102,MATCH(C79,[1]用户升级!$A$3:$A$102,0))</f>
        <v>174</v>
      </c>
      <c r="F79">
        <f t="shared" si="1"/>
        <v>174</v>
      </c>
      <c r="G79">
        <v>0</v>
      </c>
      <c r="H79">
        <v>0</v>
      </c>
      <c r="I79">
        <v>0</v>
      </c>
      <c r="J79">
        <v>0</v>
      </c>
      <c r="K79">
        <v>0</v>
      </c>
      <c r="L79">
        <v>9910</v>
      </c>
      <c r="M79">
        <v>0</v>
      </c>
      <c r="N79">
        <v>1507</v>
      </c>
      <c r="O79">
        <v>1843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 t="s">
        <v>121</v>
      </c>
      <c r="Y79">
        <v>0</v>
      </c>
      <c r="Z79">
        <v>0</v>
      </c>
      <c r="AA79">
        <v>10</v>
      </c>
      <c r="AB79">
        <v>50</v>
      </c>
      <c r="AC79">
        <v>1</v>
      </c>
    </row>
    <row r="80" spans="1:29">
      <c r="A80">
        <v>75</v>
      </c>
      <c r="B80">
        <v>2001</v>
      </c>
      <c r="C80">
        <v>38</v>
      </c>
      <c r="D80" t="s">
        <v>329</v>
      </c>
      <c r="E80">
        <f>INDEX([1]用户升级!$G$3:$G$102,MATCH(C80,[1]用户升级!$A$3:$A$102,0))</f>
        <v>180</v>
      </c>
      <c r="F80">
        <f t="shared" si="1"/>
        <v>180</v>
      </c>
      <c r="G80">
        <v>0</v>
      </c>
      <c r="H80">
        <v>0</v>
      </c>
      <c r="I80">
        <v>0</v>
      </c>
      <c r="J80">
        <v>0</v>
      </c>
      <c r="K80">
        <v>0</v>
      </c>
      <c r="L80">
        <v>10703</v>
      </c>
      <c r="M80">
        <v>0</v>
      </c>
      <c r="N80">
        <v>1591</v>
      </c>
      <c r="O80">
        <v>1945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 t="s">
        <v>122</v>
      </c>
      <c r="Y80">
        <v>0</v>
      </c>
      <c r="Z80">
        <v>0</v>
      </c>
      <c r="AA80">
        <v>10</v>
      </c>
      <c r="AB80">
        <v>50</v>
      </c>
      <c r="AC80">
        <v>1</v>
      </c>
    </row>
    <row r="81" spans="1:29">
      <c r="A81">
        <v>76</v>
      </c>
      <c r="B81">
        <v>2001</v>
      </c>
      <c r="C81">
        <v>37</v>
      </c>
      <c r="D81" t="s">
        <v>330</v>
      </c>
      <c r="E81">
        <f>INDEX([1]用户升级!$G$3:$G$102,MATCH(C81,[1]用户升级!$A$3:$A$102,0))</f>
        <v>174</v>
      </c>
      <c r="F81">
        <f t="shared" si="1"/>
        <v>174</v>
      </c>
      <c r="G81">
        <v>0</v>
      </c>
      <c r="H81">
        <v>0</v>
      </c>
      <c r="I81">
        <v>0</v>
      </c>
      <c r="J81">
        <v>0</v>
      </c>
      <c r="K81">
        <v>0</v>
      </c>
      <c r="L81">
        <v>10406</v>
      </c>
      <c r="M81">
        <v>0</v>
      </c>
      <c r="N81">
        <v>1549</v>
      </c>
      <c r="O81">
        <v>1894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 t="s">
        <v>123</v>
      </c>
      <c r="Y81">
        <v>0</v>
      </c>
      <c r="Z81">
        <v>0</v>
      </c>
      <c r="AA81">
        <v>10</v>
      </c>
      <c r="AB81">
        <v>50</v>
      </c>
      <c r="AC81">
        <v>1</v>
      </c>
    </row>
    <row r="82" spans="1:29">
      <c r="A82">
        <v>77</v>
      </c>
      <c r="B82">
        <v>2001</v>
      </c>
      <c r="C82">
        <v>38</v>
      </c>
      <c r="D82" t="s">
        <v>331</v>
      </c>
      <c r="E82">
        <f>INDEX([1]用户升级!$G$3:$G$102,MATCH(C82,[1]用户升级!$A$3:$A$102,0))</f>
        <v>180</v>
      </c>
      <c r="F82">
        <f t="shared" si="1"/>
        <v>180</v>
      </c>
      <c r="G82">
        <v>0</v>
      </c>
      <c r="H82">
        <v>0</v>
      </c>
      <c r="I82">
        <v>0</v>
      </c>
      <c r="J82">
        <v>0</v>
      </c>
      <c r="K82">
        <v>0</v>
      </c>
      <c r="L82">
        <v>11238</v>
      </c>
      <c r="M82">
        <v>0</v>
      </c>
      <c r="N82">
        <v>1636</v>
      </c>
      <c r="O82">
        <v>1999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 t="s">
        <v>124</v>
      </c>
      <c r="Y82">
        <v>0</v>
      </c>
      <c r="Z82">
        <v>0</v>
      </c>
      <c r="AA82">
        <v>10</v>
      </c>
      <c r="AB82">
        <v>50</v>
      </c>
      <c r="AC82">
        <v>1</v>
      </c>
    </row>
    <row r="83" spans="1:29">
      <c r="A83">
        <v>78</v>
      </c>
      <c r="B83">
        <v>2001</v>
      </c>
      <c r="C83">
        <v>39</v>
      </c>
      <c r="D83" t="s">
        <v>332</v>
      </c>
      <c r="E83">
        <f>INDEX([1]用户升级!$G$3:$G$102,MATCH(C83,[1]用户升级!$A$3:$A$102,0))</f>
        <v>186</v>
      </c>
      <c r="F83">
        <f t="shared" si="1"/>
        <v>186</v>
      </c>
      <c r="G83">
        <v>0</v>
      </c>
      <c r="H83">
        <v>0</v>
      </c>
      <c r="I83">
        <v>0</v>
      </c>
      <c r="J83">
        <v>0</v>
      </c>
      <c r="K83">
        <v>0</v>
      </c>
      <c r="L83">
        <v>11559</v>
      </c>
      <c r="M83">
        <v>0</v>
      </c>
      <c r="N83">
        <v>1680</v>
      </c>
      <c r="O83">
        <v>2054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 t="s">
        <v>125</v>
      </c>
      <c r="Y83">
        <v>0</v>
      </c>
      <c r="Z83">
        <v>0</v>
      </c>
      <c r="AA83">
        <v>10</v>
      </c>
      <c r="AB83">
        <v>50</v>
      </c>
      <c r="AC83">
        <v>1</v>
      </c>
    </row>
    <row r="84" spans="1:29">
      <c r="A84">
        <v>79</v>
      </c>
      <c r="B84">
        <v>2001</v>
      </c>
      <c r="C84">
        <v>40</v>
      </c>
      <c r="D84" t="s">
        <v>333</v>
      </c>
      <c r="E84">
        <f>INDEX([1]用户升级!$G$3:$G$102,MATCH(C84,[1]用户升级!$A$3:$A$102,0))</f>
        <v>192</v>
      </c>
      <c r="F84">
        <f t="shared" si="1"/>
        <v>192</v>
      </c>
      <c r="G84">
        <v>0</v>
      </c>
      <c r="H84">
        <v>0</v>
      </c>
      <c r="I84">
        <v>0</v>
      </c>
      <c r="J84">
        <v>0</v>
      </c>
      <c r="K84">
        <v>0</v>
      </c>
      <c r="L84">
        <v>12484</v>
      </c>
      <c r="M84">
        <v>0</v>
      </c>
      <c r="N84">
        <v>1773</v>
      </c>
      <c r="O84">
        <v>2168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 t="s">
        <v>126</v>
      </c>
      <c r="Y84">
        <v>0</v>
      </c>
      <c r="Z84">
        <v>0</v>
      </c>
      <c r="AA84">
        <v>10</v>
      </c>
      <c r="AB84">
        <v>50</v>
      </c>
      <c r="AC84">
        <v>1</v>
      </c>
    </row>
    <row r="85" spans="1:29">
      <c r="A85">
        <v>80</v>
      </c>
      <c r="B85">
        <v>2001</v>
      </c>
      <c r="C85">
        <v>39</v>
      </c>
      <c r="D85" t="s">
        <v>334</v>
      </c>
      <c r="E85">
        <f>INDEX([1]用户升级!$G$3:$G$102,MATCH(C85,[1]用户升级!$A$3:$A$102,0))</f>
        <v>186</v>
      </c>
      <c r="F85">
        <f t="shared" si="1"/>
        <v>186</v>
      </c>
      <c r="G85">
        <v>0</v>
      </c>
      <c r="H85">
        <v>0</v>
      </c>
      <c r="I85">
        <v>0</v>
      </c>
      <c r="J85">
        <v>0</v>
      </c>
      <c r="K85">
        <v>0</v>
      </c>
      <c r="L85">
        <v>12137</v>
      </c>
      <c r="M85">
        <v>0</v>
      </c>
      <c r="N85">
        <v>1728</v>
      </c>
      <c r="O85">
        <v>2112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 t="s">
        <v>127</v>
      </c>
      <c r="Y85">
        <v>0</v>
      </c>
      <c r="Z85">
        <v>0</v>
      </c>
      <c r="AA85">
        <v>10</v>
      </c>
      <c r="AB85">
        <v>50</v>
      </c>
      <c r="AC85">
        <v>1</v>
      </c>
    </row>
    <row r="86" spans="1:29">
      <c r="A86">
        <v>81</v>
      </c>
      <c r="B86">
        <v>2001</v>
      </c>
      <c r="C86">
        <v>40</v>
      </c>
      <c r="D86" t="s">
        <v>335</v>
      </c>
      <c r="E86">
        <f>INDEX([1]用户升级!$G$3:$G$102,MATCH(C86,[1]用户升级!$A$3:$A$102,0))</f>
        <v>192</v>
      </c>
      <c r="F86">
        <f t="shared" si="1"/>
        <v>192</v>
      </c>
      <c r="G86">
        <v>0</v>
      </c>
      <c r="H86">
        <v>0</v>
      </c>
      <c r="I86">
        <v>0</v>
      </c>
      <c r="J86">
        <v>0</v>
      </c>
      <c r="K86">
        <v>0</v>
      </c>
      <c r="L86">
        <v>13108</v>
      </c>
      <c r="M86">
        <v>0</v>
      </c>
      <c r="N86">
        <v>1822</v>
      </c>
      <c r="O86">
        <v>2227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 t="s">
        <v>128</v>
      </c>
      <c r="Y86">
        <v>0</v>
      </c>
      <c r="Z86">
        <v>0</v>
      </c>
      <c r="AA86">
        <v>10</v>
      </c>
      <c r="AB86">
        <v>50</v>
      </c>
      <c r="AC86">
        <v>1</v>
      </c>
    </row>
    <row r="87" spans="1:29">
      <c r="A87">
        <v>82</v>
      </c>
      <c r="B87">
        <v>2001</v>
      </c>
      <c r="C87">
        <v>41</v>
      </c>
      <c r="D87" t="s">
        <v>336</v>
      </c>
      <c r="E87">
        <f>INDEX([1]用户升级!$G$3:$G$102,MATCH(C87,[1]用户升级!$A$3:$A$102,0))</f>
        <v>200</v>
      </c>
      <c r="F87">
        <f t="shared" si="1"/>
        <v>200</v>
      </c>
      <c r="G87">
        <v>0</v>
      </c>
      <c r="H87">
        <v>0</v>
      </c>
      <c r="I87">
        <v>0</v>
      </c>
      <c r="J87">
        <v>0</v>
      </c>
      <c r="K87">
        <v>0</v>
      </c>
      <c r="L87">
        <v>13857</v>
      </c>
      <c r="M87">
        <v>0</v>
      </c>
      <c r="N87">
        <v>1871</v>
      </c>
      <c r="O87">
        <v>2286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 t="s">
        <v>129</v>
      </c>
      <c r="Y87">
        <v>0</v>
      </c>
      <c r="Z87">
        <v>0</v>
      </c>
      <c r="AA87">
        <v>10</v>
      </c>
      <c r="AB87">
        <v>50</v>
      </c>
      <c r="AC87">
        <v>1</v>
      </c>
    </row>
    <row r="88" spans="1:29">
      <c r="A88">
        <v>83</v>
      </c>
      <c r="B88">
        <v>2001</v>
      </c>
      <c r="C88">
        <v>42</v>
      </c>
      <c r="D88" t="s">
        <v>337</v>
      </c>
      <c r="E88">
        <f>INDEX([1]用户升级!$G$3:$G$102,MATCH(C88,[1]用户升级!$A$3:$A$102,0))</f>
        <v>208</v>
      </c>
      <c r="F88">
        <f t="shared" si="1"/>
        <v>208</v>
      </c>
      <c r="G88">
        <v>0</v>
      </c>
      <c r="H88">
        <v>0</v>
      </c>
      <c r="I88">
        <v>0</v>
      </c>
      <c r="J88">
        <v>0</v>
      </c>
      <c r="K88">
        <v>0</v>
      </c>
      <c r="L88">
        <v>14966</v>
      </c>
      <c r="M88">
        <v>0</v>
      </c>
      <c r="N88">
        <v>1973</v>
      </c>
      <c r="O88">
        <v>2412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 t="s">
        <v>130</v>
      </c>
      <c r="Y88">
        <v>0</v>
      </c>
      <c r="Z88">
        <v>0</v>
      </c>
      <c r="AA88">
        <v>10</v>
      </c>
      <c r="AB88">
        <v>50</v>
      </c>
      <c r="AC88">
        <v>1</v>
      </c>
    </row>
    <row r="89" spans="1:29">
      <c r="A89">
        <v>84</v>
      </c>
      <c r="B89">
        <v>2001</v>
      </c>
      <c r="C89">
        <v>41</v>
      </c>
      <c r="D89" t="s">
        <v>338</v>
      </c>
      <c r="E89">
        <f>INDEX([1]用户升级!$G$3:$G$102,MATCH(C89,[1]用户升级!$A$3:$A$102,0))</f>
        <v>200</v>
      </c>
      <c r="F89">
        <f t="shared" si="1"/>
        <v>200</v>
      </c>
      <c r="G89">
        <v>0</v>
      </c>
      <c r="H89">
        <v>0</v>
      </c>
      <c r="I89">
        <v>0</v>
      </c>
      <c r="J89">
        <v>0</v>
      </c>
      <c r="K89">
        <v>0</v>
      </c>
      <c r="L89">
        <v>14550</v>
      </c>
      <c r="M89">
        <v>0</v>
      </c>
      <c r="N89">
        <v>1922</v>
      </c>
      <c r="O89">
        <v>2349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 t="s">
        <v>131</v>
      </c>
      <c r="Y89">
        <v>0</v>
      </c>
      <c r="Z89">
        <v>0</v>
      </c>
      <c r="AA89">
        <v>10</v>
      </c>
      <c r="AB89">
        <v>50</v>
      </c>
      <c r="AC89">
        <v>1</v>
      </c>
    </row>
    <row r="90" spans="1:29">
      <c r="A90">
        <v>85</v>
      </c>
      <c r="B90">
        <v>2001</v>
      </c>
      <c r="C90">
        <v>42</v>
      </c>
      <c r="D90" t="s">
        <v>339</v>
      </c>
      <c r="E90">
        <f>INDEX([1]用户升级!$G$3:$G$102,MATCH(C90,[1]用户升级!$A$3:$A$102,0))</f>
        <v>208</v>
      </c>
      <c r="F90">
        <f t="shared" si="1"/>
        <v>208</v>
      </c>
      <c r="G90">
        <v>0</v>
      </c>
      <c r="H90">
        <v>0</v>
      </c>
      <c r="I90">
        <v>0</v>
      </c>
      <c r="J90">
        <v>0</v>
      </c>
      <c r="K90">
        <v>0</v>
      </c>
      <c r="L90">
        <v>15714</v>
      </c>
      <c r="M90">
        <v>0</v>
      </c>
      <c r="N90">
        <v>2027</v>
      </c>
      <c r="O90">
        <v>2478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 t="s">
        <v>132</v>
      </c>
      <c r="Y90">
        <v>0</v>
      </c>
      <c r="Z90">
        <v>0</v>
      </c>
      <c r="AA90">
        <v>10</v>
      </c>
      <c r="AB90">
        <v>50</v>
      </c>
      <c r="AC90">
        <v>1</v>
      </c>
    </row>
    <row r="91" spans="1:29">
      <c r="A91">
        <v>86</v>
      </c>
      <c r="B91">
        <v>2001</v>
      </c>
      <c r="C91">
        <v>43</v>
      </c>
      <c r="D91" t="s">
        <v>340</v>
      </c>
      <c r="E91">
        <f>INDEX([1]用户升级!$G$3:$G$102,MATCH(C91,[1]用户升级!$A$3:$A$102,0))</f>
        <v>216</v>
      </c>
      <c r="F91">
        <f t="shared" si="1"/>
        <v>216</v>
      </c>
      <c r="G91">
        <v>0</v>
      </c>
      <c r="H91">
        <v>0</v>
      </c>
      <c r="I91">
        <v>0</v>
      </c>
      <c r="J91">
        <v>0</v>
      </c>
      <c r="K91">
        <v>0</v>
      </c>
      <c r="L91">
        <v>16163</v>
      </c>
      <c r="M91">
        <v>0</v>
      </c>
      <c r="N91">
        <v>2081</v>
      </c>
      <c r="O91">
        <v>2544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t="s">
        <v>133</v>
      </c>
      <c r="Y91">
        <v>0</v>
      </c>
      <c r="Z91">
        <v>0</v>
      </c>
      <c r="AA91">
        <v>10</v>
      </c>
      <c r="AB91">
        <v>50</v>
      </c>
      <c r="AC91">
        <v>1</v>
      </c>
    </row>
    <row r="92" spans="1:29">
      <c r="A92">
        <v>87</v>
      </c>
      <c r="B92">
        <v>2001</v>
      </c>
      <c r="C92">
        <v>44</v>
      </c>
      <c r="D92" t="s">
        <v>341</v>
      </c>
      <c r="E92">
        <f>INDEX([1]用户升级!$G$3:$G$102,MATCH(C92,[1]用户升级!$A$3:$A$102,0))</f>
        <v>224</v>
      </c>
      <c r="F92">
        <f t="shared" si="1"/>
        <v>224</v>
      </c>
      <c r="G92">
        <v>0</v>
      </c>
      <c r="H92">
        <v>0</v>
      </c>
      <c r="I92">
        <v>0</v>
      </c>
      <c r="J92">
        <v>0</v>
      </c>
      <c r="K92">
        <v>0</v>
      </c>
      <c r="L92">
        <v>17456</v>
      </c>
      <c r="M92">
        <v>0</v>
      </c>
      <c r="N92">
        <v>2196</v>
      </c>
      <c r="O92">
        <v>2684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t="s">
        <v>134</v>
      </c>
      <c r="Y92">
        <v>0</v>
      </c>
      <c r="Z92">
        <v>0</v>
      </c>
      <c r="AA92">
        <v>10</v>
      </c>
      <c r="AB92">
        <v>50</v>
      </c>
      <c r="AC92">
        <v>1</v>
      </c>
    </row>
    <row r="93" spans="1:29">
      <c r="A93">
        <v>88</v>
      </c>
      <c r="B93">
        <v>2001</v>
      </c>
      <c r="C93">
        <v>43</v>
      </c>
      <c r="D93" t="s">
        <v>342</v>
      </c>
      <c r="E93">
        <f>INDEX([1]用户升级!$G$3:$G$102,MATCH(C93,[1]用户升级!$A$3:$A$102,0))</f>
        <v>216</v>
      </c>
      <c r="F93">
        <f t="shared" si="1"/>
        <v>216</v>
      </c>
      <c r="G93">
        <v>0</v>
      </c>
      <c r="H93">
        <v>0</v>
      </c>
      <c r="I93">
        <v>0</v>
      </c>
      <c r="J93">
        <v>0</v>
      </c>
      <c r="K93">
        <v>0</v>
      </c>
      <c r="L93">
        <v>16971</v>
      </c>
      <c r="M93">
        <v>0</v>
      </c>
      <c r="N93">
        <v>2139</v>
      </c>
      <c r="O93">
        <v>2615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t="s">
        <v>135</v>
      </c>
      <c r="Y93">
        <v>0</v>
      </c>
      <c r="Z93">
        <v>0</v>
      </c>
      <c r="AA93">
        <v>10</v>
      </c>
      <c r="AB93">
        <v>50</v>
      </c>
      <c r="AC93">
        <v>1</v>
      </c>
    </row>
    <row r="94" spans="1:29">
      <c r="A94">
        <v>89</v>
      </c>
      <c r="B94">
        <v>2001</v>
      </c>
      <c r="C94">
        <v>44</v>
      </c>
      <c r="D94" t="s">
        <v>343</v>
      </c>
      <c r="E94">
        <f>INDEX([1]用户升级!$G$3:$G$102,MATCH(C94,[1]用户升级!$A$3:$A$102,0))</f>
        <v>224</v>
      </c>
      <c r="F94">
        <f t="shared" si="1"/>
        <v>224</v>
      </c>
      <c r="G94">
        <v>0</v>
      </c>
      <c r="H94">
        <v>0</v>
      </c>
      <c r="I94">
        <v>0</v>
      </c>
      <c r="J94">
        <v>0</v>
      </c>
      <c r="K94">
        <v>0</v>
      </c>
      <c r="L94">
        <v>18329</v>
      </c>
      <c r="M94">
        <v>0</v>
      </c>
      <c r="N94">
        <v>2257</v>
      </c>
      <c r="O94">
        <v>2758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t="s">
        <v>136</v>
      </c>
      <c r="Y94">
        <v>0</v>
      </c>
      <c r="Z94">
        <v>0</v>
      </c>
      <c r="AA94">
        <v>10</v>
      </c>
      <c r="AB94">
        <v>50</v>
      </c>
      <c r="AC94">
        <v>1</v>
      </c>
    </row>
    <row r="95" spans="1:29">
      <c r="A95">
        <v>90</v>
      </c>
      <c r="B95">
        <v>2001</v>
      </c>
      <c r="C95">
        <v>45</v>
      </c>
      <c r="D95" t="s">
        <v>344</v>
      </c>
      <c r="E95">
        <f>INDEX([1]用户升级!$G$3:$G$102,MATCH(C95,[1]用户升级!$A$3:$A$102,0))</f>
        <v>232</v>
      </c>
      <c r="F95">
        <f t="shared" si="1"/>
        <v>232</v>
      </c>
      <c r="G95">
        <v>0</v>
      </c>
      <c r="H95">
        <v>0</v>
      </c>
      <c r="I95">
        <v>0</v>
      </c>
      <c r="J95">
        <v>0</v>
      </c>
      <c r="K95">
        <v>0</v>
      </c>
      <c r="L95">
        <v>19376</v>
      </c>
      <c r="M95">
        <v>0</v>
      </c>
      <c r="N95">
        <v>2316</v>
      </c>
      <c r="O95">
        <v>2831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t="s">
        <v>137</v>
      </c>
      <c r="Y95">
        <v>0</v>
      </c>
      <c r="Z95">
        <v>0</v>
      </c>
      <c r="AA95">
        <v>10</v>
      </c>
      <c r="AB95">
        <v>50</v>
      </c>
      <c r="AC95">
        <v>1</v>
      </c>
    </row>
    <row r="96" spans="1:29">
      <c r="A96">
        <v>91</v>
      </c>
      <c r="B96">
        <v>2001</v>
      </c>
      <c r="C96">
        <v>46</v>
      </c>
      <c r="D96" t="s">
        <v>345</v>
      </c>
      <c r="E96">
        <f>INDEX([1]用户升级!$G$3:$G$102,MATCH(C96,[1]用户升级!$A$3:$A$102,0))</f>
        <v>240</v>
      </c>
      <c r="F96">
        <f t="shared" si="1"/>
        <v>240</v>
      </c>
      <c r="G96">
        <v>0</v>
      </c>
      <c r="H96">
        <v>0</v>
      </c>
      <c r="I96">
        <v>0</v>
      </c>
      <c r="J96">
        <v>0</v>
      </c>
      <c r="K96">
        <v>0</v>
      </c>
      <c r="L96">
        <v>20732</v>
      </c>
      <c r="M96">
        <v>0</v>
      </c>
      <c r="N96">
        <v>2423</v>
      </c>
      <c r="O96">
        <v>2961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t="s">
        <v>138</v>
      </c>
      <c r="Y96">
        <v>0</v>
      </c>
      <c r="Z96">
        <v>0</v>
      </c>
      <c r="AA96">
        <v>10</v>
      </c>
      <c r="AB96">
        <v>50</v>
      </c>
      <c r="AC96">
        <v>1</v>
      </c>
    </row>
    <row r="97" spans="1:29">
      <c r="A97">
        <v>92</v>
      </c>
      <c r="B97">
        <v>2001</v>
      </c>
      <c r="C97">
        <v>45</v>
      </c>
      <c r="D97" t="s">
        <v>346</v>
      </c>
      <c r="E97">
        <f>INDEX([1]用户升级!$G$3:$G$102,MATCH(C97,[1]用户升级!$A$3:$A$102,0))</f>
        <v>232</v>
      </c>
      <c r="F97">
        <f t="shared" si="1"/>
        <v>232</v>
      </c>
      <c r="G97">
        <v>0</v>
      </c>
      <c r="H97">
        <v>0</v>
      </c>
      <c r="I97">
        <v>0</v>
      </c>
      <c r="J97">
        <v>0</v>
      </c>
      <c r="K97">
        <v>0</v>
      </c>
      <c r="L97">
        <v>20345</v>
      </c>
      <c r="M97">
        <v>0</v>
      </c>
      <c r="N97">
        <v>2370</v>
      </c>
      <c r="O97">
        <v>2897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 t="s">
        <v>139</v>
      </c>
      <c r="Y97">
        <v>0</v>
      </c>
      <c r="Z97">
        <v>0</v>
      </c>
      <c r="AA97">
        <v>10</v>
      </c>
      <c r="AB97">
        <v>50</v>
      </c>
      <c r="AC97">
        <v>1</v>
      </c>
    </row>
    <row r="98" spans="1:29">
      <c r="A98">
        <v>93</v>
      </c>
      <c r="B98">
        <v>2001</v>
      </c>
      <c r="C98">
        <v>46</v>
      </c>
      <c r="D98" t="s">
        <v>347</v>
      </c>
      <c r="E98">
        <f>INDEX([1]用户升级!$G$3:$G$102,MATCH(C98,[1]用户升级!$A$3:$A$102,0))</f>
        <v>240</v>
      </c>
      <c r="F98">
        <f t="shared" si="1"/>
        <v>240</v>
      </c>
      <c r="G98">
        <v>0</v>
      </c>
      <c r="H98">
        <v>0</v>
      </c>
      <c r="I98">
        <v>0</v>
      </c>
      <c r="J98">
        <v>0</v>
      </c>
      <c r="K98">
        <v>0</v>
      </c>
      <c r="L98">
        <v>21769</v>
      </c>
      <c r="M98">
        <v>0</v>
      </c>
      <c r="N98">
        <v>2479</v>
      </c>
      <c r="O98">
        <v>3031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t="s">
        <v>140</v>
      </c>
      <c r="Y98">
        <v>0</v>
      </c>
      <c r="Z98">
        <v>0</v>
      </c>
      <c r="AA98">
        <v>10</v>
      </c>
      <c r="AB98">
        <v>50</v>
      </c>
      <c r="AC98">
        <v>1</v>
      </c>
    </row>
    <row r="99" spans="1:29">
      <c r="A99">
        <v>94</v>
      </c>
      <c r="B99">
        <v>2001</v>
      </c>
      <c r="C99">
        <v>47</v>
      </c>
      <c r="D99" t="s">
        <v>348</v>
      </c>
      <c r="E99">
        <f>INDEX([1]用户升级!$G$3:$G$102,MATCH(C99,[1]用户升级!$A$3:$A$102,0))</f>
        <v>248</v>
      </c>
      <c r="F99">
        <f t="shared" si="1"/>
        <v>248</v>
      </c>
      <c r="G99">
        <v>0</v>
      </c>
      <c r="H99">
        <v>0</v>
      </c>
      <c r="I99">
        <v>0</v>
      </c>
      <c r="J99">
        <v>0</v>
      </c>
      <c r="K99">
        <v>0</v>
      </c>
      <c r="L99">
        <v>22183</v>
      </c>
      <c r="M99">
        <v>0</v>
      </c>
      <c r="N99">
        <v>2535</v>
      </c>
      <c r="O99">
        <v>3098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 t="s">
        <v>141</v>
      </c>
      <c r="Y99">
        <v>0</v>
      </c>
      <c r="Z99">
        <v>0</v>
      </c>
      <c r="AA99">
        <v>10</v>
      </c>
      <c r="AB99">
        <v>50</v>
      </c>
      <c r="AC99">
        <v>1</v>
      </c>
    </row>
    <row r="100" spans="1:29">
      <c r="A100">
        <v>95</v>
      </c>
      <c r="B100">
        <v>2001</v>
      </c>
      <c r="C100">
        <v>48</v>
      </c>
      <c r="D100" t="s">
        <v>349</v>
      </c>
      <c r="E100">
        <f>INDEX([1]用户升级!$G$3:$G$102,MATCH(C100,[1]用户升级!$A$3:$A$102,0))</f>
        <v>256</v>
      </c>
      <c r="F100">
        <f t="shared" si="1"/>
        <v>256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23736</v>
      </c>
      <c r="M100">
        <v>0</v>
      </c>
      <c r="N100">
        <v>2651</v>
      </c>
      <c r="O100">
        <v>3240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 t="s">
        <v>142</v>
      </c>
      <c r="Y100">
        <v>0</v>
      </c>
      <c r="Z100">
        <v>0</v>
      </c>
      <c r="AA100">
        <v>10</v>
      </c>
      <c r="AB100">
        <v>50</v>
      </c>
      <c r="AC100">
        <v>1</v>
      </c>
    </row>
    <row r="101" spans="1:29">
      <c r="A101">
        <v>96</v>
      </c>
      <c r="B101">
        <v>2001</v>
      </c>
      <c r="C101">
        <v>47</v>
      </c>
      <c r="D101" t="s">
        <v>350</v>
      </c>
      <c r="E101">
        <f>INDEX([1]用户升级!$G$3:$G$102,MATCH(C101,[1]用户升级!$A$3:$A$102,0))</f>
        <v>248</v>
      </c>
      <c r="F101">
        <f t="shared" si="1"/>
        <v>248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23292</v>
      </c>
      <c r="M101">
        <v>0</v>
      </c>
      <c r="N101">
        <v>2593</v>
      </c>
      <c r="O101">
        <v>3169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 t="s">
        <v>143</v>
      </c>
      <c r="Y101">
        <v>0</v>
      </c>
      <c r="Z101">
        <v>0</v>
      </c>
      <c r="AA101">
        <v>10</v>
      </c>
      <c r="AB101">
        <v>50</v>
      </c>
      <c r="AC101">
        <v>1</v>
      </c>
    </row>
    <row r="102" spans="1:29">
      <c r="A102">
        <v>97</v>
      </c>
      <c r="B102">
        <v>2001</v>
      </c>
      <c r="C102">
        <v>48</v>
      </c>
      <c r="D102" t="s">
        <v>351</v>
      </c>
      <c r="E102">
        <f>INDEX([1]用户升级!$G$3:$G$102,MATCH(C102,[1]用户升级!$A$3:$A$102,0))</f>
        <v>256</v>
      </c>
      <c r="F102">
        <f t="shared" si="1"/>
        <v>256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24923</v>
      </c>
      <c r="M102">
        <v>0</v>
      </c>
      <c r="N102">
        <v>2713</v>
      </c>
      <c r="O102">
        <v>3316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 t="s">
        <v>144</v>
      </c>
      <c r="Y102">
        <v>0</v>
      </c>
      <c r="Z102">
        <v>0</v>
      </c>
      <c r="AA102">
        <v>10</v>
      </c>
      <c r="AB102">
        <v>50</v>
      </c>
      <c r="AC102">
        <v>1</v>
      </c>
    </row>
    <row r="103" spans="1:29">
      <c r="A103">
        <v>98</v>
      </c>
      <c r="B103">
        <v>2001</v>
      </c>
      <c r="C103">
        <v>49</v>
      </c>
      <c r="D103" t="s">
        <v>352</v>
      </c>
      <c r="E103">
        <f>INDEX([1]用户升级!$G$3:$G$102,MATCH(C103,[1]用户升级!$A$3:$A$102,0))</f>
        <v>264</v>
      </c>
      <c r="F103">
        <f t="shared" si="1"/>
        <v>264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26110</v>
      </c>
      <c r="M103">
        <v>0</v>
      </c>
      <c r="N103">
        <v>2774</v>
      </c>
      <c r="O103">
        <v>3390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 t="s">
        <v>145</v>
      </c>
      <c r="Y103">
        <v>0</v>
      </c>
      <c r="Z103">
        <v>0</v>
      </c>
      <c r="AA103">
        <v>10</v>
      </c>
      <c r="AB103">
        <v>50</v>
      </c>
      <c r="AC103">
        <v>1</v>
      </c>
    </row>
    <row r="104" spans="1:29">
      <c r="A104">
        <v>99</v>
      </c>
      <c r="B104">
        <v>2001</v>
      </c>
      <c r="C104">
        <v>50</v>
      </c>
      <c r="D104" t="s">
        <v>353</v>
      </c>
      <c r="E104">
        <f>INDEX([1]用户升级!$G$3:$G$102,MATCH(C104,[1]用户升级!$A$3:$A$102,0))</f>
        <v>272</v>
      </c>
      <c r="F104">
        <f t="shared" si="1"/>
        <v>272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27677</v>
      </c>
      <c r="M104">
        <v>0</v>
      </c>
      <c r="N104">
        <v>2901</v>
      </c>
      <c r="O104">
        <v>3545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 t="s">
        <v>146</v>
      </c>
      <c r="Y104">
        <v>0</v>
      </c>
      <c r="Z104">
        <v>0</v>
      </c>
      <c r="AA104">
        <v>10</v>
      </c>
      <c r="AB104">
        <v>50</v>
      </c>
      <c r="AC104">
        <v>1</v>
      </c>
    </row>
    <row r="105" spans="1:29">
      <c r="A105">
        <v>100</v>
      </c>
      <c r="B105">
        <v>2001</v>
      </c>
      <c r="C105">
        <v>49</v>
      </c>
      <c r="D105" t="s">
        <v>354</v>
      </c>
      <c r="E105">
        <f>INDEX([1]用户升级!$G$3:$G$102,MATCH(C105,[1]用户升级!$A$3:$A$102,0))</f>
        <v>264</v>
      </c>
      <c r="F105">
        <f t="shared" si="1"/>
        <v>264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27416</v>
      </c>
      <c r="M105">
        <v>0</v>
      </c>
      <c r="N105">
        <v>2837</v>
      </c>
      <c r="O105">
        <v>3468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 t="s">
        <v>147</v>
      </c>
      <c r="Y105">
        <v>0</v>
      </c>
      <c r="Z105">
        <v>0</v>
      </c>
      <c r="AA105">
        <v>10</v>
      </c>
      <c r="AB105">
        <v>50</v>
      </c>
      <c r="AC105">
        <v>1</v>
      </c>
    </row>
    <row r="106" spans="1:29">
      <c r="A106">
        <v>101</v>
      </c>
      <c r="B106">
        <v>2001</v>
      </c>
      <c r="C106">
        <v>50</v>
      </c>
      <c r="D106" t="s">
        <v>355</v>
      </c>
      <c r="E106">
        <f>INDEX([1]用户升级!$G$3:$G$102,MATCH(C106,[1]用户升级!$A$3:$A$102,0))</f>
        <v>272</v>
      </c>
      <c r="F106">
        <f t="shared" si="1"/>
        <v>272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29061</v>
      </c>
      <c r="M106">
        <v>0</v>
      </c>
      <c r="N106">
        <v>2938</v>
      </c>
      <c r="O106">
        <v>3592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 t="s">
        <v>148</v>
      </c>
      <c r="Y106">
        <v>0</v>
      </c>
      <c r="Z106">
        <v>0</v>
      </c>
      <c r="AA106">
        <v>10</v>
      </c>
      <c r="AB106">
        <v>50</v>
      </c>
      <c r="AC106">
        <v>1</v>
      </c>
    </row>
    <row r="107" spans="1:29">
      <c r="A107">
        <v>102</v>
      </c>
      <c r="B107">
        <v>2001</v>
      </c>
      <c r="C107">
        <v>51</v>
      </c>
      <c r="D107" t="s">
        <v>356</v>
      </c>
      <c r="E107">
        <f>INDEX([1]用户升级!$G$3:$G$102,MATCH(C107,[1]用户升级!$A$3:$A$102,0))</f>
        <v>280</v>
      </c>
      <c r="F107">
        <f t="shared" si="1"/>
        <v>280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29338</v>
      </c>
      <c r="M107">
        <v>0</v>
      </c>
      <c r="N107">
        <v>2976</v>
      </c>
      <c r="O107">
        <v>3638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 t="s">
        <v>149</v>
      </c>
      <c r="Y107">
        <v>0</v>
      </c>
      <c r="Z107">
        <v>0</v>
      </c>
      <c r="AA107">
        <v>10</v>
      </c>
      <c r="AB107">
        <v>50</v>
      </c>
      <c r="AC107">
        <v>1</v>
      </c>
    </row>
    <row r="108" spans="1:29">
      <c r="A108">
        <v>103</v>
      </c>
      <c r="B108">
        <v>2001</v>
      </c>
      <c r="C108">
        <v>52</v>
      </c>
      <c r="D108" t="s">
        <v>357</v>
      </c>
      <c r="E108">
        <f>INDEX([1]用户升级!$G$3:$G$102,MATCH(C108,[1]用户升级!$A$3:$A$102,0))</f>
        <v>288</v>
      </c>
      <c r="F108">
        <f t="shared" si="1"/>
        <v>288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31098</v>
      </c>
      <c r="M108">
        <v>0</v>
      </c>
      <c r="N108">
        <v>3053</v>
      </c>
      <c r="O108">
        <v>3732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 t="s">
        <v>150</v>
      </c>
      <c r="Y108">
        <v>0</v>
      </c>
      <c r="Z108">
        <v>0</v>
      </c>
      <c r="AA108">
        <v>10</v>
      </c>
      <c r="AB108">
        <v>50</v>
      </c>
      <c r="AC108">
        <v>1</v>
      </c>
    </row>
    <row r="109" spans="1:29">
      <c r="A109">
        <v>104</v>
      </c>
      <c r="B109">
        <v>2001</v>
      </c>
      <c r="C109">
        <v>51</v>
      </c>
      <c r="D109" t="s">
        <v>358</v>
      </c>
      <c r="E109">
        <f>INDEX([1]用户升级!$G$3:$G$102,MATCH(C109,[1]用户升级!$A$3:$A$102,0))</f>
        <v>280</v>
      </c>
      <c r="F109">
        <f t="shared" si="1"/>
        <v>280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30805</v>
      </c>
      <c r="M109">
        <v>0</v>
      </c>
      <c r="N109">
        <v>3015</v>
      </c>
      <c r="O109">
        <v>3686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 t="s">
        <v>151</v>
      </c>
      <c r="Y109">
        <v>0</v>
      </c>
      <c r="Z109">
        <v>0</v>
      </c>
      <c r="AA109">
        <v>10</v>
      </c>
      <c r="AB109">
        <v>50</v>
      </c>
      <c r="AC109">
        <v>1</v>
      </c>
    </row>
    <row r="110" spans="1:29">
      <c r="A110">
        <v>105</v>
      </c>
      <c r="B110">
        <v>2001</v>
      </c>
      <c r="C110">
        <v>52</v>
      </c>
      <c r="D110" t="s">
        <v>359</v>
      </c>
      <c r="E110">
        <f>INDEX([1]用户升级!$G$3:$G$102,MATCH(C110,[1]用户升级!$A$3:$A$102,0))</f>
        <v>288</v>
      </c>
      <c r="F110">
        <f t="shared" si="1"/>
        <v>288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32653</v>
      </c>
      <c r="M110">
        <v>0</v>
      </c>
      <c r="N110">
        <v>3094</v>
      </c>
      <c r="O110">
        <v>3781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 t="s">
        <v>152</v>
      </c>
      <c r="Y110">
        <v>0</v>
      </c>
      <c r="Z110">
        <v>0</v>
      </c>
      <c r="AA110">
        <v>10</v>
      </c>
      <c r="AB110">
        <v>50</v>
      </c>
      <c r="AC110">
        <v>1</v>
      </c>
    </row>
    <row r="111" spans="1:29">
      <c r="A111">
        <v>106</v>
      </c>
      <c r="B111">
        <v>2001</v>
      </c>
      <c r="C111">
        <v>53</v>
      </c>
      <c r="D111" t="s">
        <v>360</v>
      </c>
      <c r="E111">
        <f>INDEX([1]用户升级!$G$3:$G$102,MATCH(C111,[1]用户升级!$A$3:$A$102,0))</f>
        <v>296</v>
      </c>
      <c r="F111">
        <f t="shared" si="1"/>
        <v>296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34208</v>
      </c>
      <c r="M111">
        <v>0</v>
      </c>
      <c r="N111">
        <v>3133</v>
      </c>
      <c r="O111">
        <v>3829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 t="s">
        <v>153</v>
      </c>
      <c r="Y111">
        <v>0</v>
      </c>
      <c r="Z111">
        <v>0</v>
      </c>
      <c r="AA111">
        <v>10</v>
      </c>
      <c r="AB111">
        <v>50</v>
      </c>
      <c r="AC111">
        <v>1</v>
      </c>
    </row>
    <row r="112" spans="1:29">
      <c r="A112">
        <v>107</v>
      </c>
      <c r="B112">
        <v>2001</v>
      </c>
      <c r="C112">
        <v>54</v>
      </c>
      <c r="D112" t="s">
        <v>361</v>
      </c>
      <c r="E112">
        <f>INDEX([1]用户升级!$G$3:$G$102,MATCH(C112,[1]用户升级!$A$3:$A$102,0))</f>
        <v>304</v>
      </c>
      <c r="F112">
        <f t="shared" si="1"/>
        <v>304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36260</v>
      </c>
      <c r="M112">
        <v>0</v>
      </c>
      <c r="N112">
        <v>3214</v>
      </c>
      <c r="O112">
        <v>3928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 t="s">
        <v>154</v>
      </c>
      <c r="Y112">
        <v>0</v>
      </c>
      <c r="Z112">
        <v>0</v>
      </c>
      <c r="AA112">
        <v>10</v>
      </c>
      <c r="AB112">
        <v>50</v>
      </c>
      <c r="AC112">
        <v>1</v>
      </c>
    </row>
    <row r="113" spans="1:29">
      <c r="A113">
        <v>108</v>
      </c>
      <c r="B113">
        <v>2001</v>
      </c>
      <c r="C113">
        <v>53</v>
      </c>
      <c r="D113" t="s">
        <v>362</v>
      </c>
      <c r="E113">
        <f>INDEX([1]用户升级!$G$3:$G$102,MATCH(C113,[1]用户升级!$A$3:$A$102,0))</f>
        <v>296</v>
      </c>
      <c r="F113">
        <f t="shared" si="1"/>
        <v>296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35918</v>
      </c>
      <c r="M113">
        <v>0</v>
      </c>
      <c r="N113">
        <v>3173</v>
      </c>
      <c r="O113">
        <v>3879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 t="s">
        <v>155</v>
      </c>
      <c r="Y113">
        <v>0</v>
      </c>
      <c r="Z113">
        <v>0</v>
      </c>
      <c r="AA113">
        <v>10</v>
      </c>
      <c r="AB113">
        <v>50</v>
      </c>
      <c r="AC113">
        <v>1</v>
      </c>
    </row>
    <row r="114" spans="1:29">
      <c r="A114">
        <v>109</v>
      </c>
      <c r="B114">
        <v>2001</v>
      </c>
      <c r="C114">
        <v>54</v>
      </c>
      <c r="D114" t="s">
        <v>363</v>
      </c>
      <c r="E114">
        <f>INDEX([1]用户升级!$G$3:$G$102,MATCH(C114,[1]用户升级!$A$3:$A$102,0))</f>
        <v>304</v>
      </c>
      <c r="F114">
        <f t="shared" si="1"/>
        <v>304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38073</v>
      </c>
      <c r="M114">
        <v>0</v>
      </c>
      <c r="N114">
        <v>3256</v>
      </c>
      <c r="O114">
        <v>3979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 t="s">
        <v>156</v>
      </c>
      <c r="Y114">
        <v>0</v>
      </c>
      <c r="Z114">
        <v>0</v>
      </c>
      <c r="AA114">
        <v>10</v>
      </c>
      <c r="AB114">
        <v>50</v>
      </c>
      <c r="AC114">
        <v>1</v>
      </c>
    </row>
    <row r="115" spans="1:29">
      <c r="A115">
        <v>110</v>
      </c>
      <c r="B115">
        <v>2001</v>
      </c>
      <c r="C115">
        <v>55</v>
      </c>
      <c r="D115" t="s">
        <v>364</v>
      </c>
      <c r="E115">
        <f>INDEX([1]用户升级!$G$3:$G$102,MATCH(C115,[1]用户升级!$A$3:$A$102,0))</f>
        <v>312</v>
      </c>
      <c r="F115">
        <f t="shared" si="1"/>
        <v>312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38436</v>
      </c>
      <c r="M115">
        <v>0</v>
      </c>
      <c r="N115">
        <v>3298</v>
      </c>
      <c r="O115">
        <v>4030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t="s">
        <v>157</v>
      </c>
      <c r="Y115">
        <v>0</v>
      </c>
      <c r="Z115">
        <v>0</v>
      </c>
      <c r="AA115">
        <v>10</v>
      </c>
      <c r="AB115">
        <v>50</v>
      </c>
      <c r="AC115">
        <v>1</v>
      </c>
    </row>
    <row r="116" spans="1:29">
      <c r="A116">
        <v>111</v>
      </c>
      <c r="B116">
        <v>2001</v>
      </c>
      <c r="C116">
        <v>56</v>
      </c>
      <c r="D116" t="s">
        <v>365</v>
      </c>
      <c r="E116">
        <f>INDEX([1]用户升级!$G$3:$G$102,MATCH(C116,[1]用户升级!$A$3:$A$102,0))</f>
        <v>320</v>
      </c>
      <c r="F116">
        <f t="shared" si="1"/>
        <v>320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40742</v>
      </c>
      <c r="M116">
        <v>0</v>
      </c>
      <c r="N116">
        <v>3504</v>
      </c>
      <c r="O116">
        <v>4283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t="s">
        <v>158</v>
      </c>
      <c r="Y116">
        <v>0</v>
      </c>
      <c r="Z116">
        <v>0</v>
      </c>
      <c r="AA116">
        <v>10</v>
      </c>
      <c r="AB116">
        <v>50</v>
      </c>
      <c r="AC116">
        <v>1</v>
      </c>
    </row>
    <row r="117" spans="1:29">
      <c r="A117">
        <v>112</v>
      </c>
      <c r="B117">
        <v>2001</v>
      </c>
      <c r="C117">
        <v>55</v>
      </c>
      <c r="D117" t="s">
        <v>366</v>
      </c>
      <c r="E117">
        <f>INDEX([1]用户升级!$G$3:$G$102,MATCH(C117,[1]用户升级!$A$3:$A$102,0))</f>
        <v>312</v>
      </c>
      <c r="F117">
        <f t="shared" si="1"/>
        <v>312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40358</v>
      </c>
      <c r="M117">
        <v>0</v>
      </c>
      <c r="N117">
        <v>3402</v>
      </c>
      <c r="O117">
        <v>4158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t="s">
        <v>159</v>
      </c>
      <c r="Y117">
        <v>0</v>
      </c>
      <c r="Z117">
        <v>0</v>
      </c>
      <c r="AA117">
        <v>10</v>
      </c>
      <c r="AB117">
        <v>50</v>
      </c>
      <c r="AC117">
        <v>1</v>
      </c>
    </row>
    <row r="118" spans="1:29">
      <c r="A118">
        <v>113</v>
      </c>
      <c r="B118">
        <v>2001</v>
      </c>
      <c r="C118">
        <v>56</v>
      </c>
      <c r="D118" t="s">
        <v>367</v>
      </c>
      <c r="E118">
        <f>INDEX([1]用户升级!$G$3:$G$102,MATCH(C118,[1]用户升级!$A$3:$A$102,0))</f>
        <v>320</v>
      </c>
      <c r="F118">
        <f t="shared" si="1"/>
        <v>320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42779</v>
      </c>
      <c r="M118">
        <v>0</v>
      </c>
      <c r="N118">
        <v>3613</v>
      </c>
      <c r="O118">
        <v>4417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t="s">
        <v>160</v>
      </c>
      <c r="Y118">
        <v>0</v>
      </c>
      <c r="Z118">
        <v>0</v>
      </c>
      <c r="AA118">
        <v>10</v>
      </c>
      <c r="AB118">
        <v>50</v>
      </c>
      <c r="AC118">
        <v>1</v>
      </c>
    </row>
    <row r="119" spans="1:29">
      <c r="A119">
        <v>114</v>
      </c>
      <c r="B119">
        <v>2001</v>
      </c>
      <c r="C119">
        <v>57</v>
      </c>
      <c r="D119" t="s">
        <v>368</v>
      </c>
      <c r="E119">
        <f>INDEX([1]用户升级!$G$3:$G$102,MATCH(C119,[1]用户升级!$A$3:$A$102,0))</f>
        <v>328</v>
      </c>
      <c r="F119">
        <f t="shared" si="1"/>
        <v>328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44816</v>
      </c>
      <c r="M119">
        <v>0</v>
      </c>
      <c r="N119">
        <v>3723</v>
      </c>
      <c r="O119">
        <v>4550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t="s">
        <v>161</v>
      </c>
      <c r="Y119">
        <v>0</v>
      </c>
      <c r="Z119">
        <v>0</v>
      </c>
      <c r="AA119">
        <v>10</v>
      </c>
      <c r="AB119">
        <v>50</v>
      </c>
      <c r="AC119">
        <v>1</v>
      </c>
    </row>
    <row r="120" spans="1:29">
      <c r="A120">
        <v>115</v>
      </c>
      <c r="B120">
        <v>2001</v>
      </c>
      <c r="C120">
        <v>58</v>
      </c>
      <c r="D120" t="s">
        <v>369</v>
      </c>
      <c r="E120">
        <f>INDEX([1]用户升级!$G$3:$G$102,MATCH(C120,[1]用户升级!$A$3:$A$102,0))</f>
        <v>336</v>
      </c>
      <c r="F120">
        <f t="shared" si="1"/>
        <v>336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47505</v>
      </c>
      <c r="M120">
        <v>0</v>
      </c>
      <c r="N120">
        <v>3955</v>
      </c>
      <c r="O120">
        <v>4834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t="s">
        <v>160</v>
      </c>
      <c r="Y120">
        <v>0</v>
      </c>
      <c r="Z120">
        <v>0</v>
      </c>
      <c r="AA120">
        <v>10</v>
      </c>
      <c r="AB120">
        <v>50</v>
      </c>
      <c r="AC120">
        <v>1</v>
      </c>
    </row>
    <row r="121" spans="1:29">
      <c r="A121">
        <v>116</v>
      </c>
      <c r="B121">
        <v>2001</v>
      </c>
      <c r="C121">
        <v>57</v>
      </c>
      <c r="D121" t="s">
        <v>370</v>
      </c>
      <c r="E121">
        <f>INDEX([1]用户升级!$G$3:$G$102,MATCH(C121,[1]用户升级!$A$3:$A$102,0))</f>
        <v>328</v>
      </c>
      <c r="F121">
        <f t="shared" si="1"/>
        <v>328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47057</v>
      </c>
      <c r="M121">
        <v>0</v>
      </c>
      <c r="N121">
        <v>3839</v>
      </c>
      <c r="O121">
        <v>4692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t="s">
        <v>159</v>
      </c>
      <c r="Y121">
        <v>0</v>
      </c>
      <c r="Z121">
        <v>0</v>
      </c>
      <c r="AA121">
        <v>10</v>
      </c>
      <c r="AB121">
        <v>50</v>
      </c>
      <c r="AC121">
        <v>1</v>
      </c>
    </row>
    <row r="122" spans="1:29">
      <c r="A122">
        <v>117</v>
      </c>
      <c r="B122">
        <v>2001</v>
      </c>
      <c r="C122">
        <v>58</v>
      </c>
      <c r="D122" t="s">
        <v>371</v>
      </c>
      <c r="E122">
        <f>INDEX([1]用户升级!$G$3:$G$102,MATCH(C122,[1]用户升级!$A$3:$A$102,0))</f>
        <v>336</v>
      </c>
      <c r="F122">
        <f t="shared" si="1"/>
        <v>336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49880</v>
      </c>
      <c r="M122">
        <v>0</v>
      </c>
      <c r="N122">
        <v>4079</v>
      </c>
      <c r="O122">
        <v>4986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 t="s">
        <v>158</v>
      </c>
      <c r="Y122">
        <v>0</v>
      </c>
      <c r="Z122">
        <v>0</v>
      </c>
      <c r="AA122">
        <v>10</v>
      </c>
      <c r="AB122">
        <v>50</v>
      </c>
      <c r="AC122">
        <v>1</v>
      </c>
    </row>
    <row r="123" spans="1:29">
      <c r="A123">
        <v>118</v>
      </c>
      <c r="B123">
        <v>2001</v>
      </c>
      <c r="C123">
        <v>59</v>
      </c>
      <c r="D123" t="s">
        <v>372</v>
      </c>
      <c r="E123">
        <f>INDEX([1]用户升级!$G$3:$G$102,MATCH(C123,[1]用户升级!$A$3:$A$102,0))</f>
        <v>344</v>
      </c>
      <c r="F123">
        <f t="shared" si="1"/>
        <v>344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50355</v>
      </c>
      <c r="M123">
        <v>0</v>
      </c>
      <c r="N123">
        <v>4203</v>
      </c>
      <c r="O123">
        <v>5138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 t="s">
        <v>157</v>
      </c>
      <c r="Y123">
        <v>0</v>
      </c>
      <c r="Z123">
        <v>0</v>
      </c>
      <c r="AA123">
        <v>10</v>
      </c>
      <c r="AB123">
        <v>50</v>
      </c>
      <c r="AC123">
        <v>1</v>
      </c>
    </row>
    <row r="124" spans="1:29">
      <c r="A124">
        <v>119</v>
      </c>
      <c r="B124">
        <v>2001</v>
      </c>
      <c r="C124">
        <v>60</v>
      </c>
      <c r="D124" t="s">
        <v>373</v>
      </c>
      <c r="E124">
        <f>INDEX([1]用户升级!$G$3:$G$102,MATCH(C124,[1]用户升级!$A$3:$A$102,0))</f>
        <v>352</v>
      </c>
      <c r="F124">
        <f t="shared" si="1"/>
        <v>352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53376</v>
      </c>
      <c r="M124">
        <v>0</v>
      </c>
      <c r="N124">
        <v>4465</v>
      </c>
      <c r="O124">
        <v>5458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 t="s">
        <v>156</v>
      </c>
      <c r="Y124">
        <v>0</v>
      </c>
      <c r="Z124">
        <v>0</v>
      </c>
      <c r="AA124">
        <v>10</v>
      </c>
      <c r="AB124">
        <v>50</v>
      </c>
      <c r="AC124">
        <v>1</v>
      </c>
    </row>
    <row r="125" spans="1:29">
      <c r="A125">
        <v>120</v>
      </c>
      <c r="B125">
        <v>2001</v>
      </c>
      <c r="C125">
        <v>59</v>
      </c>
      <c r="D125" t="s">
        <v>374</v>
      </c>
      <c r="E125">
        <f>INDEX([1]用户升级!$G$3:$G$102,MATCH(C125,[1]用户升级!$A$3:$A$102,0))</f>
        <v>344</v>
      </c>
      <c r="F125">
        <f t="shared" si="1"/>
        <v>344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52873</v>
      </c>
      <c r="M125">
        <v>0</v>
      </c>
      <c r="N125">
        <v>4334</v>
      </c>
      <c r="O125">
        <v>5298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 t="s">
        <v>155</v>
      </c>
      <c r="Y125">
        <v>0</v>
      </c>
      <c r="Z125">
        <v>0</v>
      </c>
      <c r="AA125">
        <v>10</v>
      </c>
      <c r="AB125">
        <v>50</v>
      </c>
      <c r="AC125">
        <v>1</v>
      </c>
    </row>
    <row r="126" spans="1:29">
      <c r="A126">
        <v>121</v>
      </c>
      <c r="B126">
        <v>2001</v>
      </c>
      <c r="C126">
        <v>60</v>
      </c>
      <c r="D126" t="s">
        <v>375</v>
      </c>
      <c r="E126">
        <f>INDEX([1]用户升级!$G$3:$G$102,MATCH(C126,[1]用户升级!$A$3:$A$102,0))</f>
        <v>352</v>
      </c>
      <c r="F126">
        <f t="shared" si="1"/>
        <v>352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56045</v>
      </c>
      <c r="M126">
        <v>0</v>
      </c>
      <c r="N126">
        <v>4600</v>
      </c>
      <c r="O126">
        <v>5623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t="s">
        <v>154</v>
      </c>
      <c r="Y126">
        <v>0</v>
      </c>
      <c r="Z126">
        <v>0</v>
      </c>
      <c r="AA126">
        <v>10</v>
      </c>
      <c r="AB126">
        <v>50</v>
      </c>
      <c r="AC126">
        <v>1</v>
      </c>
    </row>
    <row r="127" spans="1:29">
      <c r="A127">
        <v>122</v>
      </c>
      <c r="B127">
        <v>2001</v>
      </c>
      <c r="C127">
        <v>61</v>
      </c>
      <c r="D127" t="s">
        <v>376</v>
      </c>
      <c r="E127">
        <f>INDEX([1]用户升级!$G$3:$G$102,MATCH(C127,[1]用户升级!$A$3:$A$102,0))</f>
        <v>362</v>
      </c>
      <c r="F127">
        <f t="shared" si="1"/>
        <v>362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58714</v>
      </c>
      <c r="M127">
        <v>0</v>
      </c>
      <c r="N127">
        <v>4735</v>
      </c>
      <c r="O127">
        <v>5788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 t="s">
        <v>153</v>
      </c>
      <c r="Y127">
        <v>0</v>
      </c>
      <c r="Z127">
        <v>0</v>
      </c>
      <c r="AA127">
        <v>10</v>
      </c>
      <c r="AB127">
        <v>50</v>
      </c>
      <c r="AC127">
        <v>1</v>
      </c>
    </row>
    <row r="128" spans="1:29">
      <c r="A128">
        <v>123</v>
      </c>
      <c r="B128">
        <v>2001</v>
      </c>
      <c r="C128">
        <v>62</v>
      </c>
      <c r="D128" t="s">
        <v>377</v>
      </c>
      <c r="E128">
        <f>INDEX([1]用户升级!$G$3:$G$102,MATCH(C128,[1]用户升级!$A$3:$A$102,0))</f>
        <v>372</v>
      </c>
      <c r="F128">
        <f t="shared" si="1"/>
        <v>372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61650</v>
      </c>
      <c r="M128">
        <v>0</v>
      </c>
      <c r="N128">
        <v>5020</v>
      </c>
      <c r="O128">
        <v>6136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 t="s">
        <v>152</v>
      </c>
      <c r="Y128">
        <v>0</v>
      </c>
      <c r="Z128">
        <v>0</v>
      </c>
      <c r="AA128">
        <v>10</v>
      </c>
      <c r="AB128">
        <v>50</v>
      </c>
      <c r="AC128">
        <v>1</v>
      </c>
    </row>
    <row r="129" spans="1:29">
      <c r="A129">
        <v>124</v>
      </c>
      <c r="B129">
        <v>2001</v>
      </c>
      <c r="C129">
        <v>61</v>
      </c>
      <c r="D129" t="s">
        <v>378</v>
      </c>
      <c r="E129">
        <f>INDEX([1]用户升级!$G$3:$G$102,MATCH(C129,[1]用户升级!$A$3:$A$102,0))</f>
        <v>362</v>
      </c>
      <c r="F129">
        <f t="shared" si="1"/>
        <v>362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61650</v>
      </c>
      <c r="M129">
        <v>0</v>
      </c>
      <c r="N129">
        <v>4878</v>
      </c>
      <c r="O129">
        <v>5963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 t="s">
        <v>151</v>
      </c>
      <c r="Y129">
        <v>0</v>
      </c>
      <c r="Z129">
        <v>0</v>
      </c>
      <c r="AA129">
        <v>10</v>
      </c>
      <c r="AB129">
        <v>50</v>
      </c>
      <c r="AC129">
        <v>1</v>
      </c>
    </row>
    <row r="130" spans="1:29">
      <c r="A130">
        <v>125</v>
      </c>
      <c r="B130">
        <v>2001</v>
      </c>
      <c r="C130">
        <v>62</v>
      </c>
      <c r="D130" t="s">
        <v>379</v>
      </c>
      <c r="E130">
        <f>INDEX([1]用户升级!$G$3:$G$102,MATCH(C130,[1]用户升级!$A$3:$A$102,0))</f>
        <v>372</v>
      </c>
      <c r="F130">
        <f t="shared" si="1"/>
        <v>372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64733</v>
      </c>
      <c r="M130">
        <v>0</v>
      </c>
      <c r="N130">
        <v>5173</v>
      </c>
      <c r="O130">
        <v>6322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 t="s">
        <v>150</v>
      </c>
      <c r="Y130">
        <v>0</v>
      </c>
      <c r="Z130">
        <v>0</v>
      </c>
      <c r="AA130">
        <v>10</v>
      </c>
      <c r="AB130">
        <v>50</v>
      </c>
      <c r="AC130">
        <v>1</v>
      </c>
    </row>
    <row r="131" spans="1:29">
      <c r="A131">
        <v>126</v>
      </c>
      <c r="B131">
        <v>2001</v>
      </c>
      <c r="C131">
        <v>63</v>
      </c>
      <c r="D131" t="s">
        <v>380</v>
      </c>
      <c r="E131">
        <f>INDEX([1]用户升级!$G$3:$G$102,MATCH(C131,[1]用户升级!$A$3:$A$102,0))</f>
        <v>382</v>
      </c>
      <c r="F131">
        <f t="shared" si="1"/>
        <v>382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64733</v>
      </c>
      <c r="M131">
        <v>0</v>
      </c>
      <c r="N131">
        <v>5324</v>
      </c>
      <c r="O131">
        <v>6507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 t="s">
        <v>149</v>
      </c>
      <c r="Y131">
        <v>0</v>
      </c>
      <c r="Z131">
        <v>0</v>
      </c>
      <c r="AA131">
        <v>10</v>
      </c>
      <c r="AB131">
        <v>50</v>
      </c>
      <c r="AC131">
        <v>1</v>
      </c>
    </row>
    <row r="132" spans="1:29">
      <c r="A132">
        <v>127</v>
      </c>
      <c r="B132">
        <v>2001</v>
      </c>
      <c r="C132">
        <v>64</v>
      </c>
      <c r="D132" t="s">
        <v>381</v>
      </c>
      <c r="E132">
        <f>INDEX([1]用户升级!$G$3:$G$102,MATCH(C132,[1]用户升级!$A$3:$A$102,0))</f>
        <v>392</v>
      </c>
      <c r="F132">
        <f t="shared" si="1"/>
        <v>392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67970</v>
      </c>
      <c r="M132">
        <v>0</v>
      </c>
      <c r="N132">
        <v>5645</v>
      </c>
      <c r="O132">
        <v>6900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 t="s">
        <v>148</v>
      </c>
      <c r="Y132">
        <v>0</v>
      </c>
      <c r="Z132">
        <v>0</v>
      </c>
      <c r="AA132">
        <v>10</v>
      </c>
      <c r="AB132">
        <v>50</v>
      </c>
      <c r="AC132">
        <v>1</v>
      </c>
    </row>
    <row r="133" spans="1:29">
      <c r="A133">
        <v>128</v>
      </c>
      <c r="B133">
        <v>2001</v>
      </c>
      <c r="C133">
        <v>63</v>
      </c>
      <c r="D133" t="s">
        <v>382</v>
      </c>
      <c r="E133">
        <f>INDEX([1]用户升级!$G$3:$G$102,MATCH(C133,[1]用户升级!$A$3:$A$102,0))</f>
        <v>382</v>
      </c>
      <c r="F133">
        <f t="shared" si="1"/>
        <v>382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67970</v>
      </c>
      <c r="M133">
        <v>0</v>
      </c>
      <c r="N133">
        <v>5485</v>
      </c>
      <c r="O133">
        <v>6703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 t="s">
        <v>147</v>
      </c>
      <c r="Y133">
        <v>0</v>
      </c>
      <c r="Z133">
        <v>0</v>
      </c>
      <c r="AA133">
        <v>10</v>
      </c>
      <c r="AB133">
        <v>50</v>
      </c>
      <c r="AC133">
        <v>1</v>
      </c>
    </row>
    <row r="134" spans="1:29">
      <c r="A134">
        <v>129</v>
      </c>
      <c r="B134">
        <v>2001</v>
      </c>
      <c r="C134">
        <v>64</v>
      </c>
      <c r="D134" t="s">
        <v>383</v>
      </c>
      <c r="E134">
        <f>INDEX([1]用户升级!$G$3:$G$102,MATCH(C134,[1]用户升级!$A$3:$A$102,0))</f>
        <v>392</v>
      </c>
      <c r="F134">
        <f t="shared" si="1"/>
        <v>392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71369</v>
      </c>
      <c r="M134">
        <v>0</v>
      </c>
      <c r="N134">
        <v>5817</v>
      </c>
      <c r="O134">
        <v>7109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 t="s">
        <v>146</v>
      </c>
      <c r="Y134">
        <v>0</v>
      </c>
      <c r="Z134">
        <v>0</v>
      </c>
      <c r="AA134">
        <v>10</v>
      </c>
      <c r="AB134">
        <v>50</v>
      </c>
      <c r="AC134">
        <v>1</v>
      </c>
    </row>
    <row r="135" spans="1:29">
      <c r="A135">
        <v>130</v>
      </c>
      <c r="B135">
        <v>2001</v>
      </c>
      <c r="C135">
        <v>65</v>
      </c>
      <c r="D135" t="s">
        <v>384</v>
      </c>
      <c r="E135">
        <f>INDEX([1]用户升级!$G$3:$G$102,MATCH(C135,[1]用户升级!$A$3:$A$102,0))</f>
        <v>402</v>
      </c>
      <c r="F135">
        <f t="shared" ref="F135:F150" si="2">E135</f>
        <v>402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74767</v>
      </c>
      <c r="M135">
        <v>0</v>
      </c>
      <c r="N135">
        <v>5987</v>
      </c>
      <c r="O135">
        <v>7317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 t="s">
        <v>145</v>
      </c>
      <c r="Y135">
        <v>0</v>
      </c>
      <c r="Z135">
        <v>0</v>
      </c>
      <c r="AA135">
        <v>10</v>
      </c>
      <c r="AB135">
        <v>50</v>
      </c>
      <c r="AC135">
        <v>1</v>
      </c>
    </row>
    <row r="136" spans="1:29">
      <c r="A136">
        <v>131</v>
      </c>
      <c r="B136">
        <v>2001</v>
      </c>
      <c r="C136">
        <v>66</v>
      </c>
      <c r="D136" t="s">
        <v>385</v>
      </c>
      <c r="E136">
        <f>INDEX([1]用户升级!$G$3:$G$102,MATCH(C136,[1]用户升级!$A$3:$A$102,0))</f>
        <v>412</v>
      </c>
      <c r="F136">
        <f t="shared" si="2"/>
        <v>412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77758</v>
      </c>
      <c r="M136">
        <v>0</v>
      </c>
      <c r="N136">
        <v>6211</v>
      </c>
      <c r="O136">
        <v>7591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 t="s">
        <v>144</v>
      </c>
      <c r="Y136">
        <v>0</v>
      </c>
      <c r="Z136">
        <v>0</v>
      </c>
      <c r="AA136">
        <v>10</v>
      </c>
      <c r="AB136">
        <v>50</v>
      </c>
      <c r="AC136">
        <v>1</v>
      </c>
    </row>
    <row r="137" spans="1:29">
      <c r="A137">
        <v>132</v>
      </c>
      <c r="B137">
        <v>2001</v>
      </c>
      <c r="C137">
        <v>65</v>
      </c>
      <c r="D137" t="s">
        <v>386</v>
      </c>
      <c r="E137">
        <f>INDEX([1]用户升级!$G$3:$G$102,MATCH(C137,[1]用户升级!$A$3:$A$102,0))</f>
        <v>402</v>
      </c>
      <c r="F137">
        <f t="shared" si="2"/>
        <v>402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78505</v>
      </c>
      <c r="M137">
        <v>0</v>
      </c>
      <c r="N137">
        <v>6099</v>
      </c>
      <c r="O137">
        <v>7454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 t="s">
        <v>143</v>
      </c>
      <c r="Y137">
        <v>0</v>
      </c>
      <c r="Z137">
        <v>0</v>
      </c>
      <c r="AA137">
        <v>10</v>
      </c>
      <c r="AB137">
        <v>50</v>
      </c>
      <c r="AC137">
        <v>1</v>
      </c>
    </row>
    <row r="138" spans="1:29">
      <c r="A138">
        <v>133</v>
      </c>
      <c r="B138">
        <v>2001</v>
      </c>
      <c r="C138">
        <v>66</v>
      </c>
      <c r="D138" t="s">
        <v>387</v>
      </c>
      <c r="E138">
        <f>INDEX([1]用户升级!$G$3:$G$102,MATCH(C138,[1]用户升级!$A$3:$A$102,0))</f>
        <v>412</v>
      </c>
      <c r="F138">
        <f t="shared" si="2"/>
        <v>412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81646</v>
      </c>
      <c r="M138">
        <v>0</v>
      </c>
      <c r="N138">
        <v>6328</v>
      </c>
      <c r="O138">
        <v>7735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 t="s">
        <v>142</v>
      </c>
      <c r="Y138">
        <v>0</v>
      </c>
      <c r="Z138">
        <v>0</v>
      </c>
      <c r="AA138">
        <v>10</v>
      </c>
      <c r="AB138">
        <v>50</v>
      </c>
      <c r="AC138">
        <v>1</v>
      </c>
    </row>
    <row r="139" spans="1:29">
      <c r="A139">
        <v>134</v>
      </c>
      <c r="B139">
        <v>2001</v>
      </c>
      <c r="C139">
        <v>67</v>
      </c>
      <c r="D139" t="s">
        <v>388</v>
      </c>
      <c r="E139">
        <f>INDEX([1]用户升级!$G$3:$G$102,MATCH(C139,[1]用户升级!$A$3:$A$102,0))</f>
        <v>422</v>
      </c>
      <c r="F139">
        <f t="shared" si="2"/>
        <v>422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80868</v>
      </c>
      <c r="M139">
        <v>0</v>
      </c>
      <c r="N139">
        <v>6444</v>
      </c>
      <c r="O139">
        <v>7877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 t="s">
        <v>141</v>
      </c>
      <c r="Y139">
        <v>0</v>
      </c>
      <c r="Z139">
        <v>0</v>
      </c>
      <c r="AA139">
        <v>10</v>
      </c>
      <c r="AB139">
        <v>50</v>
      </c>
      <c r="AC139">
        <v>1</v>
      </c>
    </row>
    <row r="140" spans="1:29">
      <c r="A140">
        <v>135</v>
      </c>
      <c r="B140">
        <v>2001</v>
      </c>
      <c r="C140">
        <v>68</v>
      </c>
      <c r="D140" t="s">
        <v>389</v>
      </c>
      <c r="E140">
        <f>INDEX([1]用户升级!$G$3:$G$102,MATCH(C140,[1]用户升级!$A$3:$A$102,0))</f>
        <v>432</v>
      </c>
      <c r="F140">
        <f t="shared" si="2"/>
        <v>432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84103</v>
      </c>
      <c r="M140">
        <v>0</v>
      </c>
      <c r="N140">
        <v>6687</v>
      </c>
      <c r="O140">
        <v>8174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 t="s">
        <v>140</v>
      </c>
      <c r="Y140">
        <v>0</v>
      </c>
      <c r="Z140">
        <v>0</v>
      </c>
      <c r="AA140">
        <v>10</v>
      </c>
      <c r="AB140">
        <v>50</v>
      </c>
      <c r="AC140">
        <v>1</v>
      </c>
    </row>
    <row r="141" spans="1:29">
      <c r="A141">
        <v>136</v>
      </c>
      <c r="B141">
        <v>2001</v>
      </c>
      <c r="C141">
        <v>67</v>
      </c>
      <c r="D141" t="s">
        <v>390</v>
      </c>
      <c r="E141">
        <f>INDEX([1]用户升级!$G$3:$G$102,MATCH(C141,[1]用户升级!$A$3:$A$102,0))</f>
        <v>422</v>
      </c>
      <c r="F141">
        <f t="shared" si="2"/>
        <v>422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84911</v>
      </c>
      <c r="M141">
        <v>0</v>
      </c>
      <c r="N141">
        <v>6566</v>
      </c>
      <c r="O141">
        <v>8025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 t="s">
        <v>139</v>
      </c>
      <c r="Y141">
        <v>0</v>
      </c>
      <c r="Z141">
        <v>0</v>
      </c>
      <c r="AA141">
        <v>10</v>
      </c>
      <c r="AB141">
        <v>50</v>
      </c>
      <c r="AC141">
        <v>1</v>
      </c>
    </row>
    <row r="142" spans="1:29">
      <c r="A142">
        <v>137</v>
      </c>
      <c r="B142">
        <v>2001</v>
      </c>
      <c r="C142">
        <v>68</v>
      </c>
      <c r="D142" t="s">
        <v>391</v>
      </c>
      <c r="E142">
        <f>INDEX([1]用户升级!$G$3:$G$102,MATCH(C142,[1]用户升级!$A$3:$A$102,0))</f>
        <v>432</v>
      </c>
      <c r="F142">
        <f t="shared" si="2"/>
        <v>432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88308</v>
      </c>
      <c r="M142">
        <v>0</v>
      </c>
      <c r="N142">
        <v>6813</v>
      </c>
      <c r="O142">
        <v>8327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 t="s">
        <v>138</v>
      </c>
      <c r="Y142">
        <v>0</v>
      </c>
      <c r="Z142">
        <v>0</v>
      </c>
      <c r="AA142">
        <v>10</v>
      </c>
      <c r="AB142">
        <v>50</v>
      </c>
      <c r="AC142">
        <v>1</v>
      </c>
    </row>
    <row r="143" spans="1:29">
      <c r="A143">
        <v>138</v>
      </c>
      <c r="B143">
        <v>2001</v>
      </c>
      <c r="C143">
        <v>69</v>
      </c>
      <c r="D143" t="s">
        <v>392</v>
      </c>
      <c r="E143">
        <f>INDEX([1]用户升级!$G$3:$G$102,MATCH(C143,[1]用户升级!$A$3:$A$102,0))</f>
        <v>442</v>
      </c>
      <c r="F143">
        <f t="shared" si="2"/>
        <v>442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92513</v>
      </c>
      <c r="M143">
        <v>0</v>
      </c>
      <c r="N143">
        <v>6939</v>
      </c>
      <c r="O143">
        <v>8481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 t="s">
        <v>137</v>
      </c>
      <c r="Y143">
        <v>0</v>
      </c>
      <c r="Z143">
        <v>0</v>
      </c>
      <c r="AA143">
        <v>10</v>
      </c>
      <c r="AB143">
        <v>50</v>
      </c>
      <c r="AC143">
        <v>1</v>
      </c>
    </row>
    <row r="144" spans="1:29">
      <c r="A144">
        <v>139</v>
      </c>
      <c r="B144">
        <v>2001</v>
      </c>
      <c r="C144">
        <v>70</v>
      </c>
      <c r="D144" t="s">
        <v>393</v>
      </c>
      <c r="E144">
        <f>INDEX([1]用户升级!$G$3:$G$102,MATCH(C144,[1]用户升级!$A$3:$A$102,0))</f>
        <v>452</v>
      </c>
      <c r="F144">
        <f t="shared" si="2"/>
        <v>452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96214</v>
      </c>
      <c r="M144">
        <v>0</v>
      </c>
      <c r="N144">
        <v>7199</v>
      </c>
      <c r="O144">
        <v>8799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 t="s">
        <v>136</v>
      </c>
      <c r="Y144">
        <v>0</v>
      </c>
      <c r="Z144">
        <v>0</v>
      </c>
      <c r="AA144">
        <v>10</v>
      </c>
      <c r="AB144">
        <v>50</v>
      </c>
      <c r="AC144">
        <v>1</v>
      </c>
    </row>
    <row r="145" spans="1:29">
      <c r="A145">
        <v>140</v>
      </c>
      <c r="B145">
        <v>2001</v>
      </c>
      <c r="C145">
        <v>69</v>
      </c>
      <c r="D145" t="s">
        <v>394</v>
      </c>
      <c r="E145">
        <f>INDEX([1]用户升级!$G$3:$G$102,MATCH(C145,[1]用户升级!$A$3:$A$102,0))</f>
        <v>442</v>
      </c>
      <c r="F145">
        <f t="shared" si="2"/>
        <v>442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97139</v>
      </c>
      <c r="M145">
        <v>0</v>
      </c>
      <c r="N145">
        <v>7460</v>
      </c>
      <c r="O145">
        <v>9117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 t="s">
        <v>135</v>
      </c>
      <c r="Y145">
        <v>0</v>
      </c>
      <c r="Z145">
        <v>0</v>
      </c>
      <c r="AA145">
        <v>10</v>
      </c>
      <c r="AB145">
        <v>50</v>
      </c>
      <c r="AC145">
        <v>1</v>
      </c>
    </row>
    <row r="146" spans="1:29">
      <c r="A146">
        <v>141</v>
      </c>
      <c r="B146">
        <v>2001</v>
      </c>
      <c r="C146">
        <v>70</v>
      </c>
      <c r="D146" t="s">
        <v>395</v>
      </c>
      <c r="E146">
        <f>INDEX([1]用户升级!$G$3:$G$102,MATCH(C146,[1]用户升级!$A$3:$A$102,0))</f>
        <v>452</v>
      </c>
      <c r="F146">
        <f t="shared" si="2"/>
        <v>452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101025</v>
      </c>
      <c r="M146">
        <v>0</v>
      </c>
      <c r="N146">
        <v>7720</v>
      </c>
      <c r="O146">
        <v>9436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 t="s">
        <v>134</v>
      </c>
      <c r="Y146">
        <v>0</v>
      </c>
      <c r="Z146">
        <v>0</v>
      </c>
      <c r="AA146">
        <v>10</v>
      </c>
      <c r="AB146">
        <v>50</v>
      </c>
      <c r="AC146">
        <v>1</v>
      </c>
    </row>
    <row r="147" spans="1:29">
      <c r="A147">
        <v>142</v>
      </c>
      <c r="B147">
        <v>2001</v>
      </c>
      <c r="C147">
        <v>71</v>
      </c>
      <c r="D147" t="s">
        <v>396</v>
      </c>
      <c r="E147">
        <f>INDEX([1]用户升级!$G$3:$G$102,MATCH(C147,[1]用户升级!$A$3:$A$102,0))</f>
        <v>464</v>
      </c>
      <c r="F147">
        <f t="shared" si="2"/>
        <v>464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104873</v>
      </c>
      <c r="M147">
        <v>0</v>
      </c>
      <c r="N147">
        <v>7981</v>
      </c>
      <c r="O147">
        <v>9754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 t="s">
        <v>161</v>
      </c>
      <c r="Y147">
        <v>0</v>
      </c>
      <c r="Z147">
        <v>0</v>
      </c>
      <c r="AA147">
        <v>10</v>
      </c>
      <c r="AB147">
        <v>50</v>
      </c>
      <c r="AC147">
        <v>1</v>
      </c>
    </row>
    <row r="148" spans="1:29">
      <c r="A148">
        <v>143</v>
      </c>
      <c r="B148">
        <v>2001</v>
      </c>
      <c r="C148">
        <v>72</v>
      </c>
      <c r="D148" t="s">
        <v>397</v>
      </c>
      <c r="E148">
        <f>INDEX([1]用户升级!$G$3:$G$102,MATCH(C148,[1]用户升级!$A$3:$A$102,0))</f>
        <v>476</v>
      </c>
      <c r="F148">
        <f t="shared" si="2"/>
        <v>476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109068</v>
      </c>
      <c r="M148">
        <v>0</v>
      </c>
      <c r="N148">
        <v>8241</v>
      </c>
      <c r="O148">
        <v>10073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 t="s">
        <v>513</v>
      </c>
      <c r="Y148">
        <v>0</v>
      </c>
      <c r="Z148">
        <v>0</v>
      </c>
      <c r="AA148">
        <v>10</v>
      </c>
      <c r="AB148">
        <v>50</v>
      </c>
      <c r="AC148">
        <v>1</v>
      </c>
    </row>
    <row r="149" spans="1:29">
      <c r="A149">
        <v>144</v>
      </c>
      <c r="B149">
        <v>2001</v>
      </c>
      <c r="C149">
        <f>C145+2</f>
        <v>71</v>
      </c>
      <c r="D149" t="s">
        <v>398</v>
      </c>
      <c r="E149">
        <f>INDEX([1]用户升级!$G$3:$G$102,MATCH(C149,[1]用户升级!$A$3:$A$102,0))</f>
        <v>464</v>
      </c>
      <c r="F149">
        <f t="shared" si="2"/>
        <v>464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114305</v>
      </c>
      <c r="M149">
        <v>0</v>
      </c>
      <c r="N149">
        <v>10488</v>
      </c>
      <c r="O149">
        <v>15732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 t="s">
        <v>514</v>
      </c>
      <c r="Y149">
        <v>0</v>
      </c>
      <c r="Z149">
        <v>0</v>
      </c>
      <c r="AA149">
        <v>10</v>
      </c>
      <c r="AB149">
        <v>50</v>
      </c>
      <c r="AC149">
        <v>1</v>
      </c>
    </row>
    <row r="150" spans="1:29">
      <c r="A150">
        <v>145</v>
      </c>
      <c r="B150">
        <v>2001</v>
      </c>
      <c r="C150">
        <f t="shared" ref="C150:C204" si="3">C146+2</f>
        <v>72</v>
      </c>
      <c r="D150" t="s">
        <v>399</v>
      </c>
      <c r="E150">
        <f>INDEX([1]用户升级!$G$3:$G$102,MATCH(C150,[1]用户升级!$A$3:$A$102,0))</f>
        <v>476</v>
      </c>
      <c r="F150">
        <f t="shared" si="2"/>
        <v>476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124123</v>
      </c>
      <c r="M150">
        <v>0</v>
      </c>
      <c r="N150">
        <v>11042</v>
      </c>
      <c r="O150">
        <v>16563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 t="s">
        <v>515</v>
      </c>
      <c r="Y150">
        <v>0</v>
      </c>
      <c r="Z150">
        <v>0</v>
      </c>
      <c r="AA150">
        <v>10</v>
      </c>
      <c r="AB150">
        <v>50</v>
      </c>
      <c r="AC150">
        <v>1</v>
      </c>
    </row>
    <row r="151" spans="1:29">
      <c r="A151">
        <v>146</v>
      </c>
      <c r="B151">
        <v>2001</v>
      </c>
      <c r="C151">
        <f t="shared" si="3"/>
        <v>73</v>
      </c>
      <c r="D151" t="s">
        <v>400</v>
      </c>
      <c r="E151">
        <f>INDEX([1]用户升级!$G$3:$G$102,MATCH(C151,[1]用户升级!$A$3:$A$102,0))</f>
        <v>488</v>
      </c>
      <c r="F151">
        <f t="shared" ref="F151:F212" si="4">E151</f>
        <v>488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129544</v>
      </c>
      <c r="M151">
        <v>0</v>
      </c>
      <c r="N151">
        <v>10488</v>
      </c>
      <c r="O151">
        <v>15732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 t="s">
        <v>516</v>
      </c>
      <c r="Y151">
        <v>0</v>
      </c>
      <c r="Z151">
        <v>0</v>
      </c>
      <c r="AA151">
        <v>10</v>
      </c>
      <c r="AB151">
        <v>50</v>
      </c>
      <c r="AC151">
        <v>1</v>
      </c>
    </row>
    <row r="152" spans="1:29">
      <c r="A152">
        <v>147</v>
      </c>
      <c r="B152">
        <v>2001</v>
      </c>
      <c r="C152">
        <f t="shared" si="3"/>
        <v>74</v>
      </c>
      <c r="D152" t="s">
        <v>401</v>
      </c>
      <c r="E152">
        <f>INDEX([1]用户升级!$G$3:$G$102,MATCH(C152,[1]用户升级!$A$3:$A$102,0))</f>
        <v>500</v>
      </c>
      <c r="F152">
        <f t="shared" si="4"/>
        <v>500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137270</v>
      </c>
      <c r="M152">
        <v>0</v>
      </c>
      <c r="N152">
        <v>11042</v>
      </c>
      <c r="O152">
        <v>16563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 t="s">
        <v>517</v>
      </c>
      <c r="Y152">
        <v>0</v>
      </c>
      <c r="Z152">
        <v>0</v>
      </c>
      <c r="AA152">
        <v>10</v>
      </c>
      <c r="AB152">
        <v>50</v>
      </c>
      <c r="AC152">
        <v>1</v>
      </c>
    </row>
    <row r="153" spans="1:29">
      <c r="A153">
        <v>148</v>
      </c>
      <c r="B153">
        <v>2001</v>
      </c>
      <c r="C153">
        <f>C149+2</f>
        <v>73</v>
      </c>
      <c r="D153" t="s">
        <v>402</v>
      </c>
      <c r="E153">
        <f>INDEX([1]用户升级!$G$3:$G$102,MATCH(C153,[1]用户升级!$A$3:$A$102,0))</f>
        <v>488</v>
      </c>
      <c r="F153">
        <f t="shared" si="4"/>
        <v>488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130971</v>
      </c>
      <c r="M153">
        <v>0</v>
      </c>
      <c r="N153">
        <v>11624</v>
      </c>
      <c r="O153">
        <v>17436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t="s">
        <v>518</v>
      </c>
      <c r="Y153">
        <v>0</v>
      </c>
      <c r="Z153">
        <v>0</v>
      </c>
      <c r="AA153">
        <v>10</v>
      </c>
      <c r="AB153">
        <v>50</v>
      </c>
      <c r="AC153">
        <v>1</v>
      </c>
    </row>
    <row r="154" spans="1:29">
      <c r="A154">
        <v>149</v>
      </c>
      <c r="B154">
        <v>2001</v>
      </c>
      <c r="C154">
        <f t="shared" si="3"/>
        <v>74</v>
      </c>
      <c r="D154" t="s">
        <v>403</v>
      </c>
      <c r="E154">
        <f>INDEX([1]用户升级!$G$3:$G$102,MATCH(C154,[1]用户升级!$A$3:$A$102,0))</f>
        <v>500</v>
      </c>
      <c r="F154">
        <f t="shared" si="4"/>
        <v>500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137407</v>
      </c>
      <c r="M154">
        <v>0</v>
      </c>
      <c r="N154">
        <v>12234</v>
      </c>
      <c r="O154">
        <v>18351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 t="s">
        <v>519</v>
      </c>
      <c r="Y154">
        <v>0</v>
      </c>
      <c r="Z154">
        <v>0</v>
      </c>
      <c r="AA154">
        <v>10</v>
      </c>
      <c r="AB154">
        <v>50</v>
      </c>
      <c r="AC154">
        <v>1</v>
      </c>
    </row>
    <row r="155" spans="1:29">
      <c r="A155">
        <v>150</v>
      </c>
      <c r="B155">
        <v>2001</v>
      </c>
      <c r="C155">
        <f t="shared" si="3"/>
        <v>75</v>
      </c>
      <c r="D155" t="s">
        <v>404</v>
      </c>
      <c r="E155">
        <f>INDEX([1]用户升级!$G$3:$G$102,MATCH(C155,[1]用户升级!$A$3:$A$102,0))</f>
        <v>512</v>
      </c>
      <c r="F155">
        <f t="shared" si="4"/>
        <v>512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143405</v>
      </c>
      <c r="M155">
        <v>0</v>
      </c>
      <c r="N155">
        <v>11624</v>
      </c>
      <c r="O155">
        <v>17436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 t="s">
        <v>520</v>
      </c>
      <c r="Y155">
        <v>0</v>
      </c>
      <c r="Z155">
        <v>0</v>
      </c>
      <c r="AA155">
        <v>10</v>
      </c>
      <c r="AB155">
        <v>50</v>
      </c>
      <c r="AC155">
        <v>1</v>
      </c>
    </row>
    <row r="156" spans="1:29">
      <c r="A156">
        <v>151</v>
      </c>
      <c r="B156">
        <v>2001</v>
      </c>
      <c r="C156">
        <f t="shared" si="3"/>
        <v>76</v>
      </c>
      <c r="D156" t="s">
        <v>405</v>
      </c>
      <c r="E156">
        <f>INDEX([1]用户升级!$G$3:$G$102,MATCH(C156,[1]用户升级!$A$3:$A$102,0))</f>
        <v>524</v>
      </c>
      <c r="F156">
        <f t="shared" si="4"/>
        <v>524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149738</v>
      </c>
      <c r="M156">
        <v>0</v>
      </c>
      <c r="N156">
        <v>12234</v>
      </c>
      <c r="O156">
        <v>18351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 t="s">
        <v>521</v>
      </c>
      <c r="Y156">
        <v>0</v>
      </c>
      <c r="Z156">
        <v>0</v>
      </c>
      <c r="AA156">
        <v>10</v>
      </c>
      <c r="AB156">
        <v>50</v>
      </c>
      <c r="AC156">
        <v>1</v>
      </c>
    </row>
    <row r="157" spans="1:29">
      <c r="A157">
        <v>152</v>
      </c>
      <c r="B157">
        <v>2001</v>
      </c>
      <c r="C157">
        <f t="shared" si="3"/>
        <v>75</v>
      </c>
      <c r="D157" t="s">
        <v>406</v>
      </c>
      <c r="E157">
        <f>INDEX([1]用户升级!$G$3:$G$102,MATCH(C157,[1]用户升级!$A$3:$A$102,0))</f>
        <v>512</v>
      </c>
      <c r="F157">
        <f t="shared" si="4"/>
        <v>512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143262</v>
      </c>
      <c r="M157">
        <v>0</v>
      </c>
      <c r="N157">
        <v>12874</v>
      </c>
      <c r="O157">
        <v>19311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 t="s">
        <v>522</v>
      </c>
      <c r="Y157">
        <v>0</v>
      </c>
      <c r="Z157">
        <v>0</v>
      </c>
      <c r="AA157">
        <v>10</v>
      </c>
      <c r="AB157">
        <v>50</v>
      </c>
      <c r="AC157">
        <v>1</v>
      </c>
    </row>
    <row r="158" spans="1:29">
      <c r="A158">
        <v>153</v>
      </c>
      <c r="B158">
        <v>2001</v>
      </c>
      <c r="C158">
        <f t="shared" si="3"/>
        <v>76</v>
      </c>
      <c r="D158" t="s">
        <v>407</v>
      </c>
      <c r="E158">
        <f>INDEX([1]用户升级!$G$3:$G$102,MATCH(C158,[1]用户升级!$A$3:$A$102,0))</f>
        <v>524</v>
      </c>
      <c r="F158">
        <f t="shared" si="4"/>
        <v>524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151087</v>
      </c>
      <c r="M158">
        <v>0</v>
      </c>
      <c r="N158">
        <v>13494</v>
      </c>
      <c r="O158">
        <v>20241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 t="s">
        <v>523</v>
      </c>
      <c r="Y158">
        <v>0</v>
      </c>
      <c r="Z158">
        <v>0</v>
      </c>
      <c r="AA158">
        <v>10</v>
      </c>
      <c r="AB158">
        <v>50</v>
      </c>
      <c r="AC158">
        <v>1</v>
      </c>
    </row>
    <row r="159" spans="1:29">
      <c r="A159">
        <v>154</v>
      </c>
      <c r="B159">
        <v>2001</v>
      </c>
      <c r="C159">
        <f t="shared" si="3"/>
        <v>77</v>
      </c>
      <c r="D159" t="s">
        <v>408</v>
      </c>
      <c r="E159">
        <f>INDEX([1]用户升级!$G$3:$G$102,MATCH(C159,[1]用户升级!$A$3:$A$102,0))</f>
        <v>536</v>
      </c>
      <c r="F159">
        <f t="shared" si="4"/>
        <v>536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161396</v>
      </c>
      <c r="M159">
        <v>0</v>
      </c>
      <c r="N159">
        <v>12874</v>
      </c>
      <c r="O159">
        <v>19311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 t="s">
        <v>524</v>
      </c>
      <c r="Y159">
        <v>0</v>
      </c>
      <c r="Z159">
        <v>0</v>
      </c>
      <c r="AA159">
        <v>10</v>
      </c>
      <c r="AB159">
        <v>50</v>
      </c>
      <c r="AC159">
        <v>1</v>
      </c>
    </row>
    <row r="160" spans="1:29">
      <c r="A160">
        <v>155</v>
      </c>
      <c r="B160">
        <v>2001</v>
      </c>
      <c r="C160">
        <f t="shared" si="3"/>
        <v>78</v>
      </c>
      <c r="D160" t="s">
        <v>409</v>
      </c>
      <c r="E160">
        <f>INDEX([1]用户升级!$G$3:$G$102,MATCH(C160,[1]用户升级!$A$3:$A$102,0))</f>
        <v>548</v>
      </c>
      <c r="F160">
        <f t="shared" si="4"/>
        <v>548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171389</v>
      </c>
      <c r="M160">
        <v>0</v>
      </c>
      <c r="N160">
        <v>13494</v>
      </c>
      <c r="O160">
        <v>20241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 t="s">
        <v>525</v>
      </c>
      <c r="Y160">
        <v>0</v>
      </c>
      <c r="Z160">
        <v>0</v>
      </c>
      <c r="AA160">
        <v>10</v>
      </c>
      <c r="AB160">
        <v>50</v>
      </c>
      <c r="AC160">
        <v>1</v>
      </c>
    </row>
    <row r="161" spans="1:29">
      <c r="A161">
        <v>156</v>
      </c>
      <c r="B161">
        <v>2001</v>
      </c>
      <c r="C161">
        <f t="shared" si="3"/>
        <v>77</v>
      </c>
      <c r="D161" t="s">
        <v>410</v>
      </c>
      <c r="E161">
        <f>INDEX([1]用户升级!$G$3:$G$102,MATCH(C161,[1]用户升级!$A$3:$A$102,0))</f>
        <v>536</v>
      </c>
      <c r="F161">
        <f t="shared" si="4"/>
        <v>536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161559</v>
      </c>
      <c r="M161">
        <v>0</v>
      </c>
      <c r="N161">
        <v>14141</v>
      </c>
      <c r="O161">
        <v>21212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 t="s">
        <v>526</v>
      </c>
      <c r="Y161">
        <v>0</v>
      </c>
      <c r="Z161">
        <v>0</v>
      </c>
      <c r="AA161">
        <v>10</v>
      </c>
      <c r="AB161">
        <v>50</v>
      </c>
      <c r="AC161">
        <v>1</v>
      </c>
    </row>
    <row r="162" spans="1:29">
      <c r="A162">
        <v>157</v>
      </c>
      <c r="B162">
        <v>2001</v>
      </c>
      <c r="C162">
        <f t="shared" si="3"/>
        <v>78</v>
      </c>
      <c r="D162" t="s">
        <v>411</v>
      </c>
      <c r="E162">
        <f>INDEX([1]用户升级!$G$3:$G$102,MATCH(C162,[1]用户升级!$A$3:$A$102,0))</f>
        <v>548</v>
      </c>
      <c r="F162">
        <f t="shared" si="4"/>
        <v>548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168496</v>
      </c>
      <c r="M162">
        <v>0</v>
      </c>
      <c r="N162">
        <v>14817</v>
      </c>
      <c r="O162">
        <v>22226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 t="s">
        <v>527</v>
      </c>
      <c r="Y162">
        <v>0</v>
      </c>
      <c r="Z162">
        <v>0</v>
      </c>
      <c r="AA162">
        <v>10</v>
      </c>
      <c r="AB162">
        <v>50</v>
      </c>
      <c r="AC162">
        <v>1</v>
      </c>
    </row>
    <row r="163" spans="1:29">
      <c r="A163">
        <v>158</v>
      </c>
      <c r="B163">
        <v>2001</v>
      </c>
      <c r="C163">
        <f t="shared" si="3"/>
        <v>79</v>
      </c>
      <c r="D163" t="s">
        <v>412</v>
      </c>
      <c r="E163">
        <f>INDEX([1]用户升级!$G$3:$G$102,MATCH(C163,[1]用户升级!$A$3:$A$102,0))</f>
        <v>560</v>
      </c>
      <c r="F163">
        <f t="shared" si="4"/>
        <v>560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179068</v>
      </c>
      <c r="M163">
        <v>0</v>
      </c>
      <c r="N163">
        <v>14141</v>
      </c>
      <c r="O163">
        <v>21212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 t="s">
        <v>528</v>
      </c>
      <c r="Y163">
        <v>0</v>
      </c>
      <c r="Z163">
        <v>0</v>
      </c>
      <c r="AA163">
        <v>10</v>
      </c>
      <c r="AB163">
        <v>50</v>
      </c>
      <c r="AC163">
        <v>1</v>
      </c>
    </row>
    <row r="164" spans="1:29">
      <c r="A164">
        <v>159</v>
      </c>
      <c r="B164">
        <v>2001</v>
      </c>
      <c r="C164">
        <f t="shared" si="3"/>
        <v>80</v>
      </c>
      <c r="D164" t="s">
        <v>413</v>
      </c>
      <c r="E164">
        <f>INDEX([1]用户升级!$G$3:$G$102,MATCH(C164,[1]用户升级!$A$3:$A$102,0))</f>
        <v>600</v>
      </c>
      <c r="F164">
        <f t="shared" si="4"/>
        <v>600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185371</v>
      </c>
      <c r="M164">
        <v>0</v>
      </c>
      <c r="N164">
        <v>14817</v>
      </c>
      <c r="O164">
        <v>22226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 t="s">
        <v>529</v>
      </c>
      <c r="Y164">
        <v>0</v>
      </c>
      <c r="Z164">
        <v>0</v>
      </c>
      <c r="AA164">
        <v>10</v>
      </c>
      <c r="AB164">
        <v>50</v>
      </c>
      <c r="AC164">
        <v>1</v>
      </c>
    </row>
    <row r="165" spans="1:29">
      <c r="A165">
        <v>160</v>
      </c>
      <c r="B165">
        <v>2001</v>
      </c>
      <c r="C165">
        <f t="shared" si="3"/>
        <v>79</v>
      </c>
      <c r="D165" t="s">
        <v>414</v>
      </c>
      <c r="E165">
        <f>INDEX([1]用户升级!$G$3:$G$102,MATCH(C165,[1]用户升级!$A$3:$A$102,0))</f>
        <v>560</v>
      </c>
      <c r="F165">
        <f t="shared" si="4"/>
        <v>560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177288</v>
      </c>
      <c r="M165">
        <v>0</v>
      </c>
      <c r="N165">
        <v>15522</v>
      </c>
      <c r="O165">
        <v>23283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 t="s">
        <v>530</v>
      </c>
      <c r="Y165">
        <v>0</v>
      </c>
      <c r="Z165">
        <v>0</v>
      </c>
      <c r="AA165">
        <v>10</v>
      </c>
      <c r="AB165">
        <v>50</v>
      </c>
      <c r="AC165">
        <v>1</v>
      </c>
    </row>
    <row r="166" spans="1:29">
      <c r="A166">
        <v>161</v>
      </c>
      <c r="B166">
        <v>2001</v>
      </c>
      <c r="C166">
        <f t="shared" si="3"/>
        <v>80</v>
      </c>
      <c r="D166" t="s">
        <v>415</v>
      </c>
      <c r="E166">
        <f>INDEX([1]用户升级!$G$3:$G$102,MATCH(C166,[1]用户升级!$A$3:$A$102,0))</f>
        <v>600</v>
      </c>
      <c r="F166">
        <f t="shared" si="4"/>
        <v>600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f>VLOOKUP(C166,[2]地图强度!$K$81:$M$103,2,0)</f>
        <v>209861</v>
      </c>
      <c r="M166">
        <v>0</v>
      </c>
      <c r="N166">
        <v>16258</v>
      </c>
      <c r="O166">
        <v>24387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 t="s">
        <v>543</v>
      </c>
      <c r="Y166">
        <v>0</v>
      </c>
      <c r="Z166">
        <v>0</v>
      </c>
      <c r="AA166">
        <v>10</v>
      </c>
      <c r="AB166">
        <v>50</v>
      </c>
      <c r="AC166">
        <v>1</v>
      </c>
    </row>
    <row r="167" spans="1:29">
      <c r="A167">
        <v>162</v>
      </c>
      <c r="B167">
        <v>2001</v>
      </c>
      <c r="C167">
        <f t="shared" si="3"/>
        <v>81</v>
      </c>
      <c r="D167" t="s">
        <v>416</v>
      </c>
      <c r="E167">
        <f>INDEX([1]用户升级!$G$3:$G$102,MATCH(C167,[1]用户升级!$A$3:$A$102,0))</f>
        <v>640</v>
      </c>
      <c r="F167">
        <f t="shared" si="4"/>
        <v>640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f>VLOOKUP(C167,[2]地图强度!$K$81:$M$103,2,0)</f>
        <v>238072</v>
      </c>
      <c r="M167">
        <v>0</v>
      </c>
      <c r="N167">
        <v>15522</v>
      </c>
      <c r="O167">
        <v>23283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t="s">
        <v>544</v>
      </c>
      <c r="Y167">
        <v>0</v>
      </c>
      <c r="Z167">
        <v>0</v>
      </c>
      <c r="AA167">
        <v>10</v>
      </c>
      <c r="AB167">
        <v>50</v>
      </c>
      <c r="AC167">
        <v>1</v>
      </c>
    </row>
    <row r="168" spans="1:29">
      <c r="A168">
        <v>163</v>
      </c>
      <c r="B168">
        <v>2001</v>
      </c>
      <c r="C168">
        <f t="shared" si="3"/>
        <v>82</v>
      </c>
      <c r="D168" t="s">
        <v>417</v>
      </c>
      <c r="E168">
        <f>INDEX([1]用户升级!$G$3:$G$102,MATCH(C168,[1]用户升级!$A$3:$A$102,0))</f>
        <v>680</v>
      </c>
      <c r="F168">
        <f t="shared" si="4"/>
        <v>680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f>VLOOKUP(C168,[2]地图强度!$K$81:$M$103,2,0)</f>
        <v>268686</v>
      </c>
      <c r="M168">
        <v>0</v>
      </c>
      <c r="N168">
        <v>16258</v>
      </c>
      <c r="O168">
        <v>24387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 t="s">
        <v>110</v>
      </c>
      <c r="Y168">
        <v>0</v>
      </c>
      <c r="Z168">
        <v>0</v>
      </c>
      <c r="AA168">
        <v>10</v>
      </c>
      <c r="AB168">
        <v>50</v>
      </c>
      <c r="AC168">
        <v>1</v>
      </c>
    </row>
    <row r="169" spans="1:29">
      <c r="A169">
        <v>164</v>
      </c>
      <c r="B169">
        <v>2001</v>
      </c>
      <c r="C169">
        <f t="shared" si="3"/>
        <v>81</v>
      </c>
      <c r="D169" t="s">
        <v>418</v>
      </c>
      <c r="E169">
        <f>INDEX([1]用户升级!$G$3:$G$102,MATCH(C169,[1]用户升级!$A$3:$A$102,0))</f>
        <v>640</v>
      </c>
      <c r="F169">
        <f t="shared" si="4"/>
        <v>640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f>VLOOKUP(C169,[2]地图强度!$K$81:$M$103,2,0)</f>
        <v>238072</v>
      </c>
      <c r="M169">
        <v>0</v>
      </c>
      <c r="N169">
        <v>16994</v>
      </c>
      <c r="O169">
        <v>25491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 t="s">
        <v>113</v>
      </c>
      <c r="Y169">
        <v>0</v>
      </c>
      <c r="Z169">
        <v>0</v>
      </c>
      <c r="AA169">
        <v>10</v>
      </c>
      <c r="AB169">
        <v>50</v>
      </c>
      <c r="AC169">
        <v>1</v>
      </c>
    </row>
    <row r="170" spans="1:29">
      <c r="A170">
        <v>165</v>
      </c>
      <c r="B170">
        <v>2001</v>
      </c>
      <c r="C170">
        <f t="shared" si="3"/>
        <v>82</v>
      </c>
      <c r="D170" t="s">
        <v>419</v>
      </c>
      <c r="E170">
        <f>INDEX([1]用户升级!$G$3:$G$102,MATCH(C170,[1]用户升级!$A$3:$A$102,0))</f>
        <v>680</v>
      </c>
      <c r="F170">
        <f t="shared" si="4"/>
        <v>680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f>VLOOKUP(C170,[2]地图强度!$K$81:$M$103,2,0)</f>
        <v>268686</v>
      </c>
      <c r="M170">
        <v>0</v>
      </c>
      <c r="N170">
        <v>17761</v>
      </c>
      <c r="O170">
        <v>26642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 t="s">
        <v>116</v>
      </c>
      <c r="Y170">
        <v>0</v>
      </c>
      <c r="Z170">
        <v>0</v>
      </c>
      <c r="AA170">
        <v>10</v>
      </c>
      <c r="AB170">
        <v>50</v>
      </c>
      <c r="AC170">
        <v>1</v>
      </c>
    </row>
    <row r="171" spans="1:29">
      <c r="A171">
        <v>166</v>
      </c>
      <c r="B171">
        <v>2001</v>
      </c>
      <c r="C171">
        <f t="shared" si="3"/>
        <v>83</v>
      </c>
      <c r="D171" t="s">
        <v>420</v>
      </c>
      <c r="E171">
        <f>INDEX([1]用户升级!$G$3:$G$102,MATCH(C171,[1]用户升级!$A$3:$A$102,0))</f>
        <v>720</v>
      </c>
      <c r="F171">
        <f t="shared" si="4"/>
        <v>720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f>VLOOKUP(C171,[2]地图强度!$K$81:$M$103,2,0)</f>
        <v>301877</v>
      </c>
      <c r="M171">
        <v>0</v>
      </c>
      <c r="N171">
        <v>16994</v>
      </c>
      <c r="O171">
        <v>25491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 t="s">
        <v>119</v>
      </c>
      <c r="Y171">
        <v>0</v>
      </c>
      <c r="Z171">
        <v>0</v>
      </c>
      <c r="AA171">
        <v>10</v>
      </c>
      <c r="AB171">
        <v>50</v>
      </c>
      <c r="AC171">
        <v>1</v>
      </c>
    </row>
    <row r="172" spans="1:29">
      <c r="A172">
        <v>167</v>
      </c>
      <c r="B172">
        <v>2001</v>
      </c>
      <c r="C172">
        <f t="shared" si="3"/>
        <v>84</v>
      </c>
      <c r="D172" t="s">
        <v>421</v>
      </c>
      <c r="E172">
        <f>INDEX([1]用户升级!$G$3:$G$102,MATCH(C172,[1]用户升级!$A$3:$A$102,0))</f>
        <v>760</v>
      </c>
      <c r="F172">
        <f t="shared" si="4"/>
        <v>760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f>VLOOKUP(C172,[2]地图强度!$K$81:$M$103,2,0)</f>
        <v>337830</v>
      </c>
      <c r="M172">
        <v>0</v>
      </c>
      <c r="N172">
        <v>17761</v>
      </c>
      <c r="O172">
        <v>26642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 t="s">
        <v>122</v>
      </c>
      <c r="Y172">
        <v>0</v>
      </c>
      <c r="Z172">
        <v>0</v>
      </c>
      <c r="AA172">
        <v>10</v>
      </c>
      <c r="AB172">
        <v>50</v>
      </c>
      <c r="AC172">
        <v>1</v>
      </c>
    </row>
    <row r="173" spans="1:29">
      <c r="A173">
        <v>168</v>
      </c>
      <c r="B173">
        <v>2001</v>
      </c>
      <c r="C173">
        <f t="shared" si="3"/>
        <v>83</v>
      </c>
      <c r="D173" t="s">
        <v>422</v>
      </c>
      <c r="E173">
        <f>INDEX([1]用户升级!$G$3:$G$102,MATCH(C173,[1]用户升级!$A$3:$A$102,0))</f>
        <v>720</v>
      </c>
      <c r="F173">
        <f t="shared" si="4"/>
        <v>720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f>VLOOKUP(C173,[2]地图强度!$K$81:$M$103,2,0)</f>
        <v>301877</v>
      </c>
      <c r="M173">
        <v>0</v>
      </c>
      <c r="N173">
        <v>18559</v>
      </c>
      <c r="O173">
        <v>27839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 t="s">
        <v>125</v>
      </c>
      <c r="Y173">
        <v>0</v>
      </c>
      <c r="Z173">
        <v>0</v>
      </c>
      <c r="AA173">
        <v>10</v>
      </c>
      <c r="AB173">
        <v>50</v>
      </c>
      <c r="AC173">
        <v>1</v>
      </c>
    </row>
    <row r="174" spans="1:29">
      <c r="A174">
        <v>169</v>
      </c>
      <c r="B174">
        <v>2001</v>
      </c>
      <c r="C174">
        <f t="shared" si="3"/>
        <v>84</v>
      </c>
      <c r="D174" t="s">
        <v>423</v>
      </c>
      <c r="E174">
        <f>INDEX([1]用户升级!$G$3:$G$102,MATCH(C174,[1]用户升级!$A$3:$A$102,0))</f>
        <v>760</v>
      </c>
      <c r="F174">
        <f t="shared" si="4"/>
        <v>760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f>VLOOKUP(C174,[2]地图强度!$K$81:$M$103,2,0)</f>
        <v>337830</v>
      </c>
      <c r="M174">
        <v>0</v>
      </c>
      <c r="N174">
        <v>19390</v>
      </c>
      <c r="O174">
        <v>29085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t="s">
        <v>128</v>
      </c>
      <c r="Y174">
        <v>0</v>
      </c>
      <c r="Z174">
        <v>0</v>
      </c>
      <c r="AA174">
        <v>10</v>
      </c>
      <c r="AB174">
        <v>50</v>
      </c>
      <c r="AC174">
        <v>1</v>
      </c>
    </row>
    <row r="175" spans="1:29">
      <c r="A175">
        <v>170</v>
      </c>
      <c r="B175">
        <v>2001</v>
      </c>
      <c r="C175">
        <f t="shared" si="3"/>
        <v>85</v>
      </c>
      <c r="D175" t="s">
        <v>424</v>
      </c>
      <c r="E175">
        <f>INDEX([1]用户升级!$G$3:$G$102,MATCH(C175,[1]用户升级!$A$3:$A$102,0))</f>
        <v>800</v>
      </c>
      <c r="F175">
        <f t="shared" si="4"/>
        <v>800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f>VLOOKUP(C175,[2]地图强度!$K$81:$M$103,2,0)</f>
        <v>376742</v>
      </c>
      <c r="M175">
        <v>0</v>
      </c>
      <c r="N175">
        <v>18559</v>
      </c>
      <c r="O175">
        <v>27839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 t="s">
        <v>522</v>
      </c>
      <c r="Y175">
        <v>0</v>
      </c>
      <c r="Z175">
        <v>0</v>
      </c>
      <c r="AA175">
        <v>10</v>
      </c>
      <c r="AB175">
        <v>50</v>
      </c>
      <c r="AC175">
        <v>1</v>
      </c>
    </row>
    <row r="176" spans="1:29">
      <c r="A176">
        <v>171</v>
      </c>
      <c r="B176">
        <v>2001</v>
      </c>
      <c r="C176">
        <f t="shared" si="3"/>
        <v>86</v>
      </c>
      <c r="D176" t="s">
        <v>425</v>
      </c>
      <c r="E176">
        <f>INDEX([1]用户升级!$G$3:$G$102,MATCH(C176,[1]用户升级!$A$3:$A$102,0))</f>
        <v>840</v>
      </c>
      <c r="F176">
        <f t="shared" si="4"/>
        <v>840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f>VLOOKUP(C176,[2]地图强度!$K$81:$M$103,2,0)</f>
        <v>418041</v>
      </c>
      <c r="M176">
        <v>0</v>
      </c>
      <c r="N176">
        <v>19390</v>
      </c>
      <c r="O176">
        <v>29085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 t="s">
        <v>521</v>
      </c>
      <c r="Y176">
        <v>0</v>
      </c>
      <c r="Z176">
        <v>0</v>
      </c>
      <c r="AA176">
        <v>10</v>
      </c>
      <c r="AB176">
        <v>50</v>
      </c>
      <c r="AC176">
        <v>1</v>
      </c>
    </row>
    <row r="177" spans="1:29">
      <c r="A177">
        <v>172</v>
      </c>
      <c r="B177">
        <v>2001</v>
      </c>
      <c r="C177">
        <f t="shared" si="3"/>
        <v>85</v>
      </c>
      <c r="D177" t="s">
        <v>426</v>
      </c>
      <c r="E177">
        <f>INDEX([1]用户升级!$G$3:$G$102,MATCH(C177,[1]用户升级!$A$3:$A$102,0))</f>
        <v>800</v>
      </c>
      <c r="F177">
        <f t="shared" si="4"/>
        <v>800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f>VLOOKUP(C177,[2]地图强度!$K$81:$M$103,2,0)</f>
        <v>376742</v>
      </c>
      <c r="M177">
        <v>0</v>
      </c>
      <c r="N177">
        <v>20256</v>
      </c>
      <c r="O177">
        <v>30384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 t="s">
        <v>520</v>
      </c>
      <c r="Y177">
        <v>0</v>
      </c>
      <c r="Z177">
        <v>0</v>
      </c>
      <c r="AA177">
        <v>10</v>
      </c>
      <c r="AB177">
        <v>50</v>
      </c>
      <c r="AC177">
        <v>1</v>
      </c>
    </row>
    <row r="178" spans="1:29">
      <c r="A178">
        <v>173</v>
      </c>
      <c r="B178">
        <v>2001</v>
      </c>
      <c r="C178">
        <f t="shared" si="3"/>
        <v>86</v>
      </c>
      <c r="D178" t="s">
        <v>427</v>
      </c>
      <c r="E178">
        <f>INDEX([1]用户升级!$G$3:$G$102,MATCH(C178,[1]用户升级!$A$3:$A$102,0))</f>
        <v>840</v>
      </c>
      <c r="F178">
        <f t="shared" si="4"/>
        <v>840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f>VLOOKUP(C178,[2]地图强度!$K$81:$M$103,2,0)</f>
        <v>418041</v>
      </c>
      <c r="M178">
        <v>0</v>
      </c>
      <c r="N178">
        <v>21144</v>
      </c>
      <c r="O178">
        <v>31716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 t="s">
        <v>519</v>
      </c>
      <c r="Y178">
        <v>0</v>
      </c>
      <c r="Z178">
        <v>0</v>
      </c>
      <c r="AA178">
        <v>10</v>
      </c>
      <c r="AB178">
        <v>50</v>
      </c>
      <c r="AC178">
        <v>1</v>
      </c>
    </row>
    <row r="179" spans="1:29">
      <c r="A179">
        <v>174</v>
      </c>
      <c r="B179">
        <v>2001</v>
      </c>
      <c r="C179">
        <f t="shared" si="3"/>
        <v>87</v>
      </c>
      <c r="D179" t="s">
        <v>428</v>
      </c>
      <c r="E179">
        <f>INDEX([1]用户升级!$G$3:$G$102,MATCH(C179,[1]用户升级!$A$3:$A$102,0))</f>
        <v>880</v>
      </c>
      <c r="F179">
        <f t="shared" si="4"/>
        <v>880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f>VLOOKUP(C179,[2]地图强度!$K$81:$M$103,2,0)</f>
        <v>462565</v>
      </c>
      <c r="M179">
        <v>0</v>
      </c>
      <c r="N179">
        <v>20256</v>
      </c>
      <c r="O179">
        <v>30384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 t="s">
        <v>518</v>
      </c>
      <c r="Y179">
        <v>0</v>
      </c>
      <c r="Z179">
        <v>0</v>
      </c>
      <c r="AA179">
        <v>10</v>
      </c>
      <c r="AB179">
        <v>50</v>
      </c>
      <c r="AC179">
        <v>1</v>
      </c>
    </row>
    <row r="180" spans="1:29">
      <c r="A180">
        <v>175</v>
      </c>
      <c r="B180">
        <v>2001</v>
      </c>
      <c r="C180">
        <f t="shared" si="3"/>
        <v>88</v>
      </c>
      <c r="D180" t="s">
        <v>429</v>
      </c>
      <c r="E180">
        <f>INDEX([1]用户升级!$G$3:$G$102,MATCH(C180,[1]用户升级!$A$3:$A$102,0))</f>
        <v>920</v>
      </c>
      <c r="F180">
        <f t="shared" si="4"/>
        <v>920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f>VLOOKUP(C180,[2]地图强度!$K$81:$M$103,2,0)</f>
        <v>510532</v>
      </c>
      <c r="M180">
        <v>0</v>
      </c>
      <c r="N180">
        <v>21144</v>
      </c>
      <c r="O180">
        <v>31716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 t="s">
        <v>517</v>
      </c>
      <c r="Y180">
        <v>0</v>
      </c>
      <c r="Z180">
        <v>0</v>
      </c>
      <c r="AA180">
        <v>10</v>
      </c>
      <c r="AB180">
        <v>50</v>
      </c>
      <c r="AC180">
        <v>1</v>
      </c>
    </row>
    <row r="181" spans="1:29">
      <c r="A181">
        <v>176</v>
      </c>
      <c r="B181">
        <v>2001</v>
      </c>
      <c r="C181">
        <f t="shared" si="3"/>
        <v>87</v>
      </c>
      <c r="D181" t="s">
        <v>430</v>
      </c>
      <c r="E181">
        <f>INDEX([1]用户升级!$G$3:$G$102,MATCH(C181,[1]用户升级!$A$3:$A$102,0))</f>
        <v>880</v>
      </c>
      <c r="F181">
        <f t="shared" si="4"/>
        <v>880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f>VLOOKUP(C181,[2]地图强度!$K$81:$M$103,2,0)</f>
        <v>462565</v>
      </c>
      <c r="M181">
        <v>0</v>
      </c>
      <c r="N181">
        <v>22067</v>
      </c>
      <c r="O181">
        <v>33101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 t="s">
        <v>516</v>
      </c>
      <c r="Y181">
        <v>0</v>
      </c>
      <c r="Z181">
        <v>0</v>
      </c>
      <c r="AA181">
        <v>10</v>
      </c>
      <c r="AB181">
        <v>50</v>
      </c>
      <c r="AC181">
        <v>1</v>
      </c>
    </row>
    <row r="182" spans="1:29">
      <c r="A182">
        <v>177</v>
      </c>
      <c r="B182">
        <v>2001</v>
      </c>
      <c r="C182">
        <f t="shared" si="3"/>
        <v>88</v>
      </c>
      <c r="D182" t="s">
        <v>431</v>
      </c>
      <c r="E182">
        <f>INDEX([1]用户升级!$G$3:$G$102,MATCH(C182,[1]用户升级!$A$3:$A$102,0))</f>
        <v>920</v>
      </c>
      <c r="F182">
        <f t="shared" si="4"/>
        <v>920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f>VLOOKUP(C182,[2]地图强度!$K$81:$M$103,2,0)</f>
        <v>510532</v>
      </c>
      <c r="M182">
        <v>0</v>
      </c>
      <c r="N182">
        <v>23028</v>
      </c>
      <c r="O182">
        <v>34542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 t="s">
        <v>515</v>
      </c>
      <c r="Y182">
        <v>0</v>
      </c>
      <c r="Z182">
        <v>0</v>
      </c>
      <c r="AA182">
        <v>10</v>
      </c>
      <c r="AB182">
        <v>50</v>
      </c>
      <c r="AC182">
        <v>1</v>
      </c>
    </row>
    <row r="183" spans="1:29">
      <c r="A183">
        <v>178</v>
      </c>
      <c r="B183">
        <v>2001</v>
      </c>
      <c r="C183">
        <f t="shared" si="3"/>
        <v>89</v>
      </c>
      <c r="D183" t="s">
        <v>432</v>
      </c>
      <c r="E183">
        <f>INDEX([1]用户升级!$G$3:$G$102,MATCH(C183,[1]用户升级!$A$3:$A$102,0))</f>
        <v>960</v>
      </c>
      <c r="F183">
        <f t="shared" si="4"/>
        <v>960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f>VLOOKUP(C183,[2]地图强度!$K$81:$M$103,2,0)</f>
        <v>562174</v>
      </c>
      <c r="M183">
        <v>0</v>
      </c>
      <c r="N183">
        <v>22067</v>
      </c>
      <c r="O183">
        <v>33101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 t="s">
        <v>514</v>
      </c>
      <c r="Y183">
        <v>0</v>
      </c>
      <c r="Z183">
        <v>0</v>
      </c>
      <c r="AA183">
        <v>10</v>
      </c>
      <c r="AB183">
        <v>50</v>
      </c>
      <c r="AC183">
        <v>1</v>
      </c>
    </row>
    <row r="184" spans="1:29">
      <c r="A184">
        <v>179</v>
      </c>
      <c r="B184">
        <v>2001</v>
      </c>
      <c r="C184">
        <f t="shared" si="3"/>
        <v>90</v>
      </c>
      <c r="D184" t="s">
        <v>433</v>
      </c>
      <c r="E184">
        <f>INDEX([1]用户升级!$G$3:$G$102,MATCH(C184,[1]用户升级!$A$3:$A$102,0))</f>
        <v>1000</v>
      </c>
      <c r="F184">
        <f t="shared" si="4"/>
        <v>1000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f>VLOOKUP(C184,[2]地图强度!$K$81:$M$103,2,0)</f>
        <v>617739</v>
      </c>
      <c r="M184">
        <v>0</v>
      </c>
      <c r="N184">
        <v>23028</v>
      </c>
      <c r="O184">
        <v>34542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 t="s">
        <v>513</v>
      </c>
      <c r="Y184">
        <v>0</v>
      </c>
      <c r="Z184">
        <v>0</v>
      </c>
      <c r="AA184">
        <v>10</v>
      </c>
      <c r="AB184">
        <v>50</v>
      </c>
      <c r="AC184">
        <v>1</v>
      </c>
    </row>
    <row r="185" spans="1:29">
      <c r="A185">
        <v>180</v>
      </c>
      <c r="B185">
        <v>2001</v>
      </c>
      <c r="C185">
        <f t="shared" si="3"/>
        <v>89</v>
      </c>
      <c r="D185" t="s">
        <v>434</v>
      </c>
      <c r="E185">
        <f>INDEX([1]用户升级!$G$3:$G$102,MATCH(C185,[1]用户升级!$A$3:$A$102,0))</f>
        <v>960</v>
      </c>
      <c r="F185">
        <f t="shared" si="4"/>
        <v>960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f>VLOOKUP(C185,[2]地图强度!$K$81:$M$103,2,0)</f>
        <v>562174</v>
      </c>
      <c r="M185">
        <v>0</v>
      </c>
      <c r="N185">
        <v>24028</v>
      </c>
      <c r="O185">
        <v>36042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 t="s">
        <v>161</v>
      </c>
      <c r="Y185">
        <v>0</v>
      </c>
      <c r="Z185">
        <v>0</v>
      </c>
      <c r="AA185">
        <v>10</v>
      </c>
      <c r="AB185">
        <v>50</v>
      </c>
      <c r="AC185">
        <v>1</v>
      </c>
    </row>
    <row r="186" spans="1:29">
      <c r="A186">
        <v>181</v>
      </c>
      <c r="B186">
        <v>2001</v>
      </c>
      <c r="C186">
        <f t="shared" si="3"/>
        <v>90</v>
      </c>
      <c r="D186" t="s">
        <v>435</v>
      </c>
      <c r="E186">
        <f>INDEX([1]用户升级!$G$3:$G$102,MATCH(C186,[1]用户升级!$A$3:$A$102,0))</f>
        <v>1000</v>
      </c>
      <c r="F186">
        <f t="shared" si="4"/>
        <v>1000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f>VLOOKUP(C186,[2]地图强度!$K$81:$M$103,2,0)</f>
        <v>617739</v>
      </c>
      <c r="M186">
        <v>0</v>
      </c>
      <c r="N186">
        <v>25069</v>
      </c>
      <c r="O186">
        <v>37604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 t="s">
        <v>160</v>
      </c>
      <c r="Y186">
        <v>0</v>
      </c>
      <c r="Z186">
        <v>0</v>
      </c>
      <c r="AA186">
        <v>10</v>
      </c>
      <c r="AB186">
        <v>50</v>
      </c>
      <c r="AC186">
        <v>1</v>
      </c>
    </row>
    <row r="187" spans="1:29">
      <c r="A187">
        <v>182</v>
      </c>
      <c r="B187">
        <v>2001</v>
      </c>
      <c r="C187">
        <f t="shared" si="3"/>
        <v>91</v>
      </c>
      <c r="D187" t="s">
        <v>436</v>
      </c>
      <c r="E187">
        <f>INDEX([1]用户升级!$G$3:$G$102,MATCH(C187,[1]用户升级!$A$3:$A$102,0))</f>
        <v>1040</v>
      </c>
      <c r="F187">
        <f t="shared" si="4"/>
        <v>1040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f>VLOOKUP(C187,[2]地图强度!$K$81:$M$103,2,0)</f>
        <v>675515</v>
      </c>
      <c r="M187">
        <v>0</v>
      </c>
      <c r="N187">
        <v>24028</v>
      </c>
      <c r="O187">
        <v>36042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 t="s">
        <v>159</v>
      </c>
      <c r="Y187">
        <v>0</v>
      </c>
      <c r="Z187">
        <v>0</v>
      </c>
      <c r="AA187">
        <v>10</v>
      </c>
      <c r="AB187">
        <v>50</v>
      </c>
      <c r="AC187">
        <v>1</v>
      </c>
    </row>
    <row r="188" spans="1:29">
      <c r="A188">
        <v>183</v>
      </c>
      <c r="B188">
        <v>2001</v>
      </c>
      <c r="C188">
        <f t="shared" si="3"/>
        <v>92</v>
      </c>
      <c r="D188" t="s">
        <v>437</v>
      </c>
      <c r="E188">
        <f>INDEX([1]用户升级!$G$3:$G$102,MATCH(C188,[1]用户升级!$A$3:$A$102,0))</f>
        <v>1080</v>
      </c>
      <c r="F188">
        <f t="shared" si="4"/>
        <v>1080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f>VLOOKUP(C188,[2]地图强度!$K$81:$M$103,2,0)</f>
        <v>737385</v>
      </c>
      <c r="M188">
        <v>0</v>
      </c>
      <c r="N188">
        <v>25069</v>
      </c>
      <c r="O188">
        <v>37604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 t="s">
        <v>158</v>
      </c>
      <c r="Y188">
        <v>0</v>
      </c>
      <c r="Z188">
        <v>0</v>
      </c>
      <c r="AA188">
        <v>10</v>
      </c>
      <c r="AB188">
        <v>50</v>
      </c>
      <c r="AC188">
        <v>1</v>
      </c>
    </row>
    <row r="189" spans="1:29">
      <c r="A189">
        <v>184</v>
      </c>
      <c r="B189">
        <v>2001</v>
      </c>
      <c r="C189">
        <f t="shared" si="3"/>
        <v>91</v>
      </c>
      <c r="D189" t="s">
        <v>438</v>
      </c>
      <c r="E189">
        <f>INDEX([1]用户升级!$G$3:$G$102,MATCH(C189,[1]用户升级!$A$3:$A$102,0))</f>
        <v>1040</v>
      </c>
      <c r="F189">
        <f t="shared" si="4"/>
        <v>1040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f>VLOOKUP(C189,[2]地图强度!$K$81:$M$103,2,0)</f>
        <v>675515</v>
      </c>
      <c r="M189">
        <v>0</v>
      </c>
      <c r="N189">
        <v>26110</v>
      </c>
      <c r="O189">
        <v>39165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 t="s">
        <v>157</v>
      </c>
      <c r="Y189">
        <v>0</v>
      </c>
      <c r="Z189">
        <v>0</v>
      </c>
      <c r="AA189">
        <v>10</v>
      </c>
      <c r="AB189">
        <v>50</v>
      </c>
      <c r="AC189">
        <v>1</v>
      </c>
    </row>
    <row r="190" spans="1:29">
      <c r="A190">
        <v>185</v>
      </c>
      <c r="B190">
        <v>2001</v>
      </c>
      <c r="C190">
        <f t="shared" si="3"/>
        <v>92</v>
      </c>
      <c r="D190" t="s">
        <v>439</v>
      </c>
      <c r="E190">
        <f>INDEX([1]用户升级!$G$3:$G$102,MATCH(C190,[1]用户升级!$A$3:$A$102,0))</f>
        <v>1080</v>
      </c>
      <c r="F190">
        <f t="shared" si="4"/>
        <v>1080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f>VLOOKUP(C190,[2]地图强度!$K$81:$M$103,2,0)</f>
        <v>737385</v>
      </c>
      <c r="M190">
        <v>0</v>
      </c>
      <c r="N190">
        <v>27192</v>
      </c>
      <c r="O190">
        <v>40788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 t="s">
        <v>156</v>
      </c>
      <c r="Y190">
        <v>0</v>
      </c>
      <c r="Z190">
        <v>0</v>
      </c>
      <c r="AA190">
        <v>10</v>
      </c>
      <c r="AB190">
        <v>50</v>
      </c>
      <c r="AC190">
        <v>1</v>
      </c>
    </row>
    <row r="191" spans="1:29">
      <c r="A191">
        <v>186</v>
      </c>
      <c r="B191">
        <v>2001</v>
      </c>
      <c r="C191">
        <f t="shared" si="3"/>
        <v>93</v>
      </c>
      <c r="D191" t="s">
        <v>440</v>
      </c>
      <c r="E191">
        <f>INDEX([1]用户升级!$G$3:$G$102,MATCH(C191,[1]用户升级!$A$3:$A$102,0))</f>
        <v>1120</v>
      </c>
      <c r="F191">
        <f t="shared" si="4"/>
        <v>1120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f>VLOOKUP(C191,[2]地图强度!$K$81:$M$103,2,0)</f>
        <v>803605</v>
      </c>
      <c r="M191">
        <v>0</v>
      </c>
      <c r="N191">
        <v>26110</v>
      </c>
      <c r="O191">
        <v>39165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 t="s">
        <v>155</v>
      </c>
      <c r="Y191">
        <v>0</v>
      </c>
      <c r="Z191">
        <v>0</v>
      </c>
      <c r="AA191">
        <v>10</v>
      </c>
      <c r="AB191">
        <v>50</v>
      </c>
      <c r="AC191">
        <v>1</v>
      </c>
    </row>
    <row r="192" spans="1:29">
      <c r="A192">
        <v>187</v>
      </c>
      <c r="B192">
        <v>2001</v>
      </c>
      <c r="C192">
        <f t="shared" si="3"/>
        <v>94</v>
      </c>
      <c r="D192" t="s">
        <v>441</v>
      </c>
      <c r="E192">
        <f>INDEX([1]用户升级!$G$3:$G$102,MATCH(C192,[1]用户升级!$A$3:$A$102,0))</f>
        <v>1160</v>
      </c>
      <c r="F192">
        <f t="shared" si="4"/>
        <v>1160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f>VLOOKUP(C192,[2]地图强度!$K$81:$M$103,2,0)</f>
        <v>874446</v>
      </c>
      <c r="M192">
        <v>0</v>
      </c>
      <c r="N192">
        <v>27192</v>
      </c>
      <c r="O192">
        <v>40788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t="s">
        <v>154</v>
      </c>
      <c r="Y192">
        <v>0</v>
      </c>
      <c r="Z192">
        <v>0</v>
      </c>
      <c r="AA192">
        <v>10</v>
      </c>
      <c r="AB192">
        <v>50</v>
      </c>
      <c r="AC192">
        <v>1</v>
      </c>
    </row>
    <row r="193" spans="1:29">
      <c r="A193">
        <v>188</v>
      </c>
      <c r="B193">
        <v>2001</v>
      </c>
      <c r="C193">
        <f t="shared" si="3"/>
        <v>93</v>
      </c>
      <c r="D193" t="s">
        <v>442</v>
      </c>
      <c r="E193">
        <f>INDEX([1]用户升级!$G$3:$G$102,MATCH(C193,[1]用户升级!$A$3:$A$102,0))</f>
        <v>1120</v>
      </c>
      <c r="F193">
        <f t="shared" si="4"/>
        <v>1120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f>VLOOKUP(C193,[2]地图强度!$K$81:$M$103,2,0)</f>
        <v>803605</v>
      </c>
      <c r="M193">
        <v>0</v>
      </c>
      <c r="N193">
        <v>28316</v>
      </c>
      <c r="O193">
        <v>42474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 t="s">
        <v>153</v>
      </c>
      <c r="Y193">
        <v>0</v>
      </c>
      <c r="Z193">
        <v>0</v>
      </c>
      <c r="AA193">
        <v>10</v>
      </c>
      <c r="AB193">
        <v>50</v>
      </c>
      <c r="AC193">
        <v>1</v>
      </c>
    </row>
    <row r="194" spans="1:29">
      <c r="A194">
        <v>189</v>
      </c>
      <c r="B194">
        <v>2001</v>
      </c>
      <c r="C194">
        <f t="shared" si="3"/>
        <v>94</v>
      </c>
      <c r="D194" t="s">
        <v>443</v>
      </c>
      <c r="E194">
        <f>INDEX([1]用户升级!$G$3:$G$102,MATCH(C194,[1]用户升级!$A$3:$A$102,0))</f>
        <v>1160</v>
      </c>
      <c r="F194">
        <f t="shared" si="4"/>
        <v>1160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f>VLOOKUP(C194,[2]地图强度!$K$81:$M$103,2,0)</f>
        <v>874446</v>
      </c>
      <c r="M194">
        <v>0</v>
      </c>
      <c r="N194">
        <v>29482</v>
      </c>
      <c r="O194">
        <v>44223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 t="s">
        <v>152</v>
      </c>
      <c r="Y194">
        <v>0</v>
      </c>
      <c r="Z194">
        <v>0</v>
      </c>
      <c r="AA194">
        <v>10</v>
      </c>
      <c r="AB194">
        <v>50</v>
      </c>
      <c r="AC194">
        <v>1</v>
      </c>
    </row>
    <row r="195" spans="1:29">
      <c r="A195">
        <v>190</v>
      </c>
      <c r="B195">
        <v>2001</v>
      </c>
      <c r="C195">
        <f t="shared" si="3"/>
        <v>95</v>
      </c>
      <c r="D195" t="s">
        <v>444</v>
      </c>
      <c r="E195">
        <f>INDEX([1]用户升级!$G$3:$G$102,MATCH(C195,[1]用户升级!$A$3:$A$102,0))</f>
        <v>1200</v>
      </c>
      <c r="F195">
        <f t="shared" si="4"/>
        <v>1200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f>VLOOKUP(C195,[2]地图强度!$K$81:$M$103,2,0)</f>
        <v>950194</v>
      </c>
      <c r="M195">
        <v>0</v>
      </c>
      <c r="N195">
        <v>28316</v>
      </c>
      <c r="O195">
        <v>42474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 t="s">
        <v>151</v>
      </c>
      <c r="Y195">
        <v>0</v>
      </c>
      <c r="Z195">
        <v>0</v>
      </c>
      <c r="AA195">
        <v>10</v>
      </c>
      <c r="AB195">
        <v>50</v>
      </c>
      <c r="AC195">
        <v>1</v>
      </c>
    </row>
    <row r="196" spans="1:29">
      <c r="A196">
        <v>191</v>
      </c>
      <c r="B196">
        <v>2001</v>
      </c>
      <c r="C196">
        <f t="shared" si="3"/>
        <v>96</v>
      </c>
      <c r="D196" t="s">
        <v>445</v>
      </c>
      <c r="E196">
        <f>INDEX([1]用户升级!$G$3:$G$102,MATCH(C196,[1]用户升级!$A$3:$A$102,0))</f>
        <v>1240</v>
      </c>
      <c r="F196">
        <f t="shared" si="4"/>
        <v>1240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f>VLOOKUP(C196,[2]地图强度!$K$81:$M$103,2,0)</f>
        <v>1030973</v>
      </c>
      <c r="M196">
        <v>0</v>
      </c>
      <c r="N196">
        <v>29482</v>
      </c>
      <c r="O196">
        <v>44223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 t="s">
        <v>150</v>
      </c>
      <c r="Y196">
        <v>0</v>
      </c>
      <c r="Z196">
        <v>0</v>
      </c>
      <c r="AA196">
        <v>10</v>
      </c>
      <c r="AB196">
        <v>50</v>
      </c>
      <c r="AC196">
        <v>1</v>
      </c>
    </row>
    <row r="197" spans="1:29">
      <c r="A197">
        <v>192</v>
      </c>
      <c r="B197">
        <v>2001</v>
      </c>
      <c r="C197">
        <f t="shared" si="3"/>
        <v>95</v>
      </c>
      <c r="D197" t="s">
        <v>446</v>
      </c>
      <c r="E197">
        <f>INDEX([1]用户升级!$G$3:$G$102,MATCH(C197,[1]用户升级!$A$3:$A$102,0))</f>
        <v>1200</v>
      </c>
      <c r="F197">
        <f t="shared" si="4"/>
        <v>1200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f>VLOOKUP(C197,[2]地图强度!$K$81:$M$103,2,0)</f>
        <v>950194</v>
      </c>
      <c r="M197">
        <v>0</v>
      </c>
      <c r="N197">
        <v>30694</v>
      </c>
      <c r="O197">
        <v>46041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 t="s">
        <v>149</v>
      </c>
      <c r="Y197">
        <v>0</v>
      </c>
      <c r="Z197">
        <v>0</v>
      </c>
      <c r="AA197">
        <v>10</v>
      </c>
      <c r="AB197">
        <v>50</v>
      </c>
      <c r="AC197">
        <v>1</v>
      </c>
    </row>
    <row r="198" spans="1:29">
      <c r="A198">
        <v>193</v>
      </c>
      <c r="B198">
        <v>2001</v>
      </c>
      <c r="C198">
        <f t="shared" si="3"/>
        <v>96</v>
      </c>
      <c r="D198" t="s">
        <v>447</v>
      </c>
      <c r="E198">
        <f>INDEX([1]用户升级!$G$3:$G$102,MATCH(C198,[1]用户升级!$A$3:$A$102,0))</f>
        <v>1240</v>
      </c>
      <c r="F198">
        <f t="shared" si="4"/>
        <v>1240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f>VLOOKUP(C198,[2]地图强度!$K$81:$M$103,2,0)</f>
        <v>1030973</v>
      </c>
      <c r="M198">
        <v>0</v>
      </c>
      <c r="N198">
        <v>31908</v>
      </c>
      <c r="O198">
        <v>47862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 t="s">
        <v>148</v>
      </c>
      <c r="Y198">
        <v>0</v>
      </c>
      <c r="Z198">
        <v>0</v>
      </c>
      <c r="AA198">
        <v>10</v>
      </c>
      <c r="AB198">
        <v>50</v>
      </c>
      <c r="AC198">
        <v>1</v>
      </c>
    </row>
    <row r="199" spans="1:29">
      <c r="A199">
        <v>194</v>
      </c>
      <c r="B199">
        <v>2001</v>
      </c>
      <c r="C199">
        <f t="shared" si="3"/>
        <v>97</v>
      </c>
      <c r="D199" t="s">
        <v>448</v>
      </c>
      <c r="E199">
        <f>INDEX([1]用户升级!$G$3:$G$102,MATCH(C199,[1]用户升级!$A$3:$A$102,0))</f>
        <v>1280</v>
      </c>
      <c r="F199">
        <f t="shared" si="4"/>
        <v>1280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f>VLOOKUP(C199,[2]地图强度!$K$81:$M$103,2,0)</f>
        <v>1117250</v>
      </c>
      <c r="M199">
        <v>0</v>
      </c>
      <c r="N199">
        <v>30694</v>
      </c>
      <c r="O199">
        <v>46041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 t="s">
        <v>147</v>
      </c>
      <c r="Y199">
        <v>0</v>
      </c>
      <c r="Z199">
        <v>0</v>
      </c>
      <c r="AA199">
        <v>10</v>
      </c>
      <c r="AB199">
        <v>50</v>
      </c>
      <c r="AC199">
        <v>1</v>
      </c>
    </row>
    <row r="200" spans="1:29">
      <c r="A200">
        <v>195</v>
      </c>
      <c r="B200">
        <v>2001</v>
      </c>
      <c r="C200">
        <f t="shared" si="3"/>
        <v>98</v>
      </c>
      <c r="D200" t="s">
        <v>449</v>
      </c>
      <c r="E200">
        <f>INDEX([1]用户升级!$G$3:$G$102,MATCH(C200,[1]用户升级!$A$3:$A$102,0))</f>
        <v>1320</v>
      </c>
      <c r="F200">
        <f t="shared" si="4"/>
        <v>1320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f>VLOOKUP(C200,[2]地图强度!$K$81:$M$103,2,0)</f>
        <v>1209362</v>
      </c>
      <c r="M200">
        <v>0</v>
      </c>
      <c r="N200">
        <v>31908</v>
      </c>
      <c r="O200">
        <v>47862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 t="s">
        <v>146</v>
      </c>
      <c r="Y200">
        <v>0</v>
      </c>
      <c r="Z200">
        <v>0</v>
      </c>
      <c r="AA200">
        <v>10</v>
      </c>
      <c r="AB200">
        <v>50</v>
      </c>
      <c r="AC200">
        <v>1</v>
      </c>
    </row>
    <row r="201" spans="1:29">
      <c r="A201">
        <v>196</v>
      </c>
      <c r="B201">
        <v>2001</v>
      </c>
      <c r="C201">
        <f t="shared" si="3"/>
        <v>97</v>
      </c>
      <c r="D201" t="s">
        <v>450</v>
      </c>
      <c r="E201">
        <f>INDEX([1]用户升级!$G$3:$G$102,MATCH(C201,[1]用户升级!$A$3:$A$102,0))</f>
        <v>1280</v>
      </c>
      <c r="F201">
        <f t="shared" si="4"/>
        <v>1280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f>VLOOKUP(C201,[2]地图强度!$K$81:$M$103,2,0)</f>
        <v>1117250</v>
      </c>
      <c r="M201">
        <v>0</v>
      </c>
      <c r="N201">
        <v>33167</v>
      </c>
      <c r="O201">
        <v>49751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 t="s">
        <v>145</v>
      </c>
      <c r="Y201">
        <v>0</v>
      </c>
      <c r="Z201">
        <v>0</v>
      </c>
      <c r="AA201">
        <v>10</v>
      </c>
      <c r="AB201">
        <v>50</v>
      </c>
      <c r="AC201">
        <v>1</v>
      </c>
    </row>
    <row r="202" spans="1:29">
      <c r="A202">
        <v>197</v>
      </c>
      <c r="B202">
        <v>2001</v>
      </c>
      <c r="C202">
        <f t="shared" si="3"/>
        <v>98</v>
      </c>
      <c r="D202" t="s">
        <v>451</v>
      </c>
      <c r="E202">
        <f>INDEX([1]用户升级!$G$3:$G$102,MATCH(C202,[1]用户升级!$A$3:$A$102,0))</f>
        <v>1320</v>
      </c>
      <c r="F202">
        <f t="shared" si="4"/>
        <v>1320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f>VLOOKUP(C202,[2]地图强度!$K$81:$M$103,2,0)</f>
        <v>1209362</v>
      </c>
      <c r="M202">
        <v>0</v>
      </c>
      <c r="N202">
        <v>34472</v>
      </c>
      <c r="O202">
        <v>51708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 t="s">
        <v>144</v>
      </c>
      <c r="Y202">
        <v>0</v>
      </c>
      <c r="Z202">
        <v>0</v>
      </c>
      <c r="AA202">
        <v>10</v>
      </c>
      <c r="AB202">
        <v>50</v>
      </c>
      <c r="AC202">
        <v>1</v>
      </c>
    </row>
    <row r="203" spans="1:29">
      <c r="A203">
        <v>198</v>
      </c>
      <c r="B203">
        <v>2001</v>
      </c>
      <c r="C203">
        <f t="shared" si="3"/>
        <v>99</v>
      </c>
      <c r="D203" t="s">
        <v>452</v>
      </c>
      <c r="E203">
        <f>INDEX([1]用户升级!$G$3:$G$102,MATCH(C203,[1]用户升级!$A$3:$A$102,0))</f>
        <v>1360</v>
      </c>
      <c r="F203">
        <f t="shared" si="4"/>
        <v>1360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f>VLOOKUP(C203,[2]地图强度!$K$81:$M$103,2,0)</f>
        <v>1307662</v>
      </c>
      <c r="M203">
        <v>0</v>
      </c>
      <c r="N203">
        <v>35045</v>
      </c>
      <c r="O203">
        <v>52568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 t="s">
        <v>143</v>
      </c>
      <c r="Y203">
        <v>0</v>
      </c>
      <c r="Z203">
        <v>0</v>
      </c>
      <c r="AA203">
        <v>10</v>
      </c>
      <c r="AB203">
        <v>50</v>
      </c>
      <c r="AC203">
        <v>1</v>
      </c>
    </row>
    <row r="204" spans="1:29">
      <c r="A204">
        <v>199</v>
      </c>
      <c r="B204">
        <v>2001</v>
      </c>
      <c r="C204">
        <f t="shared" si="3"/>
        <v>100</v>
      </c>
      <c r="D204" t="s">
        <v>453</v>
      </c>
      <c r="E204">
        <f>INDEX([1]用户升级!$G$3:$G$102,MATCH(C204,[1]用户升级!$A$3:$A$102,0))</f>
        <v>1400</v>
      </c>
      <c r="F204">
        <f t="shared" si="4"/>
        <v>1400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f>VLOOKUP(C204,[2]地图强度!$K$81:$M$103,2,0)</f>
        <v>1412526</v>
      </c>
      <c r="M204">
        <v>0</v>
      </c>
      <c r="N204">
        <v>35825</v>
      </c>
      <c r="O204">
        <v>53738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 t="s">
        <v>142</v>
      </c>
      <c r="Y204">
        <v>0</v>
      </c>
      <c r="Z204">
        <v>0</v>
      </c>
      <c r="AA204">
        <v>10</v>
      </c>
      <c r="AB204">
        <v>50</v>
      </c>
      <c r="AC204">
        <v>1</v>
      </c>
    </row>
    <row r="205" spans="1:29">
      <c r="A205">
        <v>200</v>
      </c>
      <c r="B205">
        <v>2001</v>
      </c>
      <c r="C205">
        <v>98</v>
      </c>
      <c r="D205" t="s">
        <v>454</v>
      </c>
      <c r="E205">
        <f>INDEX([1]用户升级!$G$3:$G$102,MATCH(C205,[1]用户升级!$A$3:$A$102,0))</f>
        <v>1320</v>
      </c>
      <c r="F205">
        <f t="shared" si="4"/>
        <v>1320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f>VLOOKUP(C205,[2]地图强度!$K$81:$M$103,2,0)</f>
        <v>1209362</v>
      </c>
      <c r="M205">
        <v>0</v>
      </c>
      <c r="N205">
        <v>34472</v>
      </c>
      <c r="O205">
        <v>51708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 t="s">
        <v>141</v>
      </c>
      <c r="Y205">
        <v>0</v>
      </c>
      <c r="Z205">
        <v>0</v>
      </c>
      <c r="AA205">
        <v>10</v>
      </c>
      <c r="AB205">
        <v>50</v>
      </c>
      <c r="AC205">
        <v>1</v>
      </c>
    </row>
    <row r="206" spans="1:29">
      <c r="A206">
        <v>201</v>
      </c>
      <c r="B206">
        <v>2001</v>
      </c>
      <c r="C206">
        <v>99</v>
      </c>
      <c r="D206" t="s">
        <v>455</v>
      </c>
      <c r="E206">
        <f>INDEX([1]用户升级!$G$3:$G$102,MATCH(C206,[1]用户升级!$A$3:$A$102,0))</f>
        <v>1360</v>
      </c>
      <c r="F206">
        <f t="shared" si="4"/>
        <v>1360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f>VLOOKUP(C206,[2]地图强度!$K$81:$M$103,2,0)</f>
        <v>1307662</v>
      </c>
      <c r="M206">
        <v>0</v>
      </c>
      <c r="N206">
        <v>35045</v>
      </c>
      <c r="O206">
        <v>52568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 t="s">
        <v>140</v>
      </c>
      <c r="Y206">
        <v>0</v>
      </c>
      <c r="Z206">
        <v>0</v>
      </c>
      <c r="AA206">
        <v>10</v>
      </c>
      <c r="AB206">
        <v>50</v>
      </c>
      <c r="AC206">
        <v>1</v>
      </c>
    </row>
    <row r="207" spans="1:29">
      <c r="A207">
        <v>202</v>
      </c>
      <c r="B207">
        <v>2001</v>
      </c>
      <c r="C207">
        <v>100</v>
      </c>
      <c r="D207" t="s">
        <v>456</v>
      </c>
      <c r="E207">
        <f>INDEX([1]用户升级!$G$3:$G$102,MATCH(C207,[1]用户升级!$A$3:$A$102,0))</f>
        <v>1400</v>
      </c>
      <c r="F207">
        <f t="shared" si="4"/>
        <v>1400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f>VLOOKUP(C207,[2]地图强度!$K$81:$M$103,2,0)</f>
        <v>1412526</v>
      </c>
      <c r="M207">
        <v>0</v>
      </c>
      <c r="N207">
        <v>35825</v>
      </c>
      <c r="O207">
        <v>53738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 t="s">
        <v>139</v>
      </c>
      <c r="Y207">
        <v>0</v>
      </c>
      <c r="Z207">
        <v>0</v>
      </c>
      <c r="AA207">
        <v>10</v>
      </c>
      <c r="AB207">
        <v>50</v>
      </c>
      <c r="AC207">
        <v>1</v>
      </c>
    </row>
    <row r="208" spans="1:29">
      <c r="A208">
        <v>203</v>
      </c>
      <c r="B208">
        <v>2001</v>
      </c>
      <c r="C208">
        <v>101</v>
      </c>
      <c r="D208" t="s">
        <v>457</v>
      </c>
      <c r="E208">
        <v>1440</v>
      </c>
      <c r="F208">
        <f t="shared" si="4"/>
        <v>1440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f>VLOOKUP(C208,[2]地图强度!$K$81:$M$103,2,0)</f>
        <v>1483152</v>
      </c>
      <c r="M208">
        <v>0</v>
      </c>
      <c r="N208">
        <v>37227</v>
      </c>
      <c r="O208">
        <v>55841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 t="s">
        <v>138</v>
      </c>
      <c r="Y208">
        <v>0</v>
      </c>
      <c r="Z208">
        <v>0</v>
      </c>
      <c r="AA208">
        <v>10</v>
      </c>
      <c r="AB208">
        <v>50</v>
      </c>
      <c r="AC208">
        <v>1</v>
      </c>
    </row>
    <row r="209" spans="1:29">
      <c r="A209">
        <v>204</v>
      </c>
      <c r="B209">
        <v>2001</v>
      </c>
      <c r="C209">
        <v>99</v>
      </c>
      <c r="D209" t="s">
        <v>458</v>
      </c>
      <c r="E209">
        <f>INDEX([1]用户升级!$G$3:$G$102,MATCH(C209,[1]用户升级!$A$3:$A$102,0))</f>
        <v>1360</v>
      </c>
      <c r="F209">
        <f t="shared" si="4"/>
        <v>1360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f>VLOOKUP(C209,[2]地图强度!$K$81:$M$103,2,0)</f>
        <v>1307662</v>
      </c>
      <c r="M209">
        <v>0</v>
      </c>
      <c r="N209">
        <v>35045</v>
      </c>
      <c r="O209">
        <v>52568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 t="s">
        <v>137</v>
      </c>
      <c r="Y209">
        <v>0</v>
      </c>
      <c r="Z209">
        <v>0</v>
      </c>
      <c r="AA209">
        <v>10</v>
      </c>
      <c r="AB209">
        <v>50</v>
      </c>
      <c r="AC209">
        <v>1</v>
      </c>
    </row>
    <row r="210" spans="1:29">
      <c r="A210">
        <v>205</v>
      </c>
      <c r="B210">
        <v>2001</v>
      </c>
      <c r="C210">
        <v>100</v>
      </c>
      <c r="D210" t="s">
        <v>459</v>
      </c>
      <c r="E210">
        <f>INDEX([1]用户升级!$G$3:$G$102,MATCH(C210,[1]用户升级!$A$3:$A$102,0))</f>
        <v>1400</v>
      </c>
      <c r="F210">
        <f t="shared" si="4"/>
        <v>1400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f>VLOOKUP(C210,[2]地图强度!$K$81:$M$103,2,0)</f>
        <v>1412526</v>
      </c>
      <c r="M210">
        <v>0</v>
      </c>
      <c r="N210">
        <v>35825</v>
      </c>
      <c r="O210">
        <v>53738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 t="s">
        <v>136</v>
      </c>
      <c r="Y210">
        <v>0</v>
      </c>
      <c r="Z210">
        <v>0</v>
      </c>
      <c r="AA210">
        <v>10</v>
      </c>
      <c r="AB210">
        <v>50</v>
      </c>
      <c r="AC210">
        <v>1</v>
      </c>
    </row>
    <row r="211" spans="1:29">
      <c r="A211">
        <v>206</v>
      </c>
      <c r="B211">
        <v>2001</v>
      </c>
      <c r="C211">
        <v>101</v>
      </c>
      <c r="D211" t="s">
        <v>460</v>
      </c>
      <c r="E211">
        <v>1440</v>
      </c>
      <c r="F211">
        <f t="shared" si="4"/>
        <v>1440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f>VLOOKUP(C211,[2]地图强度!$K$81:$M$103,2,0)</f>
        <v>1483152</v>
      </c>
      <c r="M211">
        <v>0</v>
      </c>
      <c r="N211">
        <v>37227</v>
      </c>
      <c r="O211">
        <v>55841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 t="s">
        <v>135</v>
      </c>
      <c r="Y211">
        <v>0</v>
      </c>
      <c r="Z211">
        <v>0</v>
      </c>
      <c r="AA211">
        <v>10</v>
      </c>
      <c r="AB211">
        <v>50</v>
      </c>
      <c r="AC211">
        <v>1</v>
      </c>
    </row>
    <row r="212" spans="1:29">
      <c r="A212">
        <v>207</v>
      </c>
      <c r="B212">
        <v>2001</v>
      </c>
      <c r="C212">
        <v>102</v>
      </c>
      <c r="D212" t="s">
        <v>461</v>
      </c>
      <c r="E212">
        <v>1500</v>
      </c>
      <c r="F212">
        <f t="shared" si="4"/>
        <v>1500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f>VLOOKUP(C212,[2]地图强度!$K$81:$M$103,2,0)</f>
        <v>1557310</v>
      </c>
      <c r="M212">
        <v>0</v>
      </c>
      <c r="N212">
        <v>39089</v>
      </c>
      <c r="O212">
        <v>58634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 t="s">
        <v>134</v>
      </c>
      <c r="Y212">
        <v>0</v>
      </c>
      <c r="Z212">
        <v>0</v>
      </c>
      <c r="AA212">
        <v>10</v>
      </c>
      <c r="AB212">
        <v>50</v>
      </c>
      <c r="AC212">
        <v>1</v>
      </c>
    </row>
    <row r="213" spans="1:29">
      <c r="A213">
        <v>1001</v>
      </c>
      <c r="B213">
        <v>2001</v>
      </c>
      <c r="C213">
        <v>3</v>
      </c>
      <c r="D213" t="s">
        <v>462</v>
      </c>
      <c r="E213">
        <v>70</v>
      </c>
      <c r="F213">
        <f t="shared" ref="F213:F250" si="5">E213</f>
        <v>70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174</v>
      </c>
      <c r="M213">
        <v>0</v>
      </c>
      <c r="N213">
        <v>10</v>
      </c>
      <c r="O213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 t="s">
        <v>531</v>
      </c>
      <c r="Y213">
        <v>1</v>
      </c>
      <c r="Z213">
        <v>0</v>
      </c>
      <c r="AA213">
        <v>50</v>
      </c>
      <c r="AB213">
        <v>25</v>
      </c>
      <c r="AC213">
        <v>1</v>
      </c>
    </row>
    <row r="214" spans="1:29">
      <c r="A214">
        <v>1002</v>
      </c>
      <c r="B214">
        <v>2001</v>
      </c>
      <c r="C214">
        <v>4</v>
      </c>
      <c r="D214" t="s">
        <v>463</v>
      </c>
      <c r="E214">
        <v>90</v>
      </c>
      <c r="F214">
        <f t="shared" si="5"/>
        <v>90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269</v>
      </c>
      <c r="M214">
        <v>0</v>
      </c>
      <c r="N214">
        <v>31</v>
      </c>
      <c r="O214">
        <v>37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 t="s">
        <v>53</v>
      </c>
      <c r="Y214">
        <v>1</v>
      </c>
      <c r="Z214">
        <v>0</v>
      </c>
      <c r="AA214">
        <v>50</v>
      </c>
      <c r="AB214">
        <v>25</v>
      </c>
      <c r="AC214">
        <v>1</v>
      </c>
    </row>
    <row r="215" spans="1:29">
      <c r="A215">
        <v>1003</v>
      </c>
      <c r="B215">
        <v>2001</v>
      </c>
      <c r="C215">
        <v>6</v>
      </c>
      <c r="D215" t="s">
        <v>464</v>
      </c>
      <c r="E215">
        <v>110</v>
      </c>
      <c r="F215">
        <f t="shared" si="5"/>
        <v>110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396</v>
      </c>
      <c r="M215">
        <v>0</v>
      </c>
      <c r="N215">
        <v>72</v>
      </c>
      <c r="O215">
        <v>89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 t="s">
        <v>55</v>
      </c>
      <c r="Y215">
        <v>1</v>
      </c>
      <c r="Z215">
        <v>0</v>
      </c>
      <c r="AA215">
        <v>50</v>
      </c>
      <c r="AB215">
        <v>25</v>
      </c>
      <c r="AC215">
        <v>1</v>
      </c>
    </row>
    <row r="216" spans="1:29">
      <c r="A216">
        <v>1004</v>
      </c>
      <c r="B216">
        <v>2001</v>
      </c>
      <c r="C216">
        <v>8</v>
      </c>
      <c r="D216" t="s">
        <v>465</v>
      </c>
      <c r="E216">
        <v>130</v>
      </c>
      <c r="F216">
        <f t="shared" si="5"/>
        <v>130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612</v>
      </c>
      <c r="M216">
        <v>0</v>
      </c>
      <c r="N216">
        <v>117</v>
      </c>
      <c r="O216">
        <v>143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t="s">
        <v>57</v>
      </c>
      <c r="Y216">
        <v>1</v>
      </c>
      <c r="Z216">
        <v>0</v>
      </c>
      <c r="AA216">
        <v>50</v>
      </c>
      <c r="AB216">
        <v>25</v>
      </c>
      <c r="AC216">
        <v>1</v>
      </c>
    </row>
    <row r="217" spans="1:29">
      <c r="A217">
        <v>1005</v>
      </c>
      <c r="B217">
        <v>2001</v>
      </c>
      <c r="C217">
        <v>10</v>
      </c>
      <c r="D217" t="s">
        <v>466</v>
      </c>
      <c r="E217">
        <v>150</v>
      </c>
      <c r="F217">
        <f t="shared" si="5"/>
        <v>150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928</v>
      </c>
      <c r="M217">
        <v>0</v>
      </c>
      <c r="N217">
        <v>184</v>
      </c>
      <c r="O217">
        <v>226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15</v>
      </c>
      <c r="V217">
        <v>0</v>
      </c>
      <c r="W217">
        <v>0</v>
      </c>
      <c r="X217" t="s">
        <v>59</v>
      </c>
      <c r="Y217">
        <v>1</v>
      </c>
      <c r="Z217">
        <v>0</v>
      </c>
      <c r="AA217">
        <v>50</v>
      </c>
      <c r="AB217">
        <v>25</v>
      </c>
      <c r="AC217">
        <v>1</v>
      </c>
    </row>
    <row r="218" spans="1:29">
      <c r="A218">
        <v>1006</v>
      </c>
      <c r="B218">
        <v>2001</v>
      </c>
      <c r="C218">
        <v>12</v>
      </c>
      <c r="D218" t="s">
        <v>467</v>
      </c>
      <c r="E218">
        <v>170</v>
      </c>
      <c r="F218">
        <f t="shared" si="5"/>
        <v>170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1428</v>
      </c>
      <c r="M218">
        <v>0</v>
      </c>
      <c r="N218">
        <v>268</v>
      </c>
      <c r="O218">
        <v>328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28</v>
      </c>
      <c r="V218">
        <v>0</v>
      </c>
      <c r="W218">
        <v>0</v>
      </c>
      <c r="X218" t="s">
        <v>83</v>
      </c>
      <c r="Y218">
        <v>1</v>
      </c>
      <c r="Z218">
        <v>0</v>
      </c>
      <c r="AA218">
        <v>50</v>
      </c>
      <c r="AB218">
        <v>25</v>
      </c>
      <c r="AC218">
        <v>1</v>
      </c>
    </row>
    <row r="219" spans="1:29">
      <c r="A219">
        <v>1007</v>
      </c>
      <c r="B219">
        <v>2001</v>
      </c>
      <c r="C219">
        <v>14</v>
      </c>
      <c r="D219" t="s">
        <v>468</v>
      </c>
      <c r="E219">
        <v>190</v>
      </c>
      <c r="F219">
        <f t="shared" si="5"/>
        <v>190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2138</v>
      </c>
      <c r="M219">
        <v>0</v>
      </c>
      <c r="N219">
        <v>383</v>
      </c>
      <c r="O219">
        <v>468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42</v>
      </c>
      <c r="V219">
        <v>0</v>
      </c>
      <c r="W219">
        <v>0</v>
      </c>
      <c r="X219" t="s">
        <v>61</v>
      </c>
      <c r="Y219">
        <v>1</v>
      </c>
      <c r="Z219">
        <v>0</v>
      </c>
      <c r="AA219">
        <v>50</v>
      </c>
      <c r="AB219">
        <v>25</v>
      </c>
      <c r="AC219">
        <v>1</v>
      </c>
    </row>
    <row r="220" spans="1:29">
      <c r="A220">
        <v>1008</v>
      </c>
      <c r="B220">
        <v>2001</v>
      </c>
      <c r="C220">
        <v>16</v>
      </c>
      <c r="D220" t="s">
        <v>469</v>
      </c>
      <c r="E220">
        <v>210</v>
      </c>
      <c r="F220">
        <f t="shared" si="5"/>
        <v>210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3180</v>
      </c>
      <c r="M220">
        <v>0</v>
      </c>
      <c r="N220">
        <v>526</v>
      </c>
      <c r="O220">
        <v>643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53</v>
      </c>
      <c r="V220">
        <v>0</v>
      </c>
      <c r="W220">
        <v>0</v>
      </c>
      <c r="X220" t="s">
        <v>86</v>
      </c>
      <c r="Y220">
        <v>1</v>
      </c>
      <c r="Z220">
        <v>0</v>
      </c>
      <c r="AA220">
        <v>50</v>
      </c>
      <c r="AB220">
        <v>25</v>
      </c>
      <c r="AC220">
        <v>1</v>
      </c>
    </row>
    <row r="221" spans="1:29">
      <c r="A221">
        <v>1009</v>
      </c>
      <c r="B221">
        <v>2001</v>
      </c>
      <c r="C221">
        <v>18</v>
      </c>
      <c r="D221" t="s">
        <v>470</v>
      </c>
      <c r="E221">
        <v>230</v>
      </c>
      <c r="F221">
        <f t="shared" si="5"/>
        <v>230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4602</v>
      </c>
      <c r="M221">
        <v>0</v>
      </c>
      <c r="N221">
        <v>692</v>
      </c>
      <c r="O221">
        <v>846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53</v>
      </c>
      <c r="V221">
        <v>0</v>
      </c>
      <c r="W221">
        <v>0</v>
      </c>
      <c r="X221" t="s">
        <v>63</v>
      </c>
      <c r="Y221">
        <v>1</v>
      </c>
      <c r="Z221">
        <v>0</v>
      </c>
      <c r="AA221">
        <v>50</v>
      </c>
      <c r="AB221">
        <v>25</v>
      </c>
      <c r="AC221">
        <v>1</v>
      </c>
    </row>
    <row r="222" spans="1:29">
      <c r="A222">
        <v>1010</v>
      </c>
      <c r="B222">
        <v>2001</v>
      </c>
      <c r="C222">
        <v>20</v>
      </c>
      <c r="D222" t="s">
        <v>471</v>
      </c>
      <c r="E222">
        <v>250</v>
      </c>
      <c r="F222">
        <f t="shared" si="5"/>
        <v>250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6526</v>
      </c>
      <c r="M222">
        <v>0</v>
      </c>
      <c r="N222">
        <v>899</v>
      </c>
      <c r="O222">
        <v>1098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65</v>
      </c>
      <c r="V222">
        <v>0</v>
      </c>
      <c r="W222">
        <v>0</v>
      </c>
      <c r="X222" t="s">
        <v>65</v>
      </c>
      <c r="Y222">
        <v>1</v>
      </c>
      <c r="Z222">
        <v>0</v>
      </c>
      <c r="AA222">
        <v>50</v>
      </c>
      <c r="AB222">
        <v>25</v>
      </c>
      <c r="AC222">
        <v>1</v>
      </c>
    </row>
    <row r="223" spans="1:29">
      <c r="A223">
        <v>1011</v>
      </c>
      <c r="B223">
        <v>2001</v>
      </c>
      <c r="C223">
        <v>22</v>
      </c>
      <c r="D223" t="s">
        <v>472</v>
      </c>
      <c r="E223">
        <v>280</v>
      </c>
      <c r="F223">
        <f t="shared" si="5"/>
        <v>280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9108</v>
      </c>
      <c r="M223">
        <v>0</v>
      </c>
      <c r="N223">
        <v>1111</v>
      </c>
      <c r="O223">
        <v>1357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78</v>
      </c>
      <c r="V223">
        <v>0</v>
      </c>
      <c r="W223">
        <v>0</v>
      </c>
      <c r="X223" t="s">
        <v>67</v>
      </c>
      <c r="Y223">
        <v>1</v>
      </c>
      <c r="Z223">
        <v>0</v>
      </c>
      <c r="AA223">
        <v>50</v>
      </c>
      <c r="AB223">
        <v>25</v>
      </c>
      <c r="AC223">
        <v>1</v>
      </c>
    </row>
    <row r="224" spans="1:29">
      <c r="A224">
        <v>1012</v>
      </c>
      <c r="B224">
        <v>2001</v>
      </c>
      <c r="C224">
        <v>24</v>
      </c>
      <c r="D224" t="s">
        <v>473</v>
      </c>
      <c r="E224">
        <v>310</v>
      </c>
      <c r="F224">
        <f t="shared" si="5"/>
        <v>310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12475</v>
      </c>
      <c r="M224">
        <v>0</v>
      </c>
      <c r="N224">
        <v>1364</v>
      </c>
      <c r="O224">
        <v>1668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98</v>
      </c>
      <c r="V224">
        <v>0</v>
      </c>
      <c r="W224">
        <v>0</v>
      </c>
      <c r="X224" t="s">
        <v>69</v>
      </c>
      <c r="Y224">
        <v>1</v>
      </c>
      <c r="Z224">
        <v>0</v>
      </c>
      <c r="AA224">
        <v>50</v>
      </c>
      <c r="AB224">
        <v>25</v>
      </c>
      <c r="AC224">
        <v>1</v>
      </c>
    </row>
    <row r="225" spans="1:29">
      <c r="A225">
        <v>1013</v>
      </c>
      <c r="B225">
        <v>2001</v>
      </c>
      <c r="C225">
        <v>26</v>
      </c>
      <c r="D225" t="s">
        <v>474</v>
      </c>
      <c r="E225">
        <v>340</v>
      </c>
      <c r="F225">
        <f t="shared" si="5"/>
        <v>340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16830</v>
      </c>
      <c r="M225">
        <v>0</v>
      </c>
      <c r="N225">
        <v>1642</v>
      </c>
      <c r="O225">
        <v>2008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121</v>
      </c>
      <c r="V225">
        <v>0</v>
      </c>
      <c r="W225">
        <v>0</v>
      </c>
      <c r="X225" t="s">
        <v>71</v>
      </c>
      <c r="Y225">
        <v>1</v>
      </c>
      <c r="Z225">
        <v>0</v>
      </c>
      <c r="AA225">
        <v>50</v>
      </c>
      <c r="AB225">
        <v>25</v>
      </c>
      <c r="AC225">
        <v>1</v>
      </c>
    </row>
    <row r="226" spans="1:29">
      <c r="A226">
        <v>1014</v>
      </c>
      <c r="B226">
        <v>2001</v>
      </c>
      <c r="C226">
        <v>28</v>
      </c>
      <c r="D226" t="s">
        <v>475</v>
      </c>
      <c r="E226">
        <v>370</v>
      </c>
      <c r="F226">
        <f t="shared" si="5"/>
        <v>370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22275</v>
      </c>
      <c r="M226">
        <v>0</v>
      </c>
      <c r="N226">
        <v>1939</v>
      </c>
      <c r="O226">
        <v>2371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134</v>
      </c>
      <c r="V226">
        <v>0</v>
      </c>
      <c r="W226">
        <v>0</v>
      </c>
      <c r="X226" t="s">
        <v>73</v>
      </c>
      <c r="Y226">
        <v>1</v>
      </c>
      <c r="Z226">
        <v>0</v>
      </c>
      <c r="AA226">
        <v>50</v>
      </c>
      <c r="AB226">
        <v>25</v>
      </c>
      <c r="AC226">
        <v>1</v>
      </c>
    </row>
    <row r="227" spans="1:29">
      <c r="A227">
        <v>1015</v>
      </c>
      <c r="B227">
        <v>2001</v>
      </c>
      <c r="C227">
        <v>30</v>
      </c>
      <c r="D227" t="s">
        <v>476</v>
      </c>
      <c r="E227">
        <v>400</v>
      </c>
      <c r="F227">
        <f t="shared" si="5"/>
        <v>400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29121</v>
      </c>
      <c r="M227">
        <v>0</v>
      </c>
      <c r="N227">
        <v>2278</v>
      </c>
      <c r="O227">
        <v>2785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156</v>
      </c>
      <c r="V227">
        <v>0</v>
      </c>
      <c r="W227">
        <v>0</v>
      </c>
      <c r="X227" t="s">
        <v>75</v>
      </c>
      <c r="Y227">
        <v>1</v>
      </c>
      <c r="Z227">
        <v>0</v>
      </c>
      <c r="AA227">
        <v>50</v>
      </c>
      <c r="AB227">
        <v>25</v>
      </c>
      <c r="AC227">
        <v>1</v>
      </c>
    </row>
    <row r="228" spans="1:29">
      <c r="A228">
        <v>1016</v>
      </c>
      <c r="B228">
        <v>2001</v>
      </c>
      <c r="C228">
        <v>32</v>
      </c>
      <c r="D228" t="s">
        <v>477</v>
      </c>
      <c r="E228">
        <v>430</v>
      </c>
      <c r="F228">
        <f t="shared" si="5"/>
        <v>430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37584</v>
      </c>
      <c r="M228">
        <v>0</v>
      </c>
      <c r="N228">
        <v>2605</v>
      </c>
      <c r="O228">
        <v>3184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167</v>
      </c>
      <c r="V228">
        <v>0</v>
      </c>
      <c r="W228">
        <v>0</v>
      </c>
      <c r="X228" t="s">
        <v>158</v>
      </c>
      <c r="Y228">
        <v>1</v>
      </c>
      <c r="Z228">
        <v>0</v>
      </c>
      <c r="AA228">
        <v>50</v>
      </c>
      <c r="AB228">
        <v>25</v>
      </c>
      <c r="AC228">
        <v>1</v>
      </c>
    </row>
    <row r="229" spans="1:29">
      <c r="A229">
        <v>1017</v>
      </c>
      <c r="B229">
        <v>2001</v>
      </c>
      <c r="C229">
        <v>34</v>
      </c>
      <c r="D229" t="s">
        <v>478</v>
      </c>
      <c r="E229">
        <v>460</v>
      </c>
      <c r="F229">
        <f t="shared" si="5"/>
        <v>460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47980</v>
      </c>
      <c r="M229">
        <v>0</v>
      </c>
      <c r="N229">
        <v>3036</v>
      </c>
      <c r="O229">
        <v>3710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156</v>
      </c>
      <c r="V229">
        <v>0</v>
      </c>
      <c r="W229">
        <v>0</v>
      </c>
      <c r="X229" t="s">
        <v>77</v>
      </c>
      <c r="Y229">
        <v>1</v>
      </c>
      <c r="Z229">
        <v>0</v>
      </c>
      <c r="AA229">
        <v>50</v>
      </c>
      <c r="AB229">
        <v>25</v>
      </c>
      <c r="AC229">
        <v>1</v>
      </c>
    </row>
    <row r="230" spans="1:29">
      <c r="A230">
        <v>1018</v>
      </c>
      <c r="B230">
        <v>2001</v>
      </c>
      <c r="C230">
        <v>36</v>
      </c>
      <c r="D230" t="s">
        <v>479</v>
      </c>
      <c r="E230">
        <v>490</v>
      </c>
      <c r="F230">
        <f t="shared" si="5"/>
        <v>490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60482</v>
      </c>
      <c r="M230">
        <v>0</v>
      </c>
      <c r="N230">
        <v>3478</v>
      </c>
      <c r="O230">
        <v>4252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232</v>
      </c>
      <c r="V230">
        <v>0</v>
      </c>
      <c r="W230">
        <v>0</v>
      </c>
      <c r="X230" t="s">
        <v>79</v>
      </c>
      <c r="Y230">
        <v>1</v>
      </c>
      <c r="Z230">
        <v>0</v>
      </c>
      <c r="AA230">
        <v>50</v>
      </c>
      <c r="AB230">
        <v>25</v>
      </c>
      <c r="AC230">
        <v>1</v>
      </c>
    </row>
    <row r="231" spans="1:29">
      <c r="A231">
        <v>1019</v>
      </c>
      <c r="B231">
        <v>2001</v>
      </c>
      <c r="C231">
        <v>38</v>
      </c>
      <c r="D231" t="s">
        <v>480</v>
      </c>
      <c r="E231">
        <v>520</v>
      </c>
      <c r="F231">
        <f t="shared" si="5"/>
        <v>520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80080</v>
      </c>
      <c r="M231">
        <v>0</v>
      </c>
      <c r="N231">
        <v>3917</v>
      </c>
      <c r="O231">
        <v>4788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279</v>
      </c>
      <c r="V231">
        <v>0</v>
      </c>
      <c r="W231">
        <v>0</v>
      </c>
      <c r="X231" t="s">
        <v>154</v>
      </c>
      <c r="Y231">
        <v>1</v>
      </c>
      <c r="Z231">
        <v>0</v>
      </c>
      <c r="AA231">
        <v>50</v>
      </c>
      <c r="AB231">
        <v>25</v>
      </c>
      <c r="AC231">
        <v>1</v>
      </c>
    </row>
    <row r="232" spans="1:29">
      <c r="A232">
        <v>1020</v>
      </c>
      <c r="B232">
        <v>2001</v>
      </c>
      <c r="C232">
        <v>40</v>
      </c>
      <c r="D232" t="s">
        <v>481</v>
      </c>
      <c r="E232">
        <v>550</v>
      </c>
      <c r="F232">
        <f t="shared" si="5"/>
        <v>550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98329</v>
      </c>
      <c r="M232">
        <v>0</v>
      </c>
      <c r="N232">
        <v>4411</v>
      </c>
      <c r="O232">
        <v>5392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308</v>
      </c>
      <c r="V232">
        <v>0</v>
      </c>
      <c r="W232">
        <v>0</v>
      </c>
      <c r="X232" t="s">
        <v>81</v>
      </c>
      <c r="Y232">
        <v>1</v>
      </c>
      <c r="Z232">
        <v>0</v>
      </c>
      <c r="AA232">
        <v>50</v>
      </c>
      <c r="AB232">
        <v>25</v>
      </c>
      <c r="AC232">
        <v>1</v>
      </c>
    </row>
    <row r="233" spans="1:29">
      <c r="A233">
        <v>1021</v>
      </c>
      <c r="B233">
        <v>2001</v>
      </c>
      <c r="C233">
        <v>42</v>
      </c>
      <c r="D233" t="s">
        <v>482</v>
      </c>
      <c r="E233">
        <v>590</v>
      </c>
      <c r="F233">
        <f t="shared" si="5"/>
        <v>590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118550</v>
      </c>
      <c r="M233">
        <v>0</v>
      </c>
      <c r="N233">
        <v>4905</v>
      </c>
      <c r="O233">
        <v>5996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339</v>
      </c>
      <c r="V233">
        <v>0</v>
      </c>
      <c r="W233">
        <v>0</v>
      </c>
      <c r="X233" t="s">
        <v>83</v>
      </c>
      <c r="Y233">
        <v>1</v>
      </c>
      <c r="Z233">
        <v>0</v>
      </c>
      <c r="AA233">
        <v>50</v>
      </c>
      <c r="AB233">
        <v>25</v>
      </c>
      <c r="AC233">
        <v>1</v>
      </c>
    </row>
    <row r="234" spans="1:29">
      <c r="A234">
        <v>1022</v>
      </c>
      <c r="B234">
        <v>2001</v>
      </c>
      <c r="C234">
        <v>44</v>
      </c>
      <c r="D234" t="s">
        <v>483</v>
      </c>
      <c r="E234">
        <v>630</v>
      </c>
      <c r="F234">
        <f t="shared" si="5"/>
        <v>630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142087</v>
      </c>
      <c r="M234">
        <v>0</v>
      </c>
      <c r="N234">
        <v>5454</v>
      </c>
      <c r="O234">
        <v>6666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372</v>
      </c>
      <c r="V234">
        <v>0</v>
      </c>
      <c r="W234">
        <v>0</v>
      </c>
      <c r="X234" t="s">
        <v>85</v>
      </c>
      <c r="Y234">
        <v>1</v>
      </c>
      <c r="Z234">
        <v>0</v>
      </c>
      <c r="AA234">
        <v>50</v>
      </c>
      <c r="AB234">
        <v>25</v>
      </c>
      <c r="AC234">
        <v>1</v>
      </c>
    </row>
    <row r="235" spans="1:29">
      <c r="A235">
        <v>1023</v>
      </c>
      <c r="B235">
        <v>2001</v>
      </c>
      <c r="C235">
        <v>46</v>
      </c>
      <c r="D235" t="s">
        <v>484</v>
      </c>
      <c r="E235">
        <v>670</v>
      </c>
      <c r="F235">
        <f t="shared" si="5"/>
        <v>670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168820</v>
      </c>
      <c r="M235">
        <v>0</v>
      </c>
      <c r="N235">
        <v>6092</v>
      </c>
      <c r="O235">
        <v>7446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406</v>
      </c>
      <c r="V235">
        <v>0</v>
      </c>
      <c r="W235">
        <v>0</v>
      </c>
      <c r="X235" t="s">
        <v>87</v>
      </c>
      <c r="Y235">
        <v>1</v>
      </c>
      <c r="Z235">
        <v>0</v>
      </c>
      <c r="AA235">
        <v>50</v>
      </c>
      <c r="AB235">
        <v>25</v>
      </c>
      <c r="AC235">
        <v>1</v>
      </c>
    </row>
    <row r="236" spans="1:29">
      <c r="A236">
        <v>1024</v>
      </c>
      <c r="B236">
        <v>2001</v>
      </c>
      <c r="C236">
        <v>48</v>
      </c>
      <c r="D236" t="s">
        <v>485</v>
      </c>
      <c r="E236">
        <v>710</v>
      </c>
      <c r="F236">
        <f t="shared" si="5"/>
        <v>710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196913</v>
      </c>
      <c r="M236">
        <v>0</v>
      </c>
      <c r="N236">
        <v>6835</v>
      </c>
      <c r="O236">
        <v>8353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441</v>
      </c>
      <c r="V236">
        <v>0</v>
      </c>
      <c r="W236">
        <v>0</v>
      </c>
      <c r="X236" t="s">
        <v>89</v>
      </c>
      <c r="Y236">
        <v>1</v>
      </c>
      <c r="Z236">
        <v>0</v>
      </c>
      <c r="AA236">
        <v>50</v>
      </c>
      <c r="AB236">
        <v>25</v>
      </c>
      <c r="AC236">
        <v>1</v>
      </c>
    </row>
    <row r="237" spans="1:29">
      <c r="A237">
        <v>1025</v>
      </c>
      <c r="B237">
        <v>2001</v>
      </c>
      <c r="C237">
        <v>50</v>
      </c>
      <c r="D237" t="s">
        <v>486</v>
      </c>
      <c r="E237">
        <v>750</v>
      </c>
      <c r="F237">
        <f t="shared" si="5"/>
        <v>750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229580</v>
      </c>
      <c r="M237">
        <v>0</v>
      </c>
      <c r="N237">
        <v>7666</v>
      </c>
      <c r="O237">
        <v>9370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478</v>
      </c>
      <c r="V237">
        <v>0</v>
      </c>
      <c r="W237">
        <v>0</v>
      </c>
      <c r="X237" t="s">
        <v>91</v>
      </c>
      <c r="Y237">
        <v>1</v>
      </c>
      <c r="Z237">
        <v>0</v>
      </c>
      <c r="AA237">
        <v>50</v>
      </c>
      <c r="AB237">
        <v>25</v>
      </c>
      <c r="AC237">
        <v>1</v>
      </c>
    </row>
    <row r="238" spans="1:29">
      <c r="A238">
        <v>1026</v>
      </c>
      <c r="B238">
        <v>2001</v>
      </c>
      <c r="C238">
        <v>52</v>
      </c>
      <c r="D238" t="s">
        <v>487</v>
      </c>
      <c r="E238">
        <v>790</v>
      </c>
      <c r="F238">
        <f t="shared" si="5"/>
        <v>790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257232</v>
      </c>
      <c r="M238">
        <v>0</v>
      </c>
      <c r="N238">
        <v>8287</v>
      </c>
      <c r="O238">
        <v>10129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517</v>
      </c>
      <c r="V238">
        <v>0</v>
      </c>
      <c r="W238">
        <v>0</v>
      </c>
      <c r="X238" t="s">
        <v>93</v>
      </c>
      <c r="Y238">
        <v>1</v>
      </c>
      <c r="Z238">
        <v>0</v>
      </c>
      <c r="AA238">
        <v>50</v>
      </c>
      <c r="AB238">
        <v>25</v>
      </c>
      <c r="AC238">
        <v>1</v>
      </c>
    </row>
    <row r="239" spans="1:29">
      <c r="A239">
        <v>1027</v>
      </c>
      <c r="B239">
        <v>2001</v>
      </c>
      <c r="C239">
        <v>54</v>
      </c>
      <c r="D239" t="s">
        <v>488</v>
      </c>
      <c r="E239">
        <v>830</v>
      </c>
      <c r="F239">
        <f t="shared" si="5"/>
        <v>830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287322</v>
      </c>
      <c r="M239">
        <v>0</v>
      </c>
      <c r="N239">
        <v>8958</v>
      </c>
      <c r="O239">
        <v>10949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557</v>
      </c>
      <c r="V239">
        <v>0</v>
      </c>
      <c r="W239">
        <v>0</v>
      </c>
      <c r="X239" t="s">
        <v>95</v>
      </c>
      <c r="Y239">
        <v>1</v>
      </c>
      <c r="Z239">
        <v>0</v>
      </c>
      <c r="AA239">
        <v>50</v>
      </c>
      <c r="AB239">
        <v>25</v>
      </c>
      <c r="AC239">
        <v>1</v>
      </c>
    </row>
    <row r="240" spans="1:29">
      <c r="A240">
        <v>1028</v>
      </c>
      <c r="B240">
        <v>2001</v>
      </c>
      <c r="C240">
        <v>56</v>
      </c>
      <c r="D240" t="s">
        <v>489</v>
      </c>
      <c r="E240">
        <v>870</v>
      </c>
      <c r="F240">
        <f t="shared" si="5"/>
        <v>870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331383</v>
      </c>
      <c r="M240">
        <v>0</v>
      </c>
      <c r="N240">
        <v>9729</v>
      </c>
      <c r="O240">
        <v>11891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598</v>
      </c>
      <c r="V240">
        <v>0</v>
      </c>
      <c r="W240">
        <v>0</v>
      </c>
      <c r="X240" t="s">
        <v>97</v>
      </c>
      <c r="Y240">
        <v>1</v>
      </c>
      <c r="Z240">
        <v>0</v>
      </c>
      <c r="AA240">
        <v>50</v>
      </c>
      <c r="AB240">
        <v>25</v>
      </c>
      <c r="AC240">
        <v>1</v>
      </c>
    </row>
    <row r="241" spans="1:29">
      <c r="A241">
        <v>1029</v>
      </c>
      <c r="B241">
        <v>2001</v>
      </c>
      <c r="C241">
        <v>58</v>
      </c>
      <c r="D241" t="s">
        <v>490</v>
      </c>
      <c r="E241">
        <v>910</v>
      </c>
      <c r="F241">
        <f t="shared" si="5"/>
        <v>910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394754</v>
      </c>
      <c r="M241">
        <v>0</v>
      </c>
      <c r="N241">
        <v>10615</v>
      </c>
      <c r="O241">
        <v>12973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641</v>
      </c>
      <c r="V241">
        <v>0</v>
      </c>
      <c r="W241">
        <v>0</v>
      </c>
      <c r="X241" t="s">
        <v>99</v>
      </c>
      <c r="Y241">
        <v>1</v>
      </c>
      <c r="Z241">
        <v>0</v>
      </c>
      <c r="AA241">
        <v>50</v>
      </c>
      <c r="AB241">
        <v>25</v>
      </c>
      <c r="AC241">
        <v>1</v>
      </c>
    </row>
    <row r="242" spans="1:29">
      <c r="A242">
        <v>1030</v>
      </c>
      <c r="B242">
        <v>2001</v>
      </c>
      <c r="C242">
        <v>60</v>
      </c>
      <c r="D242" t="s">
        <v>546</v>
      </c>
      <c r="E242">
        <v>960</v>
      </c>
      <c r="F242">
        <f t="shared" si="5"/>
        <v>960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469177</v>
      </c>
      <c r="M242">
        <v>0</v>
      </c>
      <c r="N242">
        <v>11583</v>
      </c>
      <c r="O242">
        <v>14157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686</v>
      </c>
      <c r="V242">
        <v>0</v>
      </c>
      <c r="W242">
        <v>0</v>
      </c>
      <c r="X242" t="s">
        <v>101</v>
      </c>
      <c r="Y242">
        <v>1</v>
      </c>
      <c r="Z242">
        <v>0</v>
      </c>
      <c r="AA242">
        <v>50</v>
      </c>
      <c r="AB242">
        <v>25</v>
      </c>
      <c r="AC242">
        <v>1</v>
      </c>
    </row>
    <row r="243" spans="1:29">
      <c r="A243">
        <v>1031</v>
      </c>
      <c r="B243">
        <v>2001</v>
      </c>
      <c r="C243">
        <v>62</v>
      </c>
      <c r="D243" t="s">
        <v>491</v>
      </c>
      <c r="E243">
        <v>1010</v>
      </c>
      <c r="F243">
        <f t="shared" si="5"/>
        <v>1010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553308</v>
      </c>
      <c r="M243">
        <v>0</v>
      </c>
      <c r="N243">
        <v>13134</v>
      </c>
      <c r="O243">
        <v>16052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732</v>
      </c>
      <c r="V243">
        <v>0</v>
      </c>
      <c r="W243">
        <v>0</v>
      </c>
      <c r="X243" t="s">
        <v>103</v>
      </c>
      <c r="Y243">
        <v>1</v>
      </c>
      <c r="Z243">
        <v>0</v>
      </c>
      <c r="AA243">
        <v>50</v>
      </c>
      <c r="AB243">
        <v>25</v>
      </c>
      <c r="AC243">
        <v>1</v>
      </c>
    </row>
    <row r="244" spans="1:29">
      <c r="A244">
        <v>1032</v>
      </c>
      <c r="B244">
        <v>2001</v>
      </c>
      <c r="C244">
        <v>64</v>
      </c>
      <c r="D244" t="s">
        <v>492</v>
      </c>
      <c r="E244">
        <v>1060</v>
      </c>
      <c r="F244">
        <f t="shared" si="5"/>
        <v>1060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651292</v>
      </c>
      <c r="M244">
        <v>0</v>
      </c>
      <c r="N244">
        <v>14889</v>
      </c>
      <c r="O244">
        <v>18197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779</v>
      </c>
      <c r="V244">
        <v>0</v>
      </c>
      <c r="W244">
        <v>0</v>
      </c>
      <c r="X244" t="s">
        <v>105</v>
      </c>
      <c r="Y244">
        <v>1</v>
      </c>
      <c r="Z244">
        <v>0</v>
      </c>
      <c r="AA244">
        <v>50</v>
      </c>
      <c r="AB244">
        <v>25</v>
      </c>
      <c r="AC244">
        <v>1</v>
      </c>
    </row>
    <row r="245" spans="1:29">
      <c r="A245">
        <v>1033</v>
      </c>
      <c r="B245">
        <v>2001</v>
      </c>
      <c r="C245">
        <v>66</v>
      </c>
      <c r="D245" t="s">
        <v>493</v>
      </c>
      <c r="E245">
        <v>1110</v>
      </c>
      <c r="F245">
        <f t="shared" si="5"/>
        <v>1110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747814</v>
      </c>
      <c r="M245">
        <v>0</v>
      </c>
      <c r="N245">
        <v>16147</v>
      </c>
      <c r="O245">
        <v>19735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828</v>
      </c>
      <c r="V245">
        <v>0</v>
      </c>
      <c r="W245">
        <v>0</v>
      </c>
      <c r="X245" t="s">
        <v>107</v>
      </c>
      <c r="Y245">
        <v>1</v>
      </c>
      <c r="Z245">
        <v>0</v>
      </c>
      <c r="AA245">
        <v>50</v>
      </c>
      <c r="AB245">
        <v>25</v>
      </c>
      <c r="AC245">
        <v>1</v>
      </c>
    </row>
    <row r="246" spans="1:29">
      <c r="A246">
        <v>1034</v>
      </c>
      <c r="B246">
        <v>2001</v>
      </c>
      <c r="C246">
        <v>68</v>
      </c>
      <c r="D246" t="s">
        <v>494</v>
      </c>
      <c r="E246">
        <v>1160</v>
      </c>
      <c r="F246">
        <f t="shared" si="5"/>
        <v>1160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837684</v>
      </c>
      <c r="M246">
        <v>0</v>
      </c>
      <c r="N246">
        <v>16746</v>
      </c>
      <c r="O246">
        <v>20468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879</v>
      </c>
      <c r="V246">
        <v>0</v>
      </c>
      <c r="W246">
        <v>0</v>
      </c>
      <c r="X246" t="s">
        <v>109</v>
      </c>
      <c r="Y246">
        <v>1</v>
      </c>
      <c r="Z246">
        <v>0</v>
      </c>
      <c r="AA246">
        <v>50</v>
      </c>
      <c r="AB246">
        <v>25</v>
      </c>
      <c r="AC246">
        <v>1</v>
      </c>
    </row>
    <row r="247" spans="1:29">
      <c r="A247">
        <v>1035</v>
      </c>
      <c r="B247">
        <v>2001</v>
      </c>
      <c r="C247">
        <v>70</v>
      </c>
      <c r="D247" t="s">
        <v>495</v>
      </c>
      <c r="E247">
        <v>1210</v>
      </c>
      <c r="F247">
        <f t="shared" si="5"/>
        <v>1210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936966</v>
      </c>
      <c r="M247">
        <v>0</v>
      </c>
      <c r="N247">
        <v>17369</v>
      </c>
      <c r="O247">
        <v>21228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931</v>
      </c>
      <c r="V247">
        <v>0</v>
      </c>
      <c r="W247">
        <v>0</v>
      </c>
      <c r="X247" t="s">
        <v>111</v>
      </c>
      <c r="Y247">
        <v>1</v>
      </c>
      <c r="Z247">
        <v>0</v>
      </c>
      <c r="AA247">
        <v>50</v>
      </c>
      <c r="AB247">
        <v>25</v>
      </c>
      <c r="AC247">
        <v>1</v>
      </c>
    </row>
    <row r="248" spans="1:29">
      <c r="A248">
        <v>1036</v>
      </c>
      <c r="B248">
        <v>2001</v>
      </c>
      <c r="C248">
        <v>72</v>
      </c>
      <c r="D248" t="s">
        <v>496</v>
      </c>
      <c r="E248">
        <f>VLOOKUP(C248,C$6:E$212,3,0)*3</f>
        <v>1428</v>
      </c>
      <c r="F248">
        <f t="shared" si="5"/>
        <v>1428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1091027</v>
      </c>
      <c r="M248">
        <v>0</v>
      </c>
      <c r="N248">
        <v>22750</v>
      </c>
      <c r="O248">
        <v>29575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1969</v>
      </c>
      <c r="V248">
        <v>0</v>
      </c>
      <c r="W248">
        <v>0</v>
      </c>
      <c r="X248" t="s">
        <v>532</v>
      </c>
      <c r="Y248">
        <v>1</v>
      </c>
      <c r="Z248">
        <v>0</v>
      </c>
      <c r="AA248">
        <v>50</v>
      </c>
      <c r="AB248">
        <v>25</v>
      </c>
      <c r="AC248">
        <v>1</v>
      </c>
    </row>
    <row r="249" spans="1:29">
      <c r="A249">
        <v>1037</v>
      </c>
      <c r="B249">
        <v>2001</v>
      </c>
      <c r="C249">
        <v>74</v>
      </c>
      <c r="D249" t="s">
        <v>497</v>
      </c>
      <c r="E249">
        <f t="shared" ref="E249:E264" si="6">VLOOKUP(C249,C$6:E$212,3,0)*3</f>
        <v>1500</v>
      </c>
      <c r="F249">
        <f t="shared" si="5"/>
        <v>1500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1375670</v>
      </c>
      <c r="M249">
        <v>0</v>
      </c>
      <c r="N249">
        <v>26564</v>
      </c>
      <c r="O249">
        <v>34533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2079</v>
      </c>
      <c r="V249">
        <v>0</v>
      </c>
      <c r="W249">
        <v>0</v>
      </c>
      <c r="X249" t="s">
        <v>533</v>
      </c>
      <c r="Y249">
        <v>1</v>
      </c>
      <c r="Z249">
        <v>0</v>
      </c>
      <c r="AA249">
        <v>50</v>
      </c>
      <c r="AB249">
        <v>25</v>
      </c>
      <c r="AC249">
        <v>1</v>
      </c>
    </row>
    <row r="250" spans="1:29">
      <c r="A250">
        <v>1038</v>
      </c>
      <c r="B250">
        <v>2001</v>
      </c>
      <c r="C250">
        <v>76</v>
      </c>
      <c r="D250" t="s">
        <v>498</v>
      </c>
      <c r="E250">
        <f t="shared" si="6"/>
        <v>1572</v>
      </c>
      <c r="F250">
        <f t="shared" si="5"/>
        <v>1572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1680990</v>
      </c>
      <c r="M250">
        <v>0</v>
      </c>
      <c r="N250">
        <v>30641</v>
      </c>
      <c r="O250">
        <v>39833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2192</v>
      </c>
      <c r="V250">
        <v>0</v>
      </c>
      <c r="W250">
        <v>0</v>
      </c>
      <c r="X250" t="s">
        <v>534</v>
      </c>
      <c r="Y250">
        <v>1</v>
      </c>
      <c r="Z250">
        <v>0</v>
      </c>
      <c r="AA250">
        <v>50</v>
      </c>
      <c r="AB250">
        <v>25</v>
      </c>
      <c r="AC250">
        <v>1</v>
      </c>
    </row>
    <row r="251" spans="1:29">
      <c r="A251">
        <v>1039</v>
      </c>
      <c r="B251">
        <v>2001</v>
      </c>
      <c r="C251">
        <v>78</v>
      </c>
      <c r="D251" t="s">
        <v>499</v>
      </c>
      <c r="E251">
        <f t="shared" si="6"/>
        <v>1644</v>
      </c>
      <c r="F251">
        <f t="shared" ref="F251:F264" si="7">E251</f>
        <v>1644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2029880</v>
      </c>
      <c r="M251">
        <v>0</v>
      </c>
      <c r="N251">
        <v>34914</v>
      </c>
      <c r="O251">
        <v>45388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2308</v>
      </c>
      <c r="V251">
        <v>0</v>
      </c>
      <c r="W251">
        <v>0</v>
      </c>
      <c r="X251" t="s">
        <v>535</v>
      </c>
      <c r="Y251">
        <v>1</v>
      </c>
      <c r="Z251">
        <v>0</v>
      </c>
      <c r="AA251">
        <v>50</v>
      </c>
      <c r="AB251">
        <v>25</v>
      </c>
      <c r="AC251">
        <v>1</v>
      </c>
    </row>
    <row r="252" spans="1:29">
      <c r="A252">
        <v>1040</v>
      </c>
      <c r="B252">
        <v>2001</v>
      </c>
      <c r="C252">
        <v>80</v>
      </c>
      <c r="D252" t="s">
        <v>500</v>
      </c>
      <c r="E252">
        <f t="shared" si="6"/>
        <v>1800</v>
      </c>
      <c r="F252">
        <f t="shared" si="7"/>
        <v>1800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2435155</v>
      </c>
      <c r="M252">
        <v>0</v>
      </c>
      <c r="N252">
        <v>39782</v>
      </c>
      <c r="O252">
        <v>51717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2427</v>
      </c>
      <c r="V252">
        <f t="shared" ref="V252:V263" si="8">U252*4</f>
        <v>9708</v>
      </c>
      <c r="W252">
        <v>0</v>
      </c>
      <c r="X252" t="s">
        <v>536</v>
      </c>
      <c r="Y252">
        <v>1</v>
      </c>
      <c r="Z252">
        <v>0</v>
      </c>
      <c r="AA252">
        <v>50</v>
      </c>
      <c r="AB252">
        <v>25</v>
      </c>
      <c r="AC252">
        <v>1</v>
      </c>
    </row>
    <row r="253" spans="1:29">
      <c r="A253">
        <v>1041</v>
      </c>
      <c r="B253">
        <v>2001</v>
      </c>
      <c r="C253">
        <v>82</v>
      </c>
      <c r="D253" t="s">
        <v>501</v>
      </c>
      <c r="E253">
        <f t="shared" si="6"/>
        <v>2040</v>
      </c>
      <c r="F253">
        <f t="shared" si="7"/>
        <v>2040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2940842</v>
      </c>
      <c r="M253">
        <v>0</v>
      </c>
      <c r="N253">
        <f>ROUND(N252*(N$257/N$252)^0.2,0)</f>
        <v>48304</v>
      </c>
      <c r="O253">
        <f>ROUND(N253*1.21,0)</f>
        <v>58448</v>
      </c>
      <c r="P253">
        <v>10000</v>
      </c>
      <c r="Q253">
        <v>2000</v>
      </c>
      <c r="R253">
        <v>2000</v>
      </c>
      <c r="S253">
        <v>0</v>
      </c>
      <c r="T253">
        <v>0</v>
      </c>
      <c r="U253">
        <v>2549</v>
      </c>
      <c r="V253">
        <f t="shared" si="8"/>
        <v>10196</v>
      </c>
      <c r="W253">
        <v>0</v>
      </c>
      <c r="X253" t="s">
        <v>537</v>
      </c>
      <c r="Y253">
        <v>1</v>
      </c>
      <c r="Z253">
        <v>0</v>
      </c>
      <c r="AA253">
        <v>50</v>
      </c>
      <c r="AB253">
        <v>25</v>
      </c>
      <c r="AC253">
        <v>1</v>
      </c>
    </row>
    <row r="254" spans="1:29">
      <c r="A254">
        <v>1042</v>
      </c>
      <c r="B254">
        <v>2001</v>
      </c>
      <c r="C254">
        <v>84</v>
      </c>
      <c r="D254" t="s">
        <v>502</v>
      </c>
      <c r="E254">
        <f t="shared" si="6"/>
        <v>2280</v>
      </c>
      <c r="F254">
        <f t="shared" si="7"/>
        <v>2280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3551540</v>
      </c>
      <c r="M254">
        <v>0</v>
      </c>
      <c r="N254">
        <f t="shared" ref="N254:N256" si="9">ROUND(N253*(N$257/N$252)^0.2,0)</f>
        <v>58652</v>
      </c>
      <c r="O254">
        <f t="shared" ref="O254:O259" si="10">ROUND(N254*1.21,0)</f>
        <v>70969</v>
      </c>
      <c r="P254">
        <v>20000</v>
      </c>
      <c r="Q254">
        <v>3500</v>
      </c>
      <c r="R254">
        <v>3500</v>
      </c>
      <c r="S254">
        <v>0</v>
      </c>
      <c r="T254">
        <v>0</v>
      </c>
      <c r="U254">
        <v>2674</v>
      </c>
      <c r="V254">
        <f t="shared" si="8"/>
        <v>10696</v>
      </c>
      <c r="W254">
        <v>0</v>
      </c>
      <c r="X254" t="s">
        <v>538</v>
      </c>
      <c r="Y254">
        <v>1</v>
      </c>
      <c r="Z254">
        <v>0</v>
      </c>
      <c r="AA254">
        <v>50</v>
      </c>
      <c r="AB254">
        <v>25</v>
      </c>
      <c r="AC254">
        <v>1</v>
      </c>
    </row>
    <row r="255" spans="1:29">
      <c r="A255">
        <v>1043</v>
      </c>
      <c r="B255">
        <v>2001</v>
      </c>
      <c r="C255">
        <v>86</v>
      </c>
      <c r="D255" t="s">
        <v>503</v>
      </c>
      <c r="E255">
        <f t="shared" si="6"/>
        <v>2520</v>
      </c>
      <c r="F255">
        <f t="shared" si="7"/>
        <v>2520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4289061</v>
      </c>
      <c r="M255">
        <v>0</v>
      </c>
      <c r="N255">
        <f t="shared" si="9"/>
        <v>71217</v>
      </c>
      <c r="O255">
        <f t="shared" si="10"/>
        <v>86173</v>
      </c>
      <c r="P255">
        <v>30000</v>
      </c>
      <c r="Q255">
        <v>5000</v>
      </c>
      <c r="R255">
        <v>5000</v>
      </c>
      <c r="S255">
        <v>0</v>
      </c>
      <c r="T255">
        <v>0</v>
      </c>
      <c r="U255">
        <v>2802</v>
      </c>
      <c r="V255">
        <f t="shared" si="8"/>
        <v>11208</v>
      </c>
      <c r="W255">
        <v>0</v>
      </c>
      <c r="X255" t="s">
        <v>539</v>
      </c>
      <c r="Y255">
        <v>1</v>
      </c>
      <c r="Z255">
        <v>0</v>
      </c>
      <c r="AA255">
        <v>50</v>
      </c>
      <c r="AB255">
        <v>25</v>
      </c>
      <c r="AC255">
        <v>1</v>
      </c>
    </row>
    <row r="256" spans="1:29">
      <c r="A256">
        <v>1044</v>
      </c>
      <c r="B256">
        <v>2001</v>
      </c>
      <c r="C256">
        <v>88</v>
      </c>
      <c r="D256" t="s">
        <v>504</v>
      </c>
      <c r="E256">
        <f t="shared" si="6"/>
        <v>2760</v>
      </c>
      <c r="F256">
        <f t="shared" si="7"/>
        <v>2760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4599740</v>
      </c>
      <c r="M256">
        <v>0</v>
      </c>
      <c r="N256">
        <f t="shared" si="9"/>
        <v>86474</v>
      </c>
      <c r="O256">
        <f t="shared" si="10"/>
        <v>104634</v>
      </c>
      <c r="P256">
        <v>40000</v>
      </c>
      <c r="Q256">
        <v>6500</v>
      </c>
      <c r="R256">
        <v>6500</v>
      </c>
      <c r="S256">
        <v>0</v>
      </c>
      <c r="T256">
        <v>0</v>
      </c>
      <c r="U256">
        <v>2933</v>
      </c>
      <c r="V256">
        <f t="shared" si="8"/>
        <v>11732</v>
      </c>
      <c r="W256">
        <v>0</v>
      </c>
      <c r="X256" t="s">
        <v>540</v>
      </c>
      <c r="Y256">
        <v>1</v>
      </c>
      <c r="Z256">
        <v>0</v>
      </c>
      <c r="AA256">
        <v>50</v>
      </c>
      <c r="AB256">
        <v>25</v>
      </c>
      <c r="AC256">
        <v>1</v>
      </c>
    </row>
    <row r="257" spans="1:29">
      <c r="A257">
        <v>1045</v>
      </c>
      <c r="B257">
        <v>2001</v>
      </c>
      <c r="C257">
        <v>90</v>
      </c>
      <c r="D257" t="s">
        <v>505</v>
      </c>
      <c r="E257">
        <f t="shared" si="6"/>
        <v>3000</v>
      </c>
      <c r="F257">
        <f t="shared" si="7"/>
        <v>3000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4932924</v>
      </c>
      <c r="M257">
        <v>0</v>
      </c>
      <c r="N257">
        <v>105000</v>
      </c>
      <c r="O257">
        <f t="shared" si="10"/>
        <v>127050</v>
      </c>
      <c r="P257">
        <v>50000</v>
      </c>
      <c r="Q257">
        <v>8000</v>
      </c>
      <c r="R257">
        <v>8000</v>
      </c>
      <c r="S257">
        <v>0</v>
      </c>
      <c r="T257">
        <v>0</v>
      </c>
      <c r="U257">
        <v>3067</v>
      </c>
      <c r="V257">
        <f t="shared" si="8"/>
        <v>12268</v>
      </c>
      <c r="W257">
        <v>0</v>
      </c>
      <c r="X257" t="s">
        <v>541</v>
      </c>
      <c r="Y257">
        <v>1</v>
      </c>
      <c r="Z257">
        <v>0</v>
      </c>
      <c r="AA257">
        <v>50</v>
      </c>
      <c r="AB257">
        <v>25</v>
      </c>
      <c r="AC257">
        <v>1</v>
      </c>
    </row>
    <row r="258" spans="1:29">
      <c r="A258">
        <v>1046</v>
      </c>
      <c r="B258">
        <v>2001</v>
      </c>
      <c r="C258">
        <v>92</v>
      </c>
      <c r="D258" t="s">
        <v>506</v>
      </c>
      <c r="E258">
        <f t="shared" si="6"/>
        <v>3240</v>
      </c>
      <c r="F258">
        <f t="shared" si="7"/>
        <v>3240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5332456</v>
      </c>
      <c r="M258">
        <v>0</v>
      </c>
      <c r="N258">
        <v>111800</v>
      </c>
      <c r="O258">
        <f t="shared" si="10"/>
        <v>135278</v>
      </c>
      <c r="P258">
        <v>60000</v>
      </c>
      <c r="Q258">
        <v>9000</v>
      </c>
      <c r="R258">
        <v>9000</v>
      </c>
      <c r="S258">
        <v>0</v>
      </c>
      <c r="T258">
        <v>0</v>
      </c>
      <c r="U258">
        <v>3204</v>
      </c>
      <c r="V258">
        <f t="shared" si="8"/>
        <v>12816</v>
      </c>
      <c r="W258">
        <v>0</v>
      </c>
      <c r="X258" t="s">
        <v>542</v>
      </c>
      <c r="Y258">
        <v>1</v>
      </c>
      <c r="Z258">
        <v>0</v>
      </c>
      <c r="AA258">
        <v>50</v>
      </c>
      <c r="AB258">
        <v>25</v>
      </c>
      <c r="AC258">
        <v>1</v>
      </c>
    </row>
    <row r="259" spans="1:29">
      <c r="A259">
        <v>1047</v>
      </c>
      <c r="B259">
        <v>2001</v>
      </c>
      <c r="C259">
        <v>94</v>
      </c>
      <c r="D259" t="s">
        <v>507</v>
      </c>
      <c r="E259">
        <f t="shared" si="6"/>
        <v>3480</v>
      </c>
      <c r="F259">
        <f t="shared" si="7"/>
        <v>3480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5764347</v>
      </c>
      <c r="M259">
        <v>0</v>
      </c>
      <c r="N259">
        <v>120800</v>
      </c>
      <c r="O259">
        <f t="shared" si="10"/>
        <v>146168</v>
      </c>
      <c r="P259">
        <v>70000</v>
      </c>
      <c r="Q259">
        <v>10000</v>
      </c>
      <c r="R259">
        <v>10000</v>
      </c>
      <c r="S259">
        <v>0</v>
      </c>
      <c r="T259">
        <v>0</v>
      </c>
      <c r="U259">
        <v>3344</v>
      </c>
      <c r="V259">
        <f t="shared" si="8"/>
        <v>13376</v>
      </c>
      <c r="W259">
        <v>0</v>
      </c>
      <c r="X259" t="s">
        <v>537</v>
      </c>
      <c r="Y259">
        <v>1</v>
      </c>
      <c r="Z259">
        <v>0</v>
      </c>
      <c r="AA259">
        <v>50</v>
      </c>
      <c r="AB259">
        <v>25</v>
      </c>
      <c r="AC259">
        <v>1</v>
      </c>
    </row>
    <row r="260" spans="1:29">
      <c r="A260">
        <v>1048</v>
      </c>
      <c r="B260">
        <v>2001</v>
      </c>
      <c r="C260">
        <v>96</v>
      </c>
      <c r="D260" t="s">
        <v>508</v>
      </c>
      <c r="E260">
        <f t="shared" si="6"/>
        <v>3720</v>
      </c>
      <c r="F260">
        <f t="shared" si="7"/>
        <v>3720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6231218</v>
      </c>
      <c r="M260">
        <v>0</v>
      </c>
      <c r="N260">
        <v>129800</v>
      </c>
      <c r="O260">
        <v>138900</v>
      </c>
      <c r="P260">
        <v>80000</v>
      </c>
      <c r="Q260">
        <v>11000</v>
      </c>
      <c r="R260">
        <v>11000</v>
      </c>
      <c r="S260">
        <v>0</v>
      </c>
      <c r="T260">
        <v>0</v>
      </c>
      <c r="U260">
        <v>3487</v>
      </c>
      <c r="V260">
        <f t="shared" si="8"/>
        <v>13948</v>
      </c>
      <c r="W260">
        <v>0</v>
      </c>
      <c r="X260" t="s">
        <v>532</v>
      </c>
      <c r="Y260">
        <v>1</v>
      </c>
      <c r="Z260">
        <v>0</v>
      </c>
      <c r="AA260">
        <v>50</v>
      </c>
      <c r="AB260">
        <v>25</v>
      </c>
      <c r="AC260">
        <v>1</v>
      </c>
    </row>
    <row r="261" spans="1:29">
      <c r="A261">
        <v>1049</v>
      </c>
      <c r="B261">
        <v>2001</v>
      </c>
      <c r="C261">
        <v>98</v>
      </c>
      <c r="D261" t="s">
        <v>509</v>
      </c>
      <c r="E261">
        <f t="shared" si="6"/>
        <v>3960</v>
      </c>
      <c r="F261">
        <f t="shared" si="7"/>
        <v>3960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6781566</v>
      </c>
      <c r="M261">
        <v>0</v>
      </c>
      <c r="N261">
        <v>138800</v>
      </c>
      <c r="O261">
        <v>156077</v>
      </c>
      <c r="P261">
        <v>90000</v>
      </c>
      <c r="Q261">
        <v>12000</v>
      </c>
      <c r="R261">
        <v>12000</v>
      </c>
      <c r="S261">
        <v>0</v>
      </c>
      <c r="T261">
        <v>0</v>
      </c>
      <c r="U261">
        <v>3633</v>
      </c>
      <c r="V261">
        <f t="shared" si="8"/>
        <v>14532</v>
      </c>
      <c r="W261">
        <v>0</v>
      </c>
      <c r="X261" t="s">
        <v>527</v>
      </c>
      <c r="Y261">
        <v>1</v>
      </c>
      <c r="Z261">
        <v>0</v>
      </c>
      <c r="AA261">
        <v>50</v>
      </c>
      <c r="AB261">
        <v>25</v>
      </c>
      <c r="AC261">
        <v>1</v>
      </c>
    </row>
    <row r="262" spans="1:29">
      <c r="A262">
        <v>1050</v>
      </c>
      <c r="B262">
        <v>2001</v>
      </c>
      <c r="C262">
        <v>100</v>
      </c>
      <c r="D262" t="s">
        <v>510</v>
      </c>
      <c r="E262">
        <f t="shared" si="6"/>
        <v>4200</v>
      </c>
      <c r="F262">
        <f t="shared" si="7"/>
        <v>4200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7380522</v>
      </c>
      <c r="M262">
        <v>0</v>
      </c>
      <c r="N262">
        <v>147800</v>
      </c>
      <c r="O262">
        <v>175379</v>
      </c>
      <c r="P262">
        <v>100000</v>
      </c>
      <c r="Q262">
        <v>13000</v>
      </c>
      <c r="R262">
        <v>13000</v>
      </c>
      <c r="S262">
        <v>0</v>
      </c>
      <c r="T262">
        <v>0</v>
      </c>
      <c r="U262">
        <v>3782</v>
      </c>
      <c r="V262">
        <f t="shared" si="8"/>
        <v>15128</v>
      </c>
      <c r="W262">
        <v>0</v>
      </c>
      <c r="X262" t="s">
        <v>522</v>
      </c>
      <c r="Y262">
        <v>1</v>
      </c>
      <c r="Z262">
        <v>0</v>
      </c>
      <c r="AA262">
        <v>50</v>
      </c>
      <c r="AB262">
        <v>25</v>
      </c>
      <c r="AC262">
        <v>1</v>
      </c>
    </row>
    <row r="263" spans="1:29">
      <c r="A263">
        <v>1051</v>
      </c>
      <c r="B263">
        <v>2001</v>
      </c>
      <c r="C263">
        <v>101</v>
      </c>
      <c r="D263" t="s">
        <v>511</v>
      </c>
      <c r="E263">
        <f t="shared" si="6"/>
        <v>4320</v>
      </c>
      <c r="F263">
        <f t="shared" si="7"/>
        <v>4320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8118575</v>
      </c>
      <c r="M263">
        <v>0</v>
      </c>
      <c r="N263">
        <v>154343</v>
      </c>
      <c r="O263">
        <v>192800</v>
      </c>
      <c r="P263">
        <v>110000</v>
      </c>
      <c r="Q263">
        <v>14000</v>
      </c>
      <c r="R263">
        <v>14000</v>
      </c>
      <c r="S263">
        <v>0</v>
      </c>
      <c r="T263">
        <v>0</v>
      </c>
      <c r="U263">
        <v>3858</v>
      </c>
      <c r="V263">
        <f t="shared" si="8"/>
        <v>15432</v>
      </c>
      <c r="W263">
        <v>0</v>
      </c>
      <c r="X263" t="s">
        <v>517</v>
      </c>
      <c r="Y263">
        <v>1</v>
      </c>
      <c r="Z263">
        <v>0</v>
      </c>
      <c r="AA263">
        <v>50</v>
      </c>
      <c r="AB263">
        <v>25</v>
      </c>
      <c r="AC263">
        <v>1</v>
      </c>
    </row>
    <row r="264" spans="1:29">
      <c r="A264">
        <v>1052</v>
      </c>
      <c r="B264">
        <v>2001</v>
      </c>
      <c r="C264">
        <v>102</v>
      </c>
      <c r="D264" t="s">
        <v>512</v>
      </c>
      <c r="E264">
        <f t="shared" si="6"/>
        <v>4500</v>
      </c>
      <c r="F264">
        <f t="shared" si="7"/>
        <v>4500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10797705</v>
      </c>
      <c r="M264">
        <v>0</v>
      </c>
      <c r="N264">
        <v>642665</v>
      </c>
      <c r="O264">
        <v>964000</v>
      </c>
      <c r="P264">
        <v>120000</v>
      </c>
      <c r="Q264">
        <v>15000</v>
      </c>
      <c r="R264">
        <v>15000</v>
      </c>
      <c r="S264">
        <v>0</v>
      </c>
      <c r="T264">
        <v>0</v>
      </c>
      <c r="U264">
        <v>3934</v>
      </c>
      <c r="V264">
        <f>U264*4</f>
        <v>15736</v>
      </c>
      <c r="W264">
        <v>0</v>
      </c>
      <c r="X264" t="s">
        <v>161</v>
      </c>
      <c r="Y264">
        <v>1</v>
      </c>
      <c r="Z264">
        <v>0</v>
      </c>
      <c r="AA264">
        <v>50</v>
      </c>
      <c r="AB264">
        <v>25</v>
      </c>
      <c r="AC264">
        <v>1</v>
      </c>
    </row>
    <row r="265" spans="1:29">
      <c r="A265">
        <v>9000</v>
      </c>
      <c r="B265">
        <v>2003</v>
      </c>
      <c r="C265">
        <v>10</v>
      </c>
      <c r="D265" t="s">
        <v>172</v>
      </c>
      <c r="E265">
        <v>0</v>
      </c>
      <c r="F265">
        <f t="shared" ref="F265:F278" si="11">E265</f>
        <v>0</v>
      </c>
      <c r="G265">
        <v>25</v>
      </c>
      <c r="H265">
        <v>144</v>
      </c>
      <c r="I265">
        <v>144</v>
      </c>
      <c r="J265">
        <v>144</v>
      </c>
      <c r="K265">
        <v>81</v>
      </c>
      <c r="L265">
        <v>0</v>
      </c>
      <c r="M265">
        <v>931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 t="s">
        <v>169</v>
      </c>
      <c r="Y265">
        <v>0</v>
      </c>
      <c r="Z265">
        <v>0</v>
      </c>
      <c r="AA265">
        <v>50</v>
      </c>
      <c r="AB265">
        <v>50</v>
      </c>
      <c r="AC265">
        <v>1</v>
      </c>
    </row>
    <row r="266" spans="1:29">
      <c r="A266">
        <v>9001</v>
      </c>
      <c r="B266">
        <v>2001</v>
      </c>
      <c r="C266">
        <v>10</v>
      </c>
      <c r="D266" t="s">
        <v>173</v>
      </c>
      <c r="E266">
        <v>0</v>
      </c>
      <c r="F266">
        <f t="shared" si="11"/>
        <v>0</v>
      </c>
      <c r="G266">
        <v>3</v>
      </c>
      <c r="H266">
        <v>150</v>
      </c>
      <c r="I266">
        <v>150</v>
      </c>
      <c r="J266">
        <v>150</v>
      </c>
      <c r="K266">
        <v>86</v>
      </c>
      <c r="L266">
        <v>0</v>
      </c>
      <c r="M266">
        <v>971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 t="s">
        <v>167</v>
      </c>
      <c r="Y266">
        <v>0</v>
      </c>
      <c r="Z266">
        <v>0</v>
      </c>
      <c r="AA266">
        <v>50</v>
      </c>
      <c r="AB266">
        <v>50</v>
      </c>
      <c r="AC266">
        <v>1</v>
      </c>
    </row>
    <row r="267" spans="1:29">
      <c r="A267">
        <v>9002</v>
      </c>
      <c r="B267">
        <v>2002</v>
      </c>
      <c r="C267">
        <v>10</v>
      </c>
      <c r="D267" t="s">
        <v>174</v>
      </c>
      <c r="E267">
        <v>0</v>
      </c>
      <c r="F267">
        <f t="shared" si="11"/>
        <v>0</v>
      </c>
      <c r="G267">
        <v>16</v>
      </c>
      <c r="H267">
        <v>156</v>
      </c>
      <c r="I267">
        <v>156</v>
      </c>
      <c r="J267">
        <v>156</v>
      </c>
      <c r="K267">
        <v>91</v>
      </c>
      <c r="L267">
        <v>0</v>
      </c>
      <c r="M267">
        <v>1011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 t="s">
        <v>254</v>
      </c>
      <c r="Y267">
        <v>0</v>
      </c>
      <c r="Z267">
        <v>0</v>
      </c>
      <c r="AA267">
        <v>50</v>
      </c>
      <c r="AB267">
        <v>50</v>
      </c>
      <c r="AC267">
        <v>1</v>
      </c>
    </row>
    <row r="268" spans="1:29">
      <c r="A268">
        <v>9003</v>
      </c>
      <c r="B268">
        <v>2003</v>
      </c>
      <c r="C268">
        <v>10</v>
      </c>
      <c r="D268" t="s">
        <v>175</v>
      </c>
      <c r="E268">
        <v>0</v>
      </c>
      <c r="F268">
        <f t="shared" si="11"/>
        <v>0</v>
      </c>
      <c r="G268">
        <v>22</v>
      </c>
      <c r="H268">
        <v>162</v>
      </c>
      <c r="I268">
        <v>162</v>
      </c>
      <c r="J268">
        <v>162</v>
      </c>
      <c r="K268">
        <v>96</v>
      </c>
      <c r="L268">
        <v>0</v>
      </c>
      <c r="M268">
        <v>1052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 t="s">
        <v>171</v>
      </c>
      <c r="Y268">
        <v>0</v>
      </c>
      <c r="Z268">
        <v>0</v>
      </c>
      <c r="AA268">
        <v>50</v>
      </c>
      <c r="AB268">
        <v>50</v>
      </c>
      <c r="AC268">
        <v>1</v>
      </c>
    </row>
    <row r="269" spans="1:29">
      <c r="A269">
        <v>9004</v>
      </c>
      <c r="B269">
        <v>2001</v>
      </c>
      <c r="C269">
        <v>10</v>
      </c>
      <c r="D269" t="s">
        <v>176</v>
      </c>
      <c r="E269">
        <v>0</v>
      </c>
      <c r="F269">
        <f t="shared" si="11"/>
        <v>0</v>
      </c>
      <c r="G269">
        <v>9</v>
      </c>
      <c r="H269">
        <v>168</v>
      </c>
      <c r="I269">
        <v>168</v>
      </c>
      <c r="J269">
        <v>168</v>
      </c>
      <c r="K269">
        <v>101</v>
      </c>
      <c r="L269">
        <v>0</v>
      </c>
      <c r="M269">
        <v>1092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 t="s">
        <v>170</v>
      </c>
      <c r="Y269">
        <v>0</v>
      </c>
      <c r="Z269">
        <v>0</v>
      </c>
      <c r="AA269">
        <v>50</v>
      </c>
      <c r="AB269">
        <v>50</v>
      </c>
      <c r="AC269">
        <v>1</v>
      </c>
    </row>
    <row r="270" spans="1:29">
      <c r="A270">
        <v>9005</v>
      </c>
      <c r="B270">
        <v>2002</v>
      </c>
      <c r="C270">
        <v>11</v>
      </c>
      <c r="D270" t="s">
        <v>177</v>
      </c>
      <c r="E270">
        <v>0</v>
      </c>
      <c r="F270">
        <f t="shared" si="11"/>
        <v>0</v>
      </c>
      <c r="G270">
        <v>16</v>
      </c>
      <c r="H270">
        <v>174</v>
      </c>
      <c r="I270">
        <v>174</v>
      </c>
      <c r="J270">
        <v>174</v>
      </c>
      <c r="K270">
        <v>106</v>
      </c>
      <c r="L270">
        <v>0</v>
      </c>
      <c r="M270">
        <v>1133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 t="s">
        <v>601</v>
      </c>
      <c r="Y270">
        <v>0</v>
      </c>
      <c r="Z270">
        <v>0</v>
      </c>
      <c r="AA270">
        <v>50</v>
      </c>
      <c r="AB270">
        <v>50</v>
      </c>
      <c r="AC270">
        <v>1</v>
      </c>
    </row>
    <row r="271" spans="1:29">
      <c r="A271">
        <v>9006</v>
      </c>
      <c r="B271">
        <v>2003</v>
      </c>
      <c r="C271">
        <v>11</v>
      </c>
      <c r="D271" t="s">
        <v>178</v>
      </c>
      <c r="E271">
        <v>0</v>
      </c>
      <c r="F271">
        <f t="shared" si="11"/>
        <v>0</v>
      </c>
      <c r="G271">
        <v>25</v>
      </c>
      <c r="H271">
        <v>180</v>
      </c>
      <c r="I271">
        <v>180</v>
      </c>
      <c r="J271">
        <v>180</v>
      </c>
      <c r="K271">
        <v>111</v>
      </c>
      <c r="L271">
        <v>0</v>
      </c>
      <c r="M271">
        <v>1173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 t="s">
        <v>169</v>
      </c>
      <c r="Y271">
        <v>0</v>
      </c>
      <c r="Z271">
        <v>0</v>
      </c>
      <c r="AA271">
        <v>50</v>
      </c>
      <c r="AB271">
        <v>50</v>
      </c>
      <c r="AC271">
        <v>1</v>
      </c>
    </row>
    <row r="272" spans="1:29">
      <c r="A272">
        <v>9007</v>
      </c>
      <c r="B272">
        <v>2001</v>
      </c>
      <c r="C272">
        <v>11</v>
      </c>
      <c r="D272" t="s">
        <v>179</v>
      </c>
      <c r="E272">
        <v>0</v>
      </c>
      <c r="F272">
        <f t="shared" si="11"/>
        <v>0</v>
      </c>
      <c r="G272">
        <v>7</v>
      </c>
      <c r="H272">
        <v>186</v>
      </c>
      <c r="I272">
        <v>186</v>
      </c>
      <c r="J272">
        <v>186</v>
      </c>
      <c r="K272">
        <v>116</v>
      </c>
      <c r="L272">
        <v>0</v>
      </c>
      <c r="M272">
        <v>1213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 t="s">
        <v>167</v>
      </c>
      <c r="Y272">
        <v>0</v>
      </c>
      <c r="Z272">
        <v>0</v>
      </c>
      <c r="AA272">
        <v>50</v>
      </c>
      <c r="AB272">
        <v>50</v>
      </c>
      <c r="AC272">
        <v>1</v>
      </c>
    </row>
    <row r="273" spans="1:29">
      <c r="A273">
        <v>9008</v>
      </c>
      <c r="B273">
        <v>2002</v>
      </c>
      <c r="C273">
        <v>11</v>
      </c>
      <c r="D273" t="s">
        <v>180</v>
      </c>
      <c r="E273">
        <v>0</v>
      </c>
      <c r="F273">
        <f t="shared" si="11"/>
        <v>0</v>
      </c>
      <c r="G273">
        <v>12</v>
      </c>
      <c r="H273">
        <v>192</v>
      </c>
      <c r="I273">
        <v>192</v>
      </c>
      <c r="J273">
        <v>192</v>
      </c>
      <c r="K273">
        <v>121</v>
      </c>
      <c r="L273">
        <v>0</v>
      </c>
      <c r="M273">
        <v>1254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 t="s">
        <v>168</v>
      </c>
      <c r="Y273">
        <v>0</v>
      </c>
      <c r="Z273">
        <v>0</v>
      </c>
      <c r="AA273">
        <v>50</v>
      </c>
      <c r="AB273">
        <v>50</v>
      </c>
      <c r="AC273">
        <v>1</v>
      </c>
    </row>
    <row r="274" spans="1:29">
      <c r="A274">
        <v>9009</v>
      </c>
      <c r="B274">
        <v>2003</v>
      </c>
      <c r="C274">
        <v>11</v>
      </c>
      <c r="D274" t="s">
        <v>181</v>
      </c>
      <c r="E274">
        <v>0</v>
      </c>
      <c r="F274">
        <f t="shared" si="11"/>
        <v>0</v>
      </c>
      <c r="G274">
        <v>21</v>
      </c>
      <c r="H274">
        <v>198</v>
      </c>
      <c r="I274">
        <v>198</v>
      </c>
      <c r="J274">
        <v>198</v>
      </c>
      <c r="K274">
        <v>126</v>
      </c>
      <c r="L274">
        <v>0</v>
      </c>
      <c r="M274">
        <v>1294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 t="s">
        <v>171</v>
      </c>
      <c r="Y274">
        <v>0</v>
      </c>
      <c r="Z274">
        <v>0</v>
      </c>
      <c r="AA274">
        <v>50</v>
      </c>
      <c r="AB274">
        <v>50</v>
      </c>
      <c r="AC274">
        <v>1</v>
      </c>
    </row>
    <row r="275" spans="1:29">
      <c r="A275">
        <v>9010</v>
      </c>
      <c r="B275">
        <v>2001</v>
      </c>
      <c r="C275">
        <v>12</v>
      </c>
      <c r="D275" t="s">
        <v>182</v>
      </c>
      <c r="E275">
        <v>0</v>
      </c>
      <c r="F275">
        <f t="shared" si="11"/>
        <v>0</v>
      </c>
      <c r="G275">
        <v>10</v>
      </c>
      <c r="H275">
        <v>204</v>
      </c>
      <c r="I275">
        <v>204</v>
      </c>
      <c r="J275">
        <v>204</v>
      </c>
      <c r="K275">
        <v>131</v>
      </c>
      <c r="L275">
        <v>0</v>
      </c>
      <c r="M275">
        <v>1335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 t="s">
        <v>170</v>
      </c>
      <c r="Y275">
        <v>0</v>
      </c>
      <c r="Z275">
        <v>0</v>
      </c>
      <c r="AA275">
        <v>50</v>
      </c>
      <c r="AB275">
        <v>50</v>
      </c>
      <c r="AC275">
        <v>1</v>
      </c>
    </row>
    <row r="276" spans="1:29">
      <c r="A276">
        <v>9011</v>
      </c>
      <c r="B276">
        <v>2002</v>
      </c>
      <c r="C276">
        <v>12</v>
      </c>
      <c r="D276" t="s">
        <v>183</v>
      </c>
      <c r="E276">
        <v>0</v>
      </c>
      <c r="F276">
        <f t="shared" si="11"/>
        <v>0</v>
      </c>
      <c r="G276">
        <v>16</v>
      </c>
      <c r="H276">
        <v>210</v>
      </c>
      <c r="I276">
        <v>210</v>
      </c>
      <c r="J276">
        <v>210</v>
      </c>
      <c r="K276">
        <v>136</v>
      </c>
      <c r="L276">
        <v>0</v>
      </c>
      <c r="M276">
        <v>1375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 t="s">
        <v>601</v>
      </c>
      <c r="Y276">
        <v>0</v>
      </c>
      <c r="Z276">
        <v>0</v>
      </c>
      <c r="AA276">
        <v>50</v>
      </c>
      <c r="AB276">
        <v>50</v>
      </c>
      <c r="AC276">
        <v>1</v>
      </c>
    </row>
    <row r="277" spans="1:29">
      <c r="A277">
        <v>9012</v>
      </c>
      <c r="B277">
        <v>2003</v>
      </c>
      <c r="C277">
        <v>12</v>
      </c>
      <c r="D277" t="s">
        <v>184</v>
      </c>
      <c r="E277">
        <v>0</v>
      </c>
      <c r="F277">
        <f t="shared" si="11"/>
        <v>0</v>
      </c>
      <c r="G277">
        <v>23</v>
      </c>
      <c r="H277">
        <v>216</v>
      </c>
      <c r="I277">
        <v>216</v>
      </c>
      <c r="J277">
        <v>216</v>
      </c>
      <c r="K277">
        <v>141</v>
      </c>
      <c r="L277">
        <v>0</v>
      </c>
      <c r="M277">
        <v>1415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 t="s">
        <v>169</v>
      </c>
      <c r="Y277">
        <v>0</v>
      </c>
      <c r="Z277">
        <v>0</v>
      </c>
      <c r="AA277">
        <v>50</v>
      </c>
      <c r="AB277">
        <v>50</v>
      </c>
      <c r="AC277">
        <v>1</v>
      </c>
    </row>
    <row r="278" spans="1:29">
      <c r="A278">
        <v>9013</v>
      </c>
      <c r="B278">
        <v>2001</v>
      </c>
      <c r="C278">
        <v>12</v>
      </c>
      <c r="D278" t="s">
        <v>185</v>
      </c>
      <c r="E278">
        <v>0</v>
      </c>
      <c r="F278">
        <f t="shared" si="11"/>
        <v>0</v>
      </c>
      <c r="G278">
        <v>4</v>
      </c>
      <c r="H278">
        <v>222</v>
      </c>
      <c r="I278">
        <v>222</v>
      </c>
      <c r="J278">
        <v>222</v>
      </c>
      <c r="K278">
        <v>146</v>
      </c>
      <c r="L278">
        <v>0</v>
      </c>
      <c r="M278">
        <v>1456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 t="s">
        <v>167</v>
      </c>
      <c r="Y278">
        <v>0</v>
      </c>
      <c r="Z278">
        <v>0</v>
      </c>
      <c r="AA278">
        <v>50</v>
      </c>
      <c r="AB278">
        <v>50</v>
      </c>
      <c r="AC278">
        <v>1</v>
      </c>
    </row>
    <row r="279" spans="1:29">
      <c r="A279">
        <v>9014</v>
      </c>
      <c r="B279">
        <v>2002</v>
      </c>
      <c r="C279">
        <v>12</v>
      </c>
      <c r="D279" t="s">
        <v>186</v>
      </c>
      <c r="E279">
        <v>0</v>
      </c>
      <c r="F279">
        <f t="shared" ref="F279:F335" si="12">E279</f>
        <v>0</v>
      </c>
      <c r="G279">
        <v>19</v>
      </c>
      <c r="H279">
        <v>228</v>
      </c>
      <c r="I279">
        <v>228</v>
      </c>
      <c r="J279">
        <v>228</v>
      </c>
      <c r="K279">
        <v>151</v>
      </c>
      <c r="L279">
        <v>0</v>
      </c>
      <c r="M279">
        <v>1496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 t="s">
        <v>168</v>
      </c>
      <c r="Y279">
        <v>0</v>
      </c>
      <c r="Z279">
        <v>0</v>
      </c>
      <c r="AA279">
        <v>50</v>
      </c>
      <c r="AB279">
        <v>50</v>
      </c>
      <c r="AC279">
        <v>1</v>
      </c>
    </row>
    <row r="280" spans="1:29">
      <c r="A280">
        <v>9015</v>
      </c>
      <c r="B280">
        <v>2003</v>
      </c>
      <c r="C280">
        <v>13</v>
      </c>
      <c r="D280" t="s">
        <v>187</v>
      </c>
      <c r="E280">
        <v>0</v>
      </c>
      <c r="F280">
        <f t="shared" si="12"/>
        <v>0</v>
      </c>
      <c r="G280">
        <v>26</v>
      </c>
      <c r="H280">
        <v>234</v>
      </c>
      <c r="I280">
        <v>234</v>
      </c>
      <c r="J280">
        <v>234</v>
      </c>
      <c r="K280">
        <v>156</v>
      </c>
      <c r="L280">
        <v>0</v>
      </c>
      <c r="M280">
        <v>1537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 t="s">
        <v>171</v>
      </c>
      <c r="Y280">
        <v>0</v>
      </c>
      <c r="Z280">
        <v>0</v>
      </c>
      <c r="AA280">
        <v>50</v>
      </c>
      <c r="AB280">
        <v>50</v>
      </c>
      <c r="AC280">
        <v>1</v>
      </c>
    </row>
    <row r="281" spans="1:29">
      <c r="A281">
        <v>9016</v>
      </c>
      <c r="B281">
        <v>2001</v>
      </c>
      <c r="C281">
        <v>13</v>
      </c>
      <c r="D281" t="s">
        <v>188</v>
      </c>
      <c r="E281">
        <v>0</v>
      </c>
      <c r="F281">
        <f t="shared" si="12"/>
        <v>0</v>
      </c>
      <c r="G281">
        <v>3</v>
      </c>
      <c r="H281">
        <v>240</v>
      </c>
      <c r="I281">
        <v>240</v>
      </c>
      <c r="J281">
        <v>240</v>
      </c>
      <c r="K281">
        <v>161</v>
      </c>
      <c r="L281">
        <v>0</v>
      </c>
      <c r="M281">
        <v>1577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 t="s">
        <v>170</v>
      </c>
      <c r="Y281">
        <v>0</v>
      </c>
      <c r="Z281">
        <v>0</v>
      </c>
      <c r="AA281">
        <v>50</v>
      </c>
      <c r="AB281">
        <v>50</v>
      </c>
      <c r="AC281">
        <v>1</v>
      </c>
    </row>
    <row r="282" spans="1:29">
      <c r="A282">
        <v>9017</v>
      </c>
      <c r="B282">
        <v>2002</v>
      </c>
      <c r="C282">
        <v>13</v>
      </c>
      <c r="D282" t="s">
        <v>189</v>
      </c>
      <c r="E282">
        <v>0</v>
      </c>
      <c r="F282">
        <f t="shared" si="12"/>
        <v>0</v>
      </c>
      <c r="G282">
        <v>13</v>
      </c>
      <c r="H282">
        <v>246</v>
      </c>
      <c r="I282">
        <v>246</v>
      </c>
      <c r="J282">
        <v>246</v>
      </c>
      <c r="K282">
        <v>166</v>
      </c>
      <c r="L282">
        <v>0</v>
      </c>
      <c r="M282">
        <v>1617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 t="s">
        <v>601</v>
      </c>
      <c r="Y282">
        <v>0</v>
      </c>
      <c r="Z282">
        <v>0</v>
      </c>
      <c r="AA282">
        <v>50</v>
      </c>
      <c r="AB282">
        <v>50</v>
      </c>
      <c r="AC282">
        <v>1</v>
      </c>
    </row>
    <row r="283" spans="1:29">
      <c r="A283">
        <v>9018</v>
      </c>
      <c r="B283">
        <v>2003</v>
      </c>
      <c r="C283">
        <v>13</v>
      </c>
      <c r="D283" t="s">
        <v>190</v>
      </c>
      <c r="E283">
        <v>0</v>
      </c>
      <c r="F283">
        <f t="shared" si="12"/>
        <v>0</v>
      </c>
      <c r="G283">
        <v>23</v>
      </c>
      <c r="H283">
        <v>252</v>
      </c>
      <c r="I283">
        <v>252</v>
      </c>
      <c r="J283">
        <v>252</v>
      </c>
      <c r="K283">
        <v>171</v>
      </c>
      <c r="L283">
        <v>0</v>
      </c>
      <c r="M283">
        <v>1658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t="s">
        <v>169</v>
      </c>
      <c r="Y283">
        <v>0</v>
      </c>
      <c r="Z283">
        <v>0</v>
      </c>
      <c r="AA283">
        <v>50</v>
      </c>
      <c r="AB283">
        <v>50</v>
      </c>
      <c r="AC283">
        <v>1</v>
      </c>
    </row>
    <row r="284" spans="1:29">
      <c r="A284">
        <v>9019</v>
      </c>
      <c r="B284">
        <v>2001</v>
      </c>
      <c r="C284">
        <v>13</v>
      </c>
      <c r="D284" t="s">
        <v>191</v>
      </c>
      <c r="E284">
        <v>0</v>
      </c>
      <c r="F284">
        <f t="shared" si="12"/>
        <v>0</v>
      </c>
      <c r="G284">
        <v>10</v>
      </c>
      <c r="H284">
        <v>258</v>
      </c>
      <c r="I284">
        <v>258</v>
      </c>
      <c r="J284">
        <v>258</v>
      </c>
      <c r="K284">
        <v>176</v>
      </c>
      <c r="L284">
        <v>0</v>
      </c>
      <c r="M284">
        <v>1698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 t="s">
        <v>167</v>
      </c>
      <c r="Y284">
        <v>0</v>
      </c>
      <c r="Z284">
        <v>0</v>
      </c>
      <c r="AA284">
        <v>50</v>
      </c>
      <c r="AB284">
        <v>50</v>
      </c>
      <c r="AC284">
        <v>1</v>
      </c>
    </row>
    <row r="285" spans="1:29">
      <c r="A285">
        <v>9020</v>
      </c>
      <c r="B285">
        <v>2002</v>
      </c>
      <c r="C285">
        <v>14</v>
      </c>
      <c r="D285" t="s">
        <v>192</v>
      </c>
      <c r="E285">
        <v>0</v>
      </c>
      <c r="F285">
        <f t="shared" si="12"/>
        <v>0</v>
      </c>
      <c r="G285">
        <v>12</v>
      </c>
      <c r="H285">
        <v>264</v>
      </c>
      <c r="I285">
        <v>264</v>
      </c>
      <c r="J285">
        <v>264</v>
      </c>
      <c r="K285">
        <v>181</v>
      </c>
      <c r="L285">
        <v>0</v>
      </c>
      <c r="M285">
        <v>1739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 t="s">
        <v>168</v>
      </c>
      <c r="Y285">
        <v>0</v>
      </c>
      <c r="Z285">
        <v>0</v>
      </c>
      <c r="AA285">
        <v>50</v>
      </c>
      <c r="AB285">
        <v>50</v>
      </c>
      <c r="AC285">
        <v>1</v>
      </c>
    </row>
    <row r="286" spans="1:29">
      <c r="A286">
        <v>9021</v>
      </c>
      <c r="B286">
        <v>2003</v>
      </c>
      <c r="C286">
        <v>14</v>
      </c>
      <c r="D286" t="s">
        <v>193</v>
      </c>
      <c r="E286">
        <v>0</v>
      </c>
      <c r="F286">
        <f t="shared" si="12"/>
        <v>0</v>
      </c>
      <c r="G286">
        <v>24</v>
      </c>
      <c r="H286">
        <v>270</v>
      </c>
      <c r="I286">
        <v>270</v>
      </c>
      <c r="J286">
        <v>270</v>
      </c>
      <c r="K286">
        <v>186</v>
      </c>
      <c r="L286">
        <v>0</v>
      </c>
      <c r="M286">
        <v>1779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 t="s">
        <v>171</v>
      </c>
      <c r="Y286">
        <v>0</v>
      </c>
      <c r="Z286">
        <v>0</v>
      </c>
      <c r="AA286">
        <v>50</v>
      </c>
      <c r="AB286">
        <v>50</v>
      </c>
      <c r="AC286">
        <v>1</v>
      </c>
    </row>
    <row r="287" spans="1:29">
      <c r="A287">
        <v>9022</v>
      </c>
      <c r="B287">
        <v>2001</v>
      </c>
      <c r="C287">
        <v>14</v>
      </c>
      <c r="D287" t="s">
        <v>194</v>
      </c>
      <c r="E287">
        <v>0</v>
      </c>
      <c r="F287">
        <f t="shared" si="12"/>
        <v>0</v>
      </c>
      <c r="G287">
        <v>10</v>
      </c>
      <c r="H287">
        <v>276</v>
      </c>
      <c r="I287">
        <v>276</v>
      </c>
      <c r="J287">
        <v>276</v>
      </c>
      <c r="K287">
        <v>191</v>
      </c>
      <c r="L287">
        <v>0</v>
      </c>
      <c r="M287">
        <v>1819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 t="s">
        <v>170</v>
      </c>
      <c r="Y287">
        <v>0</v>
      </c>
      <c r="Z287">
        <v>0</v>
      </c>
      <c r="AA287">
        <v>50</v>
      </c>
      <c r="AB287">
        <v>50</v>
      </c>
      <c r="AC287">
        <v>1</v>
      </c>
    </row>
    <row r="288" spans="1:29">
      <c r="A288">
        <v>9023</v>
      </c>
      <c r="B288">
        <v>2002</v>
      </c>
      <c r="C288">
        <v>14</v>
      </c>
      <c r="D288" t="s">
        <v>195</v>
      </c>
      <c r="E288">
        <v>0</v>
      </c>
      <c r="F288">
        <f t="shared" si="12"/>
        <v>0</v>
      </c>
      <c r="G288">
        <v>17</v>
      </c>
      <c r="H288">
        <v>282</v>
      </c>
      <c r="I288">
        <v>282</v>
      </c>
      <c r="J288">
        <v>282</v>
      </c>
      <c r="K288">
        <v>196</v>
      </c>
      <c r="L288">
        <v>0</v>
      </c>
      <c r="M288">
        <v>1860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 t="s">
        <v>601</v>
      </c>
      <c r="Y288">
        <v>0</v>
      </c>
      <c r="Z288">
        <v>0</v>
      </c>
      <c r="AA288">
        <v>50</v>
      </c>
      <c r="AB288">
        <v>50</v>
      </c>
      <c r="AC288">
        <v>1</v>
      </c>
    </row>
    <row r="289" spans="1:29">
      <c r="A289">
        <v>9024</v>
      </c>
      <c r="B289">
        <v>2003</v>
      </c>
      <c r="C289">
        <v>14</v>
      </c>
      <c r="D289" t="s">
        <v>196</v>
      </c>
      <c r="E289">
        <v>0</v>
      </c>
      <c r="F289">
        <f t="shared" si="12"/>
        <v>0</v>
      </c>
      <c r="G289">
        <v>24</v>
      </c>
      <c r="H289">
        <v>288</v>
      </c>
      <c r="I289">
        <v>288</v>
      </c>
      <c r="J289">
        <v>288</v>
      </c>
      <c r="K289">
        <v>201</v>
      </c>
      <c r="L289">
        <v>0</v>
      </c>
      <c r="M289">
        <v>1900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 t="s">
        <v>169</v>
      </c>
      <c r="Y289">
        <v>0</v>
      </c>
      <c r="Z289">
        <v>0</v>
      </c>
      <c r="AA289">
        <v>50</v>
      </c>
      <c r="AB289">
        <v>50</v>
      </c>
      <c r="AC289">
        <v>1</v>
      </c>
    </row>
    <row r="290" spans="1:29">
      <c r="A290">
        <v>9025</v>
      </c>
      <c r="B290">
        <v>2001</v>
      </c>
      <c r="C290">
        <v>15</v>
      </c>
      <c r="D290" t="s">
        <v>197</v>
      </c>
      <c r="E290">
        <v>0</v>
      </c>
      <c r="F290">
        <f t="shared" si="12"/>
        <v>0</v>
      </c>
      <c r="G290">
        <v>7</v>
      </c>
      <c r="H290">
        <v>294</v>
      </c>
      <c r="I290">
        <v>294</v>
      </c>
      <c r="J290">
        <v>294</v>
      </c>
      <c r="K290">
        <v>206</v>
      </c>
      <c r="L290">
        <v>0</v>
      </c>
      <c r="M290">
        <v>1941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 t="s">
        <v>167</v>
      </c>
      <c r="Y290">
        <v>0</v>
      </c>
      <c r="Z290">
        <v>0</v>
      </c>
      <c r="AA290">
        <v>50</v>
      </c>
      <c r="AB290">
        <v>50</v>
      </c>
      <c r="AC290">
        <v>1</v>
      </c>
    </row>
    <row r="291" spans="1:29">
      <c r="A291">
        <v>9026</v>
      </c>
      <c r="B291">
        <v>2002</v>
      </c>
      <c r="C291">
        <v>15</v>
      </c>
      <c r="D291" t="s">
        <v>198</v>
      </c>
      <c r="E291">
        <v>0</v>
      </c>
      <c r="F291">
        <f t="shared" si="12"/>
        <v>0</v>
      </c>
      <c r="G291">
        <v>12</v>
      </c>
      <c r="H291">
        <v>300</v>
      </c>
      <c r="I291">
        <v>300</v>
      </c>
      <c r="J291">
        <v>300</v>
      </c>
      <c r="K291">
        <v>211</v>
      </c>
      <c r="L291">
        <v>0</v>
      </c>
      <c r="M291">
        <v>1981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 t="s">
        <v>168</v>
      </c>
      <c r="Y291">
        <v>0</v>
      </c>
      <c r="Z291">
        <v>0</v>
      </c>
      <c r="AA291">
        <v>50</v>
      </c>
      <c r="AB291">
        <v>50</v>
      </c>
      <c r="AC291">
        <v>1</v>
      </c>
    </row>
    <row r="292" spans="1:29">
      <c r="A292">
        <v>9027</v>
      </c>
      <c r="B292">
        <v>2003</v>
      </c>
      <c r="C292">
        <v>15</v>
      </c>
      <c r="D292" t="s">
        <v>199</v>
      </c>
      <c r="E292">
        <v>0</v>
      </c>
      <c r="F292">
        <f t="shared" si="12"/>
        <v>0</v>
      </c>
      <c r="G292">
        <v>22</v>
      </c>
      <c r="H292">
        <v>306</v>
      </c>
      <c r="I292">
        <v>306</v>
      </c>
      <c r="J292">
        <v>306</v>
      </c>
      <c r="K292">
        <v>216</v>
      </c>
      <c r="L292">
        <v>0</v>
      </c>
      <c r="M292">
        <v>2021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 t="s">
        <v>171</v>
      </c>
      <c r="Y292">
        <v>0</v>
      </c>
      <c r="Z292">
        <v>0</v>
      </c>
      <c r="AA292">
        <v>50</v>
      </c>
      <c r="AB292">
        <v>50</v>
      </c>
      <c r="AC292">
        <v>1</v>
      </c>
    </row>
    <row r="293" spans="1:29">
      <c r="A293">
        <v>9028</v>
      </c>
      <c r="B293">
        <v>2001</v>
      </c>
      <c r="C293">
        <v>15</v>
      </c>
      <c r="D293" t="s">
        <v>200</v>
      </c>
      <c r="E293">
        <v>0</v>
      </c>
      <c r="F293">
        <f t="shared" si="12"/>
        <v>0</v>
      </c>
      <c r="G293">
        <v>4</v>
      </c>
      <c r="H293">
        <v>312</v>
      </c>
      <c r="I293">
        <v>312</v>
      </c>
      <c r="J293">
        <v>312</v>
      </c>
      <c r="K293">
        <v>221</v>
      </c>
      <c r="L293">
        <v>0</v>
      </c>
      <c r="M293">
        <v>2062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 t="s">
        <v>170</v>
      </c>
      <c r="Y293">
        <v>0</v>
      </c>
      <c r="Z293">
        <v>0</v>
      </c>
      <c r="AA293">
        <v>50</v>
      </c>
      <c r="AB293">
        <v>50</v>
      </c>
      <c r="AC293">
        <v>1</v>
      </c>
    </row>
    <row r="294" spans="1:29">
      <c r="A294">
        <v>9029</v>
      </c>
      <c r="B294">
        <v>2002</v>
      </c>
      <c r="C294">
        <v>15</v>
      </c>
      <c r="D294" t="s">
        <v>201</v>
      </c>
      <c r="E294">
        <v>0</v>
      </c>
      <c r="F294">
        <f t="shared" si="12"/>
        <v>0</v>
      </c>
      <c r="G294">
        <v>15</v>
      </c>
      <c r="H294">
        <v>318</v>
      </c>
      <c r="I294">
        <v>318</v>
      </c>
      <c r="J294">
        <v>318</v>
      </c>
      <c r="K294">
        <v>226</v>
      </c>
      <c r="L294">
        <v>0</v>
      </c>
      <c r="M294">
        <v>2102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 t="s">
        <v>601</v>
      </c>
      <c r="Y294">
        <v>0</v>
      </c>
      <c r="Z294">
        <v>0</v>
      </c>
      <c r="AA294">
        <v>50</v>
      </c>
      <c r="AB294">
        <v>50</v>
      </c>
      <c r="AC294">
        <v>1</v>
      </c>
    </row>
    <row r="295" spans="1:29">
      <c r="A295">
        <v>9030</v>
      </c>
      <c r="B295">
        <v>2003</v>
      </c>
      <c r="C295">
        <v>16</v>
      </c>
      <c r="D295" t="s">
        <v>202</v>
      </c>
      <c r="E295">
        <v>0</v>
      </c>
      <c r="F295">
        <f t="shared" si="12"/>
        <v>0</v>
      </c>
      <c r="G295">
        <v>28</v>
      </c>
      <c r="H295">
        <v>324</v>
      </c>
      <c r="I295">
        <v>324</v>
      </c>
      <c r="J295">
        <v>324</v>
      </c>
      <c r="K295">
        <v>231</v>
      </c>
      <c r="L295">
        <v>0</v>
      </c>
      <c r="M295">
        <v>2143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 t="s">
        <v>169</v>
      </c>
      <c r="Y295">
        <v>0</v>
      </c>
      <c r="Z295">
        <v>0</v>
      </c>
      <c r="AA295">
        <v>50</v>
      </c>
      <c r="AB295">
        <v>50</v>
      </c>
      <c r="AC295">
        <v>1</v>
      </c>
    </row>
    <row r="296" spans="1:29">
      <c r="A296">
        <v>9031</v>
      </c>
      <c r="B296">
        <v>2001</v>
      </c>
      <c r="C296">
        <v>16</v>
      </c>
      <c r="D296" t="s">
        <v>203</v>
      </c>
      <c r="E296">
        <v>0</v>
      </c>
      <c r="F296">
        <f t="shared" si="12"/>
        <v>0</v>
      </c>
      <c r="G296">
        <v>6</v>
      </c>
      <c r="H296">
        <v>330</v>
      </c>
      <c r="I296">
        <v>330</v>
      </c>
      <c r="J296">
        <v>330</v>
      </c>
      <c r="K296">
        <v>236</v>
      </c>
      <c r="L296">
        <v>0</v>
      </c>
      <c r="M296">
        <v>2183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 t="s">
        <v>167</v>
      </c>
      <c r="Y296">
        <v>0</v>
      </c>
      <c r="Z296">
        <v>0</v>
      </c>
      <c r="AA296">
        <v>50</v>
      </c>
      <c r="AB296">
        <v>50</v>
      </c>
      <c r="AC296">
        <v>1</v>
      </c>
    </row>
    <row r="297" spans="1:29">
      <c r="A297">
        <v>9032</v>
      </c>
      <c r="B297">
        <v>2002</v>
      </c>
      <c r="C297">
        <v>16</v>
      </c>
      <c r="D297" t="s">
        <v>204</v>
      </c>
      <c r="E297">
        <v>0</v>
      </c>
      <c r="F297">
        <f t="shared" si="12"/>
        <v>0</v>
      </c>
      <c r="G297">
        <v>15</v>
      </c>
      <c r="H297">
        <v>336</v>
      </c>
      <c r="I297">
        <v>336</v>
      </c>
      <c r="J297">
        <v>336</v>
      </c>
      <c r="K297">
        <v>241</v>
      </c>
      <c r="L297">
        <v>0</v>
      </c>
      <c r="M297">
        <v>2223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 t="s">
        <v>168</v>
      </c>
      <c r="Y297">
        <v>0</v>
      </c>
      <c r="Z297">
        <v>0</v>
      </c>
      <c r="AA297">
        <v>50</v>
      </c>
      <c r="AB297">
        <v>50</v>
      </c>
      <c r="AC297">
        <v>1</v>
      </c>
    </row>
    <row r="298" spans="1:29">
      <c r="A298">
        <v>9033</v>
      </c>
      <c r="B298">
        <v>2003</v>
      </c>
      <c r="C298">
        <v>16</v>
      </c>
      <c r="D298" t="s">
        <v>205</v>
      </c>
      <c r="E298">
        <v>0</v>
      </c>
      <c r="F298">
        <f t="shared" si="12"/>
        <v>0</v>
      </c>
      <c r="G298">
        <v>23</v>
      </c>
      <c r="H298">
        <v>342</v>
      </c>
      <c r="I298">
        <v>342</v>
      </c>
      <c r="J298">
        <v>342</v>
      </c>
      <c r="K298">
        <v>246</v>
      </c>
      <c r="L298">
        <v>0</v>
      </c>
      <c r="M298">
        <v>2264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 t="s">
        <v>171</v>
      </c>
      <c r="Y298">
        <v>0</v>
      </c>
      <c r="Z298">
        <v>0</v>
      </c>
      <c r="AA298">
        <v>50</v>
      </c>
      <c r="AB298">
        <v>50</v>
      </c>
      <c r="AC298">
        <v>1</v>
      </c>
    </row>
    <row r="299" spans="1:29">
      <c r="A299">
        <v>9034</v>
      </c>
      <c r="B299">
        <v>2001</v>
      </c>
      <c r="C299">
        <v>16</v>
      </c>
      <c r="D299" t="s">
        <v>206</v>
      </c>
      <c r="E299">
        <v>0</v>
      </c>
      <c r="F299">
        <f t="shared" si="12"/>
        <v>0</v>
      </c>
      <c r="G299">
        <v>6</v>
      </c>
      <c r="H299">
        <v>348</v>
      </c>
      <c r="I299">
        <v>348</v>
      </c>
      <c r="J299">
        <v>348</v>
      </c>
      <c r="K299">
        <v>251</v>
      </c>
      <c r="L299">
        <v>0</v>
      </c>
      <c r="M299">
        <v>2304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 t="s">
        <v>170</v>
      </c>
      <c r="Y299">
        <v>0</v>
      </c>
      <c r="Z299">
        <v>0</v>
      </c>
      <c r="AA299">
        <v>50</v>
      </c>
      <c r="AB299">
        <v>50</v>
      </c>
      <c r="AC299">
        <v>1</v>
      </c>
    </row>
    <row r="300" spans="1:29">
      <c r="A300">
        <v>9035</v>
      </c>
      <c r="B300">
        <v>2002</v>
      </c>
      <c r="C300">
        <v>17</v>
      </c>
      <c r="D300" t="s">
        <v>207</v>
      </c>
      <c r="E300">
        <v>0</v>
      </c>
      <c r="F300">
        <f t="shared" si="12"/>
        <v>0</v>
      </c>
      <c r="G300">
        <v>15</v>
      </c>
      <c r="H300">
        <v>354</v>
      </c>
      <c r="I300">
        <v>354</v>
      </c>
      <c r="J300">
        <v>354</v>
      </c>
      <c r="K300">
        <v>256</v>
      </c>
      <c r="L300">
        <v>0</v>
      </c>
      <c r="M300">
        <v>2345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 t="s">
        <v>601</v>
      </c>
      <c r="Y300">
        <v>0</v>
      </c>
      <c r="Z300">
        <v>0</v>
      </c>
      <c r="AA300">
        <v>50</v>
      </c>
      <c r="AB300">
        <v>50</v>
      </c>
      <c r="AC300">
        <v>1</v>
      </c>
    </row>
    <row r="301" spans="1:29">
      <c r="A301">
        <v>9036</v>
      </c>
      <c r="B301">
        <v>2003</v>
      </c>
      <c r="C301">
        <v>17</v>
      </c>
      <c r="D301" t="s">
        <v>208</v>
      </c>
      <c r="E301">
        <v>0</v>
      </c>
      <c r="F301">
        <f t="shared" si="12"/>
        <v>0</v>
      </c>
      <c r="G301">
        <v>25</v>
      </c>
      <c r="H301">
        <v>360</v>
      </c>
      <c r="I301">
        <v>360</v>
      </c>
      <c r="J301">
        <v>360</v>
      </c>
      <c r="K301">
        <v>261</v>
      </c>
      <c r="L301">
        <v>0</v>
      </c>
      <c r="M301">
        <v>2385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 t="s">
        <v>169</v>
      </c>
      <c r="Y301">
        <v>0</v>
      </c>
      <c r="Z301">
        <v>0</v>
      </c>
      <c r="AA301">
        <v>50</v>
      </c>
      <c r="AB301">
        <v>50</v>
      </c>
      <c r="AC301">
        <v>1</v>
      </c>
    </row>
    <row r="302" spans="1:29">
      <c r="A302">
        <v>9037</v>
      </c>
      <c r="B302">
        <v>2001</v>
      </c>
      <c r="C302">
        <v>17</v>
      </c>
      <c r="D302" t="s">
        <v>209</v>
      </c>
      <c r="E302">
        <v>0</v>
      </c>
      <c r="F302">
        <f t="shared" si="12"/>
        <v>0</v>
      </c>
      <c r="G302">
        <v>4</v>
      </c>
      <c r="H302">
        <v>366</v>
      </c>
      <c r="I302">
        <v>366</v>
      </c>
      <c r="J302">
        <v>366</v>
      </c>
      <c r="K302">
        <v>266</v>
      </c>
      <c r="L302">
        <v>0</v>
      </c>
      <c r="M302">
        <v>2425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 t="s">
        <v>167</v>
      </c>
      <c r="Y302">
        <v>0</v>
      </c>
      <c r="Z302">
        <v>0</v>
      </c>
      <c r="AA302">
        <v>50</v>
      </c>
      <c r="AB302">
        <v>50</v>
      </c>
      <c r="AC302">
        <v>1</v>
      </c>
    </row>
    <row r="303" spans="1:29">
      <c r="A303">
        <v>9038</v>
      </c>
      <c r="B303">
        <v>2002</v>
      </c>
      <c r="C303">
        <v>17</v>
      </c>
      <c r="D303" t="s">
        <v>210</v>
      </c>
      <c r="E303">
        <v>0</v>
      </c>
      <c r="F303">
        <f t="shared" si="12"/>
        <v>0</v>
      </c>
      <c r="G303">
        <v>18</v>
      </c>
      <c r="H303">
        <v>372</v>
      </c>
      <c r="I303">
        <v>372</v>
      </c>
      <c r="J303">
        <v>372</v>
      </c>
      <c r="K303">
        <v>271</v>
      </c>
      <c r="L303">
        <v>0</v>
      </c>
      <c r="M303">
        <v>2466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 t="s">
        <v>168</v>
      </c>
      <c r="Y303">
        <v>0</v>
      </c>
      <c r="Z303">
        <v>0</v>
      </c>
      <c r="AA303">
        <v>50</v>
      </c>
      <c r="AB303">
        <v>50</v>
      </c>
      <c r="AC303">
        <v>1</v>
      </c>
    </row>
    <row r="304" spans="1:29">
      <c r="A304">
        <v>9039</v>
      </c>
      <c r="B304">
        <v>2003</v>
      </c>
      <c r="C304">
        <v>17</v>
      </c>
      <c r="D304" t="s">
        <v>211</v>
      </c>
      <c r="E304">
        <v>0</v>
      </c>
      <c r="F304">
        <f t="shared" si="12"/>
        <v>0</v>
      </c>
      <c r="G304">
        <v>27</v>
      </c>
      <c r="H304">
        <v>378</v>
      </c>
      <c r="I304">
        <v>378</v>
      </c>
      <c r="J304">
        <v>378</v>
      </c>
      <c r="K304">
        <v>276</v>
      </c>
      <c r="L304">
        <v>0</v>
      </c>
      <c r="M304">
        <v>2506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 t="s">
        <v>171</v>
      </c>
      <c r="Y304">
        <v>0</v>
      </c>
      <c r="Z304">
        <v>0</v>
      </c>
      <c r="AA304">
        <v>50</v>
      </c>
      <c r="AB304">
        <v>50</v>
      </c>
      <c r="AC304">
        <v>1</v>
      </c>
    </row>
    <row r="305" spans="1:29">
      <c r="A305">
        <v>9040</v>
      </c>
      <c r="B305">
        <v>2001</v>
      </c>
      <c r="C305">
        <v>18</v>
      </c>
      <c r="D305" t="s">
        <v>212</v>
      </c>
      <c r="E305">
        <v>0</v>
      </c>
      <c r="F305">
        <f t="shared" si="12"/>
        <v>0</v>
      </c>
      <c r="G305">
        <v>1</v>
      </c>
      <c r="H305">
        <v>384</v>
      </c>
      <c r="I305">
        <v>384</v>
      </c>
      <c r="J305">
        <v>384</v>
      </c>
      <c r="K305">
        <v>281</v>
      </c>
      <c r="L305">
        <v>0</v>
      </c>
      <c r="M305">
        <v>2547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 t="s">
        <v>170</v>
      </c>
      <c r="Y305">
        <v>0</v>
      </c>
      <c r="Z305">
        <v>0</v>
      </c>
      <c r="AA305">
        <v>50</v>
      </c>
      <c r="AB305">
        <v>50</v>
      </c>
      <c r="AC305">
        <v>1</v>
      </c>
    </row>
    <row r="306" spans="1:29">
      <c r="A306">
        <v>9041</v>
      </c>
      <c r="B306">
        <v>2002</v>
      </c>
      <c r="C306">
        <v>18</v>
      </c>
      <c r="D306" t="s">
        <v>213</v>
      </c>
      <c r="E306">
        <v>0</v>
      </c>
      <c r="F306">
        <f t="shared" si="12"/>
        <v>0</v>
      </c>
      <c r="G306">
        <v>13</v>
      </c>
      <c r="H306">
        <v>390</v>
      </c>
      <c r="I306">
        <v>390</v>
      </c>
      <c r="J306">
        <v>390</v>
      </c>
      <c r="K306">
        <v>286</v>
      </c>
      <c r="L306">
        <v>0</v>
      </c>
      <c r="M306">
        <v>2587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 t="s">
        <v>601</v>
      </c>
      <c r="Y306">
        <v>0</v>
      </c>
      <c r="Z306">
        <v>0</v>
      </c>
      <c r="AA306">
        <v>50</v>
      </c>
      <c r="AB306">
        <v>50</v>
      </c>
      <c r="AC306">
        <v>1</v>
      </c>
    </row>
    <row r="307" spans="1:29">
      <c r="A307">
        <v>9042</v>
      </c>
      <c r="B307">
        <v>2003</v>
      </c>
      <c r="C307">
        <v>18</v>
      </c>
      <c r="D307" t="s">
        <v>214</v>
      </c>
      <c r="E307">
        <v>0</v>
      </c>
      <c r="F307">
        <f t="shared" si="12"/>
        <v>0</v>
      </c>
      <c r="G307">
        <v>25</v>
      </c>
      <c r="H307">
        <v>396</v>
      </c>
      <c r="I307">
        <v>396</v>
      </c>
      <c r="J307">
        <v>396</v>
      </c>
      <c r="K307">
        <v>291</v>
      </c>
      <c r="L307">
        <v>0</v>
      </c>
      <c r="M307">
        <v>2627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 t="s">
        <v>169</v>
      </c>
      <c r="Y307">
        <v>0</v>
      </c>
      <c r="Z307">
        <v>0</v>
      </c>
      <c r="AA307">
        <v>50</v>
      </c>
      <c r="AB307">
        <v>50</v>
      </c>
      <c r="AC307">
        <v>1</v>
      </c>
    </row>
    <row r="308" spans="1:29">
      <c r="A308">
        <v>9043</v>
      </c>
      <c r="B308">
        <v>2001</v>
      </c>
      <c r="C308">
        <v>18</v>
      </c>
      <c r="D308" t="s">
        <v>215</v>
      </c>
      <c r="E308">
        <v>0</v>
      </c>
      <c r="F308">
        <f t="shared" si="12"/>
        <v>0</v>
      </c>
      <c r="G308">
        <v>8</v>
      </c>
      <c r="H308">
        <v>402</v>
      </c>
      <c r="I308">
        <v>402</v>
      </c>
      <c r="J308">
        <v>402</v>
      </c>
      <c r="K308">
        <v>296</v>
      </c>
      <c r="L308">
        <v>0</v>
      </c>
      <c r="M308">
        <v>2668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 t="s">
        <v>167</v>
      </c>
      <c r="Y308">
        <v>0</v>
      </c>
      <c r="Z308">
        <v>0</v>
      </c>
      <c r="AA308">
        <v>50</v>
      </c>
      <c r="AB308">
        <v>50</v>
      </c>
      <c r="AC308">
        <v>1</v>
      </c>
    </row>
    <row r="309" spans="1:29">
      <c r="A309">
        <v>9044</v>
      </c>
      <c r="B309">
        <v>2002</v>
      </c>
      <c r="C309">
        <v>18</v>
      </c>
      <c r="D309" t="s">
        <v>216</v>
      </c>
      <c r="E309">
        <v>0</v>
      </c>
      <c r="F309">
        <f t="shared" si="12"/>
        <v>0</v>
      </c>
      <c r="G309">
        <v>20</v>
      </c>
      <c r="H309">
        <v>408</v>
      </c>
      <c r="I309">
        <v>408</v>
      </c>
      <c r="J309">
        <v>408</v>
      </c>
      <c r="K309">
        <v>301</v>
      </c>
      <c r="L309">
        <v>0</v>
      </c>
      <c r="M309">
        <v>2708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 t="s">
        <v>168</v>
      </c>
      <c r="Y309">
        <v>0</v>
      </c>
      <c r="Z309">
        <v>0</v>
      </c>
      <c r="AA309">
        <v>50</v>
      </c>
      <c r="AB309">
        <v>50</v>
      </c>
      <c r="AC309">
        <v>1</v>
      </c>
    </row>
    <row r="310" spans="1:29">
      <c r="A310">
        <v>9045</v>
      </c>
      <c r="B310">
        <v>2003</v>
      </c>
      <c r="C310">
        <v>19</v>
      </c>
      <c r="D310" t="s">
        <v>217</v>
      </c>
      <c r="E310">
        <v>0</v>
      </c>
      <c r="F310">
        <f t="shared" si="12"/>
        <v>0</v>
      </c>
      <c r="G310">
        <v>23</v>
      </c>
      <c r="H310">
        <v>414</v>
      </c>
      <c r="I310">
        <v>414</v>
      </c>
      <c r="J310">
        <v>414</v>
      </c>
      <c r="K310">
        <v>306</v>
      </c>
      <c r="L310">
        <v>0</v>
      </c>
      <c r="M310">
        <v>2749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 t="s">
        <v>171</v>
      </c>
      <c r="Y310">
        <v>0</v>
      </c>
      <c r="Z310">
        <v>0</v>
      </c>
      <c r="AA310">
        <v>50</v>
      </c>
      <c r="AB310">
        <v>50</v>
      </c>
      <c r="AC310">
        <v>1</v>
      </c>
    </row>
    <row r="311" spans="1:29">
      <c r="A311">
        <v>9046</v>
      </c>
      <c r="B311">
        <v>2001</v>
      </c>
      <c r="C311">
        <v>19</v>
      </c>
      <c r="D311" t="s">
        <v>218</v>
      </c>
      <c r="E311">
        <v>0</v>
      </c>
      <c r="F311">
        <f t="shared" si="12"/>
        <v>0</v>
      </c>
      <c r="G311">
        <v>7</v>
      </c>
      <c r="H311">
        <v>420</v>
      </c>
      <c r="I311">
        <v>420</v>
      </c>
      <c r="J311">
        <v>420</v>
      </c>
      <c r="K311">
        <v>311</v>
      </c>
      <c r="L311">
        <v>0</v>
      </c>
      <c r="M311">
        <v>2789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 t="s">
        <v>170</v>
      </c>
      <c r="Y311">
        <v>0</v>
      </c>
      <c r="Z311">
        <v>0</v>
      </c>
      <c r="AA311">
        <v>50</v>
      </c>
      <c r="AB311">
        <v>50</v>
      </c>
      <c r="AC311">
        <v>1</v>
      </c>
    </row>
    <row r="312" spans="1:29">
      <c r="A312">
        <v>9047</v>
      </c>
      <c r="B312">
        <v>2002</v>
      </c>
      <c r="C312">
        <v>19</v>
      </c>
      <c r="D312" t="s">
        <v>219</v>
      </c>
      <c r="E312">
        <v>0</v>
      </c>
      <c r="F312">
        <f t="shared" si="12"/>
        <v>0</v>
      </c>
      <c r="G312">
        <v>13</v>
      </c>
      <c r="H312">
        <v>426</v>
      </c>
      <c r="I312">
        <v>426</v>
      </c>
      <c r="J312">
        <v>426</v>
      </c>
      <c r="K312">
        <v>316</v>
      </c>
      <c r="L312">
        <v>0</v>
      </c>
      <c r="M312">
        <v>2829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 t="s">
        <v>601</v>
      </c>
      <c r="Y312">
        <v>0</v>
      </c>
      <c r="Z312">
        <v>0</v>
      </c>
      <c r="AA312">
        <v>50</v>
      </c>
      <c r="AB312">
        <v>50</v>
      </c>
      <c r="AC312">
        <v>1</v>
      </c>
    </row>
    <row r="313" spans="1:29">
      <c r="A313">
        <v>9048</v>
      </c>
      <c r="B313">
        <v>2003</v>
      </c>
      <c r="C313">
        <v>19</v>
      </c>
      <c r="D313" t="s">
        <v>220</v>
      </c>
      <c r="E313">
        <v>0</v>
      </c>
      <c r="F313">
        <f t="shared" si="12"/>
        <v>0</v>
      </c>
      <c r="G313">
        <v>30</v>
      </c>
      <c r="H313">
        <v>432</v>
      </c>
      <c r="I313">
        <v>432</v>
      </c>
      <c r="J313">
        <v>432</v>
      </c>
      <c r="K313">
        <v>321</v>
      </c>
      <c r="L313">
        <v>0</v>
      </c>
      <c r="M313">
        <v>2870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 t="s">
        <v>169</v>
      </c>
      <c r="Y313">
        <v>0</v>
      </c>
      <c r="Z313">
        <v>0</v>
      </c>
      <c r="AA313">
        <v>50</v>
      </c>
      <c r="AB313">
        <v>50</v>
      </c>
      <c r="AC313">
        <v>1</v>
      </c>
    </row>
    <row r="314" spans="1:29">
      <c r="A314">
        <v>9049</v>
      </c>
      <c r="B314">
        <v>2001</v>
      </c>
      <c r="C314">
        <v>19</v>
      </c>
      <c r="D314" t="s">
        <v>221</v>
      </c>
      <c r="E314">
        <v>0</v>
      </c>
      <c r="F314">
        <f t="shared" si="12"/>
        <v>0</v>
      </c>
      <c r="G314">
        <v>6</v>
      </c>
      <c r="H314">
        <v>438</v>
      </c>
      <c r="I314">
        <v>438</v>
      </c>
      <c r="J314">
        <v>438</v>
      </c>
      <c r="K314">
        <v>326</v>
      </c>
      <c r="L314">
        <v>0</v>
      </c>
      <c r="M314">
        <v>2910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 t="s">
        <v>167</v>
      </c>
      <c r="Y314">
        <v>0</v>
      </c>
      <c r="Z314">
        <v>0</v>
      </c>
      <c r="AA314">
        <v>50</v>
      </c>
      <c r="AB314">
        <v>50</v>
      </c>
      <c r="AC314">
        <v>1</v>
      </c>
    </row>
    <row r="315" spans="1:29">
      <c r="A315">
        <v>9050</v>
      </c>
      <c r="B315">
        <v>2002</v>
      </c>
      <c r="C315">
        <v>20</v>
      </c>
      <c r="D315" t="s">
        <v>222</v>
      </c>
      <c r="E315">
        <v>0</v>
      </c>
      <c r="F315">
        <f t="shared" si="12"/>
        <v>0</v>
      </c>
      <c r="G315">
        <v>16</v>
      </c>
      <c r="H315">
        <v>444</v>
      </c>
      <c r="I315">
        <v>444</v>
      </c>
      <c r="J315">
        <v>444</v>
      </c>
      <c r="K315">
        <v>331</v>
      </c>
      <c r="L315">
        <v>0</v>
      </c>
      <c r="M315">
        <v>2951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 t="s">
        <v>168</v>
      </c>
      <c r="Y315">
        <v>0</v>
      </c>
      <c r="Z315">
        <v>0</v>
      </c>
      <c r="AA315">
        <v>50</v>
      </c>
      <c r="AB315">
        <v>50</v>
      </c>
      <c r="AC315">
        <v>1</v>
      </c>
    </row>
    <row r="316" spans="1:29">
      <c r="A316">
        <v>9051</v>
      </c>
      <c r="B316">
        <v>2003</v>
      </c>
      <c r="C316">
        <v>20</v>
      </c>
      <c r="D316" t="s">
        <v>223</v>
      </c>
      <c r="E316">
        <v>0</v>
      </c>
      <c r="F316">
        <f t="shared" si="12"/>
        <v>0</v>
      </c>
      <c r="G316">
        <v>23</v>
      </c>
      <c r="H316">
        <v>450</v>
      </c>
      <c r="I316">
        <v>450</v>
      </c>
      <c r="J316">
        <v>450</v>
      </c>
      <c r="K316">
        <v>336</v>
      </c>
      <c r="L316">
        <v>0</v>
      </c>
      <c r="M316">
        <v>2991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 t="s">
        <v>171</v>
      </c>
      <c r="Y316">
        <v>0</v>
      </c>
      <c r="Z316">
        <v>0</v>
      </c>
      <c r="AA316">
        <v>50</v>
      </c>
      <c r="AB316">
        <v>50</v>
      </c>
      <c r="AC316">
        <v>1</v>
      </c>
    </row>
    <row r="317" spans="1:29">
      <c r="A317">
        <v>9052</v>
      </c>
      <c r="B317">
        <v>2001</v>
      </c>
      <c r="C317">
        <v>20</v>
      </c>
      <c r="D317" t="s">
        <v>224</v>
      </c>
      <c r="E317">
        <v>0</v>
      </c>
      <c r="F317">
        <f t="shared" si="12"/>
        <v>0</v>
      </c>
      <c r="G317">
        <v>10</v>
      </c>
      <c r="H317">
        <v>456</v>
      </c>
      <c r="I317">
        <v>456</v>
      </c>
      <c r="J317">
        <v>456</v>
      </c>
      <c r="K317">
        <v>341</v>
      </c>
      <c r="L317">
        <v>0</v>
      </c>
      <c r="M317">
        <v>3031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 t="s">
        <v>170</v>
      </c>
      <c r="Y317">
        <v>0</v>
      </c>
      <c r="Z317">
        <v>0</v>
      </c>
      <c r="AA317">
        <v>50</v>
      </c>
      <c r="AB317">
        <v>50</v>
      </c>
      <c r="AC317">
        <v>1</v>
      </c>
    </row>
    <row r="318" spans="1:29">
      <c r="A318">
        <v>9053</v>
      </c>
      <c r="B318">
        <v>2002</v>
      </c>
      <c r="C318">
        <v>20</v>
      </c>
      <c r="D318" t="s">
        <v>225</v>
      </c>
      <c r="E318">
        <v>0</v>
      </c>
      <c r="F318">
        <f t="shared" si="12"/>
        <v>0</v>
      </c>
      <c r="G318">
        <v>13</v>
      </c>
      <c r="H318">
        <v>462</v>
      </c>
      <c r="I318">
        <v>462</v>
      </c>
      <c r="J318">
        <v>462</v>
      </c>
      <c r="K318">
        <v>346</v>
      </c>
      <c r="L318">
        <v>0</v>
      </c>
      <c r="M318">
        <v>3072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 t="s">
        <v>601</v>
      </c>
      <c r="Y318">
        <v>0</v>
      </c>
      <c r="Z318">
        <v>0</v>
      </c>
      <c r="AA318">
        <v>50</v>
      </c>
      <c r="AB318">
        <v>50</v>
      </c>
      <c r="AC318">
        <v>1</v>
      </c>
    </row>
    <row r="319" spans="1:29">
      <c r="A319">
        <v>9054</v>
      </c>
      <c r="B319">
        <v>2003</v>
      </c>
      <c r="C319">
        <v>20</v>
      </c>
      <c r="D319" t="s">
        <v>226</v>
      </c>
      <c r="E319">
        <v>0</v>
      </c>
      <c r="F319">
        <f t="shared" si="12"/>
        <v>0</v>
      </c>
      <c r="G319">
        <v>26</v>
      </c>
      <c r="H319">
        <v>468</v>
      </c>
      <c r="I319">
        <v>468</v>
      </c>
      <c r="J319">
        <v>468</v>
      </c>
      <c r="K319">
        <v>351</v>
      </c>
      <c r="L319">
        <v>0</v>
      </c>
      <c r="M319">
        <v>3112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 t="s">
        <v>169</v>
      </c>
      <c r="Y319">
        <v>0</v>
      </c>
      <c r="Z319">
        <v>0</v>
      </c>
      <c r="AA319">
        <v>50</v>
      </c>
      <c r="AB319">
        <v>50</v>
      </c>
      <c r="AC319">
        <v>1</v>
      </c>
    </row>
    <row r="320" spans="1:29">
      <c r="A320">
        <v>9055</v>
      </c>
      <c r="B320">
        <v>2001</v>
      </c>
      <c r="C320">
        <v>21</v>
      </c>
      <c r="D320" t="s">
        <v>227</v>
      </c>
      <c r="E320">
        <v>0</v>
      </c>
      <c r="F320">
        <f t="shared" si="12"/>
        <v>0</v>
      </c>
      <c r="G320">
        <v>5</v>
      </c>
      <c r="H320">
        <v>474</v>
      </c>
      <c r="I320">
        <v>474</v>
      </c>
      <c r="J320">
        <v>474</v>
      </c>
      <c r="K320">
        <v>356</v>
      </c>
      <c r="L320">
        <v>0</v>
      </c>
      <c r="M320">
        <v>3153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 t="s">
        <v>167</v>
      </c>
      <c r="Y320">
        <v>0</v>
      </c>
      <c r="Z320">
        <v>0</v>
      </c>
      <c r="AA320">
        <v>50</v>
      </c>
      <c r="AB320">
        <v>50</v>
      </c>
      <c r="AC320">
        <v>1</v>
      </c>
    </row>
    <row r="321" spans="1:29">
      <c r="A321">
        <v>9056</v>
      </c>
      <c r="B321">
        <v>2002</v>
      </c>
      <c r="C321">
        <v>21</v>
      </c>
      <c r="D321" t="s">
        <v>228</v>
      </c>
      <c r="E321">
        <v>0</v>
      </c>
      <c r="F321">
        <f t="shared" si="12"/>
        <v>0</v>
      </c>
      <c r="G321">
        <v>17</v>
      </c>
      <c r="H321">
        <v>480</v>
      </c>
      <c r="I321">
        <v>480</v>
      </c>
      <c r="J321">
        <v>480</v>
      </c>
      <c r="K321">
        <v>361</v>
      </c>
      <c r="L321">
        <v>0</v>
      </c>
      <c r="M321">
        <v>3193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 t="s">
        <v>168</v>
      </c>
      <c r="Y321">
        <v>0</v>
      </c>
      <c r="Z321">
        <v>0</v>
      </c>
      <c r="AA321">
        <v>50</v>
      </c>
      <c r="AB321">
        <v>50</v>
      </c>
      <c r="AC321">
        <v>1</v>
      </c>
    </row>
    <row r="322" spans="1:29">
      <c r="A322">
        <v>9057</v>
      </c>
      <c r="B322">
        <v>2003</v>
      </c>
      <c r="C322">
        <v>21</v>
      </c>
      <c r="D322" t="s">
        <v>229</v>
      </c>
      <c r="E322">
        <v>0</v>
      </c>
      <c r="F322">
        <f t="shared" si="12"/>
        <v>0</v>
      </c>
      <c r="G322">
        <v>24</v>
      </c>
      <c r="H322">
        <v>486</v>
      </c>
      <c r="I322">
        <v>486</v>
      </c>
      <c r="J322">
        <v>486</v>
      </c>
      <c r="K322">
        <v>366</v>
      </c>
      <c r="L322">
        <v>0</v>
      </c>
      <c r="M322">
        <v>3233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 t="s">
        <v>171</v>
      </c>
      <c r="Y322">
        <v>0</v>
      </c>
      <c r="Z322">
        <v>0</v>
      </c>
      <c r="AA322">
        <v>50</v>
      </c>
      <c r="AB322">
        <v>50</v>
      </c>
      <c r="AC322">
        <v>1</v>
      </c>
    </row>
    <row r="323" spans="1:29">
      <c r="A323">
        <v>9058</v>
      </c>
      <c r="B323">
        <v>2001</v>
      </c>
      <c r="C323">
        <v>21</v>
      </c>
      <c r="D323" t="s">
        <v>230</v>
      </c>
      <c r="E323">
        <v>0</v>
      </c>
      <c r="F323">
        <f t="shared" si="12"/>
        <v>0</v>
      </c>
      <c r="G323">
        <v>5</v>
      </c>
      <c r="H323">
        <v>492</v>
      </c>
      <c r="I323">
        <v>492</v>
      </c>
      <c r="J323">
        <v>492</v>
      </c>
      <c r="K323">
        <v>371</v>
      </c>
      <c r="L323">
        <v>0</v>
      </c>
      <c r="M323">
        <v>3274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 t="s">
        <v>170</v>
      </c>
      <c r="Y323">
        <v>0</v>
      </c>
      <c r="Z323">
        <v>0</v>
      </c>
      <c r="AA323">
        <v>50</v>
      </c>
      <c r="AB323">
        <v>50</v>
      </c>
      <c r="AC323">
        <v>1</v>
      </c>
    </row>
    <row r="324" spans="1:29">
      <c r="A324">
        <v>9059</v>
      </c>
      <c r="B324">
        <v>2002</v>
      </c>
      <c r="C324">
        <v>21</v>
      </c>
      <c r="D324" t="s">
        <v>231</v>
      </c>
      <c r="E324">
        <v>0</v>
      </c>
      <c r="F324">
        <f t="shared" si="12"/>
        <v>0</v>
      </c>
      <c r="G324">
        <v>16</v>
      </c>
      <c r="H324">
        <v>498</v>
      </c>
      <c r="I324">
        <v>498</v>
      </c>
      <c r="J324">
        <v>498</v>
      </c>
      <c r="K324">
        <v>376</v>
      </c>
      <c r="L324">
        <v>0</v>
      </c>
      <c r="M324">
        <v>3314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 t="s">
        <v>601</v>
      </c>
      <c r="Y324">
        <v>0</v>
      </c>
      <c r="Z324">
        <v>0</v>
      </c>
      <c r="AA324">
        <v>50</v>
      </c>
      <c r="AB324">
        <v>50</v>
      </c>
      <c r="AC324">
        <v>1</v>
      </c>
    </row>
    <row r="325" spans="1:29">
      <c r="A325">
        <v>9060</v>
      </c>
      <c r="B325">
        <v>2003</v>
      </c>
      <c r="C325">
        <v>22</v>
      </c>
      <c r="D325" t="s">
        <v>232</v>
      </c>
      <c r="E325">
        <v>0</v>
      </c>
      <c r="F325">
        <f t="shared" si="12"/>
        <v>0</v>
      </c>
      <c r="G325">
        <v>30</v>
      </c>
      <c r="H325">
        <v>504</v>
      </c>
      <c r="I325">
        <v>504</v>
      </c>
      <c r="J325">
        <v>504</v>
      </c>
      <c r="K325">
        <v>381</v>
      </c>
      <c r="L325">
        <v>0</v>
      </c>
      <c r="M325">
        <v>3355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 t="s">
        <v>169</v>
      </c>
      <c r="Y325">
        <v>0</v>
      </c>
      <c r="Z325">
        <v>0</v>
      </c>
      <c r="AA325">
        <v>50</v>
      </c>
      <c r="AB325">
        <v>50</v>
      </c>
      <c r="AC325">
        <v>1</v>
      </c>
    </row>
    <row r="326" spans="1:29">
      <c r="A326">
        <v>9061</v>
      </c>
      <c r="B326">
        <v>2001</v>
      </c>
      <c r="C326">
        <v>22</v>
      </c>
      <c r="D326" t="s">
        <v>233</v>
      </c>
      <c r="E326">
        <v>0</v>
      </c>
      <c r="F326">
        <f t="shared" si="12"/>
        <v>0</v>
      </c>
      <c r="G326">
        <v>10</v>
      </c>
      <c r="H326">
        <v>510</v>
      </c>
      <c r="I326">
        <v>510</v>
      </c>
      <c r="J326">
        <v>510</v>
      </c>
      <c r="K326">
        <v>386</v>
      </c>
      <c r="L326">
        <v>0</v>
      </c>
      <c r="M326">
        <v>3395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 t="s">
        <v>167</v>
      </c>
      <c r="Y326">
        <v>0</v>
      </c>
      <c r="Z326">
        <v>0</v>
      </c>
      <c r="AA326">
        <v>50</v>
      </c>
      <c r="AB326">
        <v>50</v>
      </c>
      <c r="AC326">
        <v>1</v>
      </c>
    </row>
    <row r="327" spans="1:29">
      <c r="A327">
        <v>9062</v>
      </c>
      <c r="B327">
        <v>2002</v>
      </c>
      <c r="C327">
        <v>22</v>
      </c>
      <c r="D327" t="s">
        <v>234</v>
      </c>
      <c r="E327">
        <v>0</v>
      </c>
      <c r="F327">
        <f t="shared" si="12"/>
        <v>0</v>
      </c>
      <c r="G327">
        <v>13</v>
      </c>
      <c r="H327">
        <v>516</v>
      </c>
      <c r="I327">
        <v>516</v>
      </c>
      <c r="J327">
        <v>516</v>
      </c>
      <c r="K327">
        <v>391</v>
      </c>
      <c r="L327">
        <v>0</v>
      </c>
      <c r="M327">
        <v>3435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 t="s">
        <v>168</v>
      </c>
      <c r="Y327">
        <v>0</v>
      </c>
      <c r="Z327">
        <v>0</v>
      </c>
      <c r="AA327">
        <v>50</v>
      </c>
      <c r="AB327">
        <v>50</v>
      </c>
      <c r="AC327">
        <v>1</v>
      </c>
    </row>
    <row r="328" spans="1:29">
      <c r="A328">
        <v>9063</v>
      </c>
      <c r="B328">
        <v>2003</v>
      </c>
      <c r="C328">
        <v>22</v>
      </c>
      <c r="D328" t="s">
        <v>235</v>
      </c>
      <c r="E328">
        <v>0</v>
      </c>
      <c r="F328">
        <f t="shared" si="12"/>
        <v>0</v>
      </c>
      <c r="G328">
        <v>29</v>
      </c>
      <c r="H328">
        <v>522</v>
      </c>
      <c r="I328">
        <v>522</v>
      </c>
      <c r="J328">
        <v>522</v>
      </c>
      <c r="K328">
        <v>396</v>
      </c>
      <c r="L328">
        <v>0</v>
      </c>
      <c r="M328">
        <v>3476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 t="s">
        <v>171</v>
      </c>
      <c r="Y328">
        <v>0</v>
      </c>
      <c r="Z328">
        <v>0</v>
      </c>
      <c r="AA328">
        <v>50</v>
      </c>
      <c r="AB328">
        <v>50</v>
      </c>
      <c r="AC328">
        <v>1</v>
      </c>
    </row>
    <row r="329" spans="1:29">
      <c r="A329">
        <v>9064</v>
      </c>
      <c r="B329">
        <v>2001</v>
      </c>
      <c r="C329">
        <v>22</v>
      </c>
      <c r="D329" t="s">
        <v>236</v>
      </c>
      <c r="E329">
        <v>0</v>
      </c>
      <c r="F329">
        <f t="shared" si="12"/>
        <v>0</v>
      </c>
      <c r="G329">
        <v>3</v>
      </c>
      <c r="H329">
        <v>528</v>
      </c>
      <c r="I329">
        <v>528</v>
      </c>
      <c r="J329">
        <v>528</v>
      </c>
      <c r="K329">
        <v>401</v>
      </c>
      <c r="L329">
        <v>0</v>
      </c>
      <c r="M329">
        <v>3516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 t="s">
        <v>170</v>
      </c>
      <c r="Y329">
        <v>0</v>
      </c>
      <c r="Z329">
        <v>0</v>
      </c>
      <c r="AA329">
        <v>50</v>
      </c>
      <c r="AB329">
        <v>50</v>
      </c>
      <c r="AC329">
        <v>1</v>
      </c>
    </row>
    <row r="330" spans="1:29">
      <c r="A330">
        <v>9065</v>
      </c>
      <c r="B330">
        <v>2002</v>
      </c>
      <c r="C330">
        <v>23</v>
      </c>
      <c r="D330" t="s">
        <v>237</v>
      </c>
      <c r="E330">
        <v>0</v>
      </c>
      <c r="F330">
        <f t="shared" si="12"/>
        <v>0</v>
      </c>
      <c r="G330">
        <v>11</v>
      </c>
      <c r="H330">
        <v>534</v>
      </c>
      <c r="I330">
        <v>534</v>
      </c>
      <c r="J330">
        <v>534</v>
      </c>
      <c r="K330">
        <v>406</v>
      </c>
      <c r="L330">
        <v>0</v>
      </c>
      <c r="M330">
        <v>3557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 t="s">
        <v>601</v>
      </c>
      <c r="Y330">
        <v>0</v>
      </c>
      <c r="Z330">
        <v>0</v>
      </c>
      <c r="AA330">
        <v>50</v>
      </c>
      <c r="AB330">
        <v>50</v>
      </c>
      <c r="AC330">
        <v>1</v>
      </c>
    </row>
    <row r="331" spans="1:29">
      <c r="A331">
        <v>9066</v>
      </c>
      <c r="B331">
        <v>2003</v>
      </c>
      <c r="C331">
        <v>23</v>
      </c>
      <c r="D331" t="s">
        <v>238</v>
      </c>
      <c r="E331">
        <v>0</v>
      </c>
      <c r="F331">
        <f t="shared" si="12"/>
        <v>0</v>
      </c>
      <c r="G331">
        <v>26</v>
      </c>
      <c r="H331">
        <v>540</v>
      </c>
      <c r="I331">
        <v>540</v>
      </c>
      <c r="J331">
        <v>540</v>
      </c>
      <c r="K331">
        <v>411</v>
      </c>
      <c r="L331">
        <v>0</v>
      </c>
      <c r="M331">
        <v>3597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 t="s">
        <v>169</v>
      </c>
      <c r="Y331">
        <v>0</v>
      </c>
      <c r="Z331">
        <v>0</v>
      </c>
      <c r="AA331">
        <v>50</v>
      </c>
      <c r="AB331">
        <v>50</v>
      </c>
      <c r="AC331">
        <v>1</v>
      </c>
    </row>
    <row r="332" spans="1:29">
      <c r="A332">
        <v>9067</v>
      </c>
      <c r="B332">
        <v>2001</v>
      </c>
      <c r="C332">
        <v>23</v>
      </c>
      <c r="D332" t="s">
        <v>239</v>
      </c>
      <c r="E332">
        <v>0</v>
      </c>
      <c r="F332">
        <f t="shared" si="12"/>
        <v>0</v>
      </c>
      <c r="G332">
        <v>8</v>
      </c>
      <c r="H332">
        <v>546</v>
      </c>
      <c r="I332">
        <v>546</v>
      </c>
      <c r="J332">
        <v>546</v>
      </c>
      <c r="K332">
        <v>416</v>
      </c>
      <c r="L332">
        <v>0</v>
      </c>
      <c r="M332">
        <v>3637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 t="s">
        <v>167</v>
      </c>
      <c r="Y332">
        <v>0</v>
      </c>
      <c r="Z332">
        <v>0</v>
      </c>
      <c r="AA332">
        <v>50</v>
      </c>
      <c r="AB332">
        <v>50</v>
      </c>
      <c r="AC332">
        <v>1</v>
      </c>
    </row>
    <row r="333" spans="1:29">
      <c r="A333">
        <v>9068</v>
      </c>
      <c r="B333">
        <v>2002</v>
      </c>
      <c r="C333">
        <v>23</v>
      </c>
      <c r="D333" t="s">
        <v>240</v>
      </c>
      <c r="E333">
        <v>0</v>
      </c>
      <c r="F333">
        <f t="shared" si="12"/>
        <v>0</v>
      </c>
      <c r="G333">
        <v>15</v>
      </c>
      <c r="H333">
        <v>552</v>
      </c>
      <c r="I333">
        <v>552</v>
      </c>
      <c r="J333">
        <v>552</v>
      </c>
      <c r="K333">
        <v>421</v>
      </c>
      <c r="L333">
        <v>0</v>
      </c>
      <c r="M333">
        <v>3678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 t="s">
        <v>168</v>
      </c>
      <c r="Y333">
        <v>0</v>
      </c>
      <c r="Z333">
        <v>0</v>
      </c>
      <c r="AA333">
        <v>50</v>
      </c>
      <c r="AB333">
        <v>50</v>
      </c>
      <c r="AC333">
        <v>1</v>
      </c>
    </row>
    <row r="334" spans="1:29">
      <c r="A334">
        <v>9069</v>
      </c>
      <c r="B334">
        <v>2003</v>
      </c>
      <c r="C334">
        <v>23</v>
      </c>
      <c r="D334" t="s">
        <v>241</v>
      </c>
      <c r="E334">
        <v>0</v>
      </c>
      <c r="F334">
        <f t="shared" si="12"/>
        <v>0</v>
      </c>
      <c r="G334">
        <v>21</v>
      </c>
      <c r="H334">
        <v>558</v>
      </c>
      <c r="I334">
        <v>558</v>
      </c>
      <c r="J334">
        <v>558</v>
      </c>
      <c r="K334">
        <v>426</v>
      </c>
      <c r="L334">
        <v>0</v>
      </c>
      <c r="M334">
        <v>3718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 t="s">
        <v>171</v>
      </c>
      <c r="Y334">
        <v>0</v>
      </c>
      <c r="Z334">
        <v>0</v>
      </c>
      <c r="AA334">
        <v>50</v>
      </c>
      <c r="AB334">
        <v>50</v>
      </c>
      <c r="AC334">
        <v>1</v>
      </c>
    </row>
    <row r="335" spans="1:29">
      <c r="A335">
        <v>9070</v>
      </c>
      <c r="B335">
        <v>2001</v>
      </c>
      <c r="C335">
        <v>23</v>
      </c>
      <c r="D335" t="s">
        <v>242</v>
      </c>
      <c r="E335">
        <v>0</v>
      </c>
      <c r="F335">
        <f t="shared" si="12"/>
        <v>0</v>
      </c>
      <c r="G335">
        <v>8</v>
      </c>
      <c r="H335">
        <v>564</v>
      </c>
      <c r="I335">
        <v>564</v>
      </c>
      <c r="J335">
        <v>564</v>
      </c>
      <c r="K335">
        <v>431</v>
      </c>
      <c r="L335">
        <v>0</v>
      </c>
      <c r="M335">
        <v>3759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 t="s">
        <v>170</v>
      </c>
      <c r="Y335">
        <v>0</v>
      </c>
      <c r="Z335">
        <v>0</v>
      </c>
      <c r="AA335">
        <v>50</v>
      </c>
      <c r="AB335">
        <v>50</v>
      </c>
      <c r="AC335">
        <v>1</v>
      </c>
    </row>
    <row r="336" spans="1:29">
      <c r="A336">
        <v>9071</v>
      </c>
      <c r="B336">
        <v>2001</v>
      </c>
      <c r="C336">
        <v>25</v>
      </c>
      <c r="D336" t="s">
        <v>243</v>
      </c>
      <c r="E336">
        <v>0</v>
      </c>
      <c r="F336">
        <f t="shared" ref="F336:F345" si="13">E336</f>
        <v>0</v>
      </c>
      <c r="G336">
        <v>7</v>
      </c>
      <c r="H336">
        <v>570</v>
      </c>
      <c r="I336">
        <v>570</v>
      </c>
      <c r="J336">
        <v>570</v>
      </c>
      <c r="K336">
        <v>436</v>
      </c>
      <c r="L336">
        <v>0</v>
      </c>
      <c r="M336">
        <v>3799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 t="s">
        <v>601</v>
      </c>
      <c r="Y336">
        <v>0</v>
      </c>
      <c r="Z336">
        <v>0</v>
      </c>
      <c r="AA336">
        <v>50</v>
      </c>
      <c r="AB336">
        <v>50</v>
      </c>
      <c r="AC336">
        <v>1</v>
      </c>
    </row>
    <row r="337" spans="1:29">
      <c r="A337">
        <v>9072</v>
      </c>
      <c r="B337">
        <v>2003</v>
      </c>
      <c r="C337">
        <v>25</v>
      </c>
      <c r="D337" t="s">
        <v>244</v>
      </c>
      <c r="E337">
        <v>0</v>
      </c>
      <c r="F337">
        <f t="shared" si="13"/>
        <v>0</v>
      </c>
      <c r="G337">
        <v>27</v>
      </c>
      <c r="H337">
        <v>576</v>
      </c>
      <c r="I337">
        <v>576</v>
      </c>
      <c r="J337">
        <v>576</v>
      </c>
      <c r="K337">
        <v>441</v>
      </c>
      <c r="L337">
        <v>0</v>
      </c>
      <c r="M337">
        <v>3839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 t="s">
        <v>169</v>
      </c>
      <c r="Y337">
        <v>0</v>
      </c>
      <c r="Z337">
        <v>0</v>
      </c>
      <c r="AA337">
        <v>50</v>
      </c>
      <c r="AB337">
        <v>50</v>
      </c>
      <c r="AC337">
        <v>1</v>
      </c>
    </row>
    <row r="338" spans="1:29">
      <c r="A338">
        <v>9073</v>
      </c>
      <c r="B338">
        <v>2003</v>
      </c>
      <c r="C338">
        <v>24</v>
      </c>
      <c r="D338" t="s">
        <v>245</v>
      </c>
      <c r="E338">
        <v>0</v>
      </c>
      <c r="F338">
        <f t="shared" si="13"/>
        <v>0</v>
      </c>
      <c r="G338">
        <v>29</v>
      </c>
      <c r="H338">
        <v>582</v>
      </c>
      <c r="I338">
        <v>582</v>
      </c>
      <c r="J338">
        <v>582</v>
      </c>
      <c r="K338">
        <v>446</v>
      </c>
      <c r="L338">
        <v>0</v>
      </c>
      <c r="M338">
        <v>3880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 t="s">
        <v>167</v>
      </c>
      <c r="Y338">
        <v>0</v>
      </c>
      <c r="Z338">
        <v>0</v>
      </c>
      <c r="AA338">
        <v>50</v>
      </c>
      <c r="AB338">
        <v>50</v>
      </c>
      <c r="AC338">
        <v>1</v>
      </c>
    </row>
    <row r="339" spans="1:29">
      <c r="A339">
        <v>9074</v>
      </c>
      <c r="B339">
        <v>2002</v>
      </c>
      <c r="C339">
        <v>25</v>
      </c>
      <c r="D339" t="s">
        <v>246</v>
      </c>
      <c r="E339">
        <v>0</v>
      </c>
      <c r="F339">
        <f t="shared" si="13"/>
        <v>0</v>
      </c>
      <c r="G339">
        <v>17</v>
      </c>
      <c r="H339">
        <v>588</v>
      </c>
      <c r="I339">
        <v>588</v>
      </c>
      <c r="J339">
        <v>588</v>
      </c>
      <c r="K339">
        <v>451</v>
      </c>
      <c r="L339">
        <v>0</v>
      </c>
      <c r="M339">
        <v>3920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 t="s">
        <v>168</v>
      </c>
      <c r="Y339">
        <v>0</v>
      </c>
      <c r="Z339">
        <v>0</v>
      </c>
      <c r="AA339">
        <v>50</v>
      </c>
      <c r="AB339">
        <v>50</v>
      </c>
      <c r="AC339">
        <v>1</v>
      </c>
    </row>
    <row r="340" spans="1:29">
      <c r="A340">
        <v>9075</v>
      </c>
      <c r="B340">
        <v>2001</v>
      </c>
      <c r="C340">
        <v>27</v>
      </c>
      <c r="D340" t="s">
        <v>247</v>
      </c>
      <c r="E340">
        <v>0</v>
      </c>
      <c r="F340">
        <f t="shared" si="13"/>
        <v>0</v>
      </c>
      <c r="G340">
        <v>4</v>
      </c>
      <c r="H340">
        <v>594</v>
      </c>
      <c r="I340">
        <v>594</v>
      </c>
      <c r="J340">
        <v>594</v>
      </c>
      <c r="K340">
        <v>456</v>
      </c>
      <c r="L340">
        <v>0</v>
      </c>
      <c r="M340">
        <v>3961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 t="s">
        <v>171</v>
      </c>
      <c r="Y340">
        <v>0</v>
      </c>
      <c r="Z340">
        <v>0</v>
      </c>
      <c r="AA340">
        <v>50</v>
      </c>
      <c r="AB340">
        <v>50</v>
      </c>
      <c r="AC340">
        <v>1</v>
      </c>
    </row>
    <row r="341" spans="1:29">
      <c r="A341">
        <v>9076</v>
      </c>
      <c r="B341">
        <v>2003</v>
      </c>
      <c r="C341">
        <v>28</v>
      </c>
      <c r="D341" t="s">
        <v>248</v>
      </c>
      <c r="E341">
        <v>0</v>
      </c>
      <c r="F341">
        <f t="shared" si="13"/>
        <v>0</v>
      </c>
      <c r="G341">
        <v>29</v>
      </c>
      <c r="H341">
        <v>600</v>
      </c>
      <c r="I341">
        <v>600</v>
      </c>
      <c r="J341">
        <v>600</v>
      </c>
      <c r="K341">
        <v>461</v>
      </c>
      <c r="L341">
        <v>0</v>
      </c>
      <c r="M341">
        <v>4001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 t="s">
        <v>170</v>
      </c>
      <c r="Y341">
        <v>0</v>
      </c>
      <c r="Z341">
        <v>0</v>
      </c>
      <c r="AA341">
        <v>50</v>
      </c>
      <c r="AB341">
        <v>50</v>
      </c>
      <c r="AC341">
        <v>1</v>
      </c>
    </row>
    <row r="342" spans="1:29">
      <c r="A342">
        <v>9077</v>
      </c>
      <c r="B342">
        <v>2002</v>
      </c>
      <c r="C342">
        <v>28</v>
      </c>
      <c r="D342" t="s">
        <v>249</v>
      </c>
      <c r="E342">
        <v>0</v>
      </c>
      <c r="F342">
        <f t="shared" si="13"/>
        <v>0</v>
      </c>
      <c r="G342">
        <v>13</v>
      </c>
      <c r="H342">
        <v>606</v>
      </c>
      <c r="I342">
        <v>606</v>
      </c>
      <c r="J342">
        <v>606</v>
      </c>
      <c r="K342">
        <v>466</v>
      </c>
      <c r="L342">
        <v>0</v>
      </c>
      <c r="M342">
        <v>4041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 t="s">
        <v>601</v>
      </c>
      <c r="Y342">
        <v>0</v>
      </c>
      <c r="Z342">
        <v>0</v>
      </c>
      <c r="AA342">
        <v>50</v>
      </c>
      <c r="AB342">
        <v>50</v>
      </c>
      <c r="AC342">
        <v>1</v>
      </c>
    </row>
    <row r="343" spans="1:29">
      <c r="A343">
        <v>9078</v>
      </c>
      <c r="B343">
        <v>2003</v>
      </c>
      <c r="C343">
        <v>29</v>
      </c>
      <c r="D343" t="s">
        <v>250</v>
      </c>
      <c r="E343">
        <v>0</v>
      </c>
      <c r="F343">
        <f t="shared" si="13"/>
        <v>0</v>
      </c>
      <c r="G343">
        <v>27</v>
      </c>
      <c r="H343">
        <v>612</v>
      </c>
      <c r="I343">
        <v>612</v>
      </c>
      <c r="J343">
        <v>612</v>
      </c>
      <c r="K343">
        <v>471</v>
      </c>
      <c r="L343">
        <v>0</v>
      </c>
      <c r="M343">
        <v>4082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 t="s">
        <v>169</v>
      </c>
      <c r="Y343">
        <v>0</v>
      </c>
      <c r="Z343">
        <v>0</v>
      </c>
      <c r="AA343">
        <v>50</v>
      </c>
      <c r="AB343">
        <v>50</v>
      </c>
      <c r="AC343">
        <v>1</v>
      </c>
    </row>
    <row r="344" spans="1:29">
      <c r="A344">
        <v>9079</v>
      </c>
      <c r="B344">
        <v>2001</v>
      </c>
      <c r="C344">
        <v>32</v>
      </c>
      <c r="D344" t="s">
        <v>251</v>
      </c>
      <c r="E344">
        <v>0</v>
      </c>
      <c r="F344">
        <f t="shared" si="13"/>
        <v>0</v>
      </c>
      <c r="G344">
        <v>7</v>
      </c>
      <c r="H344">
        <v>618</v>
      </c>
      <c r="I344">
        <v>618</v>
      </c>
      <c r="J344">
        <v>618</v>
      </c>
      <c r="K344">
        <v>476</v>
      </c>
      <c r="L344">
        <v>0</v>
      </c>
      <c r="M344">
        <v>4122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 t="s">
        <v>167</v>
      </c>
      <c r="Y344">
        <v>0</v>
      </c>
      <c r="Z344">
        <v>0</v>
      </c>
      <c r="AA344">
        <v>50</v>
      </c>
      <c r="AB344">
        <v>50</v>
      </c>
      <c r="AC344">
        <v>1</v>
      </c>
    </row>
    <row r="345" spans="1:29">
      <c r="A345">
        <v>9080</v>
      </c>
      <c r="B345">
        <v>2001</v>
      </c>
      <c r="C345">
        <v>31</v>
      </c>
      <c r="D345" t="s">
        <v>252</v>
      </c>
      <c r="E345">
        <v>0</v>
      </c>
      <c r="F345">
        <f t="shared" si="13"/>
        <v>0</v>
      </c>
      <c r="G345">
        <v>5</v>
      </c>
      <c r="H345">
        <v>624</v>
      </c>
      <c r="I345">
        <v>624</v>
      </c>
      <c r="J345">
        <v>624</v>
      </c>
      <c r="K345">
        <v>481</v>
      </c>
      <c r="L345">
        <v>0</v>
      </c>
      <c r="M345">
        <v>4163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 t="s">
        <v>168</v>
      </c>
      <c r="Y345">
        <v>0</v>
      </c>
      <c r="Z345">
        <v>0</v>
      </c>
      <c r="AA345">
        <v>50</v>
      </c>
      <c r="AB345">
        <v>50</v>
      </c>
      <c r="AC345">
        <v>1</v>
      </c>
    </row>
    <row r="346" spans="1:29">
      <c r="A346">
        <v>9081</v>
      </c>
      <c r="B346">
        <v>2002</v>
      </c>
      <c r="C346">
        <v>32</v>
      </c>
      <c r="D346" t="s">
        <v>253</v>
      </c>
      <c r="E346">
        <v>0</v>
      </c>
      <c r="F346">
        <f>E346</f>
        <v>0</v>
      </c>
      <c r="G346">
        <v>12</v>
      </c>
      <c r="H346">
        <v>630</v>
      </c>
      <c r="I346">
        <v>630</v>
      </c>
      <c r="J346">
        <v>630</v>
      </c>
      <c r="K346">
        <v>486</v>
      </c>
      <c r="L346">
        <v>0</v>
      </c>
      <c r="M346">
        <v>4203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 t="s">
        <v>171</v>
      </c>
      <c r="Y346">
        <v>0</v>
      </c>
      <c r="Z346">
        <v>0</v>
      </c>
      <c r="AA346">
        <v>50</v>
      </c>
      <c r="AB346">
        <v>50</v>
      </c>
      <c r="AC346">
        <v>1</v>
      </c>
    </row>
    <row r="347" spans="1:29">
      <c r="A347">
        <v>1030011</v>
      </c>
      <c r="B347">
        <v>2001</v>
      </c>
      <c r="C347">
        <v>30</v>
      </c>
      <c r="D347" t="s">
        <v>550</v>
      </c>
      <c r="E347">
        <f>VLOOKUP(C347,C$6:F$212,3,0)*5</f>
        <v>660</v>
      </c>
      <c r="F347">
        <f>E347</f>
        <v>660</v>
      </c>
      <c r="G347" s="2">
        <v>3</v>
      </c>
      <c r="H347">
        <v>0</v>
      </c>
      <c r="I347">
        <v>0</v>
      </c>
      <c r="J347">
        <v>0</v>
      </c>
      <c r="K347">
        <v>0</v>
      </c>
      <c r="L347">
        <v>31817</v>
      </c>
      <c r="M347">
        <v>500</v>
      </c>
      <c r="N347">
        <v>2320</v>
      </c>
      <c r="O347">
        <v>2784</v>
      </c>
      <c r="P347">
        <v>20</v>
      </c>
      <c r="Q347">
        <v>0</v>
      </c>
      <c r="R347">
        <v>0</v>
      </c>
      <c r="S347">
        <v>0</v>
      </c>
      <c r="T347">
        <v>1206</v>
      </c>
      <c r="U347">
        <v>346</v>
      </c>
      <c r="V347">
        <v>0</v>
      </c>
      <c r="W347">
        <v>0</v>
      </c>
      <c r="X347" t="s">
        <v>591</v>
      </c>
      <c r="Y347">
        <v>1</v>
      </c>
      <c r="Z347">
        <v>0</v>
      </c>
      <c r="AA347">
        <v>50</v>
      </c>
      <c r="AB347">
        <v>25</v>
      </c>
      <c r="AC347">
        <v>0.4</v>
      </c>
    </row>
    <row r="348" spans="1:29">
      <c r="A348">
        <v>1030021</v>
      </c>
      <c r="B348">
        <v>2001</v>
      </c>
      <c r="C348">
        <v>30</v>
      </c>
      <c r="D348" t="s">
        <v>551</v>
      </c>
      <c r="E348">
        <f t="shared" ref="E348:E419" si="14">VLOOKUP(C348,C$6:F$212,3,0)*5</f>
        <v>660</v>
      </c>
      <c r="F348">
        <f t="shared" ref="F348:F419" si="15">E348</f>
        <v>660</v>
      </c>
      <c r="G348" s="2" t="s">
        <v>628</v>
      </c>
      <c r="H348">
        <v>0</v>
      </c>
      <c r="I348">
        <v>0</v>
      </c>
      <c r="J348">
        <v>0</v>
      </c>
      <c r="K348">
        <v>0</v>
      </c>
      <c r="L348">
        <v>26745</v>
      </c>
      <c r="M348">
        <v>2675</v>
      </c>
      <c r="N348">
        <v>3686</v>
      </c>
      <c r="O348">
        <v>4423</v>
      </c>
      <c r="P348">
        <v>20</v>
      </c>
      <c r="Q348">
        <v>0</v>
      </c>
      <c r="R348">
        <v>0</v>
      </c>
      <c r="S348">
        <v>0</v>
      </c>
      <c r="T348">
        <v>0</v>
      </c>
      <c r="U348">
        <v>346</v>
      </c>
      <c r="V348">
        <v>0</v>
      </c>
      <c r="W348">
        <v>0</v>
      </c>
      <c r="X348" t="s">
        <v>592</v>
      </c>
      <c r="Y348">
        <v>1</v>
      </c>
      <c r="Z348">
        <v>0</v>
      </c>
      <c r="AA348">
        <v>50</v>
      </c>
      <c r="AB348">
        <v>25</v>
      </c>
      <c r="AC348">
        <v>0.4</v>
      </c>
    </row>
    <row r="349" spans="1:29">
      <c r="A349">
        <v>1030031</v>
      </c>
      <c r="B349">
        <v>2001</v>
      </c>
      <c r="C349">
        <v>31</v>
      </c>
      <c r="D349" t="s">
        <v>552</v>
      </c>
      <c r="E349">
        <f t="shared" si="14"/>
        <v>690</v>
      </c>
      <c r="F349">
        <f t="shared" si="15"/>
        <v>690</v>
      </c>
      <c r="G349" s="2">
        <v>5</v>
      </c>
      <c r="H349">
        <v>0</v>
      </c>
      <c r="I349">
        <v>0</v>
      </c>
      <c r="J349">
        <v>0</v>
      </c>
      <c r="K349">
        <v>0</v>
      </c>
      <c r="L349">
        <v>51769</v>
      </c>
      <c r="M349">
        <v>1010</v>
      </c>
      <c r="N349">
        <v>2653</v>
      </c>
      <c r="O349">
        <v>3184</v>
      </c>
      <c r="P349">
        <v>50</v>
      </c>
      <c r="Q349">
        <v>0</v>
      </c>
      <c r="R349">
        <v>0</v>
      </c>
      <c r="S349">
        <v>0</v>
      </c>
      <c r="T349">
        <v>0</v>
      </c>
      <c r="U349">
        <v>369</v>
      </c>
      <c r="V349">
        <v>0</v>
      </c>
      <c r="W349">
        <v>0</v>
      </c>
      <c r="X349" t="s">
        <v>593</v>
      </c>
      <c r="Y349">
        <v>1</v>
      </c>
      <c r="Z349">
        <v>0</v>
      </c>
      <c r="AA349">
        <v>50</v>
      </c>
      <c r="AB349">
        <v>25</v>
      </c>
      <c r="AC349">
        <v>0.4</v>
      </c>
    </row>
    <row r="350" spans="1:29">
      <c r="A350">
        <v>1030041</v>
      </c>
      <c r="B350">
        <v>2001</v>
      </c>
      <c r="C350">
        <v>31</v>
      </c>
      <c r="D350" t="s">
        <v>553</v>
      </c>
      <c r="E350">
        <f t="shared" si="14"/>
        <v>690</v>
      </c>
      <c r="F350">
        <f t="shared" si="15"/>
        <v>690</v>
      </c>
      <c r="G350" s="2">
        <v>16</v>
      </c>
      <c r="H350">
        <v>0</v>
      </c>
      <c r="I350">
        <v>0</v>
      </c>
      <c r="J350">
        <v>0</v>
      </c>
      <c r="K350">
        <v>0</v>
      </c>
      <c r="L350">
        <v>46835</v>
      </c>
      <c r="M350">
        <v>2020</v>
      </c>
      <c r="N350">
        <v>2784</v>
      </c>
      <c r="O350">
        <v>3341</v>
      </c>
      <c r="P350">
        <v>50</v>
      </c>
      <c r="Q350">
        <v>0</v>
      </c>
      <c r="R350">
        <v>0</v>
      </c>
      <c r="S350">
        <v>0</v>
      </c>
      <c r="T350">
        <v>0</v>
      </c>
      <c r="U350">
        <v>917</v>
      </c>
      <c r="V350">
        <v>0</v>
      </c>
      <c r="W350">
        <v>0</v>
      </c>
      <c r="X350" t="s">
        <v>594</v>
      </c>
      <c r="Y350">
        <v>1</v>
      </c>
      <c r="Z350">
        <v>0</v>
      </c>
      <c r="AA350">
        <v>50</v>
      </c>
      <c r="AB350">
        <v>25</v>
      </c>
      <c r="AC350">
        <v>0.4</v>
      </c>
    </row>
    <row r="351" spans="1:29">
      <c r="A351">
        <v>1030051</v>
      </c>
      <c r="B351">
        <v>2001</v>
      </c>
      <c r="C351">
        <v>31</v>
      </c>
      <c r="D351" t="s">
        <v>554</v>
      </c>
      <c r="E351">
        <f t="shared" si="14"/>
        <v>690</v>
      </c>
      <c r="F351">
        <f t="shared" si="15"/>
        <v>690</v>
      </c>
      <c r="G351" s="2">
        <v>4</v>
      </c>
      <c r="H351">
        <v>0</v>
      </c>
      <c r="I351">
        <v>0</v>
      </c>
      <c r="J351">
        <v>0</v>
      </c>
      <c r="K351">
        <v>0</v>
      </c>
      <c r="L351">
        <v>66205</v>
      </c>
      <c r="M351">
        <v>1010</v>
      </c>
      <c r="N351">
        <v>2483</v>
      </c>
      <c r="O351">
        <v>2980</v>
      </c>
      <c r="P351">
        <v>50</v>
      </c>
      <c r="Q351">
        <v>0</v>
      </c>
      <c r="R351">
        <v>0</v>
      </c>
      <c r="S351">
        <v>0</v>
      </c>
      <c r="T351">
        <v>0</v>
      </c>
      <c r="U351">
        <v>369</v>
      </c>
      <c r="V351">
        <v>0</v>
      </c>
      <c r="W351">
        <v>0</v>
      </c>
      <c r="X351" t="s">
        <v>595</v>
      </c>
      <c r="Y351">
        <v>1</v>
      </c>
      <c r="Z351">
        <v>0</v>
      </c>
      <c r="AA351">
        <v>50</v>
      </c>
      <c r="AB351">
        <v>25</v>
      </c>
      <c r="AC351">
        <v>0.4</v>
      </c>
    </row>
    <row r="352" spans="1:29">
      <c r="A352">
        <v>1030061</v>
      </c>
      <c r="B352">
        <v>2001</v>
      </c>
      <c r="C352">
        <v>32</v>
      </c>
      <c r="D352" t="s">
        <v>555</v>
      </c>
      <c r="E352">
        <f t="shared" si="14"/>
        <v>720</v>
      </c>
      <c r="F352">
        <f t="shared" si="15"/>
        <v>720</v>
      </c>
      <c r="G352" s="2">
        <v>10</v>
      </c>
      <c r="H352">
        <v>0</v>
      </c>
      <c r="I352">
        <v>0</v>
      </c>
      <c r="J352">
        <v>0</v>
      </c>
      <c r="K352">
        <v>0</v>
      </c>
      <c r="L352">
        <v>77082</v>
      </c>
      <c r="M352">
        <v>2040</v>
      </c>
      <c r="N352">
        <v>3738</v>
      </c>
      <c r="O352">
        <v>4486</v>
      </c>
      <c r="P352">
        <v>80</v>
      </c>
      <c r="Q352">
        <v>10</v>
      </c>
      <c r="R352">
        <v>10</v>
      </c>
      <c r="S352">
        <v>0</v>
      </c>
      <c r="T352">
        <v>798</v>
      </c>
      <c r="U352">
        <v>393</v>
      </c>
      <c r="V352">
        <v>0</v>
      </c>
      <c r="W352">
        <v>0</v>
      </c>
      <c r="X352" t="s">
        <v>596</v>
      </c>
      <c r="Y352">
        <v>1</v>
      </c>
      <c r="Z352">
        <v>0</v>
      </c>
      <c r="AA352">
        <v>50</v>
      </c>
      <c r="AB352">
        <v>25</v>
      </c>
      <c r="AC352">
        <v>0.4</v>
      </c>
    </row>
    <row r="353" spans="1:29">
      <c r="A353">
        <v>1030071</v>
      </c>
      <c r="B353">
        <v>2001</v>
      </c>
      <c r="C353">
        <v>32</v>
      </c>
      <c r="D353" t="s">
        <v>556</v>
      </c>
      <c r="E353">
        <f t="shared" si="14"/>
        <v>720</v>
      </c>
      <c r="F353">
        <f t="shared" si="15"/>
        <v>720</v>
      </c>
      <c r="G353" s="2">
        <v>3</v>
      </c>
      <c r="H353">
        <v>0</v>
      </c>
      <c r="I353">
        <v>0</v>
      </c>
      <c r="J353">
        <v>0</v>
      </c>
      <c r="K353">
        <v>0</v>
      </c>
      <c r="L353">
        <v>46249</v>
      </c>
      <c r="M353">
        <v>1020</v>
      </c>
      <c r="N353">
        <v>1090</v>
      </c>
      <c r="O353">
        <v>1308</v>
      </c>
      <c r="P353">
        <v>80</v>
      </c>
      <c r="Q353">
        <v>10</v>
      </c>
      <c r="R353">
        <v>10</v>
      </c>
      <c r="S353">
        <v>0</v>
      </c>
      <c r="T353">
        <v>0</v>
      </c>
      <c r="U353">
        <v>393</v>
      </c>
      <c r="V353">
        <v>0</v>
      </c>
      <c r="W353">
        <v>0</v>
      </c>
      <c r="X353" t="s">
        <v>597</v>
      </c>
      <c r="Y353">
        <v>1</v>
      </c>
      <c r="Z353">
        <v>0</v>
      </c>
      <c r="AA353">
        <v>50</v>
      </c>
      <c r="AB353">
        <v>25</v>
      </c>
      <c r="AC353">
        <v>0.4</v>
      </c>
    </row>
    <row r="354" spans="1:29">
      <c r="A354">
        <f>A353+1</f>
        <v>1030072</v>
      </c>
      <c r="B354">
        <v>2001</v>
      </c>
      <c r="C354">
        <f>C353</f>
        <v>32</v>
      </c>
      <c r="D354" t="s">
        <v>582</v>
      </c>
      <c r="E354">
        <f>E353</f>
        <v>720</v>
      </c>
      <c r="F354">
        <f t="shared" ref="F354" si="16">F353</f>
        <v>720</v>
      </c>
      <c r="G354" s="2" t="s">
        <v>629</v>
      </c>
      <c r="H354">
        <f t="shared" ref="H354" si="17">H353</f>
        <v>0</v>
      </c>
      <c r="I354">
        <f t="shared" ref="I354" si="18">I353</f>
        <v>0</v>
      </c>
      <c r="J354">
        <f t="shared" ref="J354" si="19">J353</f>
        <v>0</v>
      </c>
      <c r="K354">
        <f t="shared" ref="K354" si="20">K353</f>
        <v>0</v>
      </c>
      <c r="L354">
        <v>34458</v>
      </c>
      <c r="M354">
        <v>1020</v>
      </c>
      <c r="N354">
        <v>1973</v>
      </c>
      <c r="O354">
        <v>2368</v>
      </c>
      <c r="P354">
        <v>80</v>
      </c>
      <c r="Q354">
        <v>10</v>
      </c>
      <c r="R354">
        <v>10</v>
      </c>
      <c r="S354">
        <v>0</v>
      </c>
      <c r="T354">
        <v>0</v>
      </c>
      <c r="U354">
        <v>393</v>
      </c>
      <c r="V354">
        <v>0</v>
      </c>
      <c r="W354">
        <v>0</v>
      </c>
      <c r="X354" t="s">
        <v>62</v>
      </c>
      <c r="Y354">
        <v>1</v>
      </c>
      <c r="Z354">
        <v>0</v>
      </c>
      <c r="AA354">
        <v>50</v>
      </c>
      <c r="AB354">
        <v>25</v>
      </c>
      <c r="AC354">
        <v>0.4</v>
      </c>
    </row>
    <row r="355" spans="1:29">
      <c r="A355">
        <v>1030081</v>
      </c>
      <c r="B355">
        <v>2001</v>
      </c>
      <c r="C355">
        <v>33</v>
      </c>
      <c r="D355" t="s">
        <v>557</v>
      </c>
      <c r="E355">
        <f t="shared" si="14"/>
        <v>750</v>
      </c>
      <c r="F355">
        <f t="shared" si="15"/>
        <v>750</v>
      </c>
      <c r="G355" s="2">
        <v>7</v>
      </c>
      <c r="H355">
        <v>0</v>
      </c>
      <c r="I355">
        <v>0</v>
      </c>
      <c r="J355">
        <v>0</v>
      </c>
      <c r="K355">
        <v>0</v>
      </c>
      <c r="L355">
        <v>95276</v>
      </c>
      <c r="M355">
        <v>1030</v>
      </c>
      <c r="N355">
        <v>3472</v>
      </c>
      <c r="O355">
        <v>4166</v>
      </c>
      <c r="P355">
        <v>110</v>
      </c>
      <c r="Q355">
        <v>20</v>
      </c>
      <c r="R355">
        <v>20</v>
      </c>
      <c r="S355">
        <v>0</v>
      </c>
      <c r="T355">
        <v>0</v>
      </c>
      <c r="U355">
        <v>417</v>
      </c>
      <c r="V355">
        <v>0</v>
      </c>
      <c r="W355">
        <v>0</v>
      </c>
      <c r="X355" t="s">
        <v>598</v>
      </c>
      <c r="Y355">
        <v>1</v>
      </c>
      <c r="Z355">
        <v>0</v>
      </c>
      <c r="AA355">
        <v>50</v>
      </c>
      <c r="AB355">
        <v>25</v>
      </c>
      <c r="AC355">
        <v>0.4</v>
      </c>
    </row>
    <row r="356" spans="1:29">
      <c r="A356">
        <v>1030091</v>
      </c>
      <c r="B356">
        <v>2001</v>
      </c>
      <c r="C356">
        <v>34</v>
      </c>
      <c r="D356" t="s">
        <v>558</v>
      </c>
      <c r="E356">
        <f t="shared" si="14"/>
        <v>780</v>
      </c>
      <c r="F356">
        <f t="shared" si="15"/>
        <v>780</v>
      </c>
      <c r="G356" s="2">
        <v>15</v>
      </c>
      <c r="H356">
        <v>0</v>
      </c>
      <c r="I356">
        <v>0</v>
      </c>
      <c r="J356">
        <v>0</v>
      </c>
      <c r="K356">
        <v>0</v>
      </c>
      <c r="L356">
        <v>109493</v>
      </c>
      <c r="M356">
        <v>1040</v>
      </c>
      <c r="N356">
        <v>3732</v>
      </c>
      <c r="O356">
        <v>4478</v>
      </c>
      <c r="P356">
        <v>140</v>
      </c>
      <c r="Q356">
        <v>30</v>
      </c>
      <c r="R356">
        <v>30</v>
      </c>
      <c r="S356">
        <v>0</v>
      </c>
      <c r="T356">
        <v>0</v>
      </c>
      <c r="U356">
        <v>442</v>
      </c>
      <c r="V356">
        <v>0</v>
      </c>
      <c r="W356">
        <v>0</v>
      </c>
      <c r="X356" t="s">
        <v>599</v>
      </c>
      <c r="Y356">
        <v>1</v>
      </c>
      <c r="Z356">
        <v>0</v>
      </c>
      <c r="AA356">
        <v>50</v>
      </c>
      <c r="AB356">
        <v>25</v>
      </c>
      <c r="AC356">
        <v>0.4</v>
      </c>
    </row>
    <row r="357" spans="1:29">
      <c r="A357">
        <v>1035011</v>
      </c>
      <c r="B357">
        <v>2001</v>
      </c>
      <c r="C357">
        <v>35</v>
      </c>
      <c r="D357" t="s">
        <v>550</v>
      </c>
      <c r="E357">
        <f t="shared" si="14"/>
        <v>810</v>
      </c>
      <c r="F357">
        <f t="shared" si="15"/>
        <v>810</v>
      </c>
      <c r="G357" s="2">
        <v>3</v>
      </c>
      <c r="H357">
        <v>0</v>
      </c>
      <c r="I357">
        <v>0</v>
      </c>
      <c r="J357">
        <v>0</v>
      </c>
      <c r="K357">
        <v>0</v>
      </c>
      <c r="L357">
        <v>52983</v>
      </c>
      <c r="M357">
        <v>525</v>
      </c>
      <c r="N357">
        <v>3472</v>
      </c>
      <c r="O357">
        <v>4166</v>
      </c>
      <c r="P357">
        <v>170</v>
      </c>
      <c r="Q357">
        <v>40</v>
      </c>
      <c r="R357">
        <v>40</v>
      </c>
      <c r="S357">
        <v>0</v>
      </c>
      <c r="T357">
        <v>1629</v>
      </c>
      <c r="U357">
        <v>468</v>
      </c>
      <c r="V357">
        <v>0</v>
      </c>
      <c r="W357">
        <v>0</v>
      </c>
      <c r="X357" t="s">
        <v>591</v>
      </c>
      <c r="Y357">
        <v>1</v>
      </c>
      <c r="Z357">
        <v>0</v>
      </c>
      <c r="AA357">
        <v>50</v>
      </c>
      <c r="AB357">
        <v>25</v>
      </c>
      <c r="AC357">
        <v>0.4</v>
      </c>
    </row>
    <row r="358" spans="1:29">
      <c r="A358">
        <v>1035021</v>
      </c>
      <c r="B358">
        <v>2001</v>
      </c>
      <c r="C358">
        <v>35</v>
      </c>
      <c r="D358" t="s">
        <v>551</v>
      </c>
      <c r="E358">
        <f t="shared" si="14"/>
        <v>810</v>
      </c>
      <c r="F358">
        <f t="shared" si="15"/>
        <v>810</v>
      </c>
      <c r="G358" s="2" t="s">
        <v>628</v>
      </c>
      <c r="H358">
        <v>0</v>
      </c>
      <c r="I358">
        <v>0</v>
      </c>
      <c r="J358">
        <v>0</v>
      </c>
      <c r="K358">
        <v>0</v>
      </c>
      <c r="L358">
        <v>43427</v>
      </c>
      <c r="M358">
        <v>4343</v>
      </c>
      <c r="N358">
        <v>5721</v>
      </c>
      <c r="O358">
        <v>6865</v>
      </c>
      <c r="P358">
        <v>170</v>
      </c>
      <c r="Q358">
        <v>40</v>
      </c>
      <c r="R358">
        <v>40</v>
      </c>
      <c r="S358">
        <v>0</v>
      </c>
      <c r="T358">
        <v>0</v>
      </c>
      <c r="U358">
        <v>468</v>
      </c>
      <c r="V358">
        <v>0</v>
      </c>
      <c r="W358">
        <v>0</v>
      </c>
      <c r="X358" t="s">
        <v>592</v>
      </c>
      <c r="Y358">
        <v>1</v>
      </c>
      <c r="Z358">
        <v>0</v>
      </c>
      <c r="AA358">
        <v>50</v>
      </c>
      <c r="AB358">
        <v>25</v>
      </c>
      <c r="AC358">
        <v>0.4</v>
      </c>
    </row>
    <row r="359" spans="1:29">
      <c r="A359">
        <v>1035031</v>
      </c>
      <c r="B359">
        <v>2001</v>
      </c>
      <c r="C359">
        <v>36</v>
      </c>
      <c r="D359" t="s">
        <v>552</v>
      </c>
      <c r="E359">
        <f t="shared" si="14"/>
        <v>840</v>
      </c>
      <c r="F359">
        <f t="shared" si="15"/>
        <v>840</v>
      </c>
      <c r="G359" s="2">
        <v>5</v>
      </c>
      <c r="H359">
        <v>0</v>
      </c>
      <c r="I359">
        <v>0</v>
      </c>
      <c r="J359">
        <v>0</v>
      </c>
      <c r="K359">
        <v>0</v>
      </c>
      <c r="L359">
        <v>81344</v>
      </c>
      <c r="M359">
        <v>1060</v>
      </c>
      <c r="N359">
        <v>4324</v>
      </c>
      <c r="O359">
        <v>5189</v>
      </c>
      <c r="P359">
        <v>200</v>
      </c>
      <c r="Q359">
        <v>50</v>
      </c>
      <c r="R359">
        <v>50</v>
      </c>
      <c r="S359">
        <v>0</v>
      </c>
      <c r="T359">
        <v>0</v>
      </c>
      <c r="U359">
        <v>494</v>
      </c>
      <c r="V359">
        <v>0</v>
      </c>
      <c r="W359">
        <v>0</v>
      </c>
      <c r="X359" t="s">
        <v>593</v>
      </c>
      <c r="Y359">
        <v>1</v>
      </c>
      <c r="Z359">
        <v>0</v>
      </c>
      <c r="AA359">
        <v>50</v>
      </c>
      <c r="AB359">
        <v>25</v>
      </c>
      <c r="AC359">
        <v>0.4</v>
      </c>
    </row>
    <row r="360" spans="1:29">
      <c r="A360">
        <v>1035041</v>
      </c>
      <c r="B360">
        <v>2001</v>
      </c>
      <c r="C360">
        <v>36</v>
      </c>
      <c r="D360" t="s">
        <v>553</v>
      </c>
      <c r="E360">
        <f t="shared" si="14"/>
        <v>840</v>
      </c>
      <c r="F360">
        <f t="shared" si="15"/>
        <v>840</v>
      </c>
      <c r="G360" s="2">
        <v>16</v>
      </c>
      <c r="H360">
        <v>0</v>
      </c>
      <c r="I360">
        <v>0</v>
      </c>
      <c r="J360">
        <v>0</v>
      </c>
      <c r="K360">
        <v>0</v>
      </c>
      <c r="L360">
        <v>72950</v>
      </c>
      <c r="M360">
        <v>2120</v>
      </c>
      <c r="N360">
        <v>4646</v>
      </c>
      <c r="O360">
        <v>5575</v>
      </c>
      <c r="P360">
        <v>200</v>
      </c>
      <c r="Q360">
        <v>50</v>
      </c>
      <c r="R360">
        <v>50</v>
      </c>
      <c r="S360">
        <v>0</v>
      </c>
      <c r="T360">
        <v>0</v>
      </c>
      <c r="U360">
        <v>1226</v>
      </c>
      <c r="V360">
        <v>0</v>
      </c>
      <c r="W360">
        <v>0</v>
      </c>
      <c r="X360" t="s">
        <v>594</v>
      </c>
      <c r="Y360">
        <v>1</v>
      </c>
      <c r="Z360">
        <v>0</v>
      </c>
      <c r="AA360">
        <v>50</v>
      </c>
      <c r="AB360">
        <v>25</v>
      </c>
      <c r="AC360">
        <v>0.4</v>
      </c>
    </row>
    <row r="361" spans="1:29">
      <c r="A361">
        <v>1035051</v>
      </c>
      <c r="B361">
        <v>2001</v>
      </c>
      <c r="C361">
        <v>36</v>
      </c>
      <c r="D361" t="s">
        <v>554</v>
      </c>
      <c r="E361">
        <f t="shared" si="14"/>
        <v>840</v>
      </c>
      <c r="F361">
        <f t="shared" si="15"/>
        <v>840</v>
      </c>
      <c r="G361" s="2">
        <v>4</v>
      </c>
      <c r="H361">
        <v>0</v>
      </c>
      <c r="I361">
        <v>0</v>
      </c>
      <c r="J361">
        <v>0</v>
      </c>
      <c r="K361">
        <v>0</v>
      </c>
      <c r="L361">
        <v>102222</v>
      </c>
      <c r="M361">
        <v>1060</v>
      </c>
      <c r="N361">
        <v>4242</v>
      </c>
      <c r="O361">
        <v>5090</v>
      </c>
      <c r="P361">
        <v>200</v>
      </c>
      <c r="Q361">
        <v>50</v>
      </c>
      <c r="R361">
        <v>50</v>
      </c>
      <c r="S361">
        <v>0</v>
      </c>
      <c r="T361">
        <v>0</v>
      </c>
      <c r="U361">
        <v>494</v>
      </c>
      <c r="V361">
        <v>0</v>
      </c>
      <c r="W361">
        <v>0</v>
      </c>
      <c r="X361" t="s">
        <v>595</v>
      </c>
      <c r="Y361">
        <v>1</v>
      </c>
      <c r="Z361">
        <v>0</v>
      </c>
      <c r="AA361">
        <v>50</v>
      </c>
      <c r="AB361">
        <v>25</v>
      </c>
      <c r="AC361">
        <v>0.4</v>
      </c>
    </row>
    <row r="362" spans="1:29">
      <c r="A362">
        <v>1035061</v>
      </c>
      <c r="B362">
        <v>2001</v>
      </c>
      <c r="C362">
        <v>37</v>
      </c>
      <c r="D362" t="s">
        <v>555</v>
      </c>
      <c r="E362">
        <f t="shared" si="14"/>
        <v>870</v>
      </c>
      <c r="F362">
        <f t="shared" si="15"/>
        <v>870</v>
      </c>
      <c r="G362" s="2">
        <v>10</v>
      </c>
      <c r="H362">
        <v>0</v>
      </c>
      <c r="I362">
        <v>0</v>
      </c>
      <c r="J362">
        <v>0</v>
      </c>
      <c r="K362">
        <v>0</v>
      </c>
      <c r="L362">
        <v>118301</v>
      </c>
      <c r="M362">
        <v>2140</v>
      </c>
      <c r="N362">
        <v>6588</v>
      </c>
      <c r="O362">
        <v>7906</v>
      </c>
      <c r="P362">
        <v>230</v>
      </c>
      <c r="Q362">
        <v>60</v>
      </c>
      <c r="R362">
        <v>60</v>
      </c>
      <c r="S362">
        <v>0</v>
      </c>
      <c r="T362">
        <v>1059</v>
      </c>
      <c r="U362">
        <v>522</v>
      </c>
      <c r="V362">
        <v>0</v>
      </c>
      <c r="W362">
        <v>0</v>
      </c>
      <c r="X362" t="s">
        <v>596</v>
      </c>
      <c r="Y362">
        <v>1</v>
      </c>
      <c r="Z362">
        <v>0</v>
      </c>
      <c r="AA362">
        <v>50</v>
      </c>
      <c r="AB362">
        <v>25</v>
      </c>
      <c r="AC362">
        <v>0.4</v>
      </c>
    </row>
    <row r="363" spans="1:29">
      <c r="A363">
        <v>1035071</v>
      </c>
      <c r="B363">
        <v>2001</v>
      </c>
      <c r="C363">
        <v>37</v>
      </c>
      <c r="D363" t="s">
        <v>556</v>
      </c>
      <c r="E363">
        <f t="shared" si="14"/>
        <v>870</v>
      </c>
      <c r="F363">
        <f t="shared" si="15"/>
        <v>870</v>
      </c>
      <c r="G363" s="2">
        <v>3</v>
      </c>
      <c r="H363">
        <v>0</v>
      </c>
      <c r="I363">
        <v>0</v>
      </c>
      <c r="J363">
        <v>0</v>
      </c>
      <c r="K363">
        <v>0</v>
      </c>
      <c r="L363">
        <v>70980</v>
      </c>
      <c r="M363">
        <v>1070</v>
      </c>
      <c r="N363">
        <v>1922</v>
      </c>
      <c r="O363">
        <v>2306</v>
      </c>
      <c r="P363">
        <v>230</v>
      </c>
      <c r="Q363">
        <v>60</v>
      </c>
      <c r="R363">
        <v>60</v>
      </c>
      <c r="S363">
        <v>0</v>
      </c>
      <c r="T363">
        <v>0</v>
      </c>
      <c r="U363">
        <v>522</v>
      </c>
      <c r="V363">
        <v>0</v>
      </c>
      <c r="W363">
        <v>0</v>
      </c>
      <c r="X363" t="s">
        <v>597</v>
      </c>
      <c r="Y363">
        <v>1</v>
      </c>
      <c r="Z363">
        <v>0</v>
      </c>
      <c r="AA363">
        <v>50</v>
      </c>
      <c r="AB363">
        <v>25</v>
      </c>
      <c r="AC363">
        <v>0.4</v>
      </c>
    </row>
    <row r="364" spans="1:29">
      <c r="A364">
        <f>A363+1</f>
        <v>1035072</v>
      </c>
      <c r="B364">
        <v>2001</v>
      </c>
      <c r="C364">
        <f>C363</f>
        <v>37</v>
      </c>
      <c r="D364" t="s">
        <v>582</v>
      </c>
      <c r="E364">
        <f>E363</f>
        <v>870</v>
      </c>
      <c r="F364">
        <f t="shared" ref="F364" si="21">F363</f>
        <v>870</v>
      </c>
      <c r="G364" s="2" t="s">
        <v>629</v>
      </c>
      <c r="H364">
        <f t="shared" ref="H364" si="22">H363</f>
        <v>0</v>
      </c>
      <c r="I364">
        <f t="shared" ref="I364" si="23">I363</f>
        <v>0</v>
      </c>
      <c r="J364">
        <f t="shared" ref="J364" si="24">J363</f>
        <v>0</v>
      </c>
      <c r="K364">
        <f t="shared" ref="K364" si="25">K363</f>
        <v>0</v>
      </c>
      <c r="L364">
        <v>52594</v>
      </c>
      <c r="M364">
        <v>1070</v>
      </c>
      <c r="N364">
        <v>3550</v>
      </c>
      <c r="O364">
        <v>4260</v>
      </c>
      <c r="P364">
        <v>230</v>
      </c>
      <c r="Q364">
        <v>60</v>
      </c>
      <c r="R364">
        <v>60</v>
      </c>
      <c r="S364">
        <v>0</v>
      </c>
      <c r="T364">
        <v>0</v>
      </c>
      <c r="U364">
        <v>522</v>
      </c>
      <c r="V364">
        <v>0</v>
      </c>
      <c r="W364">
        <v>0</v>
      </c>
      <c r="X364" t="s">
        <v>62</v>
      </c>
      <c r="Y364">
        <v>1</v>
      </c>
      <c r="Z364">
        <v>0</v>
      </c>
      <c r="AA364">
        <v>50</v>
      </c>
      <c r="AB364">
        <v>25</v>
      </c>
      <c r="AC364">
        <v>0.4</v>
      </c>
    </row>
    <row r="365" spans="1:29">
      <c r="A365">
        <v>1035081</v>
      </c>
      <c r="B365">
        <v>2001</v>
      </c>
      <c r="C365">
        <v>38</v>
      </c>
      <c r="D365" t="s">
        <v>557</v>
      </c>
      <c r="E365">
        <f t="shared" si="14"/>
        <v>900</v>
      </c>
      <c r="F365">
        <f t="shared" si="15"/>
        <v>900</v>
      </c>
      <c r="G365" s="2">
        <v>7</v>
      </c>
      <c r="H365">
        <v>0</v>
      </c>
      <c r="I365">
        <v>0</v>
      </c>
      <c r="J365">
        <v>0</v>
      </c>
      <c r="K365">
        <v>0</v>
      </c>
      <c r="L365">
        <v>145338</v>
      </c>
      <c r="M365">
        <v>1080</v>
      </c>
      <c r="N365">
        <v>6375</v>
      </c>
      <c r="O365">
        <v>7650</v>
      </c>
      <c r="P365">
        <v>260</v>
      </c>
      <c r="Q365">
        <v>70</v>
      </c>
      <c r="R365">
        <v>70</v>
      </c>
      <c r="S365">
        <v>0</v>
      </c>
      <c r="T365">
        <v>0</v>
      </c>
      <c r="U365">
        <v>549</v>
      </c>
      <c r="V365">
        <v>0</v>
      </c>
      <c r="W365">
        <v>0</v>
      </c>
      <c r="X365" t="s">
        <v>598</v>
      </c>
      <c r="Y365">
        <v>1</v>
      </c>
      <c r="Z365">
        <v>0</v>
      </c>
      <c r="AA365">
        <v>50</v>
      </c>
      <c r="AB365">
        <v>25</v>
      </c>
      <c r="AC365">
        <v>0.4</v>
      </c>
    </row>
    <row r="366" spans="1:29">
      <c r="A366">
        <v>1035091</v>
      </c>
      <c r="B366">
        <v>2001</v>
      </c>
      <c r="C366">
        <v>39</v>
      </c>
      <c r="D366" t="s">
        <v>558</v>
      </c>
      <c r="E366">
        <f t="shared" si="14"/>
        <v>930</v>
      </c>
      <c r="F366">
        <f t="shared" si="15"/>
        <v>930</v>
      </c>
      <c r="G366" s="2">
        <v>15</v>
      </c>
      <c r="H366">
        <v>0</v>
      </c>
      <c r="I366">
        <v>0</v>
      </c>
      <c r="J366">
        <v>0</v>
      </c>
      <c r="K366">
        <v>0</v>
      </c>
      <c r="L366">
        <v>166513</v>
      </c>
      <c r="M366">
        <v>1090</v>
      </c>
      <c r="N366">
        <v>7043</v>
      </c>
      <c r="O366">
        <v>8452</v>
      </c>
      <c r="P366">
        <v>290</v>
      </c>
      <c r="Q366">
        <v>80</v>
      </c>
      <c r="R366">
        <v>80</v>
      </c>
      <c r="S366">
        <v>0</v>
      </c>
      <c r="T366">
        <v>0</v>
      </c>
      <c r="U366">
        <v>578</v>
      </c>
      <c r="V366">
        <v>0</v>
      </c>
      <c r="W366">
        <v>0</v>
      </c>
      <c r="X366" t="s">
        <v>599</v>
      </c>
      <c r="Y366">
        <v>1</v>
      </c>
      <c r="Z366">
        <v>0</v>
      </c>
      <c r="AA366">
        <v>50</v>
      </c>
      <c r="AB366">
        <v>25</v>
      </c>
      <c r="AC366">
        <v>0.4</v>
      </c>
    </row>
    <row r="367" spans="1:29">
      <c r="A367">
        <v>1040011</v>
      </c>
      <c r="B367">
        <v>2001</v>
      </c>
      <c r="C367">
        <v>40</v>
      </c>
      <c r="D367" t="s">
        <v>550</v>
      </c>
      <c r="E367">
        <f t="shared" si="14"/>
        <v>960</v>
      </c>
      <c r="F367">
        <f t="shared" si="15"/>
        <v>960</v>
      </c>
      <c r="G367" s="2">
        <v>3</v>
      </c>
      <c r="H367">
        <v>0</v>
      </c>
      <c r="I367">
        <v>0</v>
      </c>
      <c r="J367">
        <v>0</v>
      </c>
      <c r="K367">
        <v>0</v>
      </c>
      <c r="L367">
        <v>85363</v>
      </c>
      <c r="M367">
        <v>550</v>
      </c>
      <c r="N367">
        <v>5322</v>
      </c>
      <c r="O367">
        <v>6386</v>
      </c>
      <c r="P367">
        <v>320</v>
      </c>
      <c r="Q367">
        <v>90</v>
      </c>
      <c r="R367">
        <v>90</v>
      </c>
      <c r="S367">
        <v>0</v>
      </c>
      <c r="T367">
        <v>2115</v>
      </c>
      <c r="U367">
        <v>607</v>
      </c>
      <c r="V367">
        <v>0</v>
      </c>
      <c r="W367">
        <v>0</v>
      </c>
      <c r="X367" t="s">
        <v>591</v>
      </c>
      <c r="Y367">
        <v>1</v>
      </c>
      <c r="Z367">
        <v>0</v>
      </c>
      <c r="AA367">
        <v>50</v>
      </c>
      <c r="AB367">
        <v>25</v>
      </c>
      <c r="AC367">
        <v>0.4</v>
      </c>
    </row>
    <row r="368" spans="1:29">
      <c r="A368">
        <v>1040021</v>
      </c>
      <c r="B368">
        <v>2001</v>
      </c>
      <c r="C368">
        <v>40</v>
      </c>
      <c r="D368" t="s">
        <v>551</v>
      </c>
      <c r="E368">
        <f t="shared" si="14"/>
        <v>960</v>
      </c>
      <c r="F368">
        <f t="shared" si="15"/>
        <v>960</v>
      </c>
      <c r="G368" s="2" t="s">
        <v>628</v>
      </c>
      <c r="H368">
        <v>0</v>
      </c>
      <c r="I368">
        <v>0</v>
      </c>
      <c r="J368">
        <v>0</v>
      </c>
      <c r="K368">
        <v>0</v>
      </c>
      <c r="L368">
        <v>68268</v>
      </c>
      <c r="M368">
        <v>6827</v>
      </c>
      <c r="N368">
        <v>9031</v>
      </c>
      <c r="O368">
        <v>10837</v>
      </c>
      <c r="P368">
        <v>320</v>
      </c>
      <c r="Q368">
        <v>90</v>
      </c>
      <c r="R368">
        <v>90</v>
      </c>
      <c r="S368">
        <v>0</v>
      </c>
      <c r="T368">
        <v>0</v>
      </c>
      <c r="U368">
        <v>607</v>
      </c>
      <c r="V368">
        <v>0</v>
      </c>
      <c r="W368">
        <v>0</v>
      </c>
      <c r="X368" t="s">
        <v>592</v>
      </c>
      <c r="Y368">
        <v>1</v>
      </c>
      <c r="Z368">
        <v>0</v>
      </c>
      <c r="AA368">
        <v>50</v>
      </c>
      <c r="AB368">
        <v>25</v>
      </c>
      <c r="AC368">
        <v>0.4</v>
      </c>
    </row>
    <row r="369" spans="1:29">
      <c r="A369">
        <v>1040031</v>
      </c>
      <c r="B369">
        <v>2001</v>
      </c>
      <c r="C369">
        <v>41</v>
      </c>
      <c r="D369" t="s">
        <v>552</v>
      </c>
      <c r="E369">
        <f t="shared" si="14"/>
        <v>1000</v>
      </c>
      <c r="F369">
        <f t="shared" si="15"/>
        <v>1000</v>
      </c>
      <c r="G369" s="2">
        <v>5</v>
      </c>
      <c r="H369">
        <v>0</v>
      </c>
      <c r="I369">
        <v>0</v>
      </c>
      <c r="J369">
        <v>0</v>
      </c>
      <c r="K369">
        <v>0</v>
      </c>
      <c r="L369">
        <v>124154</v>
      </c>
      <c r="M369">
        <v>1110</v>
      </c>
      <c r="N369">
        <v>7098</v>
      </c>
      <c r="O369">
        <v>8518</v>
      </c>
      <c r="P369">
        <v>350</v>
      </c>
      <c r="Q369">
        <v>100</v>
      </c>
      <c r="R369">
        <v>100</v>
      </c>
      <c r="S369">
        <v>0</v>
      </c>
      <c r="T369">
        <v>0</v>
      </c>
      <c r="U369">
        <v>638</v>
      </c>
      <c r="V369">
        <v>0</v>
      </c>
      <c r="W369">
        <v>0</v>
      </c>
      <c r="X369" t="s">
        <v>593</v>
      </c>
      <c r="Y369">
        <v>1</v>
      </c>
      <c r="Z369">
        <v>0</v>
      </c>
      <c r="AA369">
        <v>50</v>
      </c>
      <c r="AB369">
        <v>25</v>
      </c>
      <c r="AC369">
        <v>0.4</v>
      </c>
    </row>
    <row r="370" spans="1:29">
      <c r="A370">
        <v>1040041</v>
      </c>
      <c r="B370">
        <v>2001</v>
      </c>
      <c r="C370">
        <v>41</v>
      </c>
      <c r="D370" t="s">
        <v>553</v>
      </c>
      <c r="E370">
        <f t="shared" si="14"/>
        <v>1000</v>
      </c>
      <c r="F370">
        <f t="shared" si="15"/>
        <v>1000</v>
      </c>
      <c r="G370" s="2">
        <v>16</v>
      </c>
      <c r="H370">
        <v>0</v>
      </c>
      <c r="I370">
        <v>0</v>
      </c>
      <c r="J370">
        <v>0</v>
      </c>
      <c r="K370">
        <v>0</v>
      </c>
      <c r="L370">
        <v>110285</v>
      </c>
      <c r="M370">
        <v>2220</v>
      </c>
      <c r="N370">
        <v>7744</v>
      </c>
      <c r="O370">
        <v>9293</v>
      </c>
      <c r="P370">
        <v>350</v>
      </c>
      <c r="Q370">
        <v>100</v>
      </c>
      <c r="R370">
        <v>100</v>
      </c>
      <c r="S370">
        <v>0</v>
      </c>
      <c r="T370">
        <v>0</v>
      </c>
      <c r="U370">
        <v>1583</v>
      </c>
      <c r="V370">
        <v>0</v>
      </c>
      <c r="W370">
        <v>0</v>
      </c>
      <c r="X370" t="s">
        <v>594</v>
      </c>
      <c r="Y370">
        <v>1</v>
      </c>
      <c r="Z370">
        <v>0</v>
      </c>
      <c r="AA370">
        <v>50</v>
      </c>
      <c r="AB370">
        <v>25</v>
      </c>
      <c r="AC370">
        <v>0.4</v>
      </c>
    </row>
    <row r="371" spans="1:29">
      <c r="A371">
        <v>1040051</v>
      </c>
      <c r="B371">
        <v>2001</v>
      </c>
      <c r="C371">
        <v>41</v>
      </c>
      <c r="D371" t="s">
        <v>554</v>
      </c>
      <c r="E371">
        <f t="shared" si="14"/>
        <v>1000</v>
      </c>
      <c r="F371">
        <f t="shared" si="15"/>
        <v>1000</v>
      </c>
      <c r="G371" s="2">
        <v>4</v>
      </c>
      <c r="H371">
        <v>0</v>
      </c>
      <c r="I371">
        <v>0</v>
      </c>
      <c r="J371">
        <v>0</v>
      </c>
      <c r="K371">
        <v>0</v>
      </c>
      <c r="L371">
        <v>153072</v>
      </c>
      <c r="M371">
        <v>1110</v>
      </c>
      <c r="N371">
        <v>7183</v>
      </c>
      <c r="O371">
        <v>8620</v>
      </c>
      <c r="P371">
        <v>350</v>
      </c>
      <c r="Q371">
        <v>100</v>
      </c>
      <c r="R371">
        <v>100</v>
      </c>
      <c r="S371">
        <v>0</v>
      </c>
      <c r="T371">
        <v>0</v>
      </c>
      <c r="U371">
        <v>638</v>
      </c>
      <c r="V371">
        <v>0</v>
      </c>
      <c r="W371">
        <v>0</v>
      </c>
      <c r="X371" t="s">
        <v>595</v>
      </c>
      <c r="Y371">
        <v>1</v>
      </c>
      <c r="Z371">
        <v>0</v>
      </c>
      <c r="AA371">
        <v>50</v>
      </c>
      <c r="AB371">
        <v>25</v>
      </c>
      <c r="AC371">
        <v>0.4</v>
      </c>
    </row>
    <row r="372" spans="1:29">
      <c r="A372">
        <v>1040061</v>
      </c>
      <c r="B372">
        <v>2001</v>
      </c>
      <c r="C372">
        <v>42</v>
      </c>
      <c r="D372" t="s">
        <v>555</v>
      </c>
      <c r="E372">
        <f t="shared" si="14"/>
        <v>1040</v>
      </c>
      <c r="F372">
        <f t="shared" si="15"/>
        <v>1040</v>
      </c>
      <c r="G372" s="2">
        <v>10</v>
      </c>
      <c r="H372">
        <v>0</v>
      </c>
      <c r="I372">
        <v>0</v>
      </c>
      <c r="J372">
        <v>0</v>
      </c>
      <c r="K372">
        <v>0</v>
      </c>
      <c r="L372">
        <v>175407</v>
      </c>
      <c r="M372">
        <v>2240</v>
      </c>
      <c r="N372">
        <v>11390</v>
      </c>
      <c r="O372">
        <v>13668</v>
      </c>
      <c r="P372">
        <v>380</v>
      </c>
      <c r="Q372">
        <v>110</v>
      </c>
      <c r="R372">
        <v>110</v>
      </c>
      <c r="S372">
        <v>0</v>
      </c>
      <c r="T372">
        <v>1358</v>
      </c>
      <c r="U372">
        <v>668</v>
      </c>
      <c r="V372">
        <v>0</v>
      </c>
      <c r="W372">
        <v>0</v>
      </c>
      <c r="X372" t="s">
        <v>596</v>
      </c>
      <c r="Y372">
        <v>1</v>
      </c>
      <c r="Z372">
        <v>0</v>
      </c>
      <c r="AA372">
        <v>50</v>
      </c>
      <c r="AB372">
        <v>25</v>
      </c>
      <c r="AC372">
        <v>0.4</v>
      </c>
    </row>
    <row r="373" spans="1:29">
      <c r="A373">
        <v>1040071</v>
      </c>
      <c r="B373">
        <v>2001</v>
      </c>
      <c r="C373">
        <v>42</v>
      </c>
      <c r="D373" t="s">
        <v>556</v>
      </c>
      <c r="E373">
        <f t="shared" si="14"/>
        <v>1040</v>
      </c>
      <c r="F373">
        <f t="shared" si="15"/>
        <v>1040</v>
      </c>
      <c r="G373" s="2">
        <v>3</v>
      </c>
      <c r="H373">
        <v>0</v>
      </c>
      <c r="I373">
        <v>0</v>
      </c>
      <c r="J373">
        <v>0</v>
      </c>
      <c r="K373">
        <v>0</v>
      </c>
      <c r="L373">
        <v>105244</v>
      </c>
      <c r="M373">
        <v>1120</v>
      </c>
      <c r="N373">
        <v>3322</v>
      </c>
      <c r="O373">
        <v>3986</v>
      </c>
      <c r="P373">
        <v>380</v>
      </c>
      <c r="Q373">
        <v>110</v>
      </c>
      <c r="R373">
        <v>110</v>
      </c>
      <c r="S373">
        <v>0</v>
      </c>
      <c r="T373">
        <v>0</v>
      </c>
      <c r="U373">
        <v>668</v>
      </c>
      <c r="V373">
        <v>0</v>
      </c>
      <c r="W373">
        <v>0</v>
      </c>
      <c r="X373" t="s">
        <v>597</v>
      </c>
      <c r="Y373">
        <v>1</v>
      </c>
      <c r="Z373">
        <v>0</v>
      </c>
      <c r="AA373">
        <v>50</v>
      </c>
      <c r="AB373">
        <v>25</v>
      </c>
      <c r="AC373">
        <v>0.4</v>
      </c>
    </row>
    <row r="374" spans="1:29">
      <c r="A374">
        <f>A373+1</f>
        <v>1040072</v>
      </c>
      <c r="B374">
        <v>2001</v>
      </c>
      <c r="C374">
        <f>C373</f>
        <v>42</v>
      </c>
      <c r="D374" t="s">
        <v>582</v>
      </c>
      <c r="E374">
        <f>E373</f>
        <v>1040</v>
      </c>
      <c r="F374">
        <f t="shared" ref="F374" si="26">F373</f>
        <v>1040</v>
      </c>
      <c r="G374" s="2" t="s">
        <v>629</v>
      </c>
      <c r="H374">
        <f t="shared" ref="H374" si="27">H373</f>
        <v>0</v>
      </c>
      <c r="I374">
        <f t="shared" ref="I374" si="28">I373</f>
        <v>0</v>
      </c>
      <c r="J374">
        <f t="shared" ref="J374" si="29">J373</f>
        <v>0</v>
      </c>
      <c r="K374">
        <f t="shared" ref="K374" si="30">K373</f>
        <v>0</v>
      </c>
      <c r="L374">
        <v>77495</v>
      </c>
      <c r="M374">
        <v>1120</v>
      </c>
      <c r="N374">
        <v>6212</v>
      </c>
      <c r="O374">
        <v>7454</v>
      </c>
      <c r="P374">
        <v>380</v>
      </c>
      <c r="Q374">
        <v>110</v>
      </c>
      <c r="R374">
        <v>110</v>
      </c>
      <c r="S374">
        <v>0</v>
      </c>
      <c r="T374">
        <v>0</v>
      </c>
      <c r="U374">
        <v>668</v>
      </c>
      <c r="V374">
        <v>0</v>
      </c>
      <c r="W374">
        <v>0</v>
      </c>
      <c r="X374" t="s">
        <v>62</v>
      </c>
      <c r="Y374">
        <v>1</v>
      </c>
      <c r="Z374">
        <v>0</v>
      </c>
      <c r="AA374">
        <v>50</v>
      </c>
      <c r="AB374">
        <v>25</v>
      </c>
      <c r="AC374">
        <v>0.4</v>
      </c>
    </row>
    <row r="375" spans="1:29">
      <c r="A375">
        <v>1040081</v>
      </c>
      <c r="B375">
        <v>2001</v>
      </c>
      <c r="C375">
        <v>43</v>
      </c>
      <c r="D375" t="s">
        <v>557</v>
      </c>
      <c r="E375">
        <f t="shared" si="14"/>
        <v>1080</v>
      </c>
      <c r="F375">
        <f t="shared" si="15"/>
        <v>1080</v>
      </c>
      <c r="G375" s="2">
        <v>7</v>
      </c>
      <c r="H375">
        <v>0</v>
      </c>
      <c r="I375">
        <v>0</v>
      </c>
      <c r="J375">
        <v>0</v>
      </c>
      <c r="K375">
        <v>0</v>
      </c>
      <c r="L375">
        <v>213342</v>
      </c>
      <c r="M375">
        <v>1130</v>
      </c>
      <c r="N375">
        <v>11295</v>
      </c>
      <c r="O375">
        <v>13554</v>
      </c>
      <c r="P375">
        <v>410</v>
      </c>
      <c r="Q375">
        <v>120</v>
      </c>
      <c r="R375">
        <v>120</v>
      </c>
      <c r="S375">
        <v>0</v>
      </c>
      <c r="T375">
        <v>0</v>
      </c>
      <c r="U375">
        <v>700</v>
      </c>
      <c r="V375">
        <v>0</v>
      </c>
      <c r="W375">
        <v>0</v>
      </c>
      <c r="X375" t="s">
        <v>598</v>
      </c>
      <c r="Y375">
        <v>1</v>
      </c>
      <c r="Z375">
        <v>0</v>
      </c>
      <c r="AA375">
        <v>50</v>
      </c>
      <c r="AB375">
        <v>25</v>
      </c>
      <c r="AC375">
        <v>0.4</v>
      </c>
    </row>
    <row r="376" spans="1:29">
      <c r="A376">
        <v>1040091</v>
      </c>
      <c r="B376">
        <v>2001</v>
      </c>
      <c r="C376">
        <v>44</v>
      </c>
      <c r="D376" t="s">
        <v>558</v>
      </c>
      <c r="E376">
        <f t="shared" si="14"/>
        <v>1120</v>
      </c>
      <c r="F376">
        <f t="shared" si="15"/>
        <v>1120</v>
      </c>
      <c r="G376" s="2">
        <v>15</v>
      </c>
      <c r="H376">
        <v>0</v>
      </c>
      <c r="I376">
        <v>0</v>
      </c>
      <c r="J376">
        <v>0</v>
      </c>
      <c r="K376">
        <v>0</v>
      </c>
      <c r="L376">
        <v>242928</v>
      </c>
      <c r="M376">
        <v>1140.0000000000002</v>
      </c>
      <c r="N376">
        <v>12684</v>
      </c>
      <c r="O376">
        <v>15221</v>
      </c>
      <c r="P376">
        <v>440</v>
      </c>
      <c r="Q376">
        <v>130</v>
      </c>
      <c r="R376">
        <v>130</v>
      </c>
      <c r="S376">
        <v>0</v>
      </c>
      <c r="T376">
        <v>0</v>
      </c>
      <c r="U376">
        <v>732</v>
      </c>
      <c r="V376">
        <v>0</v>
      </c>
      <c r="W376">
        <v>0</v>
      </c>
      <c r="X376" t="s">
        <v>599</v>
      </c>
      <c r="Y376">
        <v>1</v>
      </c>
      <c r="Z376">
        <v>0</v>
      </c>
      <c r="AA376">
        <v>50</v>
      </c>
      <c r="AB376">
        <v>25</v>
      </c>
      <c r="AC376">
        <v>0.4</v>
      </c>
    </row>
    <row r="377" spans="1:29">
      <c r="A377">
        <v>1045011</v>
      </c>
      <c r="B377">
        <v>2001</v>
      </c>
      <c r="C377">
        <v>45</v>
      </c>
      <c r="D377" t="s">
        <v>550</v>
      </c>
      <c r="E377">
        <f t="shared" si="14"/>
        <v>1160</v>
      </c>
      <c r="F377">
        <f t="shared" si="15"/>
        <v>1160</v>
      </c>
      <c r="G377" s="2">
        <v>3</v>
      </c>
      <c r="H377">
        <v>0</v>
      </c>
      <c r="I377">
        <v>0</v>
      </c>
      <c r="J377">
        <v>0</v>
      </c>
      <c r="K377">
        <v>0</v>
      </c>
      <c r="L377">
        <v>123693</v>
      </c>
      <c r="M377">
        <v>575</v>
      </c>
      <c r="N377">
        <v>6757</v>
      </c>
      <c r="O377">
        <v>8108</v>
      </c>
      <c r="P377">
        <v>470</v>
      </c>
      <c r="Q377">
        <v>140</v>
      </c>
      <c r="R377">
        <v>140</v>
      </c>
      <c r="S377">
        <v>0</v>
      </c>
      <c r="T377">
        <v>2666</v>
      </c>
      <c r="U377">
        <v>766</v>
      </c>
      <c r="V377">
        <v>0</v>
      </c>
      <c r="W377">
        <v>0</v>
      </c>
      <c r="X377" t="s">
        <v>591</v>
      </c>
      <c r="Y377">
        <v>1</v>
      </c>
      <c r="Z377">
        <v>0</v>
      </c>
      <c r="AA377">
        <v>50</v>
      </c>
      <c r="AB377">
        <v>25</v>
      </c>
      <c r="AC377">
        <v>0.4</v>
      </c>
    </row>
    <row r="378" spans="1:29">
      <c r="A378">
        <v>1045021</v>
      </c>
      <c r="B378">
        <v>2001</v>
      </c>
      <c r="C378">
        <v>45</v>
      </c>
      <c r="D378" t="s">
        <v>551</v>
      </c>
      <c r="E378">
        <f t="shared" si="14"/>
        <v>1160</v>
      </c>
      <c r="F378">
        <f t="shared" si="15"/>
        <v>1160</v>
      </c>
      <c r="G378" s="2" t="s">
        <v>628</v>
      </c>
      <c r="H378">
        <v>0</v>
      </c>
      <c r="I378">
        <v>0</v>
      </c>
      <c r="J378">
        <v>0</v>
      </c>
      <c r="K378">
        <v>0</v>
      </c>
      <c r="L378">
        <v>98042</v>
      </c>
      <c r="M378">
        <v>9804</v>
      </c>
      <c r="N378">
        <v>11876</v>
      </c>
      <c r="O378">
        <v>14251</v>
      </c>
      <c r="P378">
        <v>470</v>
      </c>
      <c r="Q378">
        <v>140</v>
      </c>
      <c r="R378">
        <v>140</v>
      </c>
      <c r="S378">
        <v>0</v>
      </c>
      <c r="T378">
        <v>0</v>
      </c>
      <c r="U378">
        <v>766</v>
      </c>
      <c r="V378">
        <v>0</v>
      </c>
      <c r="W378">
        <v>0</v>
      </c>
      <c r="X378" t="s">
        <v>592</v>
      </c>
      <c r="Y378">
        <v>1</v>
      </c>
      <c r="Z378">
        <v>0</v>
      </c>
      <c r="AA378">
        <v>50</v>
      </c>
      <c r="AB378">
        <v>25</v>
      </c>
      <c r="AC378">
        <v>0.4</v>
      </c>
    </row>
    <row r="379" spans="1:29">
      <c r="A379">
        <v>1045031</v>
      </c>
      <c r="B379">
        <v>2001</v>
      </c>
      <c r="C379">
        <v>46</v>
      </c>
      <c r="D379" t="s">
        <v>552</v>
      </c>
      <c r="E379">
        <f t="shared" si="14"/>
        <v>1200</v>
      </c>
      <c r="F379">
        <f t="shared" si="15"/>
        <v>1200</v>
      </c>
      <c r="G379" s="2">
        <v>5</v>
      </c>
      <c r="H379">
        <v>0</v>
      </c>
      <c r="I379">
        <v>0</v>
      </c>
      <c r="J379">
        <v>0</v>
      </c>
      <c r="K379">
        <v>0</v>
      </c>
      <c r="L379">
        <v>176498</v>
      </c>
      <c r="M379">
        <v>1160</v>
      </c>
      <c r="N379">
        <v>9781</v>
      </c>
      <c r="O379">
        <v>11737</v>
      </c>
      <c r="P379">
        <v>500</v>
      </c>
      <c r="Q379">
        <v>150</v>
      </c>
      <c r="R379">
        <v>150</v>
      </c>
      <c r="S379">
        <v>0</v>
      </c>
      <c r="T379">
        <v>0</v>
      </c>
      <c r="U379">
        <v>799</v>
      </c>
      <c r="V379">
        <v>0</v>
      </c>
      <c r="W379">
        <v>0</v>
      </c>
      <c r="X379" t="s">
        <v>593</v>
      </c>
      <c r="Y379">
        <v>1</v>
      </c>
      <c r="Z379">
        <v>0</v>
      </c>
      <c r="AA379">
        <v>50</v>
      </c>
      <c r="AB379">
        <v>25</v>
      </c>
      <c r="AC379">
        <v>0.4</v>
      </c>
    </row>
    <row r="380" spans="1:29">
      <c r="A380">
        <v>1045041</v>
      </c>
      <c r="B380">
        <v>2001</v>
      </c>
      <c r="C380">
        <v>46</v>
      </c>
      <c r="D380" t="s">
        <v>553</v>
      </c>
      <c r="E380">
        <f t="shared" si="14"/>
        <v>1200</v>
      </c>
      <c r="F380">
        <f t="shared" si="15"/>
        <v>1200</v>
      </c>
      <c r="G380" s="2">
        <v>16</v>
      </c>
      <c r="H380">
        <v>0</v>
      </c>
      <c r="I380">
        <v>0</v>
      </c>
      <c r="J380">
        <v>0</v>
      </c>
      <c r="K380">
        <v>0</v>
      </c>
      <c r="L380">
        <v>156195</v>
      </c>
      <c r="M380">
        <v>2320</v>
      </c>
      <c r="N380">
        <v>10844</v>
      </c>
      <c r="O380">
        <v>13013</v>
      </c>
      <c r="P380">
        <v>500</v>
      </c>
      <c r="Q380">
        <v>150</v>
      </c>
      <c r="R380">
        <v>150</v>
      </c>
      <c r="S380">
        <v>0</v>
      </c>
      <c r="T380">
        <v>0</v>
      </c>
      <c r="U380">
        <v>1984</v>
      </c>
      <c r="V380">
        <v>0</v>
      </c>
      <c r="W380">
        <v>0</v>
      </c>
      <c r="X380" t="s">
        <v>594</v>
      </c>
      <c r="Y380">
        <v>1</v>
      </c>
      <c r="Z380">
        <v>0</v>
      </c>
      <c r="AA380">
        <v>50</v>
      </c>
      <c r="AB380">
        <v>25</v>
      </c>
      <c r="AC380">
        <v>0.4</v>
      </c>
    </row>
    <row r="381" spans="1:29">
      <c r="A381">
        <v>1045051</v>
      </c>
      <c r="B381">
        <v>2001</v>
      </c>
      <c r="C381">
        <v>46</v>
      </c>
      <c r="D381" t="s">
        <v>554</v>
      </c>
      <c r="E381">
        <f t="shared" si="14"/>
        <v>1200</v>
      </c>
      <c r="F381">
        <f t="shared" si="15"/>
        <v>1200</v>
      </c>
      <c r="G381" s="2">
        <v>4</v>
      </c>
      <c r="H381">
        <v>0</v>
      </c>
      <c r="I381">
        <v>0</v>
      </c>
      <c r="J381">
        <v>0</v>
      </c>
      <c r="K381">
        <v>0</v>
      </c>
      <c r="L381">
        <v>215981</v>
      </c>
      <c r="M381">
        <v>1160</v>
      </c>
      <c r="N381">
        <v>10219</v>
      </c>
      <c r="O381">
        <v>12263</v>
      </c>
      <c r="P381">
        <v>500</v>
      </c>
      <c r="Q381">
        <v>150</v>
      </c>
      <c r="R381">
        <v>150</v>
      </c>
      <c r="S381">
        <v>0</v>
      </c>
      <c r="T381">
        <v>0</v>
      </c>
      <c r="U381">
        <v>799</v>
      </c>
      <c r="V381">
        <v>0</v>
      </c>
      <c r="W381">
        <v>0</v>
      </c>
      <c r="X381" t="s">
        <v>595</v>
      </c>
      <c r="Y381">
        <v>1</v>
      </c>
      <c r="Z381">
        <v>0</v>
      </c>
      <c r="AA381">
        <v>50</v>
      </c>
      <c r="AB381">
        <v>25</v>
      </c>
      <c r="AC381">
        <v>0.4</v>
      </c>
    </row>
    <row r="382" spans="1:29">
      <c r="A382">
        <v>1045061</v>
      </c>
      <c r="B382">
        <v>2001</v>
      </c>
      <c r="C382">
        <v>47</v>
      </c>
      <c r="D382" t="s">
        <v>555</v>
      </c>
      <c r="E382">
        <f t="shared" si="14"/>
        <v>1240</v>
      </c>
      <c r="F382">
        <f t="shared" si="15"/>
        <v>1240</v>
      </c>
      <c r="G382" s="2">
        <v>10</v>
      </c>
      <c r="H382">
        <v>0</v>
      </c>
      <c r="I382">
        <v>0</v>
      </c>
      <c r="J382">
        <v>0</v>
      </c>
      <c r="K382">
        <v>0</v>
      </c>
      <c r="L382">
        <v>226657</v>
      </c>
      <c r="M382">
        <v>2340</v>
      </c>
      <c r="N382">
        <v>16554</v>
      </c>
      <c r="O382">
        <v>19865</v>
      </c>
      <c r="P382">
        <v>1000</v>
      </c>
      <c r="Q382">
        <v>300</v>
      </c>
      <c r="R382">
        <v>300</v>
      </c>
      <c r="S382">
        <v>0</v>
      </c>
      <c r="T382">
        <v>1694</v>
      </c>
      <c r="U382">
        <v>834</v>
      </c>
      <c r="V382">
        <v>0</v>
      </c>
      <c r="W382">
        <v>0</v>
      </c>
      <c r="X382" t="s">
        <v>596</v>
      </c>
      <c r="Y382">
        <v>1</v>
      </c>
      <c r="Z382">
        <v>0</v>
      </c>
      <c r="AA382">
        <v>50</v>
      </c>
      <c r="AB382">
        <v>25</v>
      </c>
      <c r="AC382">
        <v>0.4</v>
      </c>
    </row>
    <row r="383" spans="1:29">
      <c r="A383">
        <v>1045071</v>
      </c>
      <c r="B383">
        <v>2001</v>
      </c>
      <c r="C383">
        <v>47</v>
      </c>
      <c r="D383" t="s">
        <v>556</v>
      </c>
      <c r="E383">
        <f t="shared" si="14"/>
        <v>1240</v>
      </c>
      <c r="F383">
        <f t="shared" si="15"/>
        <v>1240</v>
      </c>
      <c r="G383" s="2">
        <v>3</v>
      </c>
      <c r="H383">
        <v>0</v>
      </c>
      <c r="I383">
        <v>0</v>
      </c>
      <c r="J383">
        <v>0</v>
      </c>
      <c r="K383">
        <v>0</v>
      </c>
      <c r="L383">
        <v>135994</v>
      </c>
      <c r="M383">
        <v>1170</v>
      </c>
      <c r="N383">
        <v>4828</v>
      </c>
      <c r="O383">
        <v>5794</v>
      </c>
      <c r="P383">
        <v>1000</v>
      </c>
      <c r="Q383">
        <v>300</v>
      </c>
      <c r="R383">
        <v>300</v>
      </c>
      <c r="S383">
        <v>0</v>
      </c>
      <c r="T383">
        <v>0</v>
      </c>
      <c r="U383">
        <v>834</v>
      </c>
      <c r="V383">
        <v>0</v>
      </c>
      <c r="W383">
        <v>0</v>
      </c>
      <c r="X383" t="s">
        <v>597</v>
      </c>
      <c r="Y383">
        <v>1</v>
      </c>
      <c r="Z383">
        <v>0</v>
      </c>
      <c r="AA383">
        <v>50</v>
      </c>
      <c r="AB383">
        <v>25</v>
      </c>
      <c r="AC383">
        <v>0.4</v>
      </c>
    </row>
    <row r="384" spans="1:29">
      <c r="A384">
        <f>A383+1</f>
        <v>1045072</v>
      </c>
      <c r="B384">
        <v>2001</v>
      </c>
      <c r="C384">
        <f>C383</f>
        <v>47</v>
      </c>
      <c r="D384" t="s">
        <v>582</v>
      </c>
      <c r="E384">
        <f>E383</f>
        <v>1240</v>
      </c>
      <c r="F384">
        <f t="shared" ref="F384" si="31">F383</f>
        <v>1240</v>
      </c>
      <c r="G384" s="2" t="s">
        <v>629</v>
      </c>
      <c r="H384">
        <f t="shared" ref="H384" si="32">H383</f>
        <v>0</v>
      </c>
      <c r="I384">
        <f t="shared" ref="I384" si="33">I383</f>
        <v>0</v>
      </c>
      <c r="J384">
        <f t="shared" ref="J384" si="34">J383</f>
        <v>0</v>
      </c>
      <c r="K384">
        <f t="shared" ref="K384" si="35">K383</f>
        <v>0</v>
      </c>
      <c r="L384">
        <v>99881</v>
      </c>
      <c r="M384">
        <v>1170</v>
      </c>
      <c r="N384">
        <v>9132</v>
      </c>
      <c r="O384">
        <v>10958</v>
      </c>
      <c r="P384">
        <v>1000</v>
      </c>
      <c r="Q384">
        <v>300</v>
      </c>
      <c r="R384">
        <v>300</v>
      </c>
      <c r="S384">
        <v>0</v>
      </c>
      <c r="T384">
        <v>0</v>
      </c>
      <c r="U384">
        <v>834</v>
      </c>
      <c r="V384">
        <v>0</v>
      </c>
      <c r="W384">
        <v>0</v>
      </c>
      <c r="X384" t="s">
        <v>62</v>
      </c>
      <c r="Y384">
        <v>1</v>
      </c>
      <c r="Z384">
        <v>0</v>
      </c>
      <c r="AA384">
        <v>50</v>
      </c>
      <c r="AB384">
        <v>25</v>
      </c>
      <c r="AC384">
        <v>0.4</v>
      </c>
    </row>
    <row r="385" spans="1:29">
      <c r="A385">
        <v>1045081</v>
      </c>
      <c r="B385">
        <v>2001</v>
      </c>
      <c r="C385">
        <v>48</v>
      </c>
      <c r="D385" t="s">
        <v>557</v>
      </c>
      <c r="E385">
        <f t="shared" si="14"/>
        <v>1280</v>
      </c>
      <c r="F385">
        <f t="shared" si="15"/>
        <v>1280</v>
      </c>
      <c r="G385" s="2">
        <v>7</v>
      </c>
      <c r="H385">
        <v>0</v>
      </c>
      <c r="I385">
        <v>0</v>
      </c>
      <c r="J385">
        <v>0</v>
      </c>
      <c r="K385">
        <v>0</v>
      </c>
      <c r="L385">
        <v>254937</v>
      </c>
      <c r="M385">
        <v>1180</v>
      </c>
      <c r="N385">
        <v>16794</v>
      </c>
      <c r="O385">
        <v>20153</v>
      </c>
      <c r="P385">
        <v>1500</v>
      </c>
      <c r="Q385">
        <v>450</v>
      </c>
      <c r="R385">
        <v>450</v>
      </c>
      <c r="S385">
        <v>0</v>
      </c>
      <c r="T385">
        <v>0</v>
      </c>
      <c r="U385">
        <v>869</v>
      </c>
      <c r="V385">
        <v>0</v>
      </c>
      <c r="W385">
        <v>0</v>
      </c>
      <c r="X385" t="s">
        <v>598</v>
      </c>
      <c r="Y385">
        <v>1</v>
      </c>
      <c r="Z385">
        <v>0</v>
      </c>
      <c r="AA385">
        <v>50</v>
      </c>
      <c r="AB385">
        <v>25</v>
      </c>
      <c r="AC385">
        <v>0.4</v>
      </c>
    </row>
    <row r="386" spans="1:29">
      <c r="A386">
        <v>1045091</v>
      </c>
      <c r="B386">
        <v>2001</v>
      </c>
      <c r="C386">
        <v>49</v>
      </c>
      <c r="D386" t="s">
        <v>558</v>
      </c>
      <c r="E386">
        <f t="shared" si="14"/>
        <v>1320</v>
      </c>
      <c r="F386">
        <f t="shared" si="15"/>
        <v>1320</v>
      </c>
      <c r="G386" s="2">
        <v>15</v>
      </c>
      <c r="H386">
        <v>0</v>
      </c>
      <c r="I386">
        <v>0</v>
      </c>
      <c r="J386">
        <v>0</v>
      </c>
      <c r="K386">
        <v>0</v>
      </c>
      <c r="L386">
        <v>271159</v>
      </c>
      <c r="M386">
        <v>1190</v>
      </c>
      <c r="N386">
        <v>19147</v>
      </c>
      <c r="O386">
        <v>22976</v>
      </c>
      <c r="P386">
        <v>2000</v>
      </c>
      <c r="Q386">
        <v>600</v>
      </c>
      <c r="R386">
        <v>600</v>
      </c>
      <c r="S386">
        <v>0</v>
      </c>
      <c r="T386">
        <v>0</v>
      </c>
      <c r="U386">
        <v>906</v>
      </c>
      <c r="V386">
        <v>0</v>
      </c>
      <c r="W386">
        <v>0</v>
      </c>
      <c r="X386" t="s">
        <v>599</v>
      </c>
      <c r="Y386">
        <v>1</v>
      </c>
      <c r="Z386">
        <v>0</v>
      </c>
      <c r="AA386">
        <v>50</v>
      </c>
      <c r="AB386">
        <v>25</v>
      </c>
      <c r="AC386">
        <v>0.4</v>
      </c>
    </row>
    <row r="387" spans="1:29">
      <c r="A387">
        <v>1050011</v>
      </c>
      <c r="B387">
        <v>2001</v>
      </c>
      <c r="C387">
        <v>50</v>
      </c>
      <c r="D387" t="s">
        <v>550</v>
      </c>
      <c r="E387">
        <f t="shared" si="14"/>
        <v>1360</v>
      </c>
      <c r="F387">
        <f t="shared" si="15"/>
        <v>1360</v>
      </c>
      <c r="G387" s="2">
        <v>3</v>
      </c>
      <c r="H387">
        <v>0</v>
      </c>
      <c r="I387">
        <v>0</v>
      </c>
      <c r="J387">
        <v>0</v>
      </c>
      <c r="K387">
        <v>0</v>
      </c>
      <c r="L387">
        <v>139584</v>
      </c>
      <c r="M387">
        <v>600</v>
      </c>
      <c r="N387">
        <v>10096</v>
      </c>
      <c r="O387">
        <v>12115</v>
      </c>
      <c r="P387">
        <v>2500</v>
      </c>
      <c r="Q387">
        <v>750</v>
      </c>
      <c r="R387">
        <v>750</v>
      </c>
      <c r="S387">
        <v>0</v>
      </c>
      <c r="T387">
        <v>3281</v>
      </c>
      <c r="U387">
        <v>942</v>
      </c>
      <c r="V387">
        <v>0</v>
      </c>
      <c r="W387">
        <v>0</v>
      </c>
      <c r="X387" t="s">
        <v>591</v>
      </c>
      <c r="Y387">
        <v>1</v>
      </c>
      <c r="Z387">
        <v>0</v>
      </c>
      <c r="AA387">
        <v>50</v>
      </c>
      <c r="AB387">
        <v>25</v>
      </c>
      <c r="AC387">
        <v>0.4</v>
      </c>
    </row>
    <row r="388" spans="1:29">
      <c r="A388">
        <v>1050021</v>
      </c>
      <c r="B388">
        <v>2001</v>
      </c>
      <c r="C388">
        <v>50</v>
      </c>
      <c r="D388" t="s">
        <v>551</v>
      </c>
      <c r="E388">
        <f t="shared" si="14"/>
        <v>1360</v>
      </c>
      <c r="F388">
        <f t="shared" si="15"/>
        <v>1360</v>
      </c>
      <c r="G388" s="2" t="s">
        <v>628</v>
      </c>
      <c r="H388">
        <v>0</v>
      </c>
      <c r="I388">
        <v>0</v>
      </c>
      <c r="J388">
        <v>0</v>
      </c>
      <c r="K388">
        <v>0</v>
      </c>
      <c r="L388">
        <v>108883</v>
      </c>
      <c r="M388">
        <v>10888</v>
      </c>
      <c r="N388">
        <v>18182</v>
      </c>
      <c r="O388">
        <v>21818</v>
      </c>
      <c r="P388">
        <v>2500</v>
      </c>
      <c r="Q388">
        <v>750</v>
      </c>
      <c r="R388">
        <v>750</v>
      </c>
      <c r="S388">
        <v>0</v>
      </c>
      <c r="T388">
        <v>0</v>
      </c>
      <c r="U388">
        <v>942</v>
      </c>
      <c r="V388">
        <v>0</v>
      </c>
      <c r="W388">
        <v>0</v>
      </c>
      <c r="X388" t="s">
        <v>592</v>
      </c>
      <c r="Y388">
        <v>1</v>
      </c>
      <c r="Z388">
        <v>0</v>
      </c>
      <c r="AA388">
        <v>50</v>
      </c>
      <c r="AB388">
        <v>25</v>
      </c>
      <c r="AC388">
        <v>0.4</v>
      </c>
    </row>
    <row r="389" spans="1:29">
      <c r="A389">
        <v>1050031</v>
      </c>
      <c r="B389">
        <v>2001</v>
      </c>
      <c r="C389">
        <v>51</v>
      </c>
      <c r="D389" t="s">
        <v>552</v>
      </c>
      <c r="E389">
        <f t="shared" si="14"/>
        <v>1400</v>
      </c>
      <c r="F389">
        <f t="shared" si="15"/>
        <v>1400</v>
      </c>
      <c r="G389" s="2">
        <v>5</v>
      </c>
      <c r="H389">
        <v>0</v>
      </c>
      <c r="I389">
        <v>0</v>
      </c>
      <c r="J389">
        <v>0</v>
      </c>
      <c r="K389">
        <v>0</v>
      </c>
      <c r="L389">
        <v>182233</v>
      </c>
      <c r="M389">
        <v>1210</v>
      </c>
      <c r="N389">
        <v>15470</v>
      </c>
      <c r="O389">
        <v>18564</v>
      </c>
      <c r="P389">
        <v>3000</v>
      </c>
      <c r="Q389">
        <v>900</v>
      </c>
      <c r="R389">
        <v>900</v>
      </c>
      <c r="S389">
        <v>0</v>
      </c>
      <c r="T389">
        <v>0</v>
      </c>
      <c r="U389">
        <v>980</v>
      </c>
      <c r="V389">
        <v>0</v>
      </c>
      <c r="W389">
        <v>0</v>
      </c>
      <c r="X389" t="s">
        <v>593</v>
      </c>
      <c r="Y389">
        <v>1</v>
      </c>
      <c r="Z389">
        <v>0</v>
      </c>
      <c r="AA389">
        <v>50</v>
      </c>
      <c r="AB389">
        <v>25</v>
      </c>
      <c r="AC389">
        <v>0.4</v>
      </c>
    </row>
    <row r="390" spans="1:29">
      <c r="A390">
        <v>1050041</v>
      </c>
      <c r="B390">
        <v>2001</v>
      </c>
      <c r="C390">
        <v>51</v>
      </c>
      <c r="D390" t="s">
        <v>553</v>
      </c>
      <c r="E390">
        <f t="shared" si="14"/>
        <v>1400</v>
      </c>
      <c r="F390">
        <f t="shared" si="15"/>
        <v>1400</v>
      </c>
      <c r="G390" s="2">
        <v>16</v>
      </c>
      <c r="H390">
        <v>0</v>
      </c>
      <c r="I390">
        <v>0</v>
      </c>
      <c r="J390">
        <v>0</v>
      </c>
      <c r="K390">
        <v>0</v>
      </c>
      <c r="L390">
        <v>160127</v>
      </c>
      <c r="M390">
        <v>2420</v>
      </c>
      <c r="N390">
        <v>17317</v>
      </c>
      <c r="O390">
        <v>20780</v>
      </c>
      <c r="P390">
        <v>3000</v>
      </c>
      <c r="Q390">
        <v>900</v>
      </c>
      <c r="R390">
        <v>900</v>
      </c>
      <c r="S390">
        <v>0</v>
      </c>
      <c r="T390">
        <v>0</v>
      </c>
      <c r="U390">
        <v>2432</v>
      </c>
      <c r="V390">
        <v>0</v>
      </c>
      <c r="W390">
        <v>0</v>
      </c>
      <c r="X390" t="s">
        <v>594</v>
      </c>
      <c r="Y390">
        <v>1</v>
      </c>
      <c r="Z390">
        <v>0</v>
      </c>
      <c r="AA390">
        <v>50</v>
      </c>
      <c r="AB390">
        <v>25</v>
      </c>
      <c r="AC390">
        <v>0.4</v>
      </c>
    </row>
    <row r="391" spans="1:29">
      <c r="A391">
        <v>1050051</v>
      </c>
      <c r="B391">
        <v>2001</v>
      </c>
      <c r="C391">
        <v>51</v>
      </c>
      <c r="D391" t="s">
        <v>554</v>
      </c>
      <c r="E391">
        <f t="shared" si="14"/>
        <v>1400</v>
      </c>
      <c r="F391">
        <f t="shared" si="15"/>
        <v>1400</v>
      </c>
      <c r="G391" s="2">
        <v>4</v>
      </c>
      <c r="H391">
        <v>0</v>
      </c>
      <c r="I391">
        <v>0</v>
      </c>
      <c r="J391">
        <v>0</v>
      </c>
      <c r="K391">
        <v>0</v>
      </c>
      <c r="L391">
        <v>219847</v>
      </c>
      <c r="M391">
        <v>1210</v>
      </c>
      <c r="N391">
        <v>16479</v>
      </c>
      <c r="O391">
        <v>19775</v>
      </c>
      <c r="P391">
        <v>3000</v>
      </c>
      <c r="Q391">
        <v>900</v>
      </c>
      <c r="R391">
        <v>900</v>
      </c>
      <c r="S391">
        <v>0</v>
      </c>
      <c r="T391">
        <v>0</v>
      </c>
      <c r="U391">
        <v>980</v>
      </c>
      <c r="V391">
        <v>0</v>
      </c>
      <c r="W391">
        <v>0</v>
      </c>
      <c r="X391" t="s">
        <v>595</v>
      </c>
      <c r="Y391">
        <v>1</v>
      </c>
      <c r="Z391">
        <v>0</v>
      </c>
      <c r="AA391">
        <v>50</v>
      </c>
      <c r="AB391">
        <v>25</v>
      </c>
      <c r="AC391">
        <v>0.4</v>
      </c>
    </row>
    <row r="392" spans="1:29">
      <c r="A392">
        <v>1050061</v>
      </c>
      <c r="B392">
        <v>2001</v>
      </c>
      <c r="C392">
        <v>52</v>
      </c>
      <c r="D392" t="s">
        <v>555</v>
      </c>
      <c r="E392">
        <f t="shared" si="14"/>
        <v>1440</v>
      </c>
      <c r="F392">
        <f t="shared" si="15"/>
        <v>1440</v>
      </c>
      <c r="G392" s="2">
        <v>10</v>
      </c>
      <c r="H392">
        <v>0</v>
      </c>
      <c r="I392">
        <v>0</v>
      </c>
      <c r="J392">
        <v>0</v>
      </c>
      <c r="K392">
        <v>0</v>
      </c>
      <c r="L392">
        <v>237430</v>
      </c>
      <c r="M392">
        <v>2440</v>
      </c>
      <c r="N392">
        <v>27040</v>
      </c>
      <c r="O392">
        <v>32448</v>
      </c>
      <c r="P392">
        <v>3500</v>
      </c>
      <c r="Q392">
        <v>1050</v>
      </c>
      <c r="R392">
        <v>1050</v>
      </c>
      <c r="S392">
        <v>0</v>
      </c>
      <c r="T392">
        <v>2068</v>
      </c>
      <c r="U392">
        <v>1018</v>
      </c>
      <c r="V392">
        <v>0</v>
      </c>
      <c r="W392">
        <v>0</v>
      </c>
      <c r="X392" t="s">
        <v>596</v>
      </c>
      <c r="Y392">
        <v>1</v>
      </c>
      <c r="Z392">
        <v>0</v>
      </c>
      <c r="AA392">
        <v>50</v>
      </c>
      <c r="AB392">
        <v>25</v>
      </c>
      <c r="AC392">
        <v>0.4</v>
      </c>
    </row>
    <row r="393" spans="1:29">
      <c r="A393">
        <v>1050071</v>
      </c>
      <c r="B393">
        <v>2001</v>
      </c>
      <c r="C393">
        <v>52</v>
      </c>
      <c r="D393" t="s">
        <v>556</v>
      </c>
      <c r="E393">
        <f t="shared" si="14"/>
        <v>1440</v>
      </c>
      <c r="F393">
        <f t="shared" si="15"/>
        <v>1440</v>
      </c>
      <c r="G393" s="2">
        <v>3</v>
      </c>
      <c r="H393">
        <v>0</v>
      </c>
      <c r="I393">
        <v>0</v>
      </c>
      <c r="J393">
        <v>0</v>
      </c>
      <c r="K393">
        <v>0</v>
      </c>
      <c r="L393">
        <v>142458</v>
      </c>
      <c r="M393">
        <v>1220</v>
      </c>
      <c r="N393">
        <v>7887</v>
      </c>
      <c r="O393">
        <v>9464</v>
      </c>
      <c r="P393">
        <v>3500</v>
      </c>
      <c r="Q393">
        <v>1050</v>
      </c>
      <c r="R393">
        <v>1050</v>
      </c>
      <c r="S393">
        <v>0</v>
      </c>
      <c r="T393">
        <v>0</v>
      </c>
      <c r="U393">
        <v>1018</v>
      </c>
      <c r="V393">
        <v>0</v>
      </c>
      <c r="W393">
        <v>0</v>
      </c>
      <c r="X393" t="s">
        <v>597</v>
      </c>
      <c r="Y393">
        <v>1</v>
      </c>
      <c r="Z393">
        <v>0</v>
      </c>
      <c r="AA393">
        <v>50</v>
      </c>
      <c r="AB393">
        <v>25</v>
      </c>
      <c r="AC393">
        <v>0.4</v>
      </c>
    </row>
    <row r="394" spans="1:29">
      <c r="A394">
        <f>A393+1</f>
        <v>1050072</v>
      </c>
      <c r="B394">
        <v>2001</v>
      </c>
      <c r="C394">
        <f>C393</f>
        <v>52</v>
      </c>
      <c r="D394" t="s">
        <v>582</v>
      </c>
      <c r="E394">
        <f>E393</f>
        <v>1440</v>
      </c>
      <c r="F394">
        <f t="shared" ref="F394" si="36">F393</f>
        <v>1440</v>
      </c>
      <c r="G394" s="2" t="s">
        <v>629</v>
      </c>
      <c r="H394">
        <f t="shared" ref="H394" si="37">H393</f>
        <v>0</v>
      </c>
      <c r="I394">
        <f t="shared" ref="I394" si="38">I393</f>
        <v>0</v>
      </c>
      <c r="J394">
        <f t="shared" ref="J394" si="39">J393</f>
        <v>0</v>
      </c>
      <c r="K394">
        <f t="shared" ref="K394" si="40">K393</f>
        <v>0</v>
      </c>
      <c r="L394">
        <v>104106</v>
      </c>
      <c r="M394">
        <v>1220</v>
      </c>
      <c r="N394">
        <v>15013</v>
      </c>
      <c r="O394">
        <v>18016</v>
      </c>
      <c r="P394">
        <v>3500</v>
      </c>
      <c r="Q394">
        <v>1050</v>
      </c>
      <c r="R394">
        <v>1050</v>
      </c>
      <c r="S394">
        <v>0</v>
      </c>
      <c r="T394">
        <v>0</v>
      </c>
      <c r="U394">
        <v>1018</v>
      </c>
      <c r="V394">
        <v>0</v>
      </c>
      <c r="W394">
        <v>0</v>
      </c>
      <c r="X394" t="s">
        <v>62</v>
      </c>
      <c r="Y394">
        <v>1</v>
      </c>
      <c r="Z394">
        <v>0</v>
      </c>
      <c r="AA394">
        <v>50</v>
      </c>
      <c r="AB394">
        <v>25</v>
      </c>
      <c r="AC394">
        <v>0.4</v>
      </c>
    </row>
    <row r="395" spans="1:29">
      <c r="A395">
        <v>1050081</v>
      </c>
      <c r="B395">
        <v>2001</v>
      </c>
      <c r="C395">
        <v>53</v>
      </c>
      <c r="D395" t="s">
        <v>557</v>
      </c>
      <c r="E395">
        <f t="shared" si="14"/>
        <v>1480</v>
      </c>
      <c r="F395">
        <f t="shared" si="15"/>
        <v>1480</v>
      </c>
      <c r="G395" s="2">
        <v>7</v>
      </c>
      <c r="H395">
        <v>0</v>
      </c>
      <c r="I395">
        <v>0</v>
      </c>
      <c r="J395">
        <v>0</v>
      </c>
      <c r="K395">
        <v>0</v>
      </c>
      <c r="L395">
        <v>273194</v>
      </c>
      <c r="M395">
        <v>1230</v>
      </c>
      <c r="N395">
        <v>27785</v>
      </c>
      <c r="O395">
        <v>33342</v>
      </c>
      <c r="P395">
        <v>4000</v>
      </c>
      <c r="Q395">
        <v>1200</v>
      </c>
      <c r="R395">
        <v>1200</v>
      </c>
      <c r="S395">
        <v>0</v>
      </c>
      <c r="T395">
        <v>0</v>
      </c>
      <c r="U395">
        <v>1057</v>
      </c>
      <c r="V395">
        <v>0</v>
      </c>
      <c r="W395">
        <v>0</v>
      </c>
      <c r="X395" t="s">
        <v>598</v>
      </c>
      <c r="Y395">
        <v>1</v>
      </c>
      <c r="Z395">
        <v>0</v>
      </c>
      <c r="AA395">
        <v>50</v>
      </c>
      <c r="AB395">
        <v>25</v>
      </c>
      <c r="AC395">
        <v>0.4</v>
      </c>
    </row>
    <row r="396" spans="1:29">
      <c r="A396">
        <v>1050091</v>
      </c>
      <c r="B396">
        <v>2001</v>
      </c>
      <c r="C396">
        <v>54</v>
      </c>
      <c r="D396" t="s">
        <v>558</v>
      </c>
      <c r="E396">
        <f t="shared" si="14"/>
        <v>1520</v>
      </c>
      <c r="F396">
        <f t="shared" si="15"/>
        <v>1520</v>
      </c>
      <c r="G396" s="2">
        <v>15</v>
      </c>
      <c r="H396">
        <v>0</v>
      </c>
      <c r="I396">
        <v>0</v>
      </c>
      <c r="J396">
        <v>0</v>
      </c>
      <c r="K396">
        <v>0</v>
      </c>
      <c r="L396">
        <v>296935</v>
      </c>
      <c r="M396">
        <v>1240</v>
      </c>
      <c r="N396">
        <v>31950</v>
      </c>
      <c r="O396">
        <v>38340</v>
      </c>
      <c r="P396">
        <v>4500</v>
      </c>
      <c r="Q396">
        <v>1350</v>
      </c>
      <c r="R396">
        <v>1350</v>
      </c>
      <c r="S396">
        <v>0</v>
      </c>
      <c r="T396">
        <v>0</v>
      </c>
      <c r="U396">
        <v>1097</v>
      </c>
      <c r="V396">
        <v>0</v>
      </c>
      <c r="W396">
        <v>0</v>
      </c>
      <c r="X396" t="s">
        <v>599</v>
      </c>
      <c r="Y396">
        <v>1</v>
      </c>
      <c r="Z396">
        <v>0</v>
      </c>
      <c r="AA396">
        <v>50</v>
      </c>
      <c r="AB396">
        <v>25</v>
      </c>
      <c r="AC396">
        <v>0.4</v>
      </c>
    </row>
    <row r="397" spans="1:29">
      <c r="A397">
        <v>1055011</v>
      </c>
      <c r="B397">
        <v>2001</v>
      </c>
      <c r="C397">
        <v>55</v>
      </c>
      <c r="D397" t="s">
        <v>550</v>
      </c>
      <c r="E397">
        <f t="shared" si="14"/>
        <v>1560</v>
      </c>
      <c r="F397">
        <f t="shared" si="15"/>
        <v>1560</v>
      </c>
      <c r="G397" s="2">
        <v>3</v>
      </c>
      <c r="H397">
        <v>0</v>
      </c>
      <c r="I397">
        <v>0</v>
      </c>
      <c r="J397">
        <v>0</v>
      </c>
      <c r="K397">
        <v>0</v>
      </c>
      <c r="L397">
        <v>161706</v>
      </c>
      <c r="M397">
        <v>625</v>
      </c>
      <c r="N397">
        <v>14969</v>
      </c>
      <c r="O397">
        <v>17963</v>
      </c>
      <c r="P397">
        <v>5000</v>
      </c>
      <c r="Q397">
        <v>1500</v>
      </c>
      <c r="R397">
        <v>1500</v>
      </c>
      <c r="S397">
        <v>0</v>
      </c>
      <c r="T397">
        <v>3960</v>
      </c>
      <c r="U397">
        <v>1138</v>
      </c>
      <c r="V397">
        <v>0</v>
      </c>
      <c r="W397">
        <v>0</v>
      </c>
      <c r="X397" t="s">
        <v>591</v>
      </c>
      <c r="Y397">
        <v>1</v>
      </c>
      <c r="Z397">
        <v>0</v>
      </c>
      <c r="AA397">
        <v>50</v>
      </c>
      <c r="AB397">
        <v>25</v>
      </c>
      <c r="AC397">
        <v>0.4</v>
      </c>
    </row>
    <row r="398" spans="1:29">
      <c r="A398">
        <v>1055021</v>
      </c>
      <c r="B398">
        <v>2001</v>
      </c>
      <c r="C398">
        <v>55</v>
      </c>
      <c r="D398" t="s">
        <v>551</v>
      </c>
      <c r="E398">
        <f t="shared" si="14"/>
        <v>1560</v>
      </c>
      <c r="F398">
        <f t="shared" si="15"/>
        <v>1560</v>
      </c>
      <c r="G398" s="2" t="s">
        <v>628</v>
      </c>
      <c r="H398">
        <v>0</v>
      </c>
      <c r="I398">
        <v>0</v>
      </c>
      <c r="J398">
        <v>0</v>
      </c>
      <c r="K398">
        <v>0</v>
      </c>
      <c r="L398">
        <v>124727</v>
      </c>
      <c r="M398">
        <v>12473</v>
      </c>
      <c r="N398">
        <v>27585</v>
      </c>
      <c r="O398">
        <v>33102</v>
      </c>
      <c r="P398">
        <v>5000</v>
      </c>
      <c r="Q398">
        <v>1500</v>
      </c>
      <c r="R398">
        <v>1500</v>
      </c>
      <c r="S398">
        <v>0</v>
      </c>
      <c r="T398">
        <v>0</v>
      </c>
      <c r="U398">
        <v>1138</v>
      </c>
      <c r="V398">
        <v>0</v>
      </c>
      <c r="W398">
        <v>0</v>
      </c>
      <c r="X398" t="s">
        <v>592</v>
      </c>
      <c r="Y398">
        <v>1</v>
      </c>
      <c r="Z398">
        <v>0</v>
      </c>
      <c r="AA398">
        <v>50</v>
      </c>
      <c r="AB398">
        <v>25</v>
      </c>
      <c r="AC398">
        <v>0.4</v>
      </c>
    </row>
    <row r="399" spans="1:29">
      <c r="A399">
        <v>1055031</v>
      </c>
      <c r="B399">
        <v>2001</v>
      </c>
      <c r="C399">
        <v>56</v>
      </c>
      <c r="D399" t="s">
        <v>552</v>
      </c>
      <c r="E399">
        <f t="shared" si="14"/>
        <v>1600</v>
      </c>
      <c r="F399">
        <f t="shared" si="15"/>
        <v>1600</v>
      </c>
      <c r="G399" s="2">
        <v>5</v>
      </c>
      <c r="H399">
        <v>0</v>
      </c>
      <c r="I399">
        <v>0</v>
      </c>
      <c r="J399">
        <v>0</v>
      </c>
      <c r="K399">
        <v>0</v>
      </c>
      <c r="L399">
        <v>210135</v>
      </c>
      <c r="M399">
        <v>1260</v>
      </c>
      <c r="N399">
        <v>24199</v>
      </c>
      <c r="O399">
        <v>29039</v>
      </c>
      <c r="P399">
        <v>5500</v>
      </c>
      <c r="Q399">
        <v>1650</v>
      </c>
      <c r="R399">
        <v>1650</v>
      </c>
      <c r="S399">
        <v>0</v>
      </c>
      <c r="T399">
        <v>0</v>
      </c>
      <c r="U399">
        <v>1179</v>
      </c>
      <c r="V399">
        <v>0</v>
      </c>
      <c r="W399">
        <v>0</v>
      </c>
      <c r="X399" t="s">
        <v>593</v>
      </c>
      <c r="Y399">
        <v>1</v>
      </c>
      <c r="Z399">
        <v>0</v>
      </c>
      <c r="AA399">
        <v>50</v>
      </c>
      <c r="AB399">
        <v>25</v>
      </c>
      <c r="AC399">
        <v>0.4</v>
      </c>
    </row>
    <row r="400" spans="1:29">
      <c r="A400">
        <v>1055041</v>
      </c>
      <c r="B400">
        <v>2001</v>
      </c>
      <c r="C400">
        <v>56</v>
      </c>
      <c r="D400" t="s">
        <v>553</v>
      </c>
      <c r="E400">
        <f t="shared" si="14"/>
        <v>1600</v>
      </c>
      <c r="F400">
        <f t="shared" si="15"/>
        <v>1600</v>
      </c>
      <c r="G400" s="2">
        <v>16</v>
      </c>
      <c r="H400">
        <v>0</v>
      </c>
      <c r="I400">
        <v>0</v>
      </c>
      <c r="J400">
        <v>0</v>
      </c>
      <c r="K400">
        <v>0</v>
      </c>
      <c r="L400">
        <v>183658</v>
      </c>
      <c r="M400">
        <v>2520</v>
      </c>
      <c r="N400">
        <v>27309</v>
      </c>
      <c r="O400">
        <v>32771</v>
      </c>
      <c r="P400">
        <v>5500</v>
      </c>
      <c r="Q400">
        <v>1650</v>
      </c>
      <c r="R400">
        <v>1650</v>
      </c>
      <c r="S400">
        <v>0</v>
      </c>
      <c r="T400">
        <v>0</v>
      </c>
      <c r="U400">
        <v>2925</v>
      </c>
      <c r="V400">
        <v>0</v>
      </c>
      <c r="W400">
        <v>0</v>
      </c>
      <c r="X400" t="s">
        <v>594</v>
      </c>
      <c r="Y400">
        <v>1</v>
      </c>
      <c r="Z400">
        <v>0</v>
      </c>
      <c r="AA400">
        <v>50</v>
      </c>
      <c r="AB400">
        <v>25</v>
      </c>
      <c r="AC400">
        <v>0.4</v>
      </c>
    </row>
    <row r="401" spans="1:29">
      <c r="A401">
        <v>1055051</v>
      </c>
      <c r="B401">
        <v>2001</v>
      </c>
      <c r="C401">
        <v>56</v>
      </c>
      <c r="D401" t="s">
        <v>554</v>
      </c>
      <c r="E401">
        <f t="shared" si="14"/>
        <v>1600</v>
      </c>
      <c r="F401">
        <f t="shared" si="15"/>
        <v>1600</v>
      </c>
      <c r="G401" s="2">
        <v>4</v>
      </c>
      <c r="H401">
        <v>0</v>
      </c>
      <c r="I401">
        <v>0</v>
      </c>
      <c r="J401">
        <v>0</v>
      </c>
      <c r="K401">
        <v>0</v>
      </c>
      <c r="L401">
        <v>250806</v>
      </c>
      <c r="M401">
        <v>1260</v>
      </c>
      <c r="N401">
        <v>26197</v>
      </c>
      <c r="O401">
        <v>31436</v>
      </c>
      <c r="P401">
        <v>5500</v>
      </c>
      <c r="Q401">
        <v>1650</v>
      </c>
      <c r="R401">
        <v>1650</v>
      </c>
      <c r="S401">
        <v>0</v>
      </c>
      <c r="T401">
        <v>0</v>
      </c>
      <c r="U401">
        <v>1179</v>
      </c>
      <c r="V401">
        <v>0</v>
      </c>
      <c r="W401">
        <v>0</v>
      </c>
      <c r="X401" t="s">
        <v>595</v>
      </c>
      <c r="Y401">
        <v>1</v>
      </c>
      <c r="Z401">
        <v>0</v>
      </c>
      <c r="AA401">
        <v>50</v>
      </c>
      <c r="AB401">
        <v>25</v>
      </c>
      <c r="AC401">
        <v>0.4</v>
      </c>
    </row>
    <row r="402" spans="1:29">
      <c r="A402">
        <v>1055061</v>
      </c>
      <c r="B402">
        <v>2001</v>
      </c>
      <c r="C402">
        <v>57</v>
      </c>
      <c r="D402" t="s">
        <v>555</v>
      </c>
      <c r="E402">
        <f t="shared" si="14"/>
        <v>1640</v>
      </c>
      <c r="F402">
        <f t="shared" si="15"/>
        <v>1640</v>
      </c>
      <c r="G402" s="2">
        <v>10</v>
      </c>
      <c r="H402">
        <v>0</v>
      </c>
      <c r="I402">
        <v>0</v>
      </c>
      <c r="J402">
        <v>0</v>
      </c>
      <c r="K402">
        <v>0</v>
      </c>
      <c r="L402">
        <v>274115</v>
      </c>
      <c r="M402">
        <v>2540</v>
      </c>
      <c r="N402">
        <v>43455</v>
      </c>
      <c r="O402">
        <v>52146</v>
      </c>
      <c r="P402">
        <v>6000</v>
      </c>
      <c r="Q402">
        <v>1800</v>
      </c>
      <c r="R402">
        <v>1800</v>
      </c>
      <c r="S402">
        <v>0</v>
      </c>
      <c r="T402">
        <v>2479</v>
      </c>
      <c r="U402">
        <v>1221</v>
      </c>
      <c r="V402">
        <v>0</v>
      </c>
      <c r="W402">
        <v>0</v>
      </c>
      <c r="X402" t="s">
        <v>596</v>
      </c>
      <c r="Y402">
        <v>1</v>
      </c>
      <c r="Z402">
        <v>0</v>
      </c>
      <c r="AA402">
        <v>50</v>
      </c>
      <c r="AB402">
        <v>25</v>
      </c>
      <c r="AC402">
        <v>0.4</v>
      </c>
    </row>
    <row r="403" spans="1:29">
      <c r="A403">
        <v>1055071</v>
      </c>
      <c r="B403">
        <v>2001</v>
      </c>
      <c r="C403">
        <v>57</v>
      </c>
      <c r="D403" t="s">
        <v>556</v>
      </c>
      <c r="E403">
        <f t="shared" si="14"/>
        <v>1640</v>
      </c>
      <c r="F403">
        <f t="shared" si="15"/>
        <v>1640</v>
      </c>
      <c r="G403" s="2">
        <v>3</v>
      </c>
      <c r="H403">
        <v>0</v>
      </c>
      <c r="I403">
        <v>0</v>
      </c>
      <c r="J403">
        <v>0</v>
      </c>
      <c r="K403">
        <v>0</v>
      </c>
      <c r="L403">
        <v>164469</v>
      </c>
      <c r="M403">
        <v>1270</v>
      </c>
      <c r="N403">
        <v>12674</v>
      </c>
      <c r="O403">
        <v>15209</v>
      </c>
      <c r="P403">
        <v>6000</v>
      </c>
      <c r="Q403">
        <v>1800</v>
      </c>
      <c r="R403">
        <v>1800</v>
      </c>
      <c r="S403">
        <v>0</v>
      </c>
      <c r="T403">
        <v>0</v>
      </c>
      <c r="U403">
        <v>1221</v>
      </c>
      <c r="V403">
        <v>0</v>
      </c>
      <c r="W403">
        <v>0</v>
      </c>
      <c r="X403" t="s">
        <v>597</v>
      </c>
      <c r="Y403">
        <v>1</v>
      </c>
      <c r="Z403">
        <v>0</v>
      </c>
      <c r="AA403">
        <v>50</v>
      </c>
      <c r="AB403">
        <v>25</v>
      </c>
      <c r="AC403">
        <v>0.4</v>
      </c>
    </row>
    <row r="404" spans="1:29">
      <c r="A404">
        <f>A403+1</f>
        <v>1055072</v>
      </c>
      <c r="B404">
        <v>2001</v>
      </c>
      <c r="C404">
        <f>C403</f>
        <v>57</v>
      </c>
      <c r="D404" t="s">
        <v>582</v>
      </c>
      <c r="E404">
        <f>E403</f>
        <v>1640</v>
      </c>
      <c r="F404">
        <f t="shared" ref="F404" si="41">F403</f>
        <v>1640</v>
      </c>
      <c r="G404" s="2" t="s">
        <v>629</v>
      </c>
      <c r="H404">
        <f t="shared" ref="H404" si="42">H403</f>
        <v>0</v>
      </c>
      <c r="I404">
        <f t="shared" ref="I404" si="43">I403</f>
        <v>0</v>
      </c>
      <c r="J404">
        <f t="shared" ref="J404" si="44">J403</f>
        <v>0</v>
      </c>
      <c r="K404">
        <f t="shared" ref="K404" si="45">K403</f>
        <v>0</v>
      </c>
      <c r="L404">
        <v>119722</v>
      </c>
      <c r="M404">
        <v>1270</v>
      </c>
      <c r="N404">
        <v>24251</v>
      </c>
      <c r="O404">
        <v>29101</v>
      </c>
      <c r="P404">
        <v>6000</v>
      </c>
      <c r="Q404">
        <v>1800</v>
      </c>
      <c r="R404">
        <v>1800</v>
      </c>
      <c r="S404">
        <v>0</v>
      </c>
      <c r="T404">
        <v>0</v>
      </c>
      <c r="U404">
        <v>1221</v>
      </c>
      <c r="V404">
        <v>0</v>
      </c>
      <c r="W404">
        <v>0</v>
      </c>
      <c r="X404" t="s">
        <v>62</v>
      </c>
      <c r="Y404">
        <v>1</v>
      </c>
      <c r="Z404">
        <v>0</v>
      </c>
      <c r="AA404">
        <v>50</v>
      </c>
      <c r="AB404">
        <v>25</v>
      </c>
      <c r="AC404">
        <v>0.4</v>
      </c>
    </row>
    <row r="405" spans="1:29">
      <c r="A405">
        <v>1055081</v>
      </c>
      <c r="B405">
        <v>2001</v>
      </c>
      <c r="C405">
        <v>58</v>
      </c>
      <c r="D405" t="s">
        <v>557</v>
      </c>
      <c r="E405">
        <f t="shared" si="14"/>
        <v>1680</v>
      </c>
      <c r="F405">
        <f t="shared" si="15"/>
        <v>1680</v>
      </c>
      <c r="G405" s="2">
        <v>7</v>
      </c>
      <c r="H405">
        <v>0</v>
      </c>
      <c r="I405">
        <v>0</v>
      </c>
      <c r="J405">
        <v>0</v>
      </c>
      <c r="K405">
        <v>0</v>
      </c>
      <c r="L405">
        <v>318282</v>
      </c>
      <c r="M405">
        <v>1280</v>
      </c>
      <c r="N405">
        <v>45113</v>
      </c>
      <c r="O405">
        <v>54136</v>
      </c>
      <c r="P405">
        <v>6500</v>
      </c>
      <c r="Q405">
        <v>1950</v>
      </c>
      <c r="R405">
        <v>1950</v>
      </c>
      <c r="S405">
        <v>0</v>
      </c>
      <c r="T405">
        <v>0</v>
      </c>
      <c r="U405">
        <v>1263</v>
      </c>
      <c r="V405">
        <v>0</v>
      </c>
      <c r="W405">
        <v>0</v>
      </c>
      <c r="X405" t="s">
        <v>598</v>
      </c>
      <c r="Y405">
        <v>1</v>
      </c>
      <c r="Z405">
        <v>0</v>
      </c>
      <c r="AA405">
        <v>50</v>
      </c>
      <c r="AB405">
        <v>25</v>
      </c>
      <c r="AC405">
        <v>0.4</v>
      </c>
    </row>
    <row r="406" spans="1:29">
      <c r="A406">
        <v>1055091</v>
      </c>
      <c r="B406">
        <v>2001</v>
      </c>
      <c r="C406">
        <v>59</v>
      </c>
      <c r="D406" t="s">
        <v>558</v>
      </c>
      <c r="E406">
        <f t="shared" si="14"/>
        <v>1720</v>
      </c>
      <c r="F406">
        <f t="shared" si="15"/>
        <v>1720</v>
      </c>
      <c r="G406" s="2">
        <v>15</v>
      </c>
      <c r="H406">
        <v>0</v>
      </c>
      <c r="I406">
        <v>0</v>
      </c>
      <c r="J406">
        <v>0</v>
      </c>
      <c r="K406">
        <v>0</v>
      </c>
      <c r="L406">
        <v>349358</v>
      </c>
      <c r="M406">
        <v>1290</v>
      </c>
      <c r="N406">
        <v>52232</v>
      </c>
      <c r="O406">
        <v>62678</v>
      </c>
      <c r="P406">
        <v>7000</v>
      </c>
      <c r="Q406">
        <v>2100</v>
      </c>
      <c r="R406">
        <v>2100</v>
      </c>
      <c r="S406">
        <v>0</v>
      </c>
      <c r="T406">
        <v>0</v>
      </c>
      <c r="U406">
        <v>1307</v>
      </c>
      <c r="V406">
        <v>0</v>
      </c>
      <c r="W406">
        <v>0</v>
      </c>
      <c r="X406" t="s">
        <v>599</v>
      </c>
      <c r="Y406">
        <v>1</v>
      </c>
      <c r="Z406">
        <v>0</v>
      </c>
      <c r="AA406">
        <v>50</v>
      </c>
      <c r="AB406">
        <v>25</v>
      </c>
      <c r="AC406">
        <v>0.4</v>
      </c>
    </row>
    <row r="407" spans="1:29">
      <c r="A407">
        <v>1060011</v>
      </c>
      <c r="B407">
        <v>2001</v>
      </c>
      <c r="C407">
        <v>60</v>
      </c>
      <c r="D407" t="s">
        <v>559</v>
      </c>
      <c r="E407">
        <f t="shared" si="14"/>
        <v>1760</v>
      </c>
      <c r="F407">
        <f t="shared" si="15"/>
        <v>1760</v>
      </c>
      <c r="G407" s="2">
        <v>3</v>
      </c>
      <c r="H407">
        <v>0</v>
      </c>
      <c r="I407">
        <v>0</v>
      </c>
      <c r="J407">
        <v>0</v>
      </c>
      <c r="K407">
        <v>0</v>
      </c>
      <c r="L407">
        <v>168190</v>
      </c>
      <c r="M407">
        <v>780</v>
      </c>
      <c r="N407">
        <v>15483</v>
      </c>
      <c r="O407">
        <v>18580</v>
      </c>
      <c r="P407">
        <v>7500</v>
      </c>
      <c r="Q407">
        <v>2250</v>
      </c>
      <c r="R407">
        <v>2250</v>
      </c>
      <c r="S407">
        <v>0</v>
      </c>
      <c r="T407">
        <v>0</v>
      </c>
      <c r="U407">
        <v>1351</v>
      </c>
      <c r="V407">
        <v>0</v>
      </c>
      <c r="W407">
        <v>0</v>
      </c>
      <c r="X407" t="s">
        <v>600</v>
      </c>
      <c r="Y407">
        <v>1</v>
      </c>
      <c r="Z407">
        <v>0</v>
      </c>
      <c r="AA407">
        <v>50</v>
      </c>
      <c r="AB407">
        <v>25</v>
      </c>
      <c r="AC407">
        <v>0.4</v>
      </c>
    </row>
    <row r="408" spans="1:29">
      <c r="A408">
        <v>1060021</v>
      </c>
      <c r="B408">
        <v>2001</v>
      </c>
      <c r="C408">
        <v>60</v>
      </c>
      <c r="D408" t="s">
        <v>560</v>
      </c>
      <c r="E408">
        <f t="shared" si="14"/>
        <v>1760</v>
      </c>
      <c r="F408">
        <f t="shared" si="15"/>
        <v>1760</v>
      </c>
      <c r="G408" s="2" t="s">
        <v>630</v>
      </c>
      <c r="H408">
        <v>0</v>
      </c>
      <c r="I408">
        <v>0</v>
      </c>
      <c r="J408">
        <v>0</v>
      </c>
      <c r="K408">
        <v>0</v>
      </c>
      <c r="L408">
        <v>189181</v>
      </c>
      <c r="M408">
        <v>1300</v>
      </c>
      <c r="N408">
        <v>33045</v>
      </c>
      <c r="O408">
        <v>39654</v>
      </c>
      <c r="P408">
        <v>7500</v>
      </c>
      <c r="Q408">
        <v>2250</v>
      </c>
      <c r="R408">
        <v>2250</v>
      </c>
      <c r="S408">
        <v>0</v>
      </c>
      <c r="T408">
        <v>0</v>
      </c>
      <c r="U408">
        <v>686</v>
      </c>
      <c r="V408">
        <v>0</v>
      </c>
      <c r="W408">
        <v>0</v>
      </c>
      <c r="X408" t="s">
        <v>602</v>
      </c>
      <c r="Y408">
        <v>1</v>
      </c>
      <c r="Z408">
        <v>0</v>
      </c>
      <c r="AA408">
        <v>50</v>
      </c>
      <c r="AB408">
        <v>25</v>
      </c>
      <c r="AC408">
        <v>0.4</v>
      </c>
    </row>
    <row r="409" spans="1:29">
      <c r="A409">
        <v>1060031</v>
      </c>
      <c r="B409">
        <v>2001</v>
      </c>
      <c r="C409">
        <v>61</v>
      </c>
      <c r="D409" t="s">
        <v>561</v>
      </c>
      <c r="E409">
        <f t="shared" si="14"/>
        <v>1810</v>
      </c>
      <c r="F409">
        <f t="shared" si="15"/>
        <v>1810</v>
      </c>
      <c r="G409" s="2" t="s">
        <v>631</v>
      </c>
      <c r="H409">
        <v>0</v>
      </c>
      <c r="I409">
        <v>0</v>
      </c>
      <c r="J409">
        <v>0</v>
      </c>
      <c r="K409">
        <v>0</v>
      </c>
      <c r="L409">
        <v>298267</v>
      </c>
      <c r="M409">
        <v>2358</v>
      </c>
      <c r="N409">
        <v>36884</v>
      </c>
      <c r="O409">
        <v>44261</v>
      </c>
      <c r="P409">
        <v>8000</v>
      </c>
      <c r="Q409">
        <v>2400</v>
      </c>
      <c r="R409">
        <v>2400</v>
      </c>
      <c r="S409">
        <v>0</v>
      </c>
      <c r="T409">
        <v>0</v>
      </c>
      <c r="U409">
        <v>1396</v>
      </c>
      <c r="V409">
        <v>0</v>
      </c>
      <c r="W409">
        <v>0</v>
      </c>
      <c r="X409" t="s">
        <v>598</v>
      </c>
      <c r="Y409">
        <v>1</v>
      </c>
      <c r="Z409">
        <v>0</v>
      </c>
      <c r="AA409">
        <v>50</v>
      </c>
      <c r="AB409">
        <v>25</v>
      </c>
      <c r="AC409">
        <v>0.4</v>
      </c>
    </row>
    <row r="410" spans="1:29">
      <c r="A410">
        <v>1060041</v>
      </c>
      <c r="B410">
        <v>2001</v>
      </c>
      <c r="C410">
        <v>61</v>
      </c>
      <c r="D410" t="s">
        <v>562</v>
      </c>
      <c r="E410">
        <f t="shared" si="14"/>
        <v>1810</v>
      </c>
      <c r="F410">
        <f t="shared" si="15"/>
        <v>1810</v>
      </c>
      <c r="G410" s="2">
        <v>2</v>
      </c>
      <c r="H410">
        <v>0</v>
      </c>
      <c r="I410">
        <v>0</v>
      </c>
      <c r="J410">
        <v>0</v>
      </c>
      <c r="K410">
        <v>0</v>
      </c>
      <c r="L410">
        <v>176995</v>
      </c>
      <c r="M410">
        <v>1048</v>
      </c>
      <c r="N410">
        <v>25084</v>
      </c>
      <c r="O410">
        <v>30101</v>
      </c>
      <c r="P410">
        <v>8000</v>
      </c>
      <c r="Q410">
        <v>2400</v>
      </c>
      <c r="R410">
        <v>2400</v>
      </c>
      <c r="S410">
        <v>0</v>
      </c>
      <c r="T410">
        <v>0</v>
      </c>
      <c r="U410">
        <v>1396</v>
      </c>
      <c r="V410">
        <v>0</v>
      </c>
      <c r="W410">
        <v>0</v>
      </c>
      <c r="X410" t="s">
        <v>599</v>
      </c>
      <c r="Y410">
        <v>1</v>
      </c>
      <c r="Z410">
        <v>0</v>
      </c>
      <c r="AA410">
        <v>50</v>
      </c>
      <c r="AB410">
        <v>25</v>
      </c>
      <c r="AC410">
        <v>0.4</v>
      </c>
    </row>
    <row r="411" spans="1:29">
      <c r="A411">
        <f>A410+1</f>
        <v>1060042</v>
      </c>
      <c r="B411">
        <v>2001</v>
      </c>
      <c r="C411">
        <f>C410</f>
        <v>61</v>
      </c>
      <c r="D411" t="s">
        <v>584</v>
      </c>
      <c r="E411">
        <f>E410</f>
        <v>1810</v>
      </c>
      <c r="F411">
        <f t="shared" ref="F411:F412" si="46">F410</f>
        <v>1810</v>
      </c>
      <c r="G411" s="2">
        <v>9</v>
      </c>
      <c r="H411">
        <f t="shared" ref="H411:H412" si="47">H410</f>
        <v>0</v>
      </c>
      <c r="I411">
        <f t="shared" ref="I411:I412" si="48">I410</f>
        <v>0</v>
      </c>
      <c r="J411">
        <f t="shared" ref="J411:J412" si="49">J410</f>
        <v>0</v>
      </c>
      <c r="K411">
        <f t="shared" ref="K411:K412" si="50">K410</f>
        <v>0</v>
      </c>
      <c r="L411">
        <v>82598</v>
      </c>
      <c r="M411">
        <v>1310</v>
      </c>
      <c r="N411">
        <v>14633</v>
      </c>
      <c r="O411">
        <v>17560</v>
      </c>
      <c r="P411">
        <v>8000</v>
      </c>
      <c r="Q411">
        <v>2400</v>
      </c>
      <c r="R411">
        <v>2400</v>
      </c>
      <c r="S411">
        <v>0</v>
      </c>
      <c r="T411">
        <v>0</v>
      </c>
      <c r="U411">
        <v>1396</v>
      </c>
      <c r="V411">
        <v>0</v>
      </c>
      <c r="W411">
        <v>0</v>
      </c>
      <c r="X411" t="s">
        <v>592</v>
      </c>
      <c r="Y411">
        <v>1</v>
      </c>
      <c r="Z411">
        <v>0</v>
      </c>
      <c r="AA411">
        <v>50</v>
      </c>
      <c r="AB411">
        <v>25</v>
      </c>
      <c r="AC411">
        <v>0.4</v>
      </c>
    </row>
    <row r="412" spans="1:29">
      <c r="A412">
        <f>A411+1</f>
        <v>1060043</v>
      </c>
      <c r="B412">
        <v>2001</v>
      </c>
      <c r="C412">
        <f>C411</f>
        <v>61</v>
      </c>
      <c r="D412" t="s">
        <v>585</v>
      </c>
      <c r="E412">
        <f>E411</f>
        <v>1810</v>
      </c>
      <c r="F412">
        <f t="shared" si="46"/>
        <v>1810</v>
      </c>
      <c r="G412" s="2">
        <v>10</v>
      </c>
      <c r="H412">
        <f t="shared" si="47"/>
        <v>0</v>
      </c>
      <c r="I412">
        <f t="shared" si="48"/>
        <v>0</v>
      </c>
      <c r="J412">
        <f t="shared" si="49"/>
        <v>0</v>
      </c>
      <c r="K412">
        <f t="shared" si="50"/>
        <v>0</v>
      </c>
      <c r="L412">
        <v>82598</v>
      </c>
      <c r="M412">
        <v>1310</v>
      </c>
      <c r="N412">
        <v>14633</v>
      </c>
      <c r="O412">
        <v>17560</v>
      </c>
      <c r="P412">
        <v>8000</v>
      </c>
      <c r="Q412">
        <v>2400</v>
      </c>
      <c r="R412">
        <v>2400</v>
      </c>
      <c r="S412">
        <v>0</v>
      </c>
      <c r="T412">
        <v>0</v>
      </c>
      <c r="U412">
        <v>1396</v>
      </c>
      <c r="V412">
        <v>0</v>
      </c>
      <c r="W412">
        <v>0</v>
      </c>
      <c r="X412" t="s">
        <v>593</v>
      </c>
      <c r="Y412">
        <v>1</v>
      </c>
      <c r="Z412">
        <v>0</v>
      </c>
      <c r="AA412">
        <v>50</v>
      </c>
      <c r="AB412">
        <v>25</v>
      </c>
      <c r="AC412">
        <v>0.4</v>
      </c>
    </row>
    <row r="413" spans="1:29">
      <c r="A413">
        <v>1060051</v>
      </c>
      <c r="B413">
        <v>2001</v>
      </c>
      <c r="C413">
        <v>61</v>
      </c>
      <c r="D413" t="s">
        <v>563</v>
      </c>
      <c r="E413">
        <f t="shared" si="14"/>
        <v>1810</v>
      </c>
      <c r="F413">
        <f t="shared" si="15"/>
        <v>1810</v>
      </c>
      <c r="G413" s="2">
        <v>21</v>
      </c>
      <c r="H413">
        <v>0</v>
      </c>
      <c r="I413">
        <v>0</v>
      </c>
      <c r="J413">
        <v>0</v>
      </c>
      <c r="K413">
        <v>0</v>
      </c>
      <c r="L413">
        <v>304882</v>
      </c>
      <c r="M413">
        <v>1310</v>
      </c>
      <c r="N413">
        <v>47387</v>
      </c>
      <c r="O413">
        <v>56864</v>
      </c>
      <c r="P413">
        <v>8000</v>
      </c>
      <c r="Q413">
        <v>2400</v>
      </c>
      <c r="R413">
        <v>2400</v>
      </c>
      <c r="S413">
        <v>0</v>
      </c>
      <c r="T413">
        <v>0</v>
      </c>
      <c r="U413">
        <v>1396</v>
      </c>
      <c r="V413">
        <v>0</v>
      </c>
      <c r="W413">
        <v>0</v>
      </c>
      <c r="X413" t="s">
        <v>594</v>
      </c>
      <c r="Y413">
        <v>1</v>
      </c>
      <c r="Z413">
        <v>0</v>
      </c>
      <c r="AA413">
        <v>50</v>
      </c>
      <c r="AB413">
        <v>25</v>
      </c>
      <c r="AC413">
        <v>0.4</v>
      </c>
    </row>
    <row r="414" spans="1:29">
      <c r="A414">
        <v>1060061</v>
      </c>
      <c r="B414">
        <v>2001</v>
      </c>
      <c r="C414">
        <v>62</v>
      </c>
      <c r="D414" t="s">
        <v>564</v>
      </c>
      <c r="E414">
        <f t="shared" si="14"/>
        <v>1860</v>
      </c>
      <c r="F414">
        <f t="shared" si="15"/>
        <v>1860</v>
      </c>
      <c r="G414" s="2">
        <v>14</v>
      </c>
      <c r="H414">
        <v>0</v>
      </c>
      <c r="I414">
        <v>0</v>
      </c>
      <c r="J414">
        <v>0</v>
      </c>
      <c r="K414">
        <v>0</v>
      </c>
      <c r="L414">
        <v>352605</v>
      </c>
      <c r="M414">
        <v>1320</v>
      </c>
      <c r="N414">
        <v>56003</v>
      </c>
      <c r="O414">
        <v>67204</v>
      </c>
      <c r="P414">
        <v>8500</v>
      </c>
      <c r="Q414">
        <v>2550</v>
      </c>
      <c r="R414">
        <v>2550</v>
      </c>
      <c r="S414">
        <v>0</v>
      </c>
      <c r="T414">
        <v>0</v>
      </c>
      <c r="U414">
        <v>732</v>
      </c>
      <c r="V414">
        <v>0</v>
      </c>
      <c r="W414">
        <v>0</v>
      </c>
      <c r="X414" t="s">
        <v>626</v>
      </c>
      <c r="Y414">
        <v>1</v>
      </c>
      <c r="Z414">
        <v>0</v>
      </c>
      <c r="AA414">
        <v>50</v>
      </c>
      <c r="AB414">
        <v>25</v>
      </c>
      <c r="AC414">
        <v>0.4</v>
      </c>
    </row>
    <row r="415" spans="1:29">
      <c r="A415">
        <v>1060071</v>
      </c>
      <c r="B415">
        <v>2001</v>
      </c>
      <c r="C415">
        <v>62</v>
      </c>
      <c r="D415" t="s">
        <v>565</v>
      </c>
      <c r="E415">
        <f t="shared" si="14"/>
        <v>1860</v>
      </c>
      <c r="F415">
        <f t="shared" si="15"/>
        <v>1860</v>
      </c>
      <c r="G415" s="2">
        <v>13</v>
      </c>
      <c r="H415">
        <v>0</v>
      </c>
      <c r="I415">
        <v>0</v>
      </c>
      <c r="J415">
        <v>0</v>
      </c>
      <c r="K415">
        <v>0</v>
      </c>
      <c r="L415">
        <v>383798</v>
      </c>
      <c r="M415">
        <v>1056</v>
      </c>
      <c r="N415">
        <v>43872</v>
      </c>
      <c r="O415">
        <v>52646</v>
      </c>
      <c r="P415">
        <v>8500</v>
      </c>
      <c r="Q415">
        <v>2550</v>
      </c>
      <c r="R415">
        <v>2550</v>
      </c>
      <c r="S415">
        <v>0</v>
      </c>
      <c r="T415">
        <v>0</v>
      </c>
      <c r="U415">
        <v>732</v>
      </c>
      <c r="V415">
        <v>0</v>
      </c>
      <c r="W415">
        <v>0</v>
      </c>
      <c r="X415" t="s">
        <v>627</v>
      </c>
      <c r="Y415">
        <v>1</v>
      </c>
      <c r="Z415">
        <v>0</v>
      </c>
      <c r="AA415">
        <v>50</v>
      </c>
      <c r="AB415">
        <v>25</v>
      </c>
      <c r="AC415">
        <v>0.4</v>
      </c>
    </row>
    <row r="416" spans="1:29">
      <c r="A416">
        <v>1060081</v>
      </c>
      <c r="B416">
        <v>2001</v>
      </c>
      <c r="C416">
        <v>63</v>
      </c>
      <c r="D416" t="s">
        <v>566</v>
      </c>
      <c r="E416">
        <f t="shared" si="14"/>
        <v>1910</v>
      </c>
      <c r="F416">
        <f t="shared" si="15"/>
        <v>1910</v>
      </c>
      <c r="G416" s="2">
        <v>25</v>
      </c>
      <c r="H416">
        <v>0</v>
      </c>
      <c r="I416">
        <v>0</v>
      </c>
      <c r="J416">
        <v>0</v>
      </c>
      <c r="K416">
        <v>0</v>
      </c>
      <c r="L416">
        <v>410858</v>
      </c>
      <c r="M416">
        <v>42</v>
      </c>
      <c r="N416">
        <v>87675</v>
      </c>
      <c r="O416">
        <v>105210</v>
      </c>
      <c r="P416">
        <v>9000</v>
      </c>
      <c r="Q416">
        <v>2700</v>
      </c>
      <c r="R416">
        <v>2700</v>
      </c>
      <c r="S416">
        <v>0</v>
      </c>
      <c r="T416">
        <v>0</v>
      </c>
      <c r="U416">
        <v>1488</v>
      </c>
      <c r="V416">
        <v>0</v>
      </c>
      <c r="W416">
        <v>0</v>
      </c>
      <c r="X416" t="s">
        <v>603</v>
      </c>
      <c r="Y416">
        <v>1</v>
      </c>
      <c r="Z416">
        <v>0</v>
      </c>
      <c r="AA416">
        <v>50</v>
      </c>
      <c r="AB416">
        <v>25</v>
      </c>
      <c r="AC416">
        <v>0.4</v>
      </c>
    </row>
    <row r="417" spans="1:29">
      <c r="A417">
        <v>1060091</v>
      </c>
      <c r="B417">
        <v>2001</v>
      </c>
      <c r="C417">
        <v>64</v>
      </c>
      <c r="D417" t="s">
        <v>625</v>
      </c>
      <c r="E417">
        <f t="shared" si="14"/>
        <v>1960</v>
      </c>
      <c r="F417">
        <f t="shared" si="15"/>
        <v>1960</v>
      </c>
      <c r="G417" s="2">
        <v>28</v>
      </c>
      <c r="H417">
        <v>0</v>
      </c>
      <c r="I417">
        <v>0</v>
      </c>
      <c r="J417">
        <v>0</v>
      </c>
      <c r="K417">
        <v>0</v>
      </c>
      <c r="L417">
        <v>407778</v>
      </c>
      <c r="M417">
        <v>1340</v>
      </c>
      <c r="N417">
        <v>73346</v>
      </c>
      <c r="O417">
        <v>88015</v>
      </c>
      <c r="P417">
        <v>9500</v>
      </c>
      <c r="Q417">
        <v>2850</v>
      </c>
      <c r="R417">
        <v>2850</v>
      </c>
      <c r="S417">
        <v>0</v>
      </c>
      <c r="T417">
        <v>0</v>
      </c>
      <c r="U417">
        <v>1535</v>
      </c>
      <c r="V417">
        <v>0</v>
      </c>
      <c r="W417">
        <v>0</v>
      </c>
      <c r="X417" t="s">
        <v>604</v>
      </c>
      <c r="Y417">
        <v>1</v>
      </c>
      <c r="Z417">
        <v>0</v>
      </c>
      <c r="AA417">
        <v>50</v>
      </c>
      <c r="AB417">
        <v>25</v>
      </c>
      <c r="AC417">
        <v>0.4</v>
      </c>
    </row>
    <row r="418" spans="1:29">
      <c r="A418">
        <v>1065011</v>
      </c>
      <c r="B418">
        <v>2001</v>
      </c>
      <c r="C418">
        <v>65</v>
      </c>
      <c r="D418" t="s">
        <v>559</v>
      </c>
      <c r="E418">
        <f t="shared" si="14"/>
        <v>2010</v>
      </c>
      <c r="F418">
        <f t="shared" si="15"/>
        <v>2010</v>
      </c>
      <c r="G418" s="2">
        <v>3</v>
      </c>
      <c r="H418">
        <v>0</v>
      </c>
      <c r="I418">
        <v>0</v>
      </c>
      <c r="J418">
        <v>0</v>
      </c>
      <c r="K418">
        <v>0</v>
      </c>
      <c r="L418">
        <v>225950</v>
      </c>
      <c r="M418">
        <v>810</v>
      </c>
      <c r="N418">
        <v>24600</v>
      </c>
      <c r="O418">
        <v>29520</v>
      </c>
      <c r="P418">
        <v>10000</v>
      </c>
      <c r="Q418">
        <v>3000</v>
      </c>
      <c r="R418">
        <v>3000</v>
      </c>
      <c r="S418">
        <v>0</v>
      </c>
      <c r="T418">
        <v>0</v>
      </c>
      <c r="U418">
        <v>1584</v>
      </c>
      <c r="V418">
        <v>0</v>
      </c>
      <c r="W418">
        <v>0</v>
      </c>
      <c r="X418" t="s">
        <v>600</v>
      </c>
      <c r="Y418">
        <v>1</v>
      </c>
      <c r="Z418">
        <v>0</v>
      </c>
      <c r="AA418">
        <v>50</v>
      </c>
      <c r="AB418">
        <v>25</v>
      </c>
      <c r="AC418">
        <v>0.4</v>
      </c>
    </row>
    <row r="419" spans="1:29">
      <c r="A419">
        <v>1065021</v>
      </c>
      <c r="B419">
        <v>2001</v>
      </c>
      <c r="C419">
        <v>65</v>
      </c>
      <c r="D419" t="s">
        <v>560</v>
      </c>
      <c r="E419">
        <f t="shared" si="14"/>
        <v>2010</v>
      </c>
      <c r="F419">
        <f t="shared" si="15"/>
        <v>2010</v>
      </c>
      <c r="G419" s="2" t="s">
        <v>630</v>
      </c>
      <c r="H419">
        <v>0</v>
      </c>
      <c r="I419">
        <v>0</v>
      </c>
      <c r="J419">
        <v>0</v>
      </c>
      <c r="K419">
        <v>0</v>
      </c>
      <c r="L419">
        <v>251796</v>
      </c>
      <c r="M419">
        <v>1350</v>
      </c>
      <c r="N419">
        <v>52711</v>
      </c>
      <c r="O419">
        <v>63253</v>
      </c>
      <c r="P419">
        <v>10000</v>
      </c>
      <c r="Q419">
        <v>3000</v>
      </c>
      <c r="R419">
        <v>3000</v>
      </c>
      <c r="S419">
        <v>0</v>
      </c>
      <c r="T419">
        <v>0</v>
      </c>
      <c r="U419">
        <v>804</v>
      </c>
      <c r="V419">
        <v>0</v>
      </c>
      <c r="W419">
        <v>0</v>
      </c>
      <c r="X419" t="s">
        <v>602</v>
      </c>
      <c r="Y419">
        <v>1</v>
      </c>
      <c r="Z419">
        <v>0</v>
      </c>
      <c r="AA419">
        <v>50</v>
      </c>
      <c r="AB419">
        <v>25</v>
      </c>
      <c r="AC419">
        <v>0.4</v>
      </c>
    </row>
    <row r="420" spans="1:29">
      <c r="A420">
        <v>1065031</v>
      </c>
      <c r="B420">
        <v>2001</v>
      </c>
      <c r="C420">
        <v>66</v>
      </c>
      <c r="D420" t="s">
        <v>561</v>
      </c>
      <c r="E420">
        <f t="shared" ref="E420:E500" si="51">VLOOKUP(C420,C$6:F$212,3,0)*5</f>
        <v>2060</v>
      </c>
      <c r="F420">
        <f t="shared" ref="F420:F500" si="52">E420</f>
        <v>2060</v>
      </c>
      <c r="G420" s="2" t="s">
        <v>631</v>
      </c>
      <c r="H420">
        <v>0</v>
      </c>
      <c r="I420">
        <v>0</v>
      </c>
      <c r="J420">
        <v>0</v>
      </c>
      <c r="K420">
        <v>0</v>
      </c>
      <c r="L420">
        <v>394974</v>
      </c>
      <c r="M420">
        <v>2448</v>
      </c>
      <c r="N420">
        <v>59143</v>
      </c>
      <c r="O420">
        <v>70972</v>
      </c>
      <c r="P420">
        <v>10500</v>
      </c>
      <c r="Q420">
        <v>3150</v>
      </c>
      <c r="R420">
        <v>3150</v>
      </c>
      <c r="S420">
        <v>0</v>
      </c>
      <c r="T420">
        <v>0</v>
      </c>
      <c r="U420">
        <v>1632</v>
      </c>
      <c r="V420">
        <v>0</v>
      </c>
      <c r="W420">
        <v>0</v>
      </c>
      <c r="X420" t="s">
        <v>598</v>
      </c>
      <c r="Y420">
        <v>1</v>
      </c>
      <c r="Z420">
        <v>0</v>
      </c>
      <c r="AA420">
        <v>50</v>
      </c>
      <c r="AB420">
        <v>25</v>
      </c>
      <c r="AC420">
        <v>0.4</v>
      </c>
    </row>
    <row r="421" spans="1:29">
      <c r="A421">
        <v>1065041</v>
      </c>
      <c r="B421">
        <v>2001</v>
      </c>
      <c r="C421">
        <v>66</v>
      </c>
      <c r="D421" t="s">
        <v>562</v>
      </c>
      <c r="E421">
        <f t="shared" si="51"/>
        <v>2060</v>
      </c>
      <c r="F421">
        <f t="shared" si="52"/>
        <v>2060</v>
      </c>
      <c r="G421" s="2">
        <v>2</v>
      </c>
      <c r="H421">
        <v>0</v>
      </c>
      <c r="I421">
        <v>0</v>
      </c>
      <c r="J421">
        <v>0</v>
      </c>
      <c r="K421">
        <v>0</v>
      </c>
      <c r="L421">
        <v>233246</v>
      </c>
      <c r="M421">
        <v>1088</v>
      </c>
      <c r="N421">
        <v>40272</v>
      </c>
      <c r="O421">
        <v>48326</v>
      </c>
      <c r="P421">
        <v>10500</v>
      </c>
      <c r="Q421">
        <v>3150</v>
      </c>
      <c r="R421">
        <v>3150</v>
      </c>
      <c r="S421">
        <v>0</v>
      </c>
      <c r="T421">
        <v>0</v>
      </c>
      <c r="U421">
        <v>1632</v>
      </c>
      <c r="V421">
        <v>0</v>
      </c>
      <c r="W421">
        <v>0</v>
      </c>
      <c r="X421" t="s">
        <v>599</v>
      </c>
      <c r="Y421">
        <v>1</v>
      </c>
      <c r="Z421">
        <v>0</v>
      </c>
      <c r="AA421">
        <v>50</v>
      </c>
      <c r="AB421">
        <v>25</v>
      </c>
      <c r="AC421">
        <v>0.4</v>
      </c>
    </row>
    <row r="422" spans="1:29">
      <c r="A422">
        <f>A421+1</f>
        <v>1065042</v>
      </c>
      <c r="B422">
        <v>2001</v>
      </c>
      <c r="C422">
        <f>C421</f>
        <v>66</v>
      </c>
      <c r="D422" t="s">
        <v>584</v>
      </c>
      <c r="E422">
        <f>E421</f>
        <v>2060</v>
      </c>
      <c r="F422">
        <f t="shared" ref="F422:F423" si="53">F421</f>
        <v>2060</v>
      </c>
      <c r="G422" s="2">
        <v>9</v>
      </c>
      <c r="H422">
        <f t="shared" ref="H422:H423" si="54">H421</f>
        <v>0</v>
      </c>
      <c r="I422">
        <f t="shared" ref="I422:I423" si="55">I421</f>
        <v>0</v>
      </c>
      <c r="J422">
        <f t="shared" ref="J422:J423" si="56">J421</f>
        <v>0</v>
      </c>
      <c r="K422">
        <f t="shared" ref="K422:K423" si="57">K421</f>
        <v>0</v>
      </c>
      <c r="L422">
        <v>108848</v>
      </c>
      <c r="M422">
        <v>1359.9999999999998</v>
      </c>
      <c r="N422">
        <v>23492</v>
      </c>
      <c r="O422">
        <v>28190</v>
      </c>
      <c r="P422">
        <v>10500</v>
      </c>
      <c r="Q422">
        <v>3150</v>
      </c>
      <c r="R422">
        <v>3150</v>
      </c>
      <c r="S422">
        <v>0</v>
      </c>
      <c r="T422">
        <v>0</v>
      </c>
      <c r="U422">
        <v>1632</v>
      </c>
      <c r="V422">
        <v>0</v>
      </c>
      <c r="W422">
        <v>0</v>
      </c>
      <c r="X422" t="s">
        <v>592</v>
      </c>
      <c r="Y422">
        <v>1</v>
      </c>
      <c r="Z422">
        <v>0</v>
      </c>
      <c r="AA422">
        <v>50</v>
      </c>
      <c r="AB422">
        <v>25</v>
      </c>
      <c r="AC422">
        <v>0.4</v>
      </c>
    </row>
    <row r="423" spans="1:29">
      <c r="A423">
        <f>A422+1</f>
        <v>1065043</v>
      </c>
      <c r="B423">
        <v>2001</v>
      </c>
      <c r="C423">
        <f>C422</f>
        <v>66</v>
      </c>
      <c r="D423" t="s">
        <v>585</v>
      </c>
      <c r="E423">
        <f>E422</f>
        <v>2060</v>
      </c>
      <c r="F423">
        <f t="shared" si="53"/>
        <v>2060</v>
      </c>
      <c r="G423" s="2">
        <v>10</v>
      </c>
      <c r="H423">
        <f t="shared" si="54"/>
        <v>0</v>
      </c>
      <c r="I423">
        <f t="shared" si="55"/>
        <v>0</v>
      </c>
      <c r="J423">
        <f t="shared" si="56"/>
        <v>0</v>
      </c>
      <c r="K423">
        <f t="shared" si="57"/>
        <v>0</v>
      </c>
      <c r="L423">
        <v>108848</v>
      </c>
      <c r="M423">
        <v>1359.9999999999998</v>
      </c>
      <c r="N423">
        <v>23492</v>
      </c>
      <c r="O423">
        <v>28190</v>
      </c>
      <c r="P423">
        <v>10500</v>
      </c>
      <c r="Q423">
        <v>3150</v>
      </c>
      <c r="R423">
        <v>3150</v>
      </c>
      <c r="S423">
        <v>0</v>
      </c>
      <c r="T423">
        <v>0</v>
      </c>
      <c r="U423">
        <v>1632</v>
      </c>
      <c r="V423">
        <v>0</v>
      </c>
      <c r="W423">
        <v>0</v>
      </c>
      <c r="X423" t="s">
        <v>593</v>
      </c>
      <c r="Y423">
        <v>1</v>
      </c>
      <c r="Z423">
        <v>0</v>
      </c>
      <c r="AA423">
        <v>50</v>
      </c>
      <c r="AB423">
        <v>25</v>
      </c>
      <c r="AC423">
        <v>0.4</v>
      </c>
    </row>
    <row r="424" spans="1:29">
      <c r="A424">
        <v>1065051</v>
      </c>
      <c r="B424">
        <v>2001</v>
      </c>
      <c r="C424">
        <v>66</v>
      </c>
      <c r="D424" t="s">
        <v>563</v>
      </c>
      <c r="E424">
        <f t="shared" si="51"/>
        <v>2060</v>
      </c>
      <c r="F424">
        <f t="shared" si="52"/>
        <v>2060</v>
      </c>
      <c r="G424" s="2">
        <v>21</v>
      </c>
      <c r="H424">
        <v>0</v>
      </c>
      <c r="I424">
        <v>0</v>
      </c>
      <c r="J424">
        <v>0</v>
      </c>
      <c r="K424">
        <v>0</v>
      </c>
      <c r="L424">
        <v>399827</v>
      </c>
      <c r="M424">
        <v>1359.9999999999998</v>
      </c>
      <c r="N424">
        <v>76172</v>
      </c>
      <c r="O424">
        <v>91406</v>
      </c>
      <c r="P424">
        <v>10500</v>
      </c>
      <c r="Q424">
        <v>3150</v>
      </c>
      <c r="R424">
        <v>3150</v>
      </c>
      <c r="S424">
        <v>0</v>
      </c>
      <c r="T424">
        <v>0</v>
      </c>
      <c r="U424">
        <v>1632</v>
      </c>
      <c r="V424">
        <v>0</v>
      </c>
      <c r="W424">
        <v>0</v>
      </c>
      <c r="X424" t="s">
        <v>594</v>
      </c>
      <c r="Y424">
        <v>1</v>
      </c>
      <c r="Z424">
        <v>0</v>
      </c>
      <c r="AA424">
        <v>50</v>
      </c>
      <c r="AB424">
        <v>25</v>
      </c>
      <c r="AC424">
        <v>0.4</v>
      </c>
    </row>
    <row r="425" spans="1:29">
      <c r="A425">
        <v>1065061</v>
      </c>
      <c r="B425">
        <v>2001</v>
      </c>
      <c r="C425">
        <v>67</v>
      </c>
      <c r="D425" t="s">
        <v>564</v>
      </c>
      <c r="E425">
        <f t="shared" si="51"/>
        <v>2110</v>
      </c>
      <c r="F425">
        <f t="shared" si="52"/>
        <v>2110</v>
      </c>
      <c r="G425" s="2">
        <v>14</v>
      </c>
      <c r="H425">
        <v>0</v>
      </c>
      <c r="I425">
        <v>0</v>
      </c>
      <c r="J425">
        <v>0</v>
      </c>
      <c r="K425">
        <v>0</v>
      </c>
      <c r="L425">
        <v>462502</v>
      </c>
      <c r="M425">
        <v>1370</v>
      </c>
      <c r="N425">
        <v>90170</v>
      </c>
      <c r="O425">
        <v>108204</v>
      </c>
      <c r="P425">
        <v>11000</v>
      </c>
      <c r="Q425">
        <v>3300</v>
      </c>
      <c r="R425">
        <v>3300</v>
      </c>
      <c r="S425">
        <v>0</v>
      </c>
      <c r="T425">
        <v>0</v>
      </c>
      <c r="U425">
        <v>854</v>
      </c>
      <c r="V425">
        <v>0</v>
      </c>
      <c r="W425">
        <v>0</v>
      </c>
      <c r="X425" t="s">
        <v>626</v>
      </c>
      <c r="Y425">
        <v>1</v>
      </c>
      <c r="Z425">
        <v>0</v>
      </c>
      <c r="AA425">
        <v>50</v>
      </c>
      <c r="AB425">
        <v>25</v>
      </c>
      <c r="AC425">
        <v>0.4</v>
      </c>
    </row>
    <row r="426" spans="1:29">
      <c r="A426">
        <v>1065071</v>
      </c>
      <c r="B426">
        <v>2001</v>
      </c>
      <c r="C426">
        <v>67</v>
      </c>
      <c r="D426" t="s">
        <v>565</v>
      </c>
      <c r="E426">
        <f t="shared" si="51"/>
        <v>2110</v>
      </c>
      <c r="F426">
        <f t="shared" si="52"/>
        <v>2110</v>
      </c>
      <c r="G426" s="2">
        <v>13</v>
      </c>
      <c r="H426">
        <v>0</v>
      </c>
      <c r="I426">
        <v>0</v>
      </c>
      <c r="J426">
        <v>0</v>
      </c>
      <c r="K426">
        <v>0</v>
      </c>
      <c r="L426">
        <v>501536</v>
      </c>
      <c r="M426">
        <v>1096</v>
      </c>
      <c r="N426">
        <v>70690</v>
      </c>
      <c r="O426">
        <v>84828</v>
      </c>
      <c r="P426">
        <v>11000</v>
      </c>
      <c r="Q426">
        <v>3300</v>
      </c>
      <c r="R426">
        <v>3300</v>
      </c>
      <c r="S426">
        <v>0</v>
      </c>
      <c r="T426">
        <v>0</v>
      </c>
      <c r="U426">
        <v>854</v>
      </c>
      <c r="V426">
        <v>0</v>
      </c>
      <c r="W426">
        <v>0</v>
      </c>
      <c r="X426" t="s">
        <v>627</v>
      </c>
      <c r="Y426">
        <v>1</v>
      </c>
      <c r="Z426">
        <v>0</v>
      </c>
      <c r="AA426">
        <v>50</v>
      </c>
      <c r="AB426">
        <v>25</v>
      </c>
      <c r="AC426">
        <v>0.4</v>
      </c>
    </row>
    <row r="427" spans="1:29">
      <c r="A427">
        <v>1065081</v>
      </c>
      <c r="B427">
        <v>2001</v>
      </c>
      <c r="C427">
        <v>68</v>
      </c>
      <c r="D427" t="s">
        <v>566</v>
      </c>
      <c r="E427">
        <f t="shared" si="51"/>
        <v>2160</v>
      </c>
      <c r="F427">
        <f t="shared" si="52"/>
        <v>2160</v>
      </c>
      <c r="G427" s="2">
        <v>25</v>
      </c>
      <c r="H427">
        <v>0</v>
      </c>
      <c r="I427">
        <v>0</v>
      </c>
      <c r="J427">
        <v>0</v>
      </c>
      <c r="K427">
        <v>0</v>
      </c>
      <c r="L427">
        <v>538164</v>
      </c>
      <c r="M427">
        <v>42</v>
      </c>
      <c r="N427">
        <v>141374</v>
      </c>
      <c r="O427">
        <v>169649</v>
      </c>
      <c r="P427">
        <v>11500</v>
      </c>
      <c r="Q427">
        <v>3450</v>
      </c>
      <c r="R427">
        <v>3450</v>
      </c>
      <c r="S427">
        <v>0</v>
      </c>
      <c r="T427">
        <v>0</v>
      </c>
      <c r="U427">
        <v>1731</v>
      </c>
      <c r="V427">
        <v>0</v>
      </c>
      <c r="W427">
        <v>0</v>
      </c>
      <c r="X427" t="s">
        <v>603</v>
      </c>
      <c r="Y427">
        <v>1</v>
      </c>
      <c r="Z427">
        <v>0</v>
      </c>
      <c r="AA427">
        <v>50</v>
      </c>
      <c r="AB427">
        <v>25</v>
      </c>
      <c r="AC427">
        <v>0.4</v>
      </c>
    </row>
    <row r="428" spans="1:29">
      <c r="A428">
        <v>1065091</v>
      </c>
      <c r="B428">
        <v>2001</v>
      </c>
      <c r="C428">
        <v>69</v>
      </c>
      <c r="D428" t="s">
        <v>625</v>
      </c>
      <c r="E428">
        <f t="shared" si="51"/>
        <v>2210</v>
      </c>
      <c r="F428">
        <f t="shared" si="52"/>
        <v>2210</v>
      </c>
      <c r="G428" s="2">
        <v>28</v>
      </c>
      <c r="H428">
        <v>0</v>
      </c>
      <c r="I428">
        <v>0</v>
      </c>
      <c r="J428">
        <v>0</v>
      </c>
      <c r="K428">
        <v>0</v>
      </c>
      <c r="L428">
        <v>534447</v>
      </c>
      <c r="M428">
        <v>1390.0000000000002</v>
      </c>
      <c r="N428">
        <v>118386</v>
      </c>
      <c r="O428">
        <v>142063</v>
      </c>
      <c r="P428">
        <v>12000</v>
      </c>
      <c r="Q428">
        <v>3600</v>
      </c>
      <c r="R428">
        <v>3600</v>
      </c>
      <c r="S428">
        <v>0</v>
      </c>
      <c r="T428">
        <v>0</v>
      </c>
      <c r="U428">
        <v>1782</v>
      </c>
      <c r="V428">
        <v>0</v>
      </c>
      <c r="W428">
        <v>0</v>
      </c>
      <c r="X428" t="s">
        <v>604</v>
      </c>
      <c r="Y428">
        <v>1</v>
      </c>
      <c r="Z428">
        <v>0</v>
      </c>
      <c r="AA428">
        <v>50</v>
      </c>
      <c r="AB428">
        <v>25</v>
      </c>
      <c r="AC428">
        <v>0.4</v>
      </c>
    </row>
    <row r="429" spans="1:29">
      <c r="A429">
        <v>1070011</v>
      </c>
      <c r="B429">
        <v>2001</v>
      </c>
      <c r="C429">
        <v>70</v>
      </c>
      <c r="D429" t="s">
        <v>559</v>
      </c>
      <c r="E429">
        <f t="shared" si="51"/>
        <v>2260</v>
      </c>
      <c r="F429">
        <f t="shared" si="52"/>
        <v>2260</v>
      </c>
      <c r="G429" s="2">
        <v>3</v>
      </c>
      <c r="H429">
        <v>0</v>
      </c>
      <c r="I429">
        <v>0</v>
      </c>
      <c r="J429">
        <v>0</v>
      </c>
      <c r="K429">
        <v>0</v>
      </c>
      <c r="L429">
        <v>305073</v>
      </c>
      <c r="M429">
        <v>840</v>
      </c>
      <c r="N429">
        <v>36874</v>
      </c>
      <c r="O429">
        <v>44249</v>
      </c>
      <c r="P429">
        <v>12500</v>
      </c>
      <c r="Q429">
        <v>3750</v>
      </c>
      <c r="R429">
        <v>3750</v>
      </c>
      <c r="S429">
        <v>0</v>
      </c>
      <c r="T429">
        <v>0</v>
      </c>
      <c r="U429">
        <v>1834</v>
      </c>
      <c r="V429">
        <v>0</v>
      </c>
      <c r="W429">
        <v>0</v>
      </c>
      <c r="X429" t="s">
        <v>600</v>
      </c>
      <c r="Y429">
        <v>1</v>
      </c>
      <c r="Z429">
        <v>0</v>
      </c>
      <c r="AA429">
        <v>50</v>
      </c>
      <c r="AB429">
        <v>25</v>
      </c>
      <c r="AC429">
        <v>0.4</v>
      </c>
    </row>
    <row r="430" spans="1:29">
      <c r="A430">
        <v>1070021</v>
      </c>
      <c r="B430">
        <v>2001</v>
      </c>
      <c r="C430">
        <v>70</v>
      </c>
      <c r="D430" t="s">
        <v>560</v>
      </c>
      <c r="E430">
        <f t="shared" si="51"/>
        <v>2260</v>
      </c>
      <c r="F430">
        <f t="shared" si="52"/>
        <v>2260</v>
      </c>
      <c r="G430" s="2" t="s">
        <v>630</v>
      </c>
      <c r="H430">
        <v>0</v>
      </c>
      <c r="I430">
        <v>0</v>
      </c>
      <c r="J430">
        <v>0</v>
      </c>
      <c r="K430">
        <v>0</v>
      </c>
      <c r="L430">
        <v>338522</v>
      </c>
      <c r="M430">
        <v>1400</v>
      </c>
      <c r="N430">
        <v>79792</v>
      </c>
      <c r="O430">
        <v>95750</v>
      </c>
      <c r="P430">
        <v>12500</v>
      </c>
      <c r="Q430">
        <v>3750</v>
      </c>
      <c r="R430">
        <v>3750</v>
      </c>
      <c r="S430">
        <v>0</v>
      </c>
      <c r="T430">
        <v>0</v>
      </c>
      <c r="U430">
        <v>931</v>
      </c>
      <c r="V430">
        <v>0</v>
      </c>
      <c r="W430">
        <v>0</v>
      </c>
      <c r="X430" t="s">
        <v>602</v>
      </c>
      <c r="Y430">
        <v>1</v>
      </c>
      <c r="Z430">
        <v>0</v>
      </c>
      <c r="AA430">
        <v>50</v>
      </c>
      <c r="AB430">
        <v>25</v>
      </c>
      <c r="AC430">
        <v>0.4</v>
      </c>
    </row>
    <row r="431" spans="1:29">
      <c r="A431">
        <v>1070031</v>
      </c>
      <c r="B431">
        <v>2001</v>
      </c>
      <c r="C431">
        <v>71</v>
      </c>
      <c r="D431" t="s">
        <v>561</v>
      </c>
      <c r="E431">
        <f t="shared" si="51"/>
        <v>2320</v>
      </c>
      <c r="F431">
        <f t="shared" si="52"/>
        <v>2320</v>
      </c>
      <c r="G431" s="2" t="s">
        <v>631</v>
      </c>
      <c r="H431">
        <v>0</v>
      </c>
      <c r="I431">
        <v>0</v>
      </c>
      <c r="J431">
        <v>0</v>
      </c>
      <c r="K431">
        <v>0</v>
      </c>
      <c r="L431">
        <v>531096</v>
      </c>
      <c r="M431">
        <v>2538</v>
      </c>
      <c r="N431">
        <v>90712</v>
      </c>
      <c r="O431">
        <v>108854</v>
      </c>
      <c r="P431">
        <v>13000</v>
      </c>
      <c r="Q431">
        <v>3900</v>
      </c>
      <c r="R431">
        <v>3900</v>
      </c>
      <c r="S431">
        <v>0</v>
      </c>
      <c r="T431">
        <v>0</v>
      </c>
      <c r="U431">
        <v>1886</v>
      </c>
      <c r="V431">
        <v>0</v>
      </c>
      <c r="W431">
        <v>0</v>
      </c>
      <c r="X431" t="s">
        <v>598</v>
      </c>
      <c r="Y431">
        <v>1</v>
      </c>
      <c r="Z431">
        <v>0</v>
      </c>
      <c r="AA431">
        <v>50</v>
      </c>
      <c r="AB431">
        <v>25</v>
      </c>
      <c r="AC431">
        <v>0.4</v>
      </c>
    </row>
    <row r="432" spans="1:29">
      <c r="A432">
        <v>1070041</v>
      </c>
      <c r="B432">
        <v>2001</v>
      </c>
      <c r="C432">
        <v>71</v>
      </c>
      <c r="D432" t="s">
        <v>562</v>
      </c>
      <c r="E432">
        <f t="shared" si="51"/>
        <v>2320</v>
      </c>
      <c r="F432">
        <f t="shared" si="52"/>
        <v>2320</v>
      </c>
      <c r="G432" s="2">
        <v>2</v>
      </c>
      <c r="H432">
        <v>0</v>
      </c>
      <c r="I432">
        <v>0</v>
      </c>
      <c r="J432">
        <v>0</v>
      </c>
      <c r="K432">
        <v>0</v>
      </c>
      <c r="L432">
        <v>312907</v>
      </c>
      <c r="M432">
        <v>1128</v>
      </c>
      <c r="N432">
        <v>61954</v>
      </c>
      <c r="O432">
        <v>74345</v>
      </c>
      <c r="P432">
        <v>13000</v>
      </c>
      <c r="Q432">
        <v>3900</v>
      </c>
      <c r="R432">
        <v>3900</v>
      </c>
      <c r="S432">
        <v>0</v>
      </c>
      <c r="T432">
        <v>0</v>
      </c>
      <c r="U432">
        <v>1886</v>
      </c>
      <c r="V432">
        <v>0</v>
      </c>
      <c r="W432">
        <v>0</v>
      </c>
      <c r="X432" t="s">
        <v>599</v>
      </c>
      <c r="Y432">
        <v>1</v>
      </c>
      <c r="Z432">
        <v>0</v>
      </c>
      <c r="AA432">
        <v>50</v>
      </c>
      <c r="AB432">
        <v>25</v>
      </c>
      <c r="AC432">
        <v>0.4</v>
      </c>
    </row>
    <row r="433" spans="1:29">
      <c r="A433">
        <f>A432+1</f>
        <v>1070042</v>
      </c>
      <c r="B433">
        <v>2001</v>
      </c>
      <c r="C433">
        <f>C432</f>
        <v>71</v>
      </c>
      <c r="D433" t="s">
        <v>584</v>
      </c>
      <c r="E433">
        <f>E432</f>
        <v>2320</v>
      </c>
      <c r="F433">
        <f t="shared" ref="F433:F434" si="58">F432</f>
        <v>2320</v>
      </c>
      <c r="G433" s="2">
        <v>9</v>
      </c>
      <c r="H433">
        <f t="shared" ref="H433:H434" si="59">H432</f>
        <v>0</v>
      </c>
      <c r="I433">
        <f t="shared" ref="I433:I434" si="60">I432</f>
        <v>0</v>
      </c>
      <c r="J433">
        <f t="shared" ref="J433:J434" si="61">J432</f>
        <v>0</v>
      </c>
      <c r="K433">
        <f t="shared" ref="K433:K434" si="62">K432</f>
        <v>0</v>
      </c>
      <c r="L433">
        <v>146023</v>
      </c>
      <c r="M433">
        <v>1410</v>
      </c>
      <c r="N433">
        <v>36140</v>
      </c>
      <c r="O433">
        <v>43368</v>
      </c>
      <c r="P433">
        <v>13000</v>
      </c>
      <c r="Q433">
        <v>3900</v>
      </c>
      <c r="R433">
        <v>3900</v>
      </c>
      <c r="S433">
        <v>0</v>
      </c>
      <c r="T433">
        <v>0</v>
      </c>
      <c r="U433">
        <v>1886</v>
      </c>
      <c r="V433">
        <v>0</v>
      </c>
      <c r="W433">
        <v>0</v>
      </c>
      <c r="X433" t="s">
        <v>592</v>
      </c>
      <c r="Y433">
        <v>1</v>
      </c>
      <c r="Z433">
        <v>0</v>
      </c>
      <c r="AA433">
        <v>50</v>
      </c>
      <c r="AB433">
        <v>25</v>
      </c>
      <c r="AC433">
        <v>0.4</v>
      </c>
    </row>
    <row r="434" spans="1:29">
      <c r="A434">
        <f>A433+1</f>
        <v>1070043</v>
      </c>
      <c r="B434">
        <v>2001</v>
      </c>
      <c r="C434">
        <f>C433</f>
        <v>71</v>
      </c>
      <c r="D434" t="s">
        <v>585</v>
      </c>
      <c r="E434">
        <f>E433</f>
        <v>2320</v>
      </c>
      <c r="F434">
        <f t="shared" si="58"/>
        <v>2320</v>
      </c>
      <c r="G434" s="2">
        <v>10</v>
      </c>
      <c r="H434">
        <f t="shared" si="59"/>
        <v>0</v>
      </c>
      <c r="I434">
        <f t="shared" si="60"/>
        <v>0</v>
      </c>
      <c r="J434">
        <f t="shared" si="61"/>
        <v>0</v>
      </c>
      <c r="K434">
        <f t="shared" si="62"/>
        <v>0</v>
      </c>
      <c r="L434">
        <v>146023</v>
      </c>
      <c r="M434">
        <v>1410</v>
      </c>
      <c r="N434">
        <v>36140</v>
      </c>
      <c r="O434">
        <v>43368</v>
      </c>
      <c r="P434">
        <v>13000</v>
      </c>
      <c r="Q434">
        <v>3900</v>
      </c>
      <c r="R434">
        <v>3900</v>
      </c>
      <c r="S434">
        <v>0</v>
      </c>
      <c r="T434">
        <v>0</v>
      </c>
      <c r="U434">
        <v>1886</v>
      </c>
      <c r="V434">
        <v>0</v>
      </c>
      <c r="W434">
        <v>0</v>
      </c>
      <c r="X434" t="s">
        <v>593</v>
      </c>
      <c r="Y434">
        <v>1</v>
      </c>
      <c r="Z434">
        <v>0</v>
      </c>
      <c r="AA434">
        <v>50</v>
      </c>
      <c r="AB434">
        <v>25</v>
      </c>
      <c r="AC434">
        <v>0.4</v>
      </c>
    </row>
    <row r="435" spans="1:29">
      <c r="A435">
        <v>1070051</v>
      </c>
      <c r="B435">
        <v>2001</v>
      </c>
      <c r="C435">
        <v>71</v>
      </c>
      <c r="D435" t="s">
        <v>563</v>
      </c>
      <c r="E435">
        <f t="shared" si="51"/>
        <v>2320</v>
      </c>
      <c r="F435">
        <f t="shared" si="52"/>
        <v>2320</v>
      </c>
      <c r="G435" s="2">
        <v>21</v>
      </c>
      <c r="H435">
        <v>0</v>
      </c>
      <c r="I435">
        <v>0</v>
      </c>
      <c r="J435">
        <v>0</v>
      </c>
      <c r="K435">
        <v>0</v>
      </c>
      <c r="L435">
        <v>535146</v>
      </c>
      <c r="M435">
        <v>1410</v>
      </c>
      <c r="N435">
        <v>117537</v>
      </c>
      <c r="O435">
        <v>141044</v>
      </c>
      <c r="P435">
        <v>13000</v>
      </c>
      <c r="Q435">
        <v>3900</v>
      </c>
      <c r="R435">
        <v>3900</v>
      </c>
      <c r="S435">
        <v>0</v>
      </c>
      <c r="T435">
        <v>0</v>
      </c>
      <c r="U435">
        <v>1886</v>
      </c>
      <c r="V435">
        <v>0</v>
      </c>
      <c r="W435">
        <v>0</v>
      </c>
      <c r="X435" t="s">
        <v>594</v>
      </c>
      <c r="Y435">
        <v>1</v>
      </c>
      <c r="Z435">
        <v>0</v>
      </c>
      <c r="AA435">
        <v>50</v>
      </c>
      <c r="AB435">
        <v>25</v>
      </c>
      <c r="AC435">
        <v>0.4</v>
      </c>
    </row>
    <row r="436" spans="1:29">
      <c r="A436">
        <v>1070061</v>
      </c>
      <c r="B436">
        <v>2001</v>
      </c>
      <c r="C436">
        <v>72</v>
      </c>
      <c r="D436" t="s">
        <v>564</v>
      </c>
      <c r="E436">
        <f t="shared" si="51"/>
        <v>2380</v>
      </c>
      <c r="F436">
        <f t="shared" si="52"/>
        <v>2380</v>
      </c>
      <c r="G436" s="2">
        <v>14</v>
      </c>
      <c r="H436">
        <v>0</v>
      </c>
      <c r="I436">
        <v>0</v>
      </c>
      <c r="J436">
        <v>0</v>
      </c>
      <c r="K436">
        <v>0</v>
      </c>
      <c r="L436">
        <v>621205</v>
      </c>
      <c r="M436">
        <v>1420</v>
      </c>
      <c r="N436">
        <v>139694</v>
      </c>
      <c r="O436">
        <v>167633</v>
      </c>
      <c r="P436">
        <v>13500</v>
      </c>
      <c r="Q436">
        <v>4050</v>
      </c>
      <c r="R436">
        <v>4050</v>
      </c>
      <c r="S436">
        <v>0</v>
      </c>
      <c r="T436">
        <v>0</v>
      </c>
      <c r="U436">
        <v>984</v>
      </c>
      <c r="V436">
        <v>0</v>
      </c>
      <c r="W436">
        <v>0</v>
      </c>
      <c r="X436" t="s">
        <v>626</v>
      </c>
      <c r="Y436">
        <v>1</v>
      </c>
      <c r="Z436">
        <v>0</v>
      </c>
      <c r="AA436">
        <v>50</v>
      </c>
      <c r="AB436">
        <v>25</v>
      </c>
      <c r="AC436">
        <v>0.4</v>
      </c>
    </row>
    <row r="437" spans="1:29">
      <c r="A437">
        <v>1070071</v>
      </c>
      <c r="B437">
        <v>2001</v>
      </c>
      <c r="C437">
        <v>72</v>
      </c>
      <c r="D437" t="s">
        <v>565</v>
      </c>
      <c r="E437">
        <f t="shared" si="51"/>
        <v>2380</v>
      </c>
      <c r="F437">
        <f t="shared" si="52"/>
        <v>2380</v>
      </c>
      <c r="G437" s="2">
        <v>13</v>
      </c>
      <c r="H437">
        <v>0</v>
      </c>
      <c r="I437">
        <v>0</v>
      </c>
      <c r="J437">
        <v>0</v>
      </c>
      <c r="K437">
        <v>0</v>
      </c>
      <c r="L437">
        <v>672412</v>
      </c>
      <c r="M437">
        <v>1136</v>
      </c>
      <c r="N437">
        <v>109711</v>
      </c>
      <c r="O437">
        <v>131653</v>
      </c>
      <c r="P437">
        <v>13500</v>
      </c>
      <c r="Q437">
        <v>4050</v>
      </c>
      <c r="R437">
        <v>4050</v>
      </c>
      <c r="S437">
        <v>0</v>
      </c>
      <c r="T437">
        <v>0</v>
      </c>
      <c r="U437">
        <v>984</v>
      </c>
      <c r="V437">
        <v>0</v>
      </c>
      <c r="W437">
        <v>0</v>
      </c>
      <c r="X437" t="s">
        <v>627</v>
      </c>
      <c r="Y437">
        <v>1</v>
      </c>
      <c r="Z437">
        <v>0</v>
      </c>
      <c r="AA437">
        <v>50</v>
      </c>
      <c r="AB437">
        <v>25</v>
      </c>
      <c r="AC437">
        <v>0.4</v>
      </c>
    </row>
    <row r="438" spans="1:29">
      <c r="A438">
        <v>1070081</v>
      </c>
      <c r="B438">
        <v>2001</v>
      </c>
      <c r="C438">
        <v>73</v>
      </c>
      <c r="D438" t="s">
        <v>566</v>
      </c>
      <c r="E438">
        <f t="shared" si="51"/>
        <v>2440</v>
      </c>
      <c r="F438">
        <f t="shared" si="52"/>
        <v>2440</v>
      </c>
      <c r="G438" s="2">
        <v>25</v>
      </c>
      <c r="H438">
        <v>0</v>
      </c>
      <c r="I438">
        <v>0</v>
      </c>
      <c r="J438">
        <v>0</v>
      </c>
      <c r="K438">
        <v>0</v>
      </c>
      <c r="L438">
        <v>725496</v>
      </c>
      <c r="M438">
        <v>42</v>
      </c>
      <c r="N438">
        <v>219805</v>
      </c>
      <c r="O438">
        <v>263766</v>
      </c>
      <c r="P438">
        <v>14000</v>
      </c>
      <c r="Q438">
        <v>4200</v>
      </c>
      <c r="R438">
        <v>4200</v>
      </c>
      <c r="S438">
        <v>0</v>
      </c>
      <c r="T438">
        <v>0</v>
      </c>
      <c r="U438">
        <v>1993</v>
      </c>
      <c r="V438">
        <v>0</v>
      </c>
      <c r="W438">
        <v>0</v>
      </c>
      <c r="X438" t="s">
        <v>603</v>
      </c>
      <c r="Y438">
        <v>1</v>
      </c>
      <c r="Z438">
        <v>0</v>
      </c>
      <c r="AA438">
        <v>50</v>
      </c>
      <c r="AB438">
        <v>25</v>
      </c>
      <c r="AC438">
        <v>0.4</v>
      </c>
    </row>
    <row r="439" spans="1:29">
      <c r="A439">
        <v>1070091</v>
      </c>
      <c r="B439">
        <v>2001</v>
      </c>
      <c r="C439">
        <v>74</v>
      </c>
      <c r="D439" t="s">
        <v>625</v>
      </c>
      <c r="E439">
        <f t="shared" si="51"/>
        <v>2500</v>
      </c>
      <c r="F439">
        <f t="shared" si="52"/>
        <v>2500</v>
      </c>
      <c r="G439" s="2">
        <v>28</v>
      </c>
      <c r="H439">
        <v>0</v>
      </c>
      <c r="I439">
        <v>0</v>
      </c>
      <c r="J439">
        <v>0</v>
      </c>
      <c r="K439">
        <v>0</v>
      </c>
      <c r="L439">
        <v>724526</v>
      </c>
      <c r="M439">
        <v>1440</v>
      </c>
      <c r="N439">
        <v>184503</v>
      </c>
      <c r="O439">
        <v>221404</v>
      </c>
      <c r="P439">
        <v>14500</v>
      </c>
      <c r="Q439">
        <v>4350</v>
      </c>
      <c r="R439">
        <v>4350</v>
      </c>
      <c r="S439">
        <v>0</v>
      </c>
      <c r="T439">
        <v>0</v>
      </c>
      <c r="U439">
        <v>2047</v>
      </c>
      <c r="V439">
        <v>0</v>
      </c>
      <c r="W439">
        <v>0</v>
      </c>
      <c r="X439" t="s">
        <v>604</v>
      </c>
      <c r="Y439">
        <v>1</v>
      </c>
      <c r="Z439">
        <v>0</v>
      </c>
      <c r="AA439">
        <v>50</v>
      </c>
      <c r="AB439">
        <v>25</v>
      </c>
      <c r="AC439">
        <v>0.4</v>
      </c>
    </row>
    <row r="440" spans="1:29">
      <c r="A440">
        <v>1075011</v>
      </c>
      <c r="B440">
        <v>2001</v>
      </c>
      <c r="C440">
        <v>75</v>
      </c>
      <c r="D440" t="s">
        <v>559</v>
      </c>
      <c r="E440">
        <f t="shared" si="51"/>
        <v>2560</v>
      </c>
      <c r="F440">
        <f t="shared" si="52"/>
        <v>2560</v>
      </c>
      <c r="G440" s="2">
        <v>3</v>
      </c>
      <c r="H440">
        <v>0</v>
      </c>
      <c r="I440">
        <v>0</v>
      </c>
      <c r="J440">
        <v>0</v>
      </c>
      <c r="K440">
        <v>0</v>
      </c>
      <c r="L440">
        <v>410439</v>
      </c>
      <c r="M440">
        <v>870</v>
      </c>
      <c r="N440">
        <v>53784</v>
      </c>
      <c r="O440">
        <v>64541</v>
      </c>
      <c r="P440">
        <v>15000</v>
      </c>
      <c r="Q440">
        <v>4500</v>
      </c>
      <c r="R440">
        <v>4500</v>
      </c>
      <c r="S440">
        <v>0</v>
      </c>
      <c r="T440">
        <v>0</v>
      </c>
      <c r="U440">
        <v>2103</v>
      </c>
      <c r="V440">
        <v>0</v>
      </c>
      <c r="W440">
        <v>0</v>
      </c>
      <c r="X440" t="s">
        <v>600</v>
      </c>
      <c r="Y440">
        <v>1</v>
      </c>
      <c r="Z440">
        <v>0</v>
      </c>
      <c r="AA440">
        <v>50</v>
      </c>
      <c r="AB440">
        <v>25</v>
      </c>
      <c r="AC440">
        <v>0.4</v>
      </c>
    </row>
    <row r="441" spans="1:29">
      <c r="A441">
        <v>1075021</v>
      </c>
      <c r="B441">
        <v>2001</v>
      </c>
      <c r="C441">
        <v>75</v>
      </c>
      <c r="D441" t="s">
        <v>560</v>
      </c>
      <c r="E441">
        <f t="shared" si="51"/>
        <v>2560</v>
      </c>
      <c r="F441">
        <f t="shared" si="52"/>
        <v>2560</v>
      </c>
      <c r="G441" s="2" t="s">
        <v>630</v>
      </c>
      <c r="H441">
        <v>0</v>
      </c>
      <c r="I441">
        <v>0</v>
      </c>
      <c r="J441">
        <v>0</v>
      </c>
      <c r="K441">
        <v>0</v>
      </c>
      <c r="L441">
        <v>457194</v>
      </c>
      <c r="M441">
        <v>1450</v>
      </c>
      <c r="N441">
        <v>118596</v>
      </c>
      <c r="O441">
        <v>142315</v>
      </c>
      <c r="P441">
        <v>15000</v>
      </c>
      <c r="Q441">
        <v>4500</v>
      </c>
      <c r="R441">
        <v>4500</v>
      </c>
      <c r="S441">
        <v>0</v>
      </c>
      <c r="T441">
        <v>0</v>
      </c>
      <c r="U441">
        <v>1068</v>
      </c>
      <c r="V441">
        <v>0</v>
      </c>
      <c r="W441">
        <v>0</v>
      </c>
      <c r="X441" t="s">
        <v>602</v>
      </c>
      <c r="Y441">
        <v>1</v>
      </c>
      <c r="Z441">
        <v>0</v>
      </c>
      <c r="AA441">
        <v>50</v>
      </c>
      <c r="AB441">
        <v>25</v>
      </c>
      <c r="AC441">
        <v>0.4</v>
      </c>
    </row>
    <row r="442" spans="1:29">
      <c r="A442">
        <v>1075031</v>
      </c>
      <c r="B442">
        <v>2001</v>
      </c>
      <c r="C442">
        <v>76</v>
      </c>
      <c r="D442" t="s">
        <v>561</v>
      </c>
      <c r="E442">
        <f t="shared" si="51"/>
        <v>2620</v>
      </c>
      <c r="F442">
        <f t="shared" si="52"/>
        <v>2620</v>
      </c>
      <c r="G442" s="2" t="s">
        <v>631</v>
      </c>
      <c r="H442">
        <v>0</v>
      </c>
      <c r="I442">
        <v>0</v>
      </c>
      <c r="J442">
        <v>0</v>
      </c>
      <c r="K442">
        <v>0</v>
      </c>
      <c r="L442">
        <v>726866</v>
      </c>
      <c r="M442">
        <v>2628</v>
      </c>
      <c r="N442">
        <v>138249</v>
      </c>
      <c r="O442">
        <v>165899</v>
      </c>
      <c r="P442">
        <v>15500</v>
      </c>
      <c r="Q442">
        <v>4650</v>
      </c>
      <c r="R442">
        <v>4650</v>
      </c>
      <c r="S442">
        <v>0</v>
      </c>
      <c r="T442">
        <v>0</v>
      </c>
      <c r="U442">
        <v>2159</v>
      </c>
      <c r="V442">
        <v>0</v>
      </c>
      <c r="W442">
        <v>0</v>
      </c>
      <c r="X442" t="s">
        <v>598</v>
      </c>
      <c r="Y442">
        <v>1</v>
      </c>
      <c r="Z442">
        <v>0</v>
      </c>
      <c r="AA442">
        <v>50</v>
      </c>
      <c r="AB442">
        <v>25</v>
      </c>
      <c r="AC442">
        <v>0.4</v>
      </c>
    </row>
    <row r="443" spans="1:29">
      <c r="A443">
        <v>1075041</v>
      </c>
      <c r="B443">
        <v>2001</v>
      </c>
      <c r="C443">
        <v>76</v>
      </c>
      <c r="D443" t="s">
        <v>562</v>
      </c>
      <c r="E443">
        <f t="shared" si="51"/>
        <v>2620</v>
      </c>
      <c r="F443">
        <f t="shared" si="52"/>
        <v>2620</v>
      </c>
      <c r="G443" s="2">
        <v>2</v>
      </c>
      <c r="H443">
        <v>0</v>
      </c>
      <c r="I443">
        <v>0</v>
      </c>
      <c r="J443">
        <v>0</v>
      </c>
      <c r="K443">
        <v>0</v>
      </c>
      <c r="L443">
        <v>429142</v>
      </c>
      <c r="M443">
        <v>1168</v>
      </c>
      <c r="N443">
        <v>94931</v>
      </c>
      <c r="O443">
        <v>113917</v>
      </c>
      <c r="P443">
        <v>15500</v>
      </c>
      <c r="Q443">
        <v>4650</v>
      </c>
      <c r="R443">
        <v>4650</v>
      </c>
      <c r="S443">
        <v>0</v>
      </c>
      <c r="T443">
        <v>0</v>
      </c>
      <c r="U443">
        <v>2159</v>
      </c>
      <c r="V443">
        <v>0</v>
      </c>
      <c r="W443">
        <v>0</v>
      </c>
      <c r="X443" t="s">
        <v>599</v>
      </c>
      <c r="Y443">
        <v>1</v>
      </c>
      <c r="Z443">
        <v>0</v>
      </c>
      <c r="AA443">
        <v>50</v>
      </c>
      <c r="AB443">
        <v>25</v>
      </c>
      <c r="AC443">
        <v>0.4</v>
      </c>
    </row>
    <row r="444" spans="1:29">
      <c r="A444">
        <f>A443+1</f>
        <v>1075042</v>
      </c>
      <c r="B444">
        <v>2001</v>
      </c>
      <c r="C444">
        <f>C443</f>
        <v>76</v>
      </c>
      <c r="D444" t="s">
        <v>584</v>
      </c>
      <c r="E444">
        <f>E443</f>
        <v>2620</v>
      </c>
      <c r="F444">
        <f t="shared" ref="F444:F445" si="63">F443</f>
        <v>2620</v>
      </c>
      <c r="G444" s="2">
        <v>9</v>
      </c>
      <c r="H444">
        <f t="shared" ref="H444:H445" si="64">H443</f>
        <v>0</v>
      </c>
      <c r="I444">
        <f t="shared" ref="I444:I445" si="65">I443</f>
        <v>0</v>
      </c>
      <c r="J444">
        <f t="shared" ref="J444:J445" si="66">J443</f>
        <v>0</v>
      </c>
      <c r="K444">
        <f t="shared" ref="K444:K445" si="67">K443</f>
        <v>0</v>
      </c>
      <c r="L444">
        <v>200266</v>
      </c>
      <c r="M444">
        <v>1460</v>
      </c>
      <c r="N444">
        <v>55377</v>
      </c>
      <c r="O444">
        <v>66452</v>
      </c>
      <c r="P444">
        <v>15500</v>
      </c>
      <c r="Q444">
        <v>4650</v>
      </c>
      <c r="R444">
        <v>4650</v>
      </c>
      <c r="S444">
        <v>0</v>
      </c>
      <c r="T444">
        <v>0</v>
      </c>
      <c r="U444">
        <v>2159</v>
      </c>
      <c r="V444">
        <v>0</v>
      </c>
      <c r="W444">
        <v>0</v>
      </c>
      <c r="X444" t="s">
        <v>592</v>
      </c>
      <c r="Y444">
        <v>1</v>
      </c>
      <c r="Z444">
        <v>0</v>
      </c>
      <c r="AA444">
        <v>50</v>
      </c>
      <c r="AB444">
        <v>25</v>
      </c>
      <c r="AC444">
        <v>0.4</v>
      </c>
    </row>
    <row r="445" spans="1:29">
      <c r="A445">
        <f>A444+1</f>
        <v>1075043</v>
      </c>
      <c r="B445">
        <v>2001</v>
      </c>
      <c r="C445">
        <f>C444</f>
        <v>76</v>
      </c>
      <c r="D445" t="s">
        <v>585</v>
      </c>
      <c r="E445">
        <f>E444</f>
        <v>2620</v>
      </c>
      <c r="F445">
        <f t="shared" si="63"/>
        <v>2620</v>
      </c>
      <c r="G445" s="2">
        <v>10</v>
      </c>
      <c r="H445">
        <f t="shared" si="64"/>
        <v>0</v>
      </c>
      <c r="I445">
        <f t="shared" si="65"/>
        <v>0</v>
      </c>
      <c r="J445">
        <f t="shared" si="66"/>
        <v>0</v>
      </c>
      <c r="K445">
        <f t="shared" si="67"/>
        <v>0</v>
      </c>
      <c r="L445">
        <v>200266</v>
      </c>
      <c r="M445">
        <v>1460</v>
      </c>
      <c r="N445">
        <v>55377</v>
      </c>
      <c r="O445">
        <v>66452</v>
      </c>
      <c r="P445">
        <v>15500</v>
      </c>
      <c r="Q445">
        <v>4650</v>
      </c>
      <c r="R445">
        <v>4650</v>
      </c>
      <c r="S445">
        <v>0</v>
      </c>
      <c r="T445">
        <v>0</v>
      </c>
      <c r="U445">
        <v>2159</v>
      </c>
      <c r="V445">
        <v>0</v>
      </c>
      <c r="W445">
        <v>0</v>
      </c>
      <c r="X445" t="s">
        <v>593</v>
      </c>
      <c r="Y445">
        <v>1</v>
      </c>
      <c r="Z445">
        <v>0</v>
      </c>
      <c r="AA445">
        <v>50</v>
      </c>
      <c r="AB445">
        <v>25</v>
      </c>
      <c r="AC445">
        <v>0.4</v>
      </c>
    </row>
    <row r="446" spans="1:29">
      <c r="A446">
        <v>1075051</v>
      </c>
      <c r="B446">
        <v>2001</v>
      </c>
      <c r="C446">
        <v>76</v>
      </c>
      <c r="D446" t="s">
        <v>563</v>
      </c>
      <c r="E446">
        <f t="shared" si="51"/>
        <v>2620</v>
      </c>
      <c r="F446">
        <f t="shared" si="52"/>
        <v>2620</v>
      </c>
      <c r="G446" s="2">
        <v>21</v>
      </c>
      <c r="H446">
        <v>0</v>
      </c>
      <c r="I446">
        <v>0</v>
      </c>
      <c r="J446">
        <v>0</v>
      </c>
      <c r="K446">
        <v>0</v>
      </c>
      <c r="L446">
        <v>735463</v>
      </c>
      <c r="M446">
        <v>1460</v>
      </c>
      <c r="N446">
        <v>181074</v>
      </c>
      <c r="O446">
        <v>217289</v>
      </c>
      <c r="P446">
        <v>15500</v>
      </c>
      <c r="Q446">
        <v>4650</v>
      </c>
      <c r="R446">
        <v>4650</v>
      </c>
      <c r="S446">
        <v>0</v>
      </c>
      <c r="T446">
        <v>0</v>
      </c>
      <c r="U446">
        <v>2159</v>
      </c>
      <c r="V446">
        <v>0</v>
      </c>
      <c r="W446">
        <v>0</v>
      </c>
      <c r="X446" t="s">
        <v>594</v>
      </c>
      <c r="Y446">
        <v>1</v>
      </c>
      <c r="Z446">
        <v>0</v>
      </c>
      <c r="AA446">
        <v>50</v>
      </c>
      <c r="AB446">
        <v>25</v>
      </c>
      <c r="AC446">
        <v>0.4</v>
      </c>
    </row>
    <row r="447" spans="1:29">
      <c r="A447">
        <v>1075061</v>
      </c>
      <c r="B447">
        <v>2001</v>
      </c>
      <c r="C447">
        <v>77</v>
      </c>
      <c r="D447" t="s">
        <v>564</v>
      </c>
      <c r="E447">
        <f t="shared" si="51"/>
        <v>2680</v>
      </c>
      <c r="F447">
        <f t="shared" si="52"/>
        <v>2680</v>
      </c>
      <c r="G447" s="2">
        <v>14</v>
      </c>
      <c r="H447">
        <v>0</v>
      </c>
      <c r="I447">
        <v>0</v>
      </c>
      <c r="J447">
        <v>0</v>
      </c>
      <c r="K447">
        <v>0</v>
      </c>
      <c r="L447">
        <v>862639</v>
      </c>
      <c r="M447">
        <v>1470</v>
      </c>
      <c r="N447">
        <v>216763</v>
      </c>
      <c r="O447">
        <v>260116</v>
      </c>
      <c r="P447">
        <v>16000</v>
      </c>
      <c r="Q447">
        <v>4800</v>
      </c>
      <c r="R447">
        <v>4800</v>
      </c>
      <c r="S447">
        <v>0</v>
      </c>
      <c r="T447">
        <v>0</v>
      </c>
      <c r="U447">
        <v>1125</v>
      </c>
      <c r="V447">
        <v>0</v>
      </c>
      <c r="W447">
        <v>0</v>
      </c>
      <c r="X447" t="s">
        <v>626</v>
      </c>
      <c r="Y447">
        <v>1</v>
      </c>
      <c r="Z447">
        <v>0</v>
      </c>
      <c r="AA447">
        <v>50</v>
      </c>
      <c r="AB447">
        <v>25</v>
      </c>
      <c r="AC447">
        <v>0.4</v>
      </c>
    </row>
    <row r="448" spans="1:29">
      <c r="A448">
        <v>1075071</v>
      </c>
      <c r="B448">
        <v>2001</v>
      </c>
      <c r="C448">
        <v>77</v>
      </c>
      <c r="D448" t="s">
        <v>565</v>
      </c>
      <c r="E448">
        <f t="shared" si="51"/>
        <v>2680</v>
      </c>
      <c r="F448">
        <f t="shared" si="52"/>
        <v>2680</v>
      </c>
      <c r="G448" s="2">
        <v>13</v>
      </c>
      <c r="H448">
        <v>0</v>
      </c>
      <c r="I448">
        <v>0</v>
      </c>
      <c r="J448">
        <v>0</v>
      </c>
      <c r="K448">
        <v>0</v>
      </c>
      <c r="L448">
        <v>935279</v>
      </c>
      <c r="M448">
        <v>1176</v>
      </c>
      <c r="N448">
        <v>170773</v>
      </c>
      <c r="O448">
        <v>204928</v>
      </c>
      <c r="P448">
        <v>16000</v>
      </c>
      <c r="Q448">
        <v>4800</v>
      </c>
      <c r="R448">
        <v>4800</v>
      </c>
      <c r="S448">
        <v>0</v>
      </c>
      <c r="T448">
        <v>0</v>
      </c>
      <c r="U448">
        <v>1125</v>
      </c>
      <c r="V448">
        <v>0</v>
      </c>
      <c r="W448">
        <v>0</v>
      </c>
      <c r="X448" t="s">
        <v>627</v>
      </c>
      <c r="Y448">
        <v>1</v>
      </c>
      <c r="Z448">
        <v>0</v>
      </c>
      <c r="AA448">
        <v>50</v>
      </c>
      <c r="AB448">
        <v>25</v>
      </c>
      <c r="AC448">
        <v>0.4</v>
      </c>
    </row>
    <row r="449" spans="1:29">
      <c r="A449">
        <v>1075081</v>
      </c>
      <c r="B449">
        <v>2001</v>
      </c>
      <c r="C449">
        <v>78</v>
      </c>
      <c r="D449" t="s">
        <v>566</v>
      </c>
      <c r="E449">
        <f t="shared" si="51"/>
        <v>2740</v>
      </c>
      <c r="F449">
        <f t="shared" si="52"/>
        <v>2740</v>
      </c>
      <c r="G449" s="2">
        <v>25</v>
      </c>
      <c r="H449">
        <v>0</v>
      </c>
      <c r="I449">
        <v>0</v>
      </c>
      <c r="J449">
        <v>0</v>
      </c>
      <c r="K449">
        <v>0</v>
      </c>
      <c r="L449">
        <v>1017894</v>
      </c>
      <c r="M449">
        <v>42</v>
      </c>
      <c r="N449">
        <v>343218</v>
      </c>
      <c r="O449">
        <v>411862</v>
      </c>
      <c r="P449">
        <v>16500</v>
      </c>
      <c r="Q449">
        <v>4950</v>
      </c>
      <c r="R449">
        <v>4950</v>
      </c>
      <c r="S449">
        <v>0</v>
      </c>
      <c r="T449">
        <v>0</v>
      </c>
      <c r="U449">
        <v>2273</v>
      </c>
      <c r="V449">
        <v>0</v>
      </c>
      <c r="W449">
        <v>0</v>
      </c>
      <c r="X449" t="s">
        <v>603</v>
      </c>
      <c r="Y449">
        <v>1</v>
      </c>
      <c r="Z449">
        <v>0</v>
      </c>
      <c r="AA449">
        <v>50</v>
      </c>
      <c r="AB449">
        <v>25</v>
      </c>
      <c r="AC449">
        <v>0.4</v>
      </c>
    </row>
    <row r="450" spans="1:29">
      <c r="A450">
        <v>1075091</v>
      </c>
      <c r="B450">
        <v>2001</v>
      </c>
      <c r="C450">
        <v>79</v>
      </c>
      <c r="D450" t="s">
        <v>625</v>
      </c>
      <c r="E450">
        <f t="shared" si="51"/>
        <v>2800</v>
      </c>
      <c r="F450">
        <f t="shared" si="52"/>
        <v>2800</v>
      </c>
      <c r="G450" s="2">
        <v>28</v>
      </c>
      <c r="H450">
        <v>0</v>
      </c>
      <c r="I450">
        <v>0</v>
      </c>
      <c r="J450">
        <v>0</v>
      </c>
      <c r="K450">
        <v>0</v>
      </c>
      <c r="L450">
        <v>1025342</v>
      </c>
      <c r="M450">
        <v>1490</v>
      </c>
      <c r="N450">
        <v>289303</v>
      </c>
      <c r="O450">
        <v>347164</v>
      </c>
      <c r="P450">
        <v>17000</v>
      </c>
      <c r="Q450">
        <v>5100</v>
      </c>
      <c r="R450">
        <v>5100</v>
      </c>
      <c r="S450">
        <v>0</v>
      </c>
      <c r="T450">
        <v>0</v>
      </c>
      <c r="U450">
        <v>2332</v>
      </c>
      <c r="V450">
        <v>0</v>
      </c>
      <c r="W450">
        <v>0</v>
      </c>
      <c r="X450" t="s">
        <v>604</v>
      </c>
      <c r="Y450">
        <v>1</v>
      </c>
      <c r="Z450">
        <v>0</v>
      </c>
      <c r="AA450">
        <v>50</v>
      </c>
      <c r="AB450">
        <v>25</v>
      </c>
      <c r="AC450">
        <v>0.4</v>
      </c>
    </row>
    <row r="451" spans="1:29">
      <c r="A451">
        <v>1080011</v>
      </c>
      <c r="B451">
        <v>2001</v>
      </c>
      <c r="C451">
        <v>80</v>
      </c>
      <c r="D451" t="s">
        <v>559</v>
      </c>
      <c r="E451">
        <f t="shared" si="51"/>
        <v>3000</v>
      </c>
      <c r="F451">
        <f t="shared" si="52"/>
        <v>3000</v>
      </c>
      <c r="G451" s="2">
        <v>3</v>
      </c>
      <c r="H451">
        <v>0</v>
      </c>
      <c r="I451">
        <v>0</v>
      </c>
      <c r="J451">
        <v>0</v>
      </c>
      <c r="K451">
        <v>0</v>
      </c>
      <c r="L451">
        <v>557379</v>
      </c>
      <c r="M451">
        <v>900</v>
      </c>
      <c r="N451">
        <v>73452</v>
      </c>
      <c r="O451">
        <v>88142</v>
      </c>
      <c r="P451">
        <v>17500</v>
      </c>
      <c r="Q451">
        <v>5250</v>
      </c>
      <c r="R451">
        <v>5250</v>
      </c>
      <c r="S451">
        <v>0</v>
      </c>
      <c r="T451">
        <v>0</v>
      </c>
      <c r="U451">
        <v>2390</v>
      </c>
      <c r="V451">
        <v>0</v>
      </c>
      <c r="W451">
        <v>0</v>
      </c>
      <c r="X451" t="s">
        <v>600</v>
      </c>
      <c r="Y451">
        <v>1</v>
      </c>
      <c r="Z451">
        <v>0</v>
      </c>
      <c r="AA451">
        <v>50</v>
      </c>
      <c r="AB451">
        <v>25</v>
      </c>
      <c r="AC451">
        <v>0.4</v>
      </c>
    </row>
    <row r="452" spans="1:29">
      <c r="A452">
        <v>1080021</v>
      </c>
      <c r="B452">
        <v>2001</v>
      </c>
      <c r="C452">
        <v>80</v>
      </c>
      <c r="D452" t="s">
        <v>560</v>
      </c>
      <c r="E452">
        <f t="shared" si="51"/>
        <v>3000</v>
      </c>
      <c r="F452">
        <f t="shared" si="52"/>
        <v>3000</v>
      </c>
      <c r="G452" s="2" t="s">
        <v>630</v>
      </c>
      <c r="H452">
        <v>0</v>
      </c>
      <c r="I452">
        <v>0</v>
      </c>
      <c r="J452">
        <v>0</v>
      </c>
      <c r="K452">
        <v>0</v>
      </c>
      <c r="L452">
        <v>622721</v>
      </c>
      <c r="M452">
        <v>1500</v>
      </c>
      <c r="N452">
        <v>164590</v>
      </c>
      <c r="O452">
        <v>197508</v>
      </c>
      <c r="P452">
        <v>17500</v>
      </c>
      <c r="Q452">
        <v>5250</v>
      </c>
      <c r="R452">
        <v>5250</v>
      </c>
      <c r="S452">
        <v>0</v>
      </c>
      <c r="T452">
        <v>0</v>
      </c>
      <c r="U452">
        <v>1213</v>
      </c>
      <c r="V452">
        <v>0</v>
      </c>
      <c r="W452">
        <v>0</v>
      </c>
      <c r="X452" t="s">
        <v>602</v>
      </c>
      <c r="Y452">
        <v>1</v>
      </c>
      <c r="Z452">
        <v>0</v>
      </c>
      <c r="AA452">
        <v>50</v>
      </c>
      <c r="AB452">
        <v>25</v>
      </c>
      <c r="AC452">
        <v>0.4</v>
      </c>
    </row>
    <row r="453" spans="1:29">
      <c r="A453">
        <v>1080031</v>
      </c>
      <c r="B453">
        <v>2001</v>
      </c>
      <c r="C453">
        <v>81</v>
      </c>
      <c r="D453" t="s">
        <v>561</v>
      </c>
      <c r="E453">
        <f t="shared" si="51"/>
        <v>3200</v>
      </c>
      <c r="F453">
        <f t="shared" si="52"/>
        <v>3200</v>
      </c>
      <c r="G453" s="2" t="s">
        <v>631</v>
      </c>
      <c r="H453">
        <v>0</v>
      </c>
      <c r="I453">
        <v>0</v>
      </c>
      <c r="J453">
        <v>0</v>
      </c>
      <c r="K453">
        <v>0</v>
      </c>
      <c r="L453">
        <v>999229</v>
      </c>
      <c r="M453">
        <v>2718</v>
      </c>
      <c r="N453">
        <v>196020</v>
      </c>
      <c r="O453">
        <v>235224</v>
      </c>
      <c r="P453">
        <v>18000</v>
      </c>
      <c r="Q453">
        <v>5400</v>
      </c>
      <c r="R453">
        <v>5400</v>
      </c>
      <c r="S453">
        <v>0</v>
      </c>
      <c r="T453">
        <v>0</v>
      </c>
      <c r="U453">
        <v>2450</v>
      </c>
      <c r="V453">
        <v>0</v>
      </c>
      <c r="W453">
        <v>0</v>
      </c>
      <c r="X453" t="s">
        <v>598</v>
      </c>
      <c r="Y453">
        <v>1</v>
      </c>
      <c r="Z453">
        <v>0</v>
      </c>
      <c r="AA453">
        <v>50</v>
      </c>
      <c r="AB453">
        <v>25</v>
      </c>
      <c r="AC453">
        <v>0.4</v>
      </c>
    </row>
    <row r="454" spans="1:29">
      <c r="A454">
        <v>1080041</v>
      </c>
      <c r="B454">
        <v>2001</v>
      </c>
      <c r="C454">
        <v>81</v>
      </c>
      <c r="D454" t="s">
        <v>562</v>
      </c>
      <c r="E454">
        <f t="shared" si="51"/>
        <v>3200</v>
      </c>
      <c r="F454">
        <f t="shared" si="52"/>
        <v>3200</v>
      </c>
      <c r="G454" s="2">
        <v>2</v>
      </c>
      <c r="H454">
        <v>0</v>
      </c>
      <c r="I454">
        <v>0</v>
      </c>
      <c r="J454">
        <v>0</v>
      </c>
      <c r="K454">
        <v>0</v>
      </c>
      <c r="L454">
        <v>590878</v>
      </c>
      <c r="M454">
        <v>1208</v>
      </c>
      <c r="N454">
        <v>135179</v>
      </c>
      <c r="O454">
        <v>162215</v>
      </c>
      <c r="P454">
        <v>18000</v>
      </c>
      <c r="Q454">
        <v>5400</v>
      </c>
      <c r="R454">
        <v>5400</v>
      </c>
      <c r="S454">
        <v>0</v>
      </c>
      <c r="T454">
        <v>0</v>
      </c>
      <c r="U454">
        <v>2450</v>
      </c>
      <c r="V454">
        <v>0</v>
      </c>
      <c r="W454">
        <v>0</v>
      </c>
      <c r="X454" t="s">
        <v>599</v>
      </c>
      <c r="Y454">
        <v>1</v>
      </c>
      <c r="Z454">
        <v>0</v>
      </c>
      <c r="AA454">
        <v>50</v>
      </c>
      <c r="AB454">
        <v>25</v>
      </c>
      <c r="AC454">
        <v>0.4</v>
      </c>
    </row>
    <row r="455" spans="1:29">
      <c r="A455">
        <f>A454+1</f>
        <v>1080042</v>
      </c>
      <c r="B455">
        <v>2001</v>
      </c>
      <c r="C455">
        <f>C454</f>
        <v>81</v>
      </c>
      <c r="D455" t="s">
        <v>584</v>
      </c>
      <c r="E455">
        <f>E454</f>
        <v>3200</v>
      </c>
      <c r="F455">
        <f t="shared" ref="F455:F456" si="68">F454</f>
        <v>3200</v>
      </c>
      <c r="G455" s="2">
        <v>9</v>
      </c>
      <c r="H455">
        <f t="shared" ref="H455:H456" si="69">H454</f>
        <v>0</v>
      </c>
      <c r="I455">
        <f t="shared" ref="I455:I456" si="70">I454</f>
        <v>0</v>
      </c>
      <c r="J455">
        <f t="shared" ref="J455:J456" si="71">J454</f>
        <v>0</v>
      </c>
      <c r="K455">
        <f t="shared" ref="K455:K456" si="72">K454</f>
        <v>0</v>
      </c>
      <c r="L455">
        <v>275743</v>
      </c>
      <c r="M455">
        <v>1510</v>
      </c>
      <c r="N455">
        <v>78854</v>
      </c>
      <c r="O455">
        <v>94625</v>
      </c>
      <c r="P455">
        <v>18000</v>
      </c>
      <c r="Q455">
        <v>5400</v>
      </c>
      <c r="R455">
        <v>5400</v>
      </c>
      <c r="S455">
        <v>0</v>
      </c>
      <c r="T455">
        <v>0</v>
      </c>
      <c r="U455">
        <v>2450</v>
      </c>
      <c r="V455">
        <v>0</v>
      </c>
      <c r="W455">
        <v>0</v>
      </c>
      <c r="X455" t="s">
        <v>592</v>
      </c>
      <c r="Y455">
        <v>1</v>
      </c>
      <c r="Z455">
        <v>0</v>
      </c>
      <c r="AA455">
        <v>50</v>
      </c>
      <c r="AB455">
        <v>25</v>
      </c>
      <c r="AC455">
        <v>0.4</v>
      </c>
    </row>
    <row r="456" spans="1:29">
      <c r="A456">
        <f>A455+1</f>
        <v>1080043</v>
      </c>
      <c r="B456">
        <v>2001</v>
      </c>
      <c r="C456">
        <f>C455</f>
        <v>81</v>
      </c>
      <c r="D456" t="s">
        <v>585</v>
      </c>
      <c r="E456">
        <f>E455</f>
        <v>3200</v>
      </c>
      <c r="F456">
        <f t="shared" si="68"/>
        <v>3200</v>
      </c>
      <c r="G456" s="2">
        <v>10</v>
      </c>
      <c r="H456">
        <f t="shared" si="69"/>
        <v>0</v>
      </c>
      <c r="I456">
        <f t="shared" si="70"/>
        <v>0</v>
      </c>
      <c r="J456">
        <f t="shared" si="71"/>
        <v>0</v>
      </c>
      <c r="K456">
        <f t="shared" si="72"/>
        <v>0</v>
      </c>
      <c r="L456">
        <v>275743</v>
      </c>
      <c r="M456">
        <v>1510</v>
      </c>
      <c r="N456">
        <v>78854</v>
      </c>
      <c r="O456">
        <v>94625</v>
      </c>
      <c r="P456">
        <v>18000</v>
      </c>
      <c r="Q456">
        <v>5400</v>
      </c>
      <c r="R456">
        <v>5400</v>
      </c>
      <c r="S456">
        <v>0</v>
      </c>
      <c r="T456">
        <v>0</v>
      </c>
      <c r="U456">
        <v>2450</v>
      </c>
      <c r="V456">
        <v>0</v>
      </c>
      <c r="W456">
        <v>0</v>
      </c>
      <c r="X456" t="s">
        <v>593</v>
      </c>
      <c r="Y456">
        <v>1</v>
      </c>
      <c r="Z456">
        <v>0</v>
      </c>
      <c r="AA456">
        <v>50</v>
      </c>
      <c r="AB456">
        <v>25</v>
      </c>
      <c r="AC456">
        <v>0.4</v>
      </c>
    </row>
    <row r="457" spans="1:29">
      <c r="A457">
        <v>1080051</v>
      </c>
      <c r="B457">
        <v>2001</v>
      </c>
      <c r="C457">
        <v>81</v>
      </c>
      <c r="D457" t="s">
        <v>563</v>
      </c>
      <c r="E457">
        <f t="shared" si="51"/>
        <v>3200</v>
      </c>
      <c r="F457">
        <f t="shared" si="52"/>
        <v>3200</v>
      </c>
      <c r="G457" s="2">
        <v>21</v>
      </c>
      <c r="H457">
        <v>0</v>
      </c>
      <c r="I457">
        <v>0</v>
      </c>
      <c r="J457">
        <v>0</v>
      </c>
      <c r="K457">
        <v>0</v>
      </c>
      <c r="L457">
        <v>1014250</v>
      </c>
      <c r="M457">
        <v>1510</v>
      </c>
      <c r="N457">
        <v>258949</v>
      </c>
      <c r="O457">
        <v>310739</v>
      </c>
      <c r="P457">
        <v>18000</v>
      </c>
      <c r="Q457">
        <v>5400</v>
      </c>
      <c r="R457">
        <v>5400</v>
      </c>
      <c r="S457">
        <v>0</v>
      </c>
      <c r="T457">
        <v>0</v>
      </c>
      <c r="U457">
        <v>2450</v>
      </c>
      <c r="V457">
        <v>0</v>
      </c>
      <c r="W457">
        <v>0</v>
      </c>
      <c r="X457" t="s">
        <v>594</v>
      </c>
      <c r="Y457">
        <v>1</v>
      </c>
      <c r="Z457">
        <v>0</v>
      </c>
      <c r="AA457">
        <v>50</v>
      </c>
      <c r="AB457">
        <v>25</v>
      </c>
      <c r="AC457">
        <v>0.4</v>
      </c>
    </row>
    <row r="458" spans="1:29">
      <c r="A458">
        <v>1080061</v>
      </c>
      <c r="B458">
        <v>2001</v>
      </c>
      <c r="C458">
        <v>82</v>
      </c>
      <c r="D458" t="s">
        <v>564</v>
      </c>
      <c r="E458">
        <f t="shared" si="51"/>
        <v>3400</v>
      </c>
      <c r="F458">
        <f t="shared" si="52"/>
        <v>3400</v>
      </c>
      <c r="G458" s="2">
        <v>14</v>
      </c>
      <c r="H458">
        <v>0</v>
      </c>
      <c r="I458">
        <v>0</v>
      </c>
      <c r="J458">
        <v>0</v>
      </c>
      <c r="K458">
        <v>0</v>
      </c>
      <c r="L458">
        <v>1197800</v>
      </c>
      <c r="M458">
        <v>1520</v>
      </c>
      <c r="N458">
        <v>311761</v>
      </c>
      <c r="O458">
        <v>374113</v>
      </c>
      <c r="P458">
        <v>18500</v>
      </c>
      <c r="Q458">
        <v>5550</v>
      </c>
      <c r="R458">
        <v>5550</v>
      </c>
      <c r="S458">
        <v>0</v>
      </c>
      <c r="T458">
        <v>0</v>
      </c>
      <c r="U458">
        <v>1274</v>
      </c>
      <c r="V458">
        <v>0</v>
      </c>
      <c r="W458">
        <v>0</v>
      </c>
      <c r="X458" t="s">
        <v>626</v>
      </c>
      <c r="Y458">
        <v>1</v>
      </c>
      <c r="Z458">
        <v>0</v>
      </c>
      <c r="AA458">
        <v>50</v>
      </c>
      <c r="AB458">
        <v>25</v>
      </c>
      <c r="AC458">
        <v>0.4</v>
      </c>
    </row>
    <row r="459" spans="1:29">
      <c r="A459">
        <v>1080071</v>
      </c>
      <c r="B459">
        <v>2001</v>
      </c>
      <c r="C459">
        <v>82</v>
      </c>
      <c r="D459" t="s">
        <v>565</v>
      </c>
      <c r="E459">
        <f t="shared" si="51"/>
        <v>3400</v>
      </c>
      <c r="F459">
        <f t="shared" si="52"/>
        <v>3400</v>
      </c>
      <c r="G459" s="2">
        <v>13</v>
      </c>
      <c r="H459">
        <v>0</v>
      </c>
      <c r="I459">
        <v>0</v>
      </c>
      <c r="J459">
        <v>0</v>
      </c>
      <c r="K459">
        <v>0</v>
      </c>
      <c r="L459">
        <v>1300262</v>
      </c>
      <c r="M459">
        <v>1216</v>
      </c>
      <c r="N459">
        <v>246214</v>
      </c>
      <c r="O459">
        <v>295457</v>
      </c>
      <c r="P459">
        <v>18500</v>
      </c>
      <c r="Q459">
        <v>5550</v>
      </c>
      <c r="R459">
        <v>5550</v>
      </c>
      <c r="S459">
        <v>0</v>
      </c>
      <c r="T459">
        <v>0</v>
      </c>
      <c r="U459">
        <v>1274</v>
      </c>
      <c r="V459">
        <v>0</v>
      </c>
      <c r="W459">
        <v>0</v>
      </c>
      <c r="X459" t="s">
        <v>627</v>
      </c>
      <c r="Y459">
        <v>1</v>
      </c>
      <c r="Z459">
        <v>0</v>
      </c>
      <c r="AA459">
        <v>50</v>
      </c>
      <c r="AB459">
        <v>25</v>
      </c>
      <c r="AC459">
        <v>0.4</v>
      </c>
    </row>
    <row r="460" spans="1:29">
      <c r="A460">
        <v>1080081</v>
      </c>
      <c r="B460">
        <v>2001</v>
      </c>
      <c r="C460">
        <v>83</v>
      </c>
      <c r="D460" t="s">
        <v>566</v>
      </c>
      <c r="E460">
        <f t="shared" si="51"/>
        <v>3600</v>
      </c>
      <c r="F460">
        <f t="shared" si="52"/>
        <v>3600</v>
      </c>
      <c r="G460" s="2">
        <v>25</v>
      </c>
      <c r="H460">
        <v>0</v>
      </c>
      <c r="I460">
        <v>0</v>
      </c>
      <c r="J460">
        <v>0</v>
      </c>
      <c r="K460">
        <v>0</v>
      </c>
      <c r="L460">
        <v>1422822</v>
      </c>
      <c r="M460">
        <v>42</v>
      </c>
      <c r="N460">
        <v>496041</v>
      </c>
      <c r="O460">
        <v>595249</v>
      </c>
      <c r="P460">
        <v>19000</v>
      </c>
      <c r="Q460">
        <v>5700</v>
      </c>
      <c r="R460">
        <v>5700</v>
      </c>
      <c r="S460">
        <v>0</v>
      </c>
      <c r="T460">
        <v>0</v>
      </c>
      <c r="U460">
        <v>2572</v>
      </c>
      <c r="V460">
        <v>0</v>
      </c>
      <c r="W460">
        <v>0</v>
      </c>
      <c r="X460" t="s">
        <v>603</v>
      </c>
      <c r="Y460">
        <v>1</v>
      </c>
      <c r="Z460">
        <v>0</v>
      </c>
      <c r="AA460">
        <v>50</v>
      </c>
      <c r="AB460">
        <v>25</v>
      </c>
      <c r="AC460">
        <v>0.4</v>
      </c>
    </row>
    <row r="461" spans="1:29">
      <c r="A461">
        <v>1080091</v>
      </c>
      <c r="B461">
        <v>2001</v>
      </c>
      <c r="C461">
        <v>84</v>
      </c>
      <c r="D461" t="s">
        <v>625</v>
      </c>
      <c r="E461">
        <f t="shared" si="51"/>
        <v>3800</v>
      </c>
      <c r="F461">
        <f t="shared" si="52"/>
        <v>3800</v>
      </c>
      <c r="G461" s="2">
        <v>28</v>
      </c>
      <c r="H461">
        <v>0</v>
      </c>
      <c r="I461">
        <v>0</v>
      </c>
      <c r="J461">
        <v>0</v>
      </c>
      <c r="K461">
        <v>0</v>
      </c>
      <c r="L461">
        <v>1440896</v>
      </c>
      <c r="M461">
        <v>1540</v>
      </c>
      <c r="N461">
        <v>419475</v>
      </c>
      <c r="O461">
        <v>503370</v>
      </c>
      <c r="P461">
        <v>19500</v>
      </c>
      <c r="Q461">
        <v>5850</v>
      </c>
      <c r="R461">
        <v>5850</v>
      </c>
      <c r="S461">
        <v>0</v>
      </c>
      <c r="T461">
        <v>0</v>
      </c>
      <c r="U461">
        <v>2634</v>
      </c>
      <c r="V461">
        <v>0</v>
      </c>
      <c r="W461">
        <v>0</v>
      </c>
      <c r="X461" t="s">
        <v>604</v>
      </c>
      <c r="Y461">
        <v>1</v>
      </c>
      <c r="Z461">
        <v>0</v>
      </c>
      <c r="AA461">
        <v>50</v>
      </c>
      <c r="AB461">
        <v>25</v>
      </c>
      <c r="AC461">
        <v>0.4</v>
      </c>
    </row>
    <row r="462" spans="1:29">
      <c r="A462">
        <v>1085011</v>
      </c>
      <c r="B462">
        <v>2001</v>
      </c>
      <c r="C462">
        <v>85</v>
      </c>
      <c r="D462" t="s">
        <v>567</v>
      </c>
      <c r="E462">
        <f t="shared" si="51"/>
        <v>4000</v>
      </c>
      <c r="F462">
        <f t="shared" si="52"/>
        <v>4000</v>
      </c>
      <c r="G462" s="2">
        <v>19</v>
      </c>
      <c r="H462">
        <v>0</v>
      </c>
      <c r="I462">
        <v>0</v>
      </c>
      <c r="J462">
        <v>0</v>
      </c>
      <c r="K462">
        <v>0</v>
      </c>
      <c r="L462">
        <v>951544</v>
      </c>
      <c r="M462">
        <v>1550</v>
      </c>
      <c r="N462">
        <v>180327</v>
      </c>
      <c r="O462">
        <v>216392</v>
      </c>
      <c r="P462">
        <v>20000</v>
      </c>
      <c r="Q462">
        <v>6000</v>
      </c>
      <c r="R462">
        <v>6000</v>
      </c>
      <c r="S462">
        <v>0</v>
      </c>
      <c r="T462">
        <v>0</v>
      </c>
      <c r="U462">
        <v>2697</v>
      </c>
      <c r="V462">
        <v>0</v>
      </c>
      <c r="W462">
        <v>0</v>
      </c>
      <c r="X462" t="s">
        <v>605</v>
      </c>
      <c r="Y462">
        <v>1</v>
      </c>
      <c r="Z462">
        <v>0</v>
      </c>
      <c r="AA462">
        <v>50</v>
      </c>
      <c r="AB462">
        <v>25</v>
      </c>
      <c r="AC462">
        <v>0.4</v>
      </c>
    </row>
    <row r="463" spans="1:29">
      <c r="A463">
        <v>1085021</v>
      </c>
      <c r="B463">
        <v>2001</v>
      </c>
      <c r="C463">
        <v>85</v>
      </c>
      <c r="D463" t="s">
        <v>568</v>
      </c>
      <c r="E463">
        <f t="shared" si="51"/>
        <v>4000</v>
      </c>
      <c r="F463">
        <f t="shared" si="52"/>
        <v>4000</v>
      </c>
      <c r="G463" s="2" t="s">
        <v>632</v>
      </c>
      <c r="H463">
        <v>0</v>
      </c>
      <c r="I463">
        <v>0</v>
      </c>
      <c r="J463">
        <v>0</v>
      </c>
      <c r="K463">
        <v>0</v>
      </c>
      <c r="L463">
        <v>1064329</v>
      </c>
      <c r="M463">
        <v>4650</v>
      </c>
      <c r="N463">
        <v>278673</v>
      </c>
      <c r="O463">
        <v>334408</v>
      </c>
      <c r="P463">
        <v>20000</v>
      </c>
      <c r="Q463">
        <v>6000</v>
      </c>
      <c r="R463">
        <v>6000</v>
      </c>
      <c r="S463">
        <v>0</v>
      </c>
      <c r="T463">
        <v>0</v>
      </c>
      <c r="U463">
        <v>2697</v>
      </c>
      <c r="V463">
        <v>0</v>
      </c>
      <c r="W463">
        <v>0</v>
      </c>
      <c r="X463" t="s">
        <v>606</v>
      </c>
      <c r="Y463">
        <v>1</v>
      </c>
      <c r="Z463">
        <v>0</v>
      </c>
      <c r="AA463">
        <v>50</v>
      </c>
      <c r="AB463">
        <v>25</v>
      </c>
      <c r="AC463">
        <v>0.4</v>
      </c>
    </row>
    <row r="464" spans="1:29">
      <c r="A464">
        <v>1085031</v>
      </c>
      <c r="B464">
        <v>2001</v>
      </c>
      <c r="C464">
        <v>86</v>
      </c>
      <c r="D464" t="s">
        <v>551</v>
      </c>
      <c r="E464">
        <f t="shared" si="51"/>
        <v>4200</v>
      </c>
      <c r="F464">
        <f t="shared" si="52"/>
        <v>4200</v>
      </c>
      <c r="G464" s="2" t="s">
        <v>628</v>
      </c>
      <c r="H464">
        <v>0</v>
      </c>
      <c r="I464">
        <v>0</v>
      </c>
      <c r="J464">
        <v>0</v>
      </c>
      <c r="K464">
        <v>0</v>
      </c>
      <c r="L464">
        <v>829303</v>
      </c>
      <c r="M464">
        <v>82930</v>
      </c>
      <c r="N464">
        <v>488061</v>
      </c>
      <c r="O464">
        <v>585673</v>
      </c>
      <c r="P464">
        <v>21000</v>
      </c>
      <c r="Q464">
        <v>6400</v>
      </c>
      <c r="R464">
        <v>6400</v>
      </c>
      <c r="S464">
        <v>0</v>
      </c>
      <c r="T464">
        <v>0</v>
      </c>
      <c r="U464">
        <v>2760</v>
      </c>
      <c r="V464">
        <v>0</v>
      </c>
      <c r="W464">
        <v>0</v>
      </c>
      <c r="X464" t="s">
        <v>607</v>
      </c>
      <c r="Y464">
        <v>1</v>
      </c>
      <c r="Z464">
        <v>0</v>
      </c>
      <c r="AA464">
        <v>50</v>
      </c>
      <c r="AB464">
        <v>25</v>
      </c>
      <c r="AC464">
        <v>0.4</v>
      </c>
    </row>
    <row r="465" spans="1:29">
      <c r="A465">
        <v>1085041</v>
      </c>
      <c r="B465">
        <v>2001</v>
      </c>
      <c r="C465">
        <v>86</v>
      </c>
      <c r="D465" t="s">
        <v>569</v>
      </c>
      <c r="E465">
        <f t="shared" si="51"/>
        <v>4200</v>
      </c>
      <c r="F465">
        <f t="shared" si="52"/>
        <v>4200</v>
      </c>
      <c r="G465" s="2">
        <v>29</v>
      </c>
      <c r="H465">
        <v>0</v>
      </c>
      <c r="I465">
        <v>0</v>
      </c>
      <c r="J465">
        <v>0</v>
      </c>
      <c r="K465">
        <v>0</v>
      </c>
      <c r="L465">
        <v>1256804</v>
      </c>
      <c r="M465">
        <v>1560</v>
      </c>
      <c r="N465">
        <v>372498</v>
      </c>
      <c r="O465">
        <v>446998</v>
      </c>
      <c r="P465">
        <v>21000</v>
      </c>
      <c r="Q465">
        <v>6400</v>
      </c>
      <c r="R465">
        <v>6400</v>
      </c>
      <c r="S465">
        <v>0</v>
      </c>
      <c r="T465">
        <v>0</v>
      </c>
      <c r="U465">
        <v>2760</v>
      </c>
      <c r="V465">
        <v>0</v>
      </c>
      <c r="W465">
        <v>0</v>
      </c>
      <c r="X465" t="s">
        <v>608</v>
      </c>
      <c r="Y465">
        <v>1</v>
      </c>
      <c r="Z465">
        <v>0</v>
      </c>
      <c r="AA465">
        <v>50</v>
      </c>
      <c r="AB465">
        <v>25</v>
      </c>
      <c r="AC465">
        <v>0.4</v>
      </c>
    </row>
    <row r="466" spans="1:29">
      <c r="A466">
        <v>1085051</v>
      </c>
      <c r="B466">
        <v>2001</v>
      </c>
      <c r="C466">
        <v>86</v>
      </c>
      <c r="D466" t="s">
        <v>586</v>
      </c>
      <c r="E466">
        <f t="shared" si="51"/>
        <v>4200</v>
      </c>
      <c r="F466">
        <f t="shared" si="52"/>
        <v>4200</v>
      </c>
      <c r="G466" s="2">
        <v>5</v>
      </c>
      <c r="H466">
        <v>0</v>
      </c>
      <c r="I466">
        <v>0</v>
      </c>
      <c r="J466">
        <v>0</v>
      </c>
      <c r="K466">
        <v>0</v>
      </c>
      <c r="L466">
        <v>645798</v>
      </c>
      <c r="M466">
        <v>1560</v>
      </c>
      <c r="N466">
        <v>119405</v>
      </c>
      <c r="O466">
        <v>143286</v>
      </c>
      <c r="P466">
        <v>21000</v>
      </c>
      <c r="Q466">
        <v>6400</v>
      </c>
      <c r="R466">
        <v>6400</v>
      </c>
      <c r="S466">
        <v>0</v>
      </c>
      <c r="T466">
        <v>0</v>
      </c>
      <c r="U466">
        <v>2760</v>
      </c>
      <c r="V466">
        <v>0</v>
      </c>
      <c r="W466">
        <v>0</v>
      </c>
      <c r="X466" t="s">
        <v>611</v>
      </c>
      <c r="Y466">
        <v>1</v>
      </c>
      <c r="Z466">
        <v>0</v>
      </c>
      <c r="AA466">
        <v>50</v>
      </c>
      <c r="AB466">
        <v>25</v>
      </c>
      <c r="AC466">
        <v>0.4</v>
      </c>
    </row>
    <row r="467" spans="1:29">
      <c r="A467">
        <f>A466+1</f>
        <v>1085052</v>
      </c>
      <c r="B467">
        <f>B466</f>
        <v>2001</v>
      </c>
      <c r="C467">
        <f>C466</f>
        <v>86</v>
      </c>
      <c r="D467" t="s">
        <v>588</v>
      </c>
      <c r="E467">
        <f t="shared" ref="E467:E469" si="73">E466</f>
        <v>4200</v>
      </c>
      <c r="F467">
        <f t="shared" ref="F467:F469" si="74">F466</f>
        <v>4200</v>
      </c>
      <c r="G467" s="2">
        <v>2</v>
      </c>
      <c r="H467">
        <f t="shared" ref="H467:H469" si="75">H466</f>
        <v>0</v>
      </c>
      <c r="I467">
        <f t="shared" ref="I467:I469" si="76">I466</f>
        <v>0</v>
      </c>
      <c r="J467">
        <f t="shared" ref="J467:J469" si="77">J466</f>
        <v>0</v>
      </c>
      <c r="K467">
        <f t="shared" ref="K467:K469" si="78">K466</f>
        <v>0</v>
      </c>
      <c r="L467">
        <v>602745</v>
      </c>
      <c r="M467">
        <v>1248</v>
      </c>
      <c r="N467">
        <v>127934</v>
      </c>
      <c r="O467">
        <v>153521</v>
      </c>
      <c r="P467">
        <v>21000</v>
      </c>
      <c r="Q467">
        <v>6400</v>
      </c>
      <c r="R467">
        <v>6400</v>
      </c>
      <c r="S467">
        <v>0</v>
      </c>
      <c r="T467">
        <v>0</v>
      </c>
      <c r="U467">
        <v>2760</v>
      </c>
      <c r="V467">
        <v>0</v>
      </c>
      <c r="W467">
        <v>0</v>
      </c>
      <c r="X467" t="s">
        <v>610</v>
      </c>
      <c r="Y467">
        <v>1</v>
      </c>
      <c r="Z467">
        <v>0</v>
      </c>
      <c r="AA467">
        <v>50</v>
      </c>
      <c r="AB467">
        <v>25</v>
      </c>
      <c r="AC467">
        <v>0.4</v>
      </c>
    </row>
    <row r="468" spans="1:29">
      <c r="A468">
        <f t="shared" ref="A468:A469" si="79">A467+1</f>
        <v>1085053</v>
      </c>
      <c r="B468">
        <f t="shared" ref="B468:B469" si="80">B467</f>
        <v>2001</v>
      </c>
      <c r="C468">
        <f t="shared" ref="C468:C469" si="81">C467</f>
        <v>86</v>
      </c>
      <c r="D468" t="s">
        <v>589</v>
      </c>
      <c r="E468">
        <f t="shared" si="73"/>
        <v>4200</v>
      </c>
      <c r="F468">
        <f t="shared" si="74"/>
        <v>4200</v>
      </c>
      <c r="G468" s="2">
        <v>26</v>
      </c>
      <c r="H468">
        <f t="shared" si="75"/>
        <v>0</v>
      </c>
      <c r="I468">
        <f t="shared" si="76"/>
        <v>0</v>
      </c>
      <c r="J468">
        <f t="shared" si="77"/>
        <v>0</v>
      </c>
      <c r="K468">
        <f t="shared" si="78"/>
        <v>0</v>
      </c>
      <c r="L468">
        <v>631447</v>
      </c>
      <c r="M468">
        <v>1560</v>
      </c>
      <c r="N468">
        <v>153520</v>
      </c>
      <c r="O468">
        <v>184224</v>
      </c>
      <c r="P468">
        <v>21000</v>
      </c>
      <c r="Q468">
        <v>6400</v>
      </c>
      <c r="R468">
        <v>6400</v>
      </c>
      <c r="S468">
        <v>0</v>
      </c>
      <c r="T468">
        <v>0</v>
      </c>
      <c r="U468">
        <v>2760</v>
      </c>
      <c r="V468">
        <v>0</v>
      </c>
      <c r="W468">
        <v>0</v>
      </c>
      <c r="X468" t="s">
        <v>609</v>
      </c>
      <c r="Y468">
        <v>1</v>
      </c>
      <c r="Z468">
        <v>0</v>
      </c>
      <c r="AA468">
        <v>50</v>
      </c>
      <c r="AB468">
        <v>25</v>
      </c>
      <c r="AC468">
        <v>0.4</v>
      </c>
    </row>
    <row r="469" spans="1:29">
      <c r="A469">
        <f t="shared" si="79"/>
        <v>1085054</v>
      </c>
      <c r="B469">
        <f t="shared" si="80"/>
        <v>2001</v>
      </c>
      <c r="C469">
        <f t="shared" si="81"/>
        <v>86</v>
      </c>
      <c r="D469" t="s">
        <v>590</v>
      </c>
      <c r="E469">
        <f t="shared" si="73"/>
        <v>4200</v>
      </c>
      <c r="F469">
        <f t="shared" si="74"/>
        <v>4200</v>
      </c>
      <c r="G469" s="2">
        <v>14</v>
      </c>
      <c r="H469">
        <f t="shared" si="75"/>
        <v>0</v>
      </c>
      <c r="I469">
        <f t="shared" si="76"/>
        <v>0</v>
      </c>
      <c r="J469">
        <f t="shared" si="77"/>
        <v>0</v>
      </c>
      <c r="K469">
        <f t="shared" si="78"/>
        <v>0</v>
      </c>
      <c r="L469">
        <v>617096</v>
      </c>
      <c r="M469">
        <v>1560</v>
      </c>
      <c r="N469">
        <v>153520</v>
      </c>
      <c r="O469">
        <v>184224</v>
      </c>
      <c r="P469">
        <v>21000</v>
      </c>
      <c r="Q469">
        <v>6400</v>
      </c>
      <c r="R469">
        <v>6400</v>
      </c>
      <c r="S469">
        <v>0</v>
      </c>
      <c r="T469">
        <v>0</v>
      </c>
      <c r="U469">
        <v>2760</v>
      </c>
      <c r="V469">
        <v>0</v>
      </c>
      <c r="W469">
        <v>0</v>
      </c>
      <c r="X469" t="s">
        <v>612</v>
      </c>
      <c r="Y469">
        <v>1</v>
      </c>
      <c r="Z469">
        <v>0</v>
      </c>
      <c r="AA469">
        <v>50</v>
      </c>
      <c r="AB469">
        <v>25</v>
      </c>
      <c r="AC469">
        <v>0.4</v>
      </c>
    </row>
    <row r="470" spans="1:29">
      <c r="A470">
        <v>1085061</v>
      </c>
      <c r="B470">
        <v>2001</v>
      </c>
      <c r="C470">
        <v>87</v>
      </c>
      <c r="D470" t="s">
        <v>570</v>
      </c>
      <c r="E470">
        <f t="shared" si="51"/>
        <v>4400</v>
      </c>
      <c r="F470">
        <f t="shared" si="52"/>
        <v>4400</v>
      </c>
      <c r="G470" s="2">
        <v>8</v>
      </c>
      <c r="H470">
        <v>0</v>
      </c>
      <c r="I470">
        <v>0</v>
      </c>
      <c r="J470">
        <v>0</v>
      </c>
      <c r="K470">
        <v>0</v>
      </c>
      <c r="L470">
        <v>1581905</v>
      </c>
      <c r="M470">
        <v>1569.9999999999998</v>
      </c>
      <c r="N470">
        <v>408577</v>
      </c>
      <c r="O470">
        <v>490292</v>
      </c>
      <c r="P470">
        <v>22000</v>
      </c>
      <c r="Q470">
        <v>6800</v>
      </c>
      <c r="R470">
        <v>6800</v>
      </c>
      <c r="S470">
        <v>0</v>
      </c>
      <c r="T470">
        <v>0</v>
      </c>
      <c r="U470">
        <v>2824</v>
      </c>
      <c r="V470">
        <v>0</v>
      </c>
      <c r="W470">
        <v>0</v>
      </c>
      <c r="X470" t="s">
        <v>613</v>
      </c>
      <c r="Y470">
        <v>1</v>
      </c>
      <c r="Z470">
        <v>0</v>
      </c>
      <c r="AA470">
        <v>50</v>
      </c>
      <c r="AB470">
        <v>25</v>
      </c>
      <c r="AC470">
        <v>0.4</v>
      </c>
    </row>
    <row r="471" spans="1:29">
      <c r="A471">
        <v>1085071</v>
      </c>
      <c r="B471">
        <v>2001</v>
      </c>
      <c r="C471">
        <v>87</v>
      </c>
      <c r="D471" t="s">
        <v>571</v>
      </c>
      <c r="E471">
        <f t="shared" si="51"/>
        <v>4400</v>
      </c>
      <c r="F471">
        <f t="shared" si="52"/>
        <v>4400</v>
      </c>
      <c r="G471" s="2">
        <v>6</v>
      </c>
      <c r="H471">
        <v>0</v>
      </c>
      <c r="I471">
        <v>0</v>
      </c>
      <c r="J471">
        <v>0</v>
      </c>
      <c r="K471">
        <v>0</v>
      </c>
      <c r="L471">
        <v>1580593</v>
      </c>
      <c r="M471">
        <v>1569.9999999999998</v>
      </c>
      <c r="N471">
        <v>459932</v>
      </c>
      <c r="O471">
        <v>551918</v>
      </c>
      <c r="P471">
        <v>22000</v>
      </c>
      <c r="Q471">
        <v>6800</v>
      </c>
      <c r="R471">
        <v>6800</v>
      </c>
      <c r="S471">
        <v>0</v>
      </c>
      <c r="T471">
        <v>0</v>
      </c>
      <c r="U471">
        <v>2824</v>
      </c>
      <c r="V471">
        <v>0</v>
      </c>
      <c r="W471">
        <v>0</v>
      </c>
      <c r="X471" t="s">
        <v>614</v>
      </c>
      <c r="Y471">
        <v>1</v>
      </c>
      <c r="Z471">
        <v>0</v>
      </c>
      <c r="AA471">
        <v>50</v>
      </c>
      <c r="AB471">
        <v>25</v>
      </c>
      <c r="AC471">
        <v>0.4</v>
      </c>
    </row>
    <row r="472" spans="1:29">
      <c r="A472">
        <v>1085081</v>
      </c>
      <c r="B472">
        <v>2001</v>
      </c>
      <c r="C472">
        <v>88</v>
      </c>
      <c r="D472" t="s">
        <v>572</v>
      </c>
      <c r="E472">
        <f t="shared" si="51"/>
        <v>4600</v>
      </c>
      <c r="F472">
        <f t="shared" si="52"/>
        <v>4600</v>
      </c>
      <c r="G472" s="2">
        <v>7</v>
      </c>
      <c r="H472">
        <v>0</v>
      </c>
      <c r="I472">
        <v>0</v>
      </c>
      <c r="J472">
        <v>0</v>
      </c>
      <c r="K472">
        <v>0</v>
      </c>
      <c r="L472">
        <v>1848765</v>
      </c>
      <c r="M472">
        <v>1580</v>
      </c>
      <c r="N472">
        <v>647178</v>
      </c>
      <c r="O472">
        <v>776614</v>
      </c>
      <c r="P472">
        <v>23000</v>
      </c>
      <c r="Q472">
        <v>7200</v>
      </c>
      <c r="R472">
        <v>7200</v>
      </c>
      <c r="S472">
        <v>0</v>
      </c>
      <c r="T472">
        <v>0</v>
      </c>
      <c r="U472">
        <v>2889</v>
      </c>
      <c r="V472">
        <v>0</v>
      </c>
      <c r="W472">
        <v>0</v>
      </c>
      <c r="X472" t="s">
        <v>615</v>
      </c>
      <c r="Y472">
        <v>1</v>
      </c>
      <c r="Z472">
        <v>0</v>
      </c>
      <c r="AA472">
        <v>50</v>
      </c>
      <c r="AB472">
        <v>25</v>
      </c>
      <c r="AC472">
        <v>0.4</v>
      </c>
    </row>
    <row r="473" spans="1:29">
      <c r="A473">
        <v>1085091</v>
      </c>
      <c r="B473">
        <v>2001</v>
      </c>
      <c r="C473">
        <v>89</v>
      </c>
      <c r="D473" t="s">
        <v>573</v>
      </c>
      <c r="E473">
        <f t="shared" si="51"/>
        <v>4800</v>
      </c>
      <c r="F473">
        <f t="shared" si="52"/>
        <v>4800</v>
      </c>
      <c r="G473" s="2" t="s">
        <v>633</v>
      </c>
      <c r="H473">
        <v>0</v>
      </c>
      <c r="I473">
        <v>0</v>
      </c>
      <c r="J473">
        <v>0</v>
      </c>
      <c r="K473">
        <v>0</v>
      </c>
      <c r="L473">
        <v>2355699</v>
      </c>
      <c r="M473">
        <v>4770</v>
      </c>
      <c r="N473">
        <v>909422</v>
      </c>
      <c r="O473">
        <v>1091306</v>
      </c>
      <c r="P473">
        <v>24000</v>
      </c>
      <c r="Q473">
        <v>7600</v>
      </c>
      <c r="R473">
        <v>7600</v>
      </c>
      <c r="S473">
        <v>0</v>
      </c>
      <c r="T473">
        <v>4235</v>
      </c>
      <c r="U473">
        <v>3230</v>
      </c>
      <c r="V473">
        <v>0</v>
      </c>
      <c r="W473">
        <v>0</v>
      </c>
      <c r="X473" t="s">
        <v>616</v>
      </c>
      <c r="Y473">
        <v>1</v>
      </c>
      <c r="Z473">
        <v>0</v>
      </c>
      <c r="AA473">
        <v>50</v>
      </c>
      <c r="AB473">
        <v>25</v>
      </c>
      <c r="AC473">
        <v>0.4</v>
      </c>
    </row>
    <row r="474" spans="1:29">
      <c r="A474">
        <v>1090011</v>
      </c>
      <c r="B474">
        <v>2001</v>
      </c>
      <c r="C474">
        <v>90</v>
      </c>
      <c r="D474" t="s">
        <v>567</v>
      </c>
      <c r="E474">
        <f t="shared" si="51"/>
        <v>5000</v>
      </c>
      <c r="F474">
        <f t="shared" si="52"/>
        <v>5000</v>
      </c>
      <c r="G474" s="2">
        <v>19</v>
      </c>
      <c r="H474">
        <v>0</v>
      </c>
      <c r="I474">
        <v>0</v>
      </c>
      <c r="J474">
        <v>0</v>
      </c>
      <c r="K474">
        <v>0</v>
      </c>
      <c r="L474">
        <v>1176985</v>
      </c>
      <c r="M474">
        <v>1600</v>
      </c>
      <c r="N474">
        <v>231786</v>
      </c>
      <c r="O474">
        <v>278143</v>
      </c>
      <c r="P474">
        <v>25000</v>
      </c>
      <c r="Q474">
        <v>8000</v>
      </c>
      <c r="R474">
        <v>8000</v>
      </c>
      <c r="S474">
        <v>0</v>
      </c>
      <c r="T474">
        <v>0</v>
      </c>
      <c r="U474">
        <v>3021</v>
      </c>
      <c r="V474">
        <v>0</v>
      </c>
      <c r="W474">
        <v>0</v>
      </c>
      <c r="X474" t="s">
        <v>605</v>
      </c>
      <c r="Y474">
        <v>1</v>
      </c>
      <c r="Z474">
        <v>0</v>
      </c>
      <c r="AA474">
        <v>50</v>
      </c>
      <c r="AB474">
        <v>25</v>
      </c>
      <c r="AC474">
        <v>0.4</v>
      </c>
    </row>
    <row r="475" spans="1:29">
      <c r="A475">
        <v>1090021</v>
      </c>
      <c r="B475">
        <v>2001</v>
      </c>
      <c r="C475">
        <v>90</v>
      </c>
      <c r="D475" t="s">
        <v>568</v>
      </c>
      <c r="E475">
        <f t="shared" si="51"/>
        <v>5000</v>
      </c>
      <c r="F475">
        <f t="shared" si="52"/>
        <v>5000</v>
      </c>
      <c r="G475" s="2" t="s">
        <v>632</v>
      </c>
      <c r="H475">
        <v>0</v>
      </c>
      <c r="I475">
        <v>0</v>
      </c>
      <c r="J475">
        <v>0</v>
      </c>
      <c r="K475">
        <v>0</v>
      </c>
      <c r="L475">
        <v>1317797</v>
      </c>
      <c r="M475">
        <v>4800</v>
      </c>
      <c r="N475">
        <v>361881</v>
      </c>
      <c r="O475">
        <v>434257</v>
      </c>
      <c r="P475">
        <v>25000</v>
      </c>
      <c r="Q475">
        <v>8000</v>
      </c>
      <c r="R475">
        <v>8000</v>
      </c>
      <c r="S475">
        <v>0</v>
      </c>
      <c r="T475">
        <v>0</v>
      </c>
      <c r="U475">
        <v>3021</v>
      </c>
      <c r="V475">
        <v>0</v>
      </c>
      <c r="W475">
        <v>0</v>
      </c>
      <c r="X475" t="s">
        <v>606</v>
      </c>
      <c r="Y475">
        <v>1</v>
      </c>
      <c r="Z475">
        <v>0</v>
      </c>
      <c r="AA475">
        <v>50</v>
      </c>
      <c r="AB475">
        <v>25</v>
      </c>
      <c r="AC475">
        <v>0.4</v>
      </c>
    </row>
    <row r="476" spans="1:29">
      <c r="A476">
        <v>1090031</v>
      </c>
      <c r="B476">
        <v>2001</v>
      </c>
      <c r="C476">
        <v>91</v>
      </c>
      <c r="D476" t="s">
        <v>551</v>
      </c>
      <c r="E476">
        <f t="shared" si="51"/>
        <v>5200</v>
      </c>
      <c r="F476">
        <f t="shared" si="52"/>
        <v>5200</v>
      </c>
      <c r="G476" s="2" t="s">
        <v>628</v>
      </c>
      <c r="H476">
        <v>0</v>
      </c>
      <c r="I476">
        <v>0</v>
      </c>
      <c r="J476">
        <v>0</v>
      </c>
      <c r="K476">
        <v>0</v>
      </c>
      <c r="L476">
        <v>1037050</v>
      </c>
      <c r="M476">
        <v>103705</v>
      </c>
      <c r="N476">
        <v>642496</v>
      </c>
      <c r="O476">
        <v>770995</v>
      </c>
      <c r="P476">
        <v>26000</v>
      </c>
      <c r="Q476">
        <v>8400</v>
      </c>
      <c r="R476">
        <v>8400</v>
      </c>
      <c r="S476">
        <v>0</v>
      </c>
      <c r="T476">
        <v>0</v>
      </c>
      <c r="U476">
        <v>3088</v>
      </c>
      <c r="V476">
        <v>0</v>
      </c>
      <c r="W476">
        <v>0</v>
      </c>
      <c r="X476" t="s">
        <v>607</v>
      </c>
      <c r="Y476">
        <v>1</v>
      </c>
      <c r="Z476">
        <v>0</v>
      </c>
      <c r="AA476">
        <v>50</v>
      </c>
      <c r="AB476">
        <v>25</v>
      </c>
      <c r="AC476">
        <v>0.4</v>
      </c>
    </row>
    <row r="477" spans="1:29">
      <c r="A477">
        <v>1090041</v>
      </c>
      <c r="B477">
        <v>2001</v>
      </c>
      <c r="C477">
        <v>91</v>
      </c>
      <c r="D477" t="s">
        <v>569</v>
      </c>
      <c r="E477">
        <f t="shared" si="51"/>
        <v>5200</v>
      </c>
      <c r="F477">
        <f t="shared" si="52"/>
        <v>5200</v>
      </c>
      <c r="G477" s="2">
        <v>29</v>
      </c>
      <c r="H477">
        <v>0</v>
      </c>
      <c r="I477">
        <v>0</v>
      </c>
      <c r="J477">
        <v>0</v>
      </c>
      <c r="K477">
        <v>0</v>
      </c>
      <c r="L477">
        <v>1572461</v>
      </c>
      <c r="M477">
        <v>1609.9999999999998</v>
      </c>
      <c r="N477">
        <v>491713</v>
      </c>
      <c r="O477">
        <v>590056</v>
      </c>
      <c r="P477">
        <v>26000</v>
      </c>
      <c r="Q477">
        <v>8400</v>
      </c>
      <c r="R477">
        <v>8400</v>
      </c>
      <c r="S477">
        <v>0</v>
      </c>
      <c r="T477">
        <v>0</v>
      </c>
      <c r="U477">
        <v>3088</v>
      </c>
      <c r="V477">
        <v>0</v>
      </c>
      <c r="W477">
        <v>0</v>
      </c>
      <c r="X477" t="s">
        <v>608</v>
      </c>
      <c r="Y477">
        <v>1</v>
      </c>
      <c r="Z477">
        <v>0</v>
      </c>
      <c r="AA477">
        <v>50</v>
      </c>
      <c r="AB477">
        <v>25</v>
      </c>
      <c r="AC477">
        <v>0.4</v>
      </c>
    </row>
    <row r="478" spans="1:29">
      <c r="A478">
        <v>1090051</v>
      </c>
      <c r="B478">
        <v>2001</v>
      </c>
      <c r="C478">
        <v>91</v>
      </c>
      <c r="D478" t="s">
        <v>586</v>
      </c>
      <c r="E478">
        <f t="shared" si="51"/>
        <v>5200</v>
      </c>
      <c r="F478">
        <f t="shared" si="52"/>
        <v>5200</v>
      </c>
      <c r="G478" s="2">
        <v>5</v>
      </c>
      <c r="H478">
        <v>0</v>
      </c>
      <c r="I478">
        <v>0</v>
      </c>
      <c r="J478">
        <v>0</v>
      </c>
      <c r="K478">
        <v>0</v>
      </c>
      <c r="L478">
        <v>808415</v>
      </c>
      <c r="M478">
        <v>1609.9999999999998</v>
      </c>
      <c r="N478">
        <v>158053</v>
      </c>
      <c r="O478">
        <v>189664</v>
      </c>
      <c r="P478">
        <v>26000</v>
      </c>
      <c r="Q478">
        <v>8400</v>
      </c>
      <c r="R478">
        <v>8400</v>
      </c>
      <c r="S478">
        <v>0</v>
      </c>
      <c r="T478">
        <v>0</v>
      </c>
      <c r="U478">
        <v>3088</v>
      </c>
      <c r="V478">
        <v>0</v>
      </c>
      <c r="W478">
        <v>0</v>
      </c>
      <c r="X478" t="s">
        <v>611</v>
      </c>
      <c r="Y478">
        <v>1</v>
      </c>
      <c r="Z478">
        <v>0</v>
      </c>
      <c r="AA478">
        <v>50</v>
      </c>
      <c r="AB478">
        <v>25</v>
      </c>
      <c r="AC478">
        <v>0.4</v>
      </c>
    </row>
    <row r="479" spans="1:29">
      <c r="A479">
        <f>A478+1</f>
        <v>1090052</v>
      </c>
      <c r="B479">
        <f>B478</f>
        <v>2001</v>
      </c>
      <c r="C479">
        <f>C478</f>
        <v>91</v>
      </c>
      <c r="D479" t="s">
        <v>588</v>
      </c>
      <c r="E479">
        <f t="shared" ref="E479:E481" si="82">E478</f>
        <v>5200</v>
      </c>
      <c r="F479">
        <f t="shared" ref="F479:F481" si="83">F478</f>
        <v>5200</v>
      </c>
      <c r="G479" s="2">
        <v>2</v>
      </c>
      <c r="H479">
        <f t="shared" ref="H479:H481" si="84">H478</f>
        <v>0</v>
      </c>
      <c r="I479">
        <f t="shared" ref="I479:I481" si="85">I478</f>
        <v>0</v>
      </c>
      <c r="J479">
        <f t="shared" ref="J479:J481" si="86">J478</f>
        <v>0</v>
      </c>
      <c r="K479">
        <f t="shared" ref="K479:K481" si="87">K478</f>
        <v>0</v>
      </c>
      <c r="L479">
        <v>754521</v>
      </c>
      <c r="M479">
        <v>1288</v>
      </c>
      <c r="N479">
        <v>169342</v>
      </c>
      <c r="O479">
        <v>203210</v>
      </c>
      <c r="P479">
        <v>26000</v>
      </c>
      <c r="Q479">
        <v>8400</v>
      </c>
      <c r="R479">
        <v>8400</v>
      </c>
      <c r="S479">
        <v>0</v>
      </c>
      <c r="T479">
        <v>0</v>
      </c>
      <c r="U479">
        <v>3088</v>
      </c>
      <c r="V479">
        <v>0</v>
      </c>
      <c r="W479">
        <v>0</v>
      </c>
      <c r="X479" t="s">
        <v>610</v>
      </c>
      <c r="Y479">
        <v>1</v>
      </c>
      <c r="Z479">
        <v>0</v>
      </c>
      <c r="AA479">
        <v>50</v>
      </c>
      <c r="AB479">
        <v>25</v>
      </c>
      <c r="AC479">
        <v>0.4</v>
      </c>
    </row>
    <row r="480" spans="1:29">
      <c r="A480">
        <f t="shared" ref="A480:A481" si="88">A479+1</f>
        <v>1090053</v>
      </c>
      <c r="B480">
        <f t="shared" ref="B480:B481" si="89">B479</f>
        <v>2001</v>
      </c>
      <c r="C480">
        <f t="shared" ref="C480:C481" si="90">C479</f>
        <v>91</v>
      </c>
      <c r="D480" t="s">
        <v>589</v>
      </c>
      <c r="E480">
        <f t="shared" si="82"/>
        <v>5200</v>
      </c>
      <c r="F480">
        <f t="shared" si="83"/>
        <v>5200</v>
      </c>
      <c r="G480" s="2">
        <v>26</v>
      </c>
      <c r="H480">
        <f t="shared" si="84"/>
        <v>0</v>
      </c>
      <c r="I480">
        <f t="shared" si="85"/>
        <v>0</v>
      </c>
      <c r="J480">
        <f t="shared" si="86"/>
        <v>0</v>
      </c>
      <c r="K480">
        <f t="shared" si="87"/>
        <v>0</v>
      </c>
      <c r="L480">
        <v>790450</v>
      </c>
      <c r="M480">
        <v>1609.9999999999998</v>
      </c>
      <c r="N480">
        <v>203211</v>
      </c>
      <c r="O480">
        <v>243853</v>
      </c>
      <c r="P480">
        <v>26000</v>
      </c>
      <c r="Q480">
        <v>8400</v>
      </c>
      <c r="R480">
        <v>8400</v>
      </c>
      <c r="S480">
        <v>0</v>
      </c>
      <c r="T480">
        <v>0</v>
      </c>
      <c r="U480">
        <v>3088</v>
      </c>
      <c r="V480">
        <v>0</v>
      </c>
      <c r="W480">
        <v>0</v>
      </c>
      <c r="X480" t="s">
        <v>609</v>
      </c>
      <c r="Y480">
        <v>1</v>
      </c>
      <c r="Z480">
        <v>0</v>
      </c>
      <c r="AA480">
        <v>50</v>
      </c>
      <c r="AB480">
        <v>25</v>
      </c>
      <c r="AC480">
        <v>0.4</v>
      </c>
    </row>
    <row r="481" spans="1:29">
      <c r="A481">
        <f t="shared" si="88"/>
        <v>1090054</v>
      </c>
      <c r="B481">
        <f t="shared" si="89"/>
        <v>2001</v>
      </c>
      <c r="C481">
        <f t="shared" si="90"/>
        <v>91</v>
      </c>
      <c r="D481" t="s">
        <v>590</v>
      </c>
      <c r="E481">
        <f t="shared" si="82"/>
        <v>5200</v>
      </c>
      <c r="F481">
        <f t="shared" si="83"/>
        <v>5200</v>
      </c>
      <c r="G481" s="2">
        <v>14</v>
      </c>
      <c r="H481">
        <f t="shared" si="84"/>
        <v>0</v>
      </c>
      <c r="I481">
        <f t="shared" si="85"/>
        <v>0</v>
      </c>
      <c r="J481">
        <f t="shared" si="86"/>
        <v>0</v>
      </c>
      <c r="K481">
        <f t="shared" si="87"/>
        <v>0</v>
      </c>
      <c r="L481">
        <v>772485</v>
      </c>
      <c r="M481">
        <v>1609.9999999999998</v>
      </c>
      <c r="N481">
        <v>203211</v>
      </c>
      <c r="O481">
        <v>243853</v>
      </c>
      <c r="P481">
        <v>26000</v>
      </c>
      <c r="Q481">
        <v>8400</v>
      </c>
      <c r="R481">
        <v>8400</v>
      </c>
      <c r="S481">
        <v>0</v>
      </c>
      <c r="T481">
        <v>0</v>
      </c>
      <c r="U481">
        <v>3088</v>
      </c>
      <c r="V481">
        <v>0</v>
      </c>
      <c r="W481">
        <v>0</v>
      </c>
      <c r="X481" t="s">
        <v>612</v>
      </c>
      <c r="Y481">
        <v>1</v>
      </c>
      <c r="Z481">
        <v>0</v>
      </c>
      <c r="AA481">
        <v>50</v>
      </c>
      <c r="AB481">
        <v>25</v>
      </c>
      <c r="AC481">
        <v>0.4</v>
      </c>
    </row>
    <row r="482" spans="1:29">
      <c r="A482">
        <v>1090061</v>
      </c>
      <c r="B482">
        <v>2001</v>
      </c>
      <c r="C482">
        <v>92</v>
      </c>
      <c r="D482" t="s">
        <v>570</v>
      </c>
      <c r="E482">
        <f t="shared" si="51"/>
        <v>5400</v>
      </c>
      <c r="F482">
        <f t="shared" si="52"/>
        <v>5400</v>
      </c>
      <c r="G482" s="2">
        <v>8</v>
      </c>
      <c r="H482">
        <v>0</v>
      </c>
      <c r="I482">
        <v>0</v>
      </c>
      <c r="J482">
        <v>0</v>
      </c>
      <c r="K482">
        <v>0</v>
      </c>
      <c r="L482">
        <v>1997050</v>
      </c>
      <c r="M482">
        <v>1620</v>
      </c>
      <c r="N482">
        <v>542807</v>
      </c>
      <c r="O482">
        <v>651368</v>
      </c>
      <c r="P482">
        <v>27000</v>
      </c>
      <c r="Q482">
        <v>8800</v>
      </c>
      <c r="R482">
        <v>8800</v>
      </c>
      <c r="S482">
        <v>0</v>
      </c>
      <c r="T482">
        <v>0</v>
      </c>
      <c r="U482">
        <v>3156</v>
      </c>
      <c r="V482">
        <v>0</v>
      </c>
      <c r="W482">
        <v>0</v>
      </c>
      <c r="X482" t="s">
        <v>613</v>
      </c>
      <c r="Y482">
        <v>1</v>
      </c>
      <c r="Z482">
        <v>0</v>
      </c>
      <c r="AA482">
        <v>50</v>
      </c>
      <c r="AB482">
        <v>25</v>
      </c>
      <c r="AC482">
        <v>0.4</v>
      </c>
    </row>
    <row r="483" spans="1:29">
      <c r="A483">
        <v>1090071</v>
      </c>
      <c r="B483">
        <v>2001</v>
      </c>
      <c r="C483">
        <v>92</v>
      </c>
      <c r="D483" t="s">
        <v>571</v>
      </c>
      <c r="E483">
        <f t="shared" si="51"/>
        <v>5400</v>
      </c>
      <c r="F483">
        <f t="shared" si="52"/>
        <v>5400</v>
      </c>
      <c r="G483" s="2">
        <v>6</v>
      </c>
      <c r="H483">
        <v>0</v>
      </c>
      <c r="I483">
        <v>0</v>
      </c>
      <c r="J483">
        <v>0</v>
      </c>
      <c r="K483">
        <v>0</v>
      </c>
      <c r="L483">
        <v>1996193</v>
      </c>
      <c r="M483">
        <v>1620</v>
      </c>
      <c r="N483">
        <v>611989</v>
      </c>
      <c r="O483">
        <v>734387</v>
      </c>
      <c r="P483">
        <v>27000</v>
      </c>
      <c r="Q483">
        <v>8800</v>
      </c>
      <c r="R483">
        <v>8800</v>
      </c>
      <c r="S483">
        <v>0</v>
      </c>
      <c r="T483">
        <v>0</v>
      </c>
      <c r="U483">
        <v>3156</v>
      </c>
      <c r="V483">
        <v>0</v>
      </c>
      <c r="W483">
        <v>0</v>
      </c>
      <c r="X483" t="s">
        <v>614</v>
      </c>
      <c r="Y483">
        <v>1</v>
      </c>
      <c r="Z483">
        <v>0</v>
      </c>
      <c r="AA483">
        <v>50</v>
      </c>
      <c r="AB483">
        <v>25</v>
      </c>
      <c r="AC483">
        <v>0.4</v>
      </c>
    </row>
    <row r="484" spans="1:29">
      <c r="A484">
        <v>1090081</v>
      </c>
      <c r="B484">
        <v>2001</v>
      </c>
      <c r="C484">
        <v>93</v>
      </c>
      <c r="D484" t="s">
        <v>572</v>
      </c>
      <c r="E484">
        <f t="shared" si="51"/>
        <v>5600</v>
      </c>
      <c r="F484">
        <f t="shared" si="52"/>
        <v>5600</v>
      </c>
      <c r="G484" s="2">
        <v>7</v>
      </c>
      <c r="H484">
        <v>0</v>
      </c>
      <c r="I484">
        <v>0</v>
      </c>
      <c r="J484">
        <v>0</v>
      </c>
      <c r="K484">
        <v>0</v>
      </c>
      <c r="L484">
        <v>2352196</v>
      </c>
      <c r="M484">
        <v>1630</v>
      </c>
      <c r="N484">
        <v>862484</v>
      </c>
      <c r="O484">
        <v>1034981</v>
      </c>
      <c r="P484">
        <v>28000</v>
      </c>
      <c r="Q484">
        <v>9200</v>
      </c>
      <c r="R484">
        <v>9200</v>
      </c>
      <c r="S484">
        <v>0</v>
      </c>
      <c r="T484">
        <v>0</v>
      </c>
      <c r="U484">
        <v>3225</v>
      </c>
      <c r="V484">
        <v>0</v>
      </c>
      <c r="W484">
        <v>0</v>
      </c>
      <c r="X484" t="s">
        <v>615</v>
      </c>
      <c r="Y484">
        <v>1</v>
      </c>
      <c r="Z484">
        <v>0</v>
      </c>
      <c r="AA484">
        <v>50</v>
      </c>
      <c r="AB484">
        <v>25</v>
      </c>
      <c r="AC484">
        <v>0.4</v>
      </c>
    </row>
    <row r="485" spans="1:29">
      <c r="A485">
        <v>1090091</v>
      </c>
      <c r="B485">
        <v>2001</v>
      </c>
      <c r="C485">
        <v>94</v>
      </c>
      <c r="D485" t="s">
        <v>573</v>
      </c>
      <c r="E485">
        <f t="shared" si="51"/>
        <v>5800</v>
      </c>
      <c r="F485">
        <f t="shared" si="52"/>
        <v>5800</v>
      </c>
      <c r="G485" s="2" t="s">
        <v>633</v>
      </c>
      <c r="H485">
        <v>0</v>
      </c>
      <c r="I485">
        <v>0</v>
      </c>
      <c r="J485">
        <v>0</v>
      </c>
      <c r="K485">
        <v>0</v>
      </c>
      <c r="L485">
        <v>3017702</v>
      </c>
      <c r="M485">
        <v>4920</v>
      </c>
      <c r="N485">
        <v>1214496</v>
      </c>
      <c r="O485">
        <v>1457395</v>
      </c>
      <c r="P485">
        <v>29000</v>
      </c>
      <c r="Q485">
        <v>9600</v>
      </c>
      <c r="R485">
        <v>9600</v>
      </c>
      <c r="S485">
        <v>0</v>
      </c>
      <c r="T485">
        <v>4721</v>
      </c>
      <c r="U485">
        <v>3601</v>
      </c>
      <c r="V485">
        <v>0</v>
      </c>
      <c r="W485">
        <v>0</v>
      </c>
      <c r="X485" t="s">
        <v>616</v>
      </c>
      <c r="Y485">
        <v>1</v>
      </c>
      <c r="Z485">
        <v>0</v>
      </c>
      <c r="AA485">
        <v>50</v>
      </c>
      <c r="AB485">
        <v>25</v>
      </c>
      <c r="AC485">
        <v>0.4</v>
      </c>
    </row>
    <row r="486" spans="1:29">
      <c r="A486">
        <v>1095011</v>
      </c>
      <c r="B486">
        <v>2001</v>
      </c>
      <c r="C486">
        <v>95</v>
      </c>
      <c r="D486" t="s">
        <v>567</v>
      </c>
      <c r="E486">
        <f t="shared" si="51"/>
        <v>6000</v>
      </c>
      <c r="F486">
        <f t="shared" si="52"/>
        <v>6000</v>
      </c>
      <c r="G486" s="2">
        <v>19</v>
      </c>
      <c r="H486">
        <v>0</v>
      </c>
      <c r="I486">
        <v>0</v>
      </c>
      <c r="J486">
        <v>0</v>
      </c>
      <c r="K486">
        <v>0</v>
      </c>
      <c r="L486">
        <v>1488717</v>
      </c>
      <c r="M486">
        <v>1650</v>
      </c>
      <c r="N486">
        <v>300094</v>
      </c>
      <c r="O486">
        <v>360113</v>
      </c>
      <c r="P486">
        <v>30000</v>
      </c>
      <c r="Q486">
        <v>10000</v>
      </c>
      <c r="R486">
        <v>10000</v>
      </c>
      <c r="S486">
        <v>0</v>
      </c>
      <c r="T486">
        <v>0</v>
      </c>
      <c r="U486">
        <v>3364</v>
      </c>
      <c r="V486">
        <v>0</v>
      </c>
      <c r="W486">
        <v>0</v>
      </c>
      <c r="X486" t="s">
        <v>605</v>
      </c>
      <c r="Y486">
        <v>1</v>
      </c>
      <c r="Z486">
        <v>0</v>
      </c>
      <c r="AA486">
        <v>50</v>
      </c>
      <c r="AB486">
        <v>25</v>
      </c>
      <c r="AC486">
        <v>0.4</v>
      </c>
    </row>
    <row r="487" spans="1:29">
      <c r="A487">
        <v>1095021</v>
      </c>
      <c r="B487">
        <v>2001</v>
      </c>
      <c r="C487">
        <v>95</v>
      </c>
      <c r="D487" t="s">
        <v>568</v>
      </c>
      <c r="E487">
        <f t="shared" si="51"/>
        <v>6000</v>
      </c>
      <c r="F487">
        <f t="shared" si="52"/>
        <v>6000</v>
      </c>
      <c r="G487" s="2" t="s">
        <v>632</v>
      </c>
      <c r="H487">
        <v>0</v>
      </c>
      <c r="I487">
        <v>0</v>
      </c>
      <c r="J487">
        <v>0</v>
      </c>
      <c r="K487">
        <v>0</v>
      </c>
      <c r="L487">
        <v>1665558</v>
      </c>
      <c r="M487">
        <v>4950</v>
      </c>
      <c r="N487">
        <v>471471</v>
      </c>
      <c r="O487">
        <v>565765</v>
      </c>
      <c r="P487">
        <v>30000</v>
      </c>
      <c r="Q487">
        <v>10000</v>
      </c>
      <c r="R487">
        <v>10000</v>
      </c>
      <c r="S487">
        <v>0</v>
      </c>
      <c r="T487">
        <v>0</v>
      </c>
      <c r="U487">
        <v>3364</v>
      </c>
      <c r="V487">
        <v>0</v>
      </c>
      <c r="W487">
        <v>0</v>
      </c>
      <c r="X487" t="s">
        <v>606</v>
      </c>
      <c r="Y487">
        <v>1</v>
      </c>
      <c r="Z487">
        <v>0</v>
      </c>
      <c r="AA487">
        <v>50</v>
      </c>
      <c r="AB487">
        <v>25</v>
      </c>
      <c r="AC487">
        <v>0.4</v>
      </c>
    </row>
    <row r="488" spans="1:29">
      <c r="A488">
        <v>1095031</v>
      </c>
      <c r="B488">
        <v>2001</v>
      </c>
      <c r="C488">
        <v>96</v>
      </c>
      <c r="D488" t="s">
        <v>551</v>
      </c>
      <c r="E488">
        <f t="shared" si="51"/>
        <v>6200</v>
      </c>
      <c r="F488">
        <f t="shared" si="52"/>
        <v>6200</v>
      </c>
      <c r="G488" s="2" t="s">
        <v>628</v>
      </c>
      <c r="H488">
        <v>0</v>
      </c>
      <c r="I488">
        <v>0</v>
      </c>
      <c r="J488">
        <v>0</v>
      </c>
      <c r="K488">
        <v>0</v>
      </c>
      <c r="L488">
        <v>1316079</v>
      </c>
      <c r="M488">
        <v>131608</v>
      </c>
      <c r="N488">
        <v>844085</v>
      </c>
      <c r="O488">
        <v>1012902</v>
      </c>
      <c r="P488">
        <v>31000</v>
      </c>
      <c r="Q488">
        <v>10400</v>
      </c>
      <c r="R488">
        <v>10400</v>
      </c>
      <c r="S488">
        <v>0</v>
      </c>
      <c r="T488">
        <v>0</v>
      </c>
      <c r="U488">
        <v>3434</v>
      </c>
      <c r="V488">
        <v>0</v>
      </c>
      <c r="W488">
        <v>0</v>
      </c>
      <c r="X488" t="s">
        <v>607</v>
      </c>
      <c r="Y488">
        <v>1</v>
      </c>
      <c r="Z488">
        <v>0</v>
      </c>
      <c r="AA488">
        <v>50</v>
      </c>
      <c r="AB488">
        <v>25</v>
      </c>
      <c r="AC488">
        <v>0.4</v>
      </c>
    </row>
    <row r="489" spans="1:29">
      <c r="A489">
        <v>1095041</v>
      </c>
      <c r="B489">
        <v>2001</v>
      </c>
      <c r="C489">
        <v>96</v>
      </c>
      <c r="D489" t="s">
        <v>569</v>
      </c>
      <c r="E489">
        <f t="shared" si="51"/>
        <v>6200</v>
      </c>
      <c r="F489">
        <f t="shared" si="52"/>
        <v>6200</v>
      </c>
      <c r="G489" s="2">
        <v>29</v>
      </c>
      <c r="H489">
        <v>0</v>
      </c>
      <c r="I489">
        <v>0</v>
      </c>
      <c r="J489">
        <v>0</v>
      </c>
      <c r="K489">
        <v>0</v>
      </c>
      <c r="L489">
        <v>1994754</v>
      </c>
      <c r="M489">
        <v>1660.0000000000002</v>
      </c>
      <c r="N489">
        <v>647042</v>
      </c>
      <c r="O489">
        <v>776450</v>
      </c>
      <c r="P489">
        <v>31000</v>
      </c>
      <c r="Q489">
        <v>10400</v>
      </c>
      <c r="R489">
        <v>10400</v>
      </c>
      <c r="S489">
        <v>0</v>
      </c>
      <c r="T489">
        <v>0</v>
      </c>
      <c r="U489">
        <v>3434</v>
      </c>
      <c r="V489">
        <v>0</v>
      </c>
      <c r="W489">
        <v>0</v>
      </c>
      <c r="X489" t="s">
        <v>608</v>
      </c>
      <c r="Y489">
        <v>1</v>
      </c>
      <c r="Z489">
        <v>0</v>
      </c>
      <c r="AA489">
        <v>50</v>
      </c>
      <c r="AB489">
        <v>25</v>
      </c>
      <c r="AC489">
        <v>0.4</v>
      </c>
    </row>
    <row r="490" spans="1:29">
      <c r="A490">
        <v>1095051</v>
      </c>
      <c r="B490">
        <v>2001</v>
      </c>
      <c r="C490">
        <v>96</v>
      </c>
      <c r="D490" t="s">
        <v>586</v>
      </c>
      <c r="E490">
        <f t="shared" si="51"/>
        <v>6200</v>
      </c>
      <c r="F490">
        <f t="shared" si="52"/>
        <v>6200</v>
      </c>
      <c r="G490" s="2">
        <v>5</v>
      </c>
      <c r="H490">
        <v>0</v>
      </c>
      <c r="I490">
        <v>0</v>
      </c>
      <c r="J490">
        <v>0</v>
      </c>
      <c r="K490">
        <v>0</v>
      </c>
      <c r="L490">
        <v>1025112</v>
      </c>
      <c r="M490">
        <v>1660.0000000000002</v>
      </c>
      <c r="N490">
        <v>208319</v>
      </c>
      <c r="O490">
        <v>249983</v>
      </c>
      <c r="P490">
        <v>31000</v>
      </c>
      <c r="Q490">
        <v>10400</v>
      </c>
      <c r="R490">
        <v>10400</v>
      </c>
      <c r="S490">
        <v>0</v>
      </c>
      <c r="T490">
        <v>0</v>
      </c>
      <c r="U490">
        <v>3434</v>
      </c>
      <c r="V490">
        <v>0</v>
      </c>
      <c r="W490">
        <v>0</v>
      </c>
      <c r="X490" t="s">
        <v>611</v>
      </c>
      <c r="Y490">
        <v>1</v>
      </c>
      <c r="Z490">
        <v>0</v>
      </c>
      <c r="AA490">
        <v>50</v>
      </c>
      <c r="AB490">
        <v>25</v>
      </c>
      <c r="AC490">
        <v>0.4</v>
      </c>
    </row>
    <row r="491" spans="1:29">
      <c r="A491">
        <f>A490+1</f>
        <v>1095052</v>
      </c>
      <c r="B491">
        <f>B490</f>
        <v>2001</v>
      </c>
      <c r="C491">
        <f>C490</f>
        <v>96</v>
      </c>
      <c r="D491" t="s">
        <v>588</v>
      </c>
      <c r="E491">
        <f t="shared" ref="E491:E493" si="91">E490</f>
        <v>6200</v>
      </c>
      <c r="F491">
        <f t="shared" ref="F491:F493" si="92">F490</f>
        <v>6200</v>
      </c>
      <c r="G491" s="2">
        <v>2</v>
      </c>
      <c r="H491">
        <f t="shared" ref="H491:H493" si="93">H490</f>
        <v>0</v>
      </c>
      <c r="I491">
        <f t="shared" ref="I491:I493" si="94">I490</f>
        <v>0</v>
      </c>
      <c r="J491">
        <f t="shared" ref="J491:J493" si="95">J490</f>
        <v>0</v>
      </c>
      <c r="K491">
        <f t="shared" ref="K491:K493" si="96">K490</f>
        <v>0</v>
      </c>
      <c r="L491">
        <v>956771</v>
      </c>
      <c r="M491">
        <v>1328</v>
      </c>
      <c r="N491">
        <v>223199</v>
      </c>
      <c r="O491">
        <v>267839</v>
      </c>
      <c r="P491">
        <v>31000</v>
      </c>
      <c r="Q491">
        <v>10400</v>
      </c>
      <c r="R491">
        <v>10400</v>
      </c>
      <c r="S491">
        <v>0</v>
      </c>
      <c r="T491">
        <v>0</v>
      </c>
      <c r="U491">
        <v>3434</v>
      </c>
      <c r="V491">
        <v>0</v>
      </c>
      <c r="W491">
        <v>0</v>
      </c>
      <c r="X491" t="s">
        <v>610</v>
      </c>
      <c r="Y491">
        <v>1</v>
      </c>
      <c r="Z491">
        <v>0</v>
      </c>
      <c r="AA491">
        <v>50</v>
      </c>
      <c r="AB491">
        <v>25</v>
      </c>
      <c r="AC491">
        <v>0.4</v>
      </c>
    </row>
    <row r="492" spans="1:29">
      <c r="A492">
        <f t="shared" ref="A492:A493" si="97">A491+1</f>
        <v>1095053</v>
      </c>
      <c r="B492">
        <f t="shared" ref="B492:B493" si="98">B491</f>
        <v>2001</v>
      </c>
      <c r="C492">
        <f t="shared" ref="C492:C493" si="99">C491</f>
        <v>96</v>
      </c>
      <c r="D492" t="s">
        <v>589</v>
      </c>
      <c r="E492">
        <f t="shared" si="91"/>
        <v>6200</v>
      </c>
      <c r="F492">
        <f t="shared" si="92"/>
        <v>6200</v>
      </c>
      <c r="G492" s="2">
        <v>26</v>
      </c>
      <c r="H492">
        <f t="shared" si="93"/>
        <v>0</v>
      </c>
      <c r="I492">
        <f t="shared" si="94"/>
        <v>0</v>
      </c>
      <c r="J492">
        <f t="shared" si="95"/>
        <v>0</v>
      </c>
      <c r="K492">
        <f t="shared" si="96"/>
        <v>0</v>
      </c>
      <c r="L492">
        <v>1002331</v>
      </c>
      <c r="M492">
        <v>1660.0000000000002</v>
      </c>
      <c r="N492">
        <v>267838</v>
      </c>
      <c r="O492">
        <v>321406</v>
      </c>
      <c r="P492">
        <v>31000</v>
      </c>
      <c r="Q492">
        <v>10400</v>
      </c>
      <c r="R492">
        <v>10400</v>
      </c>
      <c r="S492">
        <v>0</v>
      </c>
      <c r="T492">
        <v>0</v>
      </c>
      <c r="U492">
        <v>3434</v>
      </c>
      <c r="V492">
        <v>0</v>
      </c>
      <c r="W492">
        <v>0</v>
      </c>
      <c r="X492" t="s">
        <v>609</v>
      </c>
      <c r="Y492">
        <v>1</v>
      </c>
      <c r="Z492">
        <v>0</v>
      </c>
      <c r="AA492">
        <v>50</v>
      </c>
      <c r="AB492">
        <v>25</v>
      </c>
      <c r="AC492">
        <v>0.4</v>
      </c>
    </row>
    <row r="493" spans="1:29">
      <c r="A493">
        <f t="shared" si="97"/>
        <v>1095054</v>
      </c>
      <c r="B493">
        <f t="shared" si="98"/>
        <v>2001</v>
      </c>
      <c r="C493">
        <f t="shared" si="99"/>
        <v>96</v>
      </c>
      <c r="D493" t="s">
        <v>590</v>
      </c>
      <c r="E493">
        <f t="shared" si="91"/>
        <v>6200</v>
      </c>
      <c r="F493">
        <f t="shared" si="92"/>
        <v>6200</v>
      </c>
      <c r="G493" s="2">
        <v>14</v>
      </c>
      <c r="H493">
        <f t="shared" si="93"/>
        <v>0</v>
      </c>
      <c r="I493">
        <f t="shared" si="94"/>
        <v>0</v>
      </c>
      <c r="J493">
        <f t="shared" si="95"/>
        <v>0</v>
      </c>
      <c r="K493">
        <f t="shared" si="96"/>
        <v>0</v>
      </c>
      <c r="L493">
        <v>979551</v>
      </c>
      <c r="M493">
        <v>1660.0000000000002</v>
      </c>
      <c r="N493">
        <v>267838</v>
      </c>
      <c r="O493">
        <v>321406</v>
      </c>
      <c r="P493">
        <v>31000</v>
      </c>
      <c r="Q493">
        <v>10400</v>
      </c>
      <c r="R493">
        <v>10400</v>
      </c>
      <c r="S493">
        <v>0</v>
      </c>
      <c r="T493">
        <v>0</v>
      </c>
      <c r="U493">
        <v>3434</v>
      </c>
      <c r="V493">
        <v>0</v>
      </c>
      <c r="W493">
        <v>0</v>
      </c>
      <c r="X493" t="s">
        <v>612</v>
      </c>
      <c r="Y493">
        <v>1</v>
      </c>
      <c r="Z493">
        <v>0</v>
      </c>
      <c r="AA493">
        <v>50</v>
      </c>
      <c r="AB493">
        <v>25</v>
      </c>
      <c r="AC493">
        <v>0.4</v>
      </c>
    </row>
    <row r="494" spans="1:29">
      <c r="A494">
        <v>1095061</v>
      </c>
      <c r="B494">
        <v>2001</v>
      </c>
      <c r="C494">
        <v>97</v>
      </c>
      <c r="D494" t="s">
        <v>570</v>
      </c>
      <c r="E494">
        <f t="shared" si="51"/>
        <v>6400</v>
      </c>
      <c r="F494">
        <f t="shared" si="52"/>
        <v>6400</v>
      </c>
      <c r="G494" s="2">
        <v>8</v>
      </c>
      <c r="H494">
        <v>0</v>
      </c>
      <c r="I494">
        <v>0</v>
      </c>
      <c r="J494">
        <v>0</v>
      </c>
      <c r="K494">
        <v>0</v>
      </c>
      <c r="L494">
        <v>2542623</v>
      </c>
      <c r="M494">
        <v>1670</v>
      </c>
      <c r="N494">
        <v>716985</v>
      </c>
      <c r="O494">
        <v>860382</v>
      </c>
      <c r="P494">
        <v>32000</v>
      </c>
      <c r="Q494">
        <v>10800</v>
      </c>
      <c r="R494">
        <v>10800</v>
      </c>
      <c r="S494">
        <v>0</v>
      </c>
      <c r="T494">
        <v>0</v>
      </c>
      <c r="U494">
        <v>3506</v>
      </c>
      <c r="V494">
        <v>0</v>
      </c>
      <c r="W494">
        <v>0</v>
      </c>
      <c r="X494" t="s">
        <v>613</v>
      </c>
      <c r="Y494">
        <v>1</v>
      </c>
      <c r="Z494">
        <v>0</v>
      </c>
      <c r="AA494">
        <v>50</v>
      </c>
      <c r="AB494">
        <v>25</v>
      </c>
      <c r="AC494">
        <v>0.4</v>
      </c>
    </row>
    <row r="495" spans="1:29">
      <c r="A495">
        <v>1095071</v>
      </c>
      <c r="B495">
        <v>2001</v>
      </c>
      <c r="C495">
        <v>97</v>
      </c>
      <c r="D495" t="s">
        <v>571</v>
      </c>
      <c r="E495">
        <f t="shared" si="51"/>
        <v>6400</v>
      </c>
      <c r="F495">
        <f t="shared" si="52"/>
        <v>6400</v>
      </c>
      <c r="G495" s="2">
        <v>6</v>
      </c>
      <c r="H495">
        <v>0</v>
      </c>
      <c r="I495">
        <v>0</v>
      </c>
      <c r="J495">
        <v>0</v>
      </c>
      <c r="K495">
        <v>0</v>
      </c>
      <c r="L495">
        <v>2540753</v>
      </c>
      <c r="M495">
        <v>1670</v>
      </c>
      <c r="N495">
        <v>809103</v>
      </c>
      <c r="O495">
        <v>970924</v>
      </c>
      <c r="P495">
        <v>32000</v>
      </c>
      <c r="Q495">
        <v>10800</v>
      </c>
      <c r="R495">
        <v>10800</v>
      </c>
      <c r="S495">
        <v>0</v>
      </c>
      <c r="T495">
        <v>0</v>
      </c>
      <c r="U495">
        <v>3506</v>
      </c>
      <c r="V495">
        <v>0</v>
      </c>
      <c r="W495">
        <v>0</v>
      </c>
      <c r="X495" t="s">
        <v>614</v>
      </c>
      <c r="Y495">
        <v>1</v>
      </c>
      <c r="Z495">
        <v>0</v>
      </c>
      <c r="AA495">
        <v>50</v>
      </c>
      <c r="AB495">
        <v>25</v>
      </c>
      <c r="AC495">
        <v>0.4</v>
      </c>
    </row>
    <row r="496" spans="1:29">
      <c r="A496">
        <v>1095081</v>
      </c>
      <c r="B496">
        <v>2001</v>
      </c>
      <c r="C496">
        <v>98</v>
      </c>
      <c r="D496" t="s">
        <v>572</v>
      </c>
      <c r="E496">
        <f t="shared" si="51"/>
        <v>6600</v>
      </c>
      <c r="F496">
        <f t="shared" si="52"/>
        <v>6600</v>
      </c>
      <c r="G496" s="2">
        <v>7</v>
      </c>
      <c r="H496">
        <v>0</v>
      </c>
      <c r="I496">
        <v>0</v>
      </c>
      <c r="J496">
        <v>0</v>
      </c>
      <c r="K496">
        <v>0</v>
      </c>
      <c r="L496">
        <v>3005273</v>
      </c>
      <c r="M496">
        <v>1680.0000000000002</v>
      </c>
      <c r="N496">
        <v>1141320</v>
      </c>
      <c r="O496">
        <v>1369584</v>
      </c>
      <c r="P496">
        <v>33000</v>
      </c>
      <c r="Q496">
        <v>11200</v>
      </c>
      <c r="R496">
        <v>11200</v>
      </c>
      <c r="S496">
        <v>0</v>
      </c>
      <c r="T496">
        <v>0</v>
      </c>
      <c r="U496">
        <v>3578</v>
      </c>
      <c r="V496">
        <v>0</v>
      </c>
      <c r="W496">
        <v>0</v>
      </c>
      <c r="X496" t="s">
        <v>615</v>
      </c>
      <c r="Y496">
        <v>1</v>
      </c>
      <c r="Z496">
        <v>0</v>
      </c>
      <c r="AA496">
        <v>50</v>
      </c>
      <c r="AB496">
        <v>25</v>
      </c>
      <c r="AC496">
        <v>0.4</v>
      </c>
    </row>
    <row r="497" spans="1:29">
      <c r="A497">
        <v>1095091</v>
      </c>
      <c r="B497">
        <v>2001</v>
      </c>
      <c r="C497">
        <v>99</v>
      </c>
      <c r="D497" t="s">
        <v>573</v>
      </c>
      <c r="E497">
        <f t="shared" si="51"/>
        <v>6800</v>
      </c>
      <c r="F497">
        <f t="shared" si="52"/>
        <v>6800</v>
      </c>
      <c r="G497" s="2" t="s">
        <v>633</v>
      </c>
      <c r="H497">
        <v>0</v>
      </c>
      <c r="I497">
        <v>0</v>
      </c>
      <c r="J497">
        <v>0</v>
      </c>
      <c r="K497">
        <v>0</v>
      </c>
      <c r="L497">
        <v>3868202</v>
      </c>
      <c r="M497">
        <v>5070</v>
      </c>
      <c r="N497">
        <v>1609090</v>
      </c>
      <c r="O497">
        <v>1930908</v>
      </c>
      <c r="P497">
        <v>34000</v>
      </c>
      <c r="Q497">
        <v>11600</v>
      </c>
      <c r="R497">
        <v>11600</v>
      </c>
      <c r="S497">
        <v>0</v>
      </c>
      <c r="T497">
        <v>5233</v>
      </c>
      <c r="U497">
        <v>3992</v>
      </c>
      <c r="V497">
        <v>0</v>
      </c>
      <c r="W497">
        <v>0</v>
      </c>
      <c r="X497" t="s">
        <v>616</v>
      </c>
      <c r="Y497">
        <v>1</v>
      </c>
      <c r="Z497">
        <v>0</v>
      </c>
      <c r="AA497">
        <v>50</v>
      </c>
      <c r="AB497">
        <v>25</v>
      </c>
      <c r="AC497">
        <v>0.4</v>
      </c>
    </row>
    <row r="498" spans="1:29">
      <c r="A498">
        <v>1100011</v>
      </c>
      <c r="B498">
        <v>2001</v>
      </c>
      <c r="C498">
        <v>100</v>
      </c>
      <c r="D498" t="s">
        <v>567</v>
      </c>
      <c r="E498">
        <f t="shared" si="51"/>
        <v>7000</v>
      </c>
      <c r="F498">
        <f t="shared" si="52"/>
        <v>7000</v>
      </c>
      <c r="G498" s="2">
        <v>19</v>
      </c>
      <c r="H498">
        <v>0</v>
      </c>
      <c r="I498">
        <v>0</v>
      </c>
      <c r="J498">
        <v>0</v>
      </c>
      <c r="K498">
        <v>0</v>
      </c>
      <c r="L498">
        <v>1906285</v>
      </c>
      <c r="M498">
        <v>1700</v>
      </c>
      <c r="N498">
        <v>395380</v>
      </c>
      <c r="O498">
        <v>474456</v>
      </c>
      <c r="P498">
        <v>35000</v>
      </c>
      <c r="Q498">
        <v>12000</v>
      </c>
      <c r="R498">
        <v>12000</v>
      </c>
      <c r="S498">
        <v>0</v>
      </c>
      <c r="T498">
        <v>0</v>
      </c>
      <c r="U498">
        <v>3725</v>
      </c>
      <c r="V498">
        <v>0</v>
      </c>
      <c r="W498">
        <v>0</v>
      </c>
      <c r="X498" t="s">
        <v>605</v>
      </c>
      <c r="Y498">
        <v>1</v>
      </c>
      <c r="Z498">
        <v>0</v>
      </c>
      <c r="AA498">
        <v>50</v>
      </c>
      <c r="AB498">
        <v>25</v>
      </c>
      <c r="AC498">
        <v>0.4</v>
      </c>
    </row>
    <row r="499" spans="1:29">
      <c r="A499">
        <v>1100021</v>
      </c>
      <c r="B499">
        <v>2001</v>
      </c>
      <c r="C499">
        <v>100</v>
      </c>
      <c r="D499" t="s">
        <v>568</v>
      </c>
      <c r="E499">
        <f t="shared" si="51"/>
        <v>7000</v>
      </c>
      <c r="F499">
        <f t="shared" si="52"/>
        <v>7000</v>
      </c>
      <c r="G499" s="2" t="s">
        <v>632</v>
      </c>
      <c r="H499">
        <v>0</v>
      </c>
      <c r="I499">
        <v>0</v>
      </c>
      <c r="J499">
        <v>0</v>
      </c>
      <c r="K499">
        <v>0</v>
      </c>
      <c r="L499">
        <v>2134912</v>
      </c>
      <c r="M499">
        <v>5100</v>
      </c>
      <c r="N499">
        <v>626907</v>
      </c>
      <c r="O499">
        <v>752288</v>
      </c>
      <c r="P499">
        <v>35000</v>
      </c>
      <c r="Q499">
        <v>12000</v>
      </c>
      <c r="R499">
        <v>12000</v>
      </c>
      <c r="S499">
        <v>0</v>
      </c>
      <c r="T499">
        <v>0</v>
      </c>
      <c r="U499">
        <v>3725</v>
      </c>
      <c r="V499">
        <v>0</v>
      </c>
      <c r="W499">
        <v>0</v>
      </c>
      <c r="X499" t="s">
        <v>606</v>
      </c>
      <c r="Y499">
        <v>1</v>
      </c>
      <c r="Z499">
        <v>0</v>
      </c>
      <c r="AA499">
        <v>50</v>
      </c>
      <c r="AB499">
        <v>25</v>
      </c>
      <c r="AC499">
        <v>0.4</v>
      </c>
    </row>
    <row r="500" spans="1:29">
      <c r="A500">
        <v>1100031</v>
      </c>
      <c r="B500">
        <v>2001</v>
      </c>
      <c r="C500">
        <v>101</v>
      </c>
      <c r="D500" t="s">
        <v>551</v>
      </c>
      <c r="E500">
        <f t="shared" si="51"/>
        <v>7200</v>
      </c>
      <c r="F500">
        <f t="shared" si="52"/>
        <v>7200</v>
      </c>
      <c r="G500" s="2" t="s">
        <v>628</v>
      </c>
      <c r="H500">
        <v>0</v>
      </c>
      <c r="I500">
        <v>0</v>
      </c>
      <c r="J500">
        <v>0</v>
      </c>
      <c r="K500">
        <v>0</v>
      </c>
      <c r="L500">
        <v>1683376</v>
      </c>
      <c r="M500">
        <v>168338</v>
      </c>
      <c r="N500">
        <v>1136204</v>
      </c>
      <c r="O500">
        <v>1363445</v>
      </c>
      <c r="P500">
        <v>36000</v>
      </c>
      <c r="Q500">
        <v>12400</v>
      </c>
      <c r="R500">
        <v>12400</v>
      </c>
      <c r="S500">
        <v>0</v>
      </c>
      <c r="T500">
        <v>0</v>
      </c>
      <c r="U500">
        <v>3800</v>
      </c>
      <c r="V500">
        <v>0</v>
      </c>
      <c r="W500">
        <v>0</v>
      </c>
      <c r="X500" t="s">
        <v>607</v>
      </c>
      <c r="Y500">
        <v>1</v>
      </c>
      <c r="Z500">
        <v>0</v>
      </c>
      <c r="AA500">
        <v>50</v>
      </c>
      <c r="AB500">
        <v>25</v>
      </c>
      <c r="AC500">
        <v>0.4</v>
      </c>
    </row>
    <row r="501" spans="1:29">
      <c r="A501">
        <v>1100041</v>
      </c>
      <c r="B501">
        <v>2001</v>
      </c>
      <c r="C501">
        <v>101</v>
      </c>
      <c r="D501" t="s">
        <v>569</v>
      </c>
      <c r="E501">
        <f t="shared" ref="E501:E573" si="100">VLOOKUP(C501,C$6:F$212,3,0)*5</f>
        <v>7200</v>
      </c>
      <c r="F501">
        <f t="shared" ref="F501:F573" si="101">E501</f>
        <v>7200</v>
      </c>
      <c r="G501" s="2">
        <v>29</v>
      </c>
      <c r="H501">
        <v>0</v>
      </c>
      <c r="I501">
        <v>0</v>
      </c>
      <c r="J501">
        <v>0</v>
      </c>
      <c r="K501">
        <v>0</v>
      </c>
      <c r="L501">
        <v>2552826</v>
      </c>
      <c r="M501">
        <v>1710</v>
      </c>
      <c r="N501">
        <v>872979</v>
      </c>
      <c r="O501">
        <v>1047575</v>
      </c>
      <c r="P501">
        <v>36000</v>
      </c>
      <c r="Q501">
        <v>12400</v>
      </c>
      <c r="R501">
        <v>12400</v>
      </c>
      <c r="S501">
        <v>0</v>
      </c>
      <c r="T501">
        <v>0</v>
      </c>
      <c r="U501">
        <v>3800</v>
      </c>
      <c r="V501">
        <v>0</v>
      </c>
      <c r="W501">
        <v>0</v>
      </c>
      <c r="X501" t="s">
        <v>608</v>
      </c>
      <c r="Y501">
        <v>1</v>
      </c>
      <c r="Z501">
        <v>0</v>
      </c>
      <c r="AA501">
        <v>50</v>
      </c>
      <c r="AB501">
        <v>25</v>
      </c>
      <c r="AC501">
        <v>0.4</v>
      </c>
    </row>
    <row r="502" spans="1:29">
      <c r="A502">
        <v>1100051</v>
      </c>
      <c r="B502">
        <v>2001</v>
      </c>
      <c r="C502">
        <v>101</v>
      </c>
      <c r="D502" t="s">
        <v>586</v>
      </c>
      <c r="E502">
        <f t="shared" si="100"/>
        <v>7200</v>
      </c>
      <c r="F502">
        <f t="shared" si="101"/>
        <v>7200</v>
      </c>
      <c r="G502" s="2">
        <v>5</v>
      </c>
      <c r="H502">
        <v>0</v>
      </c>
      <c r="I502">
        <v>0</v>
      </c>
      <c r="J502">
        <v>0</v>
      </c>
      <c r="K502">
        <v>0</v>
      </c>
      <c r="L502">
        <v>1312609</v>
      </c>
      <c r="M502">
        <v>1710</v>
      </c>
      <c r="N502">
        <v>281709</v>
      </c>
      <c r="O502">
        <v>338051</v>
      </c>
      <c r="P502">
        <v>36000</v>
      </c>
      <c r="Q502">
        <v>12400</v>
      </c>
      <c r="R502">
        <v>12400</v>
      </c>
      <c r="S502">
        <v>0</v>
      </c>
      <c r="T502">
        <v>0</v>
      </c>
      <c r="U502">
        <v>3800</v>
      </c>
      <c r="V502">
        <v>0</v>
      </c>
      <c r="W502">
        <v>0</v>
      </c>
      <c r="X502" t="s">
        <v>611</v>
      </c>
      <c r="Y502">
        <v>1</v>
      </c>
      <c r="Z502">
        <v>0</v>
      </c>
      <c r="AA502">
        <v>50</v>
      </c>
      <c r="AB502">
        <v>25</v>
      </c>
      <c r="AC502">
        <v>0.4</v>
      </c>
    </row>
    <row r="503" spans="1:29">
      <c r="A503">
        <f>A502+1</f>
        <v>1100052</v>
      </c>
      <c r="B503">
        <f>B502</f>
        <v>2001</v>
      </c>
      <c r="C503">
        <f>C502</f>
        <v>101</v>
      </c>
      <c r="D503" t="s">
        <v>588</v>
      </c>
      <c r="E503">
        <f t="shared" ref="E503:E505" si="102">E502</f>
        <v>7200</v>
      </c>
      <c r="F503">
        <f t="shared" ref="F503:F505" si="103">F502</f>
        <v>7200</v>
      </c>
      <c r="G503" s="2">
        <v>2</v>
      </c>
      <c r="H503">
        <f t="shared" ref="H503:H505" si="104">H502</f>
        <v>0</v>
      </c>
      <c r="I503">
        <f t="shared" ref="I503:I505" si="105">I502</f>
        <v>0</v>
      </c>
      <c r="J503">
        <f t="shared" ref="J503:J505" si="106">J502</f>
        <v>0</v>
      </c>
      <c r="K503">
        <f t="shared" ref="K503:K505" si="107">K502</f>
        <v>0</v>
      </c>
      <c r="L503">
        <v>1225102</v>
      </c>
      <c r="M503">
        <v>1368</v>
      </c>
      <c r="N503">
        <v>301832</v>
      </c>
      <c r="O503">
        <v>362198</v>
      </c>
      <c r="P503">
        <v>36000</v>
      </c>
      <c r="Q503">
        <v>12400</v>
      </c>
      <c r="R503">
        <v>12400</v>
      </c>
      <c r="S503">
        <v>0</v>
      </c>
      <c r="T503">
        <v>0</v>
      </c>
      <c r="U503">
        <v>3800</v>
      </c>
      <c r="V503">
        <v>0</v>
      </c>
      <c r="W503">
        <v>0</v>
      </c>
      <c r="X503" t="s">
        <v>610</v>
      </c>
      <c r="Y503">
        <v>1</v>
      </c>
      <c r="Z503">
        <v>0</v>
      </c>
      <c r="AA503">
        <v>50</v>
      </c>
      <c r="AB503">
        <v>25</v>
      </c>
      <c r="AC503">
        <v>0.4</v>
      </c>
    </row>
    <row r="504" spans="1:29">
      <c r="A504">
        <f t="shared" ref="A504:A505" si="108">A503+1</f>
        <v>1100053</v>
      </c>
      <c r="B504">
        <f t="shared" ref="B504:B505" si="109">B503</f>
        <v>2001</v>
      </c>
      <c r="C504">
        <f t="shared" ref="C504:C505" si="110">C503</f>
        <v>101</v>
      </c>
      <c r="D504" t="s">
        <v>589</v>
      </c>
      <c r="E504">
        <f t="shared" si="102"/>
        <v>7200</v>
      </c>
      <c r="F504">
        <f t="shared" si="103"/>
        <v>7200</v>
      </c>
      <c r="G504" s="2">
        <v>26</v>
      </c>
      <c r="H504">
        <f t="shared" si="104"/>
        <v>0</v>
      </c>
      <c r="I504">
        <f t="shared" si="105"/>
        <v>0</v>
      </c>
      <c r="J504">
        <f t="shared" si="106"/>
        <v>0</v>
      </c>
      <c r="K504">
        <f t="shared" si="107"/>
        <v>0</v>
      </c>
      <c r="L504">
        <v>1283440</v>
      </c>
      <c r="M504">
        <v>1710</v>
      </c>
      <c r="N504">
        <v>362198</v>
      </c>
      <c r="O504">
        <v>434638</v>
      </c>
      <c r="P504">
        <v>36000</v>
      </c>
      <c r="Q504">
        <v>12400</v>
      </c>
      <c r="R504">
        <v>12400</v>
      </c>
      <c r="S504">
        <v>0</v>
      </c>
      <c r="T504">
        <v>0</v>
      </c>
      <c r="U504">
        <v>3800</v>
      </c>
      <c r="V504">
        <v>0</v>
      </c>
      <c r="W504">
        <v>0</v>
      </c>
      <c r="X504" t="s">
        <v>609</v>
      </c>
      <c r="Y504">
        <v>1</v>
      </c>
      <c r="Z504">
        <v>0</v>
      </c>
      <c r="AA504">
        <v>50</v>
      </c>
      <c r="AB504">
        <v>25</v>
      </c>
      <c r="AC504">
        <v>0.4</v>
      </c>
    </row>
    <row r="505" spans="1:29">
      <c r="A505">
        <f t="shared" si="108"/>
        <v>1100054</v>
      </c>
      <c r="B505">
        <f t="shared" si="109"/>
        <v>2001</v>
      </c>
      <c r="C505">
        <f t="shared" si="110"/>
        <v>101</v>
      </c>
      <c r="D505" t="s">
        <v>590</v>
      </c>
      <c r="E505">
        <f t="shared" si="102"/>
        <v>7200</v>
      </c>
      <c r="F505">
        <f t="shared" si="103"/>
        <v>7200</v>
      </c>
      <c r="G505" s="2">
        <v>14</v>
      </c>
      <c r="H505">
        <f t="shared" si="104"/>
        <v>0</v>
      </c>
      <c r="I505">
        <f t="shared" si="105"/>
        <v>0</v>
      </c>
      <c r="J505">
        <f t="shared" si="106"/>
        <v>0</v>
      </c>
      <c r="K505">
        <f t="shared" si="107"/>
        <v>0</v>
      </c>
      <c r="L505">
        <v>1254271</v>
      </c>
      <c r="M505">
        <v>1710</v>
      </c>
      <c r="N505">
        <v>362198</v>
      </c>
      <c r="O505">
        <v>434638</v>
      </c>
      <c r="P505">
        <v>36000</v>
      </c>
      <c r="Q505">
        <v>12400</v>
      </c>
      <c r="R505">
        <v>12400</v>
      </c>
      <c r="S505">
        <v>0</v>
      </c>
      <c r="T505">
        <v>0</v>
      </c>
      <c r="U505">
        <v>3800</v>
      </c>
      <c r="V505">
        <v>0</v>
      </c>
      <c r="W505">
        <v>0</v>
      </c>
      <c r="X505" t="s">
        <v>612</v>
      </c>
      <c r="Y505">
        <v>1</v>
      </c>
      <c r="Z505">
        <v>0</v>
      </c>
      <c r="AA505">
        <v>50</v>
      </c>
      <c r="AB505">
        <v>25</v>
      </c>
      <c r="AC505">
        <v>0.4</v>
      </c>
    </row>
    <row r="506" spans="1:29">
      <c r="A506">
        <v>1100061</v>
      </c>
      <c r="B506">
        <v>2001</v>
      </c>
      <c r="C506">
        <v>102</v>
      </c>
      <c r="D506" t="s">
        <v>570</v>
      </c>
      <c r="E506">
        <f t="shared" si="100"/>
        <v>7500</v>
      </c>
      <c r="F506">
        <f t="shared" si="101"/>
        <v>7500</v>
      </c>
      <c r="G506" s="2">
        <v>8</v>
      </c>
      <c r="H506">
        <v>0</v>
      </c>
      <c r="I506">
        <v>0</v>
      </c>
      <c r="J506">
        <v>0</v>
      </c>
      <c r="K506">
        <v>0</v>
      </c>
      <c r="L506">
        <v>3263779</v>
      </c>
      <c r="M506">
        <v>1720</v>
      </c>
      <c r="N506">
        <v>972565</v>
      </c>
      <c r="O506">
        <v>1167078</v>
      </c>
      <c r="P506">
        <v>37000</v>
      </c>
      <c r="Q506">
        <v>12800</v>
      </c>
      <c r="R506">
        <v>12800</v>
      </c>
      <c r="S506">
        <v>0</v>
      </c>
      <c r="T506">
        <v>0</v>
      </c>
      <c r="U506">
        <v>3875</v>
      </c>
      <c r="V506">
        <v>0</v>
      </c>
      <c r="W506">
        <v>0</v>
      </c>
      <c r="X506" t="s">
        <v>613</v>
      </c>
      <c r="Y506">
        <v>1</v>
      </c>
      <c r="Z506">
        <v>0</v>
      </c>
      <c r="AA506">
        <v>50</v>
      </c>
      <c r="AB506">
        <v>25</v>
      </c>
      <c r="AC506">
        <v>0.4</v>
      </c>
    </row>
    <row r="507" spans="1:29">
      <c r="A507">
        <v>1100071</v>
      </c>
      <c r="B507">
        <v>2001</v>
      </c>
      <c r="C507">
        <v>102</v>
      </c>
      <c r="D507" t="s">
        <v>571</v>
      </c>
      <c r="E507">
        <f t="shared" si="100"/>
        <v>7500</v>
      </c>
      <c r="F507">
        <f t="shared" si="101"/>
        <v>7500</v>
      </c>
      <c r="G507" s="2">
        <v>6</v>
      </c>
      <c r="H507">
        <v>0</v>
      </c>
      <c r="I507">
        <v>0</v>
      </c>
      <c r="J507">
        <v>0</v>
      </c>
      <c r="K507">
        <v>0</v>
      </c>
      <c r="L507">
        <v>3262724</v>
      </c>
      <c r="M507">
        <v>1720</v>
      </c>
      <c r="N507">
        <v>1098928</v>
      </c>
      <c r="O507">
        <v>1318714</v>
      </c>
      <c r="P507">
        <v>37000</v>
      </c>
      <c r="Q507">
        <v>12800</v>
      </c>
      <c r="R507">
        <v>12800</v>
      </c>
      <c r="S507">
        <v>0</v>
      </c>
      <c r="T507">
        <v>0</v>
      </c>
      <c r="U507">
        <v>3875</v>
      </c>
      <c r="V507">
        <v>0</v>
      </c>
      <c r="W507">
        <v>0</v>
      </c>
      <c r="X507" t="s">
        <v>614</v>
      </c>
      <c r="Y507">
        <v>1</v>
      </c>
      <c r="Z507">
        <v>0</v>
      </c>
      <c r="AA507">
        <v>50</v>
      </c>
      <c r="AB507">
        <v>25</v>
      </c>
      <c r="AC507">
        <v>0.4</v>
      </c>
    </row>
    <row r="508" spans="1:29">
      <c r="A508">
        <v>1100081</v>
      </c>
      <c r="B508">
        <v>2001</v>
      </c>
      <c r="C508">
        <v>102</v>
      </c>
      <c r="D508" t="s">
        <v>572</v>
      </c>
      <c r="E508">
        <f t="shared" si="100"/>
        <v>7500</v>
      </c>
      <c r="F508">
        <f t="shared" si="101"/>
        <v>7500</v>
      </c>
      <c r="G508" s="2">
        <v>7</v>
      </c>
      <c r="H508">
        <v>0</v>
      </c>
      <c r="I508">
        <v>0</v>
      </c>
      <c r="J508">
        <v>0</v>
      </c>
      <c r="K508">
        <v>0</v>
      </c>
      <c r="L508">
        <v>3853580</v>
      </c>
      <c r="M508">
        <v>1720</v>
      </c>
      <c r="N508">
        <v>1552138</v>
      </c>
      <c r="O508">
        <v>1862566</v>
      </c>
      <c r="P508">
        <v>37000</v>
      </c>
      <c r="Q508">
        <v>12800</v>
      </c>
      <c r="R508">
        <v>12800</v>
      </c>
      <c r="S508">
        <v>0</v>
      </c>
      <c r="T508">
        <v>0</v>
      </c>
      <c r="U508">
        <v>3875</v>
      </c>
      <c r="V508">
        <v>0</v>
      </c>
      <c r="W508">
        <v>0</v>
      </c>
      <c r="X508" t="s">
        <v>615</v>
      </c>
      <c r="Y508">
        <v>1</v>
      </c>
      <c r="Z508">
        <v>0</v>
      </c>
      <c r="AA508">
        <v>50</v>
      </c>
      <c r="AB508">
        <v>25</v>
      </c>
      <c r="AC508">
        <v>0.4</v>
      </c>
    </row>
    <row r="509" spans="1:29">
      <c r="A509">
        <v>1100091</v>
      </c>
      <c r="B509">
        <v>2001</v>
      </c>
      <c r="C509">
        <v>102</v>
      </c>
      <c r="D509" t="s">
        <v>573</v>
      </c>
      <c r="E509">
        <f t="shared" si="100"/>
        <v>7500</v>
      </c>
      <c r="F509">
        <f t="shared" si="101"/>
        <v>7500</v>
      </c>
      <c r="G509" s="2" t="s">
        <v>633</v>
      </c>
      <c r="H509">
        <v>0</v>
      </c>
      <c r="I509">
        <v>0</v>
      </c>
      <c r="J509">
        <v>0</v>
      </c>
      <c r="K509">
        <v>0</v>
      </c>
      <c r="L509">
        <v>4950601</v>
      </c>
      <c r="M509">
        <v>5160</v>
      </c>
      <c r="N509">
        <v>2192027</v>
      </c>
      <c r="O509">
        <v>2630432</v>
      </c>
      <c r="P509">
        <v>37000</v>
      </c>
      <c r="Q509">
        <v>12800</v>
      </c>
      <c r="R509">
        <v>12800</v>
      </c>
      <c r="S509">
        <v>0</v>
      </c>
      <c r="T509">
        <v>5554</v>
      </c>
      <c r="U509">
        <v>4236</v>
      </c>
      <c r="V509">
        <v>0</v>
      </c>
      <c r="W509">
        <v>0</v>
      </c>
      <c r="X509" t="s">
        <v>616</v>
      </c>
      <c r="Y509">
        <v>1</v>
      </c>
      <c r="Z509">
        <v>0</v>
      </c>
      <c r="AA509">
        <v>50</v>
      </c>
      <c r="AB509">
        <v>25</v>
      </c>
      <c r="AC509">
        <v>0.4</v>
      </c>
    </row>
    <row r="510" spans="1:29">
      <c r="A510">
        <v>2030011</v>
      </c>
      <c r="B510">
        <v>2001</v>
      </c>
      <c r="C510">
        <v>30</v>
      </c>
      <c r="D510" t="s">
        <v>574</v>
      </c>
      <c r="E510">
        <f t="shared" si="100"/>
        <v>660</v>
      </c>
      <c r="F510">
        <f t="shared" si="101"/>
        <v>660</v>
      </c>
      <c r="G510" s="2">
        <v>11</v>
      </c>
      <c r="H510">
        <v>0</v>
      </c>
      <c r="I510">
        <v>0</v>
      </c>
      <c r="J510">
        <v>0</v>
      </c>
      <c r="K510">
        <v>0</v>
      </c>
      <c r="L510">
        <v>65758</v>
      </c>
      <c r="M510">
        <v>1000</v>
      </c>
      <c r="N510">
        <v>1549</v>
      </c>
      <c r="O510">
        <v>1859</v>
      </c>
      <c r="P510">
        <v>20</v>
      </c>
      <c r="Q510">
        <v>0</v>
      </c>
      <c r="R510">
        <v>0</v>
      </c>
      <c r="S510">
        <v>497</v>
      </c>
      <c r="T510">
        <v>0</v>
      </c>
      <c r="U510">
        <v>346</v>
      </c>
      <c r="V510">
        <v>0</v>
      </c>
      <c r="W510">
        <v>0</v>
      </c>
      <c r="X510" t="s">
        <v>617</v>
      </c>
      <c r="Y510">
        <v>1</v>
      </c>
      <c r="Z510">
        <v>0</v>
      </c>
      <c r="AA510">
        <v>50</v>
      </c>
      <c r="AB510">
        <v>25</v>
      </c>
      <c r="AC510">
        <v>0.4</v>
      </c>
    </row>
    <row r="511" spans="1:29">
      <c r="A511">
        <v>2030021</v>
      </c>
      <c r="B511">
        <v>2001</v>
      </c>
      <c r="C511">
        <v>30</v>
      </c>
      <c r="D511" t="s">
        <v>551</v>
      </c>
      <c r="E511">
        <f t="shared" si="100"/>
        <v>660</v>
      </c>
      <c r="F511">
        <f t="shared" si="101"/>
        <v>660</v>
      </c>
      <c r="G511" s="2" t="s">
        <v>628</v>
      </c>
      <c r="H511">
        <v>0</v>
      </c>
      <c r="I511">
        <v>0</v>
      </c>
      <c r="J511">
        <v>0</v>
      </c>
      <c r="K511">
        <v>0</v>
      </c>
      <c r="L511">
        <v>54128</v>
      </c>
      <c r="M511">
        <v>5413</v>
      </c>
      <c r="N511">
        <v>2310</v>
      </c>
      <c r="O511">
        <v>2772</v>
      </c>
      <c r="P511">
        <v>20</v>
      </c>
      <c r="Q511">
        <v>0</v>
      </c>
      <c r="R511">
        <v>0</v>
      </c>
      <c r="S511">
        <v>0</v>
      </c>
      <c r="T511">
        <v>0</v>
      </c>
      <c r="U511">
        <v>346</v>
      </c>
      <c r="V511">
        <v>0</v>
      </c>
      <c r="W511">
        <v>0</v>
      </c>
      <c r="X511" t="s">
        <v>592</v>
      </c>
      <c r="Y511">
        <v>1</v>
      </c>
      <c r="Z511">
        <v>0</v>
      </c>
      <c r="AA511">
        <v>50</v>
      </c>
      <c r="AB511">
        <v>25</v>
      </c>
      <c r="AC511">
        <v>0.4</v>
      </c>
    </row>
    <row r="512" spans="1:29">
      <c r="A512">
        <v>2030031</v>
      </c>
      <c r="B512">
        <v>2001</v>
      </c>
      <c r="C512">
        <v>31</v>
      </c>
      <c r="D512" t="s">
        <v>552</v>
      </c>
      <c r="E512">
        <f t="shared" si="100"/>
        <v>690</v>
      </c>
      <c r="F512">
        <f t="shared" si="101"/>
        <v>690</v>
      </c>
      <c r="G512" s="2">
        <v>5</v>
      </c>
      <c r="H512">
        <v>0</v>
      </c>
      <c r="I512">
        <v>0</v>
      </c>
      <c r="J512">
        <v>0</v>
      </c>
      <c r="K512">
        <v>0</v>
      </c>
      <c r="L512">
        <v>101879</v>
      </c>
      <c r="M512">
        <v>1010</v>
      </c>
      <c r="N512">
        <v>1527</v>
      </c>
      <c r="O512">
        <v>1832</v>
      </c>
      <c r="P512">
        <v>50</v>
      </c>
      <c r="Q512">
        <v>0</v>
      </c>
      <c r="R512">
        <v>0</v>
      </c>
      <c r="S512">
        <v>0</v>
      </c>
      <c r="T512">
        <v>0</v>
      </c>
      <c r="U512">
        <v>369</v>
      </c>
      <c r="V512">
        <v>0</v>
      </c>
      <c r="W512">
        <v>0</v>
      </c>
      <c r="X512" t="s">
        <v>593</v>
      </c>
      <c r="Y512">
        <v>1</v>
      </c>
      <c r="Z512">
        <v>0</v>
      </c>
      <c r="AA512">
        <v>50</v>
      </c>
      <c r="AB512">
        <v>25</v>
      </c>
      <c r="AC512">
        <v>0.4</v>
      </c>
    </row>
    <row r="513" spans="1:29">
      <c r="A513">
        <v>2030041</v>
      </c>
      <c r="B513">
        <v>2001</v>
      </c>
      <c r="C513">
        <v>31</v>
      </c>
      <c r="D513" t="s">
        <v>553</v>
      </c>
      <c r="E513">
        <f t="shared" si="100"/>
        <v>690</v>
      </c>
      <c r="F513">
        <f t="shared" si="101"/>
        <v>690</v>
      </c>
      <c r="G513" s="2">
        <v>16</v>
      </c>
      <c r="H513">
        <v>0</v>
      </c>
      <c r="I513">
        <v>0</v>
      </c>
      <c r="J513">
        <v>0</v>
      </c>
      <c r="K513">
        <v>0</v>
      </c>
      <c r="L513">
        <v>91508</v>
      </c>
      <c r="M513">
        <v>2020</v>
      </c>
      <c r="N513">
        <v>1517</v>
      </c>
      <c r="O513">
        <v>1820</v>
      </c>
      <c r="P513">
        <v>50</v>
      </c>
      <c r="Q513">
        <v>0</v>
      </c>
      <c r="R513">
        <v>0</v>
      </c>
      <c r="S513">
        <v>0</v>
      </c>
      <c r="T513">
        <v>0</v>
      </c>
      <c r="U513">
        <v>917</v>
      </c>
      <c r="V513">
        <v>0</v>
      </c>
      <c r="W513">
        <v>0</v>
      </c>
      <c r="X513" t="s">
        <v>594</v>
      </c>
      <c r="Y513">
        <v>1</v>
      </c>
      <c r="Z513">
        <v>0</v>
      </c>
      <c r="AA513">
        <v>50</v>
      </c>
      <c r="AB513">
        <v>25</v>
      </c>
      <c r="AC513">
        <v>0.4</v>
      </c>
    </row>
    <row r="514" spans="1:29">
      <c r="A514">
        <v>2030051</v>
      </c>
      <c r="B514">
        <v>2001</v>
      </c>
      <c r="C514">
        <v>31</v>
      </c>
      <c r="D514" t="s">
        <v>554</v>
      </c>
      <c r="E514">
        <f t="shared" si="100"/>
        <v>690</v>
      </c>
      <c r="F514">
        <f t="shared" si="101"/>
        <v>690</v>
      </c>
      <c r="G514" s="2">
        <v>4</v>
      </c>
      <c r="H514">
        <v>0</v>
      </c>
      <c r="I514">
        <v>0</v>
      </c>
      <c r="J514">
        <v>0</v>
      </c>
      <c r="K514">
        <v>0</v>
      </c>
      <c r="L514">
        <v>128426</v>
      </c>
      <c r="M514">
        <v>1010</v>
      </c>
      <c r="N514">
        <v>1282</v>
      </c>
      <c r="O514">
        <v>1538</v>
      </c>
      <c r="P514">
        <v>50</v>
      </c>
      <c r="Q514">
        <v>0</v>
      </c>
      <c r="R514">
        <v>0</v>
      </c>
      <c r="S514">
        <v>0</v>
      </c>
      <c r="T514">
        <v>0</v>
      </c>
      <c r="U514">
        <v>369</v>
      </c>
      <c r="V514">
        <v>0</v>
      </c>
      <c r="W514">
        <v>0</v>
      </c>
      <c r="X514" t="s">
        <v>595</v>
      </c>
      <c r="Y514">
        <v>1</v>
      </c>
      <c r="Z514">
        <v>0</v>
      </c>
      <c r="AA514">
        <v>50</v>
      </c>
      <c r="AB514">
        <v>25</v>
      </c>
      <c r="AC514">
        <v>0.4</v>
      </c>
    </row>
    <row r="515" spans="1:29">
      <c r="A515">
        <v>2030061</v>
      </c>
      <c r="B515">
        <v>2001</v>
      </c>
      <c r="C515">
        <v>32</v>
      </c>
      <c r="D515" t="s">
        <v>555</v>
      </c>
      <c r="E515">
        <f t="shared" si="100"/>
        <v>720</v>
      </c>
      <c r="F515">
        <f t="shared" si="101"/>
        <v>720</v>
      </c>
      <c r="G515" s="2">
        <v>10</v>
      </c>
      <c r="H515">
        <v>0</v>
      </c>
      <c r="I515">
        <v>0</v>
      </c>
      <c r="J515">
        <v>0</v>
      </c>
      <c r="K515">
        <v>0</v>
      </c>
      <c r="L515">
        <v>148097</v>
      </c>
      <c r="M515">
        <v>2040</v>
      </c>
      <c r="N515">
        <v>1794</v>
      </c>
      <c r="O515">
        <v>2153</v>
      </c>
      <c r="P515">
        <v>80</v>
      </c>
      <c r="Q515">
        <v>10</v>
      </c>
      <c r="R515">
        <v>10</v>
      </c>
      <c r="S515">
        <v>0</v>
      </c>
      <c r="T515">
        <v>798</v>
      </c>
      <c r="U515">
        <v>393</v>
      </c>
      <c r="V515">
        <v>0</v>
      </c>
      <c r="W515">
        <v>0</v>
      </c>
      <c r="X515" t="s">
        <v>596</v>
      </c>
      <c r="Y515">
        <v>1</v>
      </c>
      <c r="Z515">
        <v>0</v>
      </c>
      <c r="AA515">
        <v>50</v>
      </c>
      <c r="AB515">
        <v>25</v>
      </c>
      <c r="AC515">
        <v>0.4</v>
      </c>
    </row>
    <row r="516" spans="1:29">
      <c r="A516">
        <v>2030071</v>
      </c>
      <c r="B516">
        <v>2001</v>
      </c>
      <c r="C516">
        <v>32</v>
      </c>
      <c r="D516" t="s">
        <v>556</v>
      </c>
      <c r="E516">
        <f t="shared" si="100"/>
        <v>720</v>
      </c>
      <c r="F516">
        <f t="shared" si="101"/>
        <v>720</v>
      </c>
      <c r="G516" s="2">
        <v>3</v>
      </c>
      <c r="H516">
        <v>0</v>
      </c>
      <c r="I516">
        <v>0</v>
      </c>
      <c r="J516">
        <v>0</v>
      </c>
      <c r="K516">
        <v>0</v>
      </c>
      <c r="L516">
        <v>88858</v>
      </c>
      <c r="M516">
        <v>1020</v>
      </c>
      <c r="N516">
        <v>523</v>
      </c>
      <c r="O516">
        <v>628</v>
      </c>
      <c r="P516">
        <v>80</v>
      </c>
      <c r="Q516">
        <v>10</v>
      </c>
      <c r="R516">
        <v>10</v>
      </c>
      <c r="S516">
        <v>0</v>
      </c>
      <c r="T516">
        <v>0</v>
      </c>
      <c r="U516">
        <v>393</v>
      </c>
      <c r="V516">
        <v>0</v>
      </c>
      <c r="W516">
        <v>0</v>
      </c>
      <c r="X516" t="s">
        <v>597</v>
      </c>
      <c r="Y516">
        <v>1</v>
      </c>
      <c r="Z516">
        <v>0</v>
      </c>
      <c r="AA516">
        <v>50</v>
      </c>
      <c r="AB516">
        <v>25</v>
      </c>
      <c r="AC516">
        <v>0.4</v>
      </c>
    </row>
    <row r="517" spans="1:29">
      <c r="A517">
        <f>A516+1</f>
        <v>2030072</v>
      </c>
      <c r="B517">
        <v>2001</v>
      </c>
      <c r="C517">
        <f>C516</f>
        <v>32</v>
      </c>
      <c r="D517" t="s">
        <v>582</v>
      </c>
      <c r="E517">
        <f>E516</f>
        <v>720</v>
      </c>
      <c r="F517">
        <f t="shared" ref="F517" si="111">F516</f>
        <v>720</v>
      </c>
      <c r="G517" s="2" t="s">
        <v>629</v>
      </c>
      <c r="H517">
        <f t="shared" ref="H517" si="112">H516</f>
        <v>0</v>
      </c>
      <c r="I517">
        <f t="shared" ref="I517" si="113">I516</f>
        <v>0</v>
      </c>
      <c r="J517">
        <f t="shared" ref="J517" si="114">J516</f>
        <v>0</v>
      </c>
      <c r="K517">
        <f t="shared" ref="K517" si="115">K516</f>
        <v>0</v>
      </c>
      <c r="L517">
        <v>65906</v>
      </c>
      <c r="M517">
        <v>1020</v>
      </c>
      <c r="N517">
        <v>889</v>
      </c>
      <c r="O517">
        <v>1067</v>
      </c>
      <c r="P517">
        <v>80</v>
      </c>
      <c r="Q517">
        <v>10</v>
      </c>
      <c r="R517">
        <v>10</v>
      </c>
      <c r="S517">
        <v>0</v>
      </c>
      <c r="T517">
        <v>0</v>
      </c>
      <c r="U517">
        <v>393</v>
      </c>
      <c r="V517">
        <v>0</v>
      </c>
      <c r="W517">
        <v>0</v>
      </c>
      <c r="X517" t="s">
        <v>62</v>
      </c>
      <c r="Y517">
        <v>1</v>
      </c>
      <c r="Z517">
        <v>0</v>
      </c>
      <c r="AA517">
        <v>50</v>
      </c>
      <c r="AB517">
        <v>25</v>
      </c>
      <c r="AC517">
        <v>0.4</v>
      </c>
    </row>
    <row r="518" spans="1:29">
      <c r="A518">
        <v>2030081</v>
      </c>
      <c r="B518">
        <v>2001</v>
      </c>
      <c r="C518">
        <v>33</v>
      </c>
      <c r="D518" t="s">
        <v>557</v>
      </c>
      <c r="E518">
        <f t="shared" si="100"/>
        <v>750</v>
      </c>
      <c r="F518">
        <f t="shared" si="101"/>
        <v>750</v>
      </c>
      <c r="G518" s="2">
        <v>7</v>
      </c>
      <c r="H518">
        <v>0</v>
      </c>
      <c r="I518">
        <v>0</v>
      </c>
      <c r="J518">
        <v>0</v>
      </c>
      <c r="K518">
        <v>0</v>
      </c>
      <c r="L518">
        <v>181416</v>
      </c>
      <c r="M518">
        <v>1030</v>
      </c>
      <c r="N518">
        <v>1470</v>
      </c>
      <c r="O518">
        <v>1764</v>
      </c>
      <c r="P518">
        <v>110</v>
      </c>
      <c r="Q518">
        <v>20</v>
      </c>
      <c r="R518">
        <v>20</v>
      </c>
      <c r="S518">
        <v>0</v>
      </c>
      <c r="T518">
        <v>0</v>
      </c>
      <c r="U518">
        <v>417</v>
      </c>
      <c r="V518">
        <v>0</v>
      </c>
      <c r="W518">
        <v>0</v>
      </c>
      <c r="X518" t="s">
        <v>598</v>
      </c>
      <c r="Y518">
        <v>1</v>
      </c>
      <c r="Z518">
        <v>0</v>
      </c>
      <c r="AA518">
        <v>50</v>
      </c>
      <c r="AB518">
        <v>25</v>
      </c>
      <c r="AC518">
        <v>0.4</v>
      </c>
    </row>
    <row r="519" spans="1:29">
      <c r="A519">
        <v>2030091</v>
      </c>
      <c r="B519">
        <v>2001</v>
      </c>
      <c r="C519">
        <v>34</v>
      </c>
      <c r="D519" t="s">
        <v>558</v>
      </c>
      <c r="E519">
        <f t="shared" si="100"/>
        <v>780</v>
      </c>
      <c r="F519">
        <f t="shared" si="101"/>
        <v>780</v>
      </c>
      <c r="G519" s="2">
        <v>15</v>
      </c>
      <c r="H519">
        <v>0</v>
      </c>
      <c r="I519">
        <v>0</v>
      </c>
      <c r="J519">
        <v>0</v>
      </c>
      <c r="K519">
        <v>0</v>
      </c>
      <c r="L519">
        <v>207243</v>
      </c>
      <c r="M519">
        <v>1040</v>
      </c>
      <c r="N519">
        <v>1453</v>
      </c>
      <c r="O519">
        <v>1744</v>
      </c>
      <c r="P519">
        <v>140</v>
      </c>
      <c r="Q519">
        <v>30</v>
      </c>
      <c r="R519">
        <v>30</v>
      </c>
      <c r="S519">
        <v>0</v>
      </c>
      <c r="T519">
        <v>0</v>
      </c>
      <c r="U519">
        <v>442</v>
      </c>
      <c r="V519">
        <v>0</v>
      </c>
      <c r="W519">
        <v>0</v>
      </c>
      <c r="X519" t="s">
        <v>599</v>
      </c>
      <c r="Y519">
        <v>1</v>
      </c>
      <c r="Z519">
        <v>0</v>
      </c>
      <c r="AA519">
        <v>50</v>
      </c>
      <c r="AB519">
        <v>25</v>
      </c>
      <c r="AC519">
        <v>0.4</v>
      </c>
    </row>
    <row r="520" spans="1:29">
      <c r="A520">
        <v>2035011</v>
      </c>
      <c r="B520">
        <v>2001</v>
      </c>
      <c r="C520">
        <v>35</v>
      </c>
      <c r="D520" t="s">
        <v>574</v>
      </c>
      <c r="E520">
        <f t="shared" si="100"/>
        <v>810</v>
      </c>
      <c r="F520">
        <f t="shared" si="101"/>
        <v>810</v>
      </c>
      <c r="G520" s="2">
        <v>11</v>
      </c>
      <c r="H520">
        <v>0</v>
      </c>
      <c r="I520">
        <v>0</v>
      </c>
      <c r="J520">
        <v>0</v>
      </c>
      <c r="K520">
        <v>0</v>
      </c>
      <c r="L520">
        <v>112295</v>
      </c>
      <c r="M520">
        <v>1050</v>
      </c>
      <c r="N520">
        <v>2246</v>
      </c>
      <c r="O520">
        <v>2695</v>
      </c>
      <c r="P520">
        <v>170</v>
      </c>
      <c r="Q520">
        <v>40</v>
      </c>
      <c r="R520">
        <v>40</v>
      </c>
      <c r="S520">
        <v>671</v>
      </c>
      <c r="T520">
        <v>0</v>
      </c>
      <c r="U520">
        <v>468</v>
      </c>
      <c r="V520">
        <v>0</v>
      </c>
      <c r="W520">
        <v>0</v>
      </c>
      <c r="X520" t="s">
        <v>617</v>
      </c>
      <c r="Y520">
        <v>1</v>
      </c>
      <c r="Z520">
        <v>0</v>
      </c>
      <c r="AA520">
        <v>50</v>
      </c>
      <c r="AB520">
        <v>25</v>
      </c>
      <c r="AC520">
        <v>0.4</v>
      </c>
    </row>
    <row r="521" spans="1:29">
      <c r="A521">
        <v>2035021</v>
      </c>
      <c r="B521">
        <v>2001</v>
      </c>
      <c r="C521">
        <v>35</v>
      </c>
      <c r="D521" t="s">
        <v>551</v>
      </c>
      <c r="E521">
        <f t="shared" si="100"/>
        <v>810</v>
      </c>
      <c r="F521">
        <f t="shared" si="101"/>
        <v>810</v>
      </c>
      <c r="G521" s="2" t="s">
        <v>628</v>
      </c>
      <c r="H521">
        <v>0</v>
      </c>
      <c r="I521">
        <v>0</v>
      </c>
      <c r="J521">
        <v>0</v>
      </c>
      <c r="K521">
        <v>0</v>
      </c>
      <c r="L521">
        <v>89682</v>
      </c>
      <c r="M521">
        <v>8968</v>
      </c>
      <c r="N521">
        <v>3397</v>
      </c>
      <c r="O521">
        <v>4076</v>
      </c>
      <c r="P521">
        <v>170</v>
      </c>
      <c r="Q521">
        <v>40</v>
      </c>
      <c r="R521">
        <v>40</v>
      </c>
      <c r="S521">
        <v>0</v>
      </c>
      <c r="T521">
        <v>0</v>
      </c>
      <c r="U521">
        <v>468</v>
      </c>
      <c r="V521">
        <v>0</v>
      </c>
      <c r="W521">
        <v>0</v>
      </c>
      <c r="X521" t="s">
        <v>592</v>
      </c>
      <c r="Y521">
        <v>1</v>
      </c>
      <c r="Z521">
        <v>0</v>
      </c>
      <c r="AA521">
        <v>50</v>
      </c>
      <c r="AB521">
        <v>25</v>
      </c>
      <c r="AC521">
        <v>0.4</v>
      </c>
    </row>
    <row r="522" spans="1:29">
      <c r="A522">
        <v>2035031</v>
      </c>
      <c r="B522">
        <v>2001</v>
      </c>
      <c r="C522">
        <v>36</v>
      </c>
      <c r="D522" t="s">
        <v>552</v>
      </c>
      <c r="E522">
        <f t="shared" si="100"/>
        <v>840</v>
      </c>
      <c r="F522">
        <f t="shared" si="101"/>
        <v>840</v>
      </c>
      <c r="G522" s="2">
        <v>5</v>
      </c>
      <c r="H522">
        <v>0</v>
      </c>
      <c r="I522">
        <v>0</v>
      </c>
      <c r="J522">
        <v>0</v>
      </c>
      <c r="K522">
        <v>0</v>
      </c>
      <c r="L522">
        <v>162270</v>
      </c>
      <c r="M522">
        <v>1060</v>
      </c>
      <c r="N522">
        <v>2290</v>
      </c>
      <c r="O522">
        <v>2748</v>
      </c>
      <c r="P522">
        <v>200</v>
      </c>
      <c r="Q522">
        <v>50</v>
      </c>
      <c r="R522">
        <v>50</v>
      </c>
      <c r="S522">
        <v>0</v>
      </c>
      <c r="T522">
        <v>0</v>
      </c>
      <c r="U522">
        <v>494</v>
      </c>
      <c r="V522">
        <v>0</v>
      </c>
      <c r="W522">
        <v>0</v>
      </c>
      <c r="X522" t="s">
        <v>593</v>
      </c>
      <c r="Y522">
        <v>1</v>
      </c>
      <c r="Z522">
        <v>0</v>
      </c>
      <c r="AA522">
        <v>50</v>
      </c>
      <c r="AB522">
        <v>25</v>
      </c>
      <c r="AC522">
        <v>0.4</v>
      </c>
    </row>
    <row r="523" spans="1:29">
      <c r="A523">
        <v>2035041</v>
      </c>
      <c r="B523">
        <v>2001</v>
      </c>
      <c r="C523">
        <v>36</v>
      </c>
      <c r="D523" t="s">
        <v>553</v>
      </c>
      <c r="E523">
        <f t="shared" si="100"/>
        <v>840</v>
      </c>
      <c r="F523">
        <f t="shared" si="101"/>
        <v>840</v>
      </c>
      <c r="G523" s="2">
        <v>16</v>
      </c>
      <c r="H523">
        <v>0</v>
      </c>
      <c r="I523">
        <v>0</v>
      </c>
      <c r="J523">
        <v>0</v>
      </c>
      <c r="K523">
        <v>0</v>
      </c>
      <c r="L523">
        <v>144061</v>
      </c>
      <c r="M523">
        <v>2120</v>
      </c>
      <c r="N523">
        <v>2309</v>
      </c>
      <c r="O523">
        <v>2771</v>
      </c>
      <c r="P523">
        <v>200</v>
      </c>
      <c r="Q523">
        <v>50</v>
      </c>
      <c r="R523">
        <v>50</v>
      </c>
      <c r="S523">
        <v>0</v>
      </c>
      <c r="T523">
        <v>0</v>
      </c>
      <c r="U523">
        <v>1226</v>
      </c>
      <c r="V523">
        <v>0</v>
      </c>
      <c r="W523">
        <v>0</v>
      </c>
      <c r="X523" t="s">
        <v>594</v>
      </c>
      <c r="Y523">
        <v>1</v>
      </c>
      <c r="Z523">
        <v>0</v>
      </c>
      <c r="AA523">
        <v>50</v>
      </c>
      <c r="AB523">
        <v>25</v>
      </c>
      <c r="AC523">
        <v>0.4</v>
      </c>
    </row>
    <row r="524" spans="1:29">
      <c r="A524">
        <v>2035051</v>
      </c>
      <c r="B524">
        <v>2001</v>
      </c>
      <c r="C524">
        <v>36</v>
      </c>
      <c r="D524" t="s">
        <v>554</v>
      </c>
      <c r="E524">
        <f t="shared" si="100"/>
        <v>840</v>
      </c>
      <c r="F524">
        <f t="shared" si="101"/>
        <v>840</v>
      </c>
      <c r="G524" s="2">
        <v>4</v>
      </c>
      <c r="H524">
        <v>0</v>
      </c>
      <c r="I524">
        <v>0</v>
      </c>
      <c r="J524">
        <v>0</v>
      </c>
      <c r="K524">
        <v>0</v>
      </c>
      <c r="L524">
        <v>199837</v>
      </c>
      <c r="M524">
        <v>1060</v>
      </c>
      <c r="N524">
        <v>1978</v>
      </c>
      <c r="O524">
        <v>2374</v>
      </c>
      <c r="P524">
        <v>200</v>
      </c>
      <c r="Q524">
        <v>50</v>
      </c>
      <c r="R524">
        <v>50</v>
      </c>
      <c r="S524">
        <v>0</v>
      </c>
      <c r="T524">
        <v>0</v>
      </c>
      <c r="U524">
        <v>494</v>
      </c>
      <c r="V524">
        <v>0</v>
      </c>
      <c r="W524">
        <v>0</v>
      </c>
      <c r="X524" t="s">
        <v>595</v>
      </c>
      <c r="Y524">
        <v>1</v>
      </c>
      <c r="Z524">
        <v>0</v>
      </c>
      <c r="AA524">
        <v>50</v>
      </c>
      <c r="AB524">
        <v>25</v>
      </c>
      <c r="AC524">
        <v>0.4</v>
      </c>
    </row>
    <row r="525" spans="1:29">
      <c r="A525">
        <v>2035061</v>
      </c>
      <c r="B525">
        <v>2001</v>
      </c>
      <c r="C525">
        <v>37</v>
      </c>
      <c r="D525" t="s">
        <v>555</v>
      </c>
      <c r="E525">
        <f t="shared" si="100"/>
        <v>870</v>
      </c>
      <c r="F525">
        <f t="shared" si="101"/>
        <v>870</v>
      </c>
      <c r="G525" s="2">
        <v>10</v>
      </c>
      <c r="H525">
        <v>0</v>
      </c>
      <c r="I525">
        <v>0</v>
      </c>
      <c r="J525">
        <v>0</v>
      </c>
      <c r="K525">
        <v>0</v>
      </c>
      <c r="L525">
        <v>228171</v>
      </c>
      <c r="M525">
        <v>2140</v>
      </c>
      <c r="N525">
        <v>2823</v>
      </c>
      <c r="O525">
        <v>3388</v>
      </c>
      <c r="P525">
        <v>230</v>
      </c>
      <c r="Q525">
        <v>60</v>
      </c>
      <c r="R525">
        <v>60</v>
      </c>
      <c r="S525">
        <v>0</v>
      </c>
      <c r="T525">
        <v>1059</v>
      </c>
      <c r="U525">
        <v>522</v>
      </c>
      <c r="V525">
        <v>0</v>
      </c>
      <c r="W525">
        <v>0</v>
      </c>
      <c r="X525" t="s">
        <v>596</v>
      </c>
      <c r="Y525">
        <v>1</v>
      </c>
      <c r="Z525">
        <v>0</v>
      </c>
      <c r="AA525">
        <v>50</v>
      </c>
      <c r="AB525">
        <v>25</v>
      </c>
      <c r="AC525">
        <v>0.4</v>
      </c>
    </row>
    <row r="526" spans="1:29">
      <c r="A526">
        <v>2035071</v>
      </c>
      <c r="B526">
        <v>2001</v>
      </c>
      <c r="C526">
        <v>37</v>
      </c>
      <c r="D526" t="s">
        <v>556</v>
      </c>
      <c r="E526">
        <f t="shared" si="100"/>
        <v>870</v>
      </c>
      <c r="F526">
        <f t="shared" si="101"/>
        <v>870</v>
      </c>
      <c r="G526" s="2">
        <v>3</v>
      </c>
      <c r="H526">
        <v>0</v>
      </c>
      <c r="I526">
        <v>0</v>
      </c>
      <c r="J526">
        <v>0</v>
      </c>
      <c r="K526">
        <v>0</v>
      </c>
      <c r="L526">
        <v>136903</v>
      </c>
      <c r="M526">
        <v>1070</v>
      </c>
      <c r="N526">
        <v>823</v>
      </c>
      <c r="O526">
        <v>988</v>
      </c>
      <c r="P526">
        <v>230</v>
      </c>
      <c r="Q526">
        <v>60</v>
      </c>
      <c r="R526">
        <v>60</v>
      </c>
      <c r="S526">
        <v>0</v>
      </c>
      <c r="T526">
        <v>0</v>
      </c>
      <c r="U526">
        <v>522</v>
      </c>
      <c r="V526">
        <v>0</v>
      </c>
      <c r="W526">
        <v>0</v>
      </c>
      <c r="X526" t="s">
        <v>597</v>
      </c>
      <c r="Y526">
        <v>1</v>
      </c>
      <c r="Z526">
        <v>0</v>
      </c>
      <c r="AA526">
        <v>50</v>
      </c>
      <c r="AB526">
        <v>25</v>
      </c>
      <c r="AC526">
        <v>0.4</v>
      </c>
    </row>
    <row r="527" spans="1:29">
      <c r="A527">
        <f>A526+1</f>
        <v>2035072</v>
      </c>
      <c r="B527">
        <v>2001</v>
      </c>
      <c r="C527">
        <f>C526</f>
        <v>37</v>
      </c>
      <c r="D527" t="s">
        <v>582</v>
      </c>
      <c r="E527">
        <f>E526</f>
        <v>870</v>
      </c>
      <c r="F527">
        <f t="shared" ref="F527" si="116">F526</f>
        <v>870</v>
      </c>
      <c r="G527" s="2" t="s">
        <v>629</v>
      </c>
      <c r="H527">
        <f t="shared" ref="H527" si="117">H526</f>
        <v>0</v>
      </c>
      <c r="I527">
        <f t="shared" ref="I527" si="118">I526</f>
        <v>0</v>
      </c>
      <c r="J527">
        <f t="shared" ref="J527" si="119">J526</f>
        <v>0</v>
      </c>
      <c r="K527">
        <f t="shared" ref="K527" si="120">K526</f>
        <v>0</v>
      </c>
      <c r="L527">
        <v>100767</v>
      </c>
      <c r="M527">
        <v>1070</v>
      </c>
      <c r="N527">
        <v>1426</v>
      </c>
      <c r="O527">
        <v>1711</v>
      </c>
      <c r="P527">
        <v>230</v>
      </c>
      <c r="Q527">
        <v>60</v>
      </c>
      <c r="R527">
        <v>60</v>
      </c>
      <c r="S527">
        <v>0</v>
      </c>
      <c r="T527">
        <v>0</v>
      </c>
      <c r="U527">
        <v>522</v>
      </c>
      <c r="V527">
        <v>0</v>
      </c>
      <c r="W527">
        <v>0</v>
      </c>
      <c r="X527" t="s">
        <v>62</v>
      </c>
      <c r="Y527">
        <v>1</v>
      </c>
      <c r="Z527">
        <v>0</v>
      </c>
      <c r="AA527">
        <v>50</v>
      </c>
      <c r="AB527">
        <v>25</v>
      </c>
      <c r="AC527">
        <v>0.4</v>
      </c>
    </row>
    <row r="528" spans="1:29">
      <c r="A528">
        <v>2035081</v>
      </c>
      <c r="B528">
        <v>2001</v>
      </c>
      <c r="C528">
        <v>38</v>
      </c>
      <c r="D528" t="s">
        <v>557</v>
      </c>
      <c r="E528">
        <f t="shared" si="100"/>
        <v>900</v>
      </c>
      <c r="F528">
        <f t="shared" si="101"/>
        <v>900</v>
      </c>
      <c r="G528" s="2">
        <v>7</v>
      </c>
      <c r="H528">
        <v>0</v>
      </c>
      <c r="I528">
        <v>0</v>
      </c>
      <c r="J528">
        <v>0</v>
      </c>
      <c r="K528">
        <v>0</v>
      </c>
      <c r="L528">
        <v>276607</v>
      </c>
      <c r="M528">
        <v>1080</v>
      </c>
      <c r="N528">
        <v>2401</v>
      </c>
      <c r="O528">
        <v>2881</v>
      </c>
      <c r="P528">
        <v>260</v>
      </c>
      <c r="Q528">
        <v>70</v>
      </c>
      <c r="R528">
        <v>70</v>
      </c>
      <c r="S528">
        <v>0</v>
      </c>
      <c r="T528">
        <v>0</v>
      </c>
      <c r="U528">
        <v>549</v>
      </c>
      <c r="V528">
        <v>0</v>
      </c>
      <c r="W528">
        <v>0</v>
      </c>
      <c r="X528" t="s">
        <v>598</v>
      </c>
      <c r="Y528">
        <v>1</v>
      </c>
      <c r="Z528">
        <v>0</v>
      </c>
      <c r="AA528">
        <v>50</v>
      </c>
      <c r="AB528">
        <v>25</v>
      </c>
      <c r="AC528">
        <v>0.4</v>
      </c>
    </row>
    <row r="529" spans="1:29">
      <c r="A529">
        <v>2035091</v>
      </c>
      <c r="B529">
        <v>2001</v>
      </c>
      <c r="C529">
        <v>39</v>
      </c>
      <c r="D529" t="s">
        <v>558</v>
      </c>
      <c r="E529">
        <f t="shared" si="100"/>
        <v>930</v>
      </c>
      <c r="F529">
        <f t="shared" si="101"/>
        <v>930</v>
      </c>
      <c r="G529" s="2">
        <v>15</v>
      </c>
      <c r="H529">
        <v>0</v>
      </c>
      <c r="I529">
        <v>0</v>
      </c>
      <c r="J529">
        <v>0</v>
      </c>
      <c r="K529">
        <v>0</v>
      </c>
      <c r="L529">
        <v>314107</v>
      </c>
      <c r="M529">
        <v>1090</v>
      </c>
      <c r="N529">
        <v>2435</v>
      </c>
      <c r="O529">
        <v>2922</v>
      </c>
      <c r="P529">
        <v>290</v>
      </c>
      <c r="Q529">
        <v>80</v>
      </c>
      <c r="R529">
        <v>80</v>
      </c>
      <c r="S529">
        <v>0</v>
      </c>
      <c r="T529">
        <v>0</v>
      </c>
      <c r="U529">
        <v>578</v>
      </c>
      <c r="V529">
        <v>0</v>
      </c>
      <c r="W529">
        <v>0</v>
      </c>
      <c r="X529" t="s">
        <v>599</v>
      </c>
      <c r="Y529">
        <v>1</v>
      </c>
      <c r="Z529">
        <v>0</v>
      </c>
      <c r="AA529">
        <v>50</v>
      </c>
      <c r="AB529">
        <v>25</v>
      </c>
      <c r="AC529">
        <v>0.4</v>
      </c>
    </row>
    <row r="530" spans="1:29">
      <c r="A530">
        <v>2040011</v>
      </c>
      <c r="B530">
        <v>2001</v>
      </c>
      <c r="C530">
        <v>40</v>
      </c>
      <c r="D530" t="s">
        <v>574</v>
      </c>
      <c r="E530">
        <f t="shared" si="100"/>
        <v>960</v>
      </c>
      <c r="F530">
        <f t="shared" si="101"/>
        <v>960</v>
      </c>
      <c r="G530" s="2">
        <v>11</v>
      </c>
      <c r="H530">
        <v>0</v>
      </c>
      <c r="I530">
        <v>0</v>
      </c>
      <c r="J530">
        <v>0</v>
      </c>
      <c r="K530">
        <v>0</v>
      </c>
      <c r="L530">
        <v>191319</v>
      </c>
      <c r="M530">
        <v>1100</v>
      </c>
      <c r="N530">
        <v>3463</v>
      </c>
      <c r="O530">
        <v>4156</v>
      </c>
      <c r="P530">
        <v>320</v>
      </c>
      <c r="Q530">
        <v>90</v>
      </c>
      <c r="R530">
        <v>90</v>
      </c>
      <c r="S530">
        <v>871</v>
      </c>
      <c r="T530">
        <v>0</v>
      </c>
      <c r="U530">
        <v>607</v>
      </c>
      <c r="V530">
        <v>0</v>
      </c>
      <c r="W530">
        <v>0</v>
      </c>
      <c r="X530" t="s">
        <v>617</v>
      </c>
      <c r="Y530">
        <v>1</v>
      </c>
      <c r="Z530">
        <v>0</v>
      </c>
      <c r="AA530">
        <v>50</v>
      </c>
      <c r="AB530">
        <v>25</v>
      </c>
      <c r="AC530">
        <v>0.4</v>
      </c>
    </row>
    <row r="531" spans="1:29">
      <c r="A531">
        <v>2040021</v>
      </c>
      <c r="B531">
        <v>2001</v>
      </c>
      <c r="C531">
        <v>40</v>
      </c>
      <c r="D531" t="s">
        <v>551</v>
      </c>
      <c r="E531">
        <f t="shared" si="100"/>
        <v>960</v>
      </c>
      <c r="F531">
        <f t="shared" si="101"/>
        <v>960</v>
      </c>
      <c r="G531" s="2" t="s">
        <v>628</v>
      </c>
      <c r="H531">
        <v>0</v>
      </c>
      <c r="I531">
        <v>0</v>
      </c>
      <c r="J531">
        <v>0</v>
      </c>
      <c r="K531">
        <v>0</v>
      </c>
      <c r="L531">
        <v>148290</v>
      </c>
      <c r="M531">
        <v>14829</v>
      </c>
      <c r="N531">
        <v>5324</v>
      </c>
      <c r="O531">
        <v>6389</v>
      </c>
      <c r="P531">
        <v>320</v>
      </c>
      <c r="Q531">
        <v>90</v>
      </c>
      <c r="R531">
        <v>90</v>
      </c>
      <c r="S531">
        <v>0</v>
      </c>
      <c r="T531">
        <v>0</v>
      </c>
      <c r="U531">
        <v>607</v>
      </c>
      <c r="V531">
        <v>0</v>
      </c>
      <c r="W531">
        <v>0</v>
      </c>
      <c r="X531" t="s">
        <v>592</v>
      </c>
      <c r="Y531">
        <v>1</v>
      </c>
      <c r="Z531">
        <v>0</v>
      </c>
      <c r="AA531">
        <v>50</v>
      </c>
      <c r="AB531">
        <v>25</v>
      </c>
      <c r="AC531">
        <v>0.4</v>
      </c>
    </row>
    <row r="532" spans="1:29">
      <c r="A532">
        <v>2040031</v>
      </c>
      <c r="B532">
        <v>2001</v>
      </c>
      <c r="C532">
        <v>41</v>
      </c>
      <c r="D532" t="s">
        <v>552</v>
      </c>
      <c r="E532">
        <f t="shared" si="100"/>
        <v>1000</v>
      </c>
      <c r="F532">
        <f t="shared" si="101"/>
        <v>1000</v>
      </c>
      <c r="G532" s="2">
        <v>5</v>
      </c>
      <c r="H532">
        <v>0</v>
      </c>
      <c r="I532">
        <v>0</v>
      </c>
      <c r="J532">
        <v>0</v>
      </c>
      <c r="K532">
        <v>0</v>
      </c>
      <c r="L532">
        <v>258663</v>
      </c>
      <c r="M532">
        <v>1110</v>
      </c>
      <c r="N532">
        <v>3668</v>
      </c>
      <c r="O532">
        <v>4402</v>
      </c>
      <c r="P532">
        <v>350</v>
      </c>
      <c r="Q532">
        <v>100</v>
      </c>
      <c r="R532">
        <v>100</v>
      </c>
      <c r="S532">
        <v>0</v>
      </c>
      <c r="T532">
        <v>0</v>
      </c>
      <c r="U532">
        <v>638</v>
      </c>
      <c r="V532">
        <v>0</v>
      </c>
      <c r="W532">
        <v>0</v>
      </c>
      <c r="X532" t="s">
        <v>593</v>
      </c>
      <c r="Y532">
        <v>1</v>
      </c>
      <c r="Z532">
        <v>0</v>
      </c>
      <c r="AA532">
        <v>50</v>
      </c>
      <c r="AB532">
        <v>25</v>
      </c>
      <c r="AC532">
        <v>0.4</v>
      </c>
    </row>
    <row r="533" spans="1:29">
      <c r="A533">
        <v>2040041</v>
      </c>
      <c r="B533">
        <v>2001</v>
      </c>
      <c r="C533">
        <v>41</v>
      </c>
      <c r="D533" t="s">
        <v>553</v>
      </c>
      <c r="E533">
        <f t="shared" si="100"/>
        <v>1000</v>
      </c>
      <c r="F533">
        <f t="shared" si="101"/>
        <v>1000</v>
      </c>
      <c r="G533" s="2">
        <v>16</v>
      </c>
      <c r="H533">
        <v>0</v>
      </c>
      <c r="I533">
        <v>0</v>
      </c>
      <c r="J533">
        <v>0</v>
      </c>
      <c r="K533">
        <v>0</v>
      </c>
      <c r="L533">
        <v>226604</v>
      </c>
      <c r="M533">
        <v>2220</v>
      </c>
      <c r="N533">
        <v>3753</v>
      </c>
      <c r="O533">
        <v>4504</v>
      </c>
      <c r="P533">
        <v>350</v>
      </c>
      <c r="Q533">
        <v>100</v>
      </c>
      <c r="R533">
        <v>100</v>
      </c>
      <c r="S533">
        <v>0</v>
      </c>
      <c r="T533">
        <v>0</v>
      </c>
      <c r="U533">
        <v>1583</v>
      </c>
      <c r="V533">
        <v>0</v>
      </c>
      <c r="W533">
        <v>0</v>
      </c>
      <c r="X533" t="s">
        <v>594</v>
      </c>
      <c r="Y533">
        <v>1</v>
      </c>
      <c r="Z533">
        <v>0</v>
      </c>
      <c r="AA533">
        <v>50</v>
      </c>
      <c r="AB533">
        <v>25</v>
      </c>
      <c r="AC533">
        <v>0.4</v>
      </c>
    </row>
    <row r="534" spans="1:29">
      <c r="A534">
        <v>2040051</v>
      </c>
      <c r="B534">
        <v>2001</v>
      </c>
      <c r="C534">
        <v>41</v>
      </c>
      <c r="D534" t="s">
        <v>554</v>
      </c>
      <c r="E534">
        <f t="shared" si="100"/>
        <v>1000</v>
      </c>
      <c r="F534">
        <f t="shared" si="101"/>
        <v>1000</v>
      </c>
      <c r="G534" s="2">
        <v>4</v>
      </c>
      <c r="H534">
        <v>0</v>
      </c>
      <c r="I534">
        <v>0</v>
      </c>
      <c r="J534">
        <v>0</v>
      </c>
      <c r="K534">
        <v>0</v>
      </c>
      <c r="L534">
        <v>310186</v>
      </c>
      <c r="M534">
        <v>1110</v>
      </c>
      <c r="N534">
        <v>3263</v>
      </c>
      <c r="O534">
        <v>3916</v>
      </c>
      <c r="P534">
        <v>350</v>
      </c>
      <c r="Q534">
        <v>100</v>
      </c>
      <c r="R534">
        <v>100</v>
      </c>
      <c r="S534">
        <v>0</v>
      </c>
      <c r="T534">
        <v>0</v>
      </c>
      <c r="U534">
        <v>638</v>
      </c>
      <c r="V534">
        <v>0</v>
      </c>
      <c r="W534">
        <v>0</v>
      </c>
      <c r="X534" t="s">
        <v>595</v>
      </c>
      <c r="Y534">
        <v>1</v>
      </c>
      <c r="Z534">
        <v>0</v>
      </c>
      <c r="AA534">
        <v>50</v>
      </c>
      <c r="AB534">
        <v>25</v>
      </c>
      <c r="AC534">
        <v>0.4</v>
      </c>
    </row>
    <row r="535" spans="1:29">
      <c r="A535">
        <v>2040061</v>
      </c>
      <c r="B535">
        <v>2001</v>
      </c>
      <c r="C535">
        <v>42</v>
      </c>
      <c r="D535" t="s">
        <v>555</v>
      </c>
      <c r="E535">
        <f t="shared" si="100"/>
        <v>1040</v>
      </c>
      <c r="F535">
        <f t="shared" si="101"/>
        <v>1040</v>
      </c>
      <c r="G535" s="2">
        <v>10</v>
      </c>
      <c r="H535">
        <v>0</v>
      </c>
      <c r="I535">
        <v>0</v>
      </c>
      <c r="J535">
        <v>0</v>
      </c>
      <c r="K535">
        <v>0</v>
      </c>
      <c r="L535">
        <v>348935</v>
      </c>
      <c r="M535">
        <v>2240</v>
      </c>
      <c r="N535">
        <v>4749</v>
      </c>
      <c r="O535">
        <v>5699</v>
      </c>
      <c r="P535">
        <v>380</v>
      </c>
      <c r="Q535">
        <v>110</v>
      </c>
      <c r="R535">
        <v>110</v>
      </c>
      <c r="S535">
        <v>0</v>
      </c>
      <c r="T535">
        <v>1358</v>
      </c>
      <c r="U535">
        <v>668</v>
      </c>
      <c r="V535">
        <v>0</v>
      </c>
      <c r="W535">
        <v>0</v>
      </c>
      <c r="X535" t="s">
        <v>596</v>
      </c>
      <c r="Y535">
        <v>1</v>
      </c>
      <c r="Z535">
        <v>0</v>
      </c>
      <c r="AA535">
        <v>50</v>
      </c>
      <c r="AB535">
        <v>25</v>
      </c>
      <c r="AC535">
        <v>0.4</v>
      </c>
    </row>
    <row r="536" spans="1:29">
      <c r="A536">
        <v>2040071</v>
      </c>
      <c r="B536">
        <v>2001</v>
      </c>
      <c r="C536">
        <v>42</v>
      </c>
      <c r="D536" t="s">
        <v>556</v>
      </c>
      <c r="E536">
        <f t="shared" si="100"/>
        <v>1040</v>
      </c>
      <c r="F536">
        <f t="shared" si="101"/>
        <v>1040</v>
      </c>
      <c r="G536" s="2">
        <v>3</v>
      </c>
      <c r="H536">
        <v>0</v>
      </c>
      <c r="I536">
        <v>0</v>
      </c>
      <c r="J536">
        <v>0</v>
      </c>
      <c r="K536">
        <v>0</v>
      </c>
      <c r="L536">
        <v>209361</v>
      </c>
      <c r="M536">
        <v>1120</v>
      </c>
      <c r="N536">
        <v>1385</v>
      </c>
      <c r="O536">
        <v>1662</v>
      </c>
      <c r="P536">
        <v>380</v>
      </c>
      <c r="Q536">
        <v>110</v>
      </c>
      <c r="R536">
        <v>110</v>
      </c>
      <c r="S536">
        <v>0</v>
      </c>
      <c r="T536">
        <v>0</v>
      </c>
      <c r="U536">
        <v>668</v>
      </c>
      <c r="V536">
        <v>0</v>
      </c>
      <c r="W536">
        <v>0</v>
      </c>
      <c r="X536" t="s">
        <v>597</v>
      </c>
      <c r="Y536">
        <v>1</v>
      </c>
      <c r="Z536">
        <v>0</v>
      </c>
      <c r="AA536">
        <v>50</v>
      </c>
      <c r="AB536">
        <v>25</v>
      </c>
      <c r="AC536">
        <v>0.4</v>
      </c>
    </row>
    <row r="537" spans="1:29">
      <c r="A537">
        <f>A536+1</f>
        <v>2040072</v>
      </c>
      <c r="B537">
        <v>2001</v>
      </c>
      <c r="C537">
        <f>C536</f>
        <v>42</v>
      </c>
      <c r="D537" t="s">
        <v>582</v>
      </c>
      <c r="E537">
        <f>E536</f>
        <v>1040</v>
      </c>
      <c r="F537">
        <f t="shared" ref="F537" si="121">F536</f>
        <v>1040</v>
      </c>
      <c r="G537" s="2" t="s">
        <v>629</v>
      </c>
      <c r="H537">
        <f t="shared" ref="H537" si="122">H536</f>
        <v>0</v>
      </c>
      <c r="I537">
        <f t="shared" ref="I537" si="123">I536</f>
        <v>0</v>
      </c>
      <c r="J537">
        <f t="shared" ref="J537" si="124">J536</f>
        <v>0</v>
      </c>
      <c r="K537">
        <f t="shared" ref="K537" si="125">K536</f>
        <v>0</v>
      </c>
      <c r="L537">
        <v>152665</v>
      </c>
      <c r="M537">
        <v>1120</v>
      </c>
      <c r="N537">
        <v>2442</v>
      </c>
      <c r="O537">
        <v>2930</v>
      </c>
      <c r="P537">
        <v>380</v>
      </c>
      <c r="Q537">
        <v>110</v>
      </c>
      <c r="R537">
        <v>110</v>
      </c>
      <c r="S537">
        <v>0</v>
      </c>
      <c r="T537">
        <v>0</v>
      </c>
      <c r="U537">
        <v>668</v>
      </c>
      <c r="V537">
        <v>0</v>
      </c>
      <c r="W537">
        <v>0</v>
      </c>
      <c r="X537" t="s">
        <v>62</v>
      </c>
      <c r="Y537">
        <v>1</v>
      </c>
      <c r="Z537">
        <v>0</v>
      </c>
      <c r="AA537">
        <v>50</v>
      </c>
      <c r="AB537">
        <v>25</v>
      </c>
      <c r="AC537">
        <v>0.4</v>
      </c>
    </row>
    <row r="538" spans="1:29">
      <c r="A538">
        <v>2040081</v>
      </c>
      <c r="B538">
        <v>2001</v>
      </c>
      <c r="C538">
        <v>43</v>
      </c>
      <c r="D538" t="s">
        <v>557</v>
      </c>
      <c r="E538">
        <f t="shared" si="100"/>
        <v>1080</v>
      </c>
      <c r="F538">
        <f t="shared" si="101"/>
        <v>1080</v>
      </c>
      <c r="G538" s="2">
        <v>7</v>
      </c>
      <c r="H538">
        <v>0</v>
      </c>
      <c r="I538">
        <v>0</v>
      </c>
      <c r="J538">
        <v>0</v>
      </c>
      <c r="K538">
        <v>0</v>
      </c>
      <c r="L538">
        <v>416209</v>
      </c>
      <c r="M538">
        <v>1130</v>
      </c>
      <c r="N538">
        <v>4185</v>
      </c>
      <c r="O538">
        <v>5022</v>
      </c>
      <c r="P538">
        <v>410</v>
      </c>
      <c r="Q538">
        <v>120</v>
      </c>
      <c r="R538">
        <v>120</v>
      </c>
      <c r="S538">
        <v>0</v>
      </c>
      <c r="T538">
        <v>0</v>
      </c>
      <c r="U538">
        <v>700</v>
      </c>
      <c r="V538">
        <v>0</v>
      </c>
      <c r="W538">
        <v>0</v>
      </c>
      <c r="X538" t="s">
        <v>598</v>
      </c>
      <c r="Y538">
        <v>1</v>
      </c>
      <c r="Z538">
        <v>0</v>
      </c>
      <c r="AA538">
        <v>50</v>
      </c>
      <c r="AB538">
        <v>25</v>
      </c>
      <c r="AC538">
        <v>0.4</v>
      </c>
    </row>
    <row r="539" spans="1:29">
      <c r="A539">
        <v>2040091</v>
      </c>
      <c r="B539">
        <v>2001</v>
      </c>
      <c r="C539">
        <v>44</v>
      </c>
      <c r="D539" t="s">
        <v>558</v>
      </c>
      <c r="E539">
        <f t="shared" si="100"/>
        <v>1120</v>
      </c>
      <c r="F539">
        <f t="shared" si="101"/>
        <v>1120</v>
      </c>
      <c r="G539" s="2">
        <v>15</v>
      </c>
      <c r="H539">
        <v>0</v>
      </c>
      <c r="I539">
        <v>0</v>
      </c>
      <c r="J539">
        <v>0</v>
      </c>
      <c r="K539">
        <v>0</v>
      </c>
      <c r="L539">
        <v>467813</v>
      </c>
      <c r="M539">
        <v>1140.0000000000002</v>
      </c>
      <c r="N539">
        <v>4344</v>
      </c>
      <c r="O539">
        <v>5213</v>
      </c>
      <c r="P539">
        <v>440</v>
      </c>
      <c r="Q539">
        <v>130</v>
      </c>
      <c r="R539">
        <v>130</v>
      </c>
      <c r="S539">
        <v>0</v>
      </c>
      <c r="T539">
        <v>0</v>
      </c>
      <c r="U539">
        <v>732</v>
      </c>
      <c r="V539">
        <v>0</v>
      </c>
      <c r="W539">
        <v>0</v>
      </c>
      <c r="X539" t="s">
        <v>599</v>
      </c>
      <c r="Y539">
        <v>1</v>
      </c>
      <c r="Z539">
        <v>0</v>
      </c>
      <c r="AA539">
        <v>50</v>
      </c>
      <c r="AB539">
        <v>25</v>
      </c>
      <c r="AC539">
        <v>0.4</v>
      </c>
    </row>
    <row r="540" spans="1:29">
      <c r="A540">
        <v>2045011</v>
      </c>
      <c r="B540">
        <v>2001</v>
      </c>
      <c r="C540">
        <v>45</v>
      </c>
      <c r="D540" t="s">
        <v>574</v>
      </c>
      <c r="E540">
        <f t="shared" si="100"/>
        <v>1160</v>
      </c>
      <c r="F540">
        <f t="shared" si="101"/>
        <v>1160</v>
      </c>
      <c r="G540" s="2">
        <v>11</v>
      </c>
      <c r="H540">
        <v>0</v>
      </c>
      <c r="I540">
        <v>0</v>
      </c>
      <c r="J540">
        <v>0</v>
      </c>
      <c r="K540">
        <v>0</v>
      </c>
      <c r="L540">
        <v>281069</v>
      </c>
      <c r="M540">
        <v>1150</v>
      </c>
      <c r="N540">
        <v>4133</v>
      </c>
      <c r="O540">
        <v>4960</v>
      </c>
      <c r="P540">
        <v>470</v>
      </c>
      <c r="Q540">
        <v>140</v>
      </c>
      <c r="R540">
        <v>140</v>
      </c>
      <c r="S540">
        <v>1098</v>
      </c>
      <c r="T540">
        <v>0</v>
      </c>
      <c r="U540">
        <v>766</v>
      </c>
      <c r="V540">
        <v>0</v>
      </c>
      <c r="W540">
        <v>0</v>
      </c>
      <c r="X540" t="s">
        <v>617</v>
      </c>
      <c r="Y540">
        <v>1</v>
      </c>
      <c r="Z540">
        <v>0</v>
      </c>
      <c r="AA540">
        <v>50</v>
      </c>
      <c r="AB540">
        <v>25</v>
      </c>
      <c r="AC540">
        <v>0.4</v>
      </c>
    </row>
    <row r="541" spans="1:29">
      <c r="A541">
        <v>2045021</v>
      </c>
      <c r="B541">
        <v>2001</v>
      </c>
      <c r="C541">
        <v>45</v>
      </c>
      <c r="D541" t="s">
        <v>551</v>
      </c>
      <c r="E541">
        <f t="shared" si="100"/>
        <v>1160</v>
      </c>
      <c r="F541">
        <f t="shared" si="101"/>
        <v>1160</v>
      </c>
      <c r="G541" s="2" t="s">
        <v>628</v>
      </c>
      <c r="H541">
        <v>0</v>
      </c>
      <c r="I541">
        <v>0</v>
      </c>
      <c r="J541">
        <v>0</v>
      </c>
      <c r="K541">
        <v>0</v>
      </c>
      <c r="L541">
        <v>214256</v>
      </c>
      <c r="M541">
        <v>21426</v>
      </c>
      <c r="N541">
        <v>6429</v>
      </c>
      <c r="O541">
        <v>7715</v>
      </c>
      <c r="P541">
        <v>470</v>
      </c>
      <c r="Q541">
        <v>140</v>
      </c>
      <c r="R541">
        <v>140</v>
      </c>
      <c r="S541">
        <v>0</v>
      </c>
      <c r="T541">
        <v>0</v>
      </c>
      <c r="U541">
        <v>766</v>
      </c>
      <c r="V541">
        <v>0</v>
      </c>
      <c r="W541">
        <v>0</v>
      </c>
      <c r="X541" t="s">
        <v>592</v>
      </c>
      <c r="Y541">
        <v>1</v>
      </c>
      <c r="Z541">
        <v>0</v>
      </c>
      <c r="AA541">
        <v>50</v>
      </c>
      <c r="AB541">
        <v>25</v>
      </c>
      <c r="AC541">
        <v>0.4</v>
      </c>
    </row>
    <row r="542" spans="1:29">
      <c r="A542">
        <v>2045031</v>
      </c>
      <c r="B542">
        <v>2001</v>
      </c>
      <c r="C542">
        <v>46</v>
      </c>
      <c r="D542" t="s">
        <v>552</v>
      </c>
      <c r="E542">
        <f t="shared" si="100"/>
        <v>1200</v>
      </c>
      <c r="F542">
        <f t="shared" si="101"/>
        <v>1200</v>
      </c>
      <c r="G542" s="2">
        <v>5</v>
      </c>
      <c r="H542">
        <v>0</v>
      </c>
      <c r="I542">
        <v>0</v>
      </c>
      <c r="J542">
        <v>0</v>
      </c>
      <c r="K542">
        <v>0</v>
      </c>
      <c r="L542">
        <v>366161</v>
      </c>
      <c r="M542">
        <v>1160</v>
      </c>
      <c r="N542">
        <v>4499</v>
      </c>
      <c r="O542">
        <v>5399</v>
      </c>
      <c r="P542">
        <v>500</v>
      </c>
      <c r="Q542">
        <v>150</v>
      </c>
      <c r="R542">
        <v>150</v>
      </c>
      <c r="S542">
        <v>0</v>
      </c>
      <c r="T542">
        <v>0</v>
      </c>
      <c r="U542">
        <v>799</v>
      </c>
      <c r="V542">
        <v>0</v>
      </c>
      <c r="W542">
        <v>0</v>
      </c>
      <c r="X542" t="s">
        <v>593</v>
      </c>
      <c r="Y542">
        <v>1</v>
      </c>
      <c r="Z542">
        <v>0</v>
      </c>
      <c r="AA542">
        <v>50</v>
      </c>
      <c r="AB542">
        <v>25</v>
      </c>
      <c r="AC542">
        <v>0.4</v>
      </c>
    </row>
    <row r="543" spans="1:29">
      <c r="A543">
        <v>2045041</v>
      </c>
      <c r="B543">
        <v>2001</v>
      </c>
      <c r="C543">
        <v>46</v>
      </c>
      <c r="D543" t="s">
        <v>553</v>
      </c>
      <c r="E543">
        <f t="shared" si="100"/>
        <v>1200</v>
      </c>
      <c r="F543">
        <f t="shared" si="101"/>
        <v>1200</v>
      </c>
      <c r="G543" s="2">
        <v>16</v>
      </c>
      <c r="H543">
        <v>0</v>
      </c>
      <c r="I543">
        <v>0</v>
      </c>
      <c r="J543">
        <v>0</v>
      </c>
      <c r="K543">
        <v>0</v>
      </c>
      <c r="L543">
        <v>318130</v>
      </c>
      <c r="M543">
        <v>2320</v>
      </c>
      <c r="N543">
        <v>4647</v>
      </c>
      <c r="O543">
        <v>5576</v>
      </c>
      <c r="P543">
        <v>500</v>
      </c>
      <c r="Q543">
        <v>150</v>
      </c>
      <c r="R543">
        <v>150</v>
      </c>
      <c r="S543">
        <v>0</v>
      </c>
      <c r="T543">
        <v>0</v>
      </c>
      <c r="U543">
        <v>1984</v>
      </c>
      <c r="V543">
        <v>0</v>
      </c>
      <c r="W543">
        <v>0</v>
      </c>
      <c r="X543" t="s">
        <v>594</v>
      </c>
      <c r="Y543">
        <v>1</v>
      </c>
      <c r="Z543">
        <v>0</v>
      </c>
      <c r="AA543">
        <v>50</v>
      </c>
      <c r="AB543">
        <v>25</v>
      </c>
      <c r="AC543">
        <v>0.4</v>
      </c>
    </row>
    <row r="544" spans="1:29">
      <c r="A544">
        <v>2045051</v>
      </c>
      <c r="B544">
        <v>2001</v>
      </c>
      <c r="C544">
        <v>46</v>
      </c>
      <c r="D544" t="s">
        <v>554</v>
      </c>
      <c r="E544">
        <f t="shared" si="100"/>
        <v>1200</v>
      </c>
      <c r="F544">
        <f t="shared" si="101"/>
        <v>1200</v>
      </c>
      <c r="G544" s="2">
        <v>4</v>
      </c>
      <c r="H544">
        <v>0</v>
      </c>
      <c r="I544">
        <v>0</v>
      </c>
      <c r="J544">
        <v>0</v>
      </c>
      <c r="K544">
        <v>0</v>
      </c>
      <c r="L544">
        <v>431875</v>
      </c>
      <c r="M544">
        <v>1160</v>
      </c>
      <c r="N544">
        <v>4081</v>
      </c>
      <c r="O544">
        <v>4897</v>
      </c>
      <c r="P544">
        <v>500</v>
      </c>
      <c r="Q544">
        <v>150</v>
      </c>
      <c r="R544">
        <v>150</v>
      </c>
      <c r="S544">
        <v>0</v>
      </c>
      <c r="T544">
        <v>0</v>
      </c>
      <c r="U544">
        <v>799</v>
      </c>
      <c r="V544">
        <v>0</v>
      </c>
      <c r="W544">
        <v>0</v>
      </c>
      <c r="X544" t="s">
        <v>595</v>
      </c>
      <c r="Y544">
        <v>1</v>
      </c>
      <c r="Z544">
        <v>0</v>
      </c>
      <c r="AA544">
        <v>50</v>
      </c>
      <c r="AB544">
        <v>25</v>
      </c>
      <c r="AC544">
        <v>0.4</v>
      </c>
    </row>
    <row r="545" spans="1:29">
      <c r="A545">
        <v>2045061</v>
      </c>
      <c r="B545">
        <v>2001</v>
      </c>
      <c r="C545">
        <v>47</v>
      </c>
      <c r="D545" t="s">
        <v>555</v>
      </c>
      <c r="E545">
        <f t="shared" si="100"/>
        <v>1240</v>
      </c>
      <c r="F545">
        <f t="shared" si="101"/>
        <v>1240</v>
      </c>
      <c r="G545" s="2">
        <v>10</v>
      </c>
      <c r="H545">
        <v>0</v>
      </c>
      <c r="I545">
        <v>0</v>
      </c>
      <c r="J545">
        <v>0</v>
      </c>
      <c r="K545">
        <v>0</v>
      </c>
      <c r="L545">
        <v>442234</v>
      </c>
      <c r="M545">
        <v>2340</v>
      </c>
      <c r="N545">
        <v>6016</v>
      </c>
      <c r="O545">
        <v>7219</v>
      </c>
      <c r="P545">
        <v>1000</v>
      </c>
      <c r="Q545">
        <v>300</v>
      </c>
      <c r="R545">
        <v>300</v>
      </c>
      <c r="S545">
        <v>0</v>
      </c>
      <c r="T545">
        <v>1694</v>
      </c>
      <c r="U545">
        <v>834</v>
      </c>
      <c r="V545">
        <v>0</v>
      </c>
      <c r="W545">
        <v>0</v>
      </c>
      <c r="X545" t="s">
        <v>596</v>
      </c>
      <c r="Y545">
        <v>1</v>
      </c>
      <c r="Z545">
        <v>0</v>
      </c>
      <c r="AA545">
        <v>50</v>
      </c>
      <c r="AB545">
        <v>25</v>
      </c>
      <c r="AC545">
        <v>0.4</v>
      </c>
    </row>
    <row r="546" spans="1:29">
      <c r="A546">
        <v>2045071</v>
      </c>
      <c r="B546">
        <v>2001</v>
      </c>
      <c r="C546">
        <v>47</v>
      </c>
      <c r="D546" t="s">
        <v>556</v>
      </c>
      <c r="E546">
        <f t="shared" si="100"/>
        <v>1240</v>
      </c>
      <c r="F546">
        <f t="shared" si="101"/>
        <v>1240</v>
      </c>
      <c r="G546" s="2">
        <v>3</v>
      </c>
      <c r="H546">
        <v>0</v>
      </c>
      <c r="I546">
        <v>0</v>
      </c>
      <c r="J546">
        <v>0</v>
      </c>
      <c r="K546">
        <v>0</v>
      </c>
      <c r="L546">
        <v>265340</v>
      </c>
      <c r="M546">
        <v>1170</v>
      </c>
      <c r="N546">
        <v>1755</v>
      </c>
      <c r="O546">
        <v>2106</v>
      </c>
      <c r="P546">
        <v>1000</v>
      </c>
      <c r="Q546">
        <v>300</v>
      </c>
      <c r="R546">
        <v>300</v>
      </c>
      <c r="S546">
        <v>0</v>
      </c>
      <c r="T546">
        <v>0</v>
      </c>
      <c r="U546">
        <v>834</v>
      </c>
      <c r="V546">
        <v>0</v>
      </c>
      <c r="W546">
        <v>0</v>
      </c>
      <c r="X546" t="s">
        <v>597</v>
      </c>
      <c r="Y546">
        <v>1</v>
      </c>
      <c r="Z546">
        <v>0</v>
      </c>
      <c r="AA546">
        <v>50</v>
      </c>
      <c r="AB546">
        <v>25</v>
      </c>
      <c r="AC546">
        <v>0.4</v>
      </c>
    </row>
    <row r="547" spans="1:29">
      <c r="A547">
        <f>A546+1</f>
        <v>2045072</v>
      </c>
      <c r="B547">
        <v>2001</v>
      </c>
      <c r="C547">
        <f>C546</f>
        <v>47</v>
      </c>
      <c r="D547" t="s">
        <v>582</v>
      </c>
      <c r="E547">
        <f>E546</f>
        <v>1240</v>
      </c>
      <c r="F547">
        <f t="shared" ref="F547" si="126">F546</f>
        <v>1240</v>
      </c>
      <c r="G547" s="2" t="s">
        <v>629</v>
      </c>
      <c r="H547">
        <f t="shared" ref="H547" si="127">H546</f>
        <v>0</v>
      </c>
      <c r="I547">
        <f t="shared" ref="I547" si="128">I546</f>
        <v>0</v>
      </c>
      <c r="J547">
        <f t="shared" ref="J547" si="129">J546</f>
        <v>0</v>
      </c>
      <c r="K547">
        <f t="shared" ref="K547" si="130">K546</f>
        <v>0</v>
      </c>
      <c r="L547">
        <v>192287</v>
      </c>
      <c r="M547">
        <v>1170</v>
      </c>
      <c r="N547">
        <v>3126</v>
      </c>
      <c r="O547">
        <v>3751</v>
      </c>
      <c r="P547">
        <v>1000</v>
      </c>
      <c r="Q547">
        <v>300</v>
      </c>
      <c r="R547">
        <v>300</v>
      </c>
      <c r="S547">
        <v>0</v>
      </c>
      <c r="T547">
        <v>0</v>
      </c>
      <c r="U547">
        <v>834</v>
      </c>
      <c r="V547">
        <v>0</v>
      </c>
      <c r="W547">
        <v>0</v>
      </c>
      <c r="X547" t="s">
        <v>62</v>
      </c>
      <c r="Y547">
        <v>1</v>
      </c>
      <c r="Z547">
        <v>0</v>
      </c>
      <c r="AA547">
        <v>50</v>
      </c>
      <c r="AB547">
        <v>25</v>
      </c>
      <c r="AC547">
        <v>0.4</v>
      </c>
    </row>
    <row r="548" spans="1:29">
      <c r="A548">
        <v>2045081</v>
      </c>
      <c r="B548">
        <v>2001</v>
      </c>
      <c r="C548">
        <v>48</v>
      </c>
      <c r="D548" t="s">
        <v>557</v>
      </c>
      <c r="E548">
        <f t="shared" si="100"/>
        <v>1280</v>
      </c>
      <c r="F548">
        <f t="shared" si="101"/>
        <v>1280</v>
      </c>
      <c r="G548" s="2">
        <v>7</v>
      </c>
      <c r="H548">
        <v>0</v>
      </c>
      <c r="I548">
        <v>0</v>
      </c>
      <c r="J548">
        <v>0</v>
      </c>
      <c r="K548">
        <v>0</v>
      </c>
      <c r="L548">
        <v>484270</v>
      </c>
      <c r="M548">
        <v>1180</v>
      </c>
      <c r="N548">
        <v>5414</v>
      </c>
      <c r="O548">
        <v>6497</v>
      </c>
      <c r="P548">
        <v>1500</v>
      </c>
      <c r="Q548">
        <v>450</v>
      </c>
      <c r="R548">
        <v>450</v>
      </c>
      <c r="S548">
        <v>0</v>
      </c>
      <c r="T548">
        <v>0</v>
      </c>
      <c r="U548">
        <v>869</v>
      </c>
      <c r="V548">
        <v>0</v>
      </c>
      <c r="W548">
        <v>0</v>
      </c>
      <c r="X548" t="s">
        <v>598</v>
      </c>
      <c r="Y548">
        <v>1</v>
      </c>
      <c r="Z548">
        <v>0</v>
      </c>
      <c r="AA548">
        <v>50</v>
      </c>
      <c r="AB548">
        <v>25</v>
      </c>
      <c r="AC548">
        <v>0.4</v>
      </c>
    </row>
    <row r="549" spans="1:29">
      <c r="A549">
        <v>2045091</v>
      </c>
      <c r="B549">
        <v>2001</v>
      </c>
      <c r="C549">
        <v>49</v>
      </c>
      <c r="D549" t="s">
        <v>558</v>
      </c>
      <c r="E549">
        <f t="shared" si="100"/>
        <v>1320</v>
      </c>
      <c r="F549">
        <f t="shared" si="101"/>
        <v>1320</v>
      </c>
      <c r="G549" s="2">
        <v>15</v>
      </c>
      <c r="H549">
        <v>0</v>
      </c>
      <c r="I549">
        <v>0</v>
      </c>
      <c r="J549">
        <v>0</v>
      </c>
      <c r="K549">
        <v>0</v>
      </c>
      <c r="L549">
        <v>505972</v>
      </c>
      <c r="M549">
        <v>1190</v>
      </c>
      <c r="N549">
        <v>5698</v>
      </c>
      <c r="O549">
        <v>6838</v>
      </c>
      <c r="P549">
        <v>2000</v>
      </c>
      <c r="Q549">
        <v>600</v>
      </c>
      <c r="R549">
        <v>600</v>
      </c>
      <c r="S549">
        <v>0</v>
      </c>
      <c r="T549">
        <v>0</v>
      </c>
      <c r="U549">
        <v>906</v>
      </c>
      <c r="V549">
        <v>0</v>
      </c>
      <c r="W549">
        <v>0</v>
      </c>
      <c r="X549" t="s">
        <v>599</v>
      </c>
      <c r="Y549">
        <v>1</v>
      </c>
      <c r="Z549">
        <v>0</v>
      </c>
      <c r="AA549">
        <v>50</v>
      </c>
      <c r="AB549">
        <v>25</v>
      </c>
      <c r="AC549">
        <v>0.4</v>
      </c>
    </row>
    <row r="550" spans="1:29">
      <c r="A550">
        <v>2050011</v>
      </c>
      <c r="B550">
        <v>2001</v>
      </c>
      <c r="C550">
        <v>50</v>
      </c>
      <c r="D550" t="s">
        <v>574</v>
      </c>
      <c r="E550">
        <f t="shared" si="100"/>
        <v>1360</v>
      </c>
      <c r="F550">
        <f t="shared" si="101"/>
        <v>1360</v>
      </c>
      <c r="G550" s="2">
        <v>11</v>
      </c>
      <c r="H550">
        <v>0</v>
      </c>
      <c r="I550">
        <v>0</v>
      </c>
      <c r="J550">
        <v>0</v>
      </c>
      <c r="K550">
        <v>0</v>
      </c>
      <c r="L550">
        <v>335691</v>
      </c>
      <c r="M550">
        <v>1200</v>
      </c>
      <c r="N550">
        <v>6335</v>
      </c>
      <c r="O550">
        <v>7602</v>
      </c>
      <c r="P550">
        <v>2500</v>
      </c>
      <c r="Q550">
        <v>750</v>
      </c>
      <c r="R550">
        <v>750</v>
      </c>
      <c r="S550">
        <v>1351</v>
      </c>
      <c r="T550">
        <v>0</v>
      </c>
      <c r="U550">
        <v>942</v>
      </c>
      <c r="V550">
        <v>0</v>
      </c>
      <c r="W550">
        <v>0</v>
      </c>
      <c r="X550" t="s">
        <v>617</v>
      </c>
      <c r="Y550">
        <v>1</v>
      </c>
      <c r="Z550">
        <v>0</v>
      </c>
      <c r="AA550">
        <v>50</v>
      </c>
      <c r="AB550">
        <v>25</v>
      </c>
      <c r="AC550">
        <v>0.4</v>
      </c>
    </row>
    <row r="551" spans="1:29">
      <c r="A551">
        <v>2050021</v>
      </c>
      <c r="B551">
        <v>2001</v>
      </c>
      <c r="C551">
        <v>50</v>
      </c>
      <c r="D551" t="s">
        <v>551</v>
      </c>
      <c r="E551">
        <f t="shared" si="100"/>
        <v>1360</v>
      </c>
      <c r="F551">
        <f t="shared" si="101"/>
        <v>1360</v>
      </c>
      <c r="G551" s="2" t="s">
        <v>628</v>
      </c>
      <c r="H551">
        <v>0</v>
      </c>
      <c r="I551">
        <v>0</v>
      </c>
      <c r="J551">
        <v>0</v>
      </c>
      <c r="K551">
        <v>0</v>
      </c>
      <c r="L551">
        <v>251226</v>
      </c>
      <c r="M551">
        <v>25123</v>
      </c>
      <c r="N551">
        <v>9969</v>
      </c>
      <c r="O551">
        <v>11963</v>
      </c>
      <c r="P551">
        <v>2500</v>
      </c>
      <c r="Q551">
        <v>750</v>
      </c>
      <c r="R551">
        <v>750</v>
      </c>
      <c r="S551">
        <v>0</v>
      </c>
      <c r="T551">
        <v>0</v>
      </c>
      <c r="U551">
        <v>942</v>
      </c>
      <c r="V551">
        <v>0</v>
      </c>
      <c r="W551">
        <v>0</v>
      </c>
      <c r="X551" t="s">
        <v>592</v>
      </c>
      <c r="Y551">
        <v>1</v>
      </c>
      <c r="Z551">
        <v>0</v>
      </c>
      <c r="AA551">
        <v>50</v>
      </c>
      <c r="AB551">
        <v>25</v>
      </c>
      <c r="AC551">
        <v>0.4</v>
      </c>
    </row>
    <row r="552" spans="1:29">
      <c r="A552">
        <v>2050031</v>
      </c>
      <c r="B552">
        <v>2001</v>
      </c>
      <c r="C552">
        <v>51</v>
      </c>
      <c r="D552" t="s">
        <v>552</v>
      </c>
      <c r="E552">
        <f t="shared" si="100"/>
        <v>1400</v>
      </c>
      <c r="F552">
        <f t="shared" si="101"/>
        <v>1400</v>
      </c>
      <c r="G552" s="2">
        <v>5</v>
      </c>
      <c r="H552">
        <v>0</v>
      </c>
      <c r="I552">
        <v>0</v>
      </c>
      <c r="J552">
        <v>0</v>
      </c>
      <c r="K552">
        <v>0</v>
      </c>
      <c r="L552">
        <v>397867</v>
      </c>
      <c r="M552">
        <v>1210</v>
      </c>
      <c r="N552">
        <v>7083</v>
      </c>
      <c r="O552">
        <v>8500</v>
      </c>
      <c r="P552">
        <v>3000</v>
      </c>
      <c r="Q552">
        <v>900</v>
      </c>
      <c r="R552">
        <v>900</v>
      </c>
      <c r="S552">
        <v>0</v>
      </c>
      <c r="T552">
        <v>0</v>
      </c>
      <c r="U552">
        <v>980</v>
      </c>
      <c r="V552">
        <v>0</v>
      </c>
      <c r="W552">
        <v>0</v>
      </c>
      <c r="X552" t="s">
        <v>593</v>
      </c>
      <c r="Y552">
        <v>1</v>
      </c>
      <c r="Z552">
        <v>0</v>
      </c>
      <c r="AA552">
        <v>50</v>
      </c>
      <c r="AB552">
        <v>25</v>
      </c>
      <c r="AC552">
        <v>0.4</v>
      </c>
    </row>
    <row r="553" spans="1:29">
      <c r="A553">
        <v>2050041</v>
      </c>
      <c r="B553">
        <v>2001</v>
      </c>
      <c r="C553">
        <v>51</v>
      </c>
      <c r="D553" t="s">
        <v>553</v>
      </c>
      <c r="E553">
        <f t="shared" si="100"/>
        <v>1400</v>
      </c>
      <c r="F553">
        <f t="shared" si="101"/>
        <v>1400</v>
      </c>
      <c r="G553" s="2">
        <v>16</v>
      </c>
      <c r="H553">
        <v>0</v>
      </c>
      <c r="I553">
        <v>0</v>
      </c>
      <c r="J553">
        <v>0</v>
      </c>
      <c r="K553">
        <v>0</v>
      </c>
      <c r="L553">
        <v>342232</v>
      </c>
      <c r="M553">
        <v>2420</v>
      </c>
      <c r="N553">
        <v>7382</v>
      </c>
      <c r="O553">
        <v>8858</v>
      </c>
      <c r="P553">
        <v>3000</v>
      </c>
      <c r="Q553">
        <v>900</v>
      </c>
      <c r="R553">
        <v>900</v>
      </c>
      <c r="S553">
        <v>0</v>
      </c>
      <c r="T553">
        <v>0</v>
      </c>
      <c r="U553">
        <v>2432</v>
      </c>
      <c r="V553">
        <v>0</v>
      </c>
      <c r="W553">
        <v>0</v>
      </c>
      <c r="X553" t="s">
        <v>594</v>
      </c>
      <c r="Y553">
        <v>1</v>
      </c>
      <c r="Z553">
        <v>0</v>
      </c>
      <c r="AA553">
        <v>50</v>
      </c>
      <c r="AB553">
        <v>25</v>
      </c>
      <c r="AC553">
        <v>0.4</v>
      </c>
    </row>
    <row r="554" spans="1:29">
      <c r="A554">
        <v>2050051</v>
      </c>
      <c r="B554">
        <v>2001</v>
      </c>
      <c r="C554">
        <v>51</v>
      </c>
      <c r="D554" t="s">
        <v>554</v>
      </c>
      <c r="E554">
        <f t="shared" si="100"/>
        <v>1400</v>
      </c>
      <c r="F554">
        <f t="shared" si="101"/>
        <v>1400</v>
      </c>
      <c r="G554" s="2">
        <v>4</v>
      </c>
      <c r="H554">
        <v>0</v>
      </c>
      <c r="I554">
        <v>0</v>
      </c>
      <c r="J554">
        <v>0</v>
      </c>
      <c r="K554">
        <v>0</v>
      </c>
      <c r="L554">
        <v>459964</v>
      </c>
      <c r="M554">
        <v>1210</v>
      </c>
      <c r="N554">
        <v>6538</v>
      </c>
      <c r="O554">
        <v>7846</v>
      </c>
      <c r="P554">
        <v>3000</v>
      </c>
      <c r="Q554">
        <v>900</v>
      </c>
      <c r="R554">
        <v>900</v>
      </c>
      <c r="S554">
        <v>0</v>
      </c>
      <c r="T554">
        <v>0</v>
      </c>
      <c r="U554">
        <v>980</v>
      </c>
      <c r="V554">
        <v>0</v>
      </c>
      <c r="W554">
        <v>0</v>
      </c>
      <c r="X554" t="s">
        <v>595</v>
      </c>
      <c r="Y554">
        <v>1</v>
      </c>
      <c r="Z554">
        <v>0</v>
      </c>
      <c r="AA554">
        <v>50</v>
      </c>
      <c r="AB554">
        <v>25</v>
      </c>
      <c r="AC554">
        <v>0.4</v>
      </c>
    </row>
    <row r="555" spans="1:29">
      <c r="A555">
        <v>2050061</v>
      </c>
      <c r="B555">
        <v>2001</v>
      </c>
      <c r="C555">
        <v>52</v>
      </c>
      <c r="D555" t="s">
        <v>555</v>
      </c>
      <c r="E555">
        <f t="shared" si="100"/>
        <v>1440</v>
      </c>
      <c r="F555">
        <f t="shared" si="101"/>
        <v>1440</v>
      </c>
      <c r="G555" s="2">
        <v>10</v>
      </c>
      <c r="H555">
        <v>0</v>
      </c>
      <c r="I555">
        <v>0</v>
      </c>
      <c r="J555">
        <v>0</v>
      </c>
      <c r="K555">
        <v>0</v>
      </c>
      <c r="L555">
        <v>482838</v>
      </c>
      <c r="M555">
        <v>2440</v>
      </c>
      <c r="N555">
        <v>9753</v>
      </c>
      <c r="O555">
        <v>11704</v>
      </c>
      <c r="P555">
        <v>3500</v>
      </c>
      <c r="Q555">
        <v>1050</v>
      </c>
      <c r="R555">
        <v>1050</v>
      </c>
      <c r="S555">
        <v>0</v>
      </c>
      <c r="T555">
        <v>2068</v>
      </c>
      <c r="U555">
        <v>1018</v>
      </c>
      <c r="V555">
        <v>0</v>
      </c>
      <c r="W555">
        <v>0</v>
      </c>
      <c r="X555" t="s">
        <v>596</v>
      </c>
      <c r="Y555">
        <v>1</v>
      </c>
      <c r="Z555">
        <v>0</v>
      </c>
      <c r="AA555">
        <v>50</v>
      </c>
      <c r="AB555">
        <v>25</v>
      </c>
      <c r="AC555">
        <v>0.4</v>
      </c>
    </row>
    <row r="556" spans="1:29">
      <c r="A556">
        <v>2050071</v>
      </c>
      <c r="B556">
        <v>2001</v>
      </c>
      <c r="C556">
        <v>52</v>
      </c>
      <c r="D556" t="s">
        <v>556</v>
      </c>
      <c r="E556">
        <f t="shared" si="100"/>
        <v>1440</v>
      </c>
      <c r="F556">
        <f t="shared" si="101"/>
        <v>1440</v>
      </c>
      <c r="G556" s="2">
        <v>3</v>
      </c>
      <c r="H556">
        <v>0</v>
      </c>
      <c r="I556">
        <v>0</v>
      </c>
      <c r="J556">
        <v>0</v>
      </c>
      <c r="K556">
        <v>0</v>
      </c>
      <c r="L556">
        <v>289703</v>
      </c>
      <c r="M556">
        <v>1220</v>
      </c>
      <c r="N556">
        <v>2845</v>
      </c>
      <c r="O556">
        <v>3414</v>
      </c>
      <c r="P556">
        <v>3500</v>
      </c>
      <c r="Q556">
        <v>1050</v>
      </c>
      <c r="R556">
        <v>1050</v>
      </c>
      <c r="S556">
        <v>0</v>
      </c>
      <c r="T556">
        <v>0</v>
      </c>
      <c r="U556">
        <v>1018</v>
      </c>
      <c r="V556">
        <v>0</v>
      </c>
      <c r="W556">
        <v>0</v>
      </c>
      <c r="X556" t="s">
        <v>597</v>
      </c>
      <c r="Y556">
        <v>1</v>
      </c>
      <c r="Z556">
        <v>0</v>
      </c>
      <c r="AA556">
        <v>50</v>
      </c>
      <c r="AB556">
        <v>25</v>
      </c>
      <c r="AC556">
        <v>0.4</v>
      </c>
    </row>
    <row r="557" spans="1:29">
      <c r="A557">
        <f>A556+1</f>
        <v>2050072</v>
      </c>
      <c r="B557">
        <v>2001</v>
      </c>
      <c r="C557">
        <f>C556</f>
        <v>52</v>
      </c>
      <c r="D557" t="s">
        <v>582</v>
      </c>
      <c r="E557">
        <f>E556</f>
        <v>1440</v>
      </c>
      <c r="F557">
        <f t="shared" ref="F557" si="131">F556</f>
        <v>1440</v>
      </c>
      <c r="G557" s="2" t="s">
        <v>629</v>
      </c>
      <c r="H557">
        <f t="shared" ref="H557" si="132">H556</f>
        <v>0</v>
      </c>
      <c r="I557">
        <f t="shared" ref="I557" si="133">I556</f>
        <v>0</v>
      </c>
      <c r="J557">
        <f t="shared" ref="J557" si="134">J556</f>
        <v>0</v>
      </c>
      <c r="K557">
        <f t="shared" ref="K557" si="135">K556</f>
        <v>0</v>
      </c>
      <c r="L557">
        <v>208288</v>
      </c>
      <c r="M557">
        <v>1220</v>
      </c>
      <c r="N557">
        <v>5113</v>
      </c>
      <c r="O557">
        <v>6136</v>
      </c>
      <c r="P557">
        <v>3500</v>
      </c>
      <c r="Q557">
        <v>1050</v>
      </c>
      <c r="R557">
        <v>1050</v>
      </c>
      <c r="S557">
        <v>0</v>
      </c>
      <c r="T557">
        <v>0</v>
      </c>
      <c r="U557">
        <v>1018</v>
      </c>
      <c r="V557">
        <v>0</v>
      </c>
      <c r="W557">
        <v>0</v>
      </c>
      <c r="X557" t="s">
        <v>62</v>
      </c>
      <c r="Y557">
        <v>1</v>
      </c>
      <c r="Z557">
        <v>0</v>
      </c>
      <c r="AA557">
        <v>50</v>
      </c>
      <c r="AB557">
        <v>25</v>
      </c>
      <c r="AC557">
        <v>0.4</v>
      </c>
    </row>
    <row r="558" spans="1:29">
      <c r="A558">
        <v>2050081</v>
      </c>
      <c r="B558">
        <v>2001</v>
      </c>
      <c r="C558">
        <v>53</v>
      </c>
      <c r="D558" t="s">
        <v>557</v>
      </c>
      <c r="E558">
        <f t="shared" si="100"/>
        <v>1480</v>
      </c>
      <c r="F558">
        <f t="shared" si="101"/>
        <v>1480</v>
      </c>
      <c r="G558" s="2">
        <v>7</v>
      </c>
      <c r="H558">
        <v>0</v>
      </c>
      <c r="I558">
        <v>0</v>
      </c>
      <c r="J558">
        <v>0</v>
      </c>
      <c r="K558">
        <v>0</v>
      </c>
      <c r="L558">
        <v>537756</v>
      </c>
      <c r="M558">
        <v>1230</v>
      </c>
      <c r="N558">
        <v>8935</v>
      </c>
      <c r="O558">
        <v>10722</v>
      </c>
      <c r="P558">
        <v>4000</v>
      </c>
      <c r="Q558">
        <v>1200</v>
      </c>
      <c r="R558">
        <v>1200</v>
      </c>
      <c r="S558">
        <v>0</v>
      </c>
      <c r="T558">
        <v>0</v>
      </c>
      <c r="U558">
        <v>1057</v>
      </c>
      <c r="V558">
        <v>0</v>
      </c>
      <c r="W558">
        <v>0</v>
      </c>
      <c r="X558" t="s">
        <v>598</v>
      </c>
      <c r="Y558">
        <v>1</v>
      </c>
      <c r="Z558">
        <v>0</v>
      </c>
      <c r="AA558">
        <v>50</v>
      </c>
      <c r="AB558">
        <v>25</v>
      </c>
      <c r="AC558">
        <v>0.4</v>
      </c>
    </row>
    <row r="559" spans="1:29">
      <c r="A559">
        <v>2050091</v>
      </c>
      <c r="B559">
        <v>2001</v>
      </c>
      <c r="C559">
        <v>54</v>
      </c>
      <c r="D559" t="s">
        <v>558</v>
      </c>
      <c r="E559">
        <f t="shared" si="100"/>
        <v>1520</v>
      </c>
      <c r="F559">
        <f t="shared" si="101"/>
        <v>1520</v>
      </c>
      <c r="G559" s="2">
        <v>15</v>
      </c>
      <c r="H559">
        <v>0</v>
      </c>
      <c r="I559">
        <v>0</v>
      </c>
      <c r="J559">
        <v>0</v>
      </c>
      <c r="K559">
        <v>0</v>
      </c>
      <c r="L559">
        <v>571926</v>
      </c>
      <c r="M559">
        <v>1240</v>
      </c>
      <c r="N559">
        <v>9519</v>
      </c>
      <c r="O559">
        <v>11423</v>
      </c>
      <c r="P559">
        <v>4500</v>
      </c>
      <c r="Q559">
        <v>1350</v>
      </c>
      <c r="R559">
        <v>1350</v>
      </c>
      <c r="S559">
        <v>0</v>
      </c>
      <c r="T559">
        <v>0</v>
      </c>
      <c r="U559">
        <v>1097</v>
      </c>
      <c r="V559">
        <v>0</v>
      </c>
      <c r="W559">
        <v>0</v>
      </c>
      <c r="X559" t="s">
        <v>599</v>
      </c>
      <c r="Y559">
        <v>1</v>
      </c>
      <c r="Z559">
        <v>0</v>
      </c>
      <c r="AA559">
        <v>50</v>
      </c>
      <c r="AB559">
        <v>25</v>
      </c>
      <c r="AC559">
        <v>0.4</v>
      </c>
    </row>
    <row r="560" spans="1:29">
      <c r="A560">
        <v>2055011</v>
      </c>
      <c r="B560">
        <v>2001</v>
      </c>
      <c r="C560">
        <v>55</v>
      </c>
      <c r="D560" t="s">
        <v>574</v>
      </c>
      <c r="E560">
        <f t="shared" si="100"/>
        <v>1560</v>
      </c>
      <c r="F560">
        <f t="shared" si="101"/>
        <v>1560</v>
      </c>
      <c r="G560" s="2">
        <v>11</v>
      </c>
      <c r="H560">
        <v>0</v>
      </c>
      <c r="I560">
        <v>0</v>
      </c>
      <c r="J560">
        <v>0</v>
      </c>
      <c r="K560">
        <v>0</v>
      </c>
      <c r="L560">
        <v>407028</v>
      </c>
      <c r="M560">
        <v>1250</v>
      </c>
      <c r="N560">
        <v>9314</v>
      </c>
      <c r="O560">
        <v>11177</v>
      </c>
      <c r="P560">
        <v>5000</v>
      </c>
      <c r="Q560">
        <v>1500</v>
      </c>
      <c r="R560">
        <v>1500</v>
      </c>
      <c r="S560">
        <v>1631</v>
      </c>
      <c r="T560">
        <v>0</v>
      </c>
      <c r="U560">
        <v>1138</v>
      </c>
      <c r="V560">
        <v>0</v>
      </c>
      <c r="W560">
        <v>0</v>
      </c>
      <c r="X560" t="s">
        <v>617</v>
      </c>
      <c r="Y560">
        <v>1</v>
      </c>
      <c r="Z560">
        <v>0</v>
      </c>
      <c r="AA560">
        <v>50</v>
      </c>
      <c r="AB560">
        <v>25</v>
      </c>
      <c r="AC560">
        <v>0.4</v>
      </c>
    </row>
    <row r="561" spans="1:29">
      <c r="A561">
        <v>2055021</v>
      </c>
      <c r="B561">
        <v>2001</v>
      </c>
      <c r="C561">
        <v>55</v>
      </c>
      <c r="D561" t="s">
        <v>551</v>
      </c>
      <c r="E561">
        <f t="shared" si="100"/>
        <v>1560</v>
      </c>
      <c r="F561">
        <f t="shared" si="101"/>
        <v>1560</v>
      </c>
      <c r="G561" s="2" t="s">
        <v>628</v>
      </c>
      <c r="H561">
        <v>0</v>
      </c>
      <c r="I561">
        <v>0</v>
      </c>
      <c r="J561">
        <v>0</v>
      </c>
      <c r="K561">
        <v>0</v>
      </c>
      <c r="L561">
        <v>300455</v>
      </c>
      <c r="M561">
        <v>30046</v>
      </c>
      <c r="N561">
        <v>14808</v>
      </c>
      <c r="O561">
        <v>17770</v>
      </c>
      <c r="P561">
        <v>5000</v>
      </c>
      <c r="Q561">
        <v>1500</v>
      </c>
      <c r="R561">
        <v>1500</v>
      </c>
      <c r="S561">
        <v>0</v>
      </c>
      <c r="T561">
        <v>0</v>
      </c>
      <c r="U561">
        <v>1138</v>
      </c>
      <c r="V561">
        <v>0</v>
      </c>
      <c r="W561">
        <v>0</v>
      </c>
      <c r="X561" t="s">
        <v>592</v>
      </c>
      <c r="Y561">
        <v>1</v>
      </c>
      <c r="Z561">
        <v>0</v>
      </c>
      <c r="AA561">
        <v>50</v>
      </c>
      <c r="AB561">
        <v>25</v>
      </c>
      <c r="AC561">
        <v>0.4</v>
      </c>
    </row>
    <row r="562" spans="1:29">
      <c r="A562">
        <v>2055031</v>
      </c>
      <c r="B562">
        <v>2001</v>
      </c>
      <c r="C562">
        <v>56</v>
      </c>
      <c r="D562" t="s">
        <v>552</v>
      </c>
      <c r="E562">
        <f t="shared" si="100"/>
        <v>1600</v>
      </c>
      <c r="F562">
        <f t="shared" si="101"/>
        <v>1600</v>
      </c>
      <c r="G562" s="2">
        <v>5</v>
      </c>
      <c r="H562">
        <v>0</v>
      </c>
      <c r="I562">
        <v>0</v>
      </c>
      <c r="J562">
        <v>0</v>
      </c>
      <c r="K562">
        <v>0</v>
      </c>
      <c r="L562">
        <v>477398</v>
      </c>
      <c r="M562">
        <v>1260</v>
      </c>
      <c r="N562">
        <v>10669</v>
      </c>
      <c r="O562">
        <v>12803</v>
      </c>
      <c r="P562">
        <v>5500</v>
      </c>
      <c r="Q562">
        <v>1650</v>
      </c>
      <c r="R562">
        <v>1650</v>
      </c>
      <c r="S562">
        <v>0</v>
      </c>
      <c r="T562">
        <v>0</v>
      </c>
      <c r="U562">
        <v>1179</v>
      </c>
      <c r="V562">
        <v>0</v>
      </c>
      <c r="W562">
        <v>0</v>
      </c>
      <c r="X562" t="s">
        <v>593</v>
      </c>
      <c r="Y562">
        <v>1</v>
      </c>
      <c r="Z562">
        <v>0</v>
      </c>
      <c r="AA562">
        <v>50</v>
      </c>
      <c r="AB562">
        <v>25</v>
      </c>
      <c r="AC562">
        <v>0.4</v>
      </c>
    </row>
    <row r="563" spans="1:29">
      <c r="A563">
        <v>2055041</v>
      </c>
      <c r="B563">
        <v>2001</v>
      </c>
      <c r="C563">
        <v>56</v>
      </c>
      <c r="D563" t="s">
        <v>553</v>
      </c>
      <c r="E563">
        <f t="shared" si="100"/>
        <v>1600</v>
      </c>
      <c r="F563">
        <f t="shared" si="101"/>
        <v>1600</v>
      </c>
      <c r="G563" s="2">
        <v>16</v>
      </c>
      <c r="H563">
        <v>0</v>
      </c>
      <c r="I563">
        <v>0</v>
      </c>
      <c r="J563">
        <v>0</v>
      </c>
      <c r="K563">
        <v>0</v>
      </c>
      <c r="L563">
        <v>407314</v>
      </c>
      <c r="M563">
        <v>2520</v>
      </c>
      <c r="N563">
        <v>11201</v>
      </c>
      <c r="O563">
        <v>13441</v>
      </c>
      <c r="P563">
        <v>5500</v>
      </c>
      <c r="Q563">
        <v>1650</v>
      </c>
      <c r="R563">
        <v>1650</v>
      </c>
      <c r="S563">
        <v>0</v>
      </c>
      <c r="T563">
        <v>0</v>
      </c>
      <c r="U563">
        <v>2925</v>
      </c>
      <c r="V563">
        <v>0</v>
      </c>
      <c r="W563">
        <v>0</v>
      </c>
      <c r="X563" t="s">
        <v>594</v>
      </c>
      <c r="Y563">
        <v>1</v>
      </c>
      <c r="Z563">
        <v>0</v>
      </c>
      <c r="AA563">
        <v>50</v>
      </c>
      <c r="AB563">
        <v>25</v>
      </c>
      <c r="AC563">
        <v>0.4</v>
      </c>
    </row>
    <row r="564" spans="1:29">
      <c r="A564">
        <v>2055051</v>
      </c>
      <c r="B564">
        <v>2001</v>
      </c>
      <c r="C564">
        <v>56</v>
      </c>
      <c r="D564" t="s">
        <v>554</v>
      </c>
      <c r="E564">
        <f t="shared" si="100"/>
        <v>1600</v>
      </c>
      <c r="F564">
        <f t="shared" si="101"/>
        <v>1600</v>
      </c>
      <c r="G564" s="2">
        <v>4</v>
      </c>
      <c r="H564">
        <v>0</v>
      </c>
      <c r="I564">
        <v>0</v>
      </c>
      <c r="J564">
        <v>0</v>
      </c>
      <c r="K564">
        <v>0</v>
      </c>
      <c r="L564">
        <v>542998</v>
      </c>
      <c r="M564">
        <v>1260</v>
      </c>
      <c r="N564">
        <v>9997</v>
      </c>
      <c r="O564">
        <v>11996</v>
      </c>
      <c r="P564">
        <v>5500</v>
      </c>
      <c r="Q564">
        <v>1650</v>
      </c>
      <c r="R564">
        <v>1650</v>
      </c>
      <c r="S564">
        <v>0</v>
      </c>
      <c r="T564">
        <v>0</v>
      </c>
      <c r="U564">
        <v>1179</v>
      </c>
      <c r="V564">
        <v>0</v>
      </c>
      <c r="W564">
        <v>0</v>
      </c>
      <c r="X564" t="s">
        <v>595</v>
      </c>
      <c r="Y564">
        <v>1</v>
      </c>
      <c r="Z564">
        <v>0</v>
      </c>
      <c r="AA564">
        <v>50</v>
      </c>
      <c r="AB564">
        <v>25</v>
      </c>
      <c r="AC564">
        <v>0.4</v>
      </c>
    </row>
    <row r="565" spans="1:29">
      <c r="A565">
        <v>2055061</v>
      </c>
      <c r="B565">
        <v>2001</v>
      </c>
      <c r="C565">
        <v>57</v>
      </c>
      <c r="D565" t="s">
        <v>555</v>
      </c>
      <c r="E565">
        <f t="shared" si="100"/>
        <v>1640</v>
      </c>
      <c r="F565">
        <f t="shared" si="101"/>
        <v>1640</v>
      </c>
      <c r="G565" s="2">
        <v>10</v>
      </c>
      <c r="H565">
        <v>0</v>
      </c>
      <c r="I565">
        <v>0</v>
      </c>
      <c r="J565">
        <v>0</v>
      </c>
      <c r="K565">
        <v>0</v>
      </c>
      <c r="L565">
        <v>574705</v>
      </c>
      <c r="M565">
        <v>2540</v>
      </c>
      <c r="N565">
        <v>15060</v>
      </c>
      <c r="O565">
        <v>18072</v>
      </c>
      <c r="P565">
        <v>6000</v>
      </c>
      <c r="Q565">
        <v>1800</v>
      </c>
      <c r="R565">
        <v>1800</v>
      </c>
      <c r="S565">
        <v>0</v>
      </c>
      <c r="T565">
        <v>2479</v>
      </c>
      <c r="U565">
        <v>1221</v>
      </c>
      <c r="V565">
        <v>0</v>
      </c>
      <c r="W565">
        <v>0</v>
      </c>
      <c r="X565" t="s">
        <v>596</v>
      </c>
      <c r="Y565">
        <v>1</v>
      </c>
      <c r="Z565">
        <v>0</v>
      </c>
      <c r="AA565">
        <v>50</v>
      </c>
      <c r="AB565">
        <v>25</v>
      </c>
      <c r="AC565">
        <v>0.4</v>
      </c>
    </row>
    <row r="566" spans="1:29">
      <c r="A566">
        <v>2055071</v>
      </c>
      <c r="B566">
        <v>2001</v>
      </c>
      <c r="C566">
        <v>57</v>
      </c>
      <c r="D566" t="s">
        <v>556</v>
      </c>
      <c r="E566">
        <f t="shared" si="100"/>
        <v>1640</v>
      </c>
      <c r="F566">
        <f t="shared" si="101"/>
        <v>1640</v>
      </c>
      <c r="G566" s="2">
        <v>3</v>
      </c>
      <c r="H566">
        <v>0</v>
      </c>
      <c r="I566">
        <v>0</v>
      </c>
      <c r="J566">
        <v>0</v>
      </c>
      <c r="K566">
        <v>0</v>
      </c>
      <c r="L566">
        <v>344823</v>
      </c>
      <c r="M566">
        <v>1270</v>
      </c>
      <c r="N566">
        <v>4392</v>
      </c>
      <c r="O566">
        <v>5270</v>
      </c>
      <c r="P566">
        <v>6000</v>
      </c>
      <c r="Q566">
        <v>1800</v>
      </c>
      <c r="R566">
        <v>1800</v>
      </c>
      <c r="S566">
        <v>0</v>
      </c>
      <c r="T566">
        <v>0</v>
      </c>
      <c r="U566">
        <v>1221</v>
      </c>
      <c r="V566">
        <v>0</v>
      </c>
      <c r="W566">
        <v>0</v>
      </c>
      <c r="X566" t="s">
        <v>597</v>
      </c>
      <c r="Y566">
        <v>1</v>
      </c>
      <c r="Z566">
        <v>0</v>
      </c>
      <c r="AA566">
        <v>50</v>
      </c>
      <c r="AB566">
        <v>25</v>
      </c>
      <c r="AC566">
        <v>0.4</v>
      </c>
    </row>
    <row r="567" spans="1:29">
      <c r="A567">
        <f>A566+1</f>
        <v>2055072</v>
      </c>
      <c r="B567">
        <v>2001</v>
      </c>
      <c r="C567">
        <f>C566</f>
        <v>57</v>
      </c>
      <c r="D567" t="s">
        <v>582</v>
      </c>
      <c r="E567">
        <f>E566</f>
        <v>1640</v>
      </c>
      <c r="F567">
        <f t="shared" ref="F567" si="136">F566</f>
        <v>1640</v>
      </c>
      <c r="G567" s="2" t="s">
        <v>629</v>
      </c>
      <c r="H567">
        <f t="shared" ref="H567" si="137">H566</f>
        <v>0</v>
      </c>
      <c r="I567">
        <f t="shared" ref="I567" si="138">I566</f>
        <v>0</v>
      </c>
      <c r="J567">
        <f t="shared" ref="J567" si="139">J566</f>
        <v>0</v>
      </c>
      <c r="K567">
        <f t="shared" ref="K567" si="140">K566</f>
        <v>0</v>
      </c>
      <c r="L567">
        <v>246239</v>
      </c>
      <c r="M567">
        <v>1270</v>
      </c>
      <c r="N567">
        <v>7953</v>
      </c>
      <c r="O567">
        <v>9544</v>
      </c>
      <c r="P567">
        <v>6000</v>
      </c>
      <c r="Q567">
        <v>1800</v>
      </c>
      <c r="R567">
        <v>1800</v>
      </c>
      <c r="S567">
        <v>0</v>
      </c>
      <c r="T567">
        <v>0</v>
      </c>
      <c r="U567">
        <v>1221</v>
      </c>
      <c r="V567">
        <v>0</v>
      </c>
      <c r="W567">
        <v>0</v>
      </c>
      <c r="X567" t="s">
        <v>62</v>
      </c>
      <c r="Y567">
        <v>1</v>
      </c>
      <c r="Z567">
        <v>0</v>
      </c>
      <c r="AA567">
        <v>50</v>
      </c>
      <c r="AB567">
        <v>25</v>
      </c>
      <c r="AC567">
        <v>0.4</v>
      </c>
    </row>
    <row r="568" spans="1:29">
      <c r="A568">
        <v>2055081</v>
      </c>
      <c r="B568">
        <v>2001</v>
      </c>
      <c r="C568">
        <v>58</v>
      </c>
      <c r="D568" t="s">
        <v>557</v>
      </c>
      <c r="E568">
        <f t="shared" si="100"/>
        <v>1680</v>
      </c>
      <c r="F568">
        <f t="shared" si="101"/>
        <v>1680</v>
      </c>
      <c r="G568" s="2">
        <v>7</v>
      </c>
      <c r="H568">
        <v>0</v>
      </c>
      <c r="I568">
        <v>0</v>
      </c>
      <c r="J568">
        <v>0</v>
      </c>
      <c r="K568">
        <v>0</v>
      </c>
      <c r="L568">
        <v>642197</v>
      </c>
      <c r="M568">
        <v>1280</v>
      </c>
      <c r="N568">
        <v>14000</v>
      </c>
      <c r="O568">
        <v>16800</v>
      </c>
      <c r="P568">
        <v>6500</v>
      </c>
      <c r="Q568">
        <v>1950</v>
      </c>
      <c r="R568">
        <v>1950</v>
      </c>
      <c r="S568">
        <v>0</v>
      </c>
      <c r="T568">
        <v>0</v>
      </c>
      <c r="U568">
        <v>1263</v>
      </c>
      <c r="V568">
        <v>0</v>
      </c>
      <c r="W568">
        <v>0</v>
      </c>
      <c r="X568" t="s">
        <v>598</v>
      </c>
      <c r="Y568">
        <v>1</v>
      </c>
      <c r="Z568">
        <v>0</v>
      </c>
      <c r="AA568">
        <v>50</v>
      </c>
      <c r="AB568">
        <v>25</v>
      </c>
      <c r="AC568">
        <v>0.4</v>
      </c>
    </row>
    <row r="569" spans="1:29">
      <c r="A569">
        <v>2055091</v>
      </c>
      <c r="B569">
        <v>2001</v>
      </c>
      <c r="C569">
        <v>59</v>
      </c>
      <c r="D569" t="s">
        <v>558</v>
      </c>
      <c r="E569">
        <f t="shared" si="100"/>
        <v>1720</v>
      </c>
      <c r="F569">
        <f t="shared" si="101"/>
        <v>1720</v>
      </c>
      <c r="G569" s="2">
        <v>15</v>
      </c>
      <c r="H569">
        <v>0</v>
      </c>
      <c r="I569">
        <v>0</v>
      </c>
      <c r="J569">
        <v>0</v>
      </c>
      <c r="K569">
        <v>0</v>
      </c>
      <c r="L569">
        <v>687104</v>
      </c>
      <c r="M569">
        <v>1290</v>
      </c>
      <c r="N569">
        <v>15059</v>
      </c>
      <c r="O569">
        <v>18071</v>
      </c>
      <c r="P569">
        <v>7000</v>
      </c>
      <c r="Q569">
        <v>2100</v>
      </c>
      <c r="R569">
        <v>2100</v>
      </c>
      <c r="S569">
        <v>0</v>
      </c>
      <c r="T569">
        <v>0</v>
      </c>
      <c r="U569">
        <v>1307</v>
      </c>
      <c r="V569">
        <v>0</v>
      </c>
      <c r="W569">
        <v>0</v>
      </c>
      <c r="X569" t="s">
        <v>599</v>
      </c>
      <c r="Y569">
        <v>1</v>
      </c>
      <c r="Z569">
        <v>0</v>
      </c>
      <c r="AA569">
        <v>50</v>
      </c>
      <c r="AB569">
        <v>25</v>
      </c>
      <c r="AC569">
        <v>0.4</v>
      </c>
    </row>
    <row r="570" spans="1:29">
      <c r="A570">
        <v>2060011</v>
      </c>
      <c r="B570">
        <v>2001</v>
      </c>
      <c r="C570">
        <v>60</v>
      </c>
      <c r="D570" t="s">
        <v>559</v>
      </c>
      <c r="E570">
        <f t="shared" si="100"/>
        <v>1760</v>
      </c>
      <c r="F570">
        <f t="shared" si="101"/>
        <v>1760</v>
      </c>
      <c r="G570" s="2">
        <v>3</v>
      </c>
      <c r="H570">
        <v>0</v>
      </c>
      <c r="I570">
        <v>0</v>
      </c>
      <c r="J570">
        <v>0</v>
      </c>
      <c r="K570">
        <v>0</v>
      </c>
      <c r="L570">
        <v>434230</v>
      </c>
      <c r="M570">
        <v>780</v>
      </c>
      <c r="N570">
        <v>9458</v>
      </c>
      <c r="O570">
        <v>11350</v>
      </c>
      <c r="P570">
        <v>7500</v>
      </c>
      <c r="Q570">
        <v>2250</v>
      </c>
      <c r="R570">
        <v>2250</v>
      </c>
      <c r="S570">
        <v>0</v>
      </c>
      <c r="T570">
        <v>0</v>
      </c>
      <c r="U570">
        <v>1351</v>
      </c>
      <c r="V570">
        <v>0</v>
      </c>
      <c r="W570">
        <v>0</v>
      </c>
      <c r="X570" t="s">
        <v>600</v>
      </c>
      <c r="Y570">
        <v>1</v>
      </c>
      <c r="Z570">
        <v>0</v>
      </c>
      <c r="AA570">
        <v>50</v>
      </c>
      <c r="AB570">
        <v>25</v>
      </c>
      <c r="AC570">
        <v>0.4</v>
      </c>
    </row>
    <row r="571" spans="1:29">
      <c r="A571">
        <v>2060021</v>
      </c>
      <c r="B571">
        <v>2001</v>
      </c>
      <c r="C571">
        <v>60</v>
      </c>
      <c r="D571" t="s">
        <v>575</v>
      </c>
      <c r="E571">
        <f t="shared" si="100"/>
        <v>1760</v>
      </c>
      <c r="F571">
        <f t="shared" si="101"/>
        <v>1760</v>
      </c>
      <c r="G571" s="2" t="s">
        <v>634</v>
      </c>
      <c r="H571">
        <v>0</v>
      </c>
      <c r="I571">
        <v>0</v>
      </c>
      <c r="J571">
        <v>0</v>
      </c>
      <c r="K571">
        <v>0</v>
      </c>
      <c r="L571">
        <v>585754</v>
      </c>
      <c r="M571">
        <v>1300</v>
      </c>
      <c r="N571">
        <v>14472</v>
      </c>
      <c r="O571">
        <v>17366</v>
      </c>
      <c r="P571">
        <v>7500</v>
      </c>
      <c r="Q571">
        <v>2250</v>
      </c>
      <c r="R571">
        <v>2250</v>
      </c>
      <c r="S571">
        <v>0</v>
      </c>
      <c r="T571">
        <v>0</v>
      </c>
      <c r="U571">
        <v>1351</v>
      </c>
      <c r="V571">
        <v>0</v>
      </c>
      <c r="W571">
        <v>0</v>
      </c>
      <c r="X571" t="s">
        <v>618</v>
      </c>
      <c r="Y571">
        <v>1</v>
      </c>
      <c r="Z571">
        <v>0</v>
      </c>
      <c r="AA571">
        <v>50</v>
      </c>
      <c r="AB571">
        <v>25</v>
      </c>
      <c r="AC571">
        <v>0.4</v>
      </c>
    </row>
    <row r="572" spans="1:29">
      <c r="A572">
        <v>2060031</v>
      </c>
      <c r="B572">
        <v>2001</v>
      </c>
      <c r="C572">
        <v>61</v>
      </c>
      <c r="D572" t="s">
        <v>576</v>
      </c>
      <c r="E572">
        <f t="shared" si="100"/>
        <v>1810</v>
      </c>
      <c r="F572">
        <f t="shared" si="101"/>
        <v>1810</v>
      </c>
      <c r="G572" s="2" t="s">
        <v>635</v>
      </c>
      <c r="H572">
        <v>0</v>
      </c>
      <c r="I572">
        <v>0</v>
      </c>
      <c r="J572">
        <v>0</v>
      </c>
      <c r="K572">
        <v>0</v>
      </c>
      <c r="L572">
        <v>381330</v>
      </c>
      <c r="M572">
        <v>5895</v>
      </c>
      <c r="N572">
        <v>23791</v>
      </c>
      <c r="O572">
        <v>28549</v>
      </c>
      <c r="P572">
        <v>8000</v>
      </c>
      <c r="Q572">
        <v>2400</v>
      </c>
      <c r="R572">
        <v>2400</v>
      </c>
      <c r="S572">
        <v>0</v>
      </c>
      <c r="T572">
        <v>4860</v>
      </c>
      <c r="U572">
        <v>1396</v>
      </c>
      <c r="V572">
        <v>0</v>
      </c>
      <c r="W572">
        <v>0</v>
      </c>
      <c r="X572" t="s">
        <v>620</v>
      </c>
      <c r="Y572">
        <v>1</v>
      </c>
      <c r="Z572">
        <v>0</v>
      </c>
      <c r="AA572">
        <v>50</v>
      </c>
      <c r="AB572">
        <v>25</v>
      </c>
      <c r="AC572">
        <v>0.4</v>
      </c>
    </row>
    <row r="573" spans="1:29">
      <c r="A573">
        <v>2060041</v>
      </c>
      <c r="B573">
        <v>2001</v>
      </c>
      <c r="C573">
        <v>61</v>
      </c>
      <c r="D573" t="s">
        <v>562</v>
      </c>
      <c r="E573">
        <f t="shared" si="100"/>
        <v>1810</v>
      </c>
      <c r="F573">
        <f t="shared" si="101"/>
        <v>1810</v>
      </c>
      <c r="G573" s="2">
        <v>2</v>
      </c>
      <c r="H573">
        <v>0</v>
      </c>
      <c r="I573">
        <v>0</v>
      </c>
      <c r="J573">
        <v>0</v>
      </c>
      <c r="K573">
        <v>0</v>
      </c>
      <c r="L573">
        <v>405194</v>
      </c>
      <c r="M573">
        <v>1048</v>
      </c>
      <c r="N573">
        <v>10063</v>
      </c>
      <c r="O573">
        <v>12076</v>
      </c>
      <c r="P573">
        <v>8000</v>
      </c>
      <c r="Q573">
        <v>2400</v>
      </c>
      <c r="R573">
        <v>2400</v>
      </c>
      <c r="S573">
        <v>0</v>
      </c>
      <c r="T573">
        <v>0</v>
      </c>
      <c r="U573">
        <v>1396</v>
      </c>
      <c r="V573">
        <v>0</v>
      </c>
      <c r="W573">
        <v>0</v>
      </c>
      <c r="X573" t="s">
        <v>599</v>
      </c>
      <c r="Y573">
        <v>1</v>
      </c>
      <c r="Z573">
        <v>0</v>
      </c>
      <c r="AA573">
        <v>50</v>
      </c>
      <c r="AB573">
        <v>25</v>
      </c>
      <c r="AC573">
        <v>0.4</v>
      </c>
    </row>
    <row r="574" spans="1:29">
      <c r="A574">
        <f>A573+1</f>
        <v>2060042</v>
      </c>
      <c r="B574">
        <v>2001</v>
      </c>
      <c r="C574">
        <f>C573</f>
        <v>61</v>
      </c>
      <c r="D574" t="s">
        <v>584</v>
      </c>
      <c r="E574">
        <f>E573</f>
        <v>1810</v>
      </c>
      <c r="F574">
        <f t="shared" ref="F574:F575" si="141">F573</f>
        <v>1810</v>
      </c>
      <c r="G574" s="2">
        <v>9</v>
      </c>
      <c r="H574">
        <f t="shared" ref="H574:H575" si="142">H573</f>
        <v>0</v>
      </c>
      <c r="I574">
        <f t="shared" ref="I574:I575" si="143">I573</f>
        <v>0</v>
      </c>
      <c r="J574">
        <f t="shared" ref="J574:J575" si="144">J573</f>
        <v>0</v>
      </c>
      <c r="K574">
        <f t="shared" ref="K574:K575" si="145">K573</f>
        <v>0</v>
      </c>
      <c r="L574">
        <v>189091</v>
      </c>
      <c r="M574">
        <v>1310</v>
      </c>
      <c r="N574">
        <v>5870</v>
      </c>
      <c r="O574">
        <v>7044</v>
      </c>
      <c r="P574">
        <v>8000</v>
      </c>
      <c r="Q574">
        <v>2400</v>
      </c>
      <c r="R574">
        <v>2400</v>
      </c>
      <c r="S574">
        <v>0</v>
      </c>
      <c r="T574">
        <v>0</v>
      </c>
      <c r="U574">
        <v>1396</v>
      </c>
      <c r="V574">
        <v>0</v>
      </c>
      <c r="W574">
        <v>0</v>
      </c>
      <c r="X574" t="s">
        <v>592</v>
      </c>
      <c r="Y574">
        <v>1</v>
      </c>
      <c r="Z574">
        <v>0</v>
      </c>
      <c r="AA574">
        <v>50</v>
      </c>
      <c r="AB574">
        <v>25</v>
      </c>
      <c r="AC574">
        <v>0.4</v>
      </c>
    </row>
    <row r="575" spans="1:29">
      <c r="A575">
        <f>A574+1</f>
        <v>2060043</v>
      </c>
      <c r="B575">
        <v>2001</v>
      </c>
      <c r="C575">
        <f>C574</f>
        <v>61</v>
      </c>
      <c r="D575" t="s">
        <v>585</v>
      </c>
      <c r="E575">
        <f>E574</f>
        <v>1810</v>
      </c>
      <c r="F575">
        <f t="shared" si="141"/>
        <v>1810</v>
      </c>
      <c r="G575" s="2">
        <v>10</v>
      </c>
      <c r="H575">
        <f t="shared" si="142"/>
        <v>0</v>
      </c>
      <c r="I575">
        <f t="shared" si="143"/>
        <v>0</v>
      </c>
      <c r="J575">
        <f t="shared" si="144"/>
        <v>0</v>
      </c>
      <c r="K575">
        <f t="shared" si="145"/>
        <v>0</v>
      </c>
      <c r="L575">
        <v>189091</v>
      </c>
      <c r="M575">
        <v>1310</v>
      </c>
      <c r="N575">
        <v>5870</v>
      </c>
      <c r="O575">
        <v>7044</v>
      </c>
      <c r="P575">
        <v>8000</v>
      </c>
      <c r="Q575">
        <v>2400</v>
      </c>
      <c r="R575">
        <v>2400</v>
      </c>
      <c r="S575">
        <v>0</v>
      </c>
      <c r="T575">
        <v>0</v>
      </c>
      <c r="U575">
        <v>1396</v>
      </c>
      <c r="V575">
        <v>0</v>
      </c>
      <c r="W575">
        <v>0</v>
      </c>
      <c r="X575" t="s">
        <v>593</v>
      </c>
      <c r="Y575">
        <v>1</v>
      </c>
      <c r="Z575">
        <v>0</v>
      </c>
      <c r="AA575">
        <v>50</v>
      </c>
      <c r="AB575">
        <v>25</v>
      </c>
      <c r="AC575">
        <v>0.4</v>
      </c>
    </row>
    <row r="576" spans="1:29">
      <c r="A576">
        <v>2060051</v>
      </c>
      <c r="B576">
        <v>2001</v>
      </c>
      <c r="C576">
        <v>61</v>
      </c>
      <c r="D576" t="s">
        <v>563</v>
      </c>
      <c r="E576">
        <f t="shared" ref="E576:E653" si="146">VLOOKUP(C576,C$6:F$212,3,0)*5</f>
        <v>1810</v>
      </c>
      <c r="F576">
        <f t="shared" ref="F576:F653" si="147">E576</f>
        <v>1810</v>
      </c>
      <c r="G576" s="2">
        <v>21</v>
      </c>
      <c r="H576">
        <v>0</v>
      </c>
      <c r="I576">
        <v>0</v>
      </c>
      <c r="J576">
        <v>0</v>
      </c>
      <c r="K576">
        <v>0</v>
      </c>
      <c r="L576">
        <v>681707</v>
      </c>
      <c r="M576">
        <v>1310</v>
      </c>
      <c r="N576">
        <v>17735</v>
      </c>
      <c r="O576">
        <v>21282</v>
      </c>
      <c r="P576">
        <v>8000</v>
      </c>
      <c r="Q576">
        <v>2400</v>
      </c>
      <c r="R576">
        <v>2400</v>
      </c>
      <c r="S576">
        <v>0</v>
      </c>
      <c r="T576">
        <v>0</v>
      </c>
      <c r="U576">
        <v>1396</v>
      </c>
      <c r="V576">
        <v>0</v>
      </c>
      <c r="W576">
        <v>0</v>
      </c>
      <c r="X576" t="s">
        <v>594</v>
      </c>
      <c r="Y576">
        <v>1</v>
      </c>
      <c r="Z576">
        <v>0</v>
      </c>
      <c r="AA576">
        <v>50</v>
      </c>
      <c r="AB576">
        <v>25</v>
      </c>
      <c r="AC576">
        <v>0.4</v>
      </c>
    </row>
    <row r="577" spans="1:29">
      <c r="A577">
        <v>2060061</v>
      </c>
      <c r="B577">
        <v>2001</v>
      </c>
      <c r="C577">
        <v>62</v>
      </c>
      <c r="D577" t="s">
        <v>564</v>
      </c>
      <c r="E577">
        <f t="shared" si="146"/>
        <v>1860</v>
      </c>
      <c r="F577">
        <f t="shared" si="147"/>
        <v>1860</v>
      </c>
      <c r="G577" s="2">
        <v>14</v>
      </c>
      <c r="H577">
        <v>0</v>
      </c>
      <c r="I577">
        <v>0</v>
      </c>
      <c r="J577">
        <v>0</v>
      </c>
      <c r="K577">
        <v>0</v>
      </c>
      <c r="L577">
        <v>764023</v>
      </c>
      <c r="M577">
        <v>1320</v>
      </c>
      <c r="N577">
        <v>19106</v>
      </c>
      <c r="O577">
        <v>22927</v>
      </c>
      <c r="P577">
        <v>8500</v>
      </c>
      <c r="Q577">
        <v>2550</v>
      </c>
      <c r="R577">
        <v>2550</v>
      </c>
      <c r="S577">
        <v>0</v>
      </c>
      <c r="T577">
        <v>0</v>
      </c>
      <c r="U577">
        <v>732</v>
      </c>
      <c r="V577">
        <v>0</v>
      </c>
      <c r="W577">
        <v>0</v>
      </c>
      <c r="X577" t="s">
        <v>626</v>
      </c>
      <c r="Y577">
        <v>1</v>
      </c>
      <c r="Z577">
        <v>0</v>
      </c>
      <c r="AA577">
        <v>50</v>
      </c>
      <c r="AB577">
        <v>25</v>
      </c>
      <c r="AC577">
        <v>0.4</v>
      </c>
    </row>
    <row r="578" spans="1:29">
      <c r="A578">
        <v>2060071</v>
      </c>
      <c r="B578">
        <v>2001</v>
      </c>
      <c r="C578">
        <v>62</v>
      </c>
      <c r="D578" t="s">
        <v>565</v>
      </c>
      <c r="E578">
        <f t="shared" si="146"/>
        <v>1860</v>
      </c>
      <c r="F578">
        <f t="shared" si="147"/>
        <v>1860</v>
      </c>
      <c r="G578" s="2">
        <v>13</v>
      </c>
      <c r="H578">
        <v>0</v>
      </c>
      <c r="I578">
        <v>0</v>
      </c>
      <c r="J578">
        <v>0</v>
      </c>
      <c r="K578">
        <v>0</v>
      </c>
      <c r="L578">
        <v>815789</v>
      </c>
      <c r="M578">
        <v>1056</v>
      </c>
      <c r="N578">
        <v>14220</v>
      </c>
      <c r="O578">
        <v>17064</v>
      </c>
      <c r="P578">
        <v>8500</v>
      </c>
      <c r="Q578">
        <v>2550</v>
      </c>
      <c r="R578">
        <v>2550</v>
      </c>
      <c r="S578">
        <v>0</v>
      </c>
      <c r="T578">
        <v>0</v>
      </c>
      <c r="U578">
        <v>732</v>
      </c>
      <c r="V578">
        <v>0</v>
      </c>
      <c r="W578">
        <v>0</v>
      </c>
      <c r="X578" t="s">
        <v>627</v>
      </c>
      <c r="Y578">
        <v>1</v>
      </c>
      <c r="Z578">
        <v>0</v>
      </c>
      <c r="AA578">
        <v>50</v>
      </c>
      <c r="AB578">
        <v>25</v>
      </c>
      <c r="AC578">
        <v>0.4</v>
      </c>
    </row>
    <row r="579" spans="1:29">
      <c r="A579">
        <v>2060081</v>
      </c>
      <c r="B579">
        <v>2001</v>
      </c>
      <c r="C579">
        <v>63</v>
      </c>
      <c r="D579" t="s">
        <v>566</v>
      </c>
      <c r="E579">
        <f t="shared" si="146"/>
        <v>1910</v>
      </c>
      <c r="F579">
        <f t="shared" si="147"/>
        <v>1910</v>
      </c>
      <c r="G579" s="2">
        <v>25</v>
      </c>
      <c r="H579">
        <v>0</v>
      </c>
      <c r="I579">
        <v>0</v>
      </c>
      <c r="J579">
        <v>0</v>
      </c>
      <c r="K579">
        <v>0</v>
      </c>
      <c r="L579">
        <v>856687</v>
      </c>
      <c r="M579">
        <v>42</v>
      </c>
      <c r="N579">
        <v>26996</v>
      </c>
      <c r="O579">
        <v>32395</v>
      </c>
      <c r="P579">
        <v>9000</v>
      </c>
      <c r="Q579">
        <v>2700</v>
      </c>
      <c r="R579">
        <v>2700</v>
      </c>
      <c r="S579">
        <v>0</v>
      </c>
      <c r="T579">
        <v>0</v>
      </c>
      <c r="U579">
        <v>1488</v>
      </c>
      <c r="V579">
        <v>0</v>
      </c>
      <c r="W579">
        <v>0</v>
      </c>
      <c r="X579" t="s">
        <v>603</v>
      </c>
      <c r="Y579">
        <v>1</v>
      </c>
      <c r="Z579">
        <v>0</v>
      </c>
      <c r="AA579">
        <v>50</v>
      </c>
      <c r="AB579">
        <v>25</v>
      </c>
      <c r="AC579">
        <v>0.4</v>
      </c>
    </row>
    <row r="580" spans="1:29">
      <c r="A580">
        <v>2060091</v>
      </c>
      <c r="B580">
        <v>2001</v>
      </c>
      <c r="C580">
        <v>64</v>
      </c>
      <c r="D580" t="s">
        <v>625</v>
      </c>
      <c r="E580">
        <f t="shared" si="146"/>
        <v>1960</v>
      </c>
      <c r="F580">
        <f t="shared" si="147"/>
        <v>1960</v>
      </c>
      <c r="G580" s="2">
        <v>28</v>
      </c>
      <c r="H580">
        <v>0</v>
      </c>
      <c r="I580">
        <v>0</v>
      </c>
      <c r="J580">
        <v>0</v>
      </c>
      <c r="K580">
        <v>0</v>
      </c>
      <c r="L580">
        <v>828762</v>
      </c>
      <c r="M580">
        <v>1340</v>
      </c>
      <c r="N580">
        <v>21092</v>
      </c>
      <c r="O580">
        <v>25310</v>
      </c>
      <c r="P580">
        <v>9500</v>
      </c>
      <c r="Q580">
        <v>2850</v>
      </c>
      <c r="R580">
        <v>2850</v>
      </c>
      <c r="S580">
        <v>0</v>
      </c>
      <c r="T580">
        <v>0</v>
      </c>
      <c r="U580">
        <v>1535</v>
      </c>
      <c r="V580">
        <v>0</v>
      </c>
      <c r="W580">
        <v>0</v>
      </c>
      <c r="X580" t="s">
        <v>604</v>
      </c>
      <c r="Y580">
        <v>1</v>
      </c>
      <c r="Z580">
        <v>0</v>
      </c>
      <c r="AA580">
        <v>50</v>
      </c>
      <c r="AB580">
        <v>25</v>
      </c>
      <c r="AC580">
        <v>0.4</v>
      </c>
    </row>
    <row r="581" spans="1:29">
      <c r="A581">
        <v>2065011</v>
      </c>
      <c r="B581">
        <v>2001</v>
      </c>
      <c r="C581">
        <v>65</v>
      </c>
      <c r="D581" t="s">
        <v>559</v>
      </c>
      <c r="E581">
        <f t="shared" si="146"/>
        <v>2010</v>
      </c>
      <c r="F581">
        <f t="shared" si="147"/>
        <v>2010</v>
      </c>
      <c r="G581" s="2">
        <v>3</v>
      </c>
      <c r="H581">
        <v>0</v>
      </c>
      <c r="I581">
        <v>0</v>
      </c>
      <c r="J581">
        <v>0</v>
      </c>
      <c r="K581">
        <v>0</v>
      </c>
      <c r="L581">
        <v>590520</v>
      </c>
      <c r="M581">
        <v>810</v>
      </c>
      <c r="N581">
        <v>15065</v>
      </c>
      <c r="O581">
        <v>18078</v>
      </c>
      <c r="P581">
        <v>10000</v>
      </c>
      <c r="Q581">
        <v>3000</v>
      </c>
      <c r="R581">
        <v>3000</v>
      </c>
      <c r="S581">
        <v>0</v>
      </c>
      <c r="T581">
        <v>0</v>
      </c>
      <c r="U581">
        <v>1584</v>
      </c>
      <c r="V581">
        <v>0</v>
      </c>
      <c r="W581">
        <v>0</v>
      </c>
      <c r="X581" t="s">
        <v>600</v>
      </c>
      <c r="Y581">
        <v>1</v>
      </c>
      <c r="Z581">
        <v>0</v>
      </c>
      <c r="AA581">
        <v>50</v>
      </c>
      <c r="AB581">
        <v>25</v>
      </c>
      <c r="AC581">
        <v>0.4</v>
      </c>
    </row>
    <row r="582" spans="1:29">
      <c r="A582">
        <v>2065021</v>
      </c>
      <c r="B582">
        <v>2001</v>
      </c>
      <c r="C582">
        <v>65</v>
      </c>
      <c r="D582" t="s">
        <v>575</v>
      </c>
      <c r="E582">
        <f t="shared" si="146"/>
        <v>2010</v>
      </c>
      <c r="F582">
        <f t="shared" si="147"/>
        <v>2010</v>
      </c>
      <c r="G582" s="2" t="s">
        <v>634</v>
      </c>
      <c r="H582">
        <v>0</v>
      </c>
      <c r="I582">
        <v>0</v>
      </c>
      <c r="J582">
        <v>0</v>
      </c>
      <c r="K582">
        <v>0</v>
      </c>
      <c r="L582">
        <v>791270</v>
      </c>
      <c r="M582">
        <v>1350</v>
      </c>
      <c r="N582">
        <v>23280</v>
      </c>
      <c r="O582">
        <v>27936</v>
      </c>
      <c r="P582">
        <v>10000</v>
      </c>
      <c r="Q582">
        <v>3000</v>
      </c>
      <c r="R582">
        <v>3000</v>
      </c>
      <c r="S582">
        <v>0</v>
      </c>
      <c r="T582">
        <v>0</v>
      </c>
      <c r="U582">
        <v>1584</v>
      </c>
      <c r="V582">
        <v>0</v>
      </c>
      <c r="W582">
        <v>0</v>
      </c>
      <c r="X582" t="s">
        <v>618</v>
      </c>
      <c r="Y582">
        <v>1</v>
      </c>
      <c r="Z582">
        <v>0</v>
      </c>
      <c r="AA582">
        <v>50</v>
      </c>
      <c r="AB582">
        <v>25</v>
      </c>
      <c r="AC582">
        <v>0.4</v>
      </c>
    </row>
    <row r="583" spans="1:29">
      <c r="A583">
        <v>2065031</v>
      </c>
      <c r="B583">
        <v>2001</v>
      </c>
      <c r="C583">
        <v>66</v>
      </c>
      <c r="D583" t="s">
        <v>576</v>
      </c>
      <c r="E583">
        <f t="shared" si="146"/>
        <v>2060</v>
      </c>
      <c r="F583">
        <f t="shared" si="147"/>
        <v>2060</v>
      </c>
      <c r="G583" s="2" t="s">
        <v>635</v>
      </c>
      <c r="H583">
        <v>0</v>
      </c>
      <c r="I583">
        <v>0</v>
      </c>
      <c r="J583">
        <v>0</v>
      </c>
      <c r="K583">
        <v>0</v>
      </c>
      <c r="L583">
        <v>514301</v>
      </c>
      <c r="M583">
        <v>6119.9999999999991</v>
      </c>
      <c r="N583">
        <v>38774</v>
      </c>
      <c r="O583">
        <v>46529</v>
      </c>
      <c r="P583">
        <v>10500</v>
      </c>
      <c r="Q583">
        <v>3150</v>
      </c>
      <c r="R583">
        <v>3150</v>
      </c>
      <c r="S583">
        <v>0</v>
      </c>
      <c r="T583">
        <v>5681</v>
      </c>
      <c r="U583">
        <v>1632</v>
      </c>
      <c r="V583">
        <v>0</v>
      </c>
      <c r="W583">
        <v>0</v>
      </c>
      <c r="X583" t="s">
        <v>620</v>
      </c>
      <c r="Y583">
        <v>1</v>
      </c>
      <c r="Z583">
        <v>0</v>
      </c>
      <c r="AA583">
        <v>50</v>
      </c>
      <c r="AB583">
        <v>25</v>
      </c>
      <c r="AC583">
        <v>0.4</v>
      </c>
    </row>
    <row r="584" spans="1:29">
      <c r="A584">
        <v>2065041</v>
      </c>
      <c r="B584">
        <v>2001</v>
      </c>
      <c r="C584">
        <v>66</v>
      </c>
      <c r="D584" t="s">
        <v>562</v>
      </c>
      <c r="E584">
        <f t="shared" si="146"/>
        <v>2060</v>
      </c>
      <c r="F584">
        <f t="shared" si="147"/>
        <v>2060</v>
      </c>
      <c r="G584" s="2">
        <v>2</v>
      </c>
      <c r="H584">
        <v>0</v>
      </c>
      <c r="I584">
        <v>0</v>
      </c>
      <c r="J584">
        <v>0</v>
      </c>
      <c r="K584">
        <v>0</v>
      </c>
      <c r="L584">
        <v>544133</v>
      </c>
      <c r="M584">
        <v>1088</v>
      </c>
      <c r="N584">
        <v>16505</v>
      </c>
      <c r="O584">
        <v>19806</v>
      </c>
      <c r="P584">
        <v>10500</v>
      </c>
      <c r="Q584">
        <v>3150</v>
      </c>
      <c r="R584">
        <v>3150</v>
      </c>
      <c r="S584">
        <v>0</v>
      </c>
      <c r="T584">
        <v>0</v>
      </c>
      <c r="U584">
        <v>1632</v>
      </c>
      <c r="V584">
        <v>0</v>
      </c>
      <c r="W584">
        <v>0</v>
      </c>
      <c r="X584" t="s">
        <v>599</v>
      </c>
      <c r="Y584">
        <v>1</v>
      </c>
      <c r="Z584">
        <v>0</v>
      </c>
      <c r="AA584">
        <v>50</v>
      </c>
      <c r="AB584">
        <v>25</v>
      </c>
      <c r="AC584">
        <v>0.4</v>
      </c>
    </row>
    <row r="585" spans="1:29">
      <c r="A585">
        <f>A584+1</f>
        <v>2065042</v>
      </c>
      <c r="B585">
        <v>2001</v>
      </c>
      <c r="C585">
        <f>C584</f>
        <v>66</v>
      </c>
      <c r="D585" t="s">
        <v>584</v>
      </c>
      <c r="E585">
        <f>E584</f>
        <v>2060</v>
      </c>
      <c r="F585">
        <f t="shared" ref="F585:F586" si="148">F584</f>
        <v>2060</v>
      </c>
      <c r="G585" s="2">
        <v>9</v>
      </c>
      <c r="H585">
        <f t="shared" ref="H585:H586" si="149">H584</f>
        <v>0</v>
      </c>
      <c r="I585">
        <f t="shared" ref="I585:I586" si="150">I584</f>
        <v>0</v>
      </c>
      <c r="J585">
        <f t="shared" ref="J585:J586" si="151">J584</f>
        <v>0</v>
      </c>
      <c r="K585">
        <f t="shared" ref="K585:K586" si="152">K584</f>
        <v>0</v>
      </c>
      <c r="L585">
        <v>253929</v>
      </c>
      <c r="M585">
        <v>1359.9999999999998</v>
      </c>
      <c r="N585">
        <v>9628</v>
      </c>
      <c r="O585">
        <v>11554</v>
      </c>
      <c r="P585">
        <v>10500</v>
      </c>
      <c r="Q585">
        <v>3150</v>
      </c>
      <c r="R585">
        <v>3150</v>
      </c>
      <c r="S585">
        <v>0</v>
      </c>
      <c r="T585">
        <v>0</v>
      </c>
      <c r="U585">
        <v>1632</v>
      </c>
      <c r="V585">
        <v>0</v>
      </c>
      <c r="W585">
        <v>0</v>
      </c>
      <c r="X585" t="s">
        <v>592</v>
      </c>
      <c r="Y585">
        <v>1</v>
      </c>
      <c r="Z585">
        <v>0</v>
      </c>
      <c r="AA585">
        <v>50</v>
      </c>
      <c r="AB585">
        <v>25</v>
      </c>
      <c r="AC585">
        <v>0.4</v>
      </c>
    </row>
    <row r="586" spans="1:29">
      <c r="A586">
        <f>A585+1</f>
        <v>2065043</v>
      </c>
      <c r="B586">
        <v>2001</v>
      </c>
      <c r="C586">
        <f>C585</f>
        <v>66</v>
      </c>
      <c r="D586" t="s">
        <v>585</v>
      </c>
      <c r="E586">
        <f>E585</f>
        <v>2060</v>
      </c>
      <c r="F586">
        <f t="shared" si="148"/>
        <v>2060</v>
      </c>
      <c r="G586" s="2">
        <v>10</v>
      </c>
      <c r="H586">
        <f t="shared" si="149"/>
        <v>0</v>
      </c>
      <c r="I586">
        <f t="shared" si="150"/>
        <v>0</v>
      </c>
      <c r="J586">
        <f t="shared" si="151"/>
        <v>0</v>
      </c>
      <c r="K586">
        <f t="shared" si="152"/>
        <v>0</v>
      </c>
      <c r="L586">
        <v>253929</v>
      </c>
      <c r="M586">
        <v>1359.9999999999998</v>
      </c>
      <c r="N586">
        <v>9628</v>
      </c>
      <c r="O586">
        <v>11554</v>
      </c>
      <c r="P586">
        <v>10500</v>
      </c>
      <c r="Q586">
        <v>3150</v>
      </c>
      <c r="R586">
        <v>3150</v>
      </c>
      <c r="S586">
        <v>0</v>
      </c>
      <c r="T586">
        <v>0</v>
      </c>
      <c r="U586">
        <v>1632</v>
      </c>
      <c r="V586">
        <v>0</v>
      </c>
      <c r="W586">
        <v>0</v>
      </c>
      <c r="X586" t="s">
        <v>593</v>
      </c>
      <c r="Y586">
        <v>1</v>
      </c>
      <c r="Z586">
        <v>0</v>
      </c>
      <c r="AA586">
        <v>50</v>
      </c>
      <c r="AB586">
        <v>25</v>
      </c>
      <c r="AC586">
        <v>0.4</v>
      </c>
    </row>
    <row r="587" spans="1:29">
      <c r="A587">
        <v>2065051</v>
      </c>
      <c r="B587">
        <v>2001</v>
      </c>
      <c r="C587">
        <v>66</v>
      </c>
      <c r="D587" t="s">
        <v>563</v>
      </c>
      <c r="E587">
        <f t="shared" si="146"/>
        <v>2060</v>
      </c>
      <c r="F587">
        <f t="shared" si="147"/>
        <v>2060</v>
      </c>
      <c r="G587" s="2">
        <v>21</v>
      </c>
      <c r="H587">
        <v>0</v>
      </c>
      <c r="I587">
        <v>0</v>
      </c>
      <c r="J587">
        <v>0</v>
      </c>
      <c r="K587">
        <v>0</v>
      </c>
      <c r="L587">
        <v>911516</v>
      </c>
      <c r="M587">
        <v>1359.9999999999998</v>
      </c>
      <c r="N587">
        <v>29273</v>
      </c>
      <c r="O587">
        <v>35128</v>
      </c>
      <c r="P587">
        <v>10500</v>
      </c>
      <c r="Q587">
        <v>3150</v>
      </c>
      <c r="R587">
        <v>3150</v>
      </c>
      <c r="S587">
        <v>0</v>
      </c>
      <c r="T587">
        <v>0</v>
      </c>
      <c r="U587">
        <v>1632</v>
      </c>
      <c r="V587">
        <v>0</v>
      </c>
      <c r="W587">
        <v>0</v>
      </c>
      <c r="X587" t="s">
        <v>594</v>
      </c>
      <c r="Y587">
        <v>1</v>
      </c>
      <c r="Z587">
        <v>0</v>
      </c>
      <c r="AA587">
        <v>50</v>
      </c>
      <c r="AB587">
        <v>25</v>
      </c>
      <c r="AC587">
        <v>0.4</v>
      </c>
    </row>
    <row r="588" spans="1:29">
      <c r="A588">
        <v>2065061</v>
      </c>
      <c r="B588">
        <v>2001</v>
      </c>
      <c r="C588">
        <v>67</v>
      </c>
      <c r="D588" t="s">
        <v>564</v>
      </c>
      <c r="E588">
        <f t="shared" si="146"/>
        <v>2110</v>
      </c>
      <c r="F588">
        <f t="shared" si="147"/>
        <v>2110</v>
      </c>
      <c r="G588" s="2">
        <v>14</v>
      </c>
      <c r="H588">
        <v>0</v>
      </c>
      <c r="I588">
        <v>0</v>
      </c>
      <c r="J588">
        <v>0</v>
      </c>
      <c r="K588">
        <v>0</v>
      </c>
      <c r="L588">
        <v>1022522</v>
      </c>
      <c r="M588">
        <v>1370</v>
      </c>
      <c r="N588">
        <v>31804</v>
      </c>
      <c r="O588">
        <v>38165</v>
      </c>
      <c r="P588">
        <v>11000</v>
      </c>
      <c r="Q588">
        <v>3300</v>
      </c>
      <c r="R588">
        <v>3300</v>
      </c>
      <c r="S588">
        <v>0</v>
      </c>
      <c r="T588">
        <v>0</v>
      </c>
      <c r="U588">
        <v>854</v>
      </c>
      <c r="V588">
        <v>0</v>
      </c>
      <c r="W588">
        <v>0</v>
      </c>
      <c r="X588" t="s">
        <v>626</v>
      </c>
      <c r="Y588">
        <v>1</v>
      </c>
      <c r="Z588">
        <v>0</v>
      </c>
      <c r="AA588">
        <v>50</v>
      </c>
      <c r="AB588">
        <v>25</v>
      </c>
      <c r="AC588">
        <v>0.4</v>
      </c>
    </row>
    <row r="589" spans="1:29">
      <c r="A589">
        <v>2065071</v>
      </c>
      <c r="B589">
        <v>2001</v>
      </c>
      <c r="C589">
        <v>67</v>
      </c>
      <c r="D589" t="s">
        <v>565</v>
      </c>
      <c r="E589">
        <f t="shared" si="146"/>
        <v>2110</v>
      </c>
      <c r="F589">
        <f t="shared" si="147"/>
        <v>2110</v>
      </c>
      <c r="G589" s="2">
        <v>13</v>
      </c>
      <c r="H589">
        <v>0</v>
      </c>
      <c r="I589">
        <v>0</v>
      </c>
      <c r="J589">
        <v>0</v>
      </c>
      <c r="K589">
        <v>0</v>
      </c>
      <c r="L589">
        <v>1087628</v>
      </c>
      <c r="M589">
        <v>1096</v>
      </c>
      <c r="N589">
        <v>23802</v>
      </c>
      <c r="O589">
        <v>28562</v>
      </c>
      <c r="P589">
        <v>11000</v>
      </c>
      <c r="Q589">
        <v>3300</v>
      </c>
      <c r="R589">
        <v>3300</v>
      </c>
      <c r="S589">
        <v>0</v>
      </c>
      <c r="T589">
        <v>0</v>
      </c>
      <c r="U589">
        <v>854</v>
      </c>
      <c r="V589">
        <v>0</v>
      </c>
      <c r="W589">
        <v>0</v>
      </c>
      <c r="X589" t="s">
        <v>627</v>
      </c>
      <c r="Y589">
        <v>1</v>
      </c>
      <c r="Z589">
        <v>0</v>
      </c>
      <c r="AA589">
        <v>50</v>
      </c>
      <c r="AB589">
        <v>25</v>
      </c>
      <c r="AC589">
        <v>0.4</v>
      </c>
    </row>
    <row r="590" spans="1:29">
      <c r="A590">
        <v>2065081</v>
      </c>
      <c r="B590">
        <v>2001</v>
      </c>
      <c r="C590">
        <v>68</v>
      </c>
      <c r="D590" t="s">
        <v>566</v>
      </c>
      <c r="E590">
        <f t="shared" si="146"/>
        <v>2160</v>
      </c>
      <c r="F590">
        <f t="shared" si="147"/>
        <v>2160</v>
      </c>
      <c r="G590" s="2">
        <v>25</v>
      </c>
      <c r="H590">
        <v>0</v>
      </c>
      <c r="I590">
        <v>0</v>
      </c>
      <c r="J590">
        <v>0</v>
      </c>
      <c r="K590">
        <v>0</v>
      </c>
      <c r="L590">
        <v>1144752</v>
      </c>
      <c r="M590">
        <v>42</v>
      </c>
      <c r="N590">
        <v>45441</v>
      </c>
      <c r="O590">
        <v>54529</v>
      </c>
      <c r="P590">
        <v>11500</v>
      </c>
      <c r="Q590">
        <v>3450</v>
      </c>
      <c r="R590">
        <v>3450</v>
      </c>
      <c r="S590">
        <v>0</v>
      </c>
      <c r="T590">
        <v>0</v>
      </c>
      <c r="U590">
        <v>1731</v>
      </c>
      <c r="V590">
        <v>0</v>
      </c>
      <c r="W590">
        <v>0</v>
      </c>
      <c r="X590" t="s">
        <v>603</v>
      </c>
      <c r="Y590">
        <v>1</v>
      </c>
      <c r="Z590">
        <v>0</v>
      </c>
      <c r="AA590">
        <v>50</v>
      </c>
      <c r="AB590">
        <v>25</v>
      </c>
      <c r="AC590">
        <v>0.4</v>
      </c>
    </row>
    <row r="591" spans="1:29">
      <c r="A591">
        <v>2065091</v>
      </c>
      <c r="B591">
        <v>2001</v>
      </c>
      <c r="C591">
        <v>69</v>
      </c>
      <c r="D591" t="s">
        <v>625</v>
      </c>
      <c r="E591">
        <f t="shared" si="146"/>
        <v>2210</v>
      </c>
      <c r="F591">
        <f t="shared" si="147"/>
        <v>2210</v>
      </c>
      <c r="G591" s="2">
        <v>28</v>
      </c>
      <c r="H591">
        <v>0</v>
      </c>
      <c r="I591">
        <v>0</v>
      </c>
      <c r="J591">
        <v>0</v>
      </c>
      <c r="K591">
        <v>0</v>
      </c>
      <c r="L591">
        <v>1107965</v>
      </c>
      <c r="M591">
        <v>1390.0000000000002</v>
      </c>
      <c r="N591">
        <v>35767</v>
      </c>
      <c r="O591">
        <v>42920</v>
      </c>
      <c r="P591">
        <v>12000</v>
      </c>
      <c r="Q591">
        <v>3600</v>
      </c>
      <c r="R591">
        <v>3600</v>
      </c>
      <c r="S591">
        <v>0</v>
      </c>
      <c r="T591">
        <v>0</v>
      </c>
      <c r="U591">
        <v>1782</v>
      </c>
      <c r="V591">
        <v>0</v>
      </c>
      <c r="W591">
        <v>0</v>
      </c>
      <c r="X591" t="s">
        <v>604</v>
      </c>
      <c r="Y591">
        <v>1</v>
      </c>
      <c r="Z591">
        <v>0</v>
      </c>
      <c r="AA591">
        <v>50</v>
      </c>
      <c r="AB591">
        <v>25</v>
      </c>
      <c r="AC591">
        <v>0.4</v>
      </c>
    </row>
    <row r="592" spans="1:29">
      <c r="A592">
        <v>2070011</v>
      </c>
      <c r="B592">
        <v>2001</v>
      </c>
      <c r="C592">
        <v>70</v>
      </c>
      <c r="D592" t="s">
        <v>559</v>
      </c>
      <c r="E592">
        <f t="shared" si="146"/>
        <v>2260</v>
      </c>
      <c r="F592">
        <f t="shared" si="147"/>
        <v>2260</v>
      </c>
      <c r="G592" s="2">
        <v>3</v>
      </c>
      <c r="H592">
        <v>0</v>
      </c>
      <c r="I592">
        <v>0</v>
      </c>
      <c r="J592">
        <v>0</v>
      </c>
      <c r="K592">
        <v>0</v>
      </c>
      <c r="L592">
        <v>788770</v>
      </c>
      <c r="M592">
        <v>840</v>
      </c>
      <c r="N592">
        <v>21963</v>
      </c>
      <c r="O592">
        <v>26356</v>
      </c>
      <c r="P592">
        <v>12500</v>
      </c>
      <c r="Q592">
        <v>3750</v>
      </c>
      <c r="R592">
        <v>3750</v>
      </c>
      <c r="S592">
        <v>0</v>
      </c>
      <c r="T592">
        <v>0</v>
      </c>
      <c r="U592">
        <v>1834</v>
      </c>
      <c r="V592">
        <v>0</v>
      </c>
      <c r="W592">
        <v>0</v>
      </c>
      <c r="X592" t="s">
        <v>600</v>
      </c>
      <c r="Y592">
        <v>1</v>
      </c>
      <c r="Z592">
        <v>0</v>
      </c>
      <c r="AA592">
        <v>50</v>
      </c>
      <c r="AB592">
        <v>25</v>
      </c>
      <c r="AC592">
        <v>0.4</v>
      </c>
    </row>
    <row r="593" spans="1:29">
      <c r="A593">
        <v>2070021</v>
      </c>
      <c r="B593">
        <v>2001</v>
      </c>
      <c r="C593">
        <v>70</v>
      </c>
      <c r="D593" t="s">
        <v>575</v>
      </c>
      <c r="E593">
        <f t="shared" si="146"/>
        <v>2260</v>
      </c>
      <c r="F593">
        <f t="shared" si="147"/>
        <v>2260</v>
      </c>
      <c r="G593" s="2" t="s">
        <v>634</v>
      </c>
      <c r="H593">
        <v>0</v>
      </c>
      <c r="I593">
        <v>0</v>
      </c>
      <c r="J593">
        <v>0</v>
      </c>
      <c r="K593">
        <v>0</v>
      </c>
      <c r="L593">
        <v>1054474</v>
      </c>
      <c r="M593">
        <v>1400</v>
      </c>
      <c r="N593">
        <v>34259</v>
      </c>
      <c r="O593">
        <v>41111</v>
      </c>
      <c r="P593">
        <v>12500</v>
      </c>
      <c r="Q593">
        <v>3750</v>
      </c>
      <c r="R593">
        <v>3750</v>
      </c>
      <c r="S593">
        <v>0</v>
      </c>
      <c r="T593">
        <v>0</v>
      </c>
      <c r="U593">
        <v>1834</v>
      </c>
      <c r="V593">
        <v>0</v>
      </c>
      <c r="W593">
        <v>0</v>
      </c>
      <c r="X593" t="s">
        <v>618</v>
      </c>
      <c r="Y593">
        <v>1</v>
      </c>
      <c r="Z593">
        <v>0</v>
      </c>
      <c r="AA593">
        <v>50</v>
      </c>
      <c r="AB593">
        <v>25</v>
      </c>
      <c r="AC593">
        <v>0.4</v>
      </c>
    </row>
    <row r="594" spans="1:29">
      <c r="A594">
        <v>2070031</v>
      </c>
      <c r="B594">
        <v>2001</v>
      </c>
      <c r="C594">
        <v>71</v>
      </c>
      <c r="D594" t="s">
        <v>576</v>
      </c>
      <c r="E594">
        <f t="shared" si="146"/>
        <v>2320</v>
      </c>
      <c r="F594">
        <f t="shared" si="147"/>
        <v>2320</v>
      </c>
      <c r="G594" s="2" t="s">
        <v>635</v>
      </c>
      <c r="H594">
        <v>0</v>
      </c>
      <c r="I594">
        <v>0</v>
      </c>
      <c r="J594">
        <v>0</v>
      </c>
      <c r="K594">
        <v>0</v>
      </c>
      <c r="L594">
        <v>687270</v>
      </c>
      <c r="M594">
        <v>6345</v>
      </c>
      <c r="N594">
        <v>57778</v>
      </c>
      <c r="O594">
        <v>69334</v>
      </c>
      <c r="P594">
        <v>13000</v>
      </c>
      <c r="Q594">
        <v>3900</v>
      </c>
      <c r="R594">
        <v>3900</v>
      </c>
      <c r="S594">
        <v>0</v>
      </c>
      <c r="T594">
        <v>6566</v>
      </c>
      <c r="U594">
        <v>1886</v>
      </c>
      <c r="V594">
        <v>0</v>
      </c>
      <c r="W594">
        <v>0</v>
      </c>
      <c r="X594" t="s">
        <v>620</v>
      </c>
      <c r="Y594">
        <v>1</v>
      </c>
      <c r="Z594">
        <v>0</v>
      </c>
      <c r="AA594">
        <v>50</v>
      </c>
      <c r="AB594">
        <v>25</v>
      </c>
      <c r="AC594">
        <v>0.4</v>
      </c>
    </row>
    <row r="595" spans="1:29">
      <c r="A595">
        <v>2070041</v>
      </c>
      <c r="B595">
        <v>2001</v>
      </c>
      <c r="C595">
        <v>71</v>
      </c>
      <c r="D595" t="s">
        <v>562</v>
      </c>
      <c r="E595">
        <f t="shared" si="146"/>
        <v>2320</v>
      </c>
      <c r="F595">
        <f t="shared" si="147"/>
        <v>2320</v>
      </c>
      <c r="G595" s="2">
        <v>2</v>
      </c>
      <c r="H595">
        <v>0</v>
      </c>
      <c r="I595">
        <v>0</v>
      </c>
      <c r="J595">
        <v>0</v>
      </c>
      <c r="K595">
        <v>0</v>
      </c>
      <c r="L595">
        <v>726023</v>
      </c>
      <c r="M595">
        <v>1128</v>
      </c>
      <c r="N595">
        <v>24735</v>
      </c>
      <c r="O595">
        <v>29682</v>
      </c>
      <c r="P595">
        <v>13000</v>
      </c>
      <c r="Q595">
        <v>3900</v>
      </c>
      <c r="R595">
        <v>3900</v>
      </c>
      <c r="S595">
        <v>0</v>
      </c>
      <c r="T595">
        <v>0</v>
      </c>
      <c r="U595">
        <v>1886</v>
      </c>
      <c r="V595">
        <v>0</v>
      </c>
      <c r="W595">
        <v>0</v>
      </c>
      <c r="X595" t="s">
        <v>599</v>
      </c>
      <c r="Y595">
        <v>1</v>
      </c>
      <c r="Z595">
        <v>0</v>
      </c>
      <c r="AA595">
        <v>50</v>
      </c>
      <c r="AB595">
        <v>25</v>
      </c>
      <c r="AC595">
        <v>0.4</v>
      </c>
    </row>
    <row r="596" spans="1:29">
      <c r="A596">
        <f>A595+1</f>
        <v>2070042</v>
      </c>
      <c r="B596">
        <v>2001</v>
      </c>
      <c r="C596">
        <f>C595</f>
        <v>71</v>
      </c>
      <c r="D596" t="s">
        <v>584</v>
      </c>
      <c r="E596">
        <f>E595</f>
        <v>2320</v>
      </c>
      <c r="F596">
        <f t="shared" ref="F596:F597" si="153">F595</f>
        <v>2320</v>
      </c>
      <c r="G596" s="2">
        <v>9</v>
      </c>
      <c r="H596">
        <f t="shared" ref="H596:H597" si="154">H595</f>
        <v>0</v>
      </c>
      <c r="I596">
        <f t="shared" ref="I596:I597" si="155">I595</f>
        <v>0</v>
      </c>
      <c r="J596">
        <f t="shared" ref="J596:J597" si="156">J595</f>
        <v>0</v>
      </c>
      <c r="K596">
        <f t="shared" ref="K596:K597" si="157">K595</f>
        <v>0</v>
      </c>
      <c r="L596">
        <v>338811</v>
      </c>
      <c r="M596">
        <v>1410</v>
      </c>
      <c r="N596">
        <v>14429</v>
      </c>
      <c r="O596">
        <v>17315</v>
      </c>
      <c r="P596">
        <v>13000</v>
      </c>
      <c r="Q596">
        <v>3900</v>
      </c>
      <c r="R596">
        <v>3900</v>
      </c>
      <c r="S596">
        <v>0</v>
      </c>
      <c r="T596">
        <v>0</v>
      </c>
      <c r="U596">
        <v>1886</v>
      </c>
      <c r="V596">
        <v>0</v>
      </c>
      <c r="W596">
        <v>0</v>
      </c>
      <c r="X596" t="s">
        <v>592</v>
      </c>
      <c r="Y596">
        <v>1</v>
      </c>
      <c r="Z596">
        <v>0</v>
      </c>
      <c r="AA596">
        <v>50</v>
      </c>
      <c r="AB596">
        <v>25</v>
      </c>
      <c r="AC596">
        <v>0.4</v>
      </c>
    </row>
    <row r="597" spans="1:29">
      <c r="A597">
        <f>A596+1</f>
        <v>2070043</v>
      </c>
      <c r="B597">
        <v>2001</v>
      </c>
      <c r="C597">
        <f>C596</f>
        <v>71</v>
      </c>
      <c r="D597" t="s">
        <v>585</v>
      </c>
      <c r="E597">
        <f>E596</f>
        <v>2320</v>
      </c>
      <c r="F597">
        <f t="shared" si="153"/>
        <v>2320</v>
      </c>
      <c r="G597" s="2">
        <v>10</v>
      </c>
      <c r="H597">
        <f t="shared" si="154"/>
        <v>0</v>
      </c>
      <c r="I597">
        <f t="shared" si="155"/>
        <v>0</v>
      </c>
      <c r="J597">
        <f t="shared" si="156"/>
        <v>0</v>
      </c>
      <c r="K597">
        <f t="shared" si="157"/>
        <v>0</v>
      </c>
      <c r="L597">
        <v>338811</v>
      </c>
      <c r="M597">
        <v>1410</v>
      </c>
      <c r="N597">
        <v>14429</v>
      </c>
      <c r="O597">
        <v>17315</v>
      </c>
      <c r="P597">
        <v>13000</v>
      </c>
      <c r="Q597">
        <v>3900</v>
      </c>
      <c r="R597">
        <v>3900</v>
      </c>
      <c r="S597">
        <v>0</v>
      </c>
      <c r="T597">
        <v>0</v>
      </c>
      <c r="U597">
        <v>1886</v>
      </c>
      <c r="V597">
        <v>0</v>
      </c>
      <c r="W597">
        <v>0</v>
      </c>
      <c r="X597" t="s">
        <v>593</v>
      </c>
      <c r="Y597">
        <v>1</v>
      </c>
      <c r="Z597">
        <v>0</v>
      </c>
      <c r="AA597">
        <v>50</v>
      </c>
      <c r="AB597">
        <v>25</v>
      </c>
      <c r="AC597">
        <v>0.4</v>
      </c>
    </row>
    <row r="598" spans="1:29">
      <c r="A598">
        <v>2070051</v>
      </c>
      <c r="B598">
        <v>2001</v>
      </c>
      <c r="C598">
        <v>71</v>
      </c>
      <c r="D598" t="s">
        <v>563</v>
      </c>
      <c r="E598">
        <f t="shared" si="146"/>
        <v>2320</v>
      </c>
      <c r="F598">
        <f t="shared" si="147"/>
        <v>2320</v>
      </c>
      <c r="G598" s="2">
        <v>21</v>
      </c>
      <c r="H598">
        <v>0</v>
      </c>
      <c r="I598">
        <v>0</v>
      </c>
      <c r="J598">
        <v>0</v>
      </c>
      <c r="K598">
        <v>0</v>
      </c>
      <c r="L598">
        <v>1214354</v>
      </c>
      <c r="M598">
        <v>1410</v>
      </c>
      <c r="N598">
        <v>44120</v>
      </c>
      <c r="O598">
        <v>52944</v>
      </c>
      <c r="P598">
        <v>13000</v>
      </c>
      <c r="Q598">
        <v>3900</v>
      </c>
      <c r="R598">
        <v>3900</v>
      </c>
      <c r="S598">
        <v>0</v>
      </c>
      <c r="T598">
        <v>0</v>
      </c>
      <c r="U598">
        <v>1886</v>
      </c>
      <c r="V598">
        <v>0</v>
      </c>
      <c r="W598">
        <v>0</v>
      </c>
      <c r="X598" t="s">
        <v>594</v>
      </c>
      <c r="Y598">
        <v>1</v>
      </c>
      <c r="Z598">
        <v>0</v>
      </c>
      <c r="AA598">
        <v>50</v>
      </c>
      <c r="AB598">
        <v>25</v>
      </c>
      <c r="AC598">
        <v>0.4</v>
      </c>
    </row>
    <row r="599" spans="1:29">
      <c r="A599">
        <v>2070061</v>
      </c>
      <c r="B599">
        <v>2001</v>
      </c>
      <c r="C599">
        <v>72</v>
      </c>
      <c r="D599" t="s">
        <v>564</v>
      </c>
      <c r="E599">
        <f t="shared" si="146"/>
        <v>2380</v>
      </c>
      <c r="F599">
        <f t="shared" si="147"/>
        <v>2380</v>
      </c>
      <c r="G599" s="2">
        <v>14</v>
      </c>
      <c r="H599">
        <v>0</v>
      </c>
      <c r="I599">
        <v>0</v>
      </c>
      <c r="J599">
        <v>0</v>
      </c>
      <c r="K599">
        <v>0</v>
      </c>
      <c r="L599">
        <v>1368439</v>
      </c>
      <c r="M599">
        <v>1420</v>
      </c>
      <c r="N599">
        <v>48301</v>
      </c>
      <c r="O599">
        <v>57961</v>
      </c>
      <c r="P599">
        <v>13500</v>
      </c>
      <c r="Q599">
        <v>4050</v>
      </c>
      <c r="R599">
        <v>4050</v>
      </c>
      <c r="S599">
        <v>0</v>
      </c>
      <c r="T599">
        <v>0</v>
      </c>
      <c r="U599">
        <v>984</v>
      </c>
      <c r="V599">
        <v>0</v>
      </c>
      <c r="W599">
        <v>0</v>
      </c>
      <c r="X599" t="s">
        <v>626</v>
      </c>
      <c r="Y599">
        <v>1</v>
      </c>
      <c r="Z599">
        <v>0</v>
      </c>
      <c r="AA599">
        <v>50</v>
      </c>
      <c r="AB599">
        <v>25</v>
      </c>
      <c r="AC599">
        <v>0.4</v>
      </c>
    </row>
    <row r="600" spans="1:29">
      <c r="A600">
        <v>2070071</v>
      </c>
      <c r="B600">
        <v>2001</v>
      </c>
      <c r="C600">
        <v>72</v>
      </c>
      <c r="D600" t="s">
        <v>565</v>
      </c>
      <c r="E600">
        <f t="shared" si="146"/>
        <v>2380</v>
      </c>
      <c r="F600">
        <f t="shared" si="147"/>
        <v>2380</v>
      </c>
      <c r="G600" s="2">
        <v>13</v>
      </c>
      <c r="H600">
        <v>0</v>
      </c>
      <c r="I600">
        <v>0</v>
      </c>
      <c r="J600">
        <v>0</v>
      </c>
      <c r="K600">
        <v>0</v>
      </c>
      <c r="L600">
        <v>1453558</v>
      </c>
      <c r="M600">
        <v>1136</v>
      </c>
      <c r="N600">
        <v>36324</v>
      </c>
      <c r="O600">
        <v>43589</v>
      </c>
      <c r="P600">
        <v>13500</v>
      </c>
      <c r="Q600">
        <v>4050</v>
      </c>
      <c r="R600">
        <v>4050</v>
      </c>
      <c r="S600">
        <v>0</v>
      </c>
      <c r="T600">
        <v>0</v>
      </c>
      <c r="U600">
        <v>984</v>
      </c>
      <c r="V600">
        <v>0</v>
      </c>
      <c r="W600">
        <v>0</v>
      </c>
      <c r="X600" t="s">
        <v>627</v>
      </c>
      <c r="Y600">
        <v>1</v>
      </c>
      <c r="Z600">
        <v>0</v>
      </c>
      <c r="AA600">
        <v>50</v>
      </c>
      <c r="AB600">
        <v>25</v>
      </c>
      <c r="AC600">
        <v>0.4</v>
      </c>
    </row>
    <row r="601" spans="1:29">
      <c r="A601">
        <v>2070081</v>
      </c>
      <c r="B601">
        <v>2001</v>
      </c>
      <c r="C601">
        <v>73</v>
      </c>
      <c r="D601" t="s">
        <v>566</v>
      </c>
      <c r="E601">
        <f t="shared" si="146"/>
        <v>2440</v>
      </c>
      <c r="F601">
        <f t="shared" si="147"/>
        <v>2440</v>
      </c>
      <c r="G601" s="2">
        <v>25</v>
      </c>
      <c r="H601">
        <v>0</v>
      </c>
      <c r="I601">
        <v>0</v>
      </c>
      <c r="J601">
        <v>0</v>
      </c>
      <c r="K601">
        <v>0</v>
      </c>
      <c r="L601">
        <v>1538996</v>
      </c>
      <c r="M601">
        <v>42</v>
      </c>
      <c r="N601">
        <v>69688</v>
      </c>
      <c r="O601">
        <v>83626</v>
      </c>
      <c r="P601">
        <v>14000</v>
      </c>
      <c r="Q601">
        <v>4200</v>
      </c>
      <c r="R601">
        <v>4200</v>
      </c>
      <c r="S601">
        <v>0</v>
      </c>
      <c r="T601">
        <v>0</v>
      </c>
      <c r="U601">
        <v>1993</v>
      </c>
      <c r="V601">
        <v>0</v>
      </c>
      <c r="W601">
        <v>0</v>
      </c>
      <c r="X601" t="s">
        <v>603</v>
      </c>
      <c r="Y601">
        <v>1</v>
      </c>
      <c r="Z601">
        <v>0</v>
      </c>
      <c r="AA601">
        <v>50</v>
      </c>
      <c r="AB601">
        <v>25</v>
      </c>
      <c r="AC601">
        <v>0.4</v>
      </c>
    </row>
    <row r="602" spans="1:29">
      <c r="A602">
        <v>2070091</v>
      </c>
      <c r="B602">
        <v>2001</v>
      </c>
      <c r="C602">
        <v>74</v>
      </c>
      <c r="D602" t="s">
        <v>625</v>
      </c>
      <c r="E602">
        <f t="shared" si="146"/>
        <v>2500</v>
      </c>
      <c r="F602">
        <f t="shared" si="147"/>
        <v>2500</v>
      </c>
      <c r="G602" s="2">
        <v>28</v>
      </c>
      <c r="H602">
        <v>0</v>
      </c>
      <c r="I602">
        <v>0</v>
      </c>
      <c r="J602">
        <v>0</v>
      </c>
      <c r="K602">
        <v>0</v>
      </c>
      <c r="L602">
        <v>1498759</v>
      </c>
      <c r="M602">
        <v>1440</v>
      </c>
      <c r="N602">
        <v>55210</v>
      </c>
      <c r="O602">
        <v>66252</v>
      </c>
      <c r="P602">
        <v>14500</v>
      </c>
      <c r="Q602">
        <v>4350</v>
      </c>
      <c r="R602">
        <v>4350</v>
      </c>
      <c r="S602">
        <v>0</v>
      </c>
      <c r="T602">
        <v>0</v>
      </c>
      <c r="U602">
        <v>2047</v>
      </c>
      <c r="V602">
        <v>0</v>
      </c>
      <c r="W602">
        <v>0</v>
      </c>
      <c r="X602" t="s">
        <v>604</v>
      </c>
      <c r="Y602">
        <v>1</v>
      </c>
      <c r="Z602">
        <v>0</v>
      </c>
      <c r="AA602">
        <v>50</v>
      </c>
      <c r="AB602">
        <v>25</v>
      </c>
      <c r="AC602">
        <v>0.4</v>
      </c>
    </row>
    <row r="603" spans="1:29">
      <c r="A603">
        <v>2075011</v>
      </c>
      <c r="B603">
        <v>2001</v>
      </c>
      <c r="C603">
        <v>75</v>
      </c>
      <c r="D603" t="s">
        <v>559</v>
      </c>
      <c r="E603">
        <f t="shared" si="146"/>
        <v>2560</v>
      </c>
      <c r="F603">
        <f t="shared" si="147"/>
        <v>2560</v>
      </c>
      <c r="G603" s="2">
        <v>3</v>
      </c>
      <c r="H603">
        <v>0</v>
      </c>
      <c r="I603">
        <v>0</v>
      </c>
      <c r="J603">
        <v>0</v>
      </c>
      <c r="K603">
        <v>0</v>
      </c>
      <c r="L603">
        <v>1048674</v>
      </c>
      <c r="M603">
        <v>870</v>
      </c>
      <c r="N603">
        <v>32229</v>
      </c>
      <c r="O603">
        <v>38675</v>
      </c>
      <c r="P603">
        <v>15000</v>
      </c>
      <c r="Q603">
        <v>4500</v>
      </c>
      <c r="R603">
        <v>4500</v>
      </c>
      <c r="S603">
        <v>0</v>
      </c>
      <c r="T603">
        <v>0</v>
      </c>
      <c r="U603">
        <v>2103</v>
      </c>
      <c r="V603">
        <v>0</v>
      </c>
      <c r="W603">
        <v>0</v>
      </c>
      <c r="X603" t="s">
        <v>600</v>
      </c>
      <c r="Y603">
        <v>1</v>
      </c>
      <c r="Z603">
        <v>0</v>
      </c>
      <c r="AA603">
        <v>50</v>
      </c>
      <c r="AB603">
        <v>25</v>
      </c>
      <c r="AC603">
        <v>0.4</v>
      </c>
    </row>
    <row r="604" spans="1:29">
      <c r="A604">
        <v>2075021</v>
      </c>
      <c r="B604">
        <v>2001</v>
      </c>
      <c r="C604">
        <v>75</v>
      </c>
      <c r="D604" t="s">
        <v>575</v>
      </c>
      <c r="E604">
        <f t="shared" si="146"/>
        <v>2560</v>
      </c>
      <c r="F604">
        <f t="shared" si="147"/>
        <v>2560</v>
      </c>
      <c r="G604" s="2" t="s">
        <v>634</v>
      </c>
      <c r="H604">
        <v>0</v>
      </c>
      <c r="I604">
        <v>0</v>
      </c>
      <c r="J604">
        <v>0</v>
      </c>
      <c r="K604">
        <v>0</v>
      </c>
      <c r="L604">
        <v>1405428</v>
      </c>
      <c r="M604">
        <v>1450</v>
      </c>
      <c r="N604">
        <v>50721</v>
      </c>
      <c r="O604">
        <v>60865</v>
      </c>
      <c r="P604">
        <v>15000</v>
      </c>
      <c r="Q604">
        <v>4500</v>
      </c>
      <c r="R604">
        <v>4500</v>
      </c>
      <c r="S604">
        <v>0</v>
      </c>
      <c r="T604">
        <v>0</v>
      </c>
      <c r="U604">
        <v>2103</v>
      </c>
      <c r="V604">
        <v>0</v>
      </c>
      <c r="W604">
        <v>0</v>
      </c>
      <c r="X604" t="s">
        <v>618</v>
      </c>
      <c r="Y604">
        <v>1</v>
      </c>
      <c r="Z604">
        <v>0</v>
      </c>
      <c r="AA604">
        <v>50</v>
      </c>
      <c r="AB604">
        <v>25</v>
      </c>
      <c r="AC604">
        <v>0.4</v>
      </c>
    </row>
    <row r="605" spans="1:29">
      <c r="A605">
        <v>2075031</v>
      </c>
      <c r="B605">
        <v>2001</v>
      </c>
      <c r="C605">
        <v>76</v>
      </c>
      <c r="D605" t="s">
        <v>576</v>
      </c>
      <c r="E605">
        <f t="shared" si="146"/>
        <v>2620</v>
      </c>
      <c r="F605">
        <f t="shared" si="147"/>
        <v>2620</v>
      </c>
      <c r="G605" s="2" t="s">
        <v>635</v>
      </c>
      <c r="H605">
        <v>0</v>
      </c>
      <c r="I605">
        <v>0</v>
      </c>
      <c r="J605">
        <v>0</v>
      </c>
      <c r="K605">
        <v>0</v>
      </c>
      <c r="L605">
        <v>926585</v>
      </c>
      <c r="M605">
        <v>6570</v>
      </c>
      <c r="N605">
        <v>86560</v>
      </c>
      <c r="O605">
        <v>103872</v>
      </c>
      <c r="P605">
        <v>15500</v>
      </c>
      <c r="Q605">
        <v>4650</v>
      </c>
      <c r="R605">
        <v>4650</v>
      </c>
      <c r="S605">
        <v>0</v>
      </c>
      <c r="T605">
        <v>7515</v>
      </c>
      <c r="U605">
        <v>2159</v>
      </c>
      <c r="V605">
        <v>0</v>
      </c>
      <c r="W605">
        <v>0</v>
      </c>
      <c r="X605" t="s">
        <v>620</v>
      </c>
      <c r="Y605">
        <v>1</v>
      </c>
      <c r="Z605">
        <v>0</v>
      </c>
      <c r="AA605">
        <v>50</v>
      </c>
      <c r="AB605">
        <v>25</v>
      </c>
      <c r="AC605">
        <v>0.4</v>
      </c>
    </row>
    <row r="606" spans="1:29">
      <c r="A606">
        <v>2075041</v>
      </c>
      <c r="B606">
        <v>2001</v>
      </c>
      <c r="C606">
        <v>76</v>
      </c>
      <c r="D606" t="s">
        <v>562</v>
      </c>
      <c r="E606">
        <f t="shared" si="146"/>
        <v>2620</v>
      </c>
      <c r="F606">
        <f t="shared" si="147"/>
        <v>2620</v>
      </c>
      <c r="G606" s="2">
        <v>2</v>
      </c>
      <c r="H606">
        <v>0</v>
      </c>
      <c r="I606">
        <v>0</v>
      </c>
      <c r="J606">
        <v>0</v>
      </c>
      <c r="K606">
        <v>0</v>
      </c>
      <c r="L606">
        <v>980446</v>
      </c>
      <c r="M606">
        <v>1168</v>
      </c>
      <c r="N606">
        <v>37249</v>
      </c>
      <c r="O606">
        <v>44699</v>
      </c>
      <c r="P606">
        <v>15500</v>
      </c>
      <c r="Q606">
        <v>4650</v>
      </c>
      <c r="R606">
        <v>4650</v>
      </c>
      <c r="S606">
        <v>0</v>
      </c>
      <c r="T606">
        <v>0</v>
      </c>
      <c r="U606">
        <v>2159</v>
      </c>
      <c r="V606">
        <v>0</v>
      </c>
      <c r="W606">
        <v>0</v>
      </c>
      <c r="X606" t="s">
        <v>599</v>
      </c>
      <c r="Y606">
        <v>1</v>
      </c>
      <c r="Z606">
        <v>0</v>
      </c>
      <c r="AA606">
        <v>50</v>
      </c>
      <c r="AB606">
        <v>25</v>
      </c>
      <c r="AC606">
        <v>0.4</v>
      </c>
    </row>
    <row r="607" spans="1:29">
      <c r="A607">
        <f>A606+1</f>
        <v>2075042</v>
      </c>
      <c r="B607">
        <v>2001</v>
      </c>
      <c r="C607">
        <f>C606</f>
        <v>76</v>
      </c>
      <c r="D607" t="s">
        <v>584</v>
      </c>
      <c r="E607">
        <f>E606</f>
        <v>2620</v>
      </c>
      <c r="F607">
        <f t="shared" ref="F607:F608" si="158">F606</f>
        <v>2620</v>
      </c>
      <c r="G607" s="2">
        <v>9</v>
      </c>
      <c r="H607">
        <f t="shared" ref="H607:H608" si="159">H606</f>
        <v>0</v>
      </c>
      <c r="I607">
        <f t="shared" ref="I607:I608" si="160">I606</f>
        <v>0</v>
      </c>
      <c r="J607">
        <f t="shared" ref="J607:J608" si="161">J606</f>
        <v>0</v>
      </c>
      <c r="K607">
        <f t="shared" ref="K607:K608" si="162">K606</f>
        <v>0</v>
      </c>
      <c r="L607">
        <v>457542</v>
      </c>
      <c r="M607">
        <v>1460</v>
      </c>
      <c r="N607">
        <v>21728</v>
      </c>
      <c r="O607">
        <v>26074</v>
      </c>
      <c r="P607">
        <v>15500</v>
      </c>
      <c r="Q607">
        <v>4650</v>
      </c>
      <c r="R607">
        <v>4650</v>
      </c>
      <c r="S607">
        <v>0</v>
      </c>
      <c r="T607">
        <v>0</v>
      </c>
      <c r="U607">
        <v>2159</v>
      </c>
      <c r="V607">
        <v>0</v>
      </c>
      <c r="W607">
        <v>0</v>
      </c>
      <c r="X607" t="s">
        <v>592</v>
      </c>
      <c r="Y607">
        <v>1</v>
      </c>
      <c r="Z607">
        <v>0</v>
      </c>
      <c r="AA607">
        <v>50</v>
      </c>
      <c r="AB607">
        <v>25</v>
      </c>
      <c r="AC607">
        <v>0.4</v>
      </c>
    </row>
    <row r="608" spans="1:29">
      <c r="A608">
        <f>A607+1</f>
        <v>2075043</v>
      </c>
      <c r="B608">
        <v>2001</v>
      </c>
      <c r="C608">
        <f>C607</f>
        <v>76</v>
      </c>
      <c r="D608" t="s">
        <v>585</v>
      </c>
      <c r="E608">
        <f>E607</f>
        <v>2620</v>
      </c>
      <c r="F608">
        <f t="shared" si="158"/>
        <v>2620</v>
      </c>
      <c r="G608" s="2">
        <v>10</v>
      </c>
      <c r="H608">
        <f t="shared" si="159"/>
        <v>0</v>
      </c>
      <c r="I608">
        <f t="shared" si="160"/>
        <v>0</v>
      </c>
      <c r="J608">
        <f t="shared" si="161"/>
        <v>0</v>
      </c>
      <c r="K608">
        <f t="shared" si="162"/>
        <v>0</v>
      </c>
      <c r="L608">
        <v>457542</v>
      </c>
      <c r="M608">
        <v>1460</v>
      </c>
      <c r="N608">
        <v>21728</v>
      </c>
      <c r="O608">
        <v>26074</v>
      </c>
      <c r="P608">
        <v>15500</v>
      </c>
      <c r="Q608">
        <v>4650</v>
      </c>
      <c r="R608">
        <v>4650</v>
      </c>
      <c r="S608">
        <v>0</v>
      </c>
      <c r="T608">
        <v>0</v>
      </c>
      <c r="U608">
        <v>2159</v>
      </c>
      <c r="V608">
        <v>0</v>
      </c>
      <c r="W608">
        <v>0</v>
      </c>
      <c r="X608" t="s">
        <v>593</v>
      </c>
      <c r="Y608">
        <v>1</v>
      </c>
      <c r="Z608">
        <v>0</v>
      </c>
      <c r="AA608">
        <v>50</v>
      </c>
      <c r="AB608">
        <v>25</v>
      </c>
      <c r="AC608">
        <v>0.4</v>
      </c>
    </row>
    <row r="609" spans="1:29">
      <c r="A609">
        <v>2075051</v>
      </c>
      <c r="B609">
        <v>2001</v>
      </c>
      <c r="C609">
        <v>76</v>
      </c>
      <c r="D609" t="s">
        <v>563</v>
      </c>
      <c r="E609">
        <f t="shared" si="146"/>
        <v>2620</v>
      </c>
      <c r="F609">
        <f t="shared" si="147"/>
        <v>2620</v>
      </c>
      <c r="G609" s="2">
        <v>21</v>
      </c>
      <c r="H609">
        <v>0</v>
      </c>
      <c r="I609">
        <v>0</v>
      </c>
      <c r="J609">
        <v>0</v>
      </c>
      <c r="K609">
        <v>0</v>
      </c>
      <c r="L609">
        <v>1642611</v>
      </c>
      <c r="M609">
        <v>1460</v>
      </c>
      <c r="N609">
        <v>66787</v>
      </c>
      <c r="O609">
        <v>80144</v>
      </c>
      <c r="P609">
        <v>15500</v>
      </c>
      <c r="Q609">
        <v>4650</v>
      </c>
      <c r="R609">
        <v>4650</v>
      </c>
      <c r="S609">
        <v>0</v>
      </c>
      <c r="T609">
        <v>0</v>
      </c>
      <c r="U609">
        <v>2159</v>
      </c>
      <c r="V609">
        <v>0</v>
      </c>
      <c r="W609">
        <v>0</v>
      </c>
      <c r="X609" t="s">
        <v>594</v>
      </c>
      <c r="Y609">
        <v>1</v>
      </c>
      <c r="Z609">
        <v>0</v>
      </c>
      <c r="AA609">
        <v>50</v>
      </c>
      <c r="AB609">
        <v>25</v>
      </c>
      <c r="AC609">
        <v>0.4</v>
      </c>
    </row>
    <row r="610" spans="1:29">
      <c r="A610">
        <v>2075061</v>
      </c>
      <c r="B610">
        <v>2001</v>
      </c>
      <c r="C610">
        <v>77</v>
      </c>
      <c r="D610" t="s">
        <v>564</v>
      </c>
      <c r="E610">
        <f t="shared" si="146"/>
        <v>2680</v>
      </c>
      <c r="F610">
        <f t="shared" si="147"/>
        <v>2680</v>
      </c>
      <c r="G610" s="2">
        <v>14</v>
      </c>
      <c r="H610">
        <v>0</v>
      </c>
      <c r="I610">
        <v>0</v>
      </c>
      <c r="J610">
        <v>0</v>
      </c>
      <c r="K610">
        <v>0</v>
      </c>
      <c r="L610">
        <v>1869262</v>
      </c>
      <c r="M610">
        <v>1470</v>
      </c>
      <c r="N610">
        <v>73620</v>
      </c>
      <c r="O610">
        <v>88344</v>
      </c>
      <c r="P610">
        <v>16000</v>
      </c>
      <c r="Q610">
        <v>4800</v>
      </c>
      <c r="R610">
        <v>4800</v>
      </c>
      <c r="S610">
        <v>0</v>
      </c>
      <c r="T610">
        <v>0</v>
      </c>
      <c r="U610">
        <v>1125</v>
      </c>
      <c r="V610">
        <v>0</v>
      </c>
      <c r="W610">
        <v>0</v>
      </c>
      <c r="X610" t="s">
        <v>626</v>
      </c>
      <c r="Y610">
        <v>1</v>
      </c>
      <c r="Z610">
        <v>0</v>
      </c>
      <c r="AA610">
        <v>50</v>
      </c>
      <c r="AB610">
        <v>25</v>
      </c>
      <c r="AC610">
        <v>0.4</v>
      </c>
    </row>
    <row r="611" spans="1:29">
      <c r="A611">
        <v>2075071</v>
      </c>
      <c r="B611">
        <v>2001</v>
      </c>
      <c r="C611">
        <v>77</v>
      </c>
      <c r="D611" t="s">
        <v>565</v>
      </c>
      <c r="E611">
        <f t="shared" si="146"/>
        <v>2680</v>
      </c>
      <c r="F611">
        <f t="shared" si="147"/>
        <v>2680</v>
      </c>
      <c r="G611" s="2">
        <v>13</v>
      </c>
      <c r="H611">
        <v>0</v>
      </c>
      <c r="I611">
        <v>0</v>
      </c>
      <c r="J611">
        <v>0</v>
      </c>
      <c r="K611">
        <v>0</v>
      </c>
      <c r="L611">
        <v>1988492</v>
      </c>
      <c r="M611">
        <v>1176</v>
      </c>
      <c r="N611">
        <v>55602</v>
      </c>
      <c r="O611">
        <v>66722</v>
      </c>
      <c r="P611">
        <v>16000</v>
      </c>
      <c r="Q611">
        <v>4800</v>
      </c>
      <c r="R611">
        <v>4800</v>
      </c>
      <c r="S611">
        <v>0</v>
      </c>
      <c r="T611">
        <v>0</v>
      </c>
      <c r="U611">
        <v>1125</v>
      </c>
      <c r="V611">
        <v>0</v>
      </c>
      <c r="W611">
        <v>0</v>
      </c>
      <c r="X611" t="s">
        <v>627</v>
      </c>
      <c r="Y611">
        <v>1</v>
      </c>
      <c r="Z611">
        <v>0</v>
      </c>
      <c r="AA611">
        <v>50</v>
      </c>
      <c r="AB611">
        <v>25</v>
      </c>
      <c r="AC611">
        <v>0.4</v>
      </c>
    </row>
    <row r="612" spans="1:29">
      <c r="A612">
        <v>2075081</v>
      </c>
      <c r="B612">
        <v>2001</v>
      </c>
      <c r="C612">
        <v>78</v>
      </c>
      <c r="D612" t="s">
        <v>566</v>
      </c>
      <c r="E612">
        <f t="shared" si="146"/>
        <v>2740</v>
      </c>
      <c r="F612">
        <f t="shared" si="147"/>
        <v>2740</v>
      </c>
      <c r="G612" s="2">
        <v>25</v>
      </c>
      <c r="H612">
        <v>0</v>
      </c>
      <c r="I612">
        <v>0</v>
      </c>
      <c r="J612">
        <v>0</v>
      </c>
      <c r="K612">
        <v>0</v>
      </c>
      <c r="L612">
        <v>2123377</v>
      </c>
      <c r="M612">
        <v>42</v>
      </c>
      <c r="N612">
        <v>107125</v>
      </c>
      <c r="O612">
        <v>128550</v>
      </c>
      <c r="P612">
        <v>16500</v>
      </c>
      <c r="Q612">
        <v>4950</v>
      </c>
      <c r="R612">
        <v>4950</v>
      </c>
      <c r="S612">
        <v>0</v>
      </c>
      <c r="T612">
        <v>0</v>
      </c>
      <c r="U612">
        <v>2273</v>
      </c>
      <c r="V612">
        <v>0</v>
      </c>
      <c r="W612">
        <v>0</v>
      </c>
      <c r="X612" t="s">
        <v>603</v>
      </c>
      <c r="Y612">
        <v>1</v>
      </c>
      <c r="Z612">
        <v>0</v>
      </c>
      <c r="AA612">
        <v>50</v>
      </c>
      <c r="AB612">
        <v>25</v>
      </c>
      <c r="AC612">
        <v>0.4</v>
      </c>
    </row>
    <row r="613" spans="1:29">
      <c r="A613">
        <v>2075091</v>
      </c>
      <c r="B613">
        <v>2001</v>
      </c>
      <c r="C613">
        <v>79</v>
      </c>
      <c r="D613" t="s">
        <v>625</v>
      </c>
      <c r="E613">
        <f t="shared" si="146"/>
        <v>2800</v>
      </c>
      <c r="F613">
        <f t="shared" si="147"/>
        <v>2800</v>
      </c>
      <c r="G613" s="2">
        <v>28</v>
      </c>
      <c r="H613">
        <v>0</v>
      </c>
      <c r="I613">
        <v>0</v>
      </c>
      <c r="J613">
        <v>0</v>
      </c>
      <c r="K613">
        <v>0</v>
      </c>
      <c r="L613">
        <v>2085364</v>
      </c>
      <c r="M613">
        <v>1490</v>
      </c>
      <c r="N613">
        <v>85353</v>
      </c>
      <c r="O613">
        <v>102424</v>
      </c>
      <c r="P613">
        <v>17000</v>
      </c>
      <c r="Q613">
        <v>5100</v>
      </c>
      <c r="R613">
        <v>5100</v>
      </c>
      <c r="S613">
        <v>0</v>
      </c>
      <c r="T613">
        <v>0</v>
      </c>
      <c r="U613">
        <v>2332</v>
      </c>
      <c r="V613">
        <v>0</v>
      </c>
      <c r="W613">
        <v>0</v>
      </c>
      <c r="X613" t="s">
        <v>604</v>
      </c>
      <c r="Y613">
        <v>1</v>
      </c>
      <c r="Z613">
        <v>0</v>
      </c>
      <c r="AA613">
        <v>50</v>
      </c>
      <c r="AB613">
        <v>25</v>
      </c>
      <c r="AC613">
        <v>0.4</v>
      </c>
    </row>
    <row r="614" spans="1:29">
      <c r="A614">
        <v>2080011</v>
      </c>
      <c r="B614">
        <v>2001</v>
      </c>
      <c r="C614">
        <v>80</v>
      </c>
      <c r="D614" t="s">
        <v>559</v>
      </c>
      <c r="E614">
        <f t="shared" si="146"/>
        <v>3000</v>
      </c>
      <c r="F614">
        <f t="shared" si="147"/>
        <v>3000</v>
      </c>
      <c r="G614" s="2">
        <v>3</v>
      </c>
      <c r="H614">
        <v>0</v>
      </c>
      <c r="I614">
        <v>0</v>
      </c>
      <c r="J614">
        <v>0</v>
      </c>
      <c r="K614">
        <v>0</v>
      </c>
      <c r="L614">
        <v>1407627</v>
      </c>
      <c r="M614">
        <v>900</v>
      </c>
      <c r="N614">
        <v>45282</v>
      </c>
      <c r="O614">
        <v>54338</v>
      </c>
      <c r="P614">
        <v>17500</v>
      </c>
      <c r="Q614">
        <v>5250</v>
      </c>
      <c r="R614">
        <v>5250</v>
      </c>
      <c r="S614">
        <v>0</v>
      </c>
      <c r="T614">
        <v>0</v>
      </c>
      <c r="U614">
        <v>2390</v>
      </c>
      <c r="V614">
        <v>0</v>
      </c>
      <c r="W614">
        <v>0</v>
      </c>
      <c r="X614" t="s">
        <v>600</v>
      </c>
      <c r="Y614">
        <v>1</v>
      </c>
      <c r="Z614">
        <v>0</v>
      </c>
      <c r="AA614">
        <v>50</v>
      </c>
      <c r="AB614">
        <v>25</v>
      </c>
      <c r="AC614">
        <v>0.4</v>
      </c>
    </row>
    <row r="615" spans="1:29">
      <c r="A615">
        <v>2080021</v>
      </c>
      <c r="B615">
        <v>2001</v>
      </c>
      <c r="C615">
        <v>80</v>
      </c>
      <c r="D615" t="s">
        <v>575</v>
      </c>
      <c r="E615">
        <f t="shared" si="146"/>
        <v>3000</v>
      </c>
      <c r="F615">
        <f t="shared" si="147"/>
        <v>3000</v>
      </c>
      <c r="G615" s="2" t="s">
        <v>634</v>
      </c>
      <c r="H615">
        <v>0</v>
      </c>
      <c r="I615">
        <v>0</v>
      </c>
      <c r="J615">
        <v>0</v>
      </c>
      <c r="K615">
        <v>0</v>
      </c>
      <c r="L615">
        <v>1889200</v>
      </c>
      <c r="M615">
        <v>1500</v>
      </c>
      <c r="N615">
        <v>71865</v>
      </c>
      <c r="O615">
        <v>86238</v>
      </c>
      <c r="P615">
        <v>17500</v>
      </c>
      <c r="Q615">
        <v>5250</v>
      </c>
      <c r="R615">
        <v>5250</v>
      </c>
      <c r="S615">
        <v>0</v>
      </c>
      <c r="T615">
        <v>0</v>
      </c>
      <c r="U615">
        <v>2390</v>
      </c>
      <c r="V615">
        <v>0</v>
      </c>
      <c r="W615">
        <v>0</v>
      </c>
      <c r="X615" t="s">
        <v>618</v>
      </c>
      <c r="Y615">
        <v>1</v>
      </c>
      <c r="Z615">
        <v>0</v>
      </c>
      <c r="AA615">
        <v>50</v>
      </c>
      <c r="AB615">
        <v>25</v>
      </c>
      <c r="AC615">
        <v>0.4</v>
      </c>
    </row>
    <row r="616" spans="1:29">
      <c r="A616">
        <v>2080031</v>
      </c>
      <c r="B616">
        <v>2001</v>
      </c>
      <c r="C616">
        <v>81</v>
      </c>
      <c r="D616" t="s">
        <v>576</v>
      </c>
      <c r="E616">
        <f t="shared" si="146"/>
        <v>3200</v>
      </c>
      <c r="F616">
        <f t="shared" si="147"/>
        <v>3200</v>
      </c>
      <c r="G616" s="2" t="s">
        <v>635</v>
      </c>
      <c r="H616">
        <v>0</v>
      </c>
      <c r="I616">
        <v>0</v>
      </c>
      <c r="J616">
        <v>0</v>
      </c>
      <c r="K616">
        <v>0</v>
      </c>
      <c r="L616">
        <v>1254531</v>
      </c>
      <c r="M616">
        <v>6795</v>
      </c>
      <c r="N616">
        <v>124031</v>
      </c>
      <c r="O616">
        <v>148837</v>
      </c>
      <c r="P616">
        <v>18000</v>
      </c>
      <c r="Q616">
        <v>5400</v>
      </c>
      <c r="R616">
        <v>5400</v>
      </c>
      <c r="S616">
        <v>0</v>
      </c>
      <c r="T616">
        <v>8529</v>
      </c>
      <c r="U616">
        <v>2450</v>
      </c>
      <c r="V616">
        <v>0</v>
      </c>
      <c r="W616">
        <v>0</v>
      </c>
      <c r="X616" t="s">
        <v>620</v>
      </c>
      <c r="Y616">
        <v>1</v>
      </c>
      <c r="Z616">
        <v>0</v>
      </c>
      <c r="AA616">
        <v>50</v>
      </c>
      <c r="AB616">
        <v>25</v>
      </c>
      <c r="AC616">
        <v>0.4</v>
      </c>
    </row>
    <row r="617" spans="1:29">
      <c r="A617">
        <v>2080041</v>
      </c>
      <c r="B617">
        <v>2001</v>
      </c>
      <c r="C617">
        <v>81</v>
      </c>
      <c r="D617" t="s">
        <v>562</v>
      </c>
      <c r="E617">
        <f t="shared" si="146"/>
        <v>3200</v>
      </c>
      <c r="F617">
        <f t="shared" si="147"/>
        <v>3200</v>
      </c>
      <c r="G617" s="2">
        <v>2</v>
      </c>
      <c r="H617">
        <v>0</v>
      </c>
      <c r="I617">
        <v>0</v>
      </c>
      <c r="J617">
        <v>0</v>
      </c>
      <c r="K617">
        <v>0</v>
      </c>
      <c r="L617">
        <v>1328699</v>
      </c>
      <c r="M617">
        <v>1208</v>
      </c>
      <c r="N617">
        <v>53623</v>
      </c>
      <c r="O617">
        <v>64348</v>
      </c>
      <c r="P617">
        <v>18000</v>
      </c>
      <c r="Q617">
        <v>5400</v>
      </c>
      <c r="R617">
        <v>5400</v>
      </c>
      <c r="S617">
        <v>0</v>
      </c>
      <c r="T617">
        <v>0</v>
      </c>
      <c r="U617">
        <v>2450</v>
      </c>
      <c r="V617">
        <v>0</v>
      </c>
      <c r="W617">
        <v>0</v>
      </c>
      <c r="X617" t="s">
        <v>599</v>
      </c>
      <c r="Y617">
        <v>1</v>
      </c>
      <c r="Z617">
        <v>0</v>
      </c>
      <c r="AA617">
        <v>50</v>
      </c>
      <c r="AB617">
        <v>25</v>
      </c>
      <c r="AC617">
        <v>0.4</v>
      </c>
    </row>
    <row r="618" spans="1:29">
      <c r="A618">
        <f>A617+1</f>
        <v>2080042</v>
      </c>
      <c r="B618">
        <v>2001</v>
      </c>
      <c r="C618">
        <f>C617</f>
        <v>81</v>
      </c>
      <c r="D618" t="s">
        <v>584</v>
      </c>
      <c r="E618">
        <f>E617</f>
        <v>3200</v>
      </c>
      <c r="F618">
        <f t="shared" ref="F618:F619" si="163">F617</f>
        <v>3200</v>
      </c>
      <c r="G618" s="2">
        <v>9</v>
      </c>
      <c r="H618">
        <f t="shared" ref="H618:H619" si="164">H617</f>
        <v>0</v>
      </c>
      <c r="I618">
        <f t="shared" ref="I618:I619" si="165">I617</f>
        <v>0</v>
      </c>
      <c r="J618">
        <f t="shared" ref="J618:J619" si="166">J617</f>
        <v>0</v>
      </c>
      <c r="K618">
        <f t="shared" ref="K618:K619" si="167">K617</f>
        <v>0</v>
      </c>
      <c r="L618">
        <v>620060</v>
      </c>
      <c r="M618">
        <v>1510</v>
      </c>
      <c r="N618">
        <v>31280</v>
      </c>
      <c r="O618">
        <v>37536</v>
      </c>
      <c r="P618">
        <v>18000</v>
      </c>
      <c r="Q618">
        <v>5400</v>
      </c>
      <c r="R618">
        <v>5400</v>
      </c>
      <c r="S618">
        <v>0</v>
      </c>
      <c r="T618">
        <v>0</v>
      </c>
      <c r="U618">
        <v>2450</v>
      </c>
      <c r="V618">
        <v>0</v>
      </c>
      <c r="W618">
        <v>0</v>
      </c>
      <c r="X618" t="s">
        <v>592</v>
      </c>
      <c r="Y618">
        <v>1</v>
      </c>
      <c r="Z618">
        <v>0</v>
      </c>
      <c r="AA618">
        <v>50</v>
      </c>
      <c r="AB618">
        <v>25</v>
      </c>
      <c r="AC618">
        <v>0.4</v>
      </c>
    </row>
    <row r="619" spans="1:29">
      <c r="A619">
        <f>A618+1</f>
        <v>2080043</v>
      </c>
      <c r="B619">
        <v>2001</v>
      </c>
      <c r="C619">
        <f>C618</f>
        <v>81</v>
      </c>
      <c r="D619" t="s">
        <v>585</v>
      </c>
      <c r="E619">
        <f>E618</f>
        <v>3200</v>
      </c>
      <c r="F619">
        <f t="shared" si="163"/>
        <v>3200</v>
      </c>
      <c r="G619" s="2">
        <v>10</v>
      </c>
      <c r="H619">
        <f t="shared" si="164"/>
        <v>0</v>
      </c>
      <c r="I619">
        <f t="shared" si="165"/>
        <v>0</v>
      </c>
      <c r="J619">
        <f t="shared" si="166"/>
        <v>0</v>
      </c>
      <c r="K619">
        <f t="shared" si="167"/>
        <v>0</v>
      </c>
      <c r="L619">
        <v>620060</v>
      </c>
      <c r="M619">
        <v>1510</v>
      </c>
      <c r="N619">
        <v>31280</v>
      </c>
      <c r="O619">
        <v>37536</v>
      </c>
      <c r="P619">
        <v>18000</v>
      </c>
      <c r="Q619">
        <v>5400</v>
      </c>
      <c r="R619">
        <v>5400</v>
      </c>
      <c r="S619">
        <v>0</v>
      </c>
      <c r="T619">
        <v>0</v>
      </c>
      <c r="U619">
        <v>2450</v>
      </c>
      <c r="V619">
        <v>0</v>
      </c>
      <c r="W619">
        <v>0</v>
      </c>
      <c r="X619" t="s">
        <v>593</v>
      </c>
      <c r="Y619">
        <v>1</v>
      </c>
      <c r="Z619">
        <v>0</v>
      </c>
      <c r="AA619">
        <v>50</v>
      </c>
      <c r="AB619">
        <v>25</v>
      </c>
      <c r="AC619">
        <v>0.4</v>
      </c>
    </row>
    <row r="620" spans="1:29">
      <c r="A620">
        <v>2080051</v>
      </c>
      <c r="B620">
        <v>2001</v>
      </c>
      <c r="C620">
        <v>81</v>
      </c>
      <c r="D620" t="s">
        <v>563</v>
      </c>
      <c r="E620">
        <f t="shared" si="146"/>
        <v>3200</v>
      </c>
      <c r="F620">
        <f t="shared" si="147"/>
        <v>3200</v>
      </c>
      <c r="G620" s="2">
        <v>21</v>
      </c>
      <c r="H620">
        <v>0</v>
      </c>
      <c r="I620">
        <v>0</v>
      </c>
      <c r="J620">
        <v>0</v>
      </c>
      <c r="K620">
        <v>0</v>
      </c>
      <c r="L620">
        <v>2228150</v>
      </c>
      <c r="M620">
        <v>1510</v>
      </c>
      <c r="N620">
        <v>96596</v>
      </c>
      <c r="O620">
        <v>115915</v>
      </c>
      <c r="P620">
        <v>18000</v>
      </c>
      <c r="Q620">
        <v>5400</v>
      </c>
      <c r="R620">
        <v>5400</v>
      </c>
      <c r="S620">
        <v>0</v>
      </c>
      <c r="T620">
        <v>0</v>
      </c>
      <c r="U620">
        <v>2450</v>
      </c>
      <c r="V620">
        <v>0</v>
      </c>
      <c r="W620">
        <v>0</v>
      </c>
      <c r="X620" t="s">
        <v>594</v>
      </c>
      <c r="Y620">
        <v>1</v>
      </c>
      <c r="Z620">
        <v>0</v>
      </c>
      <c r="AA620">
        <v>50</v>
      </c>
      <c r="AB620">
        <v>25</v>
      </c>
      <c r="AC620">
        <v>0.4</v>
      </c>
    </row>
    <row r="621" spans="1:29">
      <c r="A621">
        <v>2080061</v>
      </c>
      <c r="B621">
        <v>2001</v>
      </c>
      <c r="C621">
        <v>82</v>
      </c>
      <c r="D621" t="s">
        <v>564</v>
      </c>
      <c r="E621">
        <f t="shared" si="146"/>
        <v>3400</v>
      </c>
      <c r="F621">
        <f t="shared" si="147"/>
        <v>3400</v>
      </c>
      <c r="G621" s="2">
        <v>14</v>
      </c>
      <c r="H621">
        <v>0</v>
      </c>
      <c r="I621">
        <v>0</v>
      </c>
      <c r="J621">
        <v>0</v>
      </c>
      <c r="K621">
        <v>0</v>
      </c>
      <c r="L621">
        <v>2550809</v>
      </c>
      <c r="M621">
        <v>1520</v>
      </c>
      <c r="N621">
        <v>107144</v>
      </c>
      <c r="O621">
        <v>128573</v>
      </c>
      <c r="P621">
        <v>18500</v>
      </c>
      <c r="Q621">
        <v>5550</v>
      </c>
      <c r="R621">
        <v>5550</v>
      </c>
      <c r="S621">
        <v>0</v>
      </c>
      <c r="T621">
        <v>0</v>
      </c>
      <c r="U621">
        <v>1274</v>
      </c>
      <c r="V621">
        <v>0</v>
      </c>
      <c r="W621">
        <v>0</v>
      </c>
      <c r="X621" t="s">
        <v>621</v>
      </c>
      <c r="Y621">
        <v>1</v>
      </c>
      <c r="Z621">
        <v>0</v>
      </c>
      <c r="AA621">
        <v>50</v>
      </c>
      <c r="AB621">
        <v>25</v>
      </c>
      <c r="AC621">
        <v>0.4</v>
      </c>
    </row>
    <row r="622" spans="1:29">
      <c r="A622">
        <v>2080071</v>
      </c>
      <c r="B622">
        <v>2001</v>
      </c>
      <c r="C622">
        <v>82</v>
      </c>
      <c r="D622" t="s">
        <v>565</v>
      </c>
      <c r="E622">
        <f t="shared" si="146"/>
        <v>3400</v>
      </c>
      <c r="F622">
        <f t="shared" si="147"/>
        <v>3400</v>
      </c>
      <c r="G622" s="2">
        <v>13</v>
      </c>
      <c r="H622">
        <v>0</v>
      </c>
      <c r="I622">
        <v>0</v>
      </c>
      <c r="J622">
        <v>0</v>
      </c>
      <c r="K622">
        <v>0</v>
      </c>
      <c r="L622">
        <v>2715792</v>
      </c>
      <c r="M622">
        <v>1216</v>
      </c>
      <c r="N622">
        <v>81224</v>
      </c>
      <c r="O622">
        <v>97469</v>
      </c>
      <c r="P622">
        <v>18500</v>
      </c>
      <c r="Q622">
        <v>5550</v>
      </c>
      <c r="R622">
        <v>5550</v>
      </c>
      <c r="S622">
        <v>0</v>
      </c>
      <c r="T622">
        <v>0</v>
      </c>
      <c r="U622">
        <v>1274</v>
      </c>
      <c r="V622">
        <v>0</v>
      </c>
      <c r="W622">
        <v>0</v>
      </c>
      <c r="X622" t="s">
        <v>627</v>
      </c>
      <c r="Y622">
        <v>1</v>
      </c>
      <c r="Z622">
        <v>0</v>
      </c>
      <c r="AA622">
        <v>50</v>
      </c>
      <c r="AB622">
        <v>25</v>
      </c>
      <c r="AC622">
        <v>0.4</v>
      </c>
    </row>
    <row r="623" spans="1:29">
      <c r="A623">
        <v>2080081</v>
      </c>
      <c r="B623">
        <v>2001</v>
      </c>
      <c r="C623">
        <v>83</v>
      </c>
      <c r="D623" t="s">
        <v>566</v>
      </c>
      <c r="E623">
        <f t="shared" si="146"/>
        <v>3600</v>
      </c>
      <c r="F623">
        <f t="shared" si="147"/>
        <v>3600</v>
      </c>
      <c r="G623" s="2">
        <v>25</v>
      </c>
      <c r="H623">
        <v>0</v>
      </c>
      <c r="I623">
        <v>0</v>
      </c>
      <c r="J623">
        <v>0</v>
      </c>
      <c r="K623">
        <v>0</v>
      </c>
      <c r="L623">
        <v>2914660</v>
      </c>
      <c r="M623">
        <v>42</v>
      </c>
      <c r="N623">
        <v>157077</v>
      </c>
      <c r="O623">
        <v>188492</v>
      </c>
      <c r="P623">
        <v>19000</v>
      </c>
      <c r="Q623">
        <v>5700</v>
      </c>
      <c r="R623">
        <v>5700</v>
      </c>
      <c r="S623">
        <v>0</v>
      </c>
      <c r="T623">
        <v>0</v>
      </c>
      <c r="U623">
        <v>2572</v>
      </c>
      <c r="V623">
        <v>0</v>
      </c>
      <c r="W623">
        <v>0</v>
      </c>
      <c r="X623" t="s">
        <v>603</v>
      </c>
      <c r="Y623">
        <v>1</v>
      </c>
      <c r="Z623">
        <v>0</v>
      </c>
      <c r="AA623">
        <v>50</v>
      </c>
      <c r="AB623">
        <v>25</v>
      </c>
      <c r="AC623">
        <v>0.4</v>
      </c>
    </row>
    <row r="624" spans="1:29">
      <c r="A624">
        <v>2080091</v>
      </c>
      <c r="B624">
        <v>2001</v>
      </c>
      <c r="C624">
        <v>84</v>
      </c>
      <c r="D624" t="s">
        <v>625</v>
      </c>
      <c r="E624">
        <f t="shared" si="146"/>
        <v>3800</v>
      </c>
      <c r="F624">
        <f t="shared" si="147"/>
        <v>3800</v>
      </c>
      <c r="G624" s="2">
        <v>28</v>
      </c>
      <c r="H624">
        <v>0</v>
      </c>
      <c r="I624">
        <v>0</v>
      </c>
      <c r="J624">
        <v>0</v>
      </c>
      <c r="K624">
        <v>0</v>
      </c>
      <c r="L624">
        <v>2876288</v>
      </c>
      <c r="M624">
        <v>1540</v>
      </c>
      <c r="N624">
        <v>125778</v>
      </c>
      <c r="O624">
        <v>150934</v>
      </c>
      <c r="P624">
        <v>19500</v>
      </c>
      <c r="Q624">
        <v>5850</v>
      </c>
      <c r="R624">
        <v>5850</v>
      </c>
      <c r="S624">
        <v>0</v>
      </c>
      <c r="T624">
        <v>0</v>
      </c>
      <c r="U624">
        <v>2634</v>
      </c>
      <c r="V624">
        <v>0</v>
      </c>
      <c r="W624">
        <v>0</v>
      </c>
      <c r="X624" t="s">
        <v>604</v>
      </c>
      <c r="Y624">
        <v>1</v>
      </c>
      <c r="Z624">
        <v>0</v>
      </c>
      <c r="AA624">
        <v>50</v>
      </c>
      <c r="AB624">
        <v>25</v>
      </c>
      <c r="AC624">
        <v>0.4</v>
      </c>
    </row>
    <row r="625" spans="1:29">
      <c r="A625">
        <v>2085011</v>
      </c>
      <c r="B625">
        <v>2001</v>
      </c>
      <c r="C625">
        <v>85</v>
      </c>
      <c r="D625" t="s">
        <v>577</v>
      </c>
      <c r="E625">
        <f t="shared" si="146"/>
        <v>4000</v>
      </c>
      <c r="F625">
        <f t="shared" si="147"/>
        <v>4000</v>
      </c>
      <c r="G625" s="2" t="s">
        <v>636</v>
      </c>
      <c r="H625">
        <v>0</v>
      </c>
      <c r="I625">
        <v>0</v>
      </c>
      <c r="J625">
        <v>0</v>
      </c>
      <c r="K625">
        <v>0</v>
      </c>
      <c r="L625">
        <v>1664429</v>
      </c>
      <c r="M625">
        <v>7750</v>
      </c>
      <c r="N625">
        <v>61737</v>
      </c>
      <c r="O625">
        <v>74084</v>
      </c>
      <c r="P625">
        <v>20000</v>
      </c>
      <c r="Q625">
        <v>6000</v>
      </c>
      <c r="R625">
        <v>6000</v>
      </c>
      <c r="S625">
        <v>0</v>
      </c>
      <c r="T625">
        <v>0</v>
      </c>
      <c r="U625">
        <v>2697</v>
      </c>
      <c r="V625">
        <v>0</v>
      </c>
      <c r="W625">
        <v>0</v>
      </c>
      <c r="X625" t="s">
        <v>622</v>
      </c>
      <c r="Y625">
        <v>1</v>
      </c>
      <c r="Z625">
        <v>0</v>
      </c>
      <c r="AA625">
        <v>50</v>
      </c>
      <c r="AB625">
        <v>25</v>
      </c>
      <c r="AC625">
        <v>0.4</v>
      </c>
    </row>
    <row r="626" spans="1:29">
      <c r="A626">
        <v>2085021</v>
      </c>
      <c r="B626">
        <v>2001</v>
      </c>
      <c r="C626">
        <v>85</v>
      </c>
      <c r="D626" t="s">
        <v>568</v>
      </c>
      <c r="E626">
        <f t="shared" si="146"/>
        <v>4000</v>
      </c>
      <c r="F626">
        <f t="shared" si="147"/>
        <v>4000</v>
      </c>
      <c r="G626" s="2" t="s">
        <v>632</v>
      </c>
      <c r="H626">
        <v>0</v>
      </c>
      <c r="I626">
        <v>0</v>
      </c>
      <c r="J626">
        <v>0</v>
      </c>
      <c r="K626">
        <v>0</v>
      </c>
      <c r="L626">
        <v>2552728</v>
      </c>
      <c r="M626">
        <v>4650</v>
      </c>
      <c r="N626">
        <v>184171</v>
      </c>
      <c r="O626">
        <v>221005</v>
      </c>
      <c r="P626">
        <v>20000</v>
      </c>
      <c r="Q626">
        <v>6000</v>
      </c>
      <c r="R626">
        <v>6000</v>
      </c>
      <c r="S626">
        <v>0</v>
      </c>
      <c r="T626">
        <v>0</v>
      </c>
      <c r="U626">
        <v>2697</v>
      </c>
      <c r="V626">
        <v>0</v>
      </c>
      <c r="W626">
        <v>0</v>
      </c>
      <c r="X626" t="s">
        <v>606</v>
      </c>
      <c r="Y626">
        <v>1</v>
      </c>
      <c r="Z626">
        <v>0</v>
      </c>
      <c r="AA626">
        <v>50</v>
      </c>
      <c r="AB626">
        <v>25</v>
      </c>
      <c r="AC626">
        <v>0.4</v>
      </c>
    </row>
    <row r="627" spans="1:29">
      <c r="A627">
        <v>2085031</v>
      </c>
      <c r="B627">
        <v>2001</v>
      </c>
      <c r="C627">
        <v>86</v>
      </c>
      <c r="D627" t="s">
        <v>551</v>
      </c>
      <c r="E627">
        <f t="shared" si="146"/>
        <v>4200</v>
      </c>
      <c r="F627">
        <f t="shared" si="147"/>
        <v>4200</v>
      </c>
      <c r="G627" s="2" t="s">
        <v>628</v>
      </c>
      <c r="H627">
        <v>0</v>
      </c>
      <c r="I627">
        <v>0</v>
      </c>
      <c r="J627">
        <v>0</v>
      </c>
      <c r="K627">
        <v>0</v>
      </c>
      <c r="L627">
        <v>1883197</v>
      </c>
      <c r="M627">
        <v>188320</v>
      </c>
      <c r="N627">
        <v>267350</v>
      </c>
      <c r="O627">
        <v>320820</v>
      </c>
      <c r="P627">
        <v>21000</v>
      </c>
      <c r="Q627">
        <v>6400</v>
      </c>
      <c r="R627">
        <v>6400</v>
      </c>
      <c r="S627">
        <v>0</v>
      </c>
      <c r="T627">
        <v>0</v>
      </c>
      <c r="U627">
        <v>2760</v>
      </c>
      <c r="V627">
        <v>0</v>
      </c>
      <c r="W627">
        <v>0</v>
      </c>
      <c r="X627" t="s">
        <v>607</v>
      </c>
      <c r="Y627">
        <v>1</v>
      </c>
      <c r="Z627">
        <v>0</v>
      </c>
      <c r="AA627">
        <v>50</v>
      </c>
      <c r="AB627">
        <v>25</v>
      </c>
      <c r="AC627">
        <v>0.4</v>
      </c>
    </row>
    <row r="628" spans="1:29">
      <c r="A628">
        <v>2085041</v>
      </c>
      <c r="B628">
        <v>2001</v>
      </c>
      <c r="C628">
        <v>86</v>
      </c>
      <c r="D628" t="s">
        <v>569</v>
      </c>
      <c r="E628">
        <f t="shared" si="146"/>
        <v>4200</v>
      </c>
      <c r="F628">
        <f t="shared" si="147"/>
        <v>4200</v>
      </c>
      <c r="G628" s="2">
        <v>29</v>
      </c>
      <c r="H628">
        <v>0</v>
      </c>
      <c r="I628">
        <v>0</v>
      </c>
      <c r="J628">
        <v>0</v>
      </c>
      <c r="K628">
        <v>0</v>
      </c>
      <c r="L628">
        <v>2786300</v>
      </c>
      <c r="M628">
        <v>1560</v>
      </c>
      <c r="N628">
        <v>193359</v>
      </c>
      <c r="O628">
        <v>232031</v>
      </c>
      <c r="P628">
        <v>21000</v>
      </c>
      <c r="Q628">
        <v>6400</v>
      </c>
      <c r="R628">
        <v>6400</v>
      </c>
      <c r="S628">
        <v>0</v>
      </c>
      <c r="T628">
        <v>0</v>
      </c>
      <c r="U628">
        <v>2760</v>
      </c>
      <c r="V628">
        <v>0</v>
      </c>
      <c r="W628">
        <v>0</v>
      </c>
      <c r="X628" t="s">
        <v>608</v>
      </c>
      <c r="Y628">
        <v>1</v>
      </c>
      <c r="Z628">
        <v>0</v>
      </c>
      <c r="AA628">
        <v>50</v>
      </c>
      <c r="AB628">
        <v>25</v>
      </c>
      <c r="AC628">
        <v>0.4</v>
      </c>
    </row>
    <row r="629" spans="1:29">
      <c r="A629">
        <v>2085051</v>
      </c>
      <c r="B629">
        <v>2001</v>
      </c>
      <c r="C629">
        <v>86</v>
      </c>
      <c r="D629" t="s">
        <v>586</v>
      </c>
      <c r="E629">
        <f t="shared" si="146"/>
        <v>4200</v>
      </c>
      <c r="F629">
        <f t="shared" si="147"/>
        <v>4200</v>
      </c>
      <c r="G629" s="2">
        <v>5</v>
      </c>
      <c r="H629">
        <v>0</v>
      </c>
      <c r="I629">
        <v>0</v>
      </c>
      <c r="J629">
        <v>0</v>
      </c>
      <c r="K629">
        <v>0</v>
      </c>
      <c r="L629">
        <v>1397765</v>
      </c>
      <c r="M629">
        <v>1560</v>
      </c>
      <c r="N629">
        <v>58734</v>
      </c>
      <c r="O629">
        <v>70481</v>
      </c>
      <c r="P629">
        <v>21000</v>
      </c>
      <c r="Q629">
        <v>6400</v>
      </c>
      <c r="R629">
        <v>6400</v>
      </c>
      <c r="S629">
        <v>0</v>
      </c>
      <c r="T629">
        <v>0</v>
      </c>
      <c r="U629">
        <v>2760</v>
      </c>
      <c r="V629">
        <v>0</v>
      </c>
      <c r="W629">
        <v>0</v>
      </c>
      <c r="X629" t="s">
        <v>611</v>
      </c>
      <c r="Y629">
        <v>1</v>
      </c>
      <c r="Z629">
        <v>0</v>
      </c>
      <c r="AA629">
        <v>50</v>
      </c>
      <c r="AB629">
        <v>25</v>
      </c>
      <c r="AC629">
        <v>0.4</v>
      </c>
    </row>
    <row r="630" spans="1:29">
      <c r="A630">
        <f>A629+1</f>
        <v>2085052</v>
      </c>
      <c r="B630">
        <f>B629</f>
        <v>2001</v>
      </c>
      <c r="C630">
        <f>C629</f>
        <v>86</v>
      </c>
      <c r="D630" t="s">
        <v>588</v>
      </c>
      <c r="E630">
        <f t="shared" ref="E630:E632" si="168">E629</f>
        <v>4200</v>
      </c>
      <c r="F630">
        <f t="shared" ref="F630:F632" si="169">F629</f>
        <v>4200</v>
      </c>
      <c r="G630" s="2">
        <v>2</v>
      </c>
      <c r="H630">
        <f t="shared" ref="H630:H632" si="170">H629</f>
        <v>0</v>
      </c>
      <c r="I630">
        <f t="shared" ref="I630:I632" si="171">I629</f>
        <v>0</v>
      </c>
      <c r="J630">
        <f t="shared" ref="J630:J632" si="172">J629</f>
        <v>0</v>
      </c>
      <c r="K630">
        <f t="shared" ref="K630:K632" si="173">K629</f>
        <v>0</v>
      </c>
      <c r="L630">
        <v>1304580</v>
      </c>
      <c r="M630">
        <v>1248</v>
      </c>
      <c r="N630">
        <v>62930</v>
      </c>
      <c r="O630">
        <v>75516</v>
      </c>
      <c r="P630">
        <v>21000</v>
      </c>
      <c r="Q630">
        <v>6400</v>
      </c>
      <c r="R630">
        <v>6400</v>
      </c>
      <c r="S630">
        <v>0</v>
      </c>
      <c r="T630">
        <v>0</v>
      </c>
      <c r="U630">
        <v>2760</v>
      </c>
      <c r="V630">
        <v>0</v>
      </c>
      <c r="W630">
        <v>0</v>
      </c>
      <c r="X630" t="s">
        <v>610</v>
      </c>
      <c r="Y630">
        <v>1</v>
      </c>
      <c r="Z630">
        <v>0</v>
      </c>
      <c r="AA630">
        <v>50</v>
      </c>
      <c r="AB630">
        <v>25</v>
      </c>
      <c r="AC630">
        <v>0.4</v>
      </c>
    </row>
    <row r="631" spans="1:29">
      <c r="A631">
        <f t="shared" ref="A631:A632" si="174">A630+1</f>
        <v>2085053</v>
      </c>
      <c r="B631">
        <f t="shared" ref="B631:B632" si="175">B630</f>
        <v>2001</v>
      </c>
      <c r="C631">
        <f t="shared" ref="C631:C632" si="176">C630</f>
        <v>86</v>
      </c>
      <c r="D631" t="s">
        <v>589</v>
      </c>
      <c r="E631">
        <f t="shared" si="168"/>
        <v>4200</v>
      </c>
      <c r="F631">
        <f t="shared" si="169"/>
        <v>4200</v>
      </c>
      <c r="G631" s="2">
        <v>26</v>
      </c>
      <c r="H631">
        <f t="shared" si="170"/>
        <v>0</v>
      </c>
      <c r="I631">
        <f t="shared" si="171"/>
        <v>0</v>
      </c>
      <c r="J631">
        <f t="shared" si="172"/>
        <v>0</v>
      </c>
      <c r="K631">
        <f t="shared" si="173"/>
        <v>0</v>
      </c>
      <c r="L631">
        <v>1366703</v>
      </c>
      <c r="M631">
        <v>1560</v>
      </c>
      <c r="N631">
        <v>75516</v>
      </c>
      <c r="O631">
        <v>90619</v>
      </c>
      <c r="P631">
        <v>21000</v>
      </c>
      <c r="Q631">
        <v>6400</v>
      </c>
      <c r="R631">
        <v>6400</v>
      </c>
      <c r="S631">
        <v>0</v>
      </c>
      <c r="T631">
        <v>0</v>
      </c>
      <c r="U631">
        <v>2760</v>
      </c>
      <c r="V631">
        <v>0</v>
      </c>
      <c r="W631">
        <v>0</v>
      </c>
      <c r="X631" t="s">
        <v>609</v>
      </c>
      <c r="Y631">
        <v>1</v>
      </c>
      <c r="Z631">
        <v>0</v>
      </c>
      <c r="AA631">
        <v>50</v>
      </c>
      <c r="AB631">
        <v>25</v>
      </c>
      <c r="AC631">
        <v>0.4</v>
      </c>
    </row>
    <row r="632" spans="1:29">
      <c r="A632">
        <f t="shared" si="174"/>
        <v>2085054</v>
      </c>
      <c r="B632">
        <f t="shared" si="175"/>
        <v>2001</v>
      </c>
      <c r="C632">
        <f t="shared" si="176"/>
        <v>86</v>
      </c>
      <c r="D632" t="s">
        <v>590</v>
      </c>
      <c r="E632">
        <f t="shared" si="168"/>
        <v>4200</v>
      </c>
      <c r="F632">
        <f t="shared" si="169"/>
        <v>4200</v>
      </c>
      <c r="G632" s="2">
        <v>14</v>
      </c>
      <c r="H632">
        <f t="shared" si="170"/>
        <v>0</v>
      </c>
      <c r="I632">
        <f t="shared" si="171"/>
        <v>0</v>
      </c>
      <c r="J632">
        <f t="shared" si="172"/>
        <v>0</v>
      </c>
      <c r="K632">
        <f t="shared" si="173"/>
        <v>0</v>
      </c>
      <c r="L632">
        <v>1335642</v>
      </c>
      <c r="M632">
        <v>1560</v>
      </c>
      <c r="N632">
        <v>75516</v>
      </c>
      <c r="O632">
        <v>90619</v>
      </c>
      <c r="P632">
        <v>21000</v>
      </c>
      <c r="Q632">
        <v>6400</v>
      </c>
      <c r="R632">
        <v>6400</v>
      </c>
      <c r="S632">
        <v>0</v>
      </c>
      <c r="T632">
        <v>0</v>
      </c>
      <c r="U632">
        <v>2760</v>
      </c>
      <c r="V632">
        <v>0</v>
      </c>
      <c r="W632">
        <v>0</v>
      </c>
      <c r="X632" t="s">
        <v>612</v>
      </c>
      <c r="Y632">
        <v>1</v>
      </c>
      <c r="Z632">
        <v>0</v>
      </c>
      <c r="AA632">
        <v>50</v>
      </c>
      <c r="AB632">
        <v>25</v>
      </c>
      <c r="AC632">
        <v>0.4</v>
      </c>
    </row>
    <row r="633" spans="1:29">
      <c r="A633">
        <v>2085061</v>
      </c>
      <c r="B633">
        <v>2001</v>
      </c>
      <c r="C633">
        <v>87</v>
      </c>
      <c r="D633" t="s">
        <v>570</v>
      </c>
      <c r="E633">
        <f t="shared" si="146"/>
        <v>4400</v>
      </c>
      <c r="F633">
        <f t="shared" si="147"/>
        <v>4400</v>
      </c>
      <c r="G633" s="2">
        <v>8</v>
      </c>
      <c r="H633">
        <v>0</v>
      </c>
      <c r="I633">
        <v>0</v>
      </c>
      <c r="J633">
        <v>0</v>
      </c>
      <c r="K633">
        <v>0</v>
      </c>
      <c r="L633">
        <v>3316050</v>
      </c>
      <c r="M633">
        <v>1569.9999999999998</v>
      </c>
      <c r="N633">
        <v>187064</v>
      </c>
      <c r="O633">
        <v>224477</v>
      </c>
      <c r="P633">
        <v>22000</v>
      </c>
      <c r="Q633">
        <v>6800</v>
      </c>
      <c r="R633">
        <v>6800</v>
      </c>
      <c r="S633">
        <v>0</v>
      </c>
      <c r="T633">
        <v>0</v>
      </c>
      <c r="U633">
        <v>2824</v>
      </c>
      <c r="V633">
        <v>0</v>
      </c>
      <c r="W633">
        <v>0</v>
      </c>
      <c r="X633" t="s">
        <v>613</v>
      </c>
      <c r="Y633">
        <v>1</v>
      </c>
      <c r="Z633">
        <v>0</v>
      </c>
      <c r="AA633">
        <v>50</v>
      </c>
      <c r="AB633">
        <v>25</v>
      </c>
      <c r="AC633">
        <v>0.4</v>
      </c>
    </row>
    <row r="634" spans="1:29">
      <c r="A634">
        <v>2085071</v>
      </c>
      <c r="B634">
        <v>2001</v>
      </c>
      <c r="C634">
        <v>87</v>
      </c>
      <c r="D634" t="s">
        <v>571</v>
      </c>
      <c r="E634">
        <f t="shared" si="146"/>
        <v>4400</v>
      </c>
      <c r="F634">
        <f t="shared" si="147"/>
        <v>4400</v>
      </c>
      <c r="G634" s="2">
        <v>6</v>
      </c>
      <c r="H634">
        <v>0</v>
      </c>
      <c r="I634">
        <v>0</v>
      </c>
      <c r="J634">
        <v>0</v>
      </c>
      <c r="K634">
        <v>0</v>
      </c>
      <c r="L634">
        <v>3247897</v>
      </c>
      <c r="M634">
        <v>1569.9999999999998</v>
      </c>
      <c r="N634">
        <v>203174</v>
      </c>
      <c r="O634">
        <v>243809</v>
      </c>
      <c r="P634">
        <v>22000</v>
      </c>
      <c r="Q634">
        <v>6800</v>
      </c>
      <c r="R634">
        <v>6800</v>
      </c>
      <c r="S634">
        <v>0</v>
      </c>
      <c r="T634">
        <v>0</v>
      </c>
      <c r="U634">
        <v>2824</v>
      </c>
      <c r="V634">
        <v>0</v>
      </c>
      <c r="W634">
        <v>0</v>
      </c>
      <c r="X634" t="s">
        <v>614</v>
      </c>
      <c r="Y634">
        <v>1</v>
      </c>
      <c r="Z634">
        <v>0</v>
      </c>
      <c r="AA634">
        <v>50</v>
      </c>
      <c r="AB634">
        <v>25</v>
      </c>
      <c r="AC634">
        <v>0.4</v>
      </c>
    </row>
    <row r="635" spans="1:29">
      <c r="A635">
        <v>2085081</v>
      </c>
      <c r="B635">
        <v>2001</v>
      </c>
      <c r="C635">
        <v>88</v>
      </c>
      <c r="D635" t="s">
        <v>572</v>
      </c>
      <c r="E635">
        <f t="shared" si="146"/>
        <v>4600</v>
      </c>
      <c r="F635">
        <f t="shared" si="147"/>
        <v>4600</v>
      </c>
      <c r="G635" s="2">
        <v>7</v>
      </c>
      <c r="H635">
        <v>0</v>
      </c>
      <c r="I635">
        <v>0</v>
      </c>
      <c r="J635">
        <v>0</v>
      </c>
      <c r="K635">
        <v>0</v>
      </c>
      <c r="L635">
        <v>3723963</v>
      </c>
      <c r="M635">
        <v>1580</v>
      </c>
      <c r="N635">
        <v>275839</v>
      </c>
      <c r="O635">
        <v>331007</v>
      </c>
      <c r="P635">
        <v>23000</v>
      </c>
      <c r="Q635">
        <v>7200</v>
      </c>
      <c r="R635">
        <v>7200</v>
      </c>
      <c r="S635">
        <v>0</v>
      </c>
      <c r="T635">
        <v>0</v>
      </c>
      <c r="U635">
        <v>2889</v>
      </c>
      <c r="V635">
        <v>0</v>
      </c>
      <c r="W635">
        <v>0</v>
      </c>
      <c r="X635" t="s">
        <v>615</v>
      </c>
      <c r="Y635">
        <v>1</v>
      </c>
      <c r="Z635">
        <v>0</v>
      </c>
      <c r="AA635">
        <v>50</v>
      </c>
      <c r="AB635">
        <v>25</v>
      </c>
      <c r="AC635">
        <v>0.4</v>
      </c>
    </row>
    <row r="636" spans="1:29">
      <c r="A636">
        <v>2085091</v>
      </c>
      <c r="B636">
        <v>2001</v>
      </c>
      <c r="C636">
        <v>89</v>
      </c>
      <c r="D636" t="s">
        <v>573</v>
      </c>
      <c r="E636">
        <f t="shared" si="146"/>
        <v>4800</v>
      </c>
      <c r="F636">
        <f t="shared" si="147"/>
        <v>4800</v>
      </c>
      <c r="G636" s="2" t="s">
        <v>633</v>
      </c>
      <c r="H636">
        <v>0</v>
      </c>
      <c r="I636">
        <v>0</v>
      </c>
      <c r="J636">
        <v>0</v>
      </c>
      <c r="K636">
        <v>0</v>
      </c>
      <c r="L636">
        <v>4620604</v>
      </c>
      <c r="M636">
        <v>4770</v>
      </c>
      <c r="N636">
        <v>369551</v>
      </c>
      <c r="O636">
        <v>443461</v>
      </c>
      <c r="P636">
        <v>24000</v>
      </c>
      <c r="Q636">
        <v>7600</v>
      </c>
      <c r="R636">
        <v>7600</v>
      </c>
      <c r="S636">
        <v>0</v>
      </c>
      <c r="T636">
        <v>4235</v>
      </c>
      <c r="U636">
        <v>3230</v>
      </c>
      <c r="V636">
        <v>0</v>
      </c>
      <c r="W636">
        <v>0</v>
      </c>
      <c r="X636" t="s">
        <v>616</v>
      </c>
      <c r="Y636">
        <v>1</v>
      </c>
      <c r="Z636">
        <v>0</v>
      </c>
      <c r="AA636">
        <v>50</v>
      </c>
      <c r="AB636">
        <v>25</v>
      </c>
      <c r="AC636">
        <v>0.4</v>
      </c>
    </row>
    <row r="637" spans="1:29">
      <c r="A637">
        <v>2090011</v>
      </c>
      <c r="B637">
        <v>2001</v>
      </c>
      <c r="C637">
        <v>90</v>
      </c>
      <c r="D637" t="s">
        <v>577</v>
      </c>
      <c r="E637">
        <f t="shared" si="146"/>
        <v>5000</v>
      </c>
      <c r="F637">
        <f t="shared" si="147"/>
        <v>5000</v>
      </c>
      <c r="G637" s="2" t="s">
        <v>636</v>
      </c>
      <c r="H637">
        <v>0</v>
      </c>
      <c r="I637">
        <v>0</v>
      </c>
      <c r="J637">
        <v>0</v>
      </c>
      <c r="K637">
        <v>0</v>
      </c>
      <c r="L637">
        <v>2043814</v>
      </c>
      <c r="M637">
        <v>8000</v>
      </c>
      <c r="N637">
        <v>83797</v>
      </c>
      <c r="O637">
        <v>100556</v>
      </c>
      <c r="P637">
        <v>25000</v>
      </c>
      <c r="Q637">
        <v>8000</v>
      </c>
      <c r="R637">
        <v>8000</v>
      </c>
      <c r="S637">
        <v>0</v>
      </c>
      <c r="T637">
        <v>0</v>
      </c>
      <c r="U637">
        <v>3021</v>
      </c>
      <c r="V637">
        <v>0</v>
      </c>
      <c r="W637">
        <v>0</v>
      </c>
      <c r="X637" t="s">
        <v>622</v>
      </c>
      <c r="Y637">
        <v>1</v>
      </c>
      <c r="Z637">
        <v>0</v>
      </c>
      <c r="AA637">
        <v>50</v>
      </c>
      <c r="AB637">
        <v>25</v>
      </c>
      <c r="AC637">
        <v>0.4</v>
      </c>
    </row>
    <row r="638" spans="1:29">
      <c r="A638">
        <v>2090021</v>
      </c>
      <c r="B638">
        <v>2001</v>
      </c>
      <c r="C638">
        <v>90</v>
      </c>
      <c r="D638" t="s">
        <v>568</v>
      </c>
      <c r="E638">
        <f t="shared" si="146"/>
        <v>5000</v>
      </c>
      <c r="F638">
        <f t="shared" si="147"/>
        <v>5000</v>
      </c>
      <c r="G638" s="2" t="s">
        <v>632</v>
      </c>
      <c r="H638">
        <v>0</v>
      </c>
      <c r="I638">
        <v>0</v>
      </c>
      <c r="J638">
        <v>0</v>
      </c>
      <c r="K638">
        <v>0</v>
      </c>
      <c r="L638">
        <v>3133714</v>
      </c>
      <c r="M638">
        <v>4800</v>
      </c>
      <c r="N638">
        <v>251658</v>
      </c>
      <c r="O638">
        <v>301990</v>
      </c>
      <c r="P638">
        <v>25000</v>
      </c>
      <c r="Q638">
        <v>8000</v>
      </c>
      <c r="R638">
        <v>8000</v>
      </c>
      <c r="S638">
        <v>0</v>
      </c>
      <c r="T638">
        <v>0</v>
      </c>
      <c r="U638">
        <v>3021</v>
      </c>
      <c r="V638">
        <v>0</v>
      </c>
      <c r="W638">
        <v>0</v>
      </c>
      <c r="X638" t="s">
        <v>606</v>
      </c>
      <c r="Y638">
        <v>1</v>
      </c>
      <c r="Z638">
        <v>0</v>
      </c>
      <c r="AA638">
        <v>50</v>
      </c>
      <c r="AB638">
        <v>25</v>
      </c>
      <c r="AC638">
        <v>0.4</v>
      </c>
    </row>
    <row r="639" spans="1:29">
      <c r="A639">
        <v>2090031</v>
      </c>
      <c r="B639">
        <v>2001</v>
      </c>
      <c r="C639">
        <v>91</v>
      </c>
      <c r="D639" t="s">
        <v>551</v>
      </c>
      <c r="E639">
        <f t="shared" si="146"/>
        <v>5200</v>
      </c>
      <c r="F639">
        <f t="shared" si="147"/>
        <v>5200</v>
      </c>
      <c r="G639" s="2" t="s">
        <v>628</v>
      </c>
      <c r="H639">
        <v>0</v>
      </c>
      <c r="I639">
        <v>0</v>
      </c>
      <c r="J639">
        <v>0</v>
      </c>
      <c r="K639">
        <v>0</v>
      </c>
      <c r="L639">
        <v>2330928</v>
      </c>
      <c r="M639">
        <v>233093</v>
      </c>
      <c r="N639">
        <v>368588</v>
      </c>
      <c r="O639">
        <v>442306</v>
      </c>
      <c r="P639">
        <v>26000</v>
      </c>
      <c r="Q639">
        <v>8400</v>
      </c>
      <c r="R639">
        <v>8400</v>
      </c>
      <c r="S639">
        <v>0</v>
      </c>
      <c r="T639">
        <v>0</v>
      </c>
      <c r="U639">
        <v>3088</v>
      </c>
      <c r="V639">
        <v>0</v>
      </c>
      <c r="W639">
        <v>0</v>
      </c>
      <c r="X639" t="s">
        <v>607</v>
      </c>
      <c r="Y639">
        <v>1</v>
      </c>
      <c r="Z639">
        <v>0</v>
      </c>
      <c r="AA639">
        <v>50</v>
      </c>
      <c r="AB639">
        <v>25</v>
      </c>
      <c r="AC639">
        <v>0.4</v>
      </c>
    </row>
    <row r="640" spans="1:29">
      <c r="A640">
        <v>2090041</v>
      </c>
      <c r="B640">
        <v>2001</v>
      </c>
      <c r="C640">
        <v>91</v>
      </c>
      <c r="D640" t="s">
        <v>569</v>
      </c>
      <c r="E640">
        <f t="shared" si="146"/>
        <v>5200</v>
      </c>
      <c r="F640">
        <f t="shared" si="147"/>
        <v>5200</v>
      </c>
      <c r="G640" s="2">
        <v>29</v>
      </c>
      <c r="H640">
        <v>0</v>
      </c>
      <c r="I640">
        <v>0</v>
      </c>
      <c r="J640">
        <v>0</v>
      </c>
      <c r="K640">
        <v>0</v>
      </c>
      <c r="L640">
        <v>3448117</v>
      </c>
      <c r="M640">
        <v>1609.9999999999998</v>
      </c>
      <c r="N640">
        <v>267499</v>
      </c>
      <c r="O640">
        <v>320999</v>
      </c>
      <c r="P640">
        <v>26000</v>
      </c>
      <c r="Q640">
        <v>8400</v>
      </c>
      <c r="R640">
        <v>8400</v>
      </c>
      <c r="S640">
        <v>0</v>
      </c>
      <c r="T640">
        <v>0</v>
      </c>
      <c r="U640">
        <v>3088</v>
      </c>
      <c r="V640">
        <v>0</v>
      </c>
      <c r="W640">
        <v>0</v>
      </c>
      <c r="X640" t="s">
        <v>608</v>
      </c>
      <c r="Y640">
        <v>1</v>
      </c>
      <c r="Z640">
        <v>0</v>
      </c>
      <c r="AA640">
        <v>50</v>
      </c>
      <c r="AB640">
        <v>25</v>
      </c>
      <c r="AC640">
        <v>0.4</v>
      </c>
    </row>
    <row r="641" spans="1:29">
      <c r="A641">
        <v>2090051</v>
      </c>
      <c r="B641">
        <v>2001</v>
      </c>
      <c r="C641">
        <v>91</v>
      </c>
      <c r="D641" t="s">
        <v>586</v>
      </c>
      <c r="E641">
        <f t="shared" si="146"/>
        <v>5200</v>
      </c>
      <c r="F641">
        <f t="shared" si="147"/>
        <v>5200</v>
      </c>
      <c r="G641" s="2">
        <v>5</v>
      </c>
      <c r="H641">
        <v>0</v>
      </c>
      <c r="I641">
        <v>0</v>
      </c>
      <c r="J641">
        <v>0</v>
      </c>
      <c r="K641">
        <v>0</v>
      </c>
      <c r="L641">
        <v>1729455</v>
      </c>
      <c r="M641">
        <v>1609.9999999999998</v>
      </c>
      <c r="N641">
        <v>81536</v>
      </c>
      <c r="O641">
        <v>97843</v>
      </c>
      <c r="P641">
        <v>26000</v>
      </c>
      <c r="Q641">
        <v>8400</v>
      </c>
      <c r="R641">
        <v>8400</v>
      </c>
      <c r="S641">
        <v>0</v>
      </c>
      <c r="T641">
        <v>0</v>
      </c>
      <c r="U641">
        <v>3088</v>
      </c>
      <c r="V641">
        <v>0</v>
      </c>
      <c r="W641">
        <v>0</v>
      </c>
      <c r="X641" t="s">
        <v>611</v>
      </c>
      <c r="Y641">
        <v>1</v>
      </c>
      <c r="Z641">
        <v>0</v>
      </c>
      <c r="AA641">
        <v>50</v>
      </c>
      <c r="AB641">
        <v>25</v>
      </c>
      <c r="AC641">
        <v>0.4</v>
      </c>
    </row>
    <row r="642" spans="1:29">
      <c r="A642">
        <f>A641+1</f>
        <v>2090052</v>
      </c>
      <c r="B642">
        <f>B641</f>
        <v>2001</v>
      </c>
      <c r="C642">
        <f>C641</f>
        <v>91</v>
      </c>
      <c r="D642" t="s">
        <v>588</v>
      </c>
      <c r="E642">
        <f t="shared" ref="E642:E644" si="177">E641</f>
        <v>5200</v>
      </c>
      <c r="F642">
        <f t="shared" ref="F642:F644" si="178">F641</f>
        <v>5200</v>
      </c>
      <c r="G642" s="2">
        <v>2</v>
      </c>
      <c r="H642">
        <f t="shared" ref="H642:H644" si="179">H641</f>
        <v>0</v>
      </c>
      <c r="I642">
        <f t="shared" ref="I642:I644" si="180">I641</f>
        <v>0</v>
      </c>
      <c r="J642">
        <f t="shared" ref="J642:J644" si="181">J641</f>
        <v>0</v>
      </c>
      <c r="K642">
        <f t="shared" ref="K642:K644" si="182">K641</f>
        <v>0</v>
      </c>
      <c r="L642">
        <v>1614158</v>
      </c>
      <c r="M642">
        <v>1288</v>
      </c>
      <c r="N642">
        <v>87360</v>
      </c>
      <c r="O642">
        <v>104832</v>
      </c>
      <c r="P642">
        <v>26000</v>
      </c>
      <c r="Q642">
        <v>8400</v>
      </c>
      <c r="R642">
        <v>8400</v>
      </c>
      <c r="S642">
        <v>0</v>
      </c>
      <c r="T642">
        <v>0</v>
      </c>
      <c r="U642">
        <v>3088</v>
      </c>
      <c r="V642">
        <v>0</v>
      </c>
      <c r="W642">
        <v>0</v>
      </c>
      <c r="X642" t="s">
        <v>610</v>
      </c>
      <c r="Y642">
        <v>1</v>
      </c>
      <c r="Z642">
        <v>0</v>
      </c>
      <c r="AA642">
        <v>50</v>
      </c>
      <c r="AB642">
        <v>25</v>
      </c>
      <c r="AC642">
        <v>0.4</v>
      </c>
    </row>
    <row r="643" spans="1:29">
      <c r="A643">
        <f t="shared" ref="A643:A644" si="183">A642+1</f>
        <v>2090053</v>
      </c>
      <c r="B643">
        <f t="shared" ref="B643:B644" si="184">B642</f>
        <v>2001</v>
      </c>
      <c r="C643">
        <f t="shared" ref="C643:C644" si="185">C642</f>
        <v>91</v>
      </c>
      <c r="D643" t="s">
        <v>589</v>
      </c>
      <c r="E643">
        <f t="shared" si="177"/>
        <v>5200</v>
      </c>
      <c r="F643">
        <f t="shared" si="178"/>
        <v>5200</v>
      </c>
      <c r="G643" s="2">
        <v>26</v>
      </c>
      <c r="H643">
        <f t="shared" si="179"/>
        <v>0</v>
      </c>
      <c r="I643">
        <f t="shared" si="180"/>
        <v>0</v>
      </c>
      <c r="J643">
        <f t="shared" si="181"/>
        <v>0</v>
      </c>
      <c r="K643">
        <f t="shared" si="182"/>
        <v>0</v>
      </c>
      <c r="L643">
        <v>1691023</v>
      </c>
      <c r="M643">
        <v>1609.9999999999998</v>
      </c>
      <c r="N643">
        <v>104832</v>
      </c>
      <c r="O643">
        <v>125798</v>
      </c>
      <c r="P643">
        <v>26000</v>
      </c>
      <c r="Q643">
        <v>8400</v>
      </c>
      <c r="R643">
        <v>8400</v>
      </c>
      <c r="S643">
        <v>0</v>
      </c>
      <c r="T643">
        <v>0</v>
      </c>
      <c r="U643">
        <v>3088</v>
      </c>
      <c r="V643">
        <v>0</v>
      </c>
      <c r="W643">
        <v>0</v>
      </c>
      <c r="X643" t="s">
        <v>609</v>
      </c>
      <c r="Y643">
        <v>1</v>
      </c>
      <c r="Z643">
        <v>0</v>
      </c>
      <c r="AA643">
        <v>50</v>
      </c>
      <c r="AB643">
        <v>25</v>
      </c>
      <c r="AC643">
        <v>0.4</v>
      </c>
    </row>
    <row r="644" spans="1:29">
      <c r="A644">
        <f t="shared" si="183"/>
        <v>2090054</v>
      </c>
      <c r="B644">
        <f t="shared" si="184"/>
        <v>2001</v>
      </c>
      <c r="C644">
        <f t="shared" si="185"/>
        <v>91</v>
      </c>
      <c r="D644" t="s">
        <v>590</v>
      </c>
      <c r="E644">
        <f t="shared" si="177"/>
        <v>5200</v>
      </c>
      <c r="F644">
        <f t="shared" si="178"/>
        <v>5200</v>
      </c>
      <c r="G644" s="2">
        <v>14</v>
      </c>
      <c r="H644">
        <f t="shared" si="179"/>
        <v>0</v>
      </c>
      <c r="I644">
        <f t="shared" si="180"/>
        <v>0</v>
      </c>
      <c r="J644">
        <f t="shared" si="181"/>
        <v>0</v>
      </c>
      <c r="K644">
        <f t="shared" si="182"/>
        <v>0</v>
      </c>
      <c r="L644">
        <v>1652590</v>
      </c>
      <c r="M644">
        <v>1609.9999999999998</v>
      </c>
      <c r="N644">
        <v>104832</v>
      </c>
      <c r="O644">
        <v>125798</v>
      </c>
      <c r="P644">
        <v>26000</v>
      </c>
      <c r="Q644">
        <v>8400</v>
      </c>
      <c r="R644">
        <v>8400</v>
      </c>
      <c r="S644">
        <v>0</v>
      </c>
      <c r="T644">
        <v>0</v>
      </c>
      <c r="U644">
        <v>3088</v>
      </c>
      <c r="V644">
        <v>0</v>
      </c>
      <c r="W644">
        <v>0</v>
      </c>
      <c r="X644" t="s">
        <v>612</v>
      </c>
      <c r="Y644">
        <v>1</v>
      </c>
      <c r="Z644">
        <v>0</v>
      </c>
      <c r="AA644">
        <v>50</v>
      </c>
      <c r="AB644">
        <v>25</v>
      </c>
      <c r="AC644">
        <v>0.4</v>
      </c>
    </row>
    <row r="645" spans="1:29">
      <c r="A645">
        <v>2090061</v>
      </c>
      <c r="B645">
        <v>2001</v>
      </c>
      <c r="C645">
        <v>92</v>
      </c>
      <c r="D645" t="s">
        <v>570</v>
      </c>
      <c r="E645">
        <f t="shared" si="146"/>
        <v>5400</v>
      </c>
      <c r="F645">
        <f t="shared" si="147"/>
        <v>5400</v>
      </c>
      <c r="G645" s="2">
        <v>8</v>
      </c>
      <c r="H645">
        <v>0</v>
      </c>
      <c r="I645">
        <v>0</v>
      </c>
      <c r="J645">
        <v>0</v>
      </c>
      <c r="K645">
        <v>0</v>
      </c>
      <c r="L645">
        <v>4133911</v>
      </c>
      <c r="M645">
        <v>1620</v>
      </c>
      <c r="N645">
        <v>260882</v>
      </c>
      <c r="O645">
        <v>313058</v>
      </c>
      <c r="P645">
        <v>27000</v>
      </c>
      <c r="Q645">
        <v>8800</v>
      </c>
      <c r="R645">
        <v>8800</v>
      </c>
      <c r="S645">
        <v>0</v>
      </c>
      <c r="T645">
        <v>0</v>
      </c>
      <c r="U645">
        <v>3156</v>
      </c>
      <c r="V645">
        <v>0</v>
      </c>
      <c r="W645">
        <v>0</v>
      </c>
      <c r="X645" t="s">
        <v>613</v>
      </c>
      <c r="Y645">
        <v>1</v>
      </c>
      <c r="Z645">
        <v>0</v>
      </c>
      <c r="AA645">
        <v>50</v>
      </c>
      <c r="AB645">
        <v>25</v>
      </c>
      <c r="AC645">
        <v>0.4</v>
      </c>
    </row>
    <row r="646" spans="1:29">
      <c r="A646">
        <v>2090071</v>
      </c>
      <c r="B646">
        <v>2001</v>
      </c>
      <c r="C646">
        <v>92</v>
      </c>
      <c r="D646" t="s">
        <v>571</v>
      </c>
      <c r="E646">
        <f t="shared" si="146"/>
        <v>5400</v>
      </c>
      <c r="F646">
        <f t="shared" si="147"/>
        <v>5400</v>
      </c>
      <c r="G646" s="2">
        <v>6</v>
      </c>
      <c r="H646">
        <v>0</v>
      </c>
      <c r="I646">
        <v>0</v>
      </c>
      <c r="J646">
        <v>0</v>
      </c>
      <c r="K646">
        <v>0</v>
      </c>
      <c r="L646">
        <v>4048291</v>
      </c>
      <c r="M646">
        <v>1620</v>
      </c>
      <c r="N646">
        <v>284097</v>
      </c>
      <c r="O646">
        <v>340916</v>
      </c>
      <c r="P646">
        <v>27000</v>
      </c>
      <c r="Q646">
        <v>8800</v>
      </c>
      <c r="R646">
        <v>8800</v>
      </c>
      <c r="S646">
        <v>0</v>
      </c>
      <c r="T646">
        <v>0</v>
      </c>
      <c r="U646">
        <v>3156</v>
      </c>
      <c r="V646">
        <v>0</v>
      </c>
      <c r="W646">
        <v>0</v>
      </c>
      <c r="X646" t="s">
        <v>614</v>
      </c>
      <c r="Y646">
        <v>1</v>
      </c>
      <c r="Z646">
        <v>0</v>
      </c>
      <c r="AA646">
        <v>50</v>
      </c>
      <c r="AB646">
        <v>25</v>
      </c>
      <c r="AC646">
        <v>0.4</v>
      </c>
    </row>
    <row r="647" spans="1:29">
      <c r="A647">
        <v>2090081</v>
      </c>
      <c r="B647">
        <v>2001</v>
      </c>
      <c r="C647">
        <v>93</v>
      </c>
      <c r="D647" t="s">
        <v>572</v>
      </c>
      <c r="E647">
        <f t="shared" si="146"/>
        <v>5600</v>
      </c>
      <c r="F647">
        <f t="shared" si="147"/>
        <v>5600</v>
      </c>
      <c r="G647" s="2">
        <v>7</v>
      </c>
      <c r="H647">
        <v>0</v>
      </c>
      <c r="I647">
        <v>0</v>
      </c>
      <c r="J647">
        <v>0</v>
      </c>
      <c r="K647">
        <v>0</v>
      </c>
      <c r="L647">
        <v>4673474</v>
      </c>
      <c r="M647">
        <v>1630</v>
      </c>
      <c r="N647">
        <v>386722</v>
      </c>
      <c r="O647">
        <v>464066</v>
      </c>
      <c r="P647">
        <v>28000</v>
      </c>
      <c r="Q647">
        <v>9200</v>
      </c>
      <c r="R647">
        <v>9200</v>
      </c>
      <c r="S647">
        <v>0</v>
      </c>
      <c r="T647">
        <v>0</v>
      </c>
      <c r="U647">
        <v>3225</v>
      </c>
      <c r="V647">
        <v>0</v>
      </c>
      <c r="W647">
        <v>0</v>
      </c>
      <c r="X647" t="s">
        <v>615</v>
      </c>
      <c r="Y647">
        <v>1</v>
      </c>
      <c r="Z647">
        <v>0</v>
      </c>
      <c r="AA647">
        <v>50</v>
      </c>
      <c r="AB647">
        <v>25</v>
      </c>
      <c r="AC647">
        <v>0.4</v>
      </c>
    </row>
    <row r="648" spans="1:29">
      <c r="A648">
        <v>2090091</v>
      </c>
      <c r="B648">
        <v>2001</v>
      </c>
      <c r="C648">
        <v>94</v>
      </c>
      <c r="D648" t="s">
        <v>573</v>
      </c>
      <c r="E648">
        <f t="shared" si="146"/>
        <v>5800</v>
      </c>
      <c r="F648">
        <f t="shared" si="147"/>
        <v>5800</v>
      </c>
      <c r="G648" s="2" t="s">
        <v>633</v>
      </c>
      <c r="H648">
        <v>0</v>
      </c>
      <c r="I648">
        <v>0</v>
      </c>
      <c r="J648">
        <v>0</v>
      </c>
      <c r="K648">
        <v>0</v>
      </c>
      <c r="L648">
        <v>5834074</v>
      </c>
      <c r="M648">
        <v>4920</v>
      </c>
      <c r="N648">
        <v>519927</v>
      </c>
      <c r="O648">
        <v>623912</v>
      </c>
      <c r="P648">
        <v>29000</v>
      </c>
      <c r="Q648">
        <v>9600</v>
      </c>
      <c r="R648">
        <v>9600</v>
      </c>
      <c r="S648">
        <v>0</v>
      </c>
      <c r="T648">
        <v>4721</v>
      </c>
      <c r="U648">
        <v>3601</v>
      </c>
      <c r="V648">
        <v>0</v>
      </c>
      <c r="W648">
        <v>0</v>
      </c>
      <c r="X648" t="s">
        <v>616</v>
      </c>
      <c r="Y648">
        <v>1</v>
      </c>
      <c r="Z648">
        <v>0</v>
      </c>
      <c r="AA648">
        <v>50</v>
      </c>
      <c r="AB648">
        <v>25</v>
      </c>
      <c r="AC648">
        <v>0.4</v>
      </c>
    </row>
    <row r="649" spans="1:29">
      <c r="A649">
        <v>2095011</v>
      </c>
      <c r="B649">
        <v>2001</v>
      </c>
      <c r="C649">
        <v>95</v>
      </c>
      <c r="D649" t="s">
        <v>577</v>
      </c>
      <c r="E649">
        <f t="shared" si="146"/>
        <v>6000</v>
      </c>
      <c r="F649">
        <f t="shared" si="147"/>
        <v>6000</v>
      </c>
      <c r="G649" s="2" t="s">
        <v>636</v>
      </c>
      <c r="H649">
        <v>0</v>
      </c>
      <c r="I649">
        <v>0</v>
      </c>
      <c r="J649">
        <v>0</v>
      </c>
      <c r="K649">
        <v>0</v>
      </c>
      <c r="L649">
        <v>2573176</v>
      </c>
      <c r="M649">
        <v>8250</v>
      </c>
      <c r="N649">
        <v>113583</v>
      </c>
      <c r="O649">
        <v>136300</v>
      </c>
      <c r="P649">
        <v>30000</v>
      </c>
      <c r="Q649">
        <v>10000</v>
      </c>
      <c r="R649">
        <v>10000</v>
      </c>
      <c r="S649">
        <v>0</v>
      </c>
      <c r="T649">
        <v>0</v>
      </c>
      <c r="U649">
        <v>3364</v>
      </c>
      <c r="V649">
        <v>0</v>
      </c>
      <c r="W649">
        <v>0</v>
      </c>
      <c r="X649" t="s">
        <v>622</v>
      </c>
      <c r="Y649">
        <v>1</v>
      </c>
      <c r="Z649">
        <v>0</v>
      </c>
      <c r="AA649">
        <v>50</v>
      </c>
      <c r="AB649">
        <v>25</v>
      </c>
      <c r="AC649">
        <v>0.4</v>
      </c>
    </row>
    <row r="650" spans="1:29">
      <c r="A650">
        <v>2095021</v>
      </c>
      <c r="B650">
        <v>2001</v>
      </c>
      <c r="C650">
        <v>95</v>
      </c>
      <c r="D650" t="s">
        <v>568</v>
      </c>
      <c r="E650">
        <f t="shared" si="146"/>
        <v>6000</v>
      </c>
      <c r="F650">
        <f t="shared" si="147"/>
        <v>6000</v>
      </c>
      <c r="G650" s="2" t="s">
        <v>632</v>
      </c>
      <c r="H650">
        <v>0</v>
      </c>
      <c r="I650">
        <v>0</v>
      </c>
      <c r="J650">
        <v>0</v>
      </c>
      <c r="K650">
        <v>0</v>
      </c>
      <c r="L650">
        <v>3941084</v>
      </c>
      <c r="M650">
        <v>4950</v>
      </c>
      <c r="N650">
        <v>343284</v>
      </c>
      <c r="O650">
        <v>411941</v>
      </c>
      <c r="P650">
        <v>30000</v>
      </c>
      <c r="Q650">
        <v>10000</v>
      </c>
      <c r="R650">
        <v>10000</v>
      </c>
      <c r="S650">
        <v>0</v>
      </c>
      <c r="T650">
        <v>0</v>
      </c>
      <c r="U650">
        <v>3364</v>
      </c>
      <c r="V650">
        <v>0</v>
      </c>
      <c r="W650">
        <v>0</v>
      </c>
      <c r="X650" t="s">
        <v>606</v>
      </c>
      <c r="Y650">
        <v>1</v>
      </c>
      <c r="Z650">
        <v>0</v>
      </c>
      <c r="AA650">
        <v>50</v>
      </c>
      <c r="AB650">
        <v>25</v>
      </c>
      <c r="AC650">
        <v>0.4</v>
      </c>
    </row>
    <row r="651" spans="1:29">
      <c r="A651">
        <v>2095031</v>
      </c>
      <c r="B651">
        <v>2001</v>
      </c>
      <c r="C651">
        <v>96</v>
      </c>
      <c r="D651" t="s">
        <v>551</v>
      </c>
      <c r="E651">
        <f t="shared" si="146"/>
        <v>6200</v>
      </c>
      <c r="F651">
        <f t="shared" si="147"/>
        <v>6200</v>
      </c>
      <c r="G651" s="2" t="s">
        <v>628</v>
      </c>
      <c r="H651">
        <v>0</v>
      </c>
      <c r="I651">
        <v>0</v>
      </c>
      <c r="J651">
        <v>0</v>
      </c>
      <c r="K651">
        <v>0</v>
      </c>
      <c r="L651">
        <v>2942163</v>
      </c>
      <c r="M651">
        <v>294216</v>
      </c>
      <c r="N651">
        <v>507059</v>
      </c>
      <c r="O651">
        <v>608471</v>
      </c>
      <c r="P651">
        <v>31000</v>
      </c>
      <c r="Q651">
        <v>10400</v>
      </c>
      <c r="R651">
        <v>10400</v>
      </c>
      <c r="S651">
        <v>0</v>
      </c>
      <c r="T651">
        <v>0</v>
      </c>
      <c r="U651">
        <v>3434</v>
      </c>
      <c r="V651">
        <v>0</v>
      </c>
      <c r="W651">
        <v>0</v>
      </c>
      <c r="X651" t="s">
        <v>607</v>
      </c>
      <c r="Y651">
        <v>1</v>
      </c>
      <c r="Z651">
        <v>0</v>
      </c>
      <c r="AA651">
        <v>50</v>
      </c>
      <c r="AB651">
        <v>25</v>
      </c>
      <c r="AC651">
        <v>0.4</v>
      </c>
    </row>
    <row r="652" spans="1:29">
      <c r="A652">
        <v>2095041</v>
      </c>
      <c r="B652">
        <v>2001</v>
      </c>
      <c r="C652">
        <v>96</v>
      </c>
      <c r="D652" t="s">
        <v>569</v>
      </c>
      <c r="E652">
        <f t="shared" si="146"/>
        <v>6200</v>
      </c>
      <c r="F652">
        <f t="shared" si="147"/>
        <v>6200</v>
      </c>
      <c r="G652" s="2">
        <v>29</v>
      </c>
      <c r="H652">
        <v>0</v>
      </c>
      <c r="I652">
        <v>0</v>
      </c>
      <c r="J652">
        <v>0</v>
      </c>
      <c r="K652">
        <v>0</v>
      </c>
      <c r="L652">
        <v>4349214</v>
      </c>
      <c r="M652">
        <v>1660.0000000000002</v>
      </c>
      <c r="N652">
        <v>369160</v>
      </c>
      <c r="O652">
        <v>442992</v>
      </c>
      <c r="P652">
        <v>31000</v>
      </c>
      <c r="Q652">
        <v>10400</v>
      </c>
      <c r="R652">
        <v>10400</v>
      </c>
      <c r="S652">
        <v>0</v>
      </c>
      <c r="T652">
        <v>0</v>
      </c>
      <c r="U652">
        <v>3434</v>
      </c>
      <c r="V652">
        <v>0</v>
      </c>
      <c r="W652">
        <v>0</v>
      </c>
      <c r="X652" t="s">
        <v>608</v>
      </c>
      <c r="Y652">
        <v>1</v>
      </c>
      <c r="Z652">
        <v>0</v>
      </c>
      <c r="AA652">
        <v>50</v>
      </c>
      <c r="AB652">
        <v>25</v>
      </c>
      <c r="AC652">
        <v>0.4</v>
      </c>
    </row>
    <row r="653" spans="1:29">
      <c r="A653">
        <v>2095051</v>
      </c>
      <c r="B653">
        <v>2001</v>
      </c>
      <c r="C653">
        <v>96</v>
      </c>
      <c r="D653" t="s">
        <v>586</v>
      </c>
      <c r="E653">
        <f t="shared" si="146"/>
        <v>6200</v>
      </c>
      <c r="F653">
        <f t="shared" si="147"/>
        <v>6200</v>
      </c>
      <c r="G653" s="2">
        <v>5</v>
      </c>
      <c r="H653">
        <v>0</v>
      </c>
      <c r="I653">
        <v>0</v>
      </c>
      <c r="J653">
        <v>0</v>
      </c>
      <c r="K653">
        <v>0</v>
      </c>
      <c r="L653">
        <v>2179862</v>
      </c>
      <c r="M653">
        <v>1660.0000000000002</v>
      </c>
      <c r="N653">
        <v>112881</v>
      </c>
      <c r="O653">
        <v>135457</v>
      </c>
      <c r="P653">
        <v>31000</v>
      </c>
      <c r="Q653">
        <v>10400</v>
      </c>
      <c r="R653">
        <v>10400</v>
      </c>
      <c r="S653">
        <v>0</v>
      </c>
      <c r="T653">
        <v>0</v>
      </c>
      <c r="U653">
        <v>3434</v>
      </c>
      <c r="V653">
        <v>0</v>
      </c>
      <c r="W653">
        <v>0</v>
      </c>
      <c r="X653" t="s">
        <v>611</v>
      </c>
      <c r="Y653">
        <v>1</v>
      </c>
      <c r="Z653">
        <v>0</v>
      </c>
      <c r="AA653">
        <v>50</v>
      </c>
      <c r="AB653">
        <v>25</v>
      </c>
      <c r="AC653">
        <v>0.4</v>
      </c>
    </row>
    <row r="654" spans="1:29">
      <c r="A654">
        <f>A653+1</f>
        <v>2095052</v>
      </c>
      <c r="B654">
        <f>B653</f>
        <v>2001</v>
      </c>
      <c r="C654">
        <f>C653</f>
        <v>96</v>
      </c>
      <c r="D654" t="s">
        <v>588</v>
      </c>
      <c r="E654">
        <f t="shared" ref="E654:E656" si="186">E653</f>
        <v>6200</v>
      </c>
      <c r="F654">
        <f t="shared" ref="F654:F656" si="187">F653</f>
        <v>6200</v>
      </c>
      <c r="G654" s="2">
        <v>2</v>
      </c>
      <c r="H654">
        <f t="shared" ref="H654:H656" si="188">H653</f>
        <v>0</v>
      </c>
      <c r="I654">
        <f t="shared" ref="I654:I656" si="189">I653</f>
        <v>0</v>
      </c>
      <c r="J654">
        <f t="shared" ref="J654:J656" si="190">J653</f>
        <v>0</v>
      </c>
      <c r="K654">
        <f t="shared" ref="K654:K656" si="191">K653</f>
        <v>0</v>
      </c>
      <c r="L654">
        <v>2034538</v>
      </c>
      <c r="M654">
        <v>1328</v>
      </c>
      <c r="N654">
        <v>120944</v>
      </c>
      <c r="O654">
        <v>145133</v>
      </c>
      <c r="P654">
        <v>31000</v>
      </c>
      <c r="Q654">
        <v>10400</v>
      </c>
      <c r="R654">
        <v>10400</v>
      </c>
      <c r="S654">
        <v>0</v>
      </c>
      <c r="T654">
        <v>0</v>
      </c>
      <c r="U654">
        <v>3434</v>
      </c>
      <c r="V654">
        <v>0</v>
      </c>
      <c r="W654">
        <v>0</v>
      </c>
      <c r="X654" t="s">
        <v>610</v>
      </c>
      <c r="Y654">
        <v>1</v>
      </c>
      <c r="Z654">
        <v>0</v>
      </c>
      <c r="AA654">
        <v>50</v>
      </c>
      <c r="AB654">
        <v>25</v>
      </c>
      <c r="AC654">
        <v>0.4</v>
      </c>
    </row>
    <row r="655" spans="1:29">
      <c r="A655">
        <f t="shared" ref="A655:A656" si="192">A654+1</f>
        <v>2095053</v>
      </c>
      <c r="B655">
        <f t="shared" ref="B655:B656" si="193">B654</f>
        <v>2001</v>
      </c>
      <c r="C655">
        <f t="shared" ref="C655:C656" si="194">C654</f>
        <v>96</v>
      </c>
      <c r="D655" t="s">
        <v>589</v>
      </c>
      <c r="E655">
        <f t="shared" si="186"/>
        <v>6200</v>
      </c>
      <c r="F655">
        <f t="shared" si="187"/>
        <v>6200</v>
      </c>
      <c r="G655" s="2">
        <v>26</v>
      </c>
      <c r="H655">
        <f t="shared" si="188"/>
        <v>0</v>
      </c>
      <c r="I655">
        <f t="shared" si="189"/>
        <v>0</v>
      </c>
      <c r="J655">
        <f t="shared" si="190"/>
        <v>0</v>
      </c>
      <c r="K655">
        <f t="shared" si="191"/>
        <v>0</v>
      </c>
      <c r="L655">
        <v>2131421</v>
      </c>
      <c r="M655">
        <v>1660.0000000000002</v>
      </c>
      <c r="N655">
        <v>145132</v>
      </c>
      <c r="O655">
        <v>174158</v>
      </c>
      <c r="P655">
        <v>31000</v>
      </c>
      <c r="Q655">
        <v>10400</v>
      </c>
      <c r="R655">
        <v>10400</v>
      </c>
      <c r="S655">
        <v>0</v>
      </c>
      <c r="T655">
        <v>0</v>
      </c>
      <c r="U655">
        <v>3434</v>
      </c>
      <c r="V655">
        <v>0</v>
      </c>
      <c r="W655">
        <v>0</v>
      </c>
      <c r="X655" t="s">
        <v>609</v>
      </c>
      <c r="Y655">
        <v>1</v>
      </c>
      <c r="Z655">
        <v>0</v>
      </c>
      <c r="AA655">
        <v>50</v>
      </c>
      <c r="AB655">
        <v>25</v>
      </c>
      <c r="AC655">
        <v>0.4</v>
      </c>
    </row>
    <row r="656" spans="1:29">
      <c r="A656">
        <f t="shared" si="192"/>
        <v>2095054</v>
      </c>
      <c r="B656">
        <f t="shared" si="193"/>
        <v>2001</v>
      </c>
      <c r="C656">
        <f t="shared" si="194"/>
        <v>96</v>
      </c>
      <c r="D656" t="s">
        <v>590</v>
      </c>
      <c r="E656">
        <f t="shared" si="186"/>
        <v>6200</v>
      </c>
      <c r="F656">
        <f t="shared" si="187"/>
        <v>6200</v>
      </c>
      <c r="G656" s="2">
        <v>14</v>
      </c>
      <c r="H656">
        <f t="shared" si="188"/>
        <v>0</v>
      </c>
      <c r="I656">
        <f t="shared" si="189"/>
        <v>0</v>
      </c>
      <c r="J656">
        <f t="shared" si="190"/>
        <v>0</v>
      </c>
      <c r="K656">
        <f t="shared" si="191"/>
        <v>0</v>
      </c>
      <c r="L656">
        <v>2082980</v>
      </c>
      <c r="M656">
        <v>1660.0000000000002</v>
      </c>
      <c r="N656">
        <v>145132</v>
      </c>
      <c r="O656">
        <v>174158</v>
      </c>
      <c r="P656">
        <v>31000</v>
      </c>
      <c r="Q656">
        <v>10400</v>
      </c>
      <c r="R656">
        <v>10400</v>
      </c>
      <c r="S656">
        <v>0</v>
      </c>
      <c r="T656">
        <v>0</v>
      </c>
      <c r="U656">
        <v>3434</v>
      </c>
      <c r="V656">
        <v>0</v>
      </c>
      <c r="W656">
        <v>0</v>
      </c>
      <c r="X656" t="s">
        <v>612</v>
      </c>
      <c r="Y656">
        <v>1</v>
      </c>
      <c r="Z656">
        <v>0</v>
      </c>
      <c r="AA656">
        <v>50</v>
      </c>
      <c r="AB656">
        <v>25</v>
      </c>
      <c r="AC656">
        <v>0.4</v>
      </c>
    </row>
    <row r="657" spans="1:29">
      <c r="A657">
        <v>2095061</v>
      </c>
      <c r="B657">
        <v>2001</v>
      </c>
      <c r="C657">
        <v>97</v>
      </c>
      <c r="D657" t="s">
        <v>570</v>
      </c>
      <c r="E657">
        <f t="shared" ref="E657:E728" si="195">VLOOKUP(C657,C$6:F$212,3,0)*5</f>
        <v>6400</v>
      </c>
      <c r="F657">
        <f t="shared" ref="F657:F728" si="196">E657</f>
        <v>6400</v>
      </c>
      <c r="G657" s="2">
        <v>8</v>
      </c>
      <c r="H657">
        <v>0</v>
      </c>
      <c r="I657">
        <v>0</v>
      </c>
      <c r="J657">
        <v>0</v>
      </c>
      <c r="K657">
        <v>0</v>
      </c>
      <c r="L657">
        <v>5229442</v>
      </c>
      <c r="M657">
        <v>1670</v>
      </c>
      <c r="N657">
        <v>362700</v>
      </c>
      <c r="O657">
        <v>435240</v>
      </c>
      <c r="P657">
        <v>32000</v>
      </c>
      <c r="Q657">
        <v>10800</v>
      </c>
      <c r="R657">
        <v>10800</v>
      </c>
      <c r="S657">
        <v>0</v>
      </c>
      <c r="T657">
        <v>0</v>
      </c>
      <c r="U657">
        <v>3506</v>
      </c>
      <c r="V657">
        <v>0</v>
      </c>
      <c r="W657">
        <v>0</v>
      </c>
      <c r="X657" t="s">
        <v>613</v>
      </c>
      <c r="Y657">
        <v>1</v>
      </c>
      <c r="Z657">
        <v>0</v>
      </c>
      <c r="AA657">
        <v>50</v>
      </c>
      <c r="AB657">
        <v>25</v>
      </c>
      <c r="AC657">
        <v>0.4</v>
      </c>
    </row>
    <row r="658" spans="1:29">
      <c r="A658">
        <v>2095071</v>
      </c>
      <c r="B658">
        <v>2001</v>
      </c>
      <c r="C658">
        <v>97</v>
      </c>
      <c r="D658" t="s">
        <v>571</v>
      </c>
      <c r="E658">
        <f t="shared" si="195"/>
        <v>6400</v>
      </c>
      <c r="F658">
        <f t="shared" si="196"/>
        <v>6400</v>
      </c>
      <c r="G658" s="2">
        <v>6</v>
      </c>
      <c r="H658">
        <v>0</v>
      </c>
      <c r="I658">
        <v>0</v>
      </c>
      <c r="J658">
        <v>0</v>
      </c>
      <c r="K658">
        <v>0</v>
      </c>
      <c r="L658">
        <v>5117865</v>
      </c>
      <c r="M658">
        <v>1670</v>
      </c>
      <c r="N658">
        <v>395913</v>
      </c>
      <c r="O658">
        <v>475096</v>
      </c>
      <c r="P658">
        <v>32000</v>
      </c>
      <c r="Q658">
        <v>10800</v>
      </c>
      <c r="R658">
        <v>10800</v>
      </c>
      <c r="S658">
        <v>0</v>
      </c>
      <c r="T658">
        <v>0</v>
      </c>
      <c r="U658">
        <v>3506</v>
      </c>
      <c r="V658">
        <v>0</v>
      </c>
      <c r="W658">
        <v>0</v>
      </c>
      <c r="X658" t="s">
        <v>614</v>
      </c>
      <c r="Y658">
        <v>1</v>
      </c>
      <c r="Z658">
        <v>0</v>
      </c>
      <c r="AA658">
        <v>50</v>
      </c>
      <c r="AB658">
        <v>25</v>
      </c>
      <c r="AC658">
        <v>0.4</v>
      </c>
    </row>
    <row r="659" spans="1:29">
      <c r="A659">
        <v>2095081</v>
      </c>
      <c r="B659">
        <v>2001</v>
      </c>
      <c r="C659">
        <v>98</v>
      </c>
      <c r="D659" t="s">
        <v>572</v>
      </c>
      <c r="E659">
        <f t="shared" si="195"/>
        <v>6600</v>
      </c>
      <c r="F659">
        <f t="shared" si="196"/>
        <v>6600</v>
      </c>
      <c r="G659" s="2">
        <v>7</v>
      </c>
      <c r="H659">
        <v>0</v>
      </c>
      <c r="I659">
        <v>0</v>
      </c>
      <c r="J659">
        <v>0</v>
      </c>
      <c r="K659">
        <v>0</v>
      </c>
      <c r="L659">
        <v>5928751</v>
      </c>
      <c r="M659">
        <v>1680.0000000000002</v>
      </c>
      <c r="N659">
        <v>540210</v>
      </c>
      <c r="O659">
        <v>648252</v>
      </c>
      <c r="P659">
        <v>33000</v>
      </c>
      <c r="Q659">
        <v>11200</v>
      </c>
      <c r="R659">
        <v>11200</v>
      </c>
      <c r="S659">
        <v>0</v>
      </c>
      <c r="T659">
        <v>0</v>
      </c>
      <c r="U659">
        <v>3578</v>
      </c>
      <c r="V659">
        <v>0</v>
      </c>
      <c r="W659">
        <v>0</v>
      </c>
      <c r="X659" t="s">
        <v>615</v>
      </c>
      <c r="Y659">
        <v>1</v>
      </c>
      <c r="Z659">
        <v>0</v>
      </c>
      <c r="AA659">
        <v>50</v>
      </c>
      <c r="AB659">
        <v>25</v>
      </c>
      <c r="AC659">
        <v>0.4</v>
      </c>
    </row>
    <row r="660" spans="1:29">
      <c r="A660">
        <v>2095091</v>
      </c>
      <c r="B660">
        <v>2001</v>
      </c>
      <c r="C660">
        <v>99</v>
      </c>
      <c r="D660" t="s">
        <v>573</v>
      </c>
      <c r="E660">
        <f t="shared" si="195"/>
        <v>6800</v>
      </c>
      <c r="F660">
        <f t="shared" si="196"/>
        <v>6800</v>
      </c>
      <c r="G660" s="2" t="s">
        <v>633</v>
      </c>
      <c r="H660">
        <v>0</v>
      </c>
      <c r="I660">
        <v>0</v>
      </c>
      <c r="J660">
        <v>0</v>
      </c>
      <c r="K660">
        <v>0</v>
      </c>
      <c r="L660">
        <v>7422079</v>
      </c>
      <c r="M660">
        <v>5070</v>
      </c>
      <c r="N660">
        <v>728585</v>
      </c>
      <c r="O660">
        <v>874302</v>
      </c>
      <c r="P660">
        <v>34000</v>
      </c>
      <c r="Q660">
        <v>11600</v>
      </c>
      <c r="R660">
        <v>11600</v>
      </c>
      <c r="S660">
        <v>0</v>
      </c>
      <c r="T660">
        <v>5233</v>
      </c>
      <c r="U660">
        <v>3992</v>
      </c>
      <c r="V660">
        <v>0</v>
      </c>
      <c r="W660">
        <v>0</v>
      </c>
      <c r="X660" t="s">
        <v>616</v>
      </c>
      <c r="Y660">
        <v>1</v>
      </c>
      <c r="Z660">
        <v>0</v>
      </c>
      <c r="AA660">
        <v>50</v>
      </c>
      <c r="AB660">
        <v>25</v>
      </c>
      <c r="AC660">
        <v>0.4</v>
      </c>
    </row>
    <row r="661" spans="1:29">
      <c r="A661">
        <v>2100011</v>
      </c>
      <c r="B661">
        <v>2001</v>
      </c>
      <c r="C661">
        <v>100</v>
      </c>
      <c r="D661" t="s">
        <v>577</v>
      </c>
      <c r="E661">
        <f t="shared" si="195"/>
        <v>7000</v>
      </c>
      <c r="F661">
        <f t="shared" si="196"/>
        <v>7000</v>
      </c>
      <c r="G661" s="2" t="s">
        <v>636</v>
      </c>
      <c r="H661">
        <v>0</v>
      </c>
      <c r="I661">
        <v>0</v>
      </c>
      <c r="J661">
        <v>0</v>
      </c>
      <c r="K661">
        <v>0</v>
      </c>
      <c r="L661">
        <v>3279033</v>
      </c>
      <c r="M661">
        <v>8500</v>
      </c>
      <c r="N661">
        <v>156463</v>
      </c>
      <c r="O661">
        <v>187756</v>
      </c>
      <c r="P661">
        <v>35000</v>
      </c>
      <c r="Q661">
        <v>12000</v>
      </c>
      <c r="R661">
        <v>12000</v>
      </c>
      <c r="S661">
        <v>0</v>
      </c>
      <c r="T661">
        <v>0</v>
      </c>
      <c r="U661">
        <v>3725</v>
      </c>
      <c r="V661">
        <v>0</v>
      </c>
      <c r="W661">
        <v>0</v>
      </c>
      <c r="X661" t="s">
        <v>622</v>
      </c>
      <c r="Y661">
        <v>1</v>
      </c>
      <c r="Z661">
        <v>0</v>
      </c>
      <c r="AA661">
        <v>50</v>
      </c>
      <c r="AB661">
        <v>25</v>
      </c>
      <c r="AC661">
        <v>0.4</v>
      </c>
    </row>
    <row r="662" spans="1:29">
      <c r="A662">
        <v>2100021</v>
      </c>
      <c r="B662">
        <v>2001</v>
      </c>
      <c r="C662">
        <v>100</v>
      </c>
      <c r="D662" t="s">
        <v>568</v>
      </c>
      <c r="E662">
        <f t="shared" si="195"/>
        <v>7000</v>
      </c>
      <c r="F662">
        <f t="shared" si="196"/>
        <v>7000</v>
      </c>
      <c r="G662" s="2" t="s">
        <v>632</v>
      </c>
      <c r="H662">
        <v>0</v>
      </c>
      <c r="I662">
        <v>0</v>
      </c>
      <c r="J662">
        <v>0</v>
      </c>
      <c r="K662">
        <v>0</v>
      </c>
      <c r="L662">
        <v>5022058</v>
      </c>
      <c r="M662">
        <v>5100</v>
      </c>
      <c r="N662">
        <v>475719</v>
      </c>
      <c r="O662">
        <v>570863</v>
      </c>
      <c r="P662">
        <v>35000</v>
      </c>
      <c r="Q662">
        <v>12000</v>
      </c>
      <c r="R662">
        <v>12000</v>
      </c>
      <c r="S662">
        <v>0</v>
      </c>
      <c r="T662">
        <v>0</v>
      </c>
      <c r="U662">
        <v>3725</v>
      </c>
      <c r="V662">
        <v>0</v>
      </c>
      <c r="W662">
        <v>0</v>
      </c>
      <c r="X662" t="s">
        <v>606</v>
      </c>
      <c r="Y662">
        <v>1</v>
      </c>
      <c r="Z662">
        <v>0</v>
      </c>
      <c r="AA662">
        <v>50</v>
      </c>
      <c r="AB662">
        <v>25</v>
      </c>
      <c r="AC662">
        <v>0.4</v>
      </c>
    </row>
    <row r="663" spans="1:29">
      <c r="A663">
        <v>2100031</v>
      </c>
      <c r="B663">
        <v>2001</v>
      </c>
      <c r="C663">
        <v>101</v>
      </c>
      <c r="D663" t="s">
        <v>551</v>
      </c>
      <c r="E663">
        <f>VLOOKUP(C663,C$6:F$212,3,0)*5</f>
        <v>7200</v>
      </c>
      <c r="F663">
        <f t="shared" si="196"/>
        <v>7200</v>
      </c>
      <c r="G663" s="2" t="s">
        <v>628</v>
      </c>
      <c r="H663">
        <v>0</v>
      </c>
      <c r="I663">
        <v>0</v>
      </c>
      <c r="J663">
        <v>0</v>
      </c>
      <c r="K663">
        <v>0</v>
      </c>
      <c r="L663">
        <v>3735986</v>
      </c>
      <c r="M663">
        <v>373599</v>
      </c>
      <c r="N663">
        <v>708307</v>
      </c>
      <c r="O663">
        <v>849968</v>
      </c>
      <c r="P663">
        <v>36000</v>
      </c>
      <c r="Q663">
        <v>12400</v>
      </c>
      <c r="R663">
        <v>12400</v>
      </c>
      <c r="S663">
        <v>0</v>
      </c>
      <c r="T663">
        <v>0</v>
      </c>
      <c r="U663">
        <v>3800</v>
      </c>
      <c r="V663">
        <v>0</v>
      </c>
      <c r="W663">
        <v>0</v>
      </c>
      <c r="X663" t="s">
        <v>607</v>
      </c>
      <c r="Y663">
        <v>1</v>
      </c>
      <c r="Z663">
        <v>0</v>
      </c>
      <c r="AA663">
        <v>50</v>
      </c>
      <c r="AB663">
        <v>25</v>
      </c>
      <c r="AC663">
        <v>0.4</v>
      </c>
    </row>
    <row r="664" spans="1:29">
      <c r="A664">
        <v>2100041</v>
      </c>
      <c r="B664">
        <v>2001</v>
      </c>
      <c r="C664">
        <v>101</v>
      </c>
      <c r="D664" t="s">
        <v>569</v>
      </c>
      <c r="E664">
        <f t="shared" si="195"/>
        <v>7200</v>
      </c>
      <c r="F664">
        <f t="shared" si="196"/>
        <v>7200</v>
      </c>
      <c r="G664" s="2">
        <v>29</v>
      </c>
      <c r="H664">
        <v>0</v>
      </c>
      <c r="I664">
        <v>0</v>
      </c>
      <c r="J664">
        <v>0</v>
      </c>
      <c r="K664">
        <v>0</v>
      </c>
      <c r="L664">
        <v>5522588</v>
      </c>
      <c r="M664">
        <v>1710</v>
      </c>
      <c r="N664">
        <v>517172</v>
      </c>
      <c r="O664">
        <v>620606</v>
      </c>
      <c r="P664">
        <v>36000</v>
      </c>
      <c r="Q664">
        <v>12400</v>
      </c>
      <c r="R664">
        <v>12400</v>
      </c>
      <c r="S664">
        <v>0</v>
      </c>
      <c r="T664">
        <v>0</v>
      </c>
      <c r="U664">
        <v>3800</v>
      </c>
      <c r="V664">
        <v>0</v>
      </c>
      <c r="W664">
        <v>0</v>
      </c>
      <c r="X664" t="s">
        <v>608</v>
      </c>
      <c r="Y664">
        <v>1</v>
      </c>
      <c r="Z664">
        <v>0</v>
      </c>
      <c r="AA664">
        <v>50</v>
      </c>
      <c r="AB664">
        <v>25</v>
      </c>
      <c r="AC664">
        <v>0.4</v>
      </c>
    </row>
    <row r="665" spans="1:29">
      <c r="A665">
        <v>2100051</v>
      </c>
      <c r="B665">
        <v>2001</v>
      </c>
      <c r="C665">
        <v>101</v>
      </c>
      <c r="D665" t="s">
        <v>586</v>
      </c>
      <c r="E665">
        <f t="shared" si="195"/>
        <v>7200</v>
      </c>
      <c r="F665">
        <f t="shared" si="196"/>
        <v>7200</v>
      </c>
      <c r="G665" s="2">
        <v>5</v>
      </c>
      <c r="H665">
        <v>0</v>
      </c>
      <c r="I665">
        <v>0</v>
      </c>
      <c r="J665">
        <v>0</v>
      </c>
      <c r="K665">
        <v>0</v>
      </c>
      <c r="L665">
        <v>2767924</v>
      </c>
      <c r="M665">
        <v>1710</v>
      </c>
      <c r="N665">
        <v>158598</v>
      </c>
      <c r="O665">
        <v>190318</v>
      </c>
      <c r="P665">
        <v>36000</v>
      </c>
      <c r="Q665">
        <v>12400</v>
      </c>
      <c r="R665">
        <v>12400</v>
      </c>
      <c r="S665">
        <v>0</v>
      </c>
      <c r="T665">
        <v>0</v>
      </c>
      <c r="U665">
        <v>3800</v>
      </c>
      <c r="V665">
        <v>0</v>
      </c>
      <c r="W665">
        <v>0</v>
      </c>
      <c r="X665" t="s">
        <v>611</v>
      </c>
      <c r="Y665">
        <v>1</v>
      </c>
      <c r="Z665">
        <v>0</v>
      </c>
      <c r="AA665">
        <v>50</v>
      </c>
      <c r="AB665">
        <v>25</v>
      </c>
      <c r="AC665">
        <v>0.4</v>
      </c>
    </row>
    <row r="666" spans="1:29">
      <c r="A666">
        <f>A665+1</f>
        <v>2100052</v>
      </c>
      <c r="B666">
        <f>B665</f>
        <v>2001</v>
      </c>
      <c r="C666">
        <f>C665</f>
        <v>101</v>
      </c>
      <c r="D666" t="s">
        <v>588</v>
      </c>
      <c r="E666">
        <f t="shared" ref="E666:E668" si="197">E665</f>
        <v>7200</v>
      </c>
      <c r="F666">
        <f t="shared" ref="F666:F668" si="198">F665</f>
        <v>7200</v>
      </c>
      <c r="G666" s="2">
        <v>2</v>
      </c>
      <c r="H666">
        <f t="shared" ref="H666:H668" si="199">H665</f>
        <v>0</v>
      </c>
      <c r="I666">
        <f t="shared" ref="I666:I668" si="200">I665</f>
        <v>0</v>
      </c>
      <c r="J666">
        <f t="shared" ref="J666:J668" si="201">J665</f>
        <v>0</v>
      </c>
      <c r="K666">
        <f t="shared" ref="K666:K668" si="202">K665</f>
        <v>0</v>
      </c>
      <c r="L666">
        <v>2583396</v>
      </c>
      <c r="M666">
        <v>1368</v>
      </c>
      <c r="N666">
        <v>169927</v>
      </c>
      <c r="O666">
        <v>203912</v>
      </c>
      <c r="P666">
        <v>36000</v>
      </c>
      <c r="Q666">
        <v>12400</v>
      </c>
      <c r="R666">
        <v>12400</v>
      </c>
      <c r="S666">
        <v>0</v>
      </c>
      <c r="T666">
        <v>0</v>
      </c>
      <c r="U666">
        <v>3800</v>
      </c>
      <c r="V666">
        <v>0</v>
      </c>
      <c r="W666">
        <v>0</v>
      </c>
      <c r="X666" t="s">
        <v>610</v>
      </c>
      <c r="Y666">
        <v>1</v>
      </c>
      <c r="Z666">
        <v>0</v>
      </c>
      <c r="AA666">
        <v>50</v>
      </c>
      <c r="AB666">
        <v>25</v>
      </c>
      <c r="AC666">
        <v>0.4</v>
      </c>
    </row>
    <row r="667" spans="1:29">
      <c r="A667">
        <f t="shared" ref="A667:A668" si="203">A666+1</f>
        <v>2100053</v>
      </c>
      <c r="B667">
        <f t="shared" ref="B667:B668" si="204">B666</f>
        <v>2001</v>
      </c>
      <c r="C667">
        <f t="shared" ref="C667:C668" si="205">C666</f>
        <v>101</v>
      </c>
      <c r="D667" t="s">
        <v>589</v>
      </c>
      <c r="E667">
        <f t="shared" si="197"/>
        <v>7200</v>
      </c>
      <c r="F667">
        <f t="shared" si="198"/>
        <v>7200</v>
      </c>
      <c r="G667" s="2">
        <v>26</v>
      </c>
      <c r="H667">
        <f t="shared" si="199"/>
        <v>0</v>
      </c>
      <c r="I667">
        <f t="shared" si="200"/>
        <v>0</v>
      </c>
      <c r="J667">
        <f t="shared" si="201"/>
        <v>0</v>
      </c>
      <c r="K667">
        <f t="shared" si="202"/>
        <v>0</v>
      </c>
      <c r="L667">
        <v>2706415</v>
      </c>
      <c r="M667">
        <v>1710</v>
      </c>
      <c r="N667">
        <v>203912</v>
      </c>
      <c r="O667">
        <v>244694</v>
      </c>
      <c r="P667">
        <v>36000</v>
      </c>
      <c r="Q667">
        <v>12400</v>
      </c>
      <c r="R667">
        <v>12400</v>
      </c>
      <c r="S667">
        <v>0</v>
      </c>
      <c r="T667">
        <v>0</v>
      </c>
      <c r="U667">
        <v>3800</v>
      </c>
      <c r="V667">
        <v>0</v>
      </c>
      <c r="W667">
        <v>0</v>
      </c>
      <c r="X667" t="s">
        <v>609</v>
      </c>
      <c r="Y667">
        <v>1</v>
      </c>
      <c r="Z667">
        <v>0</v>
      </c>
      <c r="AA667">
        <v>50</v>
      </c>
      <c r="AB667">
        <v>25</v>
      </c>
      <c r="AC667">
        <v>0.4</v>
      </c>
    </row>
    <row r="668" spans="1:29">
      <c r="A668">
        <f t="shared" si="203"/>
        <v>2100054</v>
      </c>
      <c r="B668">
        <f t="shared" si="204"/>
        <v>2001</v>
      </c>
      <c r="C668">
        <f t="shared" si="205"/>
        <v>101</v>
      </c>
      <c r="D668" t="s">
        <v>590</v>
      </c>
      <c r="E668">
        <f t="shared" si="197"/>
        <v>7200</v>
      </c>
      <c r="F668">
        <f t="shared" si="198"/>
        <v>7200</v>
      </c>
      <c r="G668" s="2">
        <v>14</v>
      </c>
      <c r="H668">
        <f t="shared" si="199"/>
        <v>0</v>
      </c>
      <c r="I668">
        <f t="shared" si="200"/>
        <v>0</v>
      </c>
      <c r="J668">
        <f t="shared" si="201"/>
        <v>0</v>
      </c>
      <c r="K668">
        <f t="shared" si="202"/>
        <v>0</v>
      </c>
      <c r="L668">
        <v>2644905</v>
      </c>
      <c r="M668">
        <v>1710</v>
      </c>
      <c r="N668">
        <v>203912</v>
      </c>
      <c r="O668">
        <v>244694</v>
      </c>
      <c r="P668">
        <v>36000</v>
      </c>
      <c r="Q668">
        <v>12400</v>
      </c>
      <c r="R668">
        <v>12400</v>
      </c>
      <c r="S668">
        <v>0</v>
      </c>
      <c r="T668">
        <v>0</v>
      </c>
      <c r="U668">
        <v>3800</v>
      </c>
      <c r="V668">
        <v>0</v>
      </c>
      <c r="W668">
        <v>0</v>
      </c>
      <c r="X668" t="s">
        <v>612</v>
      </c>
      <c r="Y668">
        <v>1</v>
      </c>
      <c r="Z668">
        <v>0</v>
      </c>
      <c r="AA668">
        <v>50</v>
      </c>
      <c r="AB668">
        <v>25</v>
      </c>
      <c r="AC668">
        <v>0.4</v>
      </c>
    </row>
    <row r="669" spans="1:29">
      <c r="A669">
        <v>2100061</v>
      </c>
      <c r="B669">
        <v>2001</v>
      </c>
      <c r="C669">
        <v>102</v>
      </c>
      <c r="D669" t="s">
        <v>570</v>
      </c>
      <c r="E669">
        <f t="shared" si="195"/>
        <v>7500</v>
      </c>
      <c r="F669">
        <f t="shared" si="196"/>
        <v>7500</v>
      </c>
      <c r="G669" s="2">
        <v>8</v>
      </c>
      <c r="H669">
        <v>0</v>
      </c>
      <c r="I669">
        <v>0</v>
      </c>
      <c r="J669">
        <v>0</v>
      </c>
      <c r="K669">
        <v>0</v>
      </c>
      <c r="L669">
        <v>6651749</v>
      </c>
      <c r="M669">
        <v>1720</v>
      </c>
      <c r="N669">
        <v>511569</v>
      </c>
      <c r="O669">
        <v>613883</v>
      </c>
      <c r="P669">
        <v>37000</v>
      </c>
      <c r="Q669">
        <v>12800</v>
      </c>
      <c r="R669">
        <v>12800</v>
      </c>
      <c r="S669">
        <v>0</v>
      </c>
      <c r="T669">
        <v>0</v>
      </c>
      <c r="U669">
        <v>3875</v>
      </c>
      <c r="V669">
        <v>0</v>
      </c>
      <c r="W669">
        <v>0</v>
      </c>
      <c r="X669" t="s">
        <v>613</v>
      </c>
      <c r="Y669">
        <v>1</v>
      </c>
      <c r="Z669">
        <v>0</v>
      </c>
      <c r="AA669">
        <v>50</v>
      </c>
      <c r="AB669">
        <v>25</v>
      </c>
      <c r="AC669">
        <v>0.4</v>
      </c>
    </row>
    <row r="670" spans="1:29">
      <c r="A670">
        <v>2100071</v>
      </c>
      <c r="B670">
        <v>2001</v>
      </c>
      <c r="C670">
        <v>102</v>
      </c>
      <c r="D670" t="s">
        <v>571</v>
      </c>
      <c r="E670">
        <f t="shared" si="195"/>
        <v>7500</v>
      </c>
      <c r="F670">
        <f t="shared" si="196"/>
        <v>7500</v>
      </c>
      <c r="G670" s="2">
        <v>6</v>
      </c>
      <c r="H670">
        <v>0</v>
      </c>
      <c r="I670">
        <v>0</v>
      </c>
      <c r="J670">
        <v>0</v>
      </c>
      <c r="K670">
        <v>0</v>
      </c>
      <c r="L670">
        <v>6509735</v>
      </c>
      <c r="M670">
        <v>1720</v>
      </c>
      <c r="N670">
        <v>559606</v>
      </c>
      <c r="O670">
        <v>671527</v>
      </c>
      <c r="P670">
        <v>37000</v>
      </c>
      <c r="Q670">
        <v>12800</v>
      </c>
      <c r="R670">
        <v>12800</v>
      </c>
      <c r="S670">
        <v>0</v>
      </c>
      <c r="T670">
        <v>0</v>
      </c>
      <c r="U670">
        <v>3875</v>
      </c>
      <c r="V670">
        <v>0</v>
      </c>
      <c r="W670">
        <v>0</v>
      </c>
      <c r="X670" t="s">
        <v>614</v>
      </c>
      <c r="Y670">
        <v>1</v>
      </c>
      <c r="Z670">
        <v>0</v>
      </c>
      <c r="AA670">
        <v>50</v>
      </c>
      <c r="AB670">
        <v>25</v>
      </c>
      <c r="AC670">
        <v>0.4</v>
      </c>
    </row>
    <row r="671" spans="1:29">
      <c r="A671">
        <v>2100081</v>
      </c>
      <c r="B671">
        <v>2001</v>
      </c>
      <c r="C671">
        <v>102</v>
      </c>
      <c r="D671" t="s">
        <v>572</v>
      </c>
      <c r="E671">
        <f t="shared" si="195"/>
        <v>7500</v>
      </c>
      <c r="F671">
        <f t="shared" si="196"/>
        <v>7500</v>
      </c>
      <c r="G671" s="2">
        <v>7</v>
      </c>
      <c r="H671">
        <v>0</v>
      </c>
      <c r="I671">
        <v>0</v>
      </c>
      <c r="J671">
        <v>0</v>
      </c>
      <c r="K671">
        <v>0</v>
      </c>
      <c r="L671">
        <v>7526881</v>
      </c>
      <c r="M671">
        <v>1720</v>
      </c>
      <c r="N671">
        <v>765194</v>
      </c>
      <c r="O671">
        <v>918233</v>
      </c>
      <c r="P671">
        <v>37000</v>
      </c>
      <c r="Q671">
        <v>12800</v>
      </c>
      <c r="R671">
        <v>12800</v>
      </c>
      <c r="S671">
        <v>0</v>
      </c>
      <c r="T671">
        <v>0</v>
      </c>
      <c r="U671">
        <v>3875</v>
      </c>
      <c r="V671">
        <v>0</v>
      </c>
      <c r="W671">
        <v>0</v>
      </c>
      <c r="X671" t="s">
        <v>615</v>
      </c>
      <c r="Y671">
        <v>1</v>
      </c>
      <c r="Z671">
        <v>0</v>
      </c>
      <c r="AA671">
        <v>50</v>
      </c>
      <c r="AB671">
        <v>25</v>
      </c>
      <c r="AC671">
        <v>0.4</v>
      </c>
    </row>
    <row r="672" spans="1:29">
      <c r="A672">
        <v>2100091</v>
      </c>
      <c r="B672">
        <v>2001</v>
      </c>
      <c r="C672">
        <v>102</v>
      </c>
      <c r="D672" t="s">
        <v>573</v>
      </c>
      <c r="E672">
        <f t="shared" si="195"/>
        <v>7500</v>
      </c>
      <c r="F672">
        <f t="shared" si="196"/>
        <v>7500</v>
      </c>
      <c r="G672" s="2" t="s">
        <v>633</v>
      </c>
      <c r="H672">
        <v>0</v>
      </c>
      <c r="I672">
        <v>0</v>
      </c>
      <c r="J672">
        <v>0</v>
      </c>
      <c r="K672">
        <v>0</v>
      </c>
      <c r="L672">
        <v>9399375</v>
      </c>
      <c r="M672">
        <v>5160</v>
      </c>
      <c r="N672">
        <v>1034962</v>
      </c>
      <c r="O672">
        <v>1241954</v>
      </c>
      <c r="P672">
        <v>37000</v>
      </c>
      <c r="Q672">
        <v>12800</v>
      </c>
      <c r="R672">
        <v>12800</v>
      </c>
      <c r="S672">
        <v>0</v>
      </c>
      <c r="T672">
        <v>5554</v>
      </c>
      <c r="U672">
        <v>4236</v>
      </c>
      <c r="V672">
        <v>0</v>
      </c>
      <c r="W672">
        <v>0</v>
      </c>
      <c r="X672" t="s">
        <v>616</v>
      </c>
      <c r="Y672">
        <v>1</v>
      </c>
      <c r="Z672">
        <v>0</v>
      </c>
      <c r="AA672">
        <v>50</v>
      </c>
      <c r="AB672">
        <v>25</v>
      </c>
      <c r="AC672">
        <v>0.4</v>
      </c>
    </row>
    <row r="673" spans="1:29">
      <c r="A673">
        <v>3030011</v>
      </c>
      <c r="B673">
        <v>2001</v>
      </c>
      <c r="C673">
        <v>30</v>
      </c>
      <c r="D673" t="s">
        <v>578</v>
      </c>
      <c r="E673">
        <f t="shared" si="195"/>
        <v>660</v>
      </c>
      <c r="F673">
        <f t="shared" si="196"/>
        <v>660</v>
      </c>
      <c r="G673" s="2">
        <v>21</v>
      </c>
      <c r="H673">
        <v>0</v>
      </c>
      <c r="I673">
        <v>0</v>
      </c>
      <c r="J673">
        <v>0</v>
      </c>
      <c r="K673">
        <v>0</v>
      </c>
      <c r="L673">
        <v>40899</v>
      </c>
      <c r="M673">
        <v>3000</v>
      </c>
      <c r="N673">
        <v>1123</v>
      </c>
      <c r="O673">
        <v>1348</v>
      </c>
      <c r="P673">
        <v>20</v>
      </c>
      <c r="Q673">
        <v>0</v>
      </c>
      <c r="R673">
        <v>0</v>
      </c>
      <c r="S673">
        <v>0</v>
      </c>
      <c r="T673">
        <v>0</v>
      </c>
      <c r="U673">
        <v>346</v>
      </c>
      <c r="V673">
        <v>0</v>
      </c>
      <c r="W673">
        <v>0</v>
      </c>
      <c r="X673" t="s">
        <v>169</v>
      </c>
      <c r="Y673">
        <v>1</v>
      </c>
      <c r="Z673">
        <v>0</v>
      </c>
      <c r="AA673">
        <v>50</v>
      </c>
      <c r="AB673">
        <v>25</v>
      </c>
      <c r="AC673">
        <v>0.4</v>
      </c>
    </row>
    <row r="674" spans="1:29">
      <c r="A674">
        <v>3030021</v>
      </c>
      <c r="B674">
        <v>2001</v>
      </c>
      <c r="C674">
        <v>30</v>
      </c>
      <c r="D674" t="s">
        <v>551</v>
      </c>
      <c r="E674">
        <f t="shared" si="195"/>
        <v>660</v>
      </c>
      <c r="F674">
        <f t="shared" si="196"/>
        <v>660</v>
      </c>
      <c r="G674" s="2" t="s">
        <v>628</v>
      </c>
      <c r="H674">
        <v>0</v>
      </c>
      <c r="I674">
        <v>0</v>
      </c>
      <c r="J674">
        <v>0</v>
      </c>
      <c r="K674">
        <v>0</v>
      </c>
      <c r="L674">
        <v>34706</v>
      </c>
      <c r="M674">
        <v>3471</v>
      </c>
      <c r="N674">
        <v>1675</v>
      </c>
      <c r="O674">
        <v>2010</v>
      </c>
      <c r="P674">
        <v>20</v>
      </c>
      <c r="Q674">
        <v>0</v>
      </c>
      <c r="R674">
        <v>0</v>
      </c>
      <c r="S674">
        <v>0</v>
      </c>
      <c r="T674">
        <v>0</v>
      </c>
      <c r="U674">
        <v>346</v>
      </c>
      <c r="V674">
        <v>0</v>
      </c>
      <c r="W674">
        <v>0</v>
      </c>
      <c r="X674" t="s">
        <v>592</v>
      </c>
      <c r="Y674">
        <v>1</v>
      </c>
      <c r="Z674">
        <v>0</v>
      </c>
      <c r="AA674">
        <v>50</v>
      </c>
      <c r="AB674">
        <v>25</v>
      </c>
      <c r="AC674">
        <v>0.4</v>
      </c>
    </row>
    <row r="675" spans="1:29">
      <c r="A675">
        <v>3030031</v>
      </c>
      <c r="B675">
        <v>2001</v>
      </c>
      <c r="C675">
        <v>31</v>
      </c>
      <c r="D675" t="s">
        <v>552</v>
      </c>
      <c r="E675">
        <f t="shared" si="195"/>
        <v>690</v>
      </c>
      <c r="F675">
        <f t="shared" si="196"/>
        <v>690</v>
      </c>
      <c r="G675" s="2">
        <v>5</v>
      </c>
      <c r="H675">
        <v>0</v>
      </c>
      <c r="I675">
        <v>0</v>
      </c>
      <c r="J675">
        <v>0</v>
      </c>
      <c r="K675">
        <v>0</v>
      </c>
      <c r="L675">
        <v>68029</v>
      </c>
      <c r="M675">
        <v>1010</v>
      </c>
      <c r="N675">
        <v>1107</v>
      </c>
      <c r="O675">
        <v>1328</v>
      </c>
      <c r="P675">
        <v>50</v>
      </c>
      <c r="Q675">
        <v>0</v>
      </c>
      <c r="R675">
        <v>0</v>
      </c>
      <c r="S675">
        <v>0</v>
      </c>
      <c r="T675">
        <v>0</v>
      </c>
      <c r="U675">
        <v>369</v>
      </c>
      <c r="V675">
        <v>0</v>
      </c>
      <c r="W675">
        <v>0</v>
      </c>
      <c r="X675" t="s">
        <v>593</v>
      </c>
      <c r="Y675">
        <v>1</v>
      </c>
      <c r="Z675">
        <v>0</v>
      </c>
      <c r="AA675">
        <v>50</v>
      </c>
      <c r="AB675">
        <v>25</v>
      </c>
      <c r="AC675">
        <v>0.4</v>
      </c>
    </row>
    <row r="676" spans="1:29">
      <c r="A676">
        <v>3030041</v>
      </c>
      <c r="B676">
        <v>2001</v>
      </c>
      <c r="C676">
        <v>31</v>
      </c>
      <c r="D676" t="s">
        <v>553</v>
      </c>
      <c r="E676">
        <f t="shared" si="195"/>
        <v>690</v>
      </c>
      <c r="F676">
        <f t="shared" si="196"/>
        <v>690</v>
      </c>
      <c r="G676" s="2">
        <v>16</v>
      </c>
      <c r="H676">
        <v>0</v>
      </c>
      <c r="I676">
        <v>0</v>
      </c>
      <c r="J676">
        <v>0</v>
      </c>
      <c r="K676">
        <v>0</v>
      </c>
      <c r="L676">
        <v>61732</v>
      </c>
      <c r="M676">
        <v>2020</v>
      </c>
      <c r="N676">
        <v>1100</v>
      </c>
      <c r="O676">
        <v>1320</v>
      </c>
      <c r="P676">
        <v>50</v>
      </c>
      <c r="Q676">
        <v>0</v>
      </c>
      <c r="R676">
        <v>0</v>
      </c>
      <c r="S676">
        <v>0</v>
      </c>
      <c r="T676">
        <v>0</v>
      </c>
      <c r="U676">
        <v>917</v>
      </c>
      <c r="V676">
        <v>0</v>
      </c>
      <c r="W676">
        <v>0</v>
      </c>
      <c r="X676" t="s">
        <v>594</v>
      </c>
      <c r="Y676">
        <v>1</v>
      </c>
      <c r="Z676">
        <v>0</v>
      </c>
      <c r="AA676">
        <v>50</v>
      </c>
      <c r="AB676">
        <v>25</v>
      </c>
      <c r="AC676">
        <v>0.4</v>
      </c>
    </row>
    <row r="677" spans="1:29">
      <c r="A677">
        <v>3030051</v>
      </c>
      <c r="B677">
        <v>2001</v>
      </c>
      <c r="C677">
        <v>31</v>
      </c>
      <c r="D677" t="s">
        <v>554</v>
      </c>
      <c r="E677">
        <f t="shared" si="195"/>
        <v>690</v>
      </c>
      <c r="F677">
        <f t="shared" si="196"/>
        <v>690</v>
      </c>
      <c r="G677" s="2">
        <v>4</v>
      </c>
      <c r="H677">
        <v>0</v>
      </c>
      <c r="I677">
        <v>0</v>
      </c>
      <c r="J677">
        <v>0</v>
      </c>
      <c r="K677">
        <v>0</v>
      </c>
      <c r="L677">
        <v>87529</v>
      </c>
      <c r="M677">
        <v>1010</v>
      </c>
      <c r="N677">
        <v>930</v>
      </c>
      <c r="O677">
        <v>1116</v>
      </c>
      <c r="P677">
        <v>50</v>
      </c>
      <c r="Q677">
        <v>0</v>
      </c>
      <c r="R677">
        <v>0</v>
      </c>
      <c r="S677">
        <v>0</v>
      </c>
      <c r="T677">
        <v>0</v>
      </c>
      <c r="U677">
        <v>369</v>
      </c>
      <c r="V677">
        <v>0</v>
      </c>
      <c r="W677">
        <v>0</v>
      </c>
      <c r="X677" t="s">
        <v>595</v>
      </c>
      <c r="Y677">
        <v>1</v>
      </c>
      <c r="Z677">
        <v>0</v>
      </c>
      <c r="AA677">
        <v>50</v>
      </c>
      <c r="AB677">
        <v>25</v>
      </c>
      <c r="AC677">
        <v>0.4</v>
      </c>
    </row>
    <row r="678" spans="1:29">
      <c r="A678">
        <v>3030061</v>
      </c>
      <c r="B678">
        <v>2001</v>
      </c>
      <c r="C678">
        <v>32</v>
      </c>
      <c r="D678" t="s">
        <v>555</v>
      </c>
      <c r="E678">
        <f t="shared" si="195"/>
        <v>720</v>
      </c>
      <c r="F678">
        <f t="shared" si="196"/>
        <v>720</v>
      </c>
      <c r="G678" s="2">
        <v>10</v>
      </c>
      <c r="H678">
        <v>0</v>
      </c>
      <c r="I678">
        <v>0</v>
      </c>
      <c r="J678">
        <v>0</v>
      </c>
      <c r="K678">
        <v>0</v>
      </c>
      <c r="L678">
        <v>102322</v>
      </c>
      <c r="M678">
        <v>2040</v>
      </c>
      <c r="N678">
        <v>1302</v>
      </c>
      <c r="O678">
        <v>1562</v>
      </c>
      <c r="P678">
        <v>80</v>
      </c>
      <c r="Q678">
        <v>10</v>
      </c>
      <c r="R678">
        <v>10</v>
      </c>
      <c r="S678">
        <v>0</v>
      </c>
      <c r="T678">
        <v>798</v>
      </c>
      <c r="U678">
        <v>393</v>
      </c>
      <c r="V678">
        <v>0</v>
      </c>
      <c r="W678">
        <v>0</v>
      </c>
      <c r="X678" t="s">
        <v>596</v>
      </c>
      <c r="Y678">
        <v>1</v>
      </c>
      <c r="Z678">
        <v>0</v>
      </c>
      <c r="AA678">
        <v>50</v>
      </c>
      <c r="AB678">
        <v>25</v>
      </c>
      <c r="AC678">
        <v>0.4</v>
      </c>
    </row>
    <row r="679" spans="1:29">
      <c r="A679">
        <v>3030071</v>
      </c>
      <c r="B679">
        <v>2001</v>
      </c>
      <c r="C679">
        <v>32</v>
      </c>
      <c r="D679" t="s">
        <v>556</v>
      </c>
      <c r="E679">
        <f t="shared" si="195"/>
        <v>720</v>
      </c>
      <c r="F679">
        <f t="shared" si="196"/>
        <v>720</v>
      </c>
      <c r="G679" s="2">
        <v>3</v>
      </c>
      <c r="H679">
        <v>0</v>
      </c>
      <c r="I679">
        <v>0</v>
      </c>
      <c r="J679">
        <v>0</v>
      </c>
      <c r="K679">
        <v>0</v>
      </c>
      <c r="L679">
        <v>61393</v>
      </c>
      <c r="M679">
        <v>1020</v>
      </c>
      <c r="N679">
        <v>380</v>
      </c>
      <c r="O679">
        <v>456</v>
      </c>
      <c r="P679">
        <v>80</v>
      </c>
      <c r="Q679">
        <v>10</v>
      </c>
      <c r="R679">
        <v>10</v>
      </c>
      <c r="S679">
        <v>0</v>
      </c>
      <c r="T679">
        <v>0</v>
      </c>
      <c r="U679">
        <v>393</v>
      </c>
      <c r="V679">
        <v>0</v>
      </c>
      <c r="W679">
        <v>0</v>
      </c>
      <c r="X679" t="s">
        <v>597</v>
      </c>
      <c r="Y679">
        <v>1</v>
      </c>
      <c r="Z679">
        <v>0</v>
      </c>
      <c r="AA679">
        <v>50</v>
      </c>
      <c r="AB679">
        <v>25</v>
      </c>
      <c r="AC679">
        <v>0.4</v>
      </c>
    </row>
    <row r="680" spans="1:29">
      <c r="A680">
        <f>A679+1</f>
        <v>3030072</v>
      </c>
      <c r="B680">
        <v>2001</v>
      </c>
      <c r="C680">
        <f>C679</f>
        <v>32</v>
      </c>
      <c r="D680" t="s">
        <v>582</v>
      </c>
      <c r="E680">
        <f>E679</f>
        <v>720</v>
      </c>
      <c r="F680">
        <f t="shared" ref="F680:K680" si="206">F679</f>
        <v>720</v>
      </c>
      <c r="G680" s="2" t="s">
        <v>629</v>
      </c>
      <c r="H680">
        <f t="shared" si="206"/>
        <v>0</v>
      </c>
      <c r="I680">
        <f t="shared" si="206"/>
        <v>0</v>
      </c>
      <c r="J680">
        <f t="shared" si="206"/>
        <v>0</v>
      </c>
      <c r="K680">
        <f t="shared" si="206"/>
        <v>0</v>
      </c>
      <c r="L680">
        <v>45824</v>
      </c>
      <c r="M680">
        <v>1020</v>
      </c>
      <c r="N680">
        <v>645</v>
      </c>
      <c r="O680">
        <v>774</v>
      </c>
      <c r="P680">
        <v>80</v>
      </c>
      <c r="Q680">
        <v>10</v>
      </c>
      <c r="R680">
        <v>10</v>
      </c>
      <c r="S680">
        <v>0</v>
      </c>
      <c r="T680">
        <v>0</v>
      </c>
      <c r="U680">
        <v>393</v>
      </c>
      <c r="V680">
        <v>0</v>
      </c>
      <c r="W680">
        <v>0</v>
      </c>
      <c r="X680" t="s">
        <v>62</v>
      </c>
      <c r="Y680">
        <v>1</v>
      </c>
      <c r="Z680">
        <v>0</v>
      </c>
      <c r="AA680">
        <v>50</v>
      </c>
      <c r="AB680">
        <v>25</v>
      </c>
      <c r="AC680">
        <v>0.4</v>
      </c>
    </row>
    <row r="681" spans="1:29">
      <c r="A681">
        <v>3030081</v>
      </c>
      <c r="B681">
        <v>2001</v>
      </c>
      <c r="C681">
        <v>33</v>
      </c>
      <c r="D681" t="s">
        <v>557</v>
      </c>
      <c r="E681">
        <f t="shared" si="195"/>
        <v>750</v>
      </c>
      <c r="F681">
        <f t="shared" si="196"/>
        <v>750</v>
      </c>
      <c r="G681" s="2">
        <v>7</v>
      </c>
      <c r="H681">
        <v>0</v>
      </c>
      <c r="I681">
        <v>0</v>
      </c>
      <c r="J681">
        <v>0</v>
      </c>
      <c r="K681">
        <v>0</v>
      </c>
      <c r="L681">
        <v>126937</v>
      </c>
      <c r="M681">
        <v>1030</v>
      </c>
      <c r="N681">
        <v>1067</v>
      </c>
      <c r="O681">
        <v>1280</v>
      </c>
      <c r="P681">
        <v>110</v>
      </c>
      <c r="Q681">
        <v>20</v>
      </c>
      <c r="R681">
        <v>20</v>
      </c>
      <c r="S681">
        <v>0</v>
      </c>
      <c r="T681">
        <v>0</v>
      </c>
      <c r="U681">
        <v>417</v>
      </c>
      <c r="V681">
        <v>0</v>
      </c>
      <c r="W681">
        <v>0</v>
      </c>
      <c r="X681" t="s">
        <v>598</v>
      </c>
      <c r="Y681">
        <v>1</v>
      </c>
      <c r="Z681">
        <v>0</v>
      </c>
      <c r="AA681">
        <v>50</v>
      </c>
      <c r="AB681">
        <v>25</v>
      </c>
      <c r="AC681">
        <v>0.4</v>
      </c>
    </row>
    <row r="682" spans="1:29">
      <c r="A682">
        <v>3030091</v>
      </c>
      <c r="B682">
        <v>2001</v>
      </c>
      <c r="C682">
        <v>34</v>
      </c>
      <c r="D682" t="s">
        <v>558</v>
      </c>
      <c r="E682">
        <f t="shared" si="195"/>
        <v>780</v>
      </c>
      <c r="F682">
        <f t="shared" si="196"/>
        <v>780</v>
      </c>
      <c r="G682" s="2">
        <v>15</v>
      </c>
      <c r="H682">
        <v>0</v>
      </c>
      <c r="I682">
        <v>0</v>
      </c>
      <c r="J682">
        <v>0</v>
      </c>
      <c r="K682">
        <v>0</v>
      </c>
      <c r="L682">
        <v>146235</v>
      </c>
      <c r="M682">
        <v>1040</v>
      </c>
      <c r="N682">
        <v>1056</v>
      </c>
      <c r="O682">
        <v>1267</v>
      </c>
      <c r="P682">
        <v>140</v>
      </c>
      <c r="Q682">
        <v>30</v>
      </c>
      <c r="R682">
        <v>30</v>
      </c>
      <c r="S682">
        <v>0</v>
      </c>
      <c r="T682">
        <v>0</v>
      </c>
      <c r="U682">
        <v>442</v>
      </c>
      <c r="V682">
        <v>0</v>
      </c>
      <c r="W682">
        <v>0</v>
      </c>
      <c r="X682" t="s">
        <v>599</v>
      </c>
      <c r="Y682">
        <v>1</v>
      </c>
      <c r="Z682">
        <v>0</v>
      </c>
      <c r="AA682">
        <v>50</v>
      </c>
      <c r="AB682">
        <v>25</v>
      </c>
      <c r="AC682">
        <v>0.4</v>
      </c>
    </row>
    <row r="683" spans="1:29">
      <c r="A683">
        <v>3035011</v>
      </c>
      <c r="B683">
        <v>2001</v>
      </c>
      <c r="C683">
        <v>35</v>
      </c>
      <c r="D683" t="s">
        <v>578</v>
      </c>
      <c r="E683">
        <f t="shared" si="195"/>
        <v>810</v>
      </c>
      <c r="F683">
        <f t="shared" si="196"/>
        <v>810</v>
      </c>
      <c r="G683" s="2">
        <v>21</v>
      </c>
      <c r="H683">
        <v>0</v>
      </c>
      <c r="I683">
        <v>0</v>
      </c>
      <c r="J683">
        <v>0</v>
      </c>
      <c r="K683">
        <v>0</v>
      </c>
      <c r="L683">
        <v>81404</v>
      </c>
      <c r="M683">
        <v>3150</v>
      </c>
      <c r="N683">
        <v>1650</v>
      </c>
      <c r="O683">
        <v>1980</v>
      </c>
      <c r="P683">
        <v>170</v>
      </c>
      <c r="Q683">
        <v>40</v>
      </c>
      <c r="R683">
        <v>40</v>
      </c>
      <c r="S683">
        <v>0</v>
      </c>
      <c r="T683">
        <v>0</v>
      </c>
      <c r="U683">
        <v>468</v>
      </c>
      <c r="V683">
        <v>0</v>
      </c>
      <c r="W683">
        <v>0</v>
      </c>
      <c r="X683" t="s">
        <v>169</v>
      </c>
      <c r="Y683">
        <v>1</v>
      </c>
      <c r="Z683">
        <v>0</v>
      </c>
      <c r="AA683">
        <v>50</v>
      </c>
      <c r="AB683">
        <v>25</v>
      </c>
      <c r="AC683">
        <v>0.4</v>
      </c>
    </row>
    <row r="684" spans="1:29">
      <c r="A684">
        <v>3035021</v>
      </c>
      <c r="B684">
        <v>2001</v>
      </c>
      <c r="C684">
        <v>35</v>
      </c>
      <c r="D684" t="s">
        <v>551</v>
      </c>
      <c r="E684">
        <f t="shared" si="195"/>
        <v>810</v>
      </c>
      <c r="F684">
        <f t="shared" si="196"/>
        <v>810</v>
      </c>
      <c r="G684" s="2" t="s">
        <v>628</v>
      </c>
      <c r="H684">
        <v>0</v>
      </c>
      <c r="I684">
        <v>0</v>
      </c>
      <c r="J684">
        <v>0</v>
      </c>
      <c r="K684">
        <v>0</v>
      </c>
      <c r="L684">
        <v>66079</v>
      </c>
      <c r="M684">
        <v>6608</v>
      </c>
      <c r="N684">
        <v>2499</v>
      </c>
      <c r="O684">
        <v>2999</v>
      </c>
      <c r="P684">
        <v>170</v>
      </c>
      <c r="Q684">
        <v>40</v>
      </c>
      <c r="R684">
        <v>40</v>
      </c>
      <c r="S684">
        <v>0</v>
      </c>
      <c r="T684">
        <v>0</v>
      </c>
      <c r="U684">
        <v>468</v>
      </c>
      <c r="V684">
        <v>0</v>
      </c>
      <c r="W684">
        <v>0</v>
      </c>
      <c r="X684" t="s">
        <v>592</v>
      </c>
      <c r="Y684">
        <v>1</v>
      </c>
      <c r="Z684">
        <v>0</v>
      </c>
      <c r="AA684">
        <v>50</v>
      </c>
      <c r="AB684">
        <v>25</v>
      </c>
      <c r="AC684">
        <v>0.4</v>
      </c>
    </row>
    <row r="685" spans="1:29">
      <c r="A685">
        <v>3035031</v>
      </c>
      <c r="B685">
        <v>2001</v>
      </c>
      <c r="C685">
        <v>36</v>
      </c>
      <c r="D685" t="s">
        <v>552</v>
      </c>
      <c r="E685">
        <f t="shared" si="195"/>
        <v>840</v>
      </c>
      <c r="F685">
        <f t="shared" si="196"/>
        <v>840</v>
      </c>
      <c r="G685" s="2">
        <v>5</v>
      </c>
      <c r="H685">
        <v>0</v>
      </c>
      <c r="I685">
        <v>0</v>
      </c>
      <c r="J685">
        <v>0</v>
      </c>
      <c r="K685">
        <v>0</v>
      </c>
      <c r="L685">
        <v>122193</v>
      </c>
      <c r="M685">
        <v>1060</v>
      </c>
      <c r="N685">
        <v>1687</v>
      </c>
      <c r="O685">
        <v>2024</v>
      </c>
      <c r="P685">
        <v>200</v>
      </c>
      <c r="Q685">
        <v>50</v>
      </c>
      <c r="R685">
        <v>50</v>
      </c>
      <c r="S685">
        <v>0</v>
      </c>
      <c r="T685">
        <v>0</v>
      </c>
      <c r="U685">
        <v>494</v>
      </c>
      <c r="V685">
        <v>0</v>
      </c>
      <c r="W685">
        <v>0</v>
      </c>
      <c r="X685" t="s">
        <v>593</v>
      </c>
      <c r="Y685">
        <v>1</v>
      </c>
      <c r="Z685">
        <v>0</v>
      </c>
      <c r="AA685">
        <v>50</v>
      </c>
      <c r="AB685">
        <v>25</v>
      </c>
      <c r="AC685">
        <v>0.4</v>
      </c>
    </row>
    <row r="686" spans="1:29">
      <c r="A686">
        <v>3035041</v>
      </c>
      <c r="B686">
        <v>2001</v>
      </c>
      <c r="C686">
        <v>36</v>
      </c>
      <c r="D686" t="s">
        <v>553</v>
      </c>
      <c r="E686">
        <f t="shared" si="195"/>
        <v>840</v>
      </c>
      <c r="F686">
        <f t="shared" si="196"/>
        <v>840</v>
      </c>
      <c r="G686" s="2">
        <v>16</v>
      </c>
      <c r="H686">
        <v>0</v>
      </c>
      <c r="I686">
        <v>0</v>
      </c>
      <c r="J686">
        <v>0</v>
      </c>
      <c r="K686">
        <v>0</v>
      </c>
      <c r="L686">
        <v>109188</v>
      </c>
      <c r="M686">
        <v>2120</v>
      </c>
      <c r="N686">
        <v>1703</v>
      </c>
      <c r="O686">
        <v>2044</v>
      </c>
      <c r="P686">
        <v>200</v>
      </c>
      <c r="Q686">
        <v>50</v>
      </c>
      <c r="R686">
        <v>50</v>
      </c>
      <c r="S686">
        <v>0</v>
      </c>
      <c r="T686">
        <v>0</v>
      </c>
      <c r="U686">
        <v>1226</v>
      </c>
      <c r="V686">
        <v>0</v>
      </c>
      <c r="W686">
        <v>0</v>
      </c>
      <c r="X686" t="s">
        <v>594</v>
      </c>
      <c r="Y686">
        <v>1</v>
      </c>
      <c r="Z686">
        <v>0</v>
      </c>
      <c r="AA686">
        <v>50</v>
      </c>
      <c r="AB686">
        <v>25</v>
      </c>
      <c r="AC686">
        <v>0.4</v>
      </c>
    </row>
    <row r="687" spans="1:29">
      <c r="A687">
        <v>3035051</v>
      </c>
      <c r="B687">
        <v>2001</v>
      </c>
      <c r="C687">
        <v>36</v>
      </c>
      <c r="D687" t="s">
        <v>554</v>
      </c>
      <c r="E687">
        <f t="shared" si="195"/>
        <v>840</v>
      </c>
      <c r="F687">
        <f t="shared" si="196"/>
        <v>840</v>
      </c>
      <c r="G687" s="2">
        <v>4</v>
      </c>
      <c r="H687">
        <v>0</v>
      </c>
      <c r="I687">
        <v>0</v>
      </c>
      <c r="J687">
        <v>0</v>
      </c>
      <c r="K687">
        <v>0</v>
      </c>
      <c r="L687">
        <v>152448</v>
      </c>
      <c r="M687">
        <v>1060</v>
      </c>
      <c r="N687">
        <v>1460</v>
      </c>
      <c r="O687">
        <v>1752</v>
      </c>
      <c r="P687">
        <v>200</v>
      </c>
      <c r="Q687">
        <v>50</v>
      </c>
      <c r="R687">
        <v>50</v>
      </c>
      <c r="S687">
        <v>0</v>
      </c>
      <c r="T687">
        <v>0</v>
      </c>
      <c r="U687">
        <v>494</v>
      </c>
      <c r="V687">
        <v>0</v>
      </c>
      <c r="W687">
        <v>0</v>
      </c>
      <c r="X687" t="s">
        <v>595</v>
      </c>
      <c r="Y687">
        <v>1</v>
      </c>
      <c r="Z687">
        <v>0</v>
      </c>
      <c r="AA687">
        <v>50</v>
      </c>
      <c r="AB687">
        <v>25</v>
      </c>
      <c r="AC687">
        <v>0.4</v>
      </c>
    </row>
    <row r="688" spans="1:29">
      <c r="A688">
        <v>3035061</v>
      </c>
      <c r="B688">
        <v>2001</v>
      </c>
      <c r="C688">
        <v>37</v>
      </c>
      <c r="D688" t="s">
        <v>583</v>
      </c>
      <c r="E688">
        <f t="shared" si="195"/>
        <v>870</v>
      </c>
      <c r="F688">
        <f t="shared" si="196"/>
        <v>870</v>
      </c>
      <c r="G688" s="2">
        <v>10</v>
      </c>
      <c r="H688">
        <v>0</v>
      </c>
      <c r="I688">
        <v>0</v>
      </c>
      <c r="J688">
        <v>0</v>
      </c>
      <c r="K688">
        <v>0</v>
      </c>
      <c r="L688">
        <v>175577</v>
      </c>
      <c r="M688">
        <v>2140</v>
      </c>
      <c r="N688">
        <v>2087</v>
      </c>
      <c r="O688">
        <v>2504</v>
      </c>
      <c r="P688">
        <v>230</v>
      </c>
      <c r="Q688">
        <v>60</v>
      </c>
      <c r="R688">
        <v>60</v>
      </c>
      <c r="S688">
        <v>0</v>
      </c>
      <c r="T688">
        <v>1059</v>
      </c>
      <c r="U688">
        <v>522</v>
      </c>
      <c r="V688">
        <v>0</v>
      </c>
      <c r="W688">
        <v>0</v>
      </c>
      <c r="X688" t="s">
        <v>596</v>
      </c>
      <c r="Y688">
        <v>1</v>
      </c>
      <c r="Z688">
        <v>0</v>
      </c>
      <c r="AA688">
        <v>50</v>
      </c>
      <c r="AB688">
        <v>25</v>
      </c>
      <c r="AC688">
        <v>0.4</v>
      </c>
    </row>
    <row r="689" spans="1:29">
      <c r="A689">
        <v>3035071</v>
      </c>
      <c r="B689">
        <v>2001</v>
      </c>
      <c r="C689">
        <v>37</v>
      </c>
      <c r="D689" t="s">
        <v>556</v>
      </c>
      <c r="E689">
        <f t="shared" si="195"/>
        <v>870</v>
      </c>
      <c r="F689">
        <f t="shared" si="196"/>
        <v>870</v>
      </c>
      <c r="G689" s="2">
        <v>3</v>
      </c>
      <c r="H689">
        <v>0</v>
      </c>
      <c r="I689">
        <v>0</v>
      </c>
      <c r="J689">
        <v>0</v>
      </c>
      <c r="K689">
        <v>0</v>
      </c>
      <c r="L689">
        <v>105346</v>
      </c>
      <c r="M689">
        <v>1070</v>
      </c>
      <c r="N689">
        <v>609</v>
      </c>
      <c r="O689">
        <v>731</v>
      </c>
      <c r="P689">
        <v>230</v>
      </c>
      <c r="Q689">
        <v>60</v>
      </c>
      <c r="R689">
        <v>60</v>
      </c>
      <c r="S689">
        <v>0</v>
      </c>
      <c r="T689">
        <v>0</v>
      </c>
      <c r="U689">
        <v>522</v>
      </c>
      <c r="V689">
        <v>0</v>
      </c>
      <c r="W689">
        <v>0</v>
      </c>
      <c r="X689" t="s">
        <v>597</v>
      </c>
      <c r="Y689">
        <v>1</v>
      </c>
      <c r="Z689">
        <v>0</v>
      </c>
      <c r="AA689">
        <v>50</v>
      </c>
      <c r="AB689">
        <v>25</v>
      </c>
      <c r="AC689">
        <v>0.4</v>
      </c>
    </row>
    <row r="690" spans="1:29">
      <c r="A690">
        <f>A689+1</f>
        <v>3035072</v>
      </c>
      <c r="B690">
        <v>2001</v>
      </c>
      <c r="C690">
        <f>C689</f>
        <v>37</v>
      </c>
      <c r="D690" t="s">
        <v>582</v>
      </c>
      <c r="E690">
        <f>E689</f>
        <v>870</v>
      </c>
      <c r="F690">
        <f t="shared" ref="F690" si="207">F689</f>
        <v>870</v>
      </c>
      <c r="G690" s="2" t="s">
        <v>629</v>
      </c>
      <c r="H690">
        <f t="shared" ref="H690" si="208">H689</f>
        <v>0</v>
      </c>
      <c r="I690">
        <f t="shared" ref="I690" si="209">I689</f>
        <v>0</v>
      </c>
      <c r="J690">
        <f t="shared" ref="J690" si="210">J689</f>
        <v>0</v>
      </c>
      <c r="K690">
        <f t="shared" ref="K690" si="211">K689</f>
        <v>0</v>
      </c>
      <c r="L690">
        <v>77875</v>
      </c>
      <c r="M690">
        <v>1070</v>
      </c>
      <c r="N690">
        <v>1056</v>
      </c>
      <c r="O690">
        <v>1267</v>
      </c>
      <c r="P690">
        <v>230</v>
      </c>
      <c r="Q690">
        <v>60</v>
      </c>
      <c r="R690">
        <v>60</v>
      </c>
      <c r="S690">
        <v>0</v>
      </c>
      <c r="T690">
        <v>0</v>
      </c>
      <c r="U690">
        <v>522</v>
      </c>
      <c r="V690">
        <v>0</v>
      </c>
      <c r="W690">
        <v>0</v>
      </c>
      <c r="X690" t="s">
        <v>62</v>
      </c>
      <c r="Y690">
        <v>1</v>
      </c>
      <c r="Z690">
        <v>0</v>
      </c>
      <c r="AA690">
        <v>50</v>
      </c>
      <c r="AB690">
        <v>25</v>
      </c>
      <c r="AC690">
        <v>0.4</v>
      </c>
    </row>
    <row r="691" spans="1:29">
      <c r="A691">
        <v>3035081</v>
      </c>
      <c r="B691">
        <v>2001</v>
      </c>
      <c r="C691">
        <v>38</v>
      </c>
      <c r="D691" t="s">
        <v>557</v>
      </c>
      <c r="E691">
        <f t="shared" si="195"/>
        <v>900</v>
      </c>
      <c r="F691">
        <f t="shared" si="196"/>
        <v>900</v>
      </c>
      <c r="G691" s="2">
        <v>7</v>
      </c>
      <c r="H691">
        <v>0</v>
      </c>
      <c r="I691">
        <v>0</v>
      </c>
      <c r="J691">
        <v>0</v>
      </c>
      <c r="K691">
        <v>0</v>
      </c>
      <c r="L691">
        <v>214696</v>
      </c>
      <c r="M691">
        <v>1080</v>
      </c>
      <c r="N691">
        <v>1781</v>
      </c>
      <c r="O691">
        <v>2137</v>
      </c>
      <c r="P691">
        <v>260</v>
      </c>
      <c r="Q691">
        <v>70</v>
      </c>
      <c r="R691">
        <v>70</v>
      </c>
      <c r="S691">
        <v>0</v>
      </c>
      <c r="T691">
        <v>0</v>
      </c>
      <c r="U691">
        <v>549</v>
      </c>
      <c r="V691">
        <v>0</v>
      </c>
      <c r="W691">
        <v>0</v>
      </c>
      <c r="X691" t="s">
        <v>598</v>
      </c>
      <c r="Y691">
        <v>1</v>
      </c>
      <c r="Z691">
        <v>0</v>
      </c>
      <c r="AA691">
        <v>50</v>
      </c>
      <c r="AB691">
        <v>25</v>
      </c>
      <c r="AC691">
        <v>0.4</v>
      </c>
    </row>
    <row r="692" spans="1:29">
      <c r="A692">
        <v>3035091</v>
      </c>
      <c r="B692">
        <v>2001</v>
      </c>
      <c r="C692">
        <v>39</v>
      </c>
      <c r="D692" t="s">
        <v>558</v>
      </c>
      <c r="E692">
        <f t="shared" si="195"/>
        <v>930</v>
      </c>
      <c r="F692">
        <f t="shared" si="196"/>
        <v>930</v>
      </c>
      <c r="G692" s="2">
        <v>15</v>
      </c>
      <c r="H692">
        <v>0</v>
      </c>
      <c r="I692">
        <v>0</v>
      </c>
      <c r="J692">
        <v>0</v>
      </c>
      <c r="K692">
        <v>0</v>
      </c>
      <c r="L692">
        <v>245210</v>
      </c>
      <c r="M692">
        <v>1090</v>
      </c>
      <c r="N692">
        <v>1809</v>
      </c>
      <c r="O692">
        <v>2171</v>
      </c>
      <c r="P692">
        <v>290</v>
      </c>
      <c r="Q692">
        <v>80</v>
      </c>
      <c r="R692">
        <v>80</v>
      </c>
      <c r="S692">
        <v>0</v>
      </c>
      <c r="T692">
        <v>0</v>
      </c>
      <c r="U692">
        <v>578</v>
      </c>
      <c r="V692">
        <v>0</v>
      </c>
      <c r="W692">
        <v>0</v>
      </c>
      <c r="X692" t="s">
        <v>599</v>
      </c>
      <c r="Y692">
        <v>1</v>
      </c>
      <c r="Z692">
        <v>0</v>
      </c>
      <c r="AA692">
        <v>50</v>
      </c>
      <c r="AB692">
        <v>25</v>
      </c>
      <c r="AC692">
        <v>0.4</v>
      </c>
    </row>
    <row r="693" spans="1:29">
      <c r="A693">
        <v>3040011</v>
      </c>
      <c r="B693">
        <v>2001</v>
      </c>
      <c r="C693">
        <v>40</v>
      </c>
      <c r="D693" t="s">
        <v>578</v>
      </c>
      <c r="E693">
        <f t="shared" si="195"/>
        <v>960</v>
      </c>
      <c r="F693">
        <f t="shared" si="196"/>
        <v>960</v>
      </c>
      <c r="G693" s="2">
        <v>21</v>
      </c>
      <c r="H693">
        <v>0</v>
      </c>
      <c r="I693">
        <v>0</v>
      </c>
      <c r="J693">
        <v>0</v>
      </c>
      <c r="K693">
        <v>0</v>
      </c>
      <c r="L693">
        <v>141254</v>
      </c>
      <c r="M693">
        <v>3300.0000000000005</v>
      </c>
      <c r="N693">
        <v>2563</v>
      </c>
      <c r="O693">
        <v>3076</v>
      </c>
      <c r="P693">
        <v>320</v>
      </c>
      <c r="Q693">
        <v>90</v>
      </c>
      <c r="R693">
        <v>90</v>
      </c>
      <c r="S693">
        <v>0</v>
      </c>
      <c r="T693">
        <v>0</v>
      </c>
      <c r="U693">
        <v>607</v>
      </c>
      <c r="V693">
        <v>0</v>
      </c>
      <c r="W693">
        <v>0</v>
      </c>
      <c r="X693" t="s">
        <v>169</v>
      </c>
      <c r="Y693">
        <v>1</v>
      </c>
      <c r="Z693">
        <v>0</v>
      </c>
      <c r="AA693">
        <v>50</v>
      </c>
      <c r="AB693">
        <v>25</v>
      </c>
      <c r="AC693">
        <v>0.4</v>
      </c>
    </row>
    <row r="694" spans="1:29">
      <c r="A694">
        <v>3040021</v>
      </c>
      <c r="B694">
        <v>2001</v>
      </c>
      <c r="C694">
        <v>40</v>
      </c>
      <c r="D694" t="s">
        <v>551</v>
      </c>
      <c r="E694">
        <f t="shared" si="195"/>
        <v>960</v>
      </c>
      <c r="F694">
        <f t="shared" si="196"/>
        <v>960</v>
      </c>
      <c r="G694" s="2" t="s">
        <v>628</v>
      </c>
      <c r="H694">
        <v>0</v>
      </c>
      <c r="I694">
        <v>0</v>
      </c>
      <c r="J694">
        <v>0</v>
      </c>
      <c r="K694">
        <v>0</v>
      </c>
      <c r="L694">
        <v>111170</v>
      </c>
      <c r="M694">
        <v>11117</v>
      </c>
      <c r="N694">
        <v>3946</v>
      </c>
      <c r="O694">
        <v>4735</v>
      </c>
      <c r="P694">
        <v>320</v>
      </c>
      <c r="Q694">
        <v>90</v>
      </c>
      <c r="R694">
        <v>90</v>
      </c>
      <c r="S694">
        <v>0</v>
      </c>
      <c r="T694">
        <v>0</v>
      </c>
      <c r="U694">
        <v>607</v>
      </c>
      <c r="V694">
        <v>0</v>
      </c>
      <c r="W694">
        <v>0</v>
      </c>
      <c r="X694" t="s">
        <v>592</v>
      </c>
      <c r="Y694">
        <v>1</v>
      </c>
      <c r="Z694">
        <v>0</v>
      </c>
      <c r="AA694">
        <v>50</v>
      </c>
      <c r="AB694">
        <v>25</v>
      </c>
      <c r="AC694">
        <v>0.4</v>
      </c>
    </row>
    <row r="695" spans="1:29">
      <c r="A695">
        <v>3040031</v>
      </c>
      <c r="B695">
        <v>2001</v>
      </c>
      <c r="C695">
        <v>41</v>
      </c>
      <c r="D695" t="s">
        <v>552</v>
      </c>
      <c r="E695">
        <f t="shared" si="195"/>
        <v>1000</v>
      </c>
      <c r="F695">
        <f t="shared" si="196"/>
        <v>1000</v>
      </c>
      <c r="G695" s="2">
        <v>5</v>
      </c>
      <c r="H695">
        <v>0</v>
      </c>
      <c r="I695">
        <v>0</v>
      </c>
      <c r="J695">
        <v>0</v>
      </c>
      <c r="K695">
        <v>0</v>
      </c>
      <c r="L695">
        <v>197907</v>
      </c>
      <c r="M695">
        <v>1110</v>
      </c>
      <c r="N695">
        <v>2725</v>
      </c>
      <c r="O695">
        <v>3270</v>
      </c>
      <c r="P695">
        <v>350</v>
      </c>
      <c r="Q695">
        <v>100</v>
      </c>
      <c r="R695">
        <v>100</v>
      </c>
      <c r="S695">
        <v>0</v>
      </c>
      <c r="T695">
        <v>0</v>
      </c>
      <c r="U695">
        <v>638</v>
      </c>
      <c r="V695">
        <v>0</v>
      </c>
      <c r="W695">
        <v>0</v>
      </c>
      <c r="X695" t="s">
        <v>593</v>
      </c>
      <c r="Y695">
        <v>1</v>
      </c>
      <c r="Z695">
        <v>0</v>
      </c>
      <c r="AA695">
        <v>50</v>
      </c>
      <c r="AB695">
        <v>25</v>
      </c>
      <c r="AC695">
        <v>0.4</v>
      </c>
    </row>
    <row r="696" spans="1:29">
      <c r="A696">
        <v>3040041</v>
      </c>
      <c r="B696">
        <v>2001</v>
      </c>
      <c r="C696">
        <v>41</v>
      </c>
      <c r="D696" t="s">
        <v>553</v>
      </c>
      <c r="E696">
        <f t="shared" si="195"/>
        <v>1000</v>
      </c>
      <c r="F696">
        <f t="shared" si="196"/>
        <v>1000</v>
      </c>
      <c r="G696" s="2">
        <v>16</v>
      </c>
      <c r="H696">
        <v>0</v>
      </c>
      <c r="I696">
        <v>0</v>
      </c>
      <c r="J696">
        <v>0</v>
      </c>
      <c r="K696">
        <v>0</v>
      </c>
      <c r="L696">
        <v>174602</v>
      </c>
      <c r="M696">
        <v>2220</v>
      </c>
      <c r="N696">
        <v>2791</v>
      </c>
      <c r="O696">
        <v>3349</v>
      </c>
      <c r="P696">
        <v>350</v>
      </c>
      <c r="Q696">
        <v>100</v>
      </c>
      <c r="R696">
        <v>100</v>
      </c>
      <c r="S696">
        <v>0</v>
      </c>
      <c r="T696">
        <v>0</v>
      </c>
      <c r="U696">
        <v>1583</v>
      </c>
      <c r="V696">
        <v>0</v>
      </c>
      <c r="W696">
        <v>0</v>
      </c>
      <c r="X696" t="s">
        <v>594</v>
      </c>
      <c r="Y696">
        <v>1</v>
      </c>
      <c r="Z696">
        <v>0</v>
      </c>
      <c r="AA696">
        <v>50</v>
      </c>
      <c r="AB696">
        <v>25</v>
      </c>
      <c r="AC696">
        <v>0.4</v>
      </c>
    </row>
    <row r="697" spans="1:29">
      <c r="A697">
        <v>3040051</v>
      </c>
      <c r="B697">
        <v>2001</v>
      </c>
      <c r="C697">
        <v>41</v>
      </c>
      <c r="D697" t="s">
        <v>554</v>
      </c>
      <c r="E697">
        <f t="shared" si="195"/>
        <v>1000</v>
      </c>
      <c r="F697">
        <f t="shared" si="196"/>
        <v>1000</v>
      </c>
      <c r="G697" s="2">
        <v>4</v>
      </c>
      <c r="H697">
        <v>0</v>
      </c>
      <c r="I697">
        <v>0</v>
      </c>
      <c r="J697">
        <v>0</v>
      </c>
      <c r="K697">
        <v>0</v>
      </c>
      <c r="L697">
        <v>240689</v>
      </c>
      <c r="M697">
        <v>1110</v>
      </c>
      <c r="N697">
        <v>2430</v>
      </c>
      <c r="O697">
        <v>2916</v>
      </c>
      <c r="P697">
        <v>350</v>
      </c>
      <c r="Q697">
        <v>100</v>
      </c>
      <c r="R697">
        <v>100</v>
      </c>
      <c r="S697">
        <v>0</v>
      </c>
      <c r="T697">
        <v>0</v>
      </c>
      <c r="U697">
        <v>638</v>
      </c>
      <c r="V697">
        <v>0</v>
      </c>
      <c r="W697">
        <v>0</v>
      </c>
      <c r="X697" t="s">
        <v>595</v>
      </c>
      <c r="Y697">
        <v>1</v>
      </c>
      <c r="Z697">
        <v>0</v>
      </c>
      <c r="AA697">
        <v>50</v>
      </c>
      <c r="AB697">
        <v>25</v>
      </c>
      <c r="AC697">
        <v>0.4</v>
      </c>
    </row>
    <row r="698" spans="1:29">
      <c r="A698">
        <v>3040061</v>
      </c>
      <c r="B698">
        <v>2001</v>
      </c>
      <c r="C698">
        <v>42</v>
      </c>
      <c r="D698" t="s">
        <v>555</v>
      </c>
      <c r="E698">
        <f t="shared" si="195"/>
        <v>1040</v>
      </c>
      <c r="F698">
        <f t="shared" si="196"/>
        <v>1040</v>
      </c>
      <c r="G698" s="2">
        <v>10</v>
      </c>
      <c r="H698">
        <v>0</v>
      </c>
      <c r="I698">
        <v>0</v>
      </c>
      <c r="J698">
        <v>0</v>
      </c>
      <c r="K698">
        <v>0</v>
      </c>
      <c r="L698">
        <v>273307</v>
      </c>
      <c r="M698">
        <v>2240</v>
      </c>
      <c r="N698">
        <v>3542</v>
      </c>
      <c r="O698">
        <v>4250</v>
      </c>
      <c r="P698">
        <v>380</v>
      </c>
      <c r="Q698">
        <v>110</v>
      </c>
      <c r="R698">
        <v>110</v>
      </c>
      <c r="S698">
        <v>0</v>
      </c>
      <c r="T698">
        <v>1358</v>
      </c>
      <c r="U698">
        <v>668</v>
      </c>
      <c r="V698">
        <v>0</v>
      </c>
      <c r="W698">
        <v>0</v>
      </c>
      <c r="X698" t="s">
        <v>596</v>
      </c>
      <c r="Y698">
        <v>1</v>
      </c>
      <c r="Z698">
        <v>0</v>
      </c>
      <c r="AA698">
        <v>50</v>
      </c>
      <c r="AB698">
        <v>25</v>
      </c>
      <c r="AC698">
        <v>0.4</v>
      </c>
    </row>
    <row r="699" spans="1:29">
      <c r="A699">
        <v>3040071</v>
      </c>
      <c r="B699">
        <v>2001</v>
      </c>
      <c r="C699">
        <v>42</v>
      </c>
      <c r="D699" t="s">
        <v>556</v>
      </c>
      <c r="E699">
        <f t="shared" si="195"/>
        <v>1040</v>
      </c>
      <c r="F699">
        <f t="shared" si="196"/>
        <v>1040</v>
      </c>
      <c r="G699" s="2">
        <v>3</v>
      </c>
      <c r="H699">
        <v>0</v>
      </c>
      <c r="I699">
        <v>0</v>
      </c>
      <c r="J699">
        <v>0</v>
      </c>
      <c r="K699">
        <v>0</v>
      </c>
      <c r="L699">
        <v>163984</v>
      </c>
      <c r="M699">
        <v>1120</v>
      </c>
      <c r="N699">
        <v>1033</v>
      </c>
      <c r="O699">
        <v>1240</v>
      </c>
      <c r="P699">
        <v>380</v>
      </c>
      <c r="Q699">
        <v>110</v>
      </c>
      <c r="R699">
        <v>110</v>
      </c>
      <c r="S699">
        <v>0</v>
      </c>
      <c r="T699">
        <v>0</v>
      </c>
      <c r="U699">
        <v>668</v>
      </c>
      <c r="V699">
        <v>0</v>
      </c>
      <c r="W699">
        <v>0</v>
      </c>
      <c r="X699" t="s">
        <v>597</v>
      </c>
      <c r="Y699">
        <v>1</v>
      </c>
      <c r="Z699">
        <v>0</v>
      </c>
      <c r="AA699">
        <v>50</v>
      </c>
      <c r="AB699">
        <v>25</v>
      </c>
      <c r="AC699">
        <v>0.4</v>
      </c>
    </row>
    <row r="700" spans="1:29">
      <c r="A700">
        <f>A699+1</f>
        <v>3040072</v>
      </c>
      <c r="B700">
        <v>2001</v>
      </c>
      <c r="C700">
        <f>C699</f>
        <v>42</v>
      </c>
      <c r="D700" t="s">
        <v>582</v>
      </c>
      <c r="E700">
        <f>E699</f>
        <v>1040</v>
      </c>
      <c r="F700">
        <f t="shared" ref="F700" si="212">F699</f>
        <v>1040</v>
      </c>
      <c r="G700" s="2" t="s">
        <v>629</v>
      </c>
      <c r="H700">
        <f t="shared" ref="H700" si="213">H699</f>
        <v>0</v>
      </c>
      <c r="I700">
        <f t="shared" ref="I700" si="214">I699</f>
        <v>0</v>
      </c>
      <c r="J700">
        <f t="shared" ref="J700" si="215">J699</f>
        <v>0</v>
      </c>
      <c r="K700">
        <f t="shared" ref="K700" si="216">K699</f>
        <v>0</v>
      </c>
      <c r="L700">
        <v>120180</v>
      </c>
      <c r="M700">
        <v>1120</v>
      </c>
      <c r="N700">
        <v>1824</v>
      </c>
      <c r="O700">
        <v>2189</v>
      </c>
      <c r="P700">
        <v>380</v>
      </c>
      <c r="Q700">
        <v>110</v>
      </c>
      <c r="R700">
        <v>110</v>
      </c>
      <c r="S700">
        <v>0</v>
      </c>
      <c r="T700">
        <v>0</v>
      </c>
      <c r="U700">
        <v>668</v>
      </c>
      <c r="V700">
        <v>0</v>
      </c>
      <c r="W700">
        <v>0</v>
      </c>
      <c r="X700" t="s">
        <v>62</v>
      </c>
      <c r="Y700">
        <v>1</v>
      </c>
      <c r="Z700">
        <v>0</v>
      </c>
      <c r="AA700">
        <v>50</v>
      </c>
      <c r="AB700">
        <v>25</v>
      </c>
      <c r="AC700">
        <v>0.4</v>
      </c>
    </row>
    <row r="701" spans="1:29">
      <c r="A701">
        <v>3040081</v>
      </c>
      <c r="B701">
        <v>2001</v>
      </c>
      <c r="C701">
        <v>43</v>
      </c>
      <c r="D701" t="s">
        <v>557</v>
      </c>
      <c r="E701">
        <f t="shared" si="195"/>
        <v>1080</v>
      </c>
      <c r="F701">
        <f t="shared" si="196"/>
        <v>1080</v>
      </c>
      <c r="G701" s="2">
        <v>7</v>
      </c>
      <c r="H701">
        <v>0</v>
      </c>
      <c r="I701">
        <v>0</v>
      </c>
      <c r="J701">
        <v>0</v>
      </c>
      <c r="K701">
        <v>0</v>
      </c>
      <c r="L701">
        <v>329301</v>
      </c>
      <c r="M701">
        <v>1130</v>
      </c>
      <c r="N701">
        <v>3130</v>
      </c>
      <c r="O701">
        <v>3756</v>
      </c>
      <c r="P701">
        <v>410</v>
      </c>
      <c r="Q701">
        <v>120</v>
      </c>
      <c r="R701">
        <v>120</v>
      </c>
      <c r="S701">
        <v>0</v>
      </c>
      <c r="T701">
        <v>0</v>
      </c>
      <c r="U701">
        <v>700</v>
      </c>
      <c r="V701">
        <v>0</v>
      </c>
      <c r="W701">
        <v>0</v>
      </c>
      <c r="X701" t="s">
        <v>598</v>
      </c>
      <c r="Y701">
        <v>1</v>
      </c>
      <c r="Z701">
        <v>0</v>
      </c>
      <c r="AA701">
        <v>50</v>
      </c>
      <c r="AB701">
        <v>25</v>
      </c>
      <c r="AC701">
        <v>0.4</v>
      </c>
    </row>
    <row r="702" spans="1:29">
      <c r="A702">
        <v>3040091</v>
      </c>
      <c r="B702">
        <v>2001</v>
      </c>
      <c r="C702">
        <v>44</v>
      </c>
      <c r="D702" t="s">
        <v>558</v>
      </c>
      <c r="E702">
        <f t="shared" si="195"/>
        <v>1120</v>
      </c>
      <c r="F702">
        <f t="shared" si="196"/>
        <v>1120</v>
      </c>
      <c r="G702" s="2">
        <v>15</v>
      </c>
      <c r="H702">
        <v>0</v>
      </c>
      <c r="I702">
        <v>0</v>
      </c>
      <c r="J702">
        <v>0</v>
      </c>
      <c r="K702">
        <v>0</v>
      </c>
      <c r="L702">
        <v>372622</v>
      </c>
      <c r="M702">
        <v>1140.0000000000002</v>
      </c>
      <c r="N702">
        <v>3255</v>
      </c>
      <c r="O702">
        <v>3906</v>
      </c>
      <c r="P702">
        <v>440</v>
      </c>
      <c r="Q702">
        <v>130</v>
      </c>
      <c r="R702">
        <v>130</v>
      </c>
      <c r="S702">
        <v>0</v>
      </c>
      <c r="T702">
        <v>0</v>
      </c>
      <c r="U702">
        <v>732</v>
      </c>
      <c r="V702">
        <v>0</v>
      </c>
      <c r="W702">
        <v>0</v>
      </c>
      <c r="X702" t="s">
        <v>599</v>
      </c>
      <c r="Y702">
        <v>1</v>
      </c>
      <c r="Z702">
        <v>0</v>
      </c>
      <c r="AA702">
        <v>50</v>
      </c>
      <c r="AB702">
        <v>25</v>
      </c>
      <c r="AC702">
        <v>0.4</v>
      </c>
    </row>
    <row r="703" spans="1:29">
      <c r="A703">
        <v>3045011</v>
      </c>
      <c r="B703">
        <v>2001</v>
      </c>
      <c r="C703">
        <v>45</v>
      </c>
      <c r="D703" t="s">
        <v>578</v>
      </c>
      <c r="E703">
        <f t="shared" si="195"/>
        <v>1160</v>
      </c>
      <c r="F703">
        <f t="shared" si="196"/>
        <v>1160</v>
      </c>
      <c r="G703" s="2">
        <v>21</v>
      </c>
      <c r="H703">
        <v>0</v>
      </c>
      <c r="I703">
        <v>0</v>
      </c>
      <c r="J703">
        <v>0</v>
      </c>
      <c r="K703">
        <v>0</v>
      </c>
      <c r="L703">
        <v>215104</v>
      </c>
      <c r="M703">
        <v>3449.9999999999995</v>
      </c>
      <c r="N703">
        <v>3089</v>
      </c>
      <c r="O703">
        <v>3707</v>
      </c>
      <c r="P703">
        <v>470</v>
      </c>
      <c r="Q703">
        <v>140</v>
      </c>
      <c r="R703">
        <v>140</v>
      </c>
      <c r="S703">
        <v>0</v>
      </c>
      <c r="T703">
        <v>0</v>
      </c>
      <c r="U703">
        <v>766</v>
      </c>
      <c r="V703">
        <v>0</v>
      </c>
      <c r="W703">
        <v>0</v>
      </c>
      <c r="X703" t="s">
        <v>169</v>
      </c>
      <c r="Y703">
        <v>1</v>
      </c>
      <c r="Z703">
        <v>0</v>
      </c>
      <c r="AA703">
        <v>50</v>
      </c>
      <c r="AB703">
        <v>25</v>
      </c>
      <c r="AC703">
        <v>0.4</v>
      </c>
    </row>
    <row r="704" spans="1:29">
      <c r="A704">
        <v>3045021</v>
      </c>
      <c r="B704">
        <v>2001</v>
      </c>
      <c r="C704">
        <v>45</v>
      </c>
      <c r="D704" t="s">
        <v>551</v>
      </c>
      <c r="E704">
        <f t="shared" si="195"/>
        <v>1160</v>
      </c>
      <c r="F704">
        <f t="shared" si="196"/>
        <v>1160</v>
      </c>
      <c r="G704" s="2" t="s">
        <v>628</v>
      </c>
      <c r="H704">
        <v>0</v>
      </c>
      <c r="I704">
        <v>0</v>
      </c>
      <c r="J704">
        <v>0</v>
      </c>
      <c r="K704">
        <v>0</v>
      </c>
      <c r="L704">
        <v>165751</v>
      </c>
      <c r="M704">
        <v>16575</v>
      </c>
      <c r="N704">
        <v>4812</v>
      </c>
      <c r="O704">
        <v>5774</v>
      </c>
      <c r="P704">
        <v>470</v>
      </c>
      <c r="Q704">
        <v>140</v>
      </c>
      <c r="R704">
        <v>140</v>
      </c>
      <c r="S704">
        <v>0</v>
      </c>
      <c r="T704">
        <v>0</v>
      </c>
      <c r="U704">
        <v>766</v>
      </c>
      <c r="V704">
        <v>0</v>
      </c>
      <c r="W704">
        <v>0</v>
      </c>
      <c r="X704" t="s">
        <v>592</v>
      </c>
      <c r="Y704">
        <v>1</v>
      </c>
      <c r="Z704">
        <v>0</v>
      </c>
      <c r="AA704">
        <v>50</v>
      </c>
      <c r="AB704">
        <v>25</v>
      </c>
      <c r="AC704">
        <v>0.4</v>
      </c>
    </row>
    <row r="705" spans="1:29">
      <c r="A705">
        <v>3045031</v>
      </c>
      <c r="B705">
        <v>2001</v>
      </c>
      <c r="C705">
        <v>46</v>
      </c>
      <c r="D705" t="s">
        <v>552</v>
      </c>
      <c r="E705">
        <f t="shared" si="195"/>
        <v>1200</v>
      </c>
      <c r="F705">
        <f t="shared" si="196"/>
        <v>1200</v>
      </c>
      <c r="G705" s="2">
        <v>5</v>
      </c>
      <c r="H705">
        <v>0</v>
      </c>
      <c r="I705">
        <v>0</v>
      </c>
      <c r="J705">
        <v>0</v>
      </c>
      <c r="K705">
        <v>0</v>
      </c>
      <c r="L705">
        <v>287372</v>
      </c>
      <c r="M705">
        <v>1160</v>
      </c>
      <c r="N705">
        <v>3373</v>
      </c>
      <c r="O705">
        <v>4048</v>
      </c>
      <c r="P705">
        <v>500</v>
      </c>
      <c r="Q705">
        <v>150</v>
      </c>
      <c r="R705">
        <v>150</v>
      </c>
      <c r="S705">
        <v>0</v>
      </c>
      <c r="T705">
        <v>0</v>
      </c>
      <c r="U705">
        <v>799</v>
      </c>
      <c r="V705">
        <v>0</v>
      </c>
      <c r="W705">
        <v>0</v>
      </c>
      <c r="X705" t="s">
        <v>593</v>
      </c>
      <c r="Y705">
        <v>1</v>
      </c>
      <c r="Z705">
        <v>0</v>
      </c>
      <c r="AA705">
        <v>50</v>
      </c>
      <c r="AB705">
        <v>25</v>
      </c>
      <c r="AC705">
        <v>0.4</v>
      </c>
    </row>
    <row r="706" spans="1:29">
      <c r="A706">
        <v>3045041</v>
      </c>
      <c r="B706">
        <v>2001</v>
      </c>
      <c r="C706">
        <v>46</v>
      </c>
      <c r="D706" t="s">
        <v>553</v>
      </c>
      <c r="E706">
        <f t="shared" si="195"/>
        <v>1200</v>
      </c>
      <c r="F706">
        <f t="shared" si="196"/>
        <v>1200</v>
      </c>
      <c r="G706" s="2">
        <v>16</v>
      </c>
      <c r="H706">
        <v>0</v>
      </c>
      <c r="I706">
        <v>0</v>
      </c>
      <c r="J706">
        <v>0</v>
      </c>
      <c r="K706">
        <v>0</v>
      </c>
      <c r="L706">
        <v>251042</v>
      </c>
      <c r="M706">
        <v>2320</v>
      </c>
      <c r="N706">
        <v>3489</v>
      </c>
      <c r="O706">
        <v>4187</v>
      </c>
      <c r="P706">
        <v>500</v>
      </c>
      <c r="Q706">
        <v>150</v>
      </c>
      <c r="R706">
        <v>150</v>
      </c>
      <c r="S706">
        <v>0</v>
      </c>
      <c r="T706">
        <v>0</v>
      </c>
      <c r="U706">
        <v>1984</v>
      </c>
      <c r="V706">
        <v>0</v>
      </c>
      <c r="W706">
        <v>0</v>
      </c>
      <c r="X706" t="s">
        <v>594</v>
      </c>
      <c r="Y706">
        <v>1</v>
      </c>
      <c r="Z706">
        <v>0</v>
      </c>
      <c r="AA706">
        <v>50</v>
      </c>
      <c r="AB706">
        <v>25</v>
      </c>
      <c r="AC706">
        <v>0.4</v>
      </c>
    </row>
    <row r="707" spans="1:29">
      <c r="A707">
        <v>3045051</v>
      </c>
      <c r="B707">
        <v>2001</v>
      </c>
      <c r="C707">
        <v>46</v>
      </c>
      <c r="D707" t="s">
        <v>554</v>
      </c>
      <c r="E707">
        <f t="shared" si="195"/>
        <v>1200</v>
      </c>
      <c r="F707">
        <f t="shared" si="196"/>
        <v>1200</v>
      </c>
      <c r="G707" s="2">
        <v>4</v>
      </c>
      <c r="H707">
        <v>0</v>
      </c>
      <c r="I707">
        <v>0</v>
      </c>
      <c r="J707">
        <v>0</v>
      </c>
      <c r="K707">
        <v>0</v>
      </c>
      <c r="L707">
        <v>342663</v>
      </c>
      <c r="M707">
        <v>1160</v>
      </c>
      <c r="N707">
        <v>3066</v>
      </c>
      <c r="O707">
        <v>3679</v>
      </c>
      <c r="P707">
        <v>500</v>
      </c>
      <c r="Q707">
        <v>150</v>
      </c>
      <c r="R707">
        <v>150</v>
      </c>
      <c r="S707">
        <v>0</v>
      </c>
      <c r="T707">
        <v>0</v>
      </c>
      <c r="U707">
        <v>799</v>
      </c>
      <c r="V707">
        <v>0</v>
      </c>
      <c r="W707">
        <v>0</v>
      </c>
      <c r="X707" t="s">
        <v>595</v>
      </c>
      <c r="Y707">
        <v>1</v>
      </c>
      <c r="Z707">
        <v>0</v>
      </c>
      <c r="AA707">
        <v>50</v>
      </c>
      <c r="AB707">
        <v>25</v>
      </c>
      <c r="AC707">
        <v>0.4</v>
      </c>
    </row>
    <row r="708" spans="1:29">
      <c r="A708">
        <v>3045061</v>
      </c>
      <c r="B708">
        <v>2001</v>
      </c>
      <c r="C708">
        <v>47</v>
      </c>
      <c r="D708" t="s">
        <v>555</v>
      </c>
      <c r="E708">
        <f t="shared" si="195"/>
        <v>1240</v>
      </c>
      <c r="F708">
        <f t="shared" si="196"/>
        <v>1240</v>
      </c>
      <c r="G708" s="2">
        <v>10</v>
      </c>
      <c r="H708">
        <v>0</v>
      </c>
      <c r="I708">
        <v>0</v>
      </c>
      <c r="J708">
        <v>0</v>
      </c>
      <c r="K708">
        <v>0</v>
      </c>
      <c r="L708">
        <v>353442</v>
      </c>
      <c r="M708">
        <v>2340</v>
      </c>
      <c r="N708">
        <v>4527</v>
      </c>
      <c r="O708">
        <v>5432</v>
      </c>
      <c r="P708">
        <v>1000</v>
      </c>
      <c r="Q708">
        <v>300</v>
      </c>
      <c r="R708">
        <v>300</v>
      </c>
      <c r="S708">
        <v>0</v>
      </c>
      <c r="T708">
        <v>1694</v>
      </c>
      <c r="U708">
        <v>834</v>
      </c>
      <c r="V708">
        <v>0</v>
      </c>
      <c r="W708">
        <v>0</v>
      </c>
      <c r="X708" t="s">
        <v>596</v>
      </c>
      <c r="Y708">
        <v>1</v>
      </c>
      <c r="Z708">
        <v>0</v>
      </c>
      <c r="AA708">
        <v>50</v>
      </c>
      <c r="AB708">
        <v>25</v>
      </c>
      <c r="AC708">
        <v>0.4</v>
      </c>
    </row>
    <row r="709" spans="1:29">
      <c r="A709">
        <v>3045071</v>
      </c>
      <c r="B709">
        <v>2001</v>
      </c>
      <c r="C709">
        <v>47</v>
      </c>
      <c r="D709" t="s">
        <v>556</v>
      </c>
      <c r="E709">
        <f t="shared" si="195"/>
        <v>1240</v>
      </c>
      <c r="F709">
        <f t="shared" si="196"/>
        <v>1240</v>
      </c>
      <c r="G709" s="2">
        <v>3</v>
      </c>
      <c r="H709">
        <v>0</v>
      </c>
      <c r="I709">
        <v>0</v>
      </c>
      <c r="J709">
        <v>0</v>
      </c>
      <c r="K709">
        <v>0</v>
      </c>
      <c r="L709">
        <v>212065</v>
      </c>
      <c r="M709">
        <v>1170</v>
      </c>
      <c r="N709">
        <v>1321</v>
      </c>
      <c r="O709">
        <v>1585</v>
      </c>
      <c r="P709">
        <v>1000</v>
      </c>
      <c r="Q709">
        <v>300</v>
      </c>
      <c r="R709">
        <v>300</v>
      </c>
      <c r="S709">
        <v>0</v>
      </c>
      <c r="T709">
        <v>0</v>
      </c>
      <c r="U709">
        <v>834</v>
      </c>
      <c r="V709">
        <v>0</v>
      </c>
      <c r="W709">
        <v>0</v>
      </c>
      <c r="X709" t="s">
        <v>597</v>
      </c>
      <c r="Y709">
        <v>1</v>
      </c>
      <c r="Z709">
        <v>0</v>
      </c>
      <c r="AA709">
        <v>50</v>
      </c>
      <c r="AB709">
        <v>25</v>
      </c>
      <c r="AC709">
        <v>0.4</v>
      </c>
    </row>
    <row r="710" spans="1:29">
      <c r="A710">
        <f>A709+1</f>
        <v>3045072</v>
      </c>
      <c r="B710">
        <v>2001</v>
      </c>
      <c r="C710">
        <f>C709</f>
        <v>47</v>
      </c>
      <c r="D710" t="s">
        <v>582</v>
      </c>
      <c r="E710">
        <f>E709</f>
        <v>1240</v>
      </c>
      <c r="F710">
        <f t="shared" ref="F710" si="217">F709</f>
        <v>1240</v>
      </c>
      <c r="G710" s="2" t="s">
        <v>629</v>
      </c>
      <c r="H710">
        <f t="shared" ref="H710" si="218">H709</f>
        <v>0</v>
      </c>
      <c r="I710">
        <f t="shared" ref="I710" si="219">I709</f>
        <v>0</v>
      </c>
      <c r="J710">
        <f t="shared" ref="J710" si="220">J709</f>
        <v>0</v>
      </c>
      <c r="K710">
        <f t="shared" ref="K710" si="221">K709</f>
        <v>0</v>
      </c>
      <c r="L710">
        <v>154314</v>
      </c>
      <c r="M710">
        <v>1170</v>
      </c>
      <c r="N710">
        <v>2355</v>
      </c>
      <c r="O710">
        <v>2826</v>
      </c>
      <c r="P710">
        <v>1000</v>
      </c>
      <c r="Q710">
        <v>300</v>
      </c>
      <c r="R710">
        <v>300</v>
      </c>
      <c r="S710">
        <v>0</v>
      </c>
      <c r="T710">
        <v>0</v>
      </c>
      <c r="U710">
        <v>834</v>
      </c>
      <c r="V710">
        <v>0</v>
      </c>
      <c r="W710">
        <v>0</v>
      </c>
      <c r="X710" t="s">
        <v>62</v>
      </c>
      <c r="Y710">
        <v>1</v>
      </c>
      <c r="Z710">
        <v>0</v>
      </c>
      <c r="AA710">
        <v>50</v>
      </c>
      <c r="AB710">
        <v>25</v>
      </c>
      <c r="AC710">
        <v>0.4</v>
      </c>
    </row>
    <row r="711" spans="1:29">
      <c r="A711">
        <v>3045081</v>
      </c>
      <c r="B711">
        <v>2001</v>
      </c>
      <c r="C711">
        <v>48</v>
      </c>
      <c r="D711" t="s">
        <v>557</v>
      </c>
      <c r="E711">
        <f t="shared" si="195"/>
        <v>1280</v>
      </c>
      <c r="F711">
        <f t="shared" si="196"/>
        <v>1280</v>
      </c>
      <c r="G711" s="2">
        <v>7</v>
      </c>
      <c r="H711">
        <v>0</v>
      </c>
      <c r="I711">
        <v>0</v>
      </c>
      <c r="J711">
        <v>0</v>
      </c>
      <c r="K711">
        <v>0</v>
      </c>
      <c r="L711">
        <v>390238</v>
      </c>
      <c r="M711">
        <v>1180</v>
      </c>
      <c r="N711">
        <v>4084</v>
      </c>
      <c r="O711">
        <v>4901</v>
      </c>
      <c r="P711">
        <v>1500</v>
      </c>
      <c r="Q711">
        <v>450</v>
      </c>
      <c r="R711">
        <v>450</v>
      </c>
      <c r="S711">
        <v>0</v>
      </c>
      <c r="T711">
        <v>0</v>
      </c>
      <c r="U711">
        <v>869</v>
      </c>
      <c r="V711">
        <v>0</v>
      </c>
      <c r="W711">
        <v>0</v>
      </c>
      <c r="X711" t="s">
        <v>598</v>
      </c>
      <c r="Y711">
        <v>1</v>
      </c>
      <c r="Z711">
        <v>0</v>
      </c>
      <c r="AA711">
        <v>50</v>
      </c>
      <c r="AB711">
        <v>25</v>
      </c>
      <c r="AC711">
        <v>0.4</v>
      </c>
    </row>
    <row r="712" spans="1:29">
      <c r="A712">
        <v>3045091</v>
      </c>
      <c r="B712">
        <v>2001</v>
      </c>
      <c r="C712">
        <v>49</v>
      </c>
      <c r="D712" t="s">
        <v>558</v>
      </c>
      <c r="E712">
        <f t="shared" si="195"/>
        <v>1320</v>
      </c>
      <c r="F712">
        <f t="shared" si="196"/>
        <v>1320</v>
      </c>
      <c r="G712" s="2">
        <v>15</v>
      </c>
      <c r="H712">
        <v>0</v>
      </c>
      <c r="I712">
        <v>0</v>
      </c>
      <c r="J712">
        <v>0</v>
      </c>
      <c r="K712">
        <v>0</v>
      </c>
      <c r="L712">
        <v>409968</v>
      </c>
      <c r="M712">
        <v>1190</v>
      </c>
      <c r="N712">
        <v>4305</v>
      </c>
      <c r="O712">
        <v>5166</v>
      </c>
      <c r="P712">
        <v>2000</v>
      </c>
      <c r="Q712">
        <v>600</v>
      </c>
      <c r="R712">
        <v>600</v>
      </c>
      <c r="S712">
        <v>0</v>
      </c>
      <c r="T712">
        <v>0</v>
      </c>
      <c r="U712">
        <v>906</v>
      </c>
      <c r="V712">
        <v>0</v>
      </c>
      <c r="W712">
        <v>0</v>
      </c>
      <c r="X712" t="s">
        <v>599</v>
      </c>
      <c r="Y712">
        <v>1</v>
      </c>
      <c r="Z712">
        <v>0</v>
      </c>
      <c r="AA712">
        <v>50</v>
      </c>
      <c r="AB712">
        <v>25</v>
      </c>
      <c r="AC712">
        <v>0.4</v>
      </c>
    </row>
    <row r="713" spans="1:29">
      <c r="A713">
        <v>3050011</v>
      </c>
      <c r="B713">
        <v>2001</v>
      </c>
      <c r="C713">
        <v>50</v>
      </c>
      <c r="D713" t="s">
        <v>578</v>
      </c>
      <c r="E713">
        <f t="shared" si="195"/>
        <v>1360</v>
      </c>
      <c r="F713">
        <f t="shared" si="196"/>
        <v>1360</v>
      </c>
      <c r="G713" s="2">
        <v>21</v>
      </c>
      <c r="H713">
        <v>0</v>
      </c>
      <c r="I713">
        <v>0</v>
      </c>
      <c r="J713">
        <v>0</v>
      </c>
      <c r="K713">
        <v>0</v>
      </c>
      <c r="L713">
        <v>261508</v>
      </c>
      <c r="M713">
        <v>3600</v>
      </c>
      <c r="N713">
        <v>4737</v>
      </c>
      <c r="O713">
        <v>5684</v>
      </c>
      <c r="P713">
        <v>2500</v>
      </c>
      <c r="Q713">
        <v>750</v>
      </c>
      <c r="R713">
        <v>750</v>
      </c>
      <c r="S713">
        <v>0</v>
      </c>
      <c r="T713">
        <v>0</v>
      </c>
      <c r="U713">
        <v>942</v>
      </c>
      <c r="V713">
        <v>0</v>
      </c>
      <c r="W713">
        <v>0</v>
      </c>
      <c r="X713" t="s">
        <v>169</v>
      </c>
      <c r="Y713">
        <v>1</v>
      </c>
      <c r="Z713">
        <v>0</v>
      </c>
      <c r="AA713">
        <v>50</v>
      </c>
      <c r="AB713">
        <v>25</v>
      </c>
      <c r="AC713">
        <v>0.4</v>
      </c>
    </row>
    <row r="714" spans="1:29">
      <c r="A714">
        <v>3050021</v>
      </c>
      <c r="B714">
        <v>2001</v>
      </c>
      <c r="C714">
        <v>50</v>
      </c>
      <c r="D714" t="s">
        <v>551</v>
      </c>
      <c r="E714">
        <f t="shared" si="195"/>
        <v>1360</v>
      </c>
      <c r="F714">
        <f t="shared" si="196"/>
        <v>1360</v>
      </c>
      <c r="G714" s="2" t="s">
        <v>628</v>
      </c>
      <c r="H714">
        <v>0</v>
      </c>
      <c r="I714">
        <v>0</v>
      </c>
      <c r="J714">
        <v>0</v>
      </c>
      <c r="K714">
        <v>0</v>
      </c>
      <c r="L714">
        <v>197535</v>
      </c>
      <c r="M714">
        <v>19754</v>
      </c>
      <c r="N714">
        <v>7462</v>
      </c>
      <c r="O714">
        <v>8954</v>
      </c>
      <c r="P714">
        <v>2500</v>
      </c>
      <c r="Q714">
        <v>750</v>
      </c>
      <c r="R714">
        <v>750</v>
      </c>
      <c r="S714">
        <v>0</v>
      </c>
      <c r="T714">
        <v>0</v>
      </c>
      <c r="U714">
        <v>942</v>
      </c>
      <c r="V714">
        <v>0</v>
      </c>
      <c r="W714">
        <v>0</v>
      </c>
      <c r="X714" t="s">
        <v>592</v>
      </c>
      <c r="Y714">
        <v>1</v>
      </c>
      <c r="Z714">
        <v>0</v>
      </c>
      <c r="AA714">
        <v>50</v>
      </c>
      <c r="AB714">
        <v>25</v>
      </c>
      <c r="AC714">
        <v>0.4</v>
      </c>
    </row>
    <row r="715" spans="1:29">
      <c r="A715">
        <v>3050031</v>
      </c>
      <c r="B715">
        <v>2001</v>
      </c>
      <c r="C715">
        <v>51</v>
      </c>
      <c r="D715" t="s">
        <v>552</v>
      </c>
      <c r="E715">
        <f t="shared" si="195"/>
        <v>1400</v>
      </c>
      <c r="F715">
        <f t="shared" si="196"/>
        <v>1400</v>
      </c>
      <c r="G715" s="2">
        <v>5</v>
      </c>
      <c r="H715">
        <v>0</v>
      </c>
      <c r="I715">
        <v>0</v>
      </c>
      <c r="J715">
        <v>0</v>
      </c>
      <c r="K715">
        <v>0</v>
      </c>
      <c r="L715">
        <v>316731</v>
      </c>
      <c r="M715">
        <v>1210</v>
      </c>
      <c r="N715">
        <v>5310</v>
      </c>
      <c r="O715">
        <v>6372</v>
      </c>
      <c r="P715">
        <v>3000</v>
      </c>
      <c r="Q715">
        <v>900</v>
      </c>
      <c r="R715">
        <v>900</v>
      </c>
      <c r="S715">
        <v>0</v>
      </c>
      <c r="T715">
        <v>0</v>
      </c>
      <c r="U715">
        <v>980</v>
      </c>
      <c r="V715">
        <v>0</v>
      </c>
      <c r="W715">
        <v>0</v>
      </c>
      <c r="X715" t="s">
        <v>593</v>
      </c>
      <c r="Y715">
        <v>1</v>
      </c>
      <c r="Z715">
        <v>0</v>
      </c>
      <c r="AA715">
        <v>50</v>
      </c>
      <c r="AB715">
        <v>25</v>
      </c>
      <c r="AC715">
        <v>0.4</v>
      </c>
    </row>
    <row r="716" spans="1:29">
      <c r="A716">
        <v>3050041</v>
      </c>
      <c r="B716">
        <v>2001</v>
      </c>
      <c r="C716">
        <v>51</v>
      </c>
      <c r="D716" t="s">
        <v>553</v>
      </c>
      <c r="E716">
        <f t="shared" si="195"/>
        <v>1400</v>
      </c>
      <c r="F716">
        <f t="shared" si="196"/>
        <v>1400</v>
      </c>
      <c r="G716" s="2">
        <v>16</v>
      </c>
      <c r="H716">
        <v>0</v>
      </c>
      <c r="I716">
        <v>0</v>
      </c>
      <c r="J716">
        <v>0</v>
      </c>
      <c r="K716">
        <v>0</v>
      </c>
      <c r="L716">
        <v>273854</v>
      </c>
      <c r="M716">
        <v>2420</v>
      </c>
      <c r="N716">
        <v>5538</v>
      </c>
      <c r="O716">
        <v>6646</v>
      </c>
      <c r="P716">
        <v>3000</v>
      </c>
      <c r="Q716">
        <v>900</v>
      </c>
      <c r="R716">
        <v>900</v>
      </c>
      <c r="S716">
        <v>0</v>
      </c>
      <c r="T716">
        <v>0</v>
      </c>
      <c r="U716">
        <v>2432</v>
      </c>
      <c r="V716">
        <v>0</v>
      </c>
      <c r="W716">
        <v>0</v>
      </c>
      <c r="X716" t="s">
        <v>594</v>
      </c>
      <c r="Y716">
        <v>1</v>
      </c>
      <c r="Z716">
        <v>0</v>
      </c>
      <c r="AA716">
        <v>50</v>
      </c>
      <c r="AB716">
        <v>25</v>
      </c>
      <c r="AC716">
        <v>0.4</v>
      </c>
    </row>
    <row r="717" spans="1:29">
      <c r="A717">
        <v>3050051</v>
      </c>
      <c r="B717">
        <v>2001</v>
      </c>
      <c r="C717">
        <v>51</v>
      </c>
      <c r="D717" t="s">
        <v>554</v>
      </c>
      <c r="E717">
        <f t="shared" si="195"/>
        <v>1400</v>
      </c>
      <c r="F717">
        <f t="shared" si="196"/>
        <v>1400</v>
      </c>
      <c r="G717" s="2">
        <v>4</v>
      </c>
      <c r="H717">
        <v>0</v>
      </c>
      <c r="I717">
        <v>0</v>
      </c>
      <c r="J717">
        <v>0</v>
      </c>
      <c r="K717">
        <v>0</v>
      </c>
      <c r="L717">
        <v>369971</v>
      </c>
      <c r="M717">
        <v>1210</v>
      </c>
      <c r="N717">
        <v>4910</v>
      </c>
      <c r="O717">
        <v>5892</v>
      </c>
      <c r="P717">
        <v>3000</v>
      </c>
      <c r="Q717">
        <v>900</v>
      </c>
      <c r="R717">
        <v>900</v>
      </c>
      <c r="S717">
        <v>0</v>
      </c>
      <c r="T717">
        <v>0</v>
      </c>
      <c r="U717">
        <v>980</v>
      </c>
      <c r="V717">
        <v>0</v>
      </c>
      <c r="W717">
        <v>0</v>
      </c>
      <c r="X717" t="s">
        <v>595</v>
      </c>
      <c r="Y717">
        <v>1</v>
      </c>
      <c r="Z717">
        <v>0</v>
      </c>
      <c r="AA717">
        <v>50</v>
      </c>
      <c r="AB717">
        <v>25</v>
      </c>
      <c r="AC717">
        <v>0.4</v>
      </c>
    </row>
    <row r="718" spans="1:29">
      <c r="A718">
        <v>3050061</v>
      </c>
      <c r="B718">
        <v>2001</v>
      </c>
      <c r="C718">
        <v>52</v>
      </c>
      <c r="D718" t="s">
        <v>555</v>
      </c>
      <c r="E718">
        <f t="shared" si="195"/>
        <v>1440</v>
      </c>
      <c r="F718">
        <f t="shared" si="196"/>
        <v>1440</v>
      </c>
      <c r="G718" s="2">
        <v>10</v>
      </c>
      <c r="H718">
        <v>0</v>
      </c>
      <c r="I718">
        <v>0</v>
      </c>
      <c r="J718">
        <v>0</v>
      </c>
      <c r="K718">
        <v>0</v>
      </c>
      <c r="L718">
        <v>391056</v>
      </c>
      <c r="M718">
        <v>2440</v>
      </c>
      <c r="N718">
        <v>7332</v>
      </c>
      <c r="O718">
        <v>8798</v>
      </c>
      <c r="P718">
        <v>3500</v>
      </c>
      <c r="Q718">
        <v>1050</v>
      </c>
      <c r="R718">
        <v>1050</v>
      </c>
      <c r="S718">
        <v>0</v>
      </c>
      <c r="T718">
        <v>2068</v>
      </c>
      <c r="U718">
        <v>1018</v>
      </c>
      <c r="V718">
        <v>0</v>
      </c>
      <c r="W718">
        <v>0</v>
      </c>
      <c r="X718" t="s">
        <v>596</v>
      </c>
      <c r="Y718">
        <v>1</v>
      </c>
      <c r="Z718">
        <v>0</v>
      </c>
      <c r="AA718">
        <v>50</v>
      </c>
      <c r="AB718">
        <v>25</v>
      </c>
      <c r="AC718">
        <v>0.4</v>
      </c>
    </row>
    <row r="719" spans="1:29">
      <c r="A719">
        <v>3050071</v>
      </c>
      <c r="B719">
        <v>2001</v>
      </c>
      <c r="C719">
        <v>52</v>
      </c>
      <c r="D719" t="s">
        <v>556</v>
      </c>
      <c r="E719">
        <f t="shared" si="195"/>
        <v>1440</v>
      </c>
      <c r="F719">
        <f t="shared" si="196"/>
        <v>1440</v>
      </c>
      <c r="G719" s="2">
        <v>3</v>
      </c>
      <c r="H719">
        <v>0</v>
      </c>
      <c r="I719">
        <v>0</v>
      </c>
      <c r="J719">
        <v>0</v>
      </c>
      <c r="K719">
        <v>0</v>
      </c>
      <c r="L719">
        <v>234633</v>
      </c>
      <c r="M719">
        <v>1220</v>
      </c>
      <c r="N719">
        <v>2138</v>
      </c>
      <c r="O719">
        <v>2566</v>
      </c>
      <c r="P719">
        <v>3500</v>
      </c>
      <c r="Q719">
        <v>1050</v>
      </c>
      <c r="R719">
        <v>1050</v>
      </c>
      <c r="S719">
        <v>0</v>
      </c>
      <c r="T719">
        <v>0</v>
      </c>
      <c r="U719">
        <v>1018</v>
      </c>
      <c r="V719">
        <v>0</v>
      </c>
      <c r="W719">
        <v>0</v>
      </c>
      <c r="X719" t="s">
        <v>597</v>
      </c>
      <c r="Y719">
        <v>1</v>
      </c>
      <c r="Z719">
        <v>0</v>
      </c>
      <c r="AA719">
        <v>50</v>
      </c>
      <c r="AB719">
        <v>25</v>
      </c>
      <c r="AC719">
        <v>0.4</v>
      </c>
    </row>
    <row r="720" spans="1:29">
      <c r="A720">
        <f>A719+1</f>
        <v>3050072</v>
      </c>
      <c r="B720">
        <v>2001</v>
      </c>
      <c r="C720">
        <f>C719</f>
        <v>52</v>
      </c>
      <c r="D720" t="s">
        <v>582</v>
      </c>
      <c r="E720">
        <f>E719</f>
        <v>1440</v>
      </c>
      <c r="F720">
        <f t="shared" ref="F720" si="222">F719</f>
        <v>1440</v>
      </c>
      <c r="G720" s="2" t="s">
        <v>629</v>
      </c>
      <c r="H720">
        <f t="shared" ref="H720" si="223">H719</f>
        <v>0</v>
      </c>
      <c r="I720">
        <f t="shared" ref="I720" si="224">I719</f>
        <v>0</v>
      </c>
      <c r="J720">
        <f t="shared" ref="J720" si="225">J719</f>
        <v>0</v>
      </c>
      <c r="K720">
        <f t="shared" ref="K720" si="226">K719</f>
        <v>0</v>
      </c>
      <c r="L720">
        <v>169395</v>
      </c>
      <c r="M720">
        <v>1220</v>
      </c>
      <c r="N720">
        <v>3847</v>
      </c>
      <c r="O720">
        <v>4616</v>
      </c>
      <c r="P720">
        <v>3500</v>
      </c>
      <c r="Q720">
        <v>1050</v>
      </c>
      <c r="R720">
        <v>1050</v>
      </c>
      <c r="S720">
        <v>0</v>
      </c>
      <c r="T720">
        <v>0</v>
      </c>
      <c r="U720">
        <v>1018</v>
      </c>
      <c r="V720">
        <v>0</v>
      </c>
      <c r="W720">
        <v>0</v>
      </c>
      <c r="X720" t="s">
        <v>62</v>
      </c>
      <c r="Y720">
        <v>1</v>
      </c>
      <c r="Z720">
        <v>0</v>
      </c>
      <c r="AA720">
        <v>50</v>
      </c>
      <c r="AB720">
        <v>25</v>
      </c>
      <c r="AC720">
        <v>0.4</v>
      </c>
    </row>
    <row r="721" spans="1:29">
      <c r="A721">
        <v>3050081</v>
      </c>
      <c r="B721">
        <v>2001</v>
      </c>
      <c r="C721">
        <v>53</v>
      </c>
      <c r="D721" t="s">
        <v>557</v>
      </c>
      <c r="E721">
        <f t="shared" si="195"/>
        <v>1480</v>
      </c>
      <c r="F721">
        <f t="shared" si="196"/>
        <v>1480</v>
      </c>
      <c r="G721" s="2">
        <v>7</v>
      </c>
      <c r="H721">
        <v>0</v>
      </c>
      <c r="I721">
        <v>0</v>
      </c>
      <c r="J721">
        <v>0</v>
      </c>
      <c r="K721">
        <v>0</v>
      </c>
      <c r="L721">
        <v>439158</v>
      </c>
      <c r="M721">
        <v>1230</v>
      </c>
      <c r="N721">
        <v>6729</v>
      </c>
      <c r="O721">
        <v>8075</v>
      </c>
      <c r="P721">
        <v>4000</v>
      </c>
      <c r="Q721">
        <v>1200</v>
      </c>
      <c r="R721">
        <v>1200</v>
      </c>
      <c r="S721">
        <v>0</v>
      </c>
      <c r="T721">
        <v>0</v>
      </c>
      <c r="U721">
        <v>1057</v>
      </c>
      <c r="V721">
        <v>0</v>
      </c>
      <c r="W721">
        <v>0</v>
      </c>
      <c r="X721" t="s">
        <v>598</v>
      </c>
      <c r="Y721">
        <v>1</v>
      </c>
      <c r="Z721">
        <v>0</v>
      </c>
      <c r="AA721">
        <v>50</v>
      </c>
      <c r="AB721">
        <v>25</v>
      </c>
      <c r="AC721">
        <v>0.4</v>
      </c>
    </row>
    <row r="722" spans="1:29">
      <c r="A722">
        <v>3050091</v>
      </c>
      <c r="B722">
        <v>2001</v>
      </c>
      <c r="C722">
        <v>54</v>
      </c>
      <c r="D722" t="s">
        <v>558</v>
      </c>
      <c r="E722">
        <f t="shared" si="195"/>
        <v>1520</v>
      </c>
      <c r="F722">
        <f t="shared" si="196"/>
        <v>1520</v>
      </c>
      <c r="G722" s="2">
        <v>15</v>
      </c>
      <c r="H722">
        <v>0</v>
      </c>
      <c r="I722">
        <v>0</v>
      </c>
      <c r="J722">
        <v>0</v>
      </c>
      <c r="K722">
        <v>0</v>
      </c>
      <c r="L722">
        <v>469651</v>
      </c>
      <c r="M722">
        <v>1240</v>
      </c>
      <c r="N722">
        <v>7175</v>
      </c>
      <c r="O722">
        <v>8610</v>
      </c>
      <c r="P722">
        <v>4500</v>
      </c>
      <c r="Q722">
        <v>1350</v>
      </c>
      <c r="R722">
        <v>1350</v>
      </c>
      <c r="S722">
        <v>0</v>
      </c>
      <c r="T722">
        <v>0</v>
      </c>
      <c r="U722">
        <v>1097</v>
      </c>
      <c r="V722">
        <v>0</v>
      </c>
      <c r="W722">
        <v>0</v>
      </c>
      <c r="X722" t="s">
        <v>599</v>
      </c>
      <c r="Y722">
        <v>1</v>
      </c>
      <c r="Z722">
        <v>0</v>
      </c>
      <c r="AA722">
        <v>50</v>
      </c>
      <c r="AB722">
        <v>25</v>
      </c>
      <c r="AC722">
        <v>0.4</v>
      </c>
    </row>
    <row r="723" spans="1:29">
      <c r="A723">
        <v>3055011</v>
      </c>
      <c r="B723">
        <v>2001</v>
      </c>
      <c r="C723">
        <v>55</v>
      </c>
      <c r="D723" t="s">
        <v>578</v>
      </c>
      <c r="E723">
        <f t="shared" si="195"/>
        <v>1560</v>
      </c>
      <c r="F723">
        <f t="shared" si="196"/>
        <v>1560</v>
      </c>
      <c r="G723" s="2">
        <v>21</v>
      </c>
      <c r="H723">
        <v>0</v>
      </c>
      <c r="I723">
        <v>0</v>
      </c>
      <c r="J723">
        <v>0</v>
      </c>
      <c r="K723">
        <v>0</v>
      </c>
      <c r="L723">
        <v>317066</v>
      </c>
      <c r="M723">
        <v>3750</v>
      </c>
      <c r="N723">
        <v>6959</v>
      </c>
      <c r="O723">
        <v>8351</v>
      </c>
      <c r="P723">
        <v>5000</v>
      </c>
      <c r="Q723">
        <v>1500</v>
      </c>
      <c r="R723">
        <v>1500</v>
      </c>
      <c r="S723">
        <v>0</v>
      </c>
      <c r="T723">
        <v>0</v>
      </c>
      <c r="U723">
        <v>1138</v>
      </c>
      <c r="V723">
        <v>0</v>
      </c>
      <c r="W723">
        <v>0</v>
      </c>
      <c r="X723" t="s">
        <v>169</v>
      </c>
      <c r="Y723">
        <v>1</v>
      </c>
      <c r="Z723">
        <v>0</v>
      </c>
      <c r="AA723">
        <v>50</v>
      </c>
      <c r="AB723">
        <v>25</v>
      </c>
      <c r="AC723">
        <v>0.4</v>
      </c>
    </row>
    <row r="724" spans="1:29">
      <c r="A724">
        <v>3055021</v>
      </c>
      <c r="B724">
        <v>2001</v>
      </c>
      <c r="C724">
        <v>55</v>
      </c>
      <c r="D724" t="s">
        <v>551</v>
      </c>
      <c r="E724">
        <f t="shared" si="195"/>
        <v>1560</v>
      </c>
      <c r="F724">
        <f t="shared" si="196"/>
        <v>1560</v>
      </c>
      <c r="G724" s="2" t="s">
        <v>628</v>
      </c>
      <c r="H724">
        <v>0</v>
      </c>
      <c r="I724">
        <v>0</v>
      </c>
      <c r="J724">
        <v>0</v>
      </c>
      <c r="K724">
        <v>0</v>
      </c>
      <c r="L724">
        <v>236124</v>
      </c>
      <c r="M724">
        <v>23612</v>
      </c>
      <c r="N724">
        <v>11073</v>
      </c>
      <c r="O724">
        <v>13288</v>
      </c>
      <c r="P724">
        <v>5000</v>
      </c>
      <c r="Q724">
        <v>1500</v>
      </c>
      <c r="R724">
        <v>1500</v>
      </c>
      <c r="S724">
        <v>0</v>
      </c>
      <c r="T724">
        <v>0</v>
      </c>
      <c r="U724">
        <v>1138</v>
      </c>
      <c r="V724">
        <v>0</v>
      </c>
      <c r="W724">
        <v>0</v>
      </c>
      <c r="X724" t="s">
        <v>592</v>
      </c>
      <c r="Y724">
        <v>1</v>
      </c>
      <c r="Z724">
        <v>0</v>
      </c>
      <c r="AA724">
        <v>50</v>
      </c>
      <c r="AB724">
        <v>25</v>
      </c>
      <c r="AC724">
        <v>0.4</v>
      </c>
    </row>
    <row r="725" spans="1:29">
      <c r="A725">
        <v>3055031</v>
      </c>
      <c r="B725">
        <v>2001</v>
      </c>
      <c r="C725">
        <v>56</v>
      </c>
      <c r="D725" t="s">
        <v>552</v>
      </c>
      <c r="E725">
        <f t="shared" si="195"/>
        <v>1600</v>
      </c>
      <c r="F725">
        <f t="shared" si="196"/>
        <v>1600</v>
      </c>
      <c r="G725" s="2">
        <v>5</v>
      </c>
      <c r="H725">
        <v>0</v>
      </c>
      <c r="I725">
        <v>0</v>
      </c>
      <c r="J725">
        <v>0</v>
      </c>
      <c r="K725">
        <v>0</v>
      </c>
      <c r="L725">
        <v>379628</v>
      </c>
      <c r="M725">
        <v>1260</v>
      </c>
      <c r="N725">
        <v>7986</v>
      </c>
      <c r="O725">
        <v>9583</v>
      </c>
      <c r="P725">
        <v>5500</v>
      </c>
      <c r="Q725">
        <v>1650</v>
      </c>
      <c r="R725">
        <v>1650</v>
      </c>
      <c r="S725">
        <v>0</v>
      </c>
      <c r="T725">
        <v>0</v>
      </c>
      <c r="U725">
        <v>1179</v>
      </c>
      <c r="V725">
        <v>0</v>
      </c>
      <c r="W725">
        <v>0</v>
      </c>
      <c r="X725" t="s">
        <v>593</v>
      </c>
      <c r="Y725">
        <v>1</v>
      </c>
      <c r="Z725">
        <v>0</v>
      </c>
      <c r="AA725">
        <v>50</v>
      </c>
      <c r="AB725">
        <v>25</v>
      </c>
      <c r="AC725">
        <v>0.4</v>
      </c>
    </row>
    <row r="726" spans="1:29">
      <c r="A726">
        <v>3055041</v>
      </c>
      <c r="B726">
        <v>2001</v>
      </c>
      <c r="C726">
        <v>56</v>
      </c>
      <c r="D726" t="s">
        <v>553</v>
      </c>
      <c r="E726">
        <f t="shared" si="195"/>
        <v>1600</v>
      </c>
      <c r="F726">
        <f t="shared" si="196"/>
        <v>1600</v>
      </c>
      <c r="G726" s="2">
        <v>16</v>
      </c>
      <c r="H726">
        <v>0</v>
      </c>
      <c r="I726">
        <v>0</v>
      </c>
      <c r="J726">
        <v>0</v>
      </c>
      <c r="K726">
        <v>0</v>
      </c>
      <c r="L726">
        <v>325617</v>
      </c>
      <c r="M726">
        <v>2520</v>
      </c>
      <c r="N726">
        <v>8389</v>
      </c>
      <c r="O726">
        <v>10067</v>
      </c>
      <c r="P726">
        <v>5500</v>
      </c>
      <c r="Q726">
        <v>1650</v>
      </c>
      <c r="R726">
        <v>1650</v>
      </c>
      <c r="S726">
        <v>0</v>
      </c>
      <c r="T726">
        <v>0</v>
      </c>
      <c r="U726">
        <v>2925</v>
      </c>
      <c r="V726">
        <v>0</v>
      </c>
      <c r="W726">
        <v>0</v>
      </c>
      <c r="X726" t="s">
        <v>594</v>
      </c>
      <c r="Y726">
        <v>1</v>
      </c>
      <c r="Z726">
        <v>0</v>
      </c>
      <c r="AA726">
        <v>50</v>
      </c>
      <c r="AB726">
        <v>25</v>
      </c>
      <c r="AC726">
        <v>0.4</v>
      </c>
    </row>
    <row r="727" spans="1:29">
      <c r="A727">
        <v>3055051</v>
      </c>
      <c r="B727">
        <v>2001</v>
      </c>
      <c r="C727">
        <v>56</v>
      </c>
      <c r="D727" t="s">
        <v>554</v>
      </c>
      <c r="E727">
        <f t="shared" si="195"/>
        <v>1600</v>
      </c>
      <c r="F727">
        <f t="shared" si="196"/>
        <v>1600</v>
      </c>
      <c r="G727" s="2">
        <v>4</v>
      </c>
      <c r="H727">
        <v>0</v>
      </c>
      <c r="I727">
        <v>0</v>
      </c>
      <c r="J727">
        <v>0</v>
      </c>
      <c r="K727">
        <v>0</v>
      </c>
      <c r="L727">
        <v>436391</v>
      </c>
      <c r="M727">
        <v>1260</v>
      </c>
      <c r="N727">
        <v>7491</v>
      </c>
      <c r="O727">
        <v>8989</v>
      </c>
      <c r="P727">
        <v>5500</v>
      </c>
      <c r="Q727">
        <v>1650</v>
      </c>
      <c r="R727">
        <v>1650</v>
      </c>
      <c r="S727">
        <v>0</v>
      </c>
      <c r="T727">
        <v>0</v>
      </c>
      <c r="U727">
        <v>1179</v>
      </c>
      <c r="V727">
        <v>0</v>
      </c>
      <c r="W727">
        <v>0</v>
      </c>
      <c r="X727" t="s">
        <v>595</v>
      </c>
      <c r="Y727">
        <v>1</v>
      </c>
      <c r="Z727">
        <v>0</v>
      </c>
      <c r="AA727">
        <v>50</v>
      </c>
      <c r="AB727">
        <v>25</v>
      </c>
      <c r="AC727">
        <v>0.4</v>
      </c>
    </row>
    <row r="728" spans="1:29">
      <c r="A728">
        <v>3055061</v>
      </c>
      <c r="B728">
        <v>2001</v>
      </c>
      <c r="C728">
        <v>57</v>
      </c>
      <c r="D728" t="s">
        <v>555</v>
      </c>
      <c r="E728">
        <f t="shared" si="195"/>
        <v>1640</v>
      </c>
      <c r="F728">
        <f t="shared" si="196"/>
        <v>1640</v>
      </c>
      <c r="G728" s="2">
        <v>10</v>
      </c>
      <c r="H728">
        <v>0</v>
      </c>
      <c r="I728">
        <v>0</v>
      </c>
      <c r="J728">
        <v>0</v>
      </c>
      <c r="K728">
        <v>0</v>
      </c>
      <c r="L728">
        <v>465146</v>
      </c>
      <c r="M728">
        <v>2540</v>
      </c>
      <c r="N728">
        <v>11293</v>
      </c>
      <c r="O728">
        <v>13552</v>
      </c>
      <c r="P728">
        <v>6000</v>
      </c>
      <c r="Q728">
        <v>1800</v>
      </c>
      <c r="R728">
        <v>1800</v>
      </c>
      <c r="S728">
        <v>0</v>
      </c>
      <c r="T728">
        <v>2479</v>
      </c>
      <c r="U728">
        <v>1221</v>
      </c>
      <c r="V728">
        <v>0</v>
      </c>
      <c r="W728">
        <v>0</v>
      </c>
      <c r="X728" t="s">
        <v>596</v>
      </c>
      <c r="Y728">
        <v>1</v>
      </c>
      <c r="Z728">
        <v>0</v>
      </c>
      <c r="AA728">
        <v>50</v>
      </c>
      <c r="AB728">
        <v>25</v>
      </c>
      <c r="AC728">
        <v>0.4</v>
      </c>
    </row>
    <row r="729" spans="1:29">
      <c r="A729">
        <v>3055071</v>
      </c>
      <c r="B729">
        <v>2001</v>
      </c>
      <c r="C729">
        <v>57</v>
      </c>
      <c r="D729" t="s">
        <v>556</v>
      </c>
      <c r="E729">
        <f t="shared" ref="E729:E809" si="227">VLOOKUP(C729,C$6:F$212,3,0)*5</f>
        <v>1640</v>
      </c>
      <c r="F729">
        <f t="shared" ref="F729:F809" si="228">E729</f>
        <v>1640</v>
      </c>
      <c r="G729" s="2">
        <v>3</v>
      </c>
      <c r="H729">
        <v>0</v>
      </c>
      <c r="I729">
        <v>0</v>
      </c>
      <c r="J729">
        <v>0</v>
      </c>
      <c r="K729">
        <v>0</v>
      </c>
      <c r="L729">
        <v>279088</v>
      </c>
      <c r="M729">
        <v>1270</v>
      </c>
      <c r="N729">
        <v>3294</v>
      </c>
      <c r="O729">
        <v>3953</v>
      </c>
      <c r="P729">
        <v>6000</v>
      </c>
      <c r="Q729">
        <v>1800</v>
      </c>
      <c r="R729">
        <v>1800</v>
      </c>
      <c r="S729">
        <v>0</v>
      </c>
      <c r="T729">
        <v>0</v>
      </c>
      <c r="U729">
        <v>1221</v>
      </c>
      <c r="V729">
        <v>0</v>
      </c>
      <c r="W729">
        <v>0</v>
      </c>
      <c r="X729" t="s">
        <v>597</v>
      </c>
      <c r="Y729">
        <v>1</v>
      </c>
      <c r="Z729">
        <v>0</v>
      </c>
      <c r="AA729">
        <v>50</v>
      </c>
      <c r="AB729">
        <v>25</v>
      </c>
      <c r="AC729">
        <v>0.4</v>
      </c>
    </row>
    <row r="730" spans="1:29">
      <c r="A730">
        <f>A729+1</f>
        <v>3055072</v>
      </c>
      <c r="B730">
        <v>2001</v>
      </c>
      <c r="C730">
        <f>C729</f>
        <v>57</v>
      </c>
      <c r="D730" t="s">
        <v>582</v>
      </c>
      <c r="E730">
        <f>E729</f>
        <v>1640</v>
      </c>
      <c r="F730">
        <f t="shared" ref="F730" si="229">F729</f>
        <v>1640</v>
      </c>
      <c r="G730" s="2" t="s">
        <v>629</v>
      </c>
      <c r="H730">
        <f t="shared" ref="H730" si="230">H729</f>
        <v>0</v>
      </c>
      <c r="I730">
        <f t="shared" ref="I730" si="231">I729</f>
        <v>0</v>
      </c>
      <c r="J730">
        <f t="shared" ref="J730" si="232">J729</f>
        <v>0</v>
      </c>
      <c r="K730">
        <f t="shared" ref="K730" si="233">K729</f>
        <v>0</v>
      </c>
      <c r="L730">
        <v>200188</v>
      </c>
      <c r="M730">
        <v>1270</v>
      </c>
      <c r="N730">
        <v>5967</v>
      </c>
      <c r="O730">
        <v>7160</v>
      </c>
      <c r="P730">
        <v>6000</v>
      </c>
      <c r="Q730">
        <v>1800</v>
      </c>
      <c r="R730">
        <v>1800</v>
      </c>
      <c r="S730">
        <v>0</v>
      </c>
      <c r="T730">
        <v>0</v>
      </c>
      <c r="U730">
        <v>1221</v>
      </c>
      <c r="V730">
        <v>0</v>
      </c>
      <c r="W730">
        <v>0</v>
      </c>
      <c r="X730" t="s">
        <v>62</v>
      </c>
      <c r="Y730">
        <v>1</v>
      </c>
      <c r="Z730">
        <v>0</v>
      </c>
      <c r="AA730">
        <v>50</v>
      </c>
      <c r="AB730">
        <v>25</v>
      </c>
      <c r="AC730">
        <v>0.4</v>
      </c>
    </row>
    <row r="731" spans="1:29">
      <c r="A731">
        <v>3055081</v>
      </c>
      <c r="B731">
        <v>2001</v>
      </c>
      <c r="C731">
        <v>58</v>
      </c>
      <c r="D731" t="s">
        <v>557</v>
      </c>
      <c r="E731">
        <f t="shared" si="227"/>
        <v>1680</v>
      </c>
      <c r="F731">
        <f t="shared" si="228"/>
        <v>1680</v>
      </c>
      <c r="G731" s="2">
        <v>7</v>
      </c>
      <c r="H731">
        <v>0</v>
      </c>
      <c r="I731">
        <v>0</v>
      </c>
      <c r="J731">
        <v>0</v>
      </c>
      <c r="K731">
        <v>0</v>
      </c>
      <c r="L731">
        <v>524427</v>
      </c>
      <c r="M731">
        <v>1280</v>
      </c>
      <c r="N731">
        <v>10510</v>
      </c>
      <c r="O731">
        <v>12612</v>
      </c>
      <c r="P731">
        <v>6500</v>
      </c>
      <c r="Q731">
        <v>1950</v>
      </c>
      <c r="R731">
        <v>1950</v>
      </c>
      <c r="S731">
        <v>0</v>
      </c>
      <c r="T731">
        <v>0</v>
      </c>
      <c r="U731">
        <v>1263</v>
      </c>
      <c r="V731">
        <v>0</v>
      </c>
      <c r="W731">
        <v>0</v>
      </c>
      <c r="X731" t="s">
        <v>598</v>
      </c>
      <c r="Y731">
        <v>1</v>
      </c>
      <c r="Z731">
        <v>0</v>
      </c>
      <c r="AA731">
        <v>50</v>
      </c>
      <c r="AB731">
        <v>25</v>
      </c>
      <c r="AC731">
        <v>0.4</v>
      </c>
    </row>
    <row r="732" spans="1:29">
      <c r="A732">
        <v>3055091</v>
      </c>
      <c r="B732">
        <v>2001</v>
      </c>
      <c r="C732">
        <v>59</v>
      </c>
      <c r="D732" t="s">
        <v>558</v>
      </c>
      <c r="E732">
        <f t="shared" si="227"/>
        <v>1720</v>
      </c>
      <c r="F732">
        <f t="shared" si="228"/>
        <v>1720</v>
      </c>
      <c r="G732" s="2">
        <v>15</v>
      </c>
      <c r="H732">
        <v>0</v>
      </c>
      <c r="I732">
        <v>0</v>
      </c>
      <c r="J732">
        <v>0</v>
      </c>
      <c r="K732">
        <v>0</v>
      </c>
      <c r="L732">
        <v>564444</v>
      </c>
      <c r="M732">
        <v>1290</v>
      </c>
      <c r="N732">
        <v>11312</v>
      </c>
      <c r="O732">
        <v>13574</v>
      </c>
      <c r="P732">
        <v>7000</v>
      </c>
      <c r="Q732">
        <v>2100</v>
      </c>
      <c r="R732">
        <v>2100</v>
      </c>
      <c r="S732">
        <v>0</v>
      </c>
      <c r="T732">
        <v>0</v>
      </c>
      <c r="U732">
        <v>1307</v>
      </c>
      <c r="V732">
        <v>0</v>
      </c>
      <c r="W732">
        <v>0</v>
      </c>
      <c r="X732" t="s">
        <v>599</v>
      </c>
      <c r="Y732">
        <v>1</v>
      </c>
      <c r="Z732">
        <v>0</v>
      </c>
      <c r="AA732">
        <v>50</v>
      </c>
      <c r="AB732">
        <v>25</v>
      </c>
      <c r="AC732">
        <v>0.4</v>
      </c>
    </row>
    <row r="733" spans="1:29">
      <c r="A733">
        <v>3060011</v>
      </c>
      <c r="B733">
        <v>2001</v>
      </c>
      <c r="C733">
        <v>60</v>
      </c>
      <c r="D733" t="s">
        <v>559</v>
      </c>
      <c r="E733">
        <f t="shared" si="227"/>
        <v>1760</v>
      </c>
      <c r="F733">
        <f t="shared" si="228"/>
        <v>1760</v>
      </c>
      <c r="G733" s="2">
        <v>3</v>
      </c>
      <c r="H733">
        <v>0</v>
      </c>
      <c r="I733">
        <v>0</v>
      </c>
      <c r="J733">
        <v>0</v>
      </c>
      <c r="K733">
        <v>0</v>
      </c>
      <c r="L733">
        <v>342856</v>
      </c>
      <c r="M733">
        <v>780</v>
      </c>
      <c r="N733">
        <v>7141</v>
      </c>
      <c r="O733">
        <v>8569</v>
      </c>
      <c r="P733">
        <v>7500</v>
      </c>
      <c r="Q733">
        <v>2250</v>
      </c>
      <c r="R733">
        <v>2250</v>
      </c>
      <c r="S733">
        <v>0</v>
      </c>
      <c r="T733">
        <v>0</v>
      </c>
      <c r="U733">
        <v>1351</v>
      </c>
      <c r="V733">
        <v>0</v>
      </c>
      <c r="W733">
        <v>0</v>
      </c>
      <c r="X733" t="s">
        <v>600</v>
      </c>
      <c r="Y733">
        <v>1</v>
      </c>
      <c r="Z733">
        <v>0</v>
      </c>
      <c r="AA733">
        <v>50</v>
      </c>
      <c r="AB733">
        <v>25</v>
      </c>
      <c r="AC733">
        <v>0.4</v>
      </c>
    </row>
    <row r="734" spans="1:29">
      <c r="A734">
        <v>3060021</v>
      </c>
      <c r="B734">
        <v>2001</v>
      </c>
      <c r="C734">
        <v>60</v>
      </c>
      <c r="D734" t="s">
        <v>579</v>
      </c>
      <c r="E734">
        <f t="shared" si="227"/>
        <v>1760</v>
      </c>
      <c r="F734">
        <f t="shared" si="228"/>
        <v>1760</v>
      </c>
      <c r="G734" s="2" t="s">
        <v>637</v>
      </c>
      <c r="H734">
        <v>0</v>
      </c>
      <c r="I734">
        <v>0</v>
      </c>
      <c r="J734">
        <v>0</v>
      </c>
      <c r="K734">
        <v>0</v>
      </c>
      <c r="L734">
        <v>466653</v>
      </c>
      <c r="M734">
        <v>1300</v>
      </c>
      <c r="N734">
        <v>13123</v>
      </c>
      <c r="O734">
        <v>15748</v>
      </c>
      <c r="P734">
        <v>7500</v>
      </c>
      <c r="Q734">
        <v>2250</v>
      </c>
      <c r="R734">
        <v>2250</v>
      </c>
      <c r="S734">
        <v>0</v>
      </c>
      <c r="T734">
        <v>0</v>
      </c>
      <c r="U734">
        <v>1351</v>
      </c>
      <c r="V734">
        <v>0</v>
      </c>
      <c r="W734">
        <v>0</v>
      </c>
      <c r="X734" t="s">
        <v>619</v>
      </c>
      <c r="Y734">
        <v>1</v>
      </c>
      <c r="Z734">
        <v>0</v>
      </c>
      <c r="AA734">
        <v>50</v>
      </c>
      <c r="AB734">
        <v>25</v>
      </c>
      <c r="AC734">
        <v>0.4</v>
      </c>
    </row>
    <row r="735" spans="1:29">
      <c r="A735">
        <v>3060031</v>
      </c>
      <c r="B735">
        <v>2001</v>
      </c>
      <c r="C735">
        <v>61</v>
      </c>
      <c r="D735" t="s">
        <v>580</v>
      </c>
      <c r="E735">
        <f t="shared" si="227"/>
        <v>1810</v>
      </c>
      <c r="F735">
        <f t="shared" si="228"/>
        <v>1810</v>
      </c>
      <c r="G735" s="2">
        <v>20</v>
      </c>
      <c r="H735">
        <v>0</v>
      </c>
      <c r="I735">
        <v>0</v>
      </c>
      <c r="J735">
        <v>0</v>
      </c>
      <c r="K735">
        <v>0</v>
      </c>
      <c r="L735">
        <v>384301</v>
      </c>
      <c r="M735">
        <v>2096</v>
      </c>
      <c r="N735">
        <v>14396</v>
      </c>
      <c r="O735">
        <v>17275</v>
      </c>
      <c r="P735">
        <v>8000</v>
      </c>
      <c r="Q735">
        <v>2400</v>
      </c>
      <c r="R735">
        <v>2400</v>
      </c>
      <c r="S735">
        <v>0</v>
      </c>
      <c r="T735">
        <v>0</v>
      </c>
      <c r="U735">
        <v>709</v>
      </c>
      <c r="V735">
        <v>0</v>
      </c>
      <c r="W735">
        <v>0</v>
      </c>
      <c r="X735" t="s">
        <v>598</v>
      </c>
      <c r="Y735">
        <v>1</v>
      </c>
      <c r="Z735">
        <v>0</v>
      </c>
      <c r="AA735">
        <v>50</v>
      </c>
      <c r="AB735">
        <v>25</v>
      </c>
      <c r="AC735">
        <v>0.4</v>
      </c>
    </row>
    <row r="736" spans="1:29">
      <c r="A736">
        <v>3060041</v>
      </c>
      <c r="B736">
        <v>2001</v>
      </c>
      <c r="C736">
        <v>61</v>
      </c>
      <c r="D736" t="s">
        <v>562</v>
      </c>
      <c r="E736">
        <f t="shared" si="227"/>
        <v>1810</v>
      </c>
      <c r="F736">
        <f t="shared" si="228"/>
        <v>1810</v>
      </c>
      <c r="G736" s="2">
        <v>2</v>
      </c>
      <c r="H736">
        <v>0</v>
      </c>
      <c r="I736">
        <v>0</v>
      </c>
      <c r="J736">
        <v>0</v>
      </c>
      <c r="K736">
        <v>0</v>
      </c>
      <c r="L736">
        <v>328494</v>
      </c>
      <c r="M736">
        <v>1048</v>
      </c>
      <c r="N736">
        <v>7615</v>
      </c>
      <c r="O736">
        <v>9138</v>
      </c>
      <c r="P736">
        <v>8000</v>
      </c>
      <c r="Q736">
        <v>2400</v>
      </c>
      <c r="R736">
        <v>2400</v>
      </c>
      <c r="S736">
        <v>0</v>
      </c>
      <c r="T736">
        <v>0</v>
      </c>
      <c r="U736">
        <v>1396</v>
      </c>
      <c r="V736">
        <v>0</v>
      </c>
      <c r="W736">
        <v>0</v>
      </c>
      <c r="X736" t="s">
        <v>599</v>
      </c>
      <c r="Y736">
        <v>1</v>
      </c>
      <c r="Z736">
        <v>0</v>
      </c>
      <c r="AA736">
        <v>50</v>
      </c>
      <c r="AB736">
        <v>25</v>
      </c>
      <c r="AC736">
        <v>0.4</v>
      </c>
    </row>
    <row r="737" spans="1:29">
      <c r="A737">
        <f>A736+1</f>
        <v>3060042</v>
      </c>
      <c r="B737">
        <v>2001</v>
      </c>
      <c r="C737">
        <f>C736</f>
        <v>61</v>
      </c>
      <c r="D737" t="s">
        <v>584</v>
      </c>
      <c r="E737">
        <f>E736</f>
        <v>1810</v>
      </c>
      <c r="F737">
        <f t="shared" ref="F737:K737" si="234">F736</f>
        <v>1810</v>
      </c>
      <c r="G737" s="2">
        <v>9</v>
      </c>
      <c r="H737">
        <f t="shared" si="234"/>
        <v>0</v>
      </c>
      <c r="I737">
        <f t="shared" si="234"/>
        <v>0</v>
      </c>
      <c r="J737">
        <f t="shared" si="234"/>
        <v>0</v>
      </c>
      <c r="K737">
        <f t="shared" si="234"/>
        <v>0</v>
      </c>
      <c r="L737">
        <v>153297</v>
      </c>
      <c r="M737">
        <v>1310</v>
      </c>
      <c r="N737">
        <v>4442</v>
      </c>
      <c r="O737">
        <v>5330</v>
      </c>
      <c r="P737">
        <v>8000</v>
      </c>
      <c r="Q737">
        <v>2400</v>
      </c>
      <c r="R737">
        <v>2400</v>
      </c>
      <c r="S737">
        <v>0</v>
      </c>
      <c r="T737">
        <v>0</v>
      </c>
      <c r="U737">
        <v>1396</v>
      </c>
      <c r="V737">
        <v>0</v>
      </c>
      <c r="W737">
        <v>0</v>
      </c>
      <c r="X737" t="s">
        <v>592</v>
      </c>
      <c r="Y737">
        <v>1</v>
      </c>
      <c r="Z737">
        <v>0</v>
      </c>
      <c r="AA737">
        <v>50</v>
      </c>
      <c r="AB737">
        <v>25</v>
      </c>
      <c r="AC737">
        <v>0.4</v>
      </c>
    </row>
    <row r="738" spans="1:29">
      <c r="A738">
        <f>A737+1</f>
        <v>3060043</v>
      </c>
      <c r="B738">
        <v>2001</v>
      </c>
      <c r="C738">
        <f>C737</f>
        <v>61</v>
      </c>
      <c r="D738" t="s">
        <v>585</v>
      </c>
      <c r="E738">
        <f>E737</f>
        <v>1810</v>
      </c>
      <c r="F738">
        <f t="shared" ref="F738" si="235">F737</f>
        <v>1810</v>
      </c>
      <c r="G738" s="2">
        <v>10</v>
      </c>
      <c r="H738">
        <f t="shared" ref="H738" si="236">H737</f>
        <v>0</v>
      </c>
      <c r="I738">
        <f t="shared" ref="I738" si="237">I737</f>
        <v>0</v>
      </c>
      <c r="J738">
        <f t="shared" ref="J738" si="238">J737</f>
        <v>0</v>
      </c>
      <c r="K738">
        <f t="shared" ref="K738" si="239">K737</f>
        <v>0</v>
      </c>
      <c r="L738">
        <v>153297</v>
      </c>
      <c r="M738">
        <v>1310</v>
      </c>
      <c r="N738">
        <v>4442</v>
      </c>
      <c r="O738">
        <v>5330</v>
      </c>
      <c r="P738">
        <v>8000</v>
      </c>
      <c r="Q738">
        <v>2400</v>
      </c>
      <c r="R738">
        <v>2400</v>
      </c>
      <c r="S738">
        <v>0</v>
      </c>
      <c r="T738">
        <v>0</v>
      </c>
      <c r="U738">
        <v>1396</v>
      </c>
      <c r="V738">
        <v>0</v>
      </c>
      <c r="W738">
        <v>0</v>
      </c>
      <c r="X738" t="s">
        <v>593</v>
      </c>
      <c r="Y738">
        <v>1</v>
      </c>
      <c r="Z738">
        <v>0</v>
      </c>
      <c r="AA738">
        <v>50</v>
      </c>
      <c r="AB738">
        <v>25</v>
      </c>
      <c r="AC738">
        <v>0.4</v>
      </c>
    </row>
    <row r="739" spans="1:29">
      <c r="A739">
        <v>3060051</v>
      </c>
      <c r="B739">
        <v>2001</v>
      </c>
      <c r="C739">
        <v>61</v>
      </c>
      <c r="D739" t="s">
        <v>563</v>
      </c>
      <c r="E739">
        <f t="shared" si="227"/>
        <v>1810</v>
      </c>
      <c r="F739">
        <f t="shared" si="228"/>
        <v>1810</v>
      </c>
      <c r="G739" s="2">
        <v>21</v>
      </c>
      <c r="H739">
        <v>0</v>
      </c>
      <c r="I739">
        <v>0</v>
      </c>
      <c r="J739">
        <v>0</v>
      </c>
      <c r="K739">
        <v>0</v>
      </c>
      <c r="L739">
        <v>555732</v>
      </c>
      <c r="M739">
        <v>1310</v>
      </c>
      <c r="N739">
        <v>13428</v>
      </c>
      <c r="O739">
        <v>16114</v>
      </c>
      <c r="P739">
        <v>8000</v>
      </c>
      <c r="Q739">
        <v>2400</v>
      </c>
      <c r="R739">
        <v>2400</v>
      </c>
      <c r="S739">
        <v>0</v>
      </c>
      <c r="T739">
        <v>0</v>
      </c>
      <c r="U739">
        <v>1396</v>
      </c>
      <c r="V739">
        <v>0</v>
      </c>
      <c r="W739">
        <v>0</v>
      </c>
      <c r="X739" t="s">
        <v>594</v>
      </c>
      <c r="Y739">
        <v>1</v>
      </c>
      <c r="Z739">
        <v>0</v>
      </c>
      <c r="AA739">
        <v>50</v>
      </c>
      <c r="AB739">
        <v>25</v>
      </c>
      <c r="AC739">
        <v>0.4</v>
      </c>
    </row>
    <row r="740" spans="1:29">
      <c r="A740">
        <v>3060061</v>
      </c>
      <c r="B740">
        <v>2001</v>
      </c>
      <c r="C740">
        <v>62</v>
      </c>
      <c r="D740" t="s">
        <v>564</v>
      </c>
      <c r="E740">
        <f t="shared" si="227"/>
        <v>1860</v>
      </c>
      <c r="F740">
        <f t="shared" si="228"/>
        <v>1860</v>
      </c>
      <c r="G740" s="2">
        <v>14</v>
      </c>
      <c r="H740">
        <v>0</v>
      </c>
      <c r="I740">
        <v>0</v>
      </c>
      <c r="J740">
        <v>0</v>
      </c>
      <c r="K740">
        <v>0</v>
      </c>
      <c r="L740">
        <v>627449</v>
      </c>
      <c r="M740">
        <v>1320</v>
      </c>
      <c r="N740">
        <v>14475</v>
      </c>
      <c r="O740">
        <v>17370</v>
      </c>
      <c r="P740">
        <v>8500</v>
      </c>
      <c r="Q740">
        <v>2550</v>
      </c>
      <c r="R740">
        <v>2550</v>
      </c>
      <c r="S740">
        <v>0</v>
      </c>
      <c r="T740">
        <v>0</v>
      </c>
      <c r="U740">
        <v>732</v>
      </c>
      <c r="V740">
        <v>0</v>
      </c>
      <c r="W740">
        <v>0</v>
      </c>
      <c r="X740" t="s">
        <v>626</v>
      </c>
      <c r="Y740">
        <v>1</v>
      </c>
      <c r="Z740">
        <v>0</v>
      </c>
      <c r="AA740">
        <v>50</v>
      </c>
      <c r="AB740">
        <v>25</v>
      </c>
      <c r="AC740">
        <v>0.4</v>
      </c>
    </row>
    <row r="741" spans="1:29">
      <c r="A741">
        <v>3060071</v>
      </c>
      <c r="B741">
        <v>2001</v>
      </c>
      <c r="C741">
        <v>62</v>
      </c>
      <c r="D741" t="s">
        <v>565</v>
      </c>
      <c r="E741">
        <f t="shared" si="227"/>
        <v>1860</v>
      </c>
      <c r="F741">
        <f t="shared" si="228"/>
        <v>1860</v>
      </c>
      <c r="G741" s="2">
        <v>13</v>
      </c>
      <c r="H741">
        <v>0</v>
      </c>
      <c r="I741">
        <v>0</v>
      </c>
      <c r="J741">
        <v>0</v>
      </c>
      <c r="K741">
        <v>0</v>
      </c>
      <c r="L741">
        <v>673159</v>
      </c>
      <c r="M741">
        <v>1056</v>
      </c>
      <c r="N741">
        <v>10778</v>
      </c>
      <c r="O741">
        <v>12934</v>
      </c>
      <c r="P741">
        <v>8500</v>
      </c>
      <c r="Q741">
        <v>2550</v>
      </c>
      <c r="R741">
        <v>2550</v>
      </c>
      <c r="S741">
        <v>0</v>
      </c>
      <c r="T741">
        <v>0</v>
      </c>
      <c r="U741">
        <v>732</v>
      </c>
      <c r="V741">
        <v>0</v>
      </c>
      <c r="W741">
        <v>0</v>
      </c>
      <c r="X741" t="s">
        <v>627</v>
      </c>
      <c r="Y741">
        <v>1</v>
      </c>
      <c r="Z741">
        <v>0</v>
      </c>
      <c r="AA741">
        <v>50</v>
      </c>
      <c r="AB741">
        <v>25</v>
      </c>
      <c r="AC741">
        <v>0.4</v>
      </c>
    </row>
    <row r="742" spans="1:29">
      <c r="A742">
        <v>3060081</v>
      </c>
      <c r="B742">
        <v>2001</v>
      </c>
      <c r="C742">
        <v>63</v>
      </c>
      <c r="D742" t="s">
        <v>566</v>
      </c>
      <c r="E742">
        <f t="shared" si="227"/>
        <v>1910</v>
      </c>
      <c r="F742">
        <f t="shared" si="228"/>
        <v>1910</v>
      </c>
      <c r="G742" s="2">
        <v>25</v>
      </c>
      <c r="H742">
        <v>0</v>
      </c>
      <c r="I742">
        <v>0</v>
      </c>
      <c r="J742">
        <v>0</v>
      </c>
      <c r="K742">
        <v>0</v>
      </c>
      <c r="L742">
        <v>710282</v>
      </c>
      <c r="M742">
        <v>42</v>
      </c>
      <c r="N742">
        <v>20472</v>
      </c>
      <c r="O742">
        <v>24566</v>
      </c>
      <c r="P742">
        <v>9000</v>
      </c>
      <c r="Q742">
        <v>2700</v>
      </c>
      <c r="R742">
        <v>2700</v>
      </c>
      <c r="S742">
        <v>0</v>
      </c>
      <c r="T742">
        <v>0</v>
      </c>
      <c r="U742">
        <v>1488</v>
      </c>
      <c r="V742">
        <v>0</v>
      </c>
      <c r="W742">
        <v>0</v>
      </c>
      <c r="X742" t="s">
        <v>603</v>
      </c>
      <c r="Y742">
        <v>1</v>
      </c>
      <c r="Z742">
        <v>0</v>
      </c>
      <c r="AA742">
        <v>50</v>
      </c>
      <c r="AB742">
        <v>25</v>
      </c>
      <c r="AC742">
        <v>0.4</v>
      </c>
    </row>
    <row r="743" spans="1:29">
      <c r="A743">
        <v>3060091</v>
      </c>
      <c r="B743">
        <v>2001</v>
      </c>
      <c r="C743">
        <v>64</v>
      </c>
      <c r="D743" t="s">
        <v>625</v>
      </c>
      <c r="E743">
        <f t="shared" si="227"/>
        <v>1960</v>
      </c>
      <c r="F743">
        <f t="shared" si="228"/>
        <v>1960</v>
      </c>
      <c r="G743" s="2">
        <v>28</v>
      </c>
      <c r="H743">
        <v>0</v>
      </c>
      <c r="I743">
        <v>0</v>
      </c>
      <c r="J743">
        <v>0</v>
      </c>
      <c r="K743">
        <v>0</v>
      </c>
      <c r="L743">
        <v>691506</v>
      </c>
      <c r="M743">
        <v>1340</v>
      </c>
      <c r="N743">
        <v>16003</v>
      </c>
      <c r="O743">
        <v>19204</v>
      </c>
      <c r="P743">
        <v>9500</v>
      </c>
      <c r="Q743">
        <v>2850</v>
      </c>
      <c r="R743">
        <v>2850</v>
      </c>
      <c r="S743">
        <v>0</v>
      </c>
      <c r="T743">
        <v>0</v>
      </c>
      <c r="U743">
        <v>1535</v>
      </c>
      <c r="V743">
        <v>0</v>
      </c>
      <c r="W743">
        <v>0</v>
      </c>
      <c r="X743" t="s">
        <v>604</v>
      </c>
      <c r="Y743">
        <v>1</v>
      </c>
      <c r="Z743">
        <v>0</v>
      </c>
      <c r="AA743">
        <v>50</v>
      </c>
      <c r="AB743">
        <v>25</v>
      </c>
      <c r="AC743">
        <v>0.4</v>
      </c>
    </row>
    <row r="744" spans="1:29">
      <c r="A744">
        <v>3065011</v>
      </c>
      <c r="B744">
        <v>2001</v>
      </c>
      <c r="C744">
        <v>65</v>
      </c>
      <c r="D744" t="s">
        <v>559</v>
      </c>
      <c r="E744">
        <f t="shared" si="227"/>
        <v>2010</v>
      </c>
      <c r="F744">
        <f t="shared" si="228"/>
        <v>2010</v>
      </c>
      <c r="G744" s="2">
        <v>3</v>
      </c>
      <c r="H744">
        <v>0</v>
      </c>
      <c r="I744">
        <v>0</v>
      </c>
      <c r="J744">
        <v>0</v>
      </c>
      <c r="K744">
        <v>0</v>
      </c>
      <c r="L744">
        <v>477314</v>
      </c>
      <c r="M744">
        <v>810</v>
      </c>
      <c r="N744">
        <v>11509</v>
      </c>
      <c r="O744">
        <v>13811</v>
      </c>
      <c r="P744">
        <v>10000</v>
      </c>
      <c r="Q744">
        <v>3000</v>
      </c>
      <c r="R744">
        <v>3000</v>
      </c>
      <c r="S744">
        <v>0</v>
      </c>
      <c r="T744">
        <v>0</v>
      </c>
      <c r="U744">
        <v>1584</v>
      </c>
      <c r="V744">
        <v>0</v>
      </c>
      <c r="W744">
        <v>0</v>
      </c>
      <c r="X744" t="s">
        <v>600</v>
      </c>
      <c r="Y744">
        <v>1</v>
      </c>
      <c r="Z744">
        <v>0</v>
      </c>
      <c r="AA744">
        <v>50</v>
      </c>
      <c r="AB744">
        <v>25</v>
      </c>
      <c r="AC744">
        <v>0.4</v>
      </c>
    </row>
    <row r="745" spans="1:29">
      <c r="A745">
        <v>3065021</v>
      </c>
      <c r="B745">
        <v>2001</v>
      </c>
      <c r="C745">
        <v>65</v>
      </c>
      <c r="D745" t="s">
        <v>579</v>
      </c>
      <c r="E745">
        <f t="shared" si="227"/>
        <v>2010</v>
      </c>
      <c r="F745">
        <f t="shared" si="228"/>
        <v>2010</v>
      </c>
      <c r="G745" s="2" t="s">
        <v>637</v>
      </c>
      <c r="H745">
        <v>0</v>
      </c>
      <c r="I745">
        <v>0</v>
      </c>
      <c r="J745">
        <v>0</v>
      </c>
      <c r="K745">
        <v>0</v>
      </c>
      <c r="L745">
        <v>646819</v>
      </c>
      <c r="M745">
        <v>1350</v>
      </c>
      <c r="N745">
        <v>21354</v>
      </c>
      <c r="O745">
        <v>25625</v>
      </c>
      <c r="P745">
        <v>10000</v>
      </c>
      <c r="Q745">
        <v>3000</v>
      </c>
      <c r="R745">
        <v>3000</v>
      </c>
      <c r="S745">
        <v>0</v>
      </c>
      <c r="T745">
        <v>0</v>
      </c>
      <c r="U745">
        <v>1584</v>
      </c>
      <c r="V745">
        <v>0</v>
      </c>
      <c r="W745">
        <v>0</v>
      </c>
      <c r="X745" t="s">
        <v>619</v>
      </c>
      <c r="Y745">
        <v>1</v>
      </c>
      <c r="Z745">
        <v>0</v>
      </c>
      <c r="AA745">
        <v>50</v>
      </c>
      <c r="AB745">
        <v>25</v>
      </c>
      <c r="AC745">
        <v>0.4</v>
      </c>
    </row>
    <row r="746" spans="1:29">
      <c r="A746">
        <v>3065031</v>
      </c>
      <c r="B746">
        <v>2001</v>
      </c>
      <c r="C746">
        <v>66</v>
      </c>
      <c r="D746" t="s">
        <v>580</v>
      </c>
      <c r="E746">
        <f t="shared" si="227"/>
        <v>2060</v>
      </c>
      <c r="F746">
        <f t="shared" si="228"/>
        <v>2060</v>
      </c>
      <c r="G746" s="2">
        <v>20</v>
      </c>
      <c r="H746">
        <v>0</v>
      </c>
      <c r="I746">
        <v>0</v>
      </c>
      <c r="J746">
        <v>0</v>
      </c>
      <c r="K746">
        <v>0</v>
      </c>
      <c r="L746">
        <v>533462</v>
      </c>
      <c r="M746">
        <v>2176</v>
      </c>
      <c r="N746">
        <v>23731</v>
      </c>
      <c r="O746">
        <v>28477</v>
      </c>
      <c r="P746">
        <v>10500</v>
      </c>
      <c r="Q746">
        <v>3150</v>
      </c>
      <c r="R746">
        <v>3150</v>
      </c>
      <c r="S746">
        <v>0</v>
      </c>
      <c r="T746">
        <v>0</v>
      </c>
      <c r="U746">
        <v>828</v>
      </c>
      <c r="V746">
        <v>0</v>
      </c>
      <c r="W746">
        <v>0</v>
      </c>
      <c r="X746" t="s">
        <v>623</v>
      </c>
      <c r="Y746">
        <v>1</v>
      </c>
      <c r="Z746">
        <v>0</v>
      </c>
      <c r="AA746">
        <v>50</v>
      </c>
      <c r="AB746">
        <v>25</v>
      </c>
      <c r="AC746">
        <v>0.4</v>
      </c>
    </row>
    <row r="747" spans="1:29">
      <c r="A747">
        <v>3065041</v>
      </c>
      <c r="B747">
        <v>2001</v>
      </c>
      <c r="C747">
        <v>66</v>
      </c>
      <c r="D747" t="s">
        <v>562</v>
      </c>
      <c r="E747">
        <f t="shared" si="227"/>
        <v>2060</v>
      </c>
      <c r="F747">
        <f t="shared" si="228"/>
        <v>2060</v>
      </c>
      <c r="G747" s="2">
        <v>2</v>
      </c>
      <c r="H747">
        <v>0</v>
      </c>
      <c r="I747">
        <v>0</v>
      </c>
      <c r="J747">
        <v>0</v>
      </c>
      <c r="K747">
        <v>0</v>
      </c>
      <c r="L747">
        <v>454776</v>
      </c>
      <c r="M747">
        <v>1088</v>
      </c>
      <c r="N747">
        <v>12632</v>
      </c>
      <c r="O747">
        <v>15158</v>
      </c>
      <c r="P747">
        <v>10500</v>
      </c>
      <c r="Q747">
        <v>3150</v>
      </c>
      <c r="R747">
        <v>3150</v>
      </c>
      <c r="S747">
        <v>0</v>
      </c>
      <c r="T747">
        <v>0</v>
      </c>
      <c r="U747">
        <v>1632</v>
      </c>
      <c r="V747">
        <v>0</v>
      </c>
      <c r="W747">
        <v>0</v>
      </c>
      <c r="X747" t="s">
        <v>599</v>
      </c>
      <c r="Y747">
        <v>1</v>
      </c>
      <c r="Z747">
        <v>0</v>
      </c>
      <c r="AA747">
        <v>50</v>
      </c>
      <c r="AB747">
        <v>25</v>
      </c>
      <c r="AC747">
        <v>0.4</v>
      </c>
    </row>
    <row r="748" spans="1:29">
      <c r="A748">
        <f>A747+1</f>
        <v>3065042</v>
      </c>
      <c r="B748">
        <v>2001</v>
      </c>
      <c r="C748">
        <f>C747</f>
        <v>66</v>
      </c>
      <c r="D748" t="s">
        <v>584</v>
      </c>
      <c r="E748">
        <f>E747</f>
        <v>2060</v>
      </c>
      <c r="F748">
        <f t="shared" ref="F748:F749" si="240">F747</f>
        <v>2060</v>
      </c>
      <c r="G748" s="2">
        <v>9</v>
      </c>
      <c r="H748">
        <f t="shared" ref="H748:H749" si="241">H747</f>
        <v>0</v>
      </c>
      <c r="I748">
        <f t="shared" ref="I748:I749" si="242">I747</f>
        <v>0</v>
      </c>
      <c r="J748">
        <f t="shared" ref="J748:J749" si="243">J747</f>
        <v>0</v>
      </c>
      <c r="K748">
        <f t="shared" ref="K748:K749" si="244">K747</f>
        <v>0</v>
      </c>
      <c r="L748">
        <v>212229</v>
      </c>
      <c r="M748">
        <v>1359.9999999999998</v>
      </c>
      <c r="N748">
        <v>7368</v>
      </c>
      <c r="O748">
        <v>8842</v>
      </c>
      <c r="P748">
        <v>10500</v>
      </c>
      <c r="Q748">
        <v>3150</v>
      </c>
      <c r="R748">
        <v>3150</v>
      </c>
      <c r="S748">
        <v>0</v>
      </c>
      <c r="T748">
        <v>0</v>
      </c>
      <c r="U748">
        <v>1632</v>
      </c>
      <c r="V748">
        <v>0</v>
      </c>
      <c r="W748">
        <v>0</v>
      </c>
      <c r="X748" t="s">
        <v>592</v>
      </c>
      <c r="Y748">
        <v>1</v>
      </c>
      <c r="Z748">
        <v>0</v>
      </c>
      <c r="AA748">
        <v>50</v>
      </c>
      <c r="AB748">
        <v>25</v>
      </c>
      <c r="AC748">
        <v>0.4</v>
      </c>
    </row>
    <row r="749" spans="1:29">
      <c r="A749">
        <f>A748+1</f>
        <v>3065043</v>
      </c>
      <c r="B749">
        <v>2001</v>
      </c>
      <c r="C749">
        <f>C748</f>
        <v>66</v>
      </c>
      <c r="D749" t="s">
        <v>585</v>
      </c>
      <c r="E749">
        <f>E748</f>
        <v>2060</v>
      </c>
      <c r="F749">
        <f t="shared" si="240"/>
        <v>2060</v>
      </c>
      <c r="G749" s="2">
        <v>10</v>
      </c>
      <c r="H749">
        <f t="shared" si="241"/>
        <v>0</v>
      </c>
      <c r="I749">
        <f t="shared" si="242"/>
        <v>0</v>
      </c>
      <c r="J749">
        <f t="shared" si="243"/>
        <v>0</v>
      </c>
      <c r="K749">
        <f t="shared" si="244"/>
        <v>0</v>
      </c>
      <c r="L749">
        <v>212229</v>
      </c>
      <c r="M749">
        <v>1359.9999999999998</v>
      </c>
      <c r="N749">
        <v>7368</v>
      </c>
      <c r="O749">
        <v>8842</v>
      </c>
      <c r="P749">
        <v>10500</v>
      </c>
      <c r="Q749">
        <v>3150</v>
      </c>
      <c r="R749">
        <v>3150</v>
      </c>
      <c r="S749">
        <v>0</v>
      </c>
      <c r="T749">
        <v>0</v>
      </c>
      <c r="U749">
        <v>1632</v>
      </c>
      <c r="V749">
        <v>0</v>
      </c>
      <c r="W749">
        <v>0</v>
      </c>
      <c r="X749" t="s">
        <v>593</v>
      </c>
      <c r="Y749">
        <v>1</v>
      </c>
      <c r="Z749">
        <v>0</v>
      </c>
      <c r="AA749">
        <v>50</v>
      </c>
      <c r="AB749">
        <v>25</v>
      </c>
      <c r="AC749">
        <v>0.4</v>
      </c>
    </row>
    <row r="750" spans="1:29">
      <c r="A750">
        <v>3065051</v>
      </c>
      <c r="B750">
        <v>2001</v>
      </c>
      <c r="C750">
        <v>66</v>
      </c>
      <c r="D750" t="s">
        <v>563</v>
      </c>
      <c r="E750">
        <f t="shared" si="227"/>
        <v>2060</v>
      </c>
      <c r="F750">
        <f t="shared" si="228"/>
        <v>2060</v>
      </c>
      <c r="G750" s="2">
        <v>21</v>
      </c>
      <c r="H750">
        <v>0</v>
      </c>
      <c r="I750">
        <v>0</v>
      </c>
      <c r="J750">
        <v>0</v>
      </c>
      <c r="K750">
        <v>0</v>
      </c>
      <c r="L750">
        <v>767314</v>
      </c>
      <c r="M750">
        <v>1359.9999999999998</v>
      </c>
      <c r="N750">
        <v>22412</v>
      </c>
      <c r="O750">
        <v>26894</v>
      </c>
      <c r="P750">
        <v>10500</v>
      </c>
      <c r="Q750">
        <v>3150</v>
      </c>
      <c r="R750">
        <v>3150</v>
      </c>
      <c r="S750">
        <v>0</v>
      </c>
      <c r="T750">
        <v>0</v>
      </c>
      <c r="U750">
        <v>1632</v>
      </c>
      <c r="V750">
        <v>0</v>
      </c>
      <c r="W750">
        <v>0</v>
      </c>
      <c r="X750" t="s">
        <v>594</v>
      </c>
      <c r="Y750">
        <v>1</v>
      </c>
      <c r="Z750">
        <v>0</v>
      </c>
      <c r="AA750">
        <v>50</v>
      </c>
      <c r="AB750">
        <v>25</v>
      </c>
      <c r="AC750">
        <v>0.4</v>
      </c>
    </row>
    <row r="751" spans="1:29">
      <c r="A751">
        <v>3065061</v>
      </c>
      <c r="B751">
        <v>2001</v>
      </c>
      <c r="C751">
        <v>67</v>
      </c>
      <c r="D751" t="s">
        <v>564</v>
      </c>
      <c r="E751">
        <f t="shared" si="227"/>
        <v>2110</v>
      </c>
      <c r="F751">
        <f t="shared" si="228"/>
        <v>2110</v>
      </c>
      <c r="G751" s="2">
        <v>14</v>
      </c>
      <c r="H751">
        <v>0</v>
      </c>
      <c r="I751">
        <v>0</v>
      </c>
      <c r="J751">
        <v>0</v>
      </c>
      <c r="K751">
        <v>0</v>
      </c>
      <c r="L751">
        <v>869033</v>
      </c>
      <c r="M751">
        <v>1370</v>
      </c>
      <c r="N751">
        <v>24363</v>
      </c>
      <c r="O751">
        <v>29236</v>
      </c>
      <c r="P751">
        <v>11000</v>
      </c>
      <c r="Q751">
        <v>3300</v>
      </c>
      <c r="R751">
        <v>3300</v>
      </c>
      <c r="S751">
        <v>0</v>
      </c>
      <c r="T751">
        <v>0</v>
      </c>
      <c r="U751">
        <v>854</v>
      </c>
      <c r="V751">
        <v>0</v>
      </c>
      <c r="W751">
        <v>0</v>
      </c>
      <c r="X751" t="s">
        <v>626</v>
      </c>
      <c r="Y751">
        <v>1</v>
      </c>
      <c r="Z751">
        <v>0</v>
      </c>
      <c r="AA751">
        <v>50</v>
      </c>
      <c r="AB751">
        <v>25</v>
      </c>
      <c r="AC751">
        <v>0.4</v>
      </c>
    </row>
    <row r="752" spans="1:29">
      <c r="A752">
        <v>3065071</v>
      </c>
      <c r="B752">
        <v>2001</v>
      </c>
      <c r="C752">
        <v>67</v>
      </c>
      <c r="D752" t="s">
        <v>565</v>
      </c>
      <c r="E752">
        <f t="shared" si="227"/>
        <v>2110</v>
      </c>
      <c r="F752">
        <f t="shared" si="228"/>
        <v>2110</v>
      </c>
      <c r="G752" s="2">
        <v>13</v>
      </c>
      <c r="H752">
        <v>0</v>
      </c>
      <c r="I752">
        <v>0</v>
      </c>
      <c r="J752">
        <v>0</v>
      </c>
      <c r="K752">
        <v>0</v>
      </c>
      <c r="L752">
        <v>930217</v>
      </c>
      <c r="M752">
        <v>1096</v>
      </c>
      <c r="N752">
        <v>18239</v>
      </c>
      <c r="O752">
        <v>21887</v>
      </c>
      <c r="P752">
        <v>11000</v>
      </c>
      <c r="Q752">
        <v>3300</v>
      </c>
      <c r="R752">
        <v>3300</v>
      </c>
      <c r="S752">
        <v>0</v>
      </c>
      <c r="T752">
        <v>0</v>
      </c>
      <c r="U752">
        <v>854</v>
      </c>
      <c r="V752">
        <v>0</v>
      </c>
      <c r="W752">
        <v>0</v>
      </c>
      <c r="X752" t="s">
        <v>627</v>
      </c>
      <c r="Y752">
        <v>1</v>
      </c>
      <c r="Z752">
        <v>0</v>
      </c>
      <c r="AA752">
        <v>50</v>
      </c>
      <c r="AB752">
        <v>25</v>
      </c>
      <c r="AC752">
        <v>0.4</v>
      </c>
    </row>
    <row r="753" spans="1:29">
      <c r="A753">
        <v>3065081</v>
      </c>
      <c r="B753">
        <v>2001</v>
      </c>
      <c r="C753">
        <v>68</v>
      </c>
      <c r="D753" t="s">
        <v>566</v>
      </c>
      <c r="E753">
        <f t="shared" si="227"/>
        <v>2160</v>
      </c>
      <c r="F753">
        <f t="shared" si="228"/>
        <v>2160</v>
      </c>
      <c r="G753" s="2">
        <v>25</v>
      </c>
      <c r="H753">
        <v>0</v>
      </c>
      <c r="I753">
        <v>0</v>
      </c>
      <c r="J753">
        <v>0</v>
      </c>
      <c r="K753">
        <v>0</v>
      </c>
      <c r="L753">
        <v>985271</v>
      </c>
      <c r="M753">
        <v>42</v>
      </c>
      <c r="N753">
        <v>34833</v>
      </c>
      <c r="O753">
        <v>41800</v>
      </c>
      <c r="P753">
        <v>11500</v>
      </c>
      <c r="Q753">
        <v>3450</v>
      </c>
      <c r="R753">
        <v>3450</v>
      </c>
      <c r="S753">
        <v>0</v>
      </c>
      <c r="T753">
        <v>0</v>
      </c>
      <c r="U753">
        <v>1731</v>
      </c>
      <c r="V753">
        <v>0</v>
      </c>
      <c r="W753">
        <v>0</v>
      </c>
      <c r="X753" t="s">
        <v>603</v>
      </c>
      <c r="Y753">
        <v>1</v>
      </c>
      <c r="Z753">
        <v>0</v>
      </c>
      <c r="AA753">
        <v>50</v>
      </c>
      <c r="AB753">
        <v>25</v>
      </c>
      <c r="AC753">
        <v>0.4</v>
      </c>
    </row>
    <row r="754" spans="1:29">
      <c r="A754">
        <v>3065091</v>
      </c>
      <c r="B754">
        <v>2001</v>
      </c>
      <c r="C754">
        <v>69</v>
      </c>
      <c r="D754" t="s">
        <v>625</v>
      </c>
      <c r="E754">
        <f t="shared" si="227"/>
        <v>2210</v>
      </c>
      <c r="F754">
        <f t="shared" si="228"/>
        <v>2210</v>
      </c>
      <c r="G754" s="2">
        <v>28</v>
      </c>
      <c r="H754">
        <v>0</v>
      </c>
      <c r="I754">
        <v>0</v>
      </c>
      <c r="J754">
        <v>0</v>
      </c>
      <c r="K754">
        <v>0</v>
      </c>
      <c r="L754">
        <v>961666</v>
      </c>
      <c r="M754">
        <v>1390.0000000000002</v>
      </c>
      <c r="N754">
        <v>27430</v>
      </c>
      <c r="O754">
        <v>32916</v>
      </c>
      <c r="P754">
        <v>12000</v>
      </c>
      <c r="Q754">
        <v>3600</v>
      </c>
      <c r="R754">
        <v>3600</v>
      </c>
      <c r="S754">
        <v>0</v>
      </c>
      <c r="T754">
        <v>0</v>
      </c>
      <c r="U754">
        <v>1782</v>
      </c>
      <c r="V754">
        <v>0</v>
      </c>
      <c r="W754">
        <v>0</v>
      </c>
      <c r="X754" t="s">
        <v>604</v>
      </c>
      <c r="Y754">
        <v>1</v>
      </c>
      <c r="Z754">
        <v>0</v>
      </c>
      <c r="AA754">
        <v>50</v>
      </c>
      <c r="AB754">
        <v>25</v>
      </c>
      <c r="AC754">
        <v>0.4</v>
      </c>
    </row>
    <row r="755" spans="1:29">
      <c r="A755">
        <v>3070011</v>
      </c>
      <c r="B755">
        <v>2001</v>
      </c>
      <c r="C755">
        <v>70</v>
      </c>
      <c r="D755" t="s">
        <v>559</v>
      </c>
      <c r="E755">
        <f t="shared" si="227"/>
        <v>2260</v>
      </c>
      <c r="F755">
        <f t="shared" si="228"/>
        <v>2260</v>
      </c>
      <c r="G755" s="2">
        <v>3</v>
      </c>
      <c r="H755">
        <v>0</v>
      </c>
      <c r="I755">
        <v>0</v>
      </c>
      <c r="J755">
        <v>0</v>
      </c>
      <c r="K755">
        <v>0</v>
      </c>
      <c r="L755">
        <v>640956</v>
      </c>
      <c r="M755">
        <v>840</v>
      </c>
      <c r="N755">
        <v>16949</v>
      </c>
      <c r="O755">
        <v>20339</v>
      </c>
      <c r="P755">
        <v>12500</v>
      </c>
      <c r="Q755">
        <v>3750</v>
      </c>
      <c r="R755">
        <v>3750</v>
      </c>
      <c r="S755">
        <v>0</v>
      </c>
      <c r="T755">
        <v>0</v>
      </c>
      <c r="U755">
        <v>1834</v>
      </c>
      <c r="V755">
        <v>0</v>
      </c>
      <c r="W755">
        <v>0</v>
      </c>
      <c r="X755" t="s">
        <v>600</v>
      </c>
      <c r="Y755">
        <v>1</v>
      </c>
      <c r="Z755">
        <v>0</v>
      </c>
      <c r="AA755">
        <v>50</v>
      </c>
      <c r="AB755">
        <v>25</v>
      </c>
      <c r="AC755">
        <v>0.4</v>
      </c>
    </row>
    <row r="756" spans="1:29">
      <c r="A756">
        <v>3070021</v>
      </c>
      <c r="B756">
        <v>2001</v>
      </c>
      <c r="C756">
        <v>70</v>
      </c>
      <c r="D756" t="s">
        <v>579</v>
      </c>
      <c r="E756">
        <f t="shared" si="227"/>
        <v>2260</v>
      </c>
      <c r="F756">
        <f t="shared" si="228"/>
        <v>2260</v>
      </c>
      <c r="G756" s="2" t="s">
        <v>637</v>
      </c>
      <c r="H756">
        <v>0</v>
      </c>
      <c r="I756">
        <v>0</v>
      </c>
      <c r="J756">
        <v>0</v>
      </c>
      <c r="K756">
        <v>0</v>
      </c>
      <c r="L756">
        <v>864708</v>
      </c>
      <c r="M756">
        <v>1400</v>
      </c>
      <c r="N756">
        <v>31738</v>
      </c>
      <c r="O756">
        <v>38086</v>
      </c>
      <c r="P756">
        <v>12500</v>
      </c>
      <c r="Q756">
        <v>3750</v>
      </c>
      <c r="R756">
        <v>3750</v>
      </c>
      <c r="S756">
        <v>0</v>
      </c>
      <c r="T756">
        <v>0</v>
      </c>
      <c r="U756">
        <v>1834</v>
      </c>
      <c r="V756">
        <v>0</v>
      </c>
      <c r="W756">
        <v>0</v>
      </c>
      <c r="X756" t="s">
        <v>619</v>
      </c>
      <c r="Y756">
        <v>1</v>
      </c>
      <c r="Z756">
        <v>0</v>
      </c>
      <c r="AA756">
        <v>50</v>
      </c>
      <c r="AB756">
        <v>25</v>
      </c>
      <c r="AC756">
        <v>0.4</v>
      </c>
    </row>
    <row r="757" spans="1:29">
      <c r="A757">
        <v>3070031</v>
      </c>
      <c r="B757">
        <v>2001</v>
      </c>
      <c r="C757">
        <v>71</v>
      </c>
      <c r="D757" t="s">
        <v>580</v>
      </c>
      <c r="E757">
        <f t="shared" si="227"/>
        <v>2320</v>
      </c>
      <c r="F757">
        <f t="shared" si="228"/>
        <v>2320</v>
      </c>
      <c r="G757" s="2">
        <v>20</v>
      </c>
      <c r="H757">
        <v>0</v>
      </c>
      <c r="I757">
        <v>0</v>
      </c>
      <c r="J757">
        <v>0</v>
      </c>
      <c r="K757">
        <v>0</v>
      </c>
      <c r="L757">
        <v>713091</v>
      </c>
      <c r="M757">
        <v>2256</v>
      </c>
      <c r="N757">
        <v>35705</v>
      </c>
      <c r="O757">
        <v>42846</v>
      </c>
      <c r="P757">
        <v>13000</v>
      </c>
      <c r="Q757">
        <v>3900</v>
      </c>
      <c r="R757">
        <v>3900</v>
      </c>
      <c r="S757">
        <v>0</v>
      </c>
      <c r="T757">
        <v>0</v>
      </c>
      <c r="U757">
        <v>958</v>
      </c>
      <c r="V757">
        <v>0</v>
      </c>
      <c r="W757">
        <v>0</v>
      </c>
      <c r="X757" t="s">
        <v>623</v>
      </c>
      <c r="Y757">
        <v>1</v>
      </c>
      <c r="Z757">
        <v>0</v>
      </c>
      <c r="AA757">
        <v>50</v>
      </c>
      <c r="AB757">
        <v>25</v>
      </c>
      <c r="AC757">
        <v>0.4</v>
      </c>
    </row>
    <row r="758" spans="1:29">
      <c r="A758">
        <v>3070041</v>
      </c>
      <c r="B758">
        <v>2001</v>
      </c>
      <c r="C758">
        <v>71</v>
      </c>
      <c r="D758" t="s">
        <v>562</v>
      </c>
      <c r="E758">
        <f t="shared" si="227"/>
        <v>2320</v>
      </c>
      <c r="F758">
        <f t="shared" si="228"/>
        <v>2320</v>
      </c>
      <c r="G758" s="2">
        <v>2</v>
      </c>
      <c r="H758">
        <v>0</v>
      </c>
      <c r="I758">
        <v>0</v>
      </c>
      <c r="J758">
        <v>0</v>
      </c>
      <c r="K758">
        <v>0</v>
      </c>
      <c r="L758">
        <v>606214</v>
      </c>
      <c r="M758">
        <v>1128</v>
      </c>
      <c r="N758">
        <v>19112</v>
      </c>
      <c r="O758">
        <v>22934</v>
      </c>
      <c r="P758">
        <v>13000</v>
      </c>
      <c r="Q758">
        <v>3900</v>
      </c>
      <c r="R758">
        <v>3900</v>
      </c>
      <c r="S758">
        <v>0</v>
      </c>
      <c r="T758">
        <v>0</v>
      </c>
      <c r="U758">
        <v>1886</v>
      </c>
      <c r="V758">
        <v>0</v>
      </c>
      <c r="W758">
        <v>0</v>
      </c>
      <c r="X758" t="s">
        <v>599</v>
      </c>
      <c r="Y758">
        <v>1</v>
      </c>
      <c r="Z758">
        <v>0</v>
      </c>
      <c r="AA758">
        <v>50</v>
      </c>
      <c r="AB758">
        <v>25</v>
      </c>
      <c r="AC758">
        <v>0.4</v>
      </c>
    </row>
    <row r="759" spans="1:29">
      <c r="A759">
        <f>A758+1</f>
        <v>3070042</v>
      </c>
      <c r="B759">
        <v>2001</v>
      </c>
      <c r="C759">
        <f>C758</f>
        <v>71</v>
      </c>
      <c r="D759" t="s">
        <v>584</v>
      </c>
      <c r="E759">
        <f>E758</f>
        <v>2320</v>
      </c>
      <c r="F759">
        <f t="shared" ref="F759:F760" si="245">F758</f>
        <v>2320</v>
      </c>
      <c r="G759" s="2">
        <v>9</v>
      </c>
      <c r="H759">
        <f t="shared" ref="H759:H760" si="246">H758</f>
        <v>0</v>
      </c>
      <c r="I759">
        <f t="shared" ref="I759:I760" si="247">I758</f>
        <v>0</v>
      </c>
      <c r="J759">
        <f t="shared" ref="J759:J760" si="248">J758</f>
        <v>0</v>
      </c>
      <c r="K759">
        <f t="shared" ref="K759:K760" si="249">K758</f>
        <v>0</v>
      </c>
      <c r="L759">
        <v>282900</v>
      </c>
      <c r="M759">
        <v>1410</v>
      </c>
      <c r="N759">
        <v>11148</v>
      </c>
      <c r="O759">
        <v>13378</v>
      </c>
      <c r="P759">
        <v>13000</v>
      </c>
      <c r="Q759">
        <v>3900</v>
      </c>
      <c r="R759">
        <v>3900</v>
      </c>
      <c r="S759">
        <v>0</v>
      </c>
      <c r="T759">
        <v>0</v>
      </c>
      <c r="U759">
        <v>1886</v>
      </c>
      <c r="V759">
        <v>0</v>
      </c>
      <c r="W759">
        <v>0</v>
      </c>
      <c r="X759" t="s">
        <v>592</v>
      </c>
      <c r="Y759">
        <v>1</v>
      </c>
      <c r="Z759">
        <v>0</v>
      </c>
      <c r="AA759">
        <v>50</v>
      </c>
      <c r="AB759">
        <v>25</v>
      </c>
      <c r="AC759">
        <v>0.4</v>
      </c>
    </row>
    <row r="760" spans="1:29">
      <c r="A760">
        <f>A759+1</f>
        <v>3070043</v>
      </c>
      <c r="B760">
        <v>2001</v>
      </c>
      <c r="C760">
        <f>C759</f>
        <v>71</v>
      </c>
      <c r="D760" t="s">
        <v>585</v>
      </c>
      <c r="E760">
        <f>E759</f>
        <v>2320</v>
      </c>
      <c r="F760">
        <f t="shared" si="245"/>
        <v>2320</v>
      </c>
      <c r="G760" s="2">
        <v>10</v>
      </c>
      <c r="H760">
        <f t="shared" si="246"/>
        <v>0</v>
      </c>
      <c r="I760">
        <f t="shared" si="247"/>
        <v>0</v>
      </c>
      <c r="J760">
        <f t="shared" si="248"/>
        <v>0</v>
      </c>
      <c r="K760">
        <f t="shared" si="249"/>
        <v>0</v>
      </c>
      <c r="L760">
        <v>282900</v>
      </c>
      <c r="M760">
        <v>1410</v>
      </c>
      <c r="N760">
        <v>11148</v>
      </c>
      <c r="O760">
        <v>13378</v>
      </c>
      <c r="P760">
        <v>13000</v>
      </c>
      <c r="Q760">
        <v>3900</v>
      </c>
      <c r="R760">
        <v>3900</v>
      </c>
      <c r="S760">
        <v>0</v>
      </c>
      <c r="T760">
        <v>0</v>
      </c>
      <c r="U760">
        <v>1886</v>
      </c>
      <c r="V760">
        <v>0</v>
      </c>
      <c r="W760">
        <v>0</v>
      </c>
      <c r="X760" t="s">
        <v>593</v>
      </c>
      <c r="Y760">
        <v>1</v>
      </c>
      <c r="Z760">
        <v>0</v>
      </c>
      <c r="AA760">
        <v>50</v>
      </c>
      <c r="AB760">
        <v>25</v>
      </c>
      <c r="AC760">
        <v>0.4</v>
      </c>
    </row>
    <row r="761" spans="1:29">
      <c r="A761">
        <v>3070051</v>
      </c>
      <c r="B761">
        <v>2001</v>
      </c>
      <c r="C761">
        <v>71</v>
      </c>
      <c r="D761" t="s">
        <v>563</v>
      </c>
      <c r="E761">
        <f t="shared" si="227"/>
        <v>2320</v>
      </c>
      <c r="F761">
        <f t="shared" si="228"/>
        <v>2320</v>
      </c>
      <c r="G761" s="2">
        <v>21</v>
      </c>
      <c r="H761">
        <v>0</v>
      </c>
      <c r="I761">
        <v>0</v>
      </c>
      <c r="J761">
        <v>0</v>
      </c>
      <c r="K761">
        <v>0</v>
      </c>
      <c r="L761">
        <v>1019974</v>
      </c>
      <c r="M761">
        <v>1410</v>
      </c>
      <c r="N761">
        <v>34100</v>
      </c>
      <c r="O761">
        <v>40920</v>
      </c>
      <c r="P761">
        <v>13000</v>
      </c>
      <c r="Q761">
        <v>3900</v>
      </c>
      <c r="R761">
        <v>3900</v>
      </c>
      <c r="S761">
        <v>0</v>
      </c>
      <c r="T761">
        <v>0</v>
      </c>
      <c r="U761">
        <v>1886</v>
      </c>
      <c r="V761">
        <v>0</v>
      </c>
      <c r="W761">
        <v>0</v>
      </c>
      <c r="X761" t="s">
        <v>594</v>
      </c>
      <c r="Y761">
        <v>1</v>
      </c>
      <c r="Z761">
        <v>0</v>
      </c>
      <c r="AA761">
        <v>50</v>
      </c>
      <c r="AB761">
        <v>25</v>
      </c>
      <c r="AC761">
        <v>0.4</v>
      </c>
    </row>
    <row r="762" spans="1:29">
      <c r="A762">
        <v>3070061</v>
      </c>
      <c r="B762">
        <v>2001</v>
      </c>
      <c r="C762">
        <v>72</v>
      </c>
      <c r="D762" t="s">
        <v>564</v>
      </c>
      <c r="E762">
        <f t="shared" si="227"/>
        <v>2380</v>
      </c>
      <c r="F762">
        <f t="shared" si="228"/>
        <v>2380</v>
      </c>
      <c r="G762" s="2">
        <v>14</v>
      </c>
      <c r="H762">
        <v>0</v>
      </c>
      <c r="I762">
        <v>0</v>
      </c>
      <c r="J762">
        <v>0</v>
      </c>
      <c r="K762">
        <v>0</v>
      </c>
      <c r="L762">
        <v>1158494</v>
      </c>
      <c r="M762">
        <v>1420</v>
      </c>
      <c r="N762">
        <v>37344</v>
      </c>
      <c r="O762">
        <v>44813</v>
      </c>
      <c r="P762">
        <v>13500</v>
      </c>
      <c r="Q762">
        <v>4050</v>
      </c>
      <c r="R762">
        <v>4050</v>
      </c>
      <c r="S762">
        <v>0</v>
      </c>
      <c r="T762">
        <v>0</v>
      </c>
      <c r="U762">
        <v>984</v>
      </c>
      <c r="V762">
        <v>0</v>
      </c>
      <c r="W762">
        <v>0</v>
      </c>
      <c r="X762" t="s">
        <v>626</v>
      </c>
      <c r="Y762">
        <v>1</v>
      </c>
      <c r="Z762">
        <v>0</v>
      </c>
      <c r="AA762">
        <v>50</v>
      </c>
      <c r="AB762">
        <v>25</v>
      </c>
      <c r="AC762">
        <v>0.4</v>
      </c>
    </row>
    <row r="763" spans="1:29">
      <c r="A763">
        <v>3070071</v>
      </c>
      <c r="B763">
        <v>2001</v>
      </c>
      <c r="C763">
        <v>72</v>
      </c>
      <c r="D763" t="s">
        <v>565</v>
      </c>
      <c r="E763">
        <f t="shared" si="227"/>
        <v>2380</v>
      </c>
      <c r="F763">
        <f t="shared" si="228"/>
        <v>2380</v>
      </c>
      <c r="G763" s="2">
        <v>13</v>
      </c>
      <c r="H763">
        <v>0</v>
      </c>
      <c r="I763">
        <v>0</v>
      </c>
      <c r="J763">
        <v>0</v>
      </c>
      <c r="K763">
        <v>0</v>
      </c>
      <c r="L763">
        <v>1237059</v>
      </c>
      <c r="M763">
        <v>1136</v>
      </c>
      <c r="N763">
        <v>28090</v>
      </c>
      <c r="O763">
        <v>33708</v>
      </c>
      <c r="P763">
        <v>13500</v>
      </c>
      <c r="Q763">
        <v>4050</v>
      </c>
      <c r="R763">
        <v>4050</v>
      </c>
      <c r="S763">
        <v>0</v>
      </c>
      <c r="T763">
        <v>0</v>
      </c>
      <c r="U763">
        <v>984</v>
      </c>
      <c r="V763">
        <v>0</v>
      </c>
      <c r="W763">
        <v>0</v>
      </c>
      <c r="X763" t="s">
        <v>627</v>
      </c>
      <c r="Y763">
        <v>1</v>
      </c>
      <c r="Z763">
        <v>0</v>
      </c>
      <c r="AA763">
        <v>50</v>
      </c>
      <c r="AB763">
        <v>25</v>
      </c>
      <c r="AC763">
        <v>0.4</v>
      </c>
    </row>
    <row r="764" spans="1:29">
      <c r="A764">
        <v>3070081</v>
      </c>
      <c r="B764">
        <v>2001</v>
      </c>
      <c r="C764">
        <v>73</v>
      </c>
      <c r="D764" t="s">
        <v>566</v>
      </c>
      <c r="E764">
        <f t="shared" si="227"/>
        <v>2440</v>
      </c>
      <c r="F764">
        <f t="shared" si="228"/>
        <v>2440</v>
      </c>
      <c r="G764" s="2">
        <v>25</v>
      </c>
      <c r="H764">
        <v>0</v>
      </c>
      <c r="I764">
        <v>0</v>
      </c>
      <c r="J764">
        <v>0</v>
      </c>
      <c r="K764">
        <v>0</v>
      </c>
      <c r="L764">
        <v>1316694</v>
      </c>
      <c r="M764">
        <v>42</v>
      </c>
      <c r="N764">
        <v>53903</v>
      </c>
      <c r="O764">
        <v>64684</v>
      </c>
      <c r="P764">
        <v>14000</v>
      </c>
      <c r="Q764">
        <v>4200</v>
      </c>
      <c r="R764">
        <v>4200</v>
      </c>
      <c r="S764">
        <v>0</v>
      </c>
      <c r="T764">
        <v>0</v>
      </c>
      <c r="U764">
        <v>1993</v>
      </c>
      <c r="V764">
        <v>0</v>
      </c>
      <c r="W764">
        <v>0</v>
      </c>
      <c r="X764" t="s">
        <v>603</v>
      </c>
      <c r="Y764">
        <v>1</v>
      </c>
      <c r="Z764">
        <v>0</v>
      </c>
      <c r="AA764">
        <v>50</v>
      </c>
      <c r="AB764">
        <v>25</v>
      </c>
      <c r="AC764">
        <v>0.4</v>
      </c>
    </row>
    <row r="765" spans="1:29">
      <c r="A765">
        <v>3070091</v>
      </c>
      <c r="B765">
        <v>2001</v>
      </c>
      <c r="C765">
        <v>74</v>
      </c>
      <c r="D765" t="s">
        <v>625</v>
      </c>
      <c r="E765">
        <f t="shared" si="227"/>
        <v>2500</v>
      </c>
      <c r="F765">
        <f t="shared" si="228"/>
        <v>2500</v>
      </c>
      <c r="G765" s="2">
        <v>28</v>
      </c>
      <c r="H765">
        <v>0</v>
      </c>
      <c r="I765">
        <v>0</v>
      </c>
      <c r="J765">
        <v>0</v>
      </c>
      <c r="K765">
        <v>0</v>
      </c>
      <c r="L765">
        <v>1291314</v>
      </c>
      <c r="M765">
        <v>1440</v>
      </c>
      <c r="N765">
        <v>42717</v>
      </c>
      <c r="O765">
        <v>51260</v>
      </c>
      <c r="P765">
        <v>14500</v>
      </c>
      <c r="Q765">
        <v>4350</v>
      </c>
      <c r="R765">
        <v>4350</v>
      </c>
      <c r="S765">
        <v>0</v>
      </c>
      <c r="T765">
        <v>0</v>
      </c>
      <c r="U765">
        <v>2047</v>
      </c>
      <c r="V765">
        <v>0</v>
      </c>
      <c r="W765">
        <v>0</v>
      </c>
      <c r="X765" t="s">
        <v>604</v>
      </c>
      <c r="Y765">
        <v>1</v>
      </c>
      <c r="Z765">
        <v>0</v>
      </c>
      <c r="AA765">
        <v>50</v>
      </c>
      <c r="AB765">
        <v>25</v>
      </c>
      <c r="AC765">
        <v>0.4</v>
      </c>
    </row>
    <row r="766" spans="1:29">
      <c r="A766">
        <v>3075011</v>
      </c>
      <c r="B766">
        <v>2001</v>
      </c>
      <c r="C766">
        <v>75</v>
      </c>
      <c r="D766" t="s">
        <v>559</v>
      </c>
      <c r="E766">
        <f t="shared" si="227"/>
        <v>2560</v>
      </c>
      <c r="F766">
        <f t="shared" si="228"/>
        <v>2560</v>
      </c>
      <c r="G766" s="2">
        <v>3</v>
      </c>
      <c r="H766">
        <v>0</v>
      </c>
      <c r="I766">
        <v>0</v>
      </c>
      <c r="J766">
        <v>0</v>
      </c>
      <c r="K766">
        <v>0</v>
      </c>
      <c r="L766">
        <v>859689</v>
      </c>
      <c r="M766">
        <v>870</v>
      </c>
      <c r="N766">
        <v>25092</v>
      </c>
      <c r="O766">
        <v>30110</v>
      </c>
      <c r="P766">
        <v>15000</v>
      </c>
      <c r="Q766">
        <v>4500</v>
      </c>
      <c r="R766">
        <v>4500</v>
      </c>
      <c r="S766">
        <v>0</v>
      </c>
      <c r="T766">
        <v>0</v>
      </c>
      <c r="U766">
        <v>2103</v>
      </c>
      <c r="V766">
        <v>0</v>
      </c>
      <c r="W766">
        <v>0</v>
      </c>
      <c r="X766" t="s">
        <v>600</v>
      </c>
      <c r="Y766">
        <v>1</v>
      </c>
      <c r="Z766">
        <v>0</v>
      </c>
      <c r="AA766">
        <v>50</v>
      </c>
      <c r="AB766">
        <v>25</v>
      </c>
      <c r="AC766">
        <v>0.4</v>
      </c>
    </row>
    <row r="767" spans="1:29">
      <c r="A767">
        <v>3075021</v>
      </c>
      <c r="B767">
        <v>2001</v>
      </c>
      <c r="C767">
        <v>75</v>
      </c>
      <c r="D767" t="s">
        <v>579</v>
      </c>
      <c r="E767">
        <f t="shared" si="227"/>
        <v>2560</v>
      </c>
      <c r="F767">
        <f t="shared" si="228"/>
        <v>2560</v>
      </c>
      <c r="G767" s="2" t="s">
        <v>637</v>
      </c>
      <c r="H767">
        <v>0</v>
      </c>
      <c r="I767">
        <v>0</v>
      </c>
      <c r="J767">
        <v>0</v>
      </c>
      <c r="K767">
        <v>0</v>
      </c>
      <c r="L767">
        <v>1163008</v>
      </c>
      <c r="M767">
        <v>1450</v>
      </c>
      <c r="N767">
        <v>47398</v>
      </c>
      <c r="O767">
        <v>56878</v>
      </c>
      <c r="P767">
        <v>15000</v>
      </c>
      <c r="Q767">
        <v>4500</v>
      </c>
      <c r="R767">
        <v>4500</v>
      </c>
      <c r="S767">
        <v>0</v>
      </c>
      <c r="T767">
        <v>0</v>
      </c>
      <c r="U767">
        <v>2103</v>
      </c>
      <c r="V767">
        <v>0</v>
      </c>
      <c r="W767">
        <v>0</v>
      </c>
      <c r="X767" t="s">
        <v>619</v>
      </c>
      <c r="Y767">
        <v>1</v>
      </c>
      <c r="Z767">
        <v>0</v>
      </c>
      <c r="AA767">
        <v>50</v>
      </c>
      <c r="AB767">
        <v>25</v>
      </c>
      <c r="AC767">
        <v>0.4</v>
      </c>
    </row>
    <row r="768" spans="1:29">
      <c r="A768">
        <v>3075031</v>
      </c>
      <c r="B768">
        <v>2001</v>
      </c>
      <c r="C768">
        <v>76</v>
      </c>
      <c r="D768" t="s">
        <v>580</v>
      </c>
      <c r="E768">
        <f t="shared" si="227"/>
        <v>2620</v>
      </c>
      <c r="F768">
        <f t="shared" si="228"/>
        <v>2620</v>
      </c>
      <c r="G768" s="2">
        <v>20</v>
      </c>
      <c r="H768">
        <v>0</v>
      </c>
      <c r="I768">
        <v>0</v>
      </c>
      <c r="J768">
        <v>0</v>
      </c>
      <c r="K768">
        <v>0</v>
      </c>
      <c r="L768">
        <v>970511</v>
      </c>
      <c r="M768">
        <v>2336</v>
      </c>
      <c r="N768">
        <v>53944</v>
      </c>
      <c r="O768">
        <v>64733</v>
      </c>
      <c r="P768">
        <v>15500</v>
      </c>
      <c r="Q768">
        <v>4650</v>
      </c>
      <c r="R768">
        <v>4650</v>
      </c>
      <c r="S768">
        <v>0</v>
      </c>
      <c r="T768">
        <v>0</v>
      </c>
      <c r="U768">
        <v>1096</v>
      </c>
      <c r="V768">
        <v>0</v>
      </c>
      <c r="W768">
        <v>0</v>
      </c>
      <c r="X768" t="s">
        <v>623</v>
      </c>
      <c r="Y768">
        <v>1</v>
      </c>
      <c r="Z768">
        <v>0</v>
      </c>
      <c r="AA768">
        <v>50</v>
      </c>
      <c r="AB768">
        <v>25</v>
      </c>
      <c r="AC768">
        <v>0.4</v>
      </c>
    </row>
    <row r="769" spans="1:29">
      <c r="A769">
        <v>3075041</v>
      </c>
      <c r="B769">
        <v>2001</v>
      </c>
      <c r="C769">
        <v>76</v>
      </c>
      <c r="D769" t="s">
        <v>562</v>
      </c>
      <c r="E769">
        <f t="shared" si="227"/>
        <v>2620</v>
      </c>
      <c r="F769">
        <f t="shared" si="228"/>
        <v>2620</v>
      </c>
      <c r="G769" s="2">
        <v>2</v>
      </c>
      <c r="H769">
        <v>0</v>
      </c>
      <c r="I769">
        <v>0</v>
      </c>
      <c r="J769">
        <v>0</v>
      </c>
      <c r="K769">
        <v>0</v>
      </c>
      <c r="L769">
        <v>826487</v>
      </c>
      <c r="M769">
        <v>1168</v>
      </c>
      <c r="N769">
        <v>29020</v>
      </c>
      <c r="O769">
        <v>34824</v>
      </c>
      <c r="P769">
        <v>15500</v>
      </c>
      <c r="Q769">
        <v>4650</v>
      </c>
      <c r="R769">
        <v>4650</v>
      </c>
      <c r="S769">
        <v>0</v>
      </c>
      <c r="T769">
        <v>0</v>
      </c>
      <c r="U769">
        <v>2159</v>
      </c>
      <c r="V769">
        <v>0</v>
      </c>
      <c r="W769">
        <v>0</v>
      </c>
      <c r="X769" t="s">
        <v>599</v>
      </c>
      <c r="Y769">
        <v>1</v>
      </c>
      <c r="Z769">
        <v>0</v>
      </c>
      <c r="AA769">
        <v>50</v>
      </c>
      <c r="AB769">
        <v>25</v>
      </c>
      <c r="AC769">
        <v>0.4</v>
      </c>
    </row>
    <row r="770" spans="1:29">
      <c r="A770">
        <f>A769+1</f>
        <v>3075042</v>
      </c>
      <c r="B770">
        <v>2001</v>
      </c>
      <c r="C770">
        <f>C769</f>
        <v>76</v>
      </c>
      <c r="D770" t="s">
        <v>584</v>
      </c>
      <c r="E770">
        <f>E769</f>
        <v>2620</v>
      </c>
      <c r="F770">
        <f t="shared" ref="F770:F771" si="250">F769</f>
        <v>2620</v>
      </c>
      <c r="G770" s="2">
        <v>9</v>
      </c>
      <c r="H770">
        <f t="shared" ref="H770:H771" si="251">H769</f>
        <v>0</v>
      </c>
      <c r="I770">
        <f t="shared" ref="I770:I771" si="252">I769</f>
        <v>0</v>
      </c>
      <c r="J770">
        <f t="shared" ref="J770:J771" si="253">J769</f>
        <v>0</v>
      </c>
      <c r="K770">
        <f t="shared" ref="K770:K771" si="254">K769</f>
        <v>0</v>
      </c>
      <c r="L770">
        <v>385694</v>
      </c>
      <c r="M770">
        <v>1460</v>
      </c>
      <c r="N770">
        <v>16928</v>
      </c>
      <c r="O770">
        <v>20314</v>
      </c>
      <c r="P770">
        <v>15500</v>
      </c>
      <c r="Q770">
        <v>4650</v>
      </c>
      <c r="R770">
        <v>4650</v>
      </c>
      <c r="S770">
        <v>0</v>
      </c>
      <c r="T770">
        <v>0</v>
      </c>
      <c r="U770">
        <v>2159</v>
      </c>
      <c r="V770">
        <v>0</v>
      </c>
      <c r="W770">
        <v>0</v>
      </c>
      <c r="X770" t="s">
        <v>592</v>
      </c>
      <c r="Y770">
        <v>1</v>
      </c>
      <c r="Z770">
        <v>0</v>
      </c>
      <c r="AA770">
        <v>50</v>
      </c>
      <c r="AB770">
        <v>25</v>
      </c>
      <c r="AC770">
        <v>0.4</v>
      </c>
    </row>
    <row r="771" spans="1:29">
      <c r="A771">
        <f>A770+1</f>
        <v>3075043</v>
      </c>
      <c r="B771">
        <v>2001</v>
      </c>
      <c r="C771">
        <f>C770</f>
        <v>76</v>
      </c>
      <c r="D771" t="s">
        <v>585</v>
      </c>
      <c r="E771">
        <f>E770</f>
        <v>2620</v>
      </c>
      <c r="F771">
        <f t="shared" si="250"/>
        <v>2620</v>
      </c>
      <c r="G771" s="2">
        <v>10</v>
      </c>
      <c r="H771">
        <f t="shared" si="251"/>
        <v>0</v>
      </c>
      <c r="I771">
        <f t="shared" si="252"/>
        <v>0</v>
      </c>
      <c r="J771">
        <f t="shared" si="253"/>
        <v>0</v>
      </c>
      <c r="K771">
        <f t="shared" si="254"/>
        <v>0</v>
      </c>
      <c r="L771">
        <v>385694</v>
      </c>
      <c r="M771">
        <v>1460</v>
      </c>
      <c r="N771">
        <v>16928</v>
      </c>
      <c r="O771">
        <v>20314</v>
      </c>
      <c r="P771">
        <v>15500</v>
      </c>
      <c r="Q771">
        <v>4650</v>
      </c>
      <c r="R771">
        <v>4650</v>
      </c>
      <c r="S771">
        <v>0</v>
      </c>
      <c r="T771">
        <v>0</v>
      </c>
      <c r="U771">
        <v>2159</v>
      </c>
      <c r="V771">
        <v>0</v>
      </c>
      <c r="W771">
        <v>0</v>
      </c>
      <c r="X771" t="s">
        <v>593</v>
      </c>
      <c r="Y771">
        <v>1</v>
      </c>
      <c r="Z771">
        <v>0</v>
      </c>
      <c r="AA771">
        <v>50</v>
      </c>
      <c r="AB771">
        <v>25</v>
      </c>
      <c r="AC771">
        <v>0.4</v>
      </c>
    </row>
    <row r="772" spans="1:29">
      <c r="A772">
        <v>3075051</v>
      </c>
      <c r="B772">
        <v>2001</v>
      </c>
      <c r="C772">
        <v>76</v>
      </c>
      <c r="D772" t="s">
        <v>563</v>
      </c>
      <c r="E772">
        <f t="shared" si="227"/>
        <v>2620</v>
      </c>
      <c r="F772">
        <f t="shared" si="228"/>
        <v>2620</v>
      </c>
      <c r="G772" s="2">
        <v>21</v>
      </c>
      <c r="H772">
        <v>0</v>
      </c>
      <c r="I772">
        <v>0</v>
      </c>
      <c r="J772">
        <v>0</v>
      </c>
      <c r="K772">
        <v>0</v>
      </c>
      <c r="L772">
        <v>1393008</v>
      </c>
      <c r="M772">
        <v>1460</v>
      </c>
      <c r="N772">
        <v>52039</v>
      </c>
      <c r="O772">
        <v>62447</v>
      </c>
      <c r="P772">
        <v>15500</v>
      </c>
      <c r="Q772">
        <v>4650</v>
      </c>
      <c r="R772">
        <v>4650</v>
      </c>
      <c r="S772">
        <v>0</v>
      </c>
      <c r="T772">
        <v>0</v>
      </c>
      <c r="U772">
        <v>2159</v>
      </c>
      <c r="V772">
        <v>0</v>
      </c>
      <c r="W772">
        <v>0</v>
      </c>
      <c r="X772" t="s">
        <v>594</v>
      </c>
      <c r="Y772">
        <v>1</v>
      </c>
      <c r="Z772">
        <v>0</v>
      </c>
      <c r="AA772">
        <v>50</v>
      </c>
      <c r="AB772">
        <v>25</v>
      </c>
      <c r="AC772">
        <v>0.4</v>
      </c>
    </row>
    <row r="773" spans="1:29">
      <c r="A773">
        <v>3075061</v>
      </c>
      <c r="B773">
        <v>2001</v>
      </c>
      <c r="C773">
        <v>77</v>
      </c>
      <c r="D773" t="s">
        <v>564</v>
      </c>
      <c r="E773">
        <f t="shared" si="227"/>
        <v>2680</v>
      </c>
      <c r="F773">
        <f t="shared" si="228"/>
        <v>2680</v>
      </c>
      <c r="G773" s="2">
        <v>14</v>
      </c>
      <c r="H773">
        <v>0</v>
      </c>
      <c r="I773">
        <v>0</v>
      </c>
      <c r="J773">
        <v>0</v>
      </c>
      <c r="K773">
        <v>0</v>
      </c>
      <c r="L773">
        <v>1597957</v>
      </c>
      <c r="M773">
        <v>1470</v>
      </c>
      <c r="N773">
        <v>57374</v>
      </c>
      <c r="O773">
        <v>68849</v>
      </c>
      <c r="P773">
        <v>16000</v>
      </c>
      <c r="Q773">
        <v>4800</v>
      </c>
      <c r="R773">
        <v>4800</v>
      </c>
      <c r="S773">
        <v>0</v>
      </c>
      <c r="T773">
        <v>0</v>
      </c>
      <c r="U773">
        <v>1125</v>
      </c>
      <c r="V773">
        <v>0</v>
      </c>
      <c r="W773">
        <v>0</v>
      </c>
      <c r="X773" t="s">
        <v>626</v>
      </c>
      <c r="Y773">
        <v>1</v>
      </c>
      <c r="Z773">
        <v>0</v>
      </c>
      <c r="AA773">
        <v>50</v>
      </c>
      <c r="AB773">
        <v>25</v>
      </c>
      <c r="AC773">
        <v>0.4</v>
      </c>
    </row>
    <row r="774" spans="1:29">
      <c r="A774">
        <v>3075071</v>
      </c>
      <c r="B774">
        <v>2001</v>
      </c>
      <c r="C774">
        <v>77</v>
      </c>
      <c r="D774" t="s">
        <v>565</v>
      </c>
      <c r="E774">
        <f t="shared" si="227"/>
        <v>2680</v>
      </c>
      <c r="F774">
        <f t="shared" si="228"/>
        <v>2680</v>
      </c>
      <c r="G774" s="2">
        <v>13</v>
      </c>
      <c r="H774">
        <v>0</v>
      </c>
      <c r="I774">
        <v>0</v>
      </c>
      <c r="J774">
        <v>0</v>
      </c>
      <c r="K774">
        <v>0</v>
      </c>
      <c r="L774">
        <v>1708906</v>
      </c>
      <c r="M774">
        <v>1176</v>
      </c>
      <c r="N774">
        <v>43336</v>
      </c>
      <c r="O774">
        <v>52003</v>
      </c>
      <c r="P774">
        <v>16000</v>
      </c>
      <c r="Q774">
        <v>4800</v>
      </c>
      <c r="R774">
        <v>4800</v>
      </c>
      <c r="S774">
        <v>0</v>
      </c>
      <c r="T774">
        <v>0</v>
      </c>
      <c r="U774">
        <v>1125</v>
      </c>
      <c r="V774">
        <v>0</v>
      </c>
      <c r="W774">
        <v>0</v>
      </c>
      <c r="X774" t="s">
        <v>627</v>
      </c>
      <c r="Y774">
        <v>1</v>
      </c>
      <c r="Z774">
        <v>0</v>
      </c>
      <c r="AA774">
        <v>50</v>
      </c>
      <c r="AB774">
        <v>25</v>
      </c>
      <c r="AC774">
        <v>0.4</v>
      </c>
    </row>
    <row r="775" spans="1:29">
      <c r="A775">
        <v>3075081</v>
      </c>
      <c r="B775">
        <v>2001</v>
      </c>
      <c r="C775">
        <v>78</v>
      </c>
      <c r="D775" t="s">
        <v>566</v>
      </c>
      <c r="E775">
        <f t="shared" si="227"/>
        <v>2740</v>
      </c>
      <c r="F775">
        <f t="shared" si="228"/>
        <v>2740</v>
      </c>
      <c r="G775" s="2">
        <v>25</v>
      </c>
      <c r="H775">
        <v>0</v>
      </c>
      <c r="I775">
        <v>0</v>
      </c>
      <c r="J775">
        <v>0</v>
      </c>
      <c r="K775">
        <v>0</v>
      </c>
      <c r="L775">
        <v>1834513</v>
      </c>
      <c r="M775">
        <v>42</v>
      </c>
      <c r="N775">
        <v>83504</v>
      </c>
      <c r="O775">
        <v>100205</v>
      </c>
      <c r="P775">
        <v>16500</v>
      </c>
      <c r="Q775">
        <v>4950</v>
      </c>
      <c r="R775">
        <v>4950</v>
      </c>
      <c r="S775">
        <v>0</v>
      </c>
      <c r="T775">
        <v>0</v>
      </c>
      <c r="U775">
        <v>2273</v>
      </c>
      <c r="V775">
        <v>0</v>
      </c>
      <c r="W775">
        <v>0</v>
      </c>
      <c r="X775" t="s">
        <v>603</v>
      </c>
      <c r="Y775">
        <v>1</v>
      </c>
      <c r="Z775">
        <v>0</v>
      </c>
      <c r="AA775">
        <v>50</v>
      </c>
      <c r="AB775">
        <v>25</v>
      </c>
      <c r="AC775">
        <v>0.4</v>
      </c>
    </row>
    <row r="776" spans="1:29">
      <c r="A776">
        <v>3075091</v>
      </c>
      <c r="B776">
        <v>2001</v>
      </c>
      <c r="C776">
        <v>79</v>
      </c>
      <c r="D776" t="s">
        <v>625</v>
      </c>
      <c r="E776">
        <f t="shared" si="227"/>
        <v>2800</v>
      </c>
      <c r="F776">
        <f t="shared" si="228"/>
        <v>2800</v>
      </c>
      <c r="G776" s="2">
        <v>28</v>
      </c>
      <c r="H776">
        <v>0</v>
      </c>
      <c r="I776">
        <v>0</v>
      </c>
      <c r="J776">
        <v>0</v>
      </c>
      <c r="K776">
        <v>0</v>
      </c>
      <c r="L776">
        <v>1814434</v>
      </c>
      <c r="M776">
        <v>1490</v>
      </c>
      <c r="N776">
        <v>66542</v>
      </c>
      <c r="O776">
        <v>79850</v>
      </c>
      <c r="P776">
        <v>17000</v>
      </c>
      <c r="Q776">
        <v>5100</v>
      </c>
      <c r="R776">
        <v>5100</v>
      </c>
      <c r="S776">
        <v>0</v>
      </c>
      <c r="T776">
        <v>0</v>
      </c>
      <c r="U776">
        <v>2332</v>
      </c>
      <c r="V776">
        <v>0</v>
      </c>
      <c r="W776">
        <v>0</v>
      </c>
      <c r="X776" t="s">
        <v>604</v>
      </c>
      <c r="Y776">
        <v>1</v>
      </c>
      <c r="Z776">
        <v>0</v>
      </c>
      <c r="AA776">
        <v>50</v>
      </c>
      <c r="AB776">
        <v>25</v>
      </c>
      <c r="AC776">
        <v>0.4</v>
      </c>
    </row>
    <row r="777" spans="1:29">
      <c r="A777">
        <v>3080011</v>
      </c>
      <c r="B777">
        <v>2001</v>
      </c>
      <c r="C777">
        <v>80</v>
      </c>
      <c r="D777" t="s">
        <v>559</v>
      </c>
      <c r="E777">
        <f t="shared" si="227"/>
        <v>3000</v>
      </c>
      <c r="F777">
        <f t="shared" si="228"/>
        <v>3000</v>
      </c>
      <c r="G777" s="2">
        <v>3</v>
      </c>
      <c r="H777">
        <v>0</v>
      </c>
      <c r="I777">
        <v>0</v>
      </c>
      <c r="J777">
        <v>0</v>
      </c>
      <c r="K777">
        <v>0</v>
      </c>
      <c r="L777">
        <v>1162987</v>
      </c>
      <c r="M777">
        <v>900</v>
      </c>
      <c r="N777">
        <v>35575</v>
      </c>
      <c r="O777">
        <v>42690</v>
      </c>
      <c r="P777">
        <v>17500</v>
      </c>
      <c r="Q777">
        <v>5250</v>
      </c>
      <c r="R777">
        <v>5250</v>
      </c>
      <c r="S777">
        <v>0</v>
      </c>
      <c r="T777">
        <v>0</v>
      </c>
      <c r="U777">
        <v>2390</v>
      </c>
      <c r="V777">
        <v>0</v>
      </c>
      <c r="W777">
        <v>0</v>
      </c>
      <c r="X777" t="s">
        <v>600</v>
      </c>
      <c r="Y777">
        <v>1</v>
      </c>
      <c r="Z777">
        <v>0</v>
      </c>
      <c r="AA777">
        <v>50</v>
      </c>
      <c r="AB777">
        <v>25</v>
      </c>
      <c r="AC777">
        <v>0.4</v>
      </c>
    </row>
    <row r="778" spans="1:29">
      <c r="A778">
        <v>3080021</v>
      </c>
      <c r="B778">
        <v>2001</v>
      </c>
      <c r="C778">
        <v>80</v>
      </c>
      <c r="D778" t="s">
        <v>579</v>
      </c>
      <c r="E778">
        <f t="shared" si="227"/>
        <v>3000</v>
      </c>
      <c r="F778">
        <f t="shared" si="228"/>
        <v>3000</v>
      </c>
      <c r="G778" s="2" t="s">
        <v>637</v>
      </c>
      <c r="H778">
        <v>0</v>
      </c>
      <c r="I778">
        <v>0</v>
      </c>
      <c r="J778">
        <v>0</v>
      </c>
      <c r="K778">
        <v>0</v>
      </c>
      <c r="L778">
        <v>1574957</v>
      </c>
      <c r="M778">
        <v>1500</v>
      </c>
      <c r="N778">
        <v>67750</v>
      </c>
      <c r="O778">
        <v>81300</v>
      </c>
      <c r="P778">
        <v>17500</v>
      </c>
      <c r="Q778">
        <v>5250</v>
      </c>
      <c r="R778">
        <v>5250</v>
      </c>
      <c r="S778">
        <v>0</v>
      </c>
      <c r="T778">
        <v>0</v>
      </c>
      <c r="U778">
        <v>2390</v>
      </c>
      <c r="V778">
        <v>0</v>
      </c>
      <c r="W778">
        <v>0</v>
      </c>
      <c r="X778" t="s">
        <v>619</v>
      </c>
      <c r="Y778">
        <v>1</v>
      </c>
      <c r="Z778">
        <v>0</v>
      </c>
      <c r="AA778">
        <v>50</v>
      </c>
      <c r="AB778">
        <v>25</v>
      </c>
      <c r="AC778">
        <v>0.4</v>
      </c>
    </row>
    <row r="779" spans="1:29">
      <c r="A779">
        <v>3080031</v>
      </c>
      <c r="B779">
        <v>2001</v>
      </c>
      <c r="C779">
        <v>81</v>
      </c>
      <c r="D779" t="s">
        <v>580</v>
      </c>
      <c r="E779">
        <f t="shared" si="227"/>
        <v>3200</v>
      </c>
      <c r="F779">
        <f t="shared" si="228"/>
        <v>3200</v>
      </c>
      <c r="G779" s="2">
        <v>20</v>
      </c>
      <c r="H779">
        <v>0</v>
      </c>
      <c r="I779">
        <v>0</v>
      </c>
      <c r="J779">
        <v>0</v>
      </c>
      <c r="K779">
        <v>0</v>
      </c>
      <c r="L779">
        <v>1323083</v>
      </c>
      <c r="M779">
        <v>2416</v>
      </c>
      <c r="N779">
        <v>77951</v>
      </c>
      <c r="O779">
        <v>93541</v>
      </c>
      <c r="P779">
        <v>18000</v>
      </c>
      <c r="Q779">
        <v>5400</v>
      </c>
      <c r="R779">
        <v>5400</v>
      </c>
      <c r="S779">
        <v>0</v>
      </c>
      <c r="T779">
        <v>0</v>
      </c>
      <c r="U779">
        <v>1244</v>
      </c>
      <c r="V779">
        <v>0</v>
      </c>
      <c r="W779">
        <v>0</v>
      </c>
      <c r="X779" t="s">
        <v>623</v>
      </c>
      <c r="Y779">
        <v>1</v>
      </c>
      <c r="Z779">
        <v>0</v>
      </c>
      <c r="AA779">
        <v>50</v>
      </c>
      <c r="AB779">
        <v>25</v>
      </c>
      <c r="AC779">
        <v>0.4</v>
      </c>
    </row>
    <row r="780" spans="1:29">
      <c r="A780">
        <v>3080041</v>
      </c>
      <c r="B780">
        <v>2001</v>
      </c>
      <c r="C780">
        <v>81</v>
      </c>
      <c r="D780" t="s">
        <v>562</v>
      </c>
      <c r="E780">
        <f t="shared" si="227"/>
        <v>3200</v>
      </c>
      <c r="F780">
        <f t="shared" si="228"/>
        <v>3200</v>
      </c>
      <c r="G780" s="2">
        <v>2</v>
      </c>
      <c r="H780">
        <v>0</v>
      </c>
      <c r="I780">
        <v>0</v>
      </c>
      <c r="J780">
        <v>0</v>
      </c>
      <c r="K780">
        <v>0</v>
      </c>
      <c r="L780">
        <v>1127469</v>
      </c>
      <c r="M780">
        <v>1208</v>
      </c>
      <c r="N780">
        <v>42126</v>
      </c>
      <c r="O780">
        <v>50551</v>
      </c>
      <c r="P780">
        <v>18000</v>
      </c>
      <c r="Q780">
        <v>5400</v>
      </c>
      <c r="R780">
        <v>5400</v>
      </c>
      <c r="S780">
        <v>0</v>
      </c>
      <c r="T780">
        <v>0</v>
      </c>
      <c r="U780">
        <v>2450</v>
      </c>
      <c r="V780">
        <v>0</v>
      </c>
      <c r="W780">
        <v>0</v>
      </c>
      <c r="X780" t="s">
        <v>599</v>
      </c>
      <c r="Y780">
        <v>1</v>
      </c>
      <c r="Z780">
        <v>0</v>
      </c>
      <c r="AA780">
        <v>50</v>
      </c>
      <c r="AB780">
        <v>25</v>
      </c>
      <c r="AC780">
        <v>0.4</v>
      </c>
    </row>
    <row r="781" spans="1:29">
      <c r="A781">
        <f>A780+1</f>
        <v>3080042</v>
      </c>
      <c r="B781">
        <v>2001</v>
      </c>
      <c r="C781">
        <f>C780</f>
        <v>81</v>
      </c>
      <c r="D781" t="s">
        <v>584</v>
      </c>
      <c r="E781">
        <f>E780</f>
        <v>3200</v>
      </c>
      <c r="F781">
        <f t="shared" ref="F781:F782" si="255">F780</f>
        <v>3200</v>
      </c>
      <c r="G781" s="2">
        <v>9</v>
      </c>
      <c r="H781">
        <f t="shared" ref="H781:H782" si="256">H780</f>
        <v>0</v>
      </c>
      <c r="I781">
        <f t="shared" ref="I781:I782" si="257">I780</f>
        <v>0</v>
      </c>
      <c r="J781">
        <f t="shared" ref="J781:J782" si="258">J780</f>
        <v>0</v>
      </c>
      <c r="K781">
        <f t="shared" ref="K781:K782" si="259">K780</f>
        <v>0</v>
      </c>
      <c r="L781">
        <v>526152</v>
      </c>
      <c r="M781">
        <v>1510</v>
      </c>
      <c r="N781">
        <v>24574</v>
      </c>
      <c r="O781">
        <v>29489</v>
      </c>
      <c r="P781">
        <v>18000</v>
      </c>
      <c r="Q781">
        <v>5400</v>
      </c>
      <c r="R781">
        <v>5400</v>
      </c>
      <c r="S781">
        <v>0</v>
      </c>
      <c r="T781">
        <v>0</v>
      </c>
      <c r="U781">
        <v>2450</v>
      </c>
      <c r="V781">
        <v>0</v>
      </c>
      <c r="W781">
        <v>0</v>
      </c>
      <c r="X781" t="s">
        <v>592</v>
      </c>
      <c r="Y781">
        <v>1</v>
      </c>
      <c r="Z781">
        <v>0</v>
      </c>
      <c r="AA781">
        <v>50</v>
      </c>
      <c r="AB781">
        <v>25</v>
      </c>
      <c r="AC781">
        <v>0.4</v>
      </c>
    </row>
    <row r="782" spans="1:29">
      <c r="A782">
        <f>A781+1</f>
        <v>3080043</v>
      </c>
      <c r="B782">
        <v>2001</v>
      </c>
      <c r="C782">
        <f>C781</f>
        <v>81</v>
      </c>
      <c r="D782" t="s">
        <v>585</v>
      </c>
      <c r="E782">
        <f>E781</f>
        <v>3200</v>
      </c>
      <c r="F782">
        <f t="shared" si="255"/>
        <v>3200</v>
      </c>
      <c r="G782" s="2">
        <v>10</v>
      </c>
      <c r="H782">
        <f t="shared" si="256"/>
        <v>0</v>
      </c>
      <c r="I782">
        <f t="shared" si="257"/>
        <v>0</v>
      </c>
      <c r="J782">
        <f t="shared" si="258"/>
        <v>0</v>
      </c>
      <c r="K782">
        <f t="shared" si="259"/>
        <v>0</v>
      </c>
      <c r="L782">
        <v>526152</v>
      </c>
      <c r="M782">
        <v>1510</v>
      </c>
      <c r="N782">
        <v>24574</v>
      </c>
      <c r="O782">
        <v>29489</v>
      </c>
      <c r="P782">
        <v>18000</v>
      </c>
      <c r="Q782">
        <v>5400</v>
      </c>
      <c r="R782">
        <v>5400</v>
      </c>
      <c r="S782">
        <v>0</v>
      </c>
      <c r="T782">
        <v>0</v>
      </c>
      <c r="U782">
        <v>2450</v>
      </c>
      <c r="V782">
        <v>0</v>
      </c>
      <c r="W782">
        <v>0</v>
      </c>
      <c r="X782" t="s">
        <v>593</v>
      </c>
      <c r="Y782">
        <v>1</v>
      </c>
      <c r="Z782">
        <v>0</v>
      </c>
      <c r="AA782">
        <v>50</v>
      </c>
      <c r="AB782">
        <v>25</v>
      </c>
      <c r="AC782">
        <v>0.4</v>
      </c>
    </row>
    <row r="783" spans="1:29">
      <c r="A783">
        <v>3080051</v>
      </c>
      <c r="B783">
        <v>2001</v>
      </c>
      <c r="C783">
        <v>81</v>
      </c>
      <c r="D783" t="s">
        <v>563</v>
      </c>
      <c r="E783">
        <f t="shared" si="227"/>
        <v>3200</v>
      </c>
      <c r="F783">
        <f t="shared" si="228"/>
        <v>3200</v>
      </c>
      <c r="G783" s="2">
        <v>21</v>
      </c>
      <c r="H783">
        <v>0</v>
      </c>
      <c r="I783">
        <v>0</v>
      </c>
      <c r="J783">
        <v>0</v>
      </c>
      <c r="K783">
        <v>0</v>
      </c>
      <c r="L783">
        <v>1901534</v>
      </c>
      <c r="M783">
        <v>1510</v>
      </c>
      <c r="N783">
        <v>75886</v>
      </c>
      <c r="O783">
        <v>91063</v>
      </c>
      <c r="P783">
        <v>18000</v>
      </c>
      <c r="Q783">
        <v>5400</v>
      </c>
      <c r="R783">
        <v>5400</v>
      </c>
      <c r="S783">
        <v>0</v>
      </c>
      <c r="T783">
        <v>0</v>
      </c>
      <c r="U783">
        <v>2450</v>
      </c>
      <c r="V783">
        <v>0</v>
      </c>
      <c r="W783">
        <v>0</v>
      </c>
      <c r="X783" t="s">
        <v>594</v>
      </c>
      <c r="Y783">
        <v>1</v>
      </c>
      <c r="Z783">
        <v>0</v>
      </c>
      <c r="AA783">
        <v>50</v>
      </c>
      <c r="AB783">
        <v>25</v>
      </c>
      <c r="AC783">
        <v>0.4</v>
      </c>
    </row>
    <row r="784" spans="1:29">
      <c r="A784">
        <v>3080061</v>
      </c>
      <c r="B784">
        <v>2001</v>
      </c>
      <c r="C784">
        <v>82</v>
      </c>
      <c r="D784" t="s">
        <v>564</v>
      </c>
      <c r="E784">
        <f t="shared" si="227"/>
        <v>3400</v>
      </c>
      <c r="F784">
        <f t="shared" si="228"/>
        <v>3400</v>
      </c>
      <c r="G784" s="2">
        <v>14</v>
      </c>
      <c r="H784">
        <v>0</v>
      </c>
      <c r="I784">
        <v>0</v>
      </c>
      <c r="J784">
        <v>0</v>
      </c>
      <c r="K784">
        <v>0</v>
      </c>
      <c r="L784">
        <v>2193545</v>
      </c>
      <c r="M784">
        <v>1520</v>
      </c>
      <c r="N784">
        <v>84172</v>
      </c>
      <c r="O784">
        <v>101006</v>
      </c>
      <c r="P784">
        <v>18500</v>
      </c>
      <c r="Q784">
        <v>5550</v>
      </c>
      <c r="R784">
        <v>5550</v>
      </c>
      <c r="S784">
        <v>0</v>
      </c>
      <c r="T784">
        <v>0</v>
      </c>
      <c r="U784">
        <v>1274</v>
      </c>
      <c r="V784">
        <v>0</v>
      </c>
      <c r="W784">
        <v>0</v>
      </c>
      <c r="X784" t="s">
        <v>626</v>
      </c>
      <c r="Y784">
        <v>1</v>
      </c>
      <c r="Z784">
        <v>0</v>
      </c>
      <c r="AA784">
        <v>50</v>
      </c>
      <c r="AB784">
        <v>25</v>
      </c>
      <c r="AC784">
        <v>0.4</v>
      </c>
    </row>
    <row r="785" spans="1:29">
      <c r="A785">
        <v>3080071</v>
      </c>
      <c r="B785">
        <v>2001</v>
      </c>
      <c r="C785">
        <v>82</v>
      </c>
      <c r="D785" t="s">
        <v>565</v>
      </c>
      <c r="E785">
        <f t="shared" si="227"/>
        <v>3400</v>
      </c>
      <c r="F785">
        <f t="shared" si="228"/>
        <v>3400</v>
      </c>
      <c r="G785" s="2">
        <v>13</v>
      </c>
      <c r="H785">
        <v>0</v>
      </c>
      <c r="I785">
        <v>0</v>
      </c>
      <c r="J785">
        <v>0</v>
      </c>
      <c r="K785">
        <v>0</v>
      </c>
      <c r="L785">
        <v>2347162</v>
      </c>
      <c r="M785">
        <v>1216</v>
      </c>
      <c r="N785">
        <v>63810</v>
      </c>
      <c r="O785">
        <v>76572</v>
      </c>
      <c r="P785">
        <v>18500</v>
      </c>
      <c r="Q785">
        <v>5550</v>
      </c>
      <c r="R785">
        <v>5550</v>
      </c>
      <c r="S785">
        <v>0</v>
      </c>
      <c r="T785">
        <v>0</v>
      </c>
      <c r="U785">
        <v>1274</v>
      </c>
      <c r="V785">
        <v>0</v>
      </c>
      <c r="W785">
        <v>0</v>
      </c>
      <c r="X785" t="s">
        <v>627</v>
      </c>
      <c r="Y785">
        <v>1</v>
      </c>
      <c r="Z785">
        <v>0</v>
      </c>
      <c r="AA785">
        <v>50</v>
      </c>
      <c r="AB785">
        <v>25</v>
      </c>
      <c r="AC785">
        <v>0.4</v>
      </c>
    </row>
    <row r="786" spans="1:29">
      <c r="A786">
        <v>3080081</v>
      </c>
      <c r="B786">
        <v>2001</v>
      </c>
      <c r="C786">
        <v>83</v>
      </c>
      <c r="D786" t="s">
        <v>566</v>
      </c>
      <c r="E786">
        <f t="shared" si="227"/>
        <v>3600</v>
      </c>
      <c r="F786">
        <f t="shared" si="228"/>
        <v>3600</v>
      </c>
      <c r="G786" s="2">
        <v>25</v>
      </c>
      <c r="H786">
        <v>0</v>
      </c>
      <c r="I786">
        <v>0</v>
      </c>
      <c r="J786">
        <v>0</v>
      </c>
      <c r="K786">
        <v>0</v>
      </c>
      <c r="L786">
        <v>2531701</v>
      </c>
      <c r="M786">
        <v>42</v>
      </c>
      <c r="N786">
        <v>123401</v>
      </c>
      <c r="O786">
        <v>148081</v>
      </c>
      <c r="P786">
        <v>19000</v>
      </c>
      <c r="Q786">
        <v>5700</v>
      </c>
      <c r="R786">
        <v>5700</v>
      </c>
      <c r="S786">
        <v>0</v>
      </c>
      <c r="T786">
        <v>0</v>
      </c>
      <c r="U786">
        <v>2572</v>
      </c>
      <c r="V786">
        <v>0</v>
      </c>
      <c r="W786">
        <v>0</v>
      </c>
      <c r="X786" t="s">
        <v>603</v>
      </c>
      <c r="Y786">
        <v>1</v>
      </c>
      <c r="Z786">
        <v>0</v>
      </c>
      <c r="AA786">
        <v>50</v>
      </c>
      <c r="AB786">
        <v>25</v>
      </c>
      <c r="AC786">
        <v>0.4</v>
      </c>
    </row>
    <row r="787" spans="1:29">
      <c r="A787">
        <v>3080091</v>
      </c>
      <c r="B787">
        <v>2001</v>
      </c>
      <c r="C787">
        <v>84</v>
      </c>
      <c r="D787" t="s">
        <v>625</v>
      </c>
      <c r="E787">
        <f t="shared" si="227"/>
        <v>3800</v>
      </c>
      <c r="F787">
        <f t="shared" si="228"/>
        <v>3800</v>
      </c>
      <c r="G787" s="2">
        <v>28</v>
      </c>
      <c r="H787">
        <v>0</v>
      </c>
      <c r="I787">
        <v>0</v>
      </c>
      <c r="J787">
        <v>0</v>
      </c>
      <c r="K787">
        <v>0</v>
      </c>
      <c r="L787">
        <v>2515133</v>
      </c>
      <c r="M787">
        <v>1540</v>
      </c>
      <c r="N787">
        <v>98812</v>
      </c>
      <c r="O787">
        <v>118574</v>
      </c>
      <c r="P787">
        <v>19500</v>
      </c>
      <c r="Q787">
        <v>5850</v>
      </c>
      <c r="R787">
        <v>5850</v>
      </c>
      <c r="S787">
        <v>0</v>
      </c>
      <c r="T787">
        <v>0</v>
      </c>
      <c r="U787">
        <v>2634</v>
      </c>
      <c r="V787">
        <v>0</v>
      </c>
      <c r="W787">
        <v>0</v>
      </c>
      <c r="X787" t="s">
        <v>604</v>
      </c>
      <c r="Y787">
        <v>1</v>
      </c>
      <c r="Z787">
        <v>0</v>
      </c>
      <c r="AA787">
        <v>50</v>
      </c>
      <c r="AB787">
        <v>25</v>
      </c>
      <c r="AC787">
        <v>0.4</v>
      </c>
    </row>
    <row r="788" spans="1:29">
      <c r="A788">
        <v>3085011</v>
      </c>
      <c r="B788">
        <v>2001</v>
      </c>
      <c r="C788">
        <v>85</v>
      </c>
      <c r="D788" t="s">
        <v>581</v>
      </c>
      <c r="E788">
        <f t="shared" si="227"/>
        <v>4000</v>
      </c>
      <c r="F788">
        <f t="shared" si="228"/>
        <v>4000</v>
      </c>
      <c r="G788" s="2">
        <v>0</v>
      </c>
      <c r="H788">
        <v>0</v>
      </c>
      <c r="I788">
        <v>0</v>
      </c>
      <c r="J788">
        <v>0</v>
      </c>
      <c r="K788">
        <v>0</v>
      </c>
      <c r="L788">
        <v>1977053</v>
      </c>
      <c r="M788">
        <v>1550</v>
      </c>
      <c r="N788">
        <v>106005</v>
      </c>
      <c r="O788">
        <v>127206</v>
      </c>
      <c r="P788">
        <v>20000</v>
      </c>
      <c r="Q788">
        <v>6000</v>
      </c>
      <c r="R788">
        <v>6000</v>
      </c>
      <c r="S788">
        <v>0</v>
      </c>
      <c r="T788">
        <v>0</v>
      </c>
      <c r="U788">
        <v>5475</v>
      </c>
      <c r="V788">
        <v>0</v>
      </c>
      <c r="W788">
        <v>0</v>
      </c>
      <c r="X788" t="s">
        <v>624</v>
      </c>
      <c r="Y788">
        <v>1</v>
      </c>
      <c r="Z788">
        <v>0</v>
      </c>
      <c r="AA788">
        <v>50</v>
      </c>
      <c r="AB788">
        <v>25</v>
      </c>
      <c r="AC788">
        <v>0.4</v>
      </c>
    </row>
    <row r="789" spans="1:29">
      <c r="A789">
        <v>3085021</v>
      </c>
      <c r="B789">
        <v>2001</v>
      </c>
      <c r="C789">
        <v>85</v>
      </c>
      <c r="D789" t="s">
        <v>568</v>
      </c>
      <c r="E789">
        <f t="shared" si="227"/>
        <v>4000</v>
      </c>
      <c r="F789">
        <f t="shared" si="228"/>
        <v>4000</v>
      </c>
      <c r="G789" s="2" t="s">
        <v>632</v>
      </c>
      <c r="H789">
        <v>0</v>
      </c>
      <c r="I789">
        <v>0</v>
      </c>
      <c r="J789">
        <v>0</v>
      </c>
      <c r="K789">
        <v>0</v>
      </c>
      <c r="L789">
        <v>2139349</v>
      </c>
      <c r="M789">
        <v>4650</v>
      </c>
      <c r="N789">
        <v>142288</v>
      </c>
      <c r="O789">
        <v>170746</v>
      </c>
      <c r="P789">
        <v>20000</v>
      </c>
      <c r="Q789">
        <v>6000</v>
      </c>
      <c r="R789">
        <v>6000</v>
      </c>
      <c r="S789">
        <v>0</v>
      </c>
      <c r="T789">
        <v>0</v>
      </c>
      <c r="U789">
        <v>2697</v>
      </c>
      <c r="V789">
        <v>0</v>
      </c>
      <c r="W789">
        <v>0</v>
      </c>
      <c r="X789" t="s">
        <v>606</v>
      </c>
      <c r="Y789">
        <v>1</v>
      </c>
      <c r="Z789">
        <v>0</v>
      </c>
      <c r="AA789">
        <v>50</v>
      </c>
      <c r="AB789">
        <v>25</v>
      </c>
      <c r="AC789">
        <v>0.4</v>
      </c>
    </row>
    <row r="790" spans="1:29">
      <c r="A790">
        <v>3085031</v>
      </c>
      <c r="B790">
        <v>2001</v>
      </c>
      <c r="C790">
        <v>86</v>
      </c>
      <c r="D790" t="s">
        <v>551</v>
      </c>
      <c r="E790">
        <f t="shared" si="227"/>
        <v>4200</v>
      </c>
      <c r="F790">
        <f t="shared" si="228"/>
        <v>4200</v>
      </c>
      <c r="G790" s="2" t="s">
        <v>628</v>
      </c>
      <c r="H790">
        <v>0</v>
      </c>
      <c r="I790">
        <v>0</v>
      </c>
      <c r="J790">
        <v>0</v>
      </c>
      <c r="K790">
        <v>0</v>
      </c>
      <c r="L790">
        <v>1594929</v>
      </c>
      <c r="M790">
        <v>159493</v>
      </c>
      <c r="N790">
        <v>206515</v>
      </c>
      <c r="O790">
        <v>247818</v>
      </c>
      <c r="P790">
        <v>21000</v>
      </c>
      <c r="Q790">
        <v>6400</v>
      </c>
      <c r="R790">
        <v>6400</v>
      </c>
      <c r="S790">
        <v>0</v>
      </c>
      <c r="T790">
        <v>0</v>
      </c>
      <c r="U790">
        <v>2760</v>
      </c>
      <c r="V790">
        <v>0</v>
      </c>
      <c r="W790">
        <v>0</v>
      </c>
      <c r="X790" t="s">
        <v>607</v>
      </c>
      <c r="Y790">
        <v>1</v>
      </c>
      <c r="Z790">
        <v>0</v>
      </c>
      <c r="AA790">
        <v>50</v>
      </c>
      <c r="AB790">
        <v>25</v>
      </c>
      <c r="AC790">
        <v>0.4</v>
      </c>
    </row>
    <row r="791" spans="1:29">
      <c r="A791">
        <v>3085041</v>
      </c>
      <c r="B791">
        <v>2001</v>
      </c>
      <c r="C791">
        <v>86</v>
      </c>
      <c r="D791" t="s">
        <v>569</v>
      </c>
      <c r="E791">
        <f t="shared" si="227"/>
        <v>4200</v>
      </c>
      <c r="F791">
        <f t="shared" si="228"/>
        <v>4200</v>
      </c>
      <c r="G791" s="2">
        <v>29</v>
      </c>
      <c r="H791">
        <v>0</v>
      </c>
      <c r="I791">
        <v>0</v>
      </c>
      <c r="J791">
        <v>0</v>
      </c>
      <c r="K791">
        <v>0</v>
      </c>
      <c r="L791">
        <v>2371697</v>
      </c>
      <c r="M791">
        <v>1560</v>
      </c>
      <c r="N791">
        <v>149350</v>
      </c>
      <c r="O791">
        <v>179220</v>
      </c>
      <c r="P791">
        <v>21000</v>
      </c>
      <c r="Q791">
        <v>6400</v>
      </c>
      <c r="R791">
        <v>6400</v>
      </c>
      <c r="S791">
        <v>0</v>
      </c>
      <c r="T791">
        <v>0</v>
      </c>
      <c r="U791">
        <v>2760</v>
      </c>
      <c r="V791">
        <v>0</v>
      </c>
      <c r="W791">
        <v>0</v>
      </c>
      <c r="X791" t="s">
        <v>608</v>
      </c>
      <c r="Y791">
        <v>1</v>
      </c>
      <c r="Z791">
        <v>0</v>
      </c>
      <c r="AA791">
        <v>50</v>
      </c>
      <c r="AB791">
        <v>25</v>
      </c>
      <c r="AC791">
        <v>0.4</v>
      </c>
    </row>
    <row r="792" spans="1:29">
      <c r="A792">
        <v>3085051</v>
      </c>
      <c r="B792">
        <v>2001</v>
      </c>
      <c r="C792">
        <v>86</v>
      </c>
      <c r="D792" t="s">
        <v>587</v>
      </c>
      <c r="E792">
        <f t="shared" si="227"/>
        <v>4200</v>
      </c>
      <c r="F792">
        <f t="shared" si="228"/>
        <v>4200</v>
      </c>
      <c r="G792" s="2">
        <v>5</v>
      </c>
      <c r="H792">
        <v>0</v>
      </c>
      <c r="I792">
        <v>0</v>
      </c>
      <c r="J792">
        <v>0</v>
      </c>
      <c r="K792">
        <v>0</v>
      </c>
      <c r="L792">
        <v>1195780</v>
      </c>
      <c r="M792">
        <v>1560</v>
      </c>
      <c r="N792">
        <v>45364</v>
      </c>
      <c r="O792">
        <v>54437</v>
      </c>
      <c r="P792">
        <v>21000</v>
      </c>
      <c r="Q792">
        <v>6400</v>
      </c>
      <c r="R792">
        <v>6400</v>
      </c>
      <c r="S792">
        <v>0</v>
      </c>
      <c r="T792">
        <v>0</v>
      </c>
      <c r="U792">
        <v>2760</v>
      </c>
      <c r="V792">
        <v>0</v>
      </c>
      <c r="W792">
        <v>0</v>
      </c>
      <c r="X792" t="s">
        <v>611</v>
      </c>
      <c r="Y792">
        <v>1</v>
      </c>
      <c r="Z792">
        <v>0</v>
      </c>
      <c r="AA792">
        <v>50</v>
      </c>
      <c r="AB792">
        <v>25</v>
      </c>
      <c r="AC792">
        <v>0.4</v>
      </c>
    </row>
    <row r="793" spans="1:29">
      <c r="A793">
        <f>A792+1</f>
        <v>3085052</v>
      </c>
      <c r="B793">
        <f>B792</f>
        <v>2001</v>
      </c>
      <c r="C793">
        <f>C792</f>
        <v>86</v>
      </c>
      <c r="D793" t="s">
        <v>588</v>
      </c>
      <c r="E793">
        <f t="shared" ref="E793:K793" si="260">E792</f>
        <v>4200</v>
      </c>
      <c r="F793">
        <f t="shared" si="260"/>
        <v>4200</v>
      </c>
      <c r="G793" s="2">
        <v>2</v>
      </c>
      <c r="H793">
        <f t="shared" si="260"/>
        <v>0</v>
      </c>
      <c r="I793">
        <f t="shared" si="260"/>
        <v>0</v>
      </c>
      <c r="J793">
        <f t="shared" si="260"/>
        <v>0</v>
      </c>
      <c r="K793">
        <f t="shared" si="260"/>
        <v>0</v>
      </c>
      <c r="L793">
        <v>1116062</v>
      </c>
      <c r="M793">
        <v>1248</v>
      </c>
      <c r="N793">
        <v>48604</v>
      </c>
      <c r="O793">
        <v>58325</v>
      </c>
      <c r="P793">
        <v>21000</v>
      </c>
      <c r="Q793">
        <v>6400</v>
      </c>
      <c r="R793">
        <v>6400</v>
      </c>
      <c r="S793">
        <v>0</v>
      </c>
      <c r="T793">
        <v>0</v>
      </c>
      <c r="U793">
        <v>2760</v>
      </c>
      <c r="V793">
        <v>0</v>
      </c>
      <c r="W793">
        <v>0</v>
      </c>
      <c r="X793" t="s">
        <v>610</v>
      </c>
      <c r="Y793">
        <v>1</v>
      </c>
      <c r="Z793">
        <v>0</v>
      </c>
      <c r="AA793">
        <v>50</v>
      </c>
      <c r="AB793">
        <v>25</v>
      </c>
      <c r="AC793">
        <v>0.4</v>
      </c>
    </row>
    <row r="794" spans="1:29">
      <c r="A794">
        <f t="shared" ref="A794:A795" si="261">A793+1</f>
        <v>3085053</v>
      </c>
      <c r="B794">
        <f t="shared" ref="B794:B795" si="262">B793</f>
        <v>2001</v>
      </c>
      <c r="C794">
        <f t="shared" ref="C794:C795" si="263">C793</f>
        <v>86</v>
      </c>
      <c r="D794" t="s">
        <v>589</v>
      </c>
      <c r="E794">
        <f t="shared" ref="E794:E795" si="264">E793</f>
        <v>4200</v>
      </c>
      <c r="F794">
        <f t="shared" ref="F794:F795" si="265">F793</f>
        <v>4200</v>
      </c>
      <c r="G794" s="2">
        <v>26</v>
      </c>
      <c r="H794">
        <f t="shared" ref="H794:H795" si="266">H793</f>
        <v>0</v>
      </c>
      <c r="I794">
        <f t="shared" ref="I794:I795" si="267">I793</f>
        <v>0</v>
      </c>
      <c r="J794">
        <f t="shared" ref="J794:J795" si="268">J793</f>
        <v>0</v>
      </c>
      <c r="K794">
        <f t="shared" ref="K794:K795" si="269">K793</f>
        <v>0</v>
      </c>
      <c r="L794">
        <v>1169207</v>
      </c>
      <c r="M794">
        <v>1560</v>
      </c>
      <c r="N794">
        <v>58325</v>
      </c>
      <c r="O794">
        <v>69990</v>
      </c>
      <c r="P794">
        <v>21000</v>
      </c>
      <c r="Q794">
        <v>6400</v>
      </c>
      <c r="R794">
        <v>6400</v>
      </c>
      <c r="S794">
        <v>0</v>
      </c>
      <c r="T794">
        <v>0</v>
      </c>
      <c r="U794">
        <v>2760</v>
      </c>
      <c r="V794">
        <v>0</v>
      </c>
      <c r="W794">
        <v>0</v>
      </c>
      <c r="X794" t="s">
        <v>609</v>
      </c>
      <c r="Y794">
        <v>1</v>
      </c>
      <c r="Z794">
        <v>0</v>
      </c>
      <c r="AA794">
        <v>50</v>
      </c>
      <c r="AB794">
        <v>25</v>
      </c>
      <c r="AC794">
        <v>0.4</v>
      </c>
    </row>
    <row r="795" spans="1:29">
      <c r="A795">
        <f t="shared" si="261"/>
        <v>3085054</v>
      </c>
      <c r="B795">
        <f t="shared" si="262"/>
        <v>2001</v>
      </c>
      <c r="C795">
        <f t="shared" si="263"/>
        <v>86</v>
      </c>
      <c r="D795" t="s">
        <v>590</v>
      </c>
      <c r="E795">
        <f t="shared" si="264"/>
        <v>4200</v>
      </c>
      <c r="F795">
        <f t="shared" si="265"/>
        <v>4200</v>
      </c>
      <c r="G795" s="2">
        <v>14</v>
      </c>
      <c r="H795">
        <f t="shared" si="266"/>
        <v>0</v>
      </c>
      <c r="I795">
        <f t="shared" si="267"/>
        <v>0</v>
      </c>
      <c r="J795">
        <f t="shared" si="268"/>
        <v>0</v>
      </c>
      <c r="K795">
        <f t="shared" si="269"/>
        <v>0</v>
      </c>
      <c r="L795">
        <v>1142635</v>
      </c>
      <c r="M795">
        <v>1560</v>
      </c>
      <c r="N795">
        <v>58325</v>
      </c>
      <c r="O795">
        <v>69990</v>
      </c>
      <c r="P795">
        <v>21000</v>
      </c>
      <c r="Q795">
        <v>6400</v>
      </c>
      <c r="R795">
        <v>6400</v>
      </c>
      <c r="S795">
        <v>0</v>
      </c>
      <c r="T795">
        <v>0</v>
      </c>
      <c r="U795">
        <v>2760</v>
      </c>
      <c r="V795">
        <v>0</v>
      </c>
      <c r="W795">
        <v>0</v>
      </c>
      <c r="X795" t="s">
        <v>612</v>
      </c>
      <c r="Y795">
        <v>1</v>
      </c>
      <c r="Z795">
        <v>0</v>
      </c>
      <c r="AA795">
        <v>50</v>
      </c>
      <c r="AB795">
        <v>25</v>
      </c>
      <c r="AC795">
        <v>0.4</v>
      </c>
    </row>
    <row r="796" spans="1:29">
      <c r="A796">
        <v>3085061</v>
      </c>
      <c r="B796">
        <v>2001</v>
      </c>
      <c r="C796">
        <v>87</v>
      </c>
      <c r="D796" t="s">
        <v>570</v>
      </c>
      <c r="E796">
        <f t="shared" si="227"/>
        <v>4400</v>
      </c>
      <c r="F796">
        <f t="shared" si="228"/>
        <v>4400</v>
      </c>
      <c r="G796" s="2">
        <v>8</v>
      </c>
      <c r="H796">
        <v>0</v>
      </c>
      <c r="I796">
        <v>0</v>
      </c>
      <c r="J796">
        <v>0</v>
      </c>
      <c r="K796">
        <v>0</v>
      </c>
      <c r="L796">
        <v>2855965</v>
      </c>
      <c r="M796">
        <v>1569.9999999999998</v>
      </c>
      <c r="N796">
        <v>144466</v>
      </c>
      <c r="O796">
        <v>173359</v>
      </c>
      <c r="P796">
        <v>22000</v>
      </c>
      <c r="Q796">
        <v>6800</v>
      </c>
      <c r="R796">
        <v>6800</v>
      </c>
      <c r="S796">
        <v>0</v>
      </c>
      <c r="T796">
        <v>0</v>
      </c>
      <c r="U796">
        <v>2824</v>
      </c>
      <c r="V796">
        <v>0</v>
      </c>
      <c r="W796">
        <v>0</v>
      </c>
      <c r="X796" t="s">
        <v>613</v>
      </c>
      <c r="Y796">
        <v>1</v>
      </c>
      <c r="Z796">
        <v>0</v>
      </c>
      <c r="AA796">
        <v>50</v>
      </c>
      <c r="AB796">
        <v>25</v>
      </c>
      <c r="AC796">
        <v>0.4</v>
      </c>
    </row>
    <row r="797" spans="1:29">
      <c r="A797">
        <v>3085071</v>
      </c>
      <c r="B797">
        <v>2001</v>
      </c>
      <c r="C797">
        <v>87</v>
      </c>
      <c r="D797" t="s">
        <v>571</v>
      </c>
      <c r="E797">
        <f t="shared" si="227"/>
        <v>4400</v>
      </c>
      <c r="F797">
        <f t="shared" si="228"/>
        <v>4400</v>
      </c>
      <c r="G797" s="2">
        <v>6</v>
      </c>
      <c r="H797">
        <v>0</v>
      </c>
      <c r="I797">
        <v>0</v>
      </c>
      <c r="J797">
        <v>0</v>
      </c>
      <c r="K797">
        <v>0</v>
      </c>
      <c r="L797">
        <v>2809682</v>
      </c>
      <c r="M797">
        <v>1569.9999999999998</v>
      </c>
      <c r="N797">
        <v>156899</v>
      </c>
      <c r="O797">
        <v>188279</v>
      </c>
      <c r="P797">
        <v>22000</v>
      </c>
      <c r="Q797">
        <v>6800</v>
      </c>
      <c r="R797">
        <v>6800</v>
      </c>
      <c r="S797">
        <v>0</v>
      </c>
      <c r="T797">
        <v>0</v>
      </c>
      <c r="U797">
        <v>2824</v>
      </c>
      <c r="V797">
        <v>0</v>
      </c>
      <c r="W797">
        <v>0</v>
      </c>
      <c r="X797" t="s">
        <v>614</v>
      </c>
      <c r="Y797">
        <v>1</v>
      </c>
      <c r="Z797">
        <v>0</v>
      </c>
      <c r="AA797">
        <v>50</v>
      </c>
      <c r="AB797">
        <v>25</v>
      </c>
      <c r="AC797">
        <v>0.4</v>
      </c>
    </row>
    <row r="798" spans="1:29">
      <c r="A798">
        <v>3085081</v>
      </c>
      <c r="B798">
        <v>2001</v>
      </c>
      <c r="C798">
        <v>88</v>
      </c>
      <c r="D798" t="s">
        <v>572</v>
      </c>
      <c r="E798">
        <f t="shared" si="227"/>
        <v>4600</v>
      </c>
      <c r="F798">
        <f t="shared" si="228"/>
        <v>4600</v>
      </c>
      <c r="G798" s="2">
        <v>7</v>
      </c>
      <c r="H798">
        <v>0</v>
      </c>
      <c r="I798">
        <v>0</v>
      </c>
      <c r="J798">
        <v>0</v>
      </c>
      <c r="K798">
        <v>0</v>
      </c>
      <c r="L798">
        <v>3235813</v>
      </c>
      <c r="M798">
        <v>1580</v>
      </c>
      <c r="N798">
        <v>213004</v>
      </c>
      <c r="O798">
        <v>255605</v>
      </c>
      <c r="P798">
        <v>23000</v>
      </c>
      <c r="Q798">
        <v>7200</v>
      </c>
      <c r="R798">
        <v>7200</v>
      </c>
      <c r="S798">
        <v>0</v>
      </c>
      <c r="T798">
        <v>0</v>
      </c>
      <c r="U798">
        <v>2889</v>
      </c>
      <c r="V798">
        <v>0</v>
      </c>
      <c r="W798">
        <v>0</v>
      </c>
      <c r="X798" t="s">
        <v>615</v>
      </c>
      <c r="Y798">
        <v>1</v>
      </c>
      <c r="Z798">
        <v>0</v>
      </c>
      <c r="AA798">
        <v>50</v>
      </c>
      <c r="AB798">
        <v>25</v>
      </c>
      <c r="AC798">
        <v>0.4</v>
      </c>
    </row>
    <row r="799" spans="1:29">
      <c r="A799">
        <v>3085091</v>
      </c>
      <c r="B799">
        <v>2001</v>
      </c>
      <c r="C799">
        <v>89</v>
      </c>
      <c r="D799" t="s">
        <v>573</v>
      </c>
      <c r="E799">
        <f t="shared" si="227"/>
        <v>4800</v>
      </c>
      <c r="F799">
        <f t="shared" si="228"/>
        <v>4800</v>
      </c>
      <c r="G799" s="2" t="s">
        <v>633</v>
      </c>
      <c r="H799">
        <v>0</v>
      </c>
      <c r="I799">
        <v>0</v>
      </c>
      <c r="J799">
        <v>0</v>
      </c>
      <c r="K799">
        <v>0</v>
      </c>
      <c r="L799">
        <v>4038694</v>
      </c>
      <c r="M799">
        <v>4770</v>
      </c>
      <c r="N799">
        <v>285348</v>
      </c>
      <c r="O799">
        <v>342418</v>
      </c>
      <c r="P799">
        <v>24000</v>
      </c>
      <c r="Q799">
        <v>7600</v>
      </c>
      <c r="R799">
        <v>7600</v>
      </c>
      <c r="S799">
        <v>0</v>
      </c>
      <c r="T799">
        <v>4235</v>
      </c>
      <c r="U799">
        <v>3230</v>
      </c>
      <c r="V799">
        <v>0</v>
      </c>
      <c r="W799">
        <v>0</v>
      </c>
      <c r="X799" t="s">
        <v>616</v>
      </c>
      <c r="Y799">
        <v>1</v>
      </c>
      <c r="Z799">
        <v>0</v>
      </c>
      <c r="AA799">
        <v>50</v>
      </c>
      <c r="AB799">
        <v>25</v>
      </c>
      <c r="AC799">
        <v>0.4</v>
      </c>
    </row>
    <row r="800" spans="1:29">
      <c r="A800">
        <v>3090011</v>
      </c>
      <c r="B800">
        <v>2001</v>
      </c>
      <c r="C800">
        <v>90</v>
      </c>
      <c r="D800" t="s">
        <v>581</v>
      </c>
      <c r="E800">
        <f t="shared" si="227"/>
        <v>5000</v>
      </c>
      <c r="F800">
        <f t="shared" si="228"/>
        <v>5000</v>
      </c>
      <c r="G800" s="2">
        <v>0</v>
      </c>
      <c r="H800">
        <v>0</v>
      </c>
      <c r="I800">
        <v>0</v>
      </c>
      <c r="J800">
        <v>0</v>
      </c>
      <c r="K800">
        <v>0</v>
      </c>
      <c r="L800">
        <v>2387121</v>
      </c>
      <c r="M800">
        <v>1600</v>
      </c>
      <c r="N800">
        <v>142579</v>
      </c>
      <c r="O800">
        <v>171095</v>
      </c>
      <c r="P800">
        <v>25000</v>
      </c>
      <c r="Q800">
        <v>8000</v>
      </c>
      <c r="R800">
        <v>8000</v>
      </c>
      <c r="S800">
        <v>0</v>
      </c>
      <c r="T800">
        <v>0</v>
      </c>
      <c r="U800">
        <v>6133</v>
      </c>
      <c r="V800">
        <v>0</v>
      </c>
      <c r="W800">
        <v>0</v>
      </c>
      <c r="X800" t="s">
        <v>624</v>
      </c>
      <c r="Y800">
        <v>1</v>
      </c>
      <c r="Z800">
        <v>0</v>
      </c>
      <c r="AA800">
        <v>50</v>
      </c>
      <c r="AB800">
        <v>25</v>
      </c>
      <c r="AC800">
        <v>0.4</v>
      </c>
    </row>
    <row r="801" spans="1:29">
      <c r="A801">
        <v>3090021</v>
      </c>
      <c r="B801">
        <v>2001</v>
      </c>
      <c r="C801">
        <v>90</v>
      </c>
      <c r="D801" t="s">
        <v>568</v>
      </c>
      <c r="E801">
        <f t="shared" si="227"/>
        <v>5000</v>
      </c>
      <c r="F801">
        <f t="shared" si="228"/>
        <v>5000</v>
      </c>
      <c r="G801" s="2" t="s">
        <v>632</v>
      </c>
      <c r="H801">
        <v>0</v>
      </c>
      <c r="I801">
        <v>0</v>
      </c>
      <c r="J801">
        <v>0</v>
      </c>
      <c r="K801">
        <v>0</v>
      </c>
      <c r="L801">
        <v>2582436</v>
      </c>
      <c r="M801">
        <v>4800</v>
      </c>
      <c r="N801">
        <v>192646</v>
      </c>
      <c r="O801">
        <v>231175</v>
      </c>
      <c r="P801">
        <v>25000</v>
      </c>
      <c r="Q801">
        <v>8000</v>
      </c>
      <c r="R801">
        <v>8000</v>
      </c>
      <c r="S801">
        <v>0</v>
      </c>
      <c r="T801">
        <v>0</v>
      </c>
      <c r="U801">
        <v>3021</v>
      </c>
      <c r="V801">
        <v>0</v>
      </c>
      <c r="W801">
        <v>0</v>
      </c>
      <c r="X801" t="s">
        <v>606</v>
      </c>
      <c r="Y801">
        <v>1</v>
      </c>
      <c r="Z801">
        <v>0</v>
      </c>
      <c r="AA801">
        <v>50</v>
      </c>
      <c r="AB801">
        <v>25</v>
      </c>
      <c r="AC801">
        <v>0.4</v>
      </c>
    </row>
    <row r="802" spans="1:29">
      <c r="A802">
        <v>3090031</v>
      </c>
      <c r="B802">
        <v>2001</v>
      </c>
      <c r="C802">
        <v>91</v>
      </c>
      <c r="D802" t="s">
        <v>551</v>
      </c>
      <c r="E802">
        <f t="shared" si="227"/>
        <v>5200</v>
      </c>
      <c r="F802">
        <f t="shared" si="228"/>
        <v>5200</v>
      </c>
      <c r="G802" s="2" t="s">
        <v>628</v>
      </c>
      <c r="H802">
        <v>0</v>
      </c>
      <c r="I802">
        <v>0</v>
      </c>
      <c r="J802">
        <v>0</v>
      </c>
      <c r="K802">
        <v>0</v>
      </c>
      <c r="L802">
        <v>1941263</v>
      </c>
      <c r="M802">
        <v>194126</v>
      </c>
      <c r="N802">
        <v>282076</v>
      </c>
      <c r="O802">
        <v>338491</v>
      </c>
      <c r="P802">
        <v>26000</v>
      </c>
      <c r="Q802">
        <v>8400</v>
      </c>
      <c r="R802">
        <v>8400</v>
      </c>
      <c r="S802">
        <v>0</v>
      </c>
      <c r="T802">
        <v>0</v>
      </c>
      <c r="U802">
        <v>3088</v>
      </c>
      <c r="V802">
        <v>0</v>
      </c>
      <c r="W802">
        <v>0</v>
      </c>
      <c r="X802" t="s">
        <v>607</v>
      </c>
      <c r="Y802">
        <v>1</v>
      </c>
      <c r="Z802">
        <v>0</v>
      </c>
      <c r="AA802">
        <v>50</v>
      </c>
      <c r="AB802">
        <v>25</v>
      </c>
      <c r="AC802">
        <v>0.4</v>
      </c>
    </row>
    <row r="803" spans="1:29">
      <c r="A803">
        <v>3090041</v>
      </c>
      <c r="B803">
        <v>2001</v>
      </c>
      <c r="C803">
        <v>91</v>
      </c>
      <c r="D803" t="s">
        <v>569</v>
      </c>
      <c r="E803">
        <f t="shared" si="227"/>
        <v>5200</v>
      </c>
      <c r="F803">
        <f t="shared" si="228"/>
        <v>5200</v>
      </c>
      <c r="G803" s="2">
        <v>29</v>
      </c>
      <c r="H803">
        <v>0</v>
      </c>
      <c r="I803">
        <v>0</v>
      </c>
      <c r="J803">
        <v>0</v>
      </c>
      <c r="K803">
        <v>0</v>
      </c>
      <c r="L803">
        <v>2886254</v>
      </c>
      <c r="M803">
        <v>1609.9999999999998</v>
      </c>
      <c r="N803">
        <v>204691</v>
      </c>
      <c r="O803">
        <v>245629</v>
      </c>
      <c r="P803">
        <v>26000</v>
      </c>
      <c r="Q803">
        <v>8400</v>
      </c>
      <c r="R803">
        <v>8400</v>
      </c>
      <c r="S803">
        <v>0</v>
      </c>
      <c r="T803">
        <v>0</v>
      </c>
      <c r="U803">
        <v>3088</v>
      </c>
      <c r="V803">
        <v>0</v>
      </c>
      <c r="W803">
        <v>0</v>
      </c>
      <c r="X803" t="s">
        <v>608</v>
      </c>
      <c r="Y803">
        <v>1</v>
      </c>
      <c r="Z803">
        <v>0</v>
      </c>
      <c r="AA803">
        <v>50</v>
      </c>
      <c r="AB803">
        <v>25</v>
      </c>
      <c r="AC803">
        <v>0.4</v>
      </c>
    </row>
    <row r="804" spans="1:29">
      <c r="A804">
        <v>3090051</v>
      </c>
      <c r="B804">
        <v>2001</v>
      </c>
      <c r="C804">
        <v>91</v>
      </c>
      <c r="D804" t="s">
        <v>586</v>
      </c>
      <c r="E804">
        <f t="shared" si="227"/>
        <v>5200</v>
      </c>
      <c r="F804">
        <f t="shared" si="228"/>
        <v>5200</v>
      </c>
      <c r="G804" s="2">
        <v>5</v>
      </c>
      <c r="H804">
        <v>0</v>
      </c>
      <c r="I804">
        <v>0</v>
      </c>
      <c r="J804">
        <v>0</v>
      </c>
      <c r="K804">
        <v>0</v>
      </c>
      <c r="L804">
        <v>1454987</v>
      </c>
      <c r="M804">
        <v>1609.9999999999998</v>
      </c>
      <c r="N804">
        <v>62385</v>
      </c>
      <c r="O804">
        <v>74862</v>
      </c>
      <c r="P804">
        <v>26000</v>
      </c>
      <c r="Q804">
        <v>8400</v>
      </c>
      <c r="R804">
        <v>8400</v>
      </c>
      <c r="S804">
        <v>0</v>
      </c>
      <c r="T804">
        <v>0</v>
      </c>
      <c r="U804">
        <v>3088</v>
      </c>
      <c r="V804">
        <v>0</v>
      </c>
      <c r="W804">
        <v>0</v>
      </c>
      <c r="X804" t="s">
        <v>611</v>
      </c>
      <c r="Y804">
        <v>1</v>
      </c>
      <c r="Z804">
        <v>0</v>
      </c>
      <c r="AA804">
        <v>50</v>
      </c>
      <c r="AB804">
        <v>25</v>
      </c>
      <c r="AC804">
        <v>0.4</v>
      </c>
    </row>
    <row r="805" spans="1:29">
      <c r="A805">
        <f>A804+1</f>
        <v>3090052</v>
      </c>
      <c r="B805">
        <f>B804</f>
        <v>2001</v>
      </c>
      <c r="C805">
        <f>C804</f>
        <v>91</v>
      </c>
      <c r="D805" t="s">
        <v>588</v>
      </c>
      <c r="E805">
        <f t="shared" ref="E805:E807" si="270">E804</f>
        <v>5200</v>
      </c>
      <c r="F805">
        <f t="shared" ref="F805:F807" si="271">F804</f>
        <v>5200</v>
      </c>
      <c r="G805" s="2">
        <v>2</v>
      </c>
      <c r="H805">
        <f t="shared" ref="H805:H807" si="272">H804</f>
        <v>0</v>
      </c>
      <c r="I805">
        <f t="shared" ref="I805:I807" si="273">I804</f>
        <v>0</v>
      </c>
      <c r="J805">
        <f t="shared" ref="J805:J807" si="274">J804</f>
        <v>0</v>
      </c>
      <c r="K805">
        <f t="shared" ref="K805:K807" si="275">K804</f>
        <v>0</v>
      </c>
      <c r="L805">
        <v>1357988</v>
      </c>
      <c r="M805">
        <v>1288</v>
      </c>
      <c r="N805">
        <v>66841</v>
      </c>
      <c r="O805">
        <v>80209</v>
      </c>
      <c r="P805">
        <v>26000</v>
      </c>
      <c r="Q805">
        <v>8400</v>
      </c>
      <c r="R805">
        <v>8400</v>
      </c>
      <c r="S805">
        <v>0</v>
      </c>
      <c r="T805">
        <v>0</v>
      </c>
      <c r="U805">
        <v>3088</v>
      </c>
      <c r="V805">
        <v>0</v>
      </c>
      <c r="W805">
        <v>0</v>
      </c>
      <c r="X805" t="s">
        <v>610</v>
      </c>
      <c r="Y805">
        <v>1</v>
      </c>
      <c r="Z805">
        <v>0</v>
      </c>
      <c r="AA805">
        <v>50</v>
      </c>
      <c r="AB805">
        <v>25</v>
      </c>
      <c r="AC805">
        <v>0.4</v>
      </c>
    </row>
    <row r="806" spans="1:29">
      <c r="A806">
        <f t="shared" ref="A806:A807" si="276">A805+1</f>
        <v>3090053</v>
      </c>
      <c r="B806">
        <f t="shared" ref="B806:B807" si="277">B805</f>
        <v>2001</v>
      </c>
      <c r="C806">
        <f t="shared" ref="C806:C807" si="278">C805</f>
        <v>91</v>
      </c>
      <c r="D806" t="s">
        <v>589</v>
      </c>
      <c r="E806">
        <f t="shared" si="270"/>
        <v>5200</v>
      </c>
      <c r="F806">
        <f t="shared" si="271"/>
        <v>5200</v>
      </c>
      <c r="G806" s="2">
        <v>26</v>
      </c>
      <c r="H806">
        <f t="shared" si="272"/>
        <v>0</v>
      </c>
      <c r="I806">
        <f t="shared" si="273"/>
        <v>0</v>
      </c>
      <c r="J806">
        <f t="shared" si="274"/>
        <v>0</v>
      </c>
      <c r="K806">
        <f t="shared" si="275"/>
        <v>0</v>
      </c>
      <c r="L806">
        <v>1422654</v>
      </c>
      <c r="M806">
        <v>1609.9999999999998</v>
      </c>
      <c r="N806">
        <v>80209</v>
      </c>
      <c r="O806">
        <v>96251</v>
      </c>
      <c r="P806">
        <v>26000</v>
      </c>
      <c r="Q806">
        <v>8400</v>
      </c>
      <c r="R806">
        <v>8400</v>
      </c>
      <c r="S806">
        <v>0</v>
      </c>
      <c r="T806">
        <v>0</v>
      </c>
      <c r="U806">
        <v>3088</v>
      </c>
      <c r="V806">
        <v>0</v>
      </c>
      <c r="W806">
        <v>0</v>
      </c>
      <c r="X806" t="s">
        <v>609</v>
      </c>
      <c r="Y806">
        <v>1</v>
      </c>
      <c r="Z806">
        <v>0</v>
      </c>
      <c r="AA806">
        <v>50</v>
      </c>
      <c r="AB806">
        <v>25</v>
      </c>
      <c r="AC806">
        <v>0.4</v>
      </c>
    </row>
    <row r="807" spans="1:29">
      <c r="A807">
        <f t="shared" si="276"/>
        <v>3090054</v>
      </c>
      <c r="B807">
        <f t="shared" si="277"/>
        <v>2001</v>
      </c>
      <c r="C807">
        <f t="shared" si="278"/>
        <v>91</v>
      </c>
      <c r="D807" t="s">
        <v>590</v>
      </c>
      <c r="E807">
        <f t="shared" si="270"/>
        <v>5200</v>
      </c>
      <c r="F807">
        <f t="shared" si="271"/>
        <v>5200</v>
      </c>
      <c r="G807" s="2">
        <v>14</v>
      </c>
      <c r="H807">
        <f t="shared" si="272"/>
        <v>0</v>
      </c>
      <c r="I807">
        <f t="shared" si="273"/>
        <v>0</v>
      </c>
      <c r="J807">
        <f t="shared" si="274"/>
        <v>0</v>
      </c>
      <c r="K807">
        <f t="shared" si="275"/>
        <v>0</v>
      </c>
      <c r="L807">
        <v>1390321</v>
      </c>
      <c r="M807">
        <v>1609.9999999999998</v>
      </c>
      <c r="N807">
        <v>80209</v>
      </c>
      <c r="O807">
        <v>96251</v>
      </c>
      <c r="P807">
        <v>26000</v>
      </c>
      <c r="Q807">
        <v>8400</v>
      </c>
      <c r="R807">
        <v>8400</v>
      </c>
      <c r="S807">
        <v>0</v>
      </c>
      <c r="T807">
        <v>0</v>
      </c>
      <c r="U807">
        <v>3088</v>
      </c>
      <c r="V807">
        <v>0</v>
      </c>
      <c r="W807">
        <v>0</v>
      </c>
      <c r="X807" t="s">
        <v>612</v>
      </c>
      <c r="Y807">
        <v>1</v>
      </c>
      <c r="Z807">
        <v>0</v>
      </c>
      <c r="AA807">
        <v>50</v>
      </c>
      <c r="AB807">
        <v>25</v>
      </c>
      <c r="AC807">
        <v>0.4</v>
      </c>
    </row>
    <row r="808" spans="1:29">
      <c r="A808">
        <v>3090061</v>
      </c>
      <c r="B808">
        <v>2001</v>
      </c>
      <c r="C808">
        <v>92</v>
      </c>
      <c r="D808" t="s">
        <v>570</v>
      </c>
      <c r="E808">
        <f t="shared" si="227"/>
        <v>5400</v>
      </c>
      <c r="F808">
        <f t="shared" si="228"/>
        <v>5400</v>
      </c>
      <c r="G808" s="2">
        <v>8</v>
      </c>
      <c r="H808">
        <v>0</v>
      </c>
      <c r="I808">
        <v>0</v>
      </c>
      <c r="J808">
        <v>0</v>
      </c>
      <c r="K808">
        <v>0</v>
      </c>
      <c r="L808">
        <v>3501391</v>
      </c>
      <c r="M808">
        <v>1620</v>
      </c>
      <c r="N808">
        <v>199577</v>
      </c>
      <c r="O808">
        <v>239492</v>
      </c>
      <c r="P808">
        <v>27000</v>
      </c>
      <c r="Q808">
        <v>8800</v>
      </c>
      <c r="R808">
        <v>8800</v>
      </c>
      <c r="S808">
        <v>0</v>
      </c>
      <c r="T808">
        <v>0</v>
      </c>
      <c r="U808">
        <v>3156</v>
      </c>
      <c r="V808">
        <v>0</v>
      </c>
      <c r="W808">
        <v>0</v>
      </c>
      <c r="X808" t="s">
        <v>613</v>
      </c>
      <c r="Y808">
        <v>1</v>
      </c>
      <c r="Z808">
        <v>0</v>
      </c>
      <c r="AA808">
        <v>50</v>
      </c>
      <c r="AB808">
        <v>25</v>
      </c>
      <c r="AC808">
        <v>0.4</v>
      </c>
    </row>
    <row r="809" spans="1:29">
      <c r="A809">
        <v>3090071</v>
      </c>
      <c r="B809">
        <v>2001</v>
      </c>
      <c r="C809">
        <v>92</v>
      </c>
      <c r="D809" t="s">
        <v>571</v>
      </c>
      <c r="E809">
        <f t="shared" si="227"/>
        <v>5400</v>
      </c>
      <c r="F809">
        <f t="shared" si="228"/>
        <v>5400</v>
      </c>
      <c r="G809" s="2">
        <v>6</v>
      </c>
      <c r="H809">
        <v>0</v>
      </c>
      <c r="I809">
        <v>0</v>
      </c>
      <c r="J809">
        <v>0</v>
      </c>
      <c r="K809">
        <v>0</v>
      </c>
      <c r="L809">
        <v>3444184</v>
      </c>
      <c r="M809">
        <v>1620</v>
      </c>
      <c r="N809">
        <v>217318</v>
      </c>
      <c r="O809">
        <v>260782</v>
      </c>
      <c r="P809">
        <v>27000</v>
      </c>
      <c r="Q809">
        <v>8800</v>
      </c>
      <c r="R809">
        <v>8800</v>
      </c>
      <c r="S809">
        <v>0</v>
      </c>
      <c r="T809">
        <v>0</v>
      </c>
      <c r="U809">
        <v>3156</v>
      </c>
      <c r="V809">
        <v>0</v>
      </c>
      <c r="W809">
        <v>0</v>
      </c>
      <c r="X809" t="s">
        <v>614</v>
      </c>
      <c r="Y809">
        <v>1</v>
      </c>
      <c r="Z809">
        <v>0</v>
      </c>
      <c r="AA809">
        <v>50</v>
      </c>
      <c r="AB809">
        <v>25</v>
      </c>
      <c r="AC809">
        <v>0.4</v>
      </c>
    </row>
    <row r="810" spans="1:29">
      <c r="A810">
        <v>3090081</v>
      </c>
      <c r="B810">
        <v>2001</v>
      </c>
      <c r="C810">
        <v>93</v>
      </c>
      <c r="D810" t="s">
        <v>572</v>
      </c>
      <c r="E810">
        <f t="shared" ref="E810:E835" si="279">VLOOKUP(C810,C$6:F$212,3,0)*5</f>
        <v>5600</v>
      </c>
      <c r="F810">
        <f t="shared" ref="F810:F835" si="280">E810</f>
        <v>5600</v>
      </c>
      <c r="G810" s="2">
        <v>7</v>
      </c>
      <c r="H810">
        <v>0</v>
      </c>
      <c r="I810">
        <v>0</v>
      </c>
      <c r="J810">
        <v>0</v>
      </c>
      <c r="K810">
        <v>0</v>
      </c>
      <c r="L810">
        <v>3993830</v>
      </c>
      <c r="M810">
        <v>1630</v>
      </c>
      <c r="N810">
        <v>295796</v>
      </c>
      <c r="O810">
        <v>354955</v>
      </c>
      <c r="P810">
        <v>28000</v>
      </c>
      <c r="Q810">
        <v>9200</v>
      </c>
      <c r="R810">
        <v>9200</v>
      </c>
      <c r="S810">
        <v>0</v>
      </c>
      <c r="T810">
        <v>0</v>
      </c>
      <c r="U810">
        <v>3225</v>
      </c>
      <c r="V810">
        <v>0</v>
      </c>
      <c r="W810">
        <v>0</v>
      </c>
      <c r="X810" t="s">
        <v>615</v>
      </c>
      <c r="Y810">
        <v>1</v>
      </c>
      <c r="Z810">
        <v>0</v>
      </c>
      <c r="AA810">
        <v>50</v>
      </c>
      <c r="AB810">
        <v>25</v>
      </c>
      <c r="AC810">
        <v>0.4</v>
      </c>
    </row>
    <row r="811" spans="1:29">
      <c r="A811">
        <v>3090091</v>
      </c>
      <c r="B811">
        <v>2001</v>
      </c>
      <c r="C811">
        <v>94</v>
      </c>
      <c r="D811" t="s">
        <v>573</v>
      </c>
      <c r="E811">
        <f t="shared" si="279"/>
        <v>5800</v>
      </c>
      <c r="F811">
        <f t="shared" si="280"/>
        <v>5800</v>
      </c>
      <c r="G811" s="2" t="s">
        <v>633</v>
      </c>
      <c r="H811">
        <v>0</v>
      </c>
      <c r="I811">
        <v>0</v>
      </c>
      <c r="J811">
        <v>0</v>
      </c>
      <c r="K811">
        <v>0</v>
      </c>
      <c r="L811">
        <v>5015357</v>
      </c>
      <c r="M811">
        <v>4920</v>
      </c>
      <c r="N811">
        <v>397639</v>
      </c>
      <c r="O811">
        <v>477167</v>
      </c>
      <c r="P811">
        <v>29000</v>
      </c>
      <c r="Q811">
        <v>9600</v>
      </c>
      <c r="R811">
        <v>9600</v>
      </c>
      <c r="S811">
        <v>0</v>
      </c>
      <c r="T811">
        <v>4721</v>
      </c>
      <c r="U811">
        <v>3601</v>
      </c>
      <c r="V811">
        <v>0</v>
      </c>
      <c r="W811">
        <v>0</v>
      </c>
      <c r="X811" t="s">
        <v>616</v>
      </c>
      <c r="Y811">
        <v>1</v>
      </c>
      <c r="Z811">
        <v>0</v>
      </c>
      <c r="AA811">
        <v>50</v>
      </c>
      <c r="AB811">
        <v>25</v>
      </c>
      <c r="AC811">
        <v>0.4</v>
      </c>
    </row>
    <row r="812" spans="1:29">
      <c r="A812">
        <v>3095011</v>
      </c>
      <c r="B812">
        <v>2001</v>
      </c>
      <c r="C812">
        <v>95</v>
      </c>
      <c r="D812" t="s">
        <v>581</v>
      </c>
      <c r="E812">
        <f t="shared" si="279"/>
        <v>6000</v>
      </c>
      <c r="F812">
        <f t="shared" si="280"/>
        <v>6000</v>
      </c>
      <c r="G812" s="2">
        <v>0</v>
      </c>
      <c r="H812">
        <v>0</v>
      </c>
      <c r="I812">
        <v>0</v>
      </c>
      <c r="J812">
        <v>0</v>
      </c>
      <c r="K812">
        <v>0</v>
      </c>
      <c r="L812">
        <v>2953469</v>
      </c>
      <c r="M812">
        <v>1650</v>
      </c>
      <c r="N812">
        <v>191725</v>
      </c>
      <c r="O812">
        <v>230070</v>
      </c>
      <c r="P812">
        <v>30000</v>
      </c>
      <c r="Q812">
        <v>10000</v>
      </c>
      <c r="R812">
        <v>10000</v>
      </c>
      <c r="S812">
        <v>0</v>
      </c>
      <c r="T812">
        <v>0</v>
      </c>
      <c r="U812">
        <v>6830</v>
      </c>
      <c r="V812">
        <v>0</v>
      </c>
      <c r="W812">
        <v>0</v>
      </c>
      <c r="X812" t="s">
        <v>624</v>
      </c>
      <c r="Y812">
        <v>1</v>
      </c>
      <c r="Z812">
        <v>0</v>
      </c>
      <c r="AA812">
        <v>50</v>
      </c>
      <c r="AB812">
        <v>25</v>
      </c>
      <c r="AC812">
        <v>0.4</v>
      </c>
    </row>
    <row r="813" spans="1:29">
      <c r="A813">
        <v>3095021</v>
      </c>
      <c r="B813">
        <v>2001</v>
      </c>
      <c r="C813">
        <v>95</v>
      </c>
      <c r="D813" t="s">
        <v>568</v>
      </c>
      <c r="E813">
        <f t="shared" si="279"/>
        <v>6000</v>
      </c>
      <c r="F813">
        <f t="shared" si="280"/>
        <v>6000</v>
      </c>
      <c r="G813" s="2" t="s">
        <v>632</v>
      </c>
      <c r="H813">
        <v>0</v>
      </c>
      <c r="I813">
        <v>0</v>
      </c>
      <c r="J813">
        <v>0</v>
      </c>
      <c r="K813">
        <v>0</v>
      </c>
      <c r="L813">
        <v>3190485</v>
      </c>
      <c r="M813">
        <v>4950</v>
      </c>
      <c r="N813">
        <v>260684</v>
      </c>
      <c r="O813">
        <v>312821</v>
      </c>
      <c r="P813">
        <v>30000</v>
      </c>
      <c r="Q813">
        <v>10000</v>
      </c>
      <c r="R813">
        <v>10000</v>
      </c>
      <c r="S813">
        <v>0</v>
      </c>
      <c r="T813">
        <v>0</v>
      </c>
      <c r="U813">
        <v>3364</v>
      </c>
      <c r="V813">
        <v>0</v>
      </c>
      <c r="W813">
        <v>0</v>
      </c>
      <c r="X813" t="s">
        <v>606</v>
      </c>
      <c r="Y813">
        <v>1</v>
      </c>
      <c r="Z813">
        <v>0</v>
      </c>
      <c r="AA813">
        <v>50</v>
      </c>
      <c r="AB813">
        <v>25</v>
      </c>
      <c r="AC813">
        <v>0.4</v>
      </c>
    </row>
    <row r="814" spans="1:29">
      <c r="A814">
        <v>3095031</v>
      </c>
      <c r="B814">
        <v>2001</v>
      </c>
      <c r="C814">
        <v>96</v>
      </c>
      <c r="D814" t="s">
        <v>551</v>
      </c>
      <c r="E814">
        <f t="shared" si="279"/>
        <v>6200</v>
      </c>
      <c r="F814">
        <f t="shared" si="280"/>
        <v>6200</v>
      </c>
      <c r="G814" s="2" t="s">
        <v>628</v>
      </c>
      <c r="H814">
        <v>0</v>
      </c>
      <c r="I814">
        <v>0</v>
      </c>
      <c r="J814">
        <v>0</v>
      </c>
      <c r="K814">
        <v>0</v>
      </c>
      <c r="L814">
        <v>2405919</v>
      </c>
      <c r="M814">
        <v>240592</v>
      </c>
      <c r="N814">
        <v>384915</v>
      </c>
      <c r="O814">
        <v>461898</v>
      </c>
      <c r="P814">
        <v>31000</v>
      </c>
      <c r="Q814">
        <v>10400</v>
      </c>
      <c r="R814">
        <v>10400</v>
      </c>
      <c r="S814">
        <v>0</v>
      </c>
      <c r="T814">
        <v>0</v>
      </c>
      <c r="U814">
        <v>3434</v>
      </c>
      <c r="V814">
        <v>0</v>
      </c>
      <c r="W814">
        <v>0</v>
      </c>
      <c r="X814" t="s">
        <v>607</v>
      </c>
      <c r="Y814">
        <v>1</v>
      </c>
      <c r="Z814">
        <v>0</v>
      </c>
      <c r="AA814">
        <v>50</v>
      </c>
      <c r="AB814">
        <v>25</v>
      </c>
      <c r="AC814">
        <v>0.4</v>
      </c>
    </row>
    <row r="815" spans="1:29">
      <c r="A815">
        <v>3095041</v>
      </c>
      <c r="B815">
        <v>2001</v>
      </c>
      <c r="C815">
        <v>96</v>
      </c>
      <c r="D815" t="s">
        <v>569</v>
      </c>
      <c r="E815">
        <f t="shared" si="279"/>
        <v>6200</v>
      </c>
      <c r="F815">
        <f t="shared" si="280"/>
        <v>6200</v>
      </c>
      <c r="G815" s="2">
        <v>29</v>
      </c>
      <c r="H815">
        <v>0</v>
      </c>
      <c r="I815">
        <v>0</v>
      </c>
      <c r="J815">
        <v>0</v>
      </c>
      <c r="K815">
        <v>0</v>
      </c>
      <c r="L815">
        <v>3573841</v>
      </c>
      <c r="M815">
        <v>1660.0000000000002</v>
      </c>
      <c r="N815">
        <v>280197</v>
      </c>
      <c r="O815">
        <v>336236</v>
      </c>
      <c r="P815">
        <v>31000</v>
      </c>
      <c r="Q815">
        <v>10400</v>
      </c>
      <c r="R815">
        <v>10400</v>
      </c>
      <c r="S815">
        <v>0</v>
      </c>
      <c r="T815">
        <v>0</v>
      </c>
      <c r="U815">
        <v>3434</v>
      </c>
      <c r="V815">
        <v>0</v>
      </c>
      <c r="W815">
        <v>0</v>
      </c>
      <c r="X815" t="s">
        <v>608</v>
      </c>
      <c r="Y815">
        <v>1</v>
      </c>
      <c r="Z815">
        <v>0</v>
      </c>
      <c r="AA815">
        <v>50</v>
      </c>
      <c r="AB815">
        <v>25</v>
      </c>
      <c r="AC815">
        <v>0.4</v>
      </c>
    </row>
    <row r="816" spans="1:29">
      <c r="A816">
        <v>3095051</v>
      </c>
      <c r="B816">
        <v>2001</v>
      </c>
      <c r="C816">
        <v>96</v>
      </c>
      <c r="D816" t="s">
        <v>587</v>
      </c>
      <c r="E816">
        <f t="shared" si="279"/>
        <v>6200</v>
      </c>
      <c r="F816">
        <f t="shared" si="280"/>
        <v>6200</v>
      </c>
      <c r="G816" s="2">
        <v>5</v>
      </c>
      <c r="H816">
        <v>0</v>
      </c>
      <c r="I816">
        <v>0</v>
      </c>
      <c r="J816">
        <v>0</v>
      </c>
      <c r="K816">
        <v>0</v>
      </c>
      <c r="L816">
        <v>1799964</v>
      </c>
      <c r="M816">
        <v>1660.0000000000002</v>
      </c>
      <c r="N816">
        <v>85667</v>
      </c>
      <c r="O816">
        <v>102800</v>
      </c>
      <c r="P816">
        <v>31000</v>
      </c>
      <c r="Q816">
        <v>10400</v>
      </c>
      <c r="R816">
        <v>10400</v>
      </c>
      <c r="S816">
        <v>0</v>
      </c>
      <c r="T816">
        <v>0</v>
      </c>
      <c r="U816">
        <v>3434</v>
      </c>
      <c r="V816">
        <v>0</v>
      </c>
      <c r="W816">
        <v>0</v>
      </c>
      <c r="X816" t="s">
        <v>611</v>
      </c>
      <c r="Y816">
        <v>1</v>
      </c>
      <c r="Z816">
        <v>0</v>
      </c>
      <c r="AA816">
        <v>50</v>
      </c>
      <c r="AB816">
        <v>25</v>
      </c>
      <c r="AC816">
        <v>0.4</v>
      </c>
    </row>
    <row r="817" spans="1:29">
      <c r="A817">
        <f>A816+1</f>
        <v>3095052</v>
      </c>
      <c r="B817">
        <f>B816</f>
        <v>2001</v>
      </c>
      <c r="C817">
        <f>C816</f>
        <v>96</v>
      </c>
      <c r="D817" t="s">
        <v>588</v>
      </c>
      <c r="E817">
        <f t="shared" ref="E817:E819" si="281">E816</f>
        <v>6200</v>
      </c>
      <c r="F817">
        <f t="shared" ref="F817:F819" si="282">F816</f>
        <v>6200</v>
      </c>
      <c r="G817" s="2">
        <v>2</v>
      </c>
      <c r="H817">
        <f t="shared" ref="H817:H819" si="283">H816</f>
        <v>0</v>
      </c>
      <c r="I817">
        <f t="shared" ref="I817:I819" si="284">I816</f>
        <v>0</v>
      </c>
      <c r="J817">
        <f t="shared" ref="J817:J819" si="285">J816</f>
        <v>0</v>
      </c>
      <c r="K817">
        <f t="shared" ref="K817:K819" si="286">K816</f>
        <v>0</v>
      </c>
      <c r="L817">
        <v>1679966</v>
      </c>
      <c r="M817">
        <v>1328</v>
      </c>
      <c r="N817">
        <v>91786</v>
      </c>
      <c r="O817">
        <v>110143</v>
      </c>
      <c r="P817">
        <v>31000</v>
      </c>
      <c r="Q817">
        <v>10400</v>
      </c>
      <c r="R817">
        <v>10400</v>
      </c>
      <c r="S817">
        <v>0</v>
      </c>
      <c r="T817">
        <v>0</v>
      </c>
      <c r="U817">
        <v>3434</v>
      </c>
      <c r="V817">
        <v>0</v>
      </c>
      <c r="W817">
        <v>0</v>
      </c>
      <c r="X817" t="s">
        <v>610</v>
      </c>
      <c r="Y817">
        <v>1</v>
      </c>
      <c r="Z817">
        <v>0</v>
      </c>
      <c r="AA817">
        <v>50</v>
      </c>
      <c r="AB817">
        <v>25</v>
      </c>
      <c r="AC817">
        <v>0.4</v>
      </c>
    </row>
    <row r="818" spans="1:29">
      <c r="A818">
        <f t="shared" ref="A818:A819" si="287">A817+1</f>
        <v>3095053</v>
      </c>
      <c r="B818">
        <f t="shared" ref="B818:B819" si="288">B817</f>
        <v>2001</v>
      </c>
      <c r="C818">
        <f t="shared" ref="C818:C819" si="289">C817</f>
        <v>96</v>
      </c>
      <c r="D818" t="s">
        <v>589</v>
      </c>
      <c r="E818">
        <f t="shared" si="281"/>
        <v>6200</v>
      </c>
      <c r="F818">
        <f t="shared" si="282"/>
        <v>6200</v>
      </c>
      <c r="G818" s="2">
        <v>26</v>
      </c>
      <c r="H818">
        <f t="shared" si="283"/>
        <v>0</v>
      </c>
      <c r="I818">
        <f t="shared" si="284"/>
        <v>0</v>
      </c>
      <c r="J818">
        <f t="shared" si="285"/>
        <v>0</v>
      </c>
      <c r="K818">
        <f t="shared" si="286"/>
        <v>0</v>
      </c>
      <c r="L818">
        <v>1759964</v>
      </c>
      <c r="M818">
        <v>1660.0000000000002</v>
      </c>
      <c r="N818">
        <v>110143</v>
      </c>
      <c r="O818">
        <v>132172</v>
      </c>
      <c r="P818">
        <v>31000</v>
      </c>
      <c r="Q818">
        <v>10400</v>
      </c>
      <c r="R818">
        <v>10400</v>
      </c>
      <c r="S818">
        <v>0</v>
      </c>
      <c r="T818">
        <v>0</v>
      </c>
      <c r="U818">
        <v>3434</v>
      </c>
      <c r="V818">
        <v>0</v>
      </c>
      <c r="W818">
        <v>0</v>
      </c>
      <c r="X818" t="s">
        <v>609</v>
      </c>
      <c r="Y818">
        <v>1</v>
      </c>
      <c r="Z818">
        <v>0</v>
      </c>
      <c r="AA818">
        <v>50</v>
      </c>
      <c r="AB818">
        <v>25</v>
      </c>
      <c r="AC818">
        <v>0.4</v>
      </c>
    </row>
    <row r="819" spans="1:29">
      <c r="A819">
        <f t="shared" si="287"/>
        <v>3095054</v>
      </c>
      <c r="B819">
        <f t="shared" si="288"/>
        <v>2001</v>
      </c>
      <c r="C819">
        <f t="shared" si="289"/>
        <v>96</v>
      </c>
      <c r="D819" t="s">
        <v>590</v>
      </c>
      <c r="E819">
        <f t="shared" si="281"/>
        <v>6200</v>
      </c>
      <c r="F819">
        <f t="shared" si="282"/>
        <v>6200</v>
      </c>
      <c r="G819" s="2">
        <v>14</v>
      </c>
      <c r="H819">
        <f t="shared" si="283"/>
        <v>0</v>
      </c>
      <c r="I819">
        <f t="shared" si="284"/>
        <v>0</v>
      </c>
      <c r="J819">
        <f t="shared" si="285"/>
        <v>0</v>
      </c>
      <c r="K819">
        <f t="shared" si="286"/>
        <v>0</v>
      </c>
      <c r="L819">
        <v>1719965</v>
      </c>
      <c r="M819">
        <v>1660.0000000000002</v>
      </c>
      <c r="N819">
        <v>110143</v>
      </c>
      <c r="O819">
        <v>132172</v>
      </c>
      <c r="P819">
        <v>31000</v>
      </c>
      <c r="Q819">
        <v>10400</v>
      </c>
      <c r="R819">
        <v>10400</v>
      </c>
      <c r="S819">
        <v>0</v>
      </c>
      <c r="T819">
        <v>0</v>
      </c>
      <c r="U819">
        <v>3434</v>
      </c>
      <c r="V819">
        <v>0</v>
      </c>
      <c r="W819">
        <v>0</v>
      </c>
      <c r="X819" t="s">
        <v>612</v>
      </c>
      <c r="Y819">
        <v>1</v>
      </c>
      <c r="Z819">
        <v>0</v>
      </c>
      <c r="AA819">
        <v>50</v>
      </c>
      <c r="AB819">
        <v>25</v>
      </c>
      <c r="AC819">
        <v>0.4</v>
      </c>
    </row>
    <row r="820" spans="1:29">
      <c r="A820">
        <v>3095061</v>
      </c>
      <c r="B820">
        <v>2001</v>
      </c>
      <c r="C820">
        <v>97</v>
      </c>
      <c r="D820" t="s">
        <v>570</v>
      </c>
      <c r="E820">
        <f t="shared" si="279"/>
        <v>6400</v>
      </c>
      <c r="F820">
        <f t="shared" si="280"/>
        <v>6400</v>
      </c>
      <c r="G820" s="2">
        <v>8</v>
      </c>
      <c r="H820">
        <v>0</v>
      </c>
      <c r="I820">
        <v>0</v>
      </c>
      <c r="J820">
        <v>0</v>
      </c>
      <c r="K820">
        <v>0</v>
      </c>
      <c r="L820">
        <v>4346138</v>
      </c>
      <c r="M820">
        <v>1670</v>
      </c>
      <c r="N820">
        <v>275209</v>
      </c>
      <c r="O820">
        <v>330251</v>
      </c>
      <c r="P820">
        <v>32000</v>
      </c>
      <c r="Q820">
        <v>10800</v>
      </c>
      <c r="R820">
        <v>10800</v>
      </c>
      <c r="S820">
        <v>0</v>
      </c>
      <c r="T820">
        <v>0</v>
      </c>
      <c r="U820">
        <v>3506</v>
      </c>
      <c r="V820">
        <v>0</v>
      </c>
      <c r="W820">
        <v>0</v>
      </c>
      <c r="X820" t="s">
        <v>613</v>
      </c>
      <c r="Y820">
        <v>1</v>
      </c>
      <c r="Z820">
        <v>0</v>
      </c>
      <c r="AA820">
        <v>50</v>
      </c>
      <c r="AB820">
        <v>25</v>
      </c>
      <c r="AC820">
        <v>0.4</v>
      </c>
    </row>
    <row r="821" spans="1:29">
      <c r="A821">
        <v>3095071</v>
      </c>
      <c r="B821">
        <v>2001</v>
      </c>
      <c r="C821">
        <v>97</v>
      </c>
      <c r="D821" t="s">
        <v>571</v>
      </c>
      <c r="E821">
        <f t="shared" si="279"/>
        <v>6400</v>
      </c>
      <c r="F821">
        <f t="shared" si="280"/>
        <v>6400</v>
      </c>
      <c r="G821" s="2">
        <v>6</v>
      </c>
      <c r="H821">
        <v>0</v>
      </c>
      <c r="I821">
        <v>0</v>
      </c>
      <c r="J821">
        <v>0</v>
      </c>
      <c r="K821">
        <v>0</v>
      </c>
      <c r="L821">
        <v>4271742</v>
      </c>
      <c r="M821">
        <v>1670</v>
      </c>
      <c r="N821">
        <v>300381</v>
      </c>
      <c r="O821">
        <v>360457</v>
      </c>
      <c r="P821">
        <v>32000</v>
      </c>
      <c r="Q821">
        <v>10800</v>
      </c>
      <c r="R821">
        <v>10800</v>
      </c>
      <c r="S821">
        <v>0</v>
      </c>
      <c r="T821">
        <v>0</v>
      </c>
      <c r="U821">
        <v>3506</v>
      </c>
      <c r="V821">
        <v>0</v>
      </c>
      <c r="W821">
        <v>0</v>
      </c>
      <c r="X821" t="s">
        <v>614</v>
      </c>
      <c r="Y821">
        <v>1</v>
      </c>
      <c r="Z821">
        <v>0</v>
      </c>
      <c r="AA821">
        <v>50</v>
      </c>
      <c r="AB821">
        <v>25</v>
      </c>
      <c r="AC821">
        <v>0.4</v>
      </c>
    </row>
    <row r="822" spans="1:29">
      <c r="A822">
        <v>3095081</v>
      </c>
      <c r="B822">
        <v>2001</v>
      </c>
      <c r="C822">
        <v>98</v>
      </c>
      <c r="D822" t="s">
        <v>572</v>
      </c>
      <c r="E822">
        <f t="shared" si="279"/>
        <v>6600</v>
      </c>
      <c r="F822">
        <f t="shared" si="280"/>
        <v>6600</v>
      </c>
      <c r="G822" s="2">
        <v>7</v>
      </c>
      <c r="H822">
        <v>0</v>
      </c>
      <c r="I822">
        <v>0</v>
      </c>
      <c r="J822">
        <v>0</v>
      </c>
      <c r="K822">
        <v>0</v>
      </c>
      <c r="L822">
        <v>4969896</v>
      </c>
      <c r="M822">
        <v>1680.0000000000002</v>
      </c>
      <c r="N822">
        <v>409819</v>
      </c>
      <c r="O822">
        <v>491783</v>
      </c>
      <c r="P822">
        <v>33000</v>
      </c>
      <c r="Q822">
        <v>11200</v>
      </c>
      <c r="R822">
        <v>11200</v>
      </c>
      <c r="S822">
        <v>0</v>
      </c>
      <c r="T822">
        <v>0</v>
      </c>
      <c r="U822">
        <v>3578</v>
      </c>
      <c r="V822">
        <v>0</v>
      </c>
      <c r="W822">
        <v>0</v>
      </c>
      <c r="X822" t="s">
        <v>615</v>
      </c>
      <c r="Y822">
        <v>1</v>
      </c>
      <c r="Z822">
        <v>0</v>
      </c>
      <c r="AA822">
        <v>50</v>
      </c>
      <c r="AB822">
        <v>25</v>
      </c>
      <c r="AC822">
        <v>0.4</v>
      </c>
    </row>
    <row r="823" spans="1:29">
      <c r="A823">
        <v>3095091</v>
      </c>
      <c r="B823">
        <v>2001</v>
      </c>
      <c r="C823">
        <v>99</v>
      </c>
      <c r="D823" t="s">
        <v>573</v>
      </c>
      <c r="E823">
        <f t="shared" si="279"/>
        <v>6800</v>
      </c>
      <c r="F823">
        <f t="shared" si="280"/>
        <v>6800</v>
      </c>
      <c r="G823" s="2" t="s">
        <v>633</v>
      </c>
      <c r="H823">
        <v>0</v>
      </c>
      <c r="I823">
        <v>0</v>
      </c>
      <c r="J823">
        <v>0</v>
      </c>
      <c r="K823">
        <v>0</v>
      </c>
      <c r="L823">
        <v>6257494</v>
      </c>
      <c r="M823">
        <v>5070</v>
      </c>
      <c r="N823">
        <v>552655</v>
      </c>
      <c r="O823">
        <v>663186</v>
      </c>
      <c r="P823">
        <v>34000</v>
      </c>
      <c r="Q823">
        <v>11600</v>
      </c>
      <c r="R823">
        <v>11600</v>
      </c>
      <c r="S823">
        <v>0</v>
      </c>
      <c r="T823">
        <v>5233</v>
      </c>
      <c r="U823">
        <v>3992</v>
      </c>
      <c r="V823">
        <v>0</v>
      </c>
      <c r="W823">
        <v>0</v>
      </c>
      <c r="X823" t="s">
        <v>616</v>
      </c>
      <c r="Y823">
        <v>1</v>
      </c>
      <c r="Z823">
        <v>0</v>
      </c>
      <c r="AA823">
        <v>50</v>
      </c>
      <c r="AB823">
        <v>25</v>
      </c>
      <c r="AC823">
        <v>0.4</v>
      </c>
    </row>
    <row r="824" spans="1:29">
      <c r="A824">
        <v>3100011</v>
      </c>
      <c r="B824">
        <v>2001</v>
      </c>
      <c r="C824">
        <v>100</v>
      </c>
      <c r="D824" t="s">
        <v>581</v>
      </c>
      <c r="E824">
        <f t="shared" si="279"/>
        <v>7000</v>
      </c>
      <c r="F824">
        <f t="shared" si="280"/>
        <v>7000</v>
      </c>
      <c r="G824" s="2">
        <v>0</v>
      </c>
      <c r="H824">
        <v>0</v>
      </c>
      <c r="I824">
        <v>0</v>
      </c>
      <c r="J824">
        <v>0</v>
      </c>
      <c r="K824">
        <v>0</v>
      </c>
      <c r="L824">
        <v>3702929</v>
      </c>
      <c r="M824">
        <v>1700</v>
      </c>
      <c r="N824">
        <v>262240</v>
      </c>
      <c r="O824">
        <v>314688</v>
      </c>
      <c r="P824">
        <v>35000</v>
      </c>
      <c r="Q824">
        <v>12000</v>
      </c>
      <c r="R824">
        <v>12000</v>
      </c>
      <c r="S824">
        <v>0</v>
      </c>
      <c r="T824">
        <v>0</v>
      </c>
      <c r="U824">
        <v>7563</v>
      </c>
      <c r="V824">
        <v>0</v>
      </c>
      <c r="W824">
        <v>0</v>
      </c>
      <c r="X824" t="s">
        <v>624</v>
      </c>
      <c r="Y824">
        <v>1</v>
      </c>
      <c r="Z824">
        <v>0</v>
      </c>
      <c r="AA824">
        <v>50</v>
      </c>
      <c r="AB824">
        <v>25</v>
      </c>
      <c r="AC824">
        <v>0.4</v>
      </c>
    </row>
    <row r="825" spans="1:29">
      <c r="A825">
        <v>3100021</v>
      </c>
      <c r="B825">
        <v>2001</v>
      </c>
      <c r="C825">
        <v>100</v>
      </c>
      <c r="D825" t="s">
        <v>568</v>
      </c>
      <c r="E825">
        <f t="shared" si="279"/>
        <v>7000</v>
      </c>
      <c r="F825">
        <f t="shared" si="280"/>
        <v>7000</v>
      </c>
      <c r="G825" s="2" t="s">
        <v>632</v>
      </c>
      <c r="H825">
        <v>0</v>
      </c>
      <c r="I825">
        <v>0</v>
      </c>
      <c r="J825">
        <v>0</v>
      </c>
      <c r="K825">
        <v>0</v>
      </c>
      <c r="L825">
        <v>3999909</v>
      </c>
      <c r="M825">
        <v>5100</v>
      </c>
      <c r="N825">
        <v>358696</v>
      </c>
      <c r="O825">
        <v>430435</v>
      </c>
      <c r="P825">
        <v>35000</v>
      </c>
      <c r="Q825">
        <v>12000</v>
      </c>
      <c r="R825">
        <v>12000</v>
      </c>
      <c r="S825">
        <v>0</v>
      </c>
      <c r="T825">
        <v>0</v>
      </c>
      <c r="U825">
        <v>3725</v>
      </c>
      <c r="V825">
        <v>0</v>
      </c>
      <c r="W825">
        <v>0</v>
      </c>
      <c r="X825" t="s">
        <v>606</v>
      </c>
      <c r="Y825">
        <v>1</v>
      </c>
      <c r="Z825">
        <v>0</v>
      </c>
      <c r="AA825">
        <v>50</v>
      </c>
      <c r="AB825">
        <v>25</v>
      </c>
      <c r="AC825">
        <v>0.4</v>
      </c>
    </row>
    <row r="826" spans="1:29">
      <c r="A826">
        <v>3100031</v>
      </c>
      <c r="B826">
        <v>2001</v>
      </c>
      <c r="C826">
        <v>101</v>
      </c>
      <c r="D826" t="s">
        <v>551</v>
      </c>
      <c r="E826">
        <f t="shared" si="279"/>
        <v>7200</v>
      </c>
      <c r="F826">
        <f t="shared" si="280"/>
        <v>7200</v>
      </c>
      <c r="G826" s="2" t="s">
        <v>628</v>
      </c>
      <c r="H826">
        <v>0</v>
      </c>
      <c r="I826">
        <v>0</v>
      </c>
      <c r="J826">
        <v>0</v>
      </c>
      <c r="K826">
        <v>0</v>
      </c>
      <c r="L826">
        <v>3005623</v>
      </c>
      <c r="M826">
        <v>300562</v>
      </c>
      <c r="N826">
        <v>533864</v>
      </c>
      <c r="O826">
        <v>640637</v>
      </c>
      <c r="P826">
        <v>36000</v>
      </c>
      <c r="Q826">
        <v>12400</v>
      </c>
      <c r="R826">
        <v>12400</v>
      </c>
      <c r="S826">
        <v>0</v>
      </c>
      <c r="T826">
        <v>0</v>
      </c>
      <c r="U826">
        <v>3800</v>
      </c>
      <c r="V826">
        <v>0</v>
      </c>
      <c r="W826">
        <v>0</v>
      </c>
      <c r="X826" t="s">
        <v>607</v>
      </c>
      <c r="Y826">
        <v>1</v>
      </c>
      <c r="Z826">
        <v>0</v>
      </c>
      <c r="AA826">
        <v>50</v>
      </c>
      <c r="AB826">
        <v>25</v>
      </c>
      <c r="AC826">
        <v>0.4</v>
      </c>
    </row>
    <row r="827" spans="1:29">
      <c r="A827">
        <v>3100041</v>
      </c>
      <c r="B827">
        <v>2001</v>
      </c>
      <c r="C827">
        <v>101</v>
      </c>
      <c r="D827" t="s">
        <v>569</v>
      </c>
      <c r="E827">
        <f t="shared" si="279"/>
        <v>7200</v>
      </c>
      <c r="F827">
        <f t="shared" si="280"/>
        <v>7200</v>
      </c>
      <c r="G827" s="2">
        <v>29</v>
      </c>
      <c r="H827">
        <v>0</v>
      </c>
      <c r="I827">
        <v>0</v>
      </c>
      <c r="J827">
        <v>0</v>
      </c>
      <c r="K827">
        <v>0</v>
      </c>
      <c r="L827">
        <v>4464537</v>
      </c>
      <c r="M827">
        <v>1710</v>
      </c>
      <c r="N827">
        <v>389748</v>
      </c>
      <c r="O827">
        <v>467698</v>
      </c>
      <c r="P827">
        <v>36000</v>
      </c>
      <c r="Q827">
        <v>12400</v>
      </c>
      <c r="R827">
        <v>12400</v>
      </c>
      <c r="S827">
        <v>0</v>
      </c>
      <c r="T827">
        <v>0</v>
      </c>
      <c r="U827">
        <v>3800</v>
      </c>
      <c r="V827">
        <v>0</v>
      </c>
      <c r="W827">
        <v>0</v>
      </c>
      <c r="X827" t="s">
        <v>608</v>
      </c>
      <c r="Y827">
        <v>1</v>
      </c>
      <c r="Z827">
        <v>0</v>
      </c>
      <c r="AA827">
        <v>50</v>
      </c>
      <c r="AB827">
        <v>25</v>
      </c>
      <c r="AC827">
        <v>0.4</v>
      </c>
    </row>
    <row r="828" spans="1:29">
      <c r="A828">
        <v>3100051</v>
      </c>
      <c r="B828">
        <v>2001</v>
      </c>
      <c r="C828">
        <v>101</v>
      </c>
      <c r="D828" t="s">
        <v>586</v>
      </c>
      <c r="E828">
        <f t="shared" si="279"/>
        <v>7200</v>
      </c>
      <c r="F828">
        <f t="shared" si="280"/>
        <v>7200</v>
      </c>
      <c r="G828" s="2">
        <v>5</v>
      </c>
      <c r="H828">
        <v>0</v>
      </c>
      <c r="I828">
        <v>0</v>
      </c>
      <c r="J828">
        <v>0</v>
      </c>
      <c r="K828">
        <v>0</v>
      </c>
      <c r="L828">
        <v>2248498</v>
      </c>
      <c r="M828">
        <v>1710</v>
      </c>
      <c r="N828">
        <v>119505</v>
      </c>
      <c r="O828">
        <v>143406</v>
      </c>
      <c r="P828">
        <v>36000</v>
      </c>
      <c r="Q828">
        <v>12400</v>
      </c>
      <c r="R828">
        <v>12400</v>
      </c>
      <c r="S828">
        <v>0</v>
      </c>
      <c r="T828">
        <v>0</v>
      </c>
      <c r="U828">
        <v>3800</v>
      </c>
      <c r="V828">
        <v>0</v>
      </c>
      <c r="W828">
        <v>0</v>
      </c>
      <c r="X828" t="s">
        <v>611</v>
      </c>
      <c r="Y828">
        <v>1</v>
      </c>
      <c r="Z828">
        <v>0</v>
      </c>
      <c r="AA828">
        <v>50</v>
      </c>
      <c r="AB828">
        <v>25</v>
      </c>
      <c r="AC828">
        <v>0.4</v>
      </c>
    </row>
    <row r="829" spans="1:29">
      <c r="A829">
        <f>A828+1</f>
        <v>3100052</v>
      </c>
      <c r="B829">
        <f>B828</f>
        <v>2001</v>
      </c>
      <c r="C829">
        <f>C828</f>
        <v>101</v>
      </c>
      <c r="D829" t="s">
        <v>588</v>
      </c>
      <c r="E829">
        <f t="shared" ref="E829:E831" si="290">E828</f>
        <v>7200</v>
      </c>
      <c r="F829">
        <f t="shared" ref="F829:F831" si="291">F828</f>
        <v>7200</v>
      </c>
      <c r="G829" s="2">
        <v>2</v>
      </c>
      <c r="H829">
        <f t="shared" ref="H829:H831" si="292">H828</f>
        <v>0</v>
      </c>
      <c r="I829">
        <f t="shared" ref="I829:I831" si="293">I828</f>
        <v>0</v>
      </c>
      <c r="J829">
        <f t="shared" ref="J829:J831" si="294">J828</f>
        <v>0</v>
      </c>
      <c r="K829">
        <f t="shared" ref="K829:K831" si="295">K828</f>
        <v>0</v>
      </c>
      <c r="L829">
        <v>2098598</v>
      </c>
      <c r="M829">
        <v>1368</v>
      </c>
      <c r="N829">
        <v>128041</v>
      </c>
      <c r="O829">
        <v>153649</v>
      </c>
      <c r="P829">
        <v>36000</v>
      </c>
      <c r="Q829">
        <v>12400</v>
      </c>
      <c r="R829">
        <v>12400</v>
      </c>
      <c r="S829">
        <v>0</v>
      </c>
      <c r="T829">
        <v>0</v>
      </c>
      <c r="U829">
        <v>3800</v>
      </c>
      <c r="V829">
        <v>0</v>
      </c>
      <c r="W829">
        <v>0</v>
      </c>
      <c r="X829" t="s">
        <v>610</v>
      </c>
      <c r="Y829">
        <v>1</v>
      </c>
      <c r="Z829">
        <v>0</v>
      </c>
      <c r="AA829">
        <v>50</v>
      </c>
      <c r="AB829">
        <v>25</v>
      </c>
      <c r="AC829">
        <v>0.4</v>
      </c>
    </row>
    <row r="830" spans="1:29">
      <c r="A830">
        <f t="shared" ref="A830:A831" si="296">A829+1</f>
        <v>3100053</v>
      </c>
      <c r="B830">
        <f t="shared" ref="B830:B831" si="297">B829</f>
        <v>2001</v>
      </c>
      <c r="C830">
        <f t="shared" ref="C830:C831" si="298">C829</f>
        <v>101</v>
      </c>
      <c r="D830" t="s">
        <v>589</v>
      </c>
      <c r="E830">
        <f t="shared" si="290"/>
        <v>7200</v>
      </c>
      <c r="F830">
        <f t="shared" si="291"/>
        <v>7200</v>
      </c>
      <c r="G830" s="2">
        <v>26</v>
      </c>
      <c r="H830">
        <f t="shared" si="292"/>
        <v>0</v>
      </c>
      <c r="I830">
        <f t="shared" si="293"/>
        <v>0</v>
      </c>
      <c r="J830">
        <f t="shared" si="294"/>
        <v>0</v>
      </c>
      <c r="K830">
        <f t="shared" si="295"/>
        <v>0</v>
      </c>
      <c r="L830">
        <v>2198531</v>
      </c>
      <c r="M830">
        <v>1710</v>
      </c>
      <c r="N830">
        <v>153650</v>
      </c>
      <c r="O830">
        <v>184380</v>
      </c>
      <c r="P830">
        <v>36000</v>
      </c>
      <c r="Q830">
        <v>12400</v>
      </c>
      <c r="R830">
        <v>12400</v>
      </c>
      <c r="S830">
        <v>0</v>
      </c>
      <c r="T830">
        <v>0</v>
      </c>
      <c r="U830">
        <v>3800</v>
      </c>
      <c r="V830">
        <v>0</v>
      </c>
      <c r="W830">
        <v>0</v>
      </c>
      <c r="X830" t="s">
        <v>609</v>
      </c>
      <c r="Y830">
        <v>1</v>
      </c>
      <c r="Z830">
        <v>0</v>
      </c>
      <c r="AA830">
        <v>50</v>
      </c>
      <c r="AB830">
        <v>25</v>
      </c>
      <c r="AC830">
        <v>0.4</v>
      </c>
    </row>
    <row r="831" spans="1:29">
      <c r="A831">
        <f t="shared" si="296"/>
        <v>3100054</v>
      </c>
      <c r="B831">
        <f t="shared" si="297"/>
        <v>2001</v>
      </c>
      <c r="C831">
        <f t="shared" si="298"/>
        <v>101</v>
      </c>
      <c r="D831" t="s">
        <v>590</v>
      </c>
      <c r="E831">
        <f t="shared" si="290"/>
        <v>7200</v>
      </c>
      <c r="F831">
        <f t="shared" si="291"/>
        <v>7200</v>
      </c>
      <c r="G831" s="2">
        <v>14</v>
      </c>
      <c r="H831">
        <f t="shared" si="292"/>
        <v>0</v>
      </c>
      <c r="I831">
        <f t="shared" si="293"/>
        <v>0</v>
      </c>
      <c r="J831">
        <f t="shared" si="294"/>
        <v>0</v>
      </c>
      <c r="K831">
        <f t="shared" si="295"/>
        <v>0</v>
      </c>
      <c r="L831">
        <v>2148565</v>
      </c>
      <c r="M831">
        <v>1710</v>
      </c>
      <c r="N831">
        <v>153650</v>
      </c>
      <c r="O831">
        <v>184380</v>
      </c>
      <c r="P831">
        <v>36000</v>
      </c>
      <c r="Q831">
        <v>12400</v>
      </c>
      <c r="R831">
        <v>12400</v>
      </c>
      <c r="S831">
        <v>0</v>
      </c>
      <c r="T831">
        <v>0</v>
      </c>
      <c r="U831">
        <v>3800</v>
      </c>
      <c r="V831">
        <v>0</v>
      </c>
      <c r="W831">
        <v>0</v>
      </c>
      <c r="X831" t="s">
        <v>612</v>
      </c>
      <c r="Y831">
        <v>1</v>
      </c>
      <c r="Z831">
        <v>0</v>
      </c>
      <c r="AA831">
        <v>50</v>
      </c>
      <c r="AB831">
        <v>25</v>
      </c>
      <c r="AC831">
        <v>0.4</v>
      </c>
    </row>
    <row r="832" spans="1:29">
      <c r="A832">
        <v>3100061</v>
      </c>
      <c r="B832">
        <v>2001</v>
      </c>
      <c r="C832">
        <v>102</v>
      </c>
      <c r="D832" t="s">
        <v>570</v>
      </c>
      <c r="E832">
        <f t="shared" si="279"/>
        <v>7500</v>
      </c>
      <c r="F832">
        <f t="shared" si="280"/>
        <v>7500</v>
      </c>
      <c r="G832" s="2">
        <v>8</v>
      </c>
      <c r="H832">
        <v>0</v>
      </c>
      <c r="I832">
        <v>0</v>
      </c>
      <c r="J832">
        <v>0</v>
      </c>
      <c r="K832">
        <v>0</v>
      </c>
      <c r="L832">
        <v>5438515</v>
      </c>
      <c r="M832">
        <v>1720</v>
      </c>
      <c r="N832">
        <v>385400</v>
      </c>
      <c r="O832">
        <v>462480</v>
      </c>
      <c r="P832">
        <v>37000</v>
      </c>
      <c r="Q832">
        <v>12800</v>
      </c>
      <c r="R832">
        <v>12800</v>
      </c>
      <c r="S832">
        <v>0</v>
      </c>
      <c r="T832">
        <v>0</v>
      </c>
      <c r="U832">
        <v>3875</v>
      </c>
      <c r="V832">
        <v>0</v>
      </c>
      <c r="W832">
        <v>0</v>
      </c>
      <c r="X832" t="s">
        <v>613</v>
      </c>
      <c r="Y832">
        <v>1</v>
      </c>
      <c r="Z832">
        <v>0</v>
      </c>
      <c r="AA832">
        <v>50</v>
      </c>
      <c r="AB832">
        <v>25</v>
      </c>
      <c r="AC832">
        <v>0.4</v>
      </c>
    </row>
    <row r="833" spans="1:29">
      <c r="A833">
        <v>3100071</v>
      </c>
      <c r="B833">
        <v>2001</v>
      </c>
      <c r="C833">
        <v>102</v>
      </c>
      <c r="D833" t="s">
        <v>571</v>
      </c>
      <c r="E833">
        <f t="shared" si="279"/>
        <v>7500</v>
      </c>
      <c r="F833">
        <f t="shared" si="280"/>
        <v>7500</v>
      </c>
      <c r="G833" s="2">
        <v>6</v>
      </c>
      <c r="H833">
        <v>0</v>
      </c>
      <c r="I833">
        <v>0</v>
      </c>
      <c r="J833">
        <v>0</v>
      </c>
      <c r="K833">
        <v>0</v>
      </c>
      <c r="L833">
        <v>5345287</v>
      </c>
      <c r="M833">
        <v>1720</v>
      </c>
      <c r="N833">
        <v>421548</v>
      </c>
      <c r="O833">
        <v>505858</v>
      </c>
      <c r="P833">
        <v>37000</v>
      </c>
      <c r="Q833">
        <v>12800</v>
      </c>
      <c r="R833">
        <v>12800</v>
      </c>
      <c r="S833">
        <v>0</v>
      </c>
      <c r="T833">
        <v>0</v>
      </c>
      <c r="U833">
        <v>3875</v>
      </c>
      <c r="V833">
        <v>0</v>
      </c>
      <c r="W833">
        <v>0</v>
      </c>
      <c r="X833" t="s">
        <v>614</v>
      </c>
      <c r="Y833">
        <v>1</v>
      </c>
      <c r="Z833">
        <v>0</v>
      </c>
      <c r="AA833">
        <v>50</v>
      </c>
      <c r="AB833">
        <v>25</v>
      </c>
      <c r="AC833">
        <v>0.4</v>
      </c>
    </row>
    <row r="834" spans="1:29">
      <c r="A834">
        <v>3100081</v>
      </c>
      <c r="B834">
        <v>2001</v>
      </c>
      <c r="C834">
        <v>102</v>
      </c>
      <c r="D834" t="s">
        <v>572</v>
      </c>
      <c r="E834">
        <f t="shared" si="279"/>
        <v>7500</v>
      </c>
      <c r="F834">
        <f t="shared" si="280"/>
        <v>7500</v>
      </c>
      <c r="G834" s="2">
        <v>7</v>
      </c>
      <c r="H834">
        <v>0</v>
      </c>
      <c r="I834">
        <v>0</v>
      </c>
      <c r="J834">
        <v>0</v>
      </c>
      <c r="K834">
        <v>0</v>
      </c>
      <c r="L834">
        <v>6207062</v>
      </c>
      <c r="M834">
        <v>1720</v>
      </c>
      <c r="N834">
        <v>576358</v>
      </c>
      <c r="O834">
        <v>691630</v>
      </c>
      <c r="P834">
        <v>37000</v>
      </c>
      <c r="Q834">
        <v>12800</v>
      </c>
      <c r="R834">
        <v>12800</v>
      </c>
      <c r="S834">
        <v>0</v>
      </c>
      <c r="T834">
        <v>0</v>
      </c>
      <c r="U834">
        <v>3875</v>
      </c>
      <c r="V834">
        <v>0</v>
      </c>
      <c r="W834">
        <v>0</v>
      </c>
      <c r="X834" t="s">
        <v>615</v>
      </c>
      <c r="Y834">
        <v>1</v>
      </c>
      <c r="Z834">
        <v>0</v>
      </c>
      <c r="AA834">
        <v>50</v>
      </c>
      <c r="AB834">
        <v>25</v>
      </c>
      <c r="AC834">
        <v>0.4</v>
      </c>
    </row>
    <row r="835" spans="1:29">
      <c r="A835">
        <v>3100091</v>
      </c>
      <c r="B835">
        <v>2001</v>
      </c>
      <c r="C835">
        <v>102</v>
      </c>
      <c r="D835" t="s">
        <v>573</v>
      </c>
      <c r="E835">
        <f t="shared" si="279"/>
        <v>7500</v>
      </c>
      <c r="F835">
        <f t="shared" si="280"/>
        <v>7500</v>
      </c>
      <c r="G835" s="2" t="s">
        <v>633</v>
      </c>
      <c r="H835">
        <v>0</v>
      </c>
      <c r="I835">
        <v>0</v>
      </c>
      <c r="J835">
        <v>0</v>
      </c>
      <c r="K835">
        <v>0</v>
      </c>
      <c r="L835">
        <v>7795688</v>
      </c>
      <c r="M835">
        <v>5160</v>
      </c>
      <c r="N835">
        <v>779448</v>
      </c>
      <c r="O835">
        <v>935338</v>
      </c>
      <c r="P835">
        <v>37000</v>
      </c>
      <c r="Q835">
        <v>12800</v>
      </c>
      <c r="R835">
        <v>12800</v>
      </c>
      <c r="S835">
        <v>0</v>
      </c>
      <c r="T835">
        <v>5554</v>
      </c>
      <c r="U835">
        <v>4236</v>
      </c>
      <c r="V835">
        <v>0</v>
      </c>
      <c r="W835">
        <v>0</v>
      </c>
      <c r="X835" t="s">
        <v>616</v>
      </c>
      <c r="Y835">
        <v>1</v>
      </c>
      <c r="Z835">
        <v>0</v>
      </c>
      <c r="AA835">
        <v>50</v>
      </c>
      <c r="AB835">
        <v>25</v>
      </c>
      <c r="AC835">
        <v>0.4</v>
      </c>
    </row>
  </sheetData>
  <phoneticPr fontId="1" type="noConversion"/>
  <hyperlinks>
    <hyperlink ref="D226" r:id="rId1" display="http://db.178.com/wow/cn/npc/12201.html"/>
  </hyperlinks>
  <pageMargins left="0.69930555555555596" right="0.69930555555555596" top="0.75" bottom="0.75" header="0.3" footer="0.3"/>
  <pageSetup paperSize="9" orientation="portrait" horizontalDpi="200" verticalDpi="30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831"/>
  <sheetViews>
    <sheetView topLeftCell="A35" workbookViewId="0">
      <selection activeCell="J73" sqref="J73"/>
    </sheetView>
  </sheetViews>
  <sheetFormatPr defaultColWidth="9" defaultRowHeight="13.5"/>
  <cols>
    <col min="4" max="4" width="17.25" bestFit="1" customWidth="1"/>
    <col min="5" max="5" width="13.625" bestFit="1" customWidth="1"/>
    <col min="6" max="6" width="36.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</v>
      </c>
      <c r="G1" s="1" t="s">
        <v>21</v>
      </c>
    </row>
    <row r="2" spans="1:7">
      <c r="A2">
        <f>monster.xml!A6</f>
        <v>1</v>
      </c>
      <c r="B2">
        <f>monster.xml!B6</f>
        <v>2001</v>
      </c>
      <c r="C2">
        <f>monster.xml!C6</f>
        <v>1</v>
      </c>
      <c r="D2" t="str">
        <f>monster.xml!D6</f>
        <v>试炼假人</v>
      </c>
      <c r="E2">
        <f>monster.xml!G6</f>
        <v>0</v>
      </c>
      <c r="F2" t="str">
        <f>monster.xml!X6</f>
        <v>monster/10003.png</v>
      </c>
      <c r="G2">
        <f>monster.xml!Y6</f>
        <v>0</v>
      </c>
    </row>
    <row r="3" spans="1:7">
      <c r="A3">
        <f>monster.xml!A7</f>
        <v>2</v>
      </c>
      <c r="B3">
        <f>monster.xml!B7</f>
        <v>2001</v>
      </c>
      <c r="C3">
        <f>monster.xml!C7</f>
        <v>2</v>
      </c>
      <c r="D3" t="str">
        <f>monster.xml!D7</f>
        <v>草原狼</v>
      </c>
      <c r="E3">
        <f>monster.xml!G7</f>
        <v>0</v>
      </c>
      <c r="F3" t="str">
        <f>monster.xml!X7</f>
        <v>monster/10029.png</v>
      </c>
      <c r="G3">
        <f>monster.xml!Y7</f>
        <v>0</v>
      </c>
    </row>
    <row r="4" spans="1:7">
      <c r="A4">
        <f>monster.xml!A8</f>
        <v>3</v>
      </c>
      <c r="B4">
        <f>monster.xml!B8</f>
        <v>2001</v>
      </c>
      <c r="C4">
        <f>monster.xml!C8</f>
        <v>3</v>
      </c>
      <c r="D4" t="str">
        <f>monster.xml!D8</f>
        <v>沼泽水猴</v>
      </c>
      <c r="E4">
        <f>monster.xml!G8</f>
        <v>0</v>
      </c>
      <c r="F4" t="str">
        <f>monster.xml!X8</f>
        <v>monster/10012.png</v>
      </c>
      <c r="G4">
        <f>monster.xml!Y8</f>
        <v>0</v>
      </c>
    </row>
    <row r="5" spans="1:7">
      <c r="A5">
        <f>monster.xml!A9</f>
        <v>4</v>
      </c>
      <c r="B5">
        <f>monster.xml!B9</f>
        <v>2001</v>
      </c>
      <c r="C5">
        <f>monster.xml!C9</f>
        <v>4</v>
      </c>
      <c r="D5" t="str">
        <f>monster.xml!D9</f>
        <v>试炼假人</v>
      </c>
      <c r="E5">
        <f>monster.xml!G9</f>
        <v>0</v>
      </c>
      <c r="F5" t="str">
        <f>monster.xml!X9</f>
        <v>monster/10012.png</v>
      </c>
      <c r="G5">
        <f>monster.xml!Y9</f>
        <v>0</v>
      </c>
    </row>
    <row r="6" spans="1:7">
      <c r="A6">
        <f>monster.xml!A10</f>
        <v>5</v>
      </c>
      <c r="B6">
        <f>monster.xml!B10</f>
        <v>2001</v>
      </c>
      <c r="C6">
        <f>monster.xml!C10</f>
        <v>2</v>
      </c>
      <c r="D6" t="str">
        <f>monster.xml!D10</f>
        <v>古堡侍女</v>
      </c>
      <c r="E6">
        <f>monster.xml!G10</f>
        <v>0</v>
      </c>
      <c r="F6" t="str">
        <f>monster.xml!X10</f>
        <v>monster/10002.png</v>
      </c>
      <c r="G6">
        <f>monster.xml!Y10</f>
        <v>0</v>
      </c>
    </row>
    <row r="7" spans="1:7">
      <c r="A7">
        <f>monster.xml!A11</f>
        <v>6</v>
      </c>
      <c r="B7">
        <f>monster.xml!B11</f>
        <v>2001</v>
      </c>
      <c r="C7">
        <f>monster.xml!C11</f>
        <v>3</v>
      </c>
      <c r="D7" t="str">
        <f>monster.xml!D11</f>
        <v>古堡护卫</v>
      </c>
      <c r="E7">
        <f>monster.xml!G11</f>
        <v>0</v>
      </c>
      <c r="F7" t="str">
        <f>monster.xml!X11</f>
        <v>monster/10003.png</v>
      </c>
      <c r="G7">
        <f>monster.xml!Y11</f>
        <v>0</v>
      </c>
    </row>
    <row r="8" spans="1:7">
      <c r="A8">
        <f>monster.xml!A12</f>
        <v>7</v>
      </c>
      <c r="B8">
        <f>monster.xml!B12</f>
        <v>2001</v>
      </c>
      <c r="C8">
        <f>monster.xml!C12</f>
        <v>4</v>
      </c>
      <c r="D8" t="str">
        <f>monster.xml!D12</f>
        <v>古堡管家</v>
      </c>
      <c r="E8">
        <f>monster.xml!G12</f>
        <v>0</v>
      </c>
      <c r="F8" t="str">
        <f>monster.xml!X12</f>
        <v>monster/10004.png</v>
      </c>
      <c r="G8">
        <f>monster.xml!Y12</f>
        <v>0</v>
      </c>
    </row>
    <row r="9" spans="1:7">
      <c r="A9">
        <f>monster.xml!A13</f>
        <v>8</v>
      </c>
      <c r="B9">
        <f>monster.xml!B13</f>
        <v>2001</v>
      </c>
      <c r="C9">
        <f>monster.xml!C13</f>
        <v>3</v>
      </c>
      <c r="D9" t="str">
        <f>monster.xml!D13</f>
        <v>森林巨蛾</v>
      </c>
      <c r="E9">
        <f>monster.xml!G13</f>
        <v>0</v>
      </c>
      <c r="F9" t="str">
        <f>monster.xml!X13</f>
        <v>monster/10005.png</v>
      </c>
      <c r="G9">
        <f>monster.xml!Y13</f>
        <v>0</v>
      </c>
    </row>
    <row r="10" spans="1:7">
      <c r="A10">
        <f>monster.xml!A14</f>
        <v>9</v>
      </c>
      <c r="B10">
        <f>monster.xml!B14</f>
        <v>2001</v>
      </c>
      <c r="C10">
        <f>monster.xml!C14</f>
        <v>4</v>
      </c>
      <c r="D10" t="str">
        <f>monster.xml!D14</f>
        <v>日光法师</v>
      </c>
      <c r="E10">
        <f>monster.xml!G14</f>
        <v>0</v>
      </c>
      <c r="F10" t="str">
        <f>monster.xml!X14</f>
        <v>monster/10006.png</v>
      </c>
      <c r="G10">
        <f>monster.xml!Y14</f>
        <v>0</v>
      </c>
    </row>
    <row r="11" spans="1:7">
      <c r="A11">
        <f>monster.xml!A15</f>
        <v>10</v>
      </c>
      <c r="B11">
        <f>monster.xml!B15</f>
        <v>2001</v>
      </c>
      <c r="C11">
        <f>monster.xml!C15</f>
        <v>5</v>
      </c>
      <c r="D11" t="str">
        <f>monster.xml!D15</f>
        <v>日光盗贼</v>
      </c>
      <c r="E11">
        <f>monster.xml!G15</f>
        <v>0</v>
      </c>
      <c r="F11" t="str">
        <f>monster.xml!X15</f>
        <v>monster/10007.png</v>
      </c>
      <c r="G11">
        <f>monster.xml!Y15</f>
        <v>0</v>
      </c>
    </row>
    <row r="12" spans="1:7">
      <c r="A12">
        <f>monster.xml!A16</f>
        <v>11</v>
      </c>
      <c r="B12">
        <f>monster.xml!B16</f>
        <v>2001</v>
      </c>
      <c r="C12">
        <f>monster.xml!C16</f>
        <v>6</v>
      </c>
      <c r="D12" t="str">
        <f>monster.xml!D16</f>
        <v>日光监工</v>
      </c>
      <c r="E12">
        <f>monster.xml!G16</f>
        <v>0</v>
      </c>
      <c r="F12" t="str">
        <f>monster.xml!X16</f>
        <v>monster/10008.png</v>
      </c>
      <c r="G12">
        <f>monster.xml!Y16</f>
        <v>0</v>
      </c>
    </row>
    <row r="13" spans="1:7">
      <c r="A13">
        <f>monster.xml!A17</f>
        <v>12</v>
      </c>
      <c r="B13">
        <f>monster.xml!B17</f>
        <v>2001</v>
      </c>
      <c r="C13">
        <f>monster.xml!C17</f>
        <v>5</v>
      </c>
      <c r="D13" t="str">
        <f>monster.xml!D17</f>
        <v>变异鱼人</v>
      </c>
      <c r="E13">
        <f>monster.xml!G17</f>
        <v>0</v>
      </c>
      <c r="F13" t="str">
        <f>monster.xml!X17</f>
        <v>monster/10009.png</v>
      </c>
      <c r="G13">
        <f>monster.xml!Y17</f>
        <v>0</v>
      </c>
    </row>
    <row r="14" spans="1:7">
      <c r="A14">
        <f>monster.xml!A18</f>
        <v>13</v>
      </c>
      <c r="B14">
        <f>monster.xml!B18</f>
        <v>2001</v>
      </c>
      <c r="C14">
        <f>monster.xml!C18</f>
        <v>6</v>
      </c>
      <c r="D14" t="str">
        <f>monster.xml!D18</f>
        <v>软浆怪</v>
      </c>
      <c r="E14">
        <f>monster.xml!G18</f>
        <v>0</v>
      </c>
      <c r="F14" t="str">
        <f>monster.xml!X18</f>
        <v>monster/10010.png</v>
      </c>
      <c r="G14">
        <f>monster.xml!Y18</f>
        <v>0</v>
      </c>
    </row>
    <row r="15" spans="1:7">
      <c r="A15">
        <f>monster.xml!A19</f>
        <v>14</v>
      </c>
      <c r="B15">
        <f>monster.xml!B19</f>
        <v>2001</v>
      </c>
      <c r="C15">
        <f>monster.xml!C19</f>
        <v>7</v>
      </c>
      <c r="D15" t="str">
        <f>monster.xml!D19</f>
        <v>暮光湖船夫</v>
      </c>
      <c r="E15">
        <f>monster.xml!G19</f>
        <v>0</v>
      </c>
      <c r="F15" t="str">
        <f>monster.xml!X19</f>
        <v>monster/10011.png</v>
      </c>
      <c r="G15">
        <f>monster.xml!Y19</f>
        <v>0</v>
      </c>
    </row>
    <row r="16" spans="1:7">
      <c r="A16">
        <f>monster.xml!A20</f>
        <v>15</v>
      </c>
      <c r="B16">
        <f>monster.xml!B20</f>
        <v>2001</v>
      </c>
      <c r="C16">
        <f>monster.xml!C20</f>
        <v>8</v>
      </c>
      <c r="D16" t="str">
        <f>monster.xml!D20</f>
        <v>遗迹看守</v>
      </c>
      <c r="E16">
        <f>monster.xml!G20</f>
        <v>0</v>
      </c>
      <c r="F16" t="str">
        <f>monster.xml!X20</f>
        <v>monster/10012.png</v>
      </c>
      <c r="G16">
        <f>monster.xml!Y20</f>
        <v>0</v>
      </c>
    </row>
    <row r="17" spans="1:7">
      <c r="A17">
        <f>monster.xml!A21</f>
        <v>16</v>
      </c>
      <c r="B17">
        <f>monster.xml!B21</f>
        <v>2001</v>
      </c>
      <c r="C17">
        <f>monster.xml!C21</f>
        <v>7</v>
      </c>
      <c r="D17" t="str">
        <f>monster.xml!D21</f>
        <v>狼之鬼灵</v>
      </c>
      <c r="E17">
        <f>monster.xml!G21</f>
        <v>0</v>
      </c>
      <c r="F17" t="str">
        <f>monster.xml!X21</f>
        <v>monster/10013.png</v>
      </c>
      <c r="G17">
        <f>monster.xml!Y21</f>
        <v>0</v>
      </c>
    </row>
    <row r="18" spans="1:7">
      <c r="A18">
        <f>monster.xml!A22</f>
        <v>17</v>
      </c>
      <c r="B18">
        <f>monster.xml!B22</f>
        <v>2001</v>
      </c>
      <c r="C18">
        <f>monster.xml!C22</f>
        <v>8</v>
      </c>
      <c r="D18" t="str">
        <f>monster.xml!D22</f>
        <v>怨骨掠夺者</v>
      </c>
      <c r="E18">
        <f>monster.xml!G22</f>
        <v>0</v>
      </c>
      <c r="F18" t="str">
        <f>monster.xml!X22</f>
        <v>monster/10014.png</v>
      </c>
      <c r="G18">
        <f>monster.xml!Y22</f>
        <v>0</v>
      </c>
    </row>
    <row r="19" spans="1:7">
      <c r="A19">
        <f>monster.xml!A23</f>
        <v>18</v>
      </c>
      <c r="B19">
        <f>monster.xml!B23</f>
        <v>2001</v>
      </c>
      <c r="C19">
        <f>monster.xml!C23</f>
        <v>9</v>
      </c>
      <c r="D19" t="str">
        <f>monster.xml!D23</f>
        <v>狂躁恶鬼</v>
      </c>
      <c r="E19">
        <f>monster.xml!G23</f>
        <v>0</v>
      </c>
      <c r="F19" t="str">
        <f>monster.xml!X23</f>
        <v>monster/10015.png</v>
      </c>
      <c r="G19">
        <f>monster.xml!Y23</f>
        <v>0</v>
      </c>
    </row>
    <row r="20" spans="1:7">
      <c r="A20">
        <f>monster.xml!A24</f>
        <v>19</v>
      </c>
      <c r="B20">
        <f>monster.xml!B24</f>
        <v>2001</v>
      </c>
      <c r="C20">
        <f>monster.xml!C24</f>
        <v>10</v>
      </c>
      <c r="D20" t="str">
        <f>monster.xml!D24</f>
        <v>鬼怪仆从</v>
      </c>
      <c r="E20">
        <f>monster.xml!G24</f>
        <v>0</v>
      </c>
      <c r="F20" t="str">
        <f>monster.xml!X24</f>
        <v>monster/10016.png</v>
      </c>
      <c r="G20">
        <f>monster.xml!Y24</f>
        <v>0</v>
      </c>
    </row>
    <row r="21" spans="1:7">
      <c r="A21">
        <f>monster.xml!A25</f>
        <v>20</v>
      </c>
      <c r="B21">
        <f>monster.xml!B25</f>
        <v>2001</v>
      </c>
      <c r="C21">
        <f>monster.xml!C25</f>
        <v>9</v>
      </c>
      <c r="D21" t="str">
        <f>monster.xml!D25</f>
        <v>南风猎犬</v>
      </c>
      <c r="E21">
        <f>monster.xml!G25</f>
        <v>0</v>
      </c>
      <c r="F21" t="str">
        <f>monster.xml!X25</f>
        <v>monster/10017.png</v>
      </c>
      <c r="G21">
        <f>monster.xml!Y25</f>
        <v>0</v>
      </c>
    </row>
    <row r="22" spans="1:7">
      <c r="A22">
        <f>monster.xml!A26</f>
        <v>21</v>
      </c>
      <c r="B22">
        <f>monster.xml!B26</f>
        <v>2001</v>
      </c>
      <c r="C22">
        <f>monster.xml!C26</f>
        <v>10</v>
      </c>
      <c r="D22" t="str">
        <f>monster.xml!D26</f>
        <v>南风守卫</v>
      </c>
      <c r="E22">
        <f>monster.xml!G26</f>
        <v>0</v>
      </c>
      <c r="F22" t="str">
        <f>monster.xml!X26</f>
        <v>monster/10018.png</v>
      </c>
      <c r="G22">
        <f>monster.xml!Y26</f>
        <v>0</v>
      </c>
    </row>
    <row r="23" spans="1:7">
      <c r="A23">
        <f>monster.xml!A27</f>
        <v>22</v>
      </c>
      <c r="B23">
        <f>monster.xml!B27</f>
        <v>2001</v>
      </c>
      <c r="C23">
        <f>monster.xml!C27</f>
        <v>11</v>
      </c>
      <c r="D23" t="str">
        <f>monster.xml!D27</f>
        <v>南风监工</v>
      </c>
      <c r="E23">
        <f>monster.xml!G27</f>
        <v>0</v>
      </c>
      <c r="F23" t="str">
        <f>monster.xml!X27</f>
        <v>monster/10019.png</v>
      </c>
      <c r="G23">
        <f>monster.xml!Y27</f>
        <v>0</v>
      </c>
    </row>
    <row r="24" spans="1:7">
      <c r="A24">
        <f>monster.xml!A28</f>
        <v>23</v>
      </c>
      <c r="B24">
        <f>monster.xml!B28</f>
        <v>2001</v>
      </c>
      <c r="C24">
        <f>monster.xml!C28</f>
        <v>12</v>
      </c>
      <c r="D24" t="str">
        <f>monster.xml!D28</f>
        <v>古堡总管</v>
      </c>
      <c r="E24">
        <f>monster.xml!G28</f>
        <v>0</v>
      </c>
      <c r="F24" t="str">
        <f>monster.xml!X28</f>
        <v>monster/10020.png</v>
      </c>
      <c r="G24">
        <f>monster.xml!Y28</f>
        <v>0</v>
      </c>
    </row>
    <row r="25" spans="1:7">
      <c r="A25">
        <f>monster.xml!A29</f>
        <v>24</v>
      </c>
      <c r="B25">
        <f>monster.xml!B29</f>
        <v>2001</v>
      </c>
      <c r="C25">
        <f>monster.xml!C29</f>
        <v>11</v>
      </c>
      <c r="D25" t="str">
        <f>monster.xml!D29</f>
        <v>残忍的暴徒</v>
      </c>
      <c r="E25">
        <f>monster.xml!G29</f>
        <v>0</v>
      </c>
      <c r="F25" t="str">
        <f>monster.xml!X29</f>
        <v>monster/10021.png</v>
      </c>
      <c r="G25">
        <f>monster.xml!Y29</f>
        <v>0</v>
      </c>
    </row>
    <row r="26" spans="1:7">
      <c r="A26">
        <f>monster.xml!A30</f>
        <v>25</v>
      </c>
      <c r="B26">
        <f>monster.xml!B30</f>
        <v>2001</v>
      </c>
      <c r="C26">
        <f>monster.xml!C30</f>
        <v>12</v>
      </c>
      <c r="D26" t="str">
        <f>monster.xml!D30</f>
        <v>狡猾的盗贼</v>
      </c>
      <c r="E26">
        <f>monster.xml!G30</f>
        <v>0</v>
      </c>
      <c r="F26" t="str">
        <f>monster.xml!X30</f>
        <v>monster/10022.png</v>
      </c>
      <c r="G26">
        <f>monster.xml!Y30</f>
        <v>0</v>
      </c>
    </row>
    <row r="27" spans="1:7">
      <c r="A27">
        <f>monster.xml!A31</f>
        <v>26</v>
      </c>
      <c r="B27">
        <f>monster.xml!B31</f>
        <v>2001</v>
      </c>
      <c r="C27">
        <f>monster.xml!C31</f>
        <v>13</v>
      </c>
      <c r="D27" t="str">
        <f>monster.xml!D31</f>
        <v>圣光祈愿者</v>
      </c>
      <c r="E27">
        <f>monster.xml!G31</f>
        <v>0</v>
      </c>
      <c r="F27" t="str">
        <f>monster.xml!X31</f>
        <v>monster/10023.png</v>
      </c>
      <c r="G27">
        <f>monster.xml!Y31</f>
        <v>0</v>
      </c>
    </row>
    <row r="28" spans="1:7">
      <c r="A28">
        <f>monster.xml!A32</f>
        <v>27</v>
      </c>
      <c r="B28">
        <f>monster.xml!B32</f>
        <v>2001</v>
      </c>
      <c r="C28">
        <f>monster.xml!C32</f>
        <v>14</v>
      </c>
      <c r="D28" t="str">
        <f>monster.xml!D32</f>
        <v>圣光护教</v>
      </c>
      <c r="E28">
        <f>monster.xml!G32</f>
        <v>0</v>
      </c>
      <c r="F28" t="str">
        <f>monster.xml!X32</f>
        <v>monster/10024.png</v>
      </c>
      <c r="G28">
        <f>monster.xml!Y32</f>
        <v>0</v>
      </c>
    </row>
    <row r="29" spans="1:7">
      <c r="A29">
        <f>monster.xml!A33</f>
        <v>28</v>
      </c>
      <c r="B29">
        <f>monster.xml!B33</f>
        <v>2001</v>
      </c>
      <c r="C29">
        <f>monster.xml!C33</f>
        <v>13</v>
      </c>
      <c r="D29" t="str">
        <f>monster.xml!D33</f>
        <v>巨型白鼠</v>
      </c>
      <c r="E29">
        <f>monster.xml!G33</f>
        <v>0</v>
      </c>
      <c r="F29" t="str">
        <f>monster.xml!X33</f>
        <v>monster/10025.png</v>
      </c>
      <c r="G29">
        <f>monster.xml!Y33</f>
        <v>0</v>
      </c>
    </row>
    <row r="30" spans="1:7">
      <c r="A30">
        <f>monster.xml!A34</f>
        <v>29</v>
      </c>
      <c r="B30">
        <f>monster.xml!B34</f>
        <v>2001</v>
      </c>
      <c r="C30">
        <f>monster.xml!C34</f>
        <v>14</v>
      </c>
      <c r="D30" t="str">
        <f>monster.xml!D34</f>
        <v>地窖蝙蝠</v>
      </c>
      <c r="E30">
        <f>monster.xml!G34</f>
        <v>0</v>
      </c>
      <c r="F30" t="str">
        <f>monster.xml!X34</f>
        <v>monster/10026.png</v>
      </c>
      <c r="G30">
        <f>monster.xml!Y34</f>
        <v>0</v>
      </c>
    </row>
    <row r="31" spans="1:7">
      <c r="A31">
        <f>monster.xml!A35</f>
        <v>30</v>
      </c>
      <c r="B31">
        <f>monster.xml!B35</f>
        <v>2001</v>
      </c>
      <c r="C31">
        <f>monster.xml!C35</f>
        <v>15</v>
      </c>
      <c r="D31" t="str">
        <f>monster.xml!D35</f>
        <v>地窖酒鬼</v>
      </c>
      <c r="E31">
        <f>monster.xml!G35</f>
        <v>0</v>
      </c>
      <c r="F31" t="str">
        <f>monster.xml!X35</f>
        <v>monster/10027.png</v>
      </c>
      <c r="G31">
        <f>monster.xml!Y35</f>
        <v>0</v>
      </c>
    </row>
    <row r="32" spans="1:7">
      <c r="A32">
        <f>monster.xml!A36</f>
        <v>31</v>
      </c>
      <c r="B32">
        <f>monster.xml!B36</f>
        <v>2001</v>
      </c>
      <c r="C32">
        <f>monster.xml!C36</f>
        <v>16</v>
      </c>
      <c r="D32" t="str">
        <f>monster.xml!D36</f>
        <v>酿酒师</v>
      </c>
      <c r="E32">
        <f>monster.xml!G36</f>
        <v>0</v>
      </c>
      <c r="F32" t="str">
        <f>monster.xml!X36</f>
        <v>monster/10028.png</v>
      </c>
      <c r="G32">
        <f>monster.xml!Y36</f>
        <v>0</v>
      </c>
    </row>
    <row r="33" spans="1:7">
      <c r="A33">
        <f>monster.xml!A37</f>
        <v>32</v>
      </c>
      <c r="B33">
        <f>monster.xml!B37</f>
        <v>2001</v>
      </c>
      <c r="C33">
        <f>monster.xml!C37</f>
        <v>15</v>
      </c>
      <c r="D33" t="str">
        <f>monster.xml!D37</f>
        <v>钢铁建筑工</v>
      </c>
      <c r="E33">
        <f>monster.xml!G37</f>
        <v>0</v>
      </c>
      <c r="F33" t="str">
        <f>monster.xml!X37</f>
        <v>monster/10029.png</v>
      </c>
      <c r="G33">
        <f>monster.xml!Y37</f>
        <v>0</v>
      </c>
    </row>
    <row r="34" spans="1:7">
      <c r="A34">
        <f>monster.xml!A38</f>
        <v>33</v>
      </c>
      <c r="B34">
        <f>monster.xml!B38</f>
        <v>2001</v>
      </c>
      <c r="C34">
        <f>monster.xml!C38</f>
        <v>16</v>
      </c>
      <c r="D34" t="str">
        <f>monster.xml!D38</f>
        <v>钢铁守卫</v>
      </c>
      <c r="E34">
        <f>monster.xml!G38</f>
        <v>0</v>
      </c>
      <c r="F34" t="str">
        <f>monster.xml!X38</f>
        <v>monster/10030.png</v>
      </c>
      <c r="G34">
        <f>monster.xml!Y38</f>
        <v>0</v>
      </c>
    </row>
    <row r="35" spans="1:7">
      <c r="A35">
        <f>monster.xml!A39</f>
        <v>34</v>
      </c>
      <c r="B35">
        <f>monster.xml!B39</f>
        <v>2001</v>
      </c>
      <c r="C35">
        <f>monster.xml!C39</f>
        <v>17</v>
      </c>
      <c r="D35" t="str">
        <f>monster.xml!D39</f>
        <v>钢铁机械师</v>
      </c>
      <c r="E35">
        <f>monster.xml!G39</f>
        <v>0</v>
      </c>
      <c r="F35" t="str">
        <f>monster.xml!X39</f>
        <v>monster/10031.png</v>
      </c>
      <c r="G35">
        <f>monster.xml!Y39</f>
        <v>0</v>
      </c>
    </row>
    <row r="36" spans="1:7">
      <c r="A36">
        <f>monster.xml!A40</f>
        <v>35</v>
      </c>
      <c r="B36">
        <f>monster.xml!B40</f>
        <v>2001</v>
      </c>
      <c r="C36">
        <f>monster.xml!C40</f>
        <v>18</v>
      </c>
      <c r="D36" t="str">
        <f>monster.xml!D40</f>
        <v>钢铁监工</v>
      </c>
      <c r="E36">
        <f>monster.xml!G40</f>
        <v>0</v>
      </c>
      <c r="F36" t="str">
        <f>monster.xml!X40</f>
        <v>monster/10032.png</v>
      </c>
      <c r="G36">
        <f>monster.xml!Y40</f>
        <v>0</v>
      </c>
    </row>
    <row r="37" spans="1:7">
      <c r="A37">
        <f>monster.xml!A41</f>
        <v>36</v>
      </c>
      <c r="B37">
        <f>monster.xml!B41</f>
        <v>2001</v>
      </c>
      <c r="C37">
        <f>monster.xml!C41</f>
        <v>17</v>
      </c>
      <c r="D37" t="str">
        <f>monster.xml!D41</f>
        <v>红龙幼崽</v>
      </c>
      <c r="E37">
        <f>monster.xml!G41</f>
        <v>0</v>
      </c>
      <c r="F37" t="str">
        <f>monster.xml!X41</f>
        <v>monster/10033.png</v>
      </c>
      <c r="G37">
        <f>monster.xml!Y41</f>
        <v>0</v>
      </c>
    </row>
    <row r="38" spans="1:7">
      <c r="A38">
        <f>monster.xml!A42</f>
        <v>37</v>
      </c>
      <c r="B38">
        <f>monster.xml!B42</f>
        <v>2001</v>
      </c>
      <c r="C38">
        <f>monster.xml!C42</f>
        <v>18</v>
      </c>
      <c r="D38" t="str">
        <f>monster.xml!D42</f>
        <v>红龙守卫</v>
      </c>
      <c r="E38">
        <f>monster.xml!G42</f>
        <v>0</v>
      </c>
      <c r="F38" t="str">
        <f>monster.xml!X42</f>
        <v>monster/10034.png</v>
      </c>
      <c r="G38">
        <f>monster.xml!Y42</f>
        <v>0</v>
      </c>
    </row>
    <row r="39" spans="1:7">
      <c r="A39">
        <f>monster.xml!A43</f>
        <v>38</v>
      </c>
      <c r="B39">
        <f>monster.xml!B43</f>
        <v>2001</v>
      </c>
      <c r="C39">
        <f>monster.xml!C43</f>
        <v>19</v>
      </c>
      <c r="D39" t="str">
        <f>monster.xml!D43</f>
        <v>红龙战士</v>
      </c>
      <c r="E39">
        <f>monster.xml!G43</f>
        <v>0</v>
      </c>
      <c r="F39" t="str">
        <f>monster.xml!X43</f>
        <v>monster/10035.png</v>
      </c>
      <c r="G39">
        <f>monster.xml!Y43</f>
        <v>0</v>
      </c>
    </row>
    <row r="40" spans="1:7">
      <c r="A40">
        <f>monster.xml!A44</f>
        <v>39</v>
      </c>
      <c r="B40">
        <f>monster.xml!B44</f>
        <v>2001</v>
      </c>
      <c r="C40">
        <f>monster.xml!C44</f>
        <v>20</v>
      </c>
      <c r="D40" t="str">
        <f>monster.xml!D44</f>
        <v>红龙破法者</v>
      </c>
      <c r="E40">
        <f>monster.xml!G44</f>
        <v>0</v>
      </c>
      <c r="F40" t="str">
        <f>monster.xml!X44</f>
        <v>monster/10036.png</v>
      </c>
      <c r="G40">
        <f>monster.xml!Y44</f>
        <v>0</v>
      </c>
    </row>
    <row r="41" spans="1:7">
      <c r="A41">
        <f>monster.xml!A45</f>
        <v>40</v>
      </c>
      <c r="B41">
        <f>monster.xml!B45</f>
        <v>2001</v>
      </c>
      <c r="C41">
        <f>monster.xml!C45</f>
        <v>19</v>
      </c>
      <c r="D41" t="str">
        <f>monster.xml!D45</f>
        <v>蓝龙守卫</v>
      </c>
      <c r="E41">
        <f>monster.xml!G45</f>
        <v>0</v>
      </c>
      <c r="F41" t="str">
        <f>monster.xml!X45</f>
        <v>monster/10037.png</v>
      </c>
      <c r="G41">
        <f>monster.xml!Y45</f>
        <v>0</v>
      </c>
    </row>
    <row r="42" spans="1:7">
      <c r="A42">
        <f>monster.xml!A46</f>
        <v>41</v>
      </c>
      <c r="B42">
        <f>monster.xml!B46</f>
        <v>2001</v>
      </c>
      <c r="C42">
        <f>monster.xml!C46</f>
        <v>20</v>
      </c>
      <c r="D42" t="str">
        <f>monster.xml!D46</f>
        <v>蓝龙破法者</v>
      </c>
      <c r="E42">
        <f>monster.xml!G46</f>
        <v>0</v>
      </c>
      <c r="F42" t="str">
        <f>monster.xml!X46</f>
        <v>monster/10038.png</v>
      </c>
      <c r="G42">
        <f>monster.xml!Y46</f>
        <v>0</v>
      </c>
    </row>
    <row r="43" spans="1:7">
      <c r="A43">
        <f>monster.xml!A47</f>
        <v>42</v>
      </c>
      <c r="B43">
        <f>monster.xml!B47</f>
        <v>2001</v>
      </c>
      <c r="C43">
        <f>monster.xml!C47</f>
        <v>21</v>
      </c>
      <c r="D43" t="str">
        <f>monster.xml!D47</f>
        <v>白龙占卜师</v>
      </c>
      <c r="E43">
        <f>monster.xml!G47</f>
        <v>0</v>
      </c>
      <c r="F43" t="str">
        <f>monster.xml!X47</f>
        <v>monster/10039.png</v>
      </c>
      <c r="G43">
        <f>monster.xml!Y47</f>
        <v>0</v>
      </c>
    </row>
    <row r="44" spans="1:7">
      <c r="A44">
        <f>monster.xml!A48</f>
        <v>43</v>
      </c>
      <c r="B44">
        <f>monster.xml!B48</f>
        <v>2001</v>
      </c>
      <c r="C44">
        <f>monster.xml!C48</f>
        <v>22</v>
      </c>
      <c r="D44" t="str">
        <f>monster.xml!D48</f>
        <v>白龙祭祀</v>
      </c>
      <c r="E44">
        <f>monster.xml!G48</f>
        <v>0</v>
      </c>
      <c r="F44" t="str">
        <f>monster.xml!X48</f>
        <v>monster/10040.png</v>
      </c>
      <c r="G44">
        <f>monster.xml!Y48</f>
        <v>0</v>
      </c>
    </row>
    <row r="45" spans="1:7">
      <c r="A45">
        <f>monster.xml!A49</f>
        <v>44</v>
      </c>
      <c r="B45">
        <f>monster.xml!B49</f>
        <v>2001</v>
      </c>
      <c r="C45">
        <f>monster.xml!C49</f>
        <v>21</v>
      </c>
      <c r="D45" t="str">
        <f>monster.xml!D49</f>
        <v>熔炉搬运工</v>
      </c>
      <c r="E45">
        <f>monster.xml!G49</f>
        <v>0</v>
      </c>
      <c r="F45" t="str">
        <f>monster.xml!X49</f>
        <v>monster/10041.png</v>
      </c>
      <c r="G45">
        <f>monster.xml!Y49</f>
        <v>0</v>
      </c>
    </row>
    <row r="46" spans="1:7">
      <c r="A46">
        <f>monster.xml!A50</f>
        <v>45</v>
      </c>
      <c r="B46">
        <f>monster.xml!B50</f>
        <v>2001</v>
      </c>
      <c r="C46">
        <f>monster.xml!C50</f>
        <v>22</v>
      </c>
      <c r="D46" t="str">
        <f>monster.xml!D50</f>
        <v>熔炉锻造者</v>
      </c>
      <c r="E46">
        <f>monster.xml!G50</f>
        <v>0</v>
      </c>
      <c r="F46" t="str">
        <f>monster.xml!X50</f>
        <v>monster/10042.png</v>
      </c>
      <c r="G46">
        <f>monster.xml!Y50</f>
        <v>0</v>
      </c>
    </row>
    <row r="47" spans="1:7">
      <c r="A47">
        <f>monster.xml!A51</f>
        <v>46</v>
      </c>
      <c r="B47">
        <f>monster.xml!B51</f>
        <v>2001</v>
      </c>
      <c r="C47">
        <f>monster.xml!C51</f>
        <v>23</v>
      </c>
      <c r="D47" t="str">
        <f>monster.xml!D51</f>
        <v>熔炉守卫</v>
      </c>
      <c r="E47">
        <f>monster.xml!G51</f>
        <v>0</v>
      </c>
      <c r="F47" t="str">
        <f>monster.xml!X51</f>
        <v>monster/10043.png</v>
      </c>
      <c r="G47">
        <f>monster.xml!Y51</f>
        <v>0</v>
      </c>
    </row>
    <row r="48" spans="1:7">
      <c r="A48">
        <f>monster.xml!A52</f>
        <v>47</v>
      </c>
      <c r="B48">
        <f>monster.xml!B52</f>
        <v>2001</v>
      </c>
      <c r="C48">
        <f>monster.xml!C52</f>
        <v>24</v>
      </c>
      <c r="D48" t="str">
        <f>monster.xml!D52</f>
        <v>熔炉监工</v>
      </c>
      <c r="E48">
        <f>monster.xml!G52</f>
        <v>0</v>
      </c>
      <c r="F48" t="str">
        <f>monster.xml!X52</f>
        <v>monster/10044.png</v>
      </c>
      <c r="G48">
        <f>monster.xml!Y52</f>
        <v>0</v>
      </c>
    </row>
    <row r="49" spans="1:7">
      <c r="A49">
        <f>monster.xml!A53</f>
        <v>48</v>
      </c>
      <c r="B49">
        <f>monster.xml!B53</f>
        <v>2001</v>
      </c>
      <c r="C49">
        <f>monster.xml!C53</f>
        <v>23</v>
      </c>
      <c r="D49" t="str">
        <f>monster.xml!D53</f>
        <v>夜行僵尸</v>
      </c>
      <c r="E49">
        <f>monster.xml!G53</f>
        <v>0</v>
      </c>
      <c r="F49" t="str">
        <f>monster.xml!X53</f>
        <v>monster/10045.png</v>
      </c>
      <c r="G49">
        <f>monster.xml!Y53</f>
        <v>0</v>
      </c>
    </row>
    <row r="50" spans="1:7">
      <c r="A50">
        <f>monster.xml!A54</f>
        <v>49</v>
      </c>
      <c r="B50">
        <f>monster.xml!B54</f>
        <v>2001</v>
      </c>
      <c r="C50">
        <f>monster.xml!C54</f>
        <v>24</v>
      </c>
      <c r="D50" t="str">
        <f>monster.xml!D54</f>
        <v>绝望幽灵</v>
      </c>
      <c r="E50">
        <f>monster.xml!G54</f>
        <v>0</v>
      </c>
      <c r="F50" t="str">
        <f>monster.xml!X54</f>
        <v>monster/10046.png</v>
      </c>
      <c r="G50">
        <f>monster.xml!Y54</f>
        <v>0</v>
      </c>
    </row>
    <row r="51" spans="1:7">
      <c r="A51">
        <f>monster.xml!A55</f>
        <v>50</v>
      </c>
      <c r="B51">
        <f>monster.xml!B55</f>
        <v>2001</v>
      </c>
      <c r="C51">
        <f>monster.xml!C55</f>
        <v>25</v>
      </c>
      <c r="D51" t="str">
        <f>monster.xml!D55</f>
        <v>绝望药剂师</v>
      </c>
      <c r="E51">
        <f>monster.xml!G55</f>
        <v>0</v>
      </c>
      <c r="F51" t="str">
        <f>monster.xml!X55</f>
        <v>monster/10047.png</v>
      </c>
      <c r="G51">
        <f>monster.xml!Y55</f>
        <v>0</v>
      </c>
    </row>
    <row r="52" spans="1:7">
      <c r="A52">
        <f>monster.xml!A56</f>
        <v>51</v>
      </c>
      <c r="B52">
        <f>monster.xml!B56</f>
        <v>2001</v>
      </c>
      <c r="C52">
        <f>monster.xml!C56</f>
        <v>26</v>
      </c>
      <c r="D52" t="str">
        <f>monster.xml!D56</f>
        <v>绝望研究员</v>
      </c>
      <c r="E52">
        <f>monster.xml!G56</f>
        <v>0</v>
      </c>
      <c r="F52" t="str">
        <f>monster.xml!X56</f>
        <v>monster/10048.png</v>
      </c>
      <c r="G52">
        <f>monster.xml!Y56</f>
        <v>0</v>
      </c>
    </row>
    <row r="53" spans="1:7">
      <c r="A53">
        <f>monster.xml!A57</f>
        <v>52</v>
      </c>
      <c r="B53">
        <f>monster.xml!B57</f>
        <v>2001</v>
      </c>
      <c r="C53">
        <f>monster.xml!C57</f>
        <v>25</v>
      </c>
      <c r="D53" t="str">
        <f>monster.xml!D57</f>
        <v>溶洞长虫</v>
      </c>
      <c r="E53">
        <f>monster.xml!G57</f>
        <v>0</v>
      </c>
      <c r="F53" t="str">
        <f>monster.xml!X57</f>
        <v>monster/10049.png</v>
      </c>
      <c r="G53">
        <f>monster.xml!Y57</f>
        <v>0</v>
      </c>
    </row>
    <row r="54" spans="1:7">
      <c r="A54">
        <f>monster.xml!A58</f>
        <v>53</v>
      </c>
      <c r="B54">
        <f>monster.xml!B58</f>
        <v>2001</v>
      </c>
      <c r="C54">
        <f>monster.xml!C58</f>
        <v>26</v>
      </c>
      <c r="D54" t="str">
        <f>monster.xml!D58</f>
        <v>溶洞泥浆怪</v>
      </c>
      <c r="E54">
        <f>monster.xml!G58</f>
        <v>0</v>
      </c>
      <c r="F54" t="str">
        <f>monster.xml!X58</f>
        <v>monster/10050.png</v>
      </c>
      <c r="G54">
        <f>monster.xml!Y58</f>
        <v>0</v>
      </c>
    </row>
    <row r="55" spans="1:7">
      <c r="A55">
        <f>monster.xml!A59</f>
        <v>54</v>
      </c>
      <c r="B55">
        <f>monster.xml!B59</f>
        <v>2001</v>
      </c>
      <c r="C55">
        <f>monster.xml!C59</f>
        <v>27</v>
      </c>
      <c r="D55" t="str">
        <f>monster.xml!D59</f>
        <v>艾达泥偶</v>
      </c>
      <c r="E55">
        <f>monster.xml!G59</f>
        <v>0</v>
      </c>
      <c r="F55" t="str">
        <f>monster.xml!X59</f>
        <v>monster/10051.png</v>
      </c>
      <c r="G55">
        <f>monster.xml!Y59</f>
        <v>0</v>
      </c>
    </row>
    <row r="56" spans="1:7">
      <c r="A56">
        <f>monster.xml!A60</f>
        <v>55</v>
      </c>
      <c r="B56">
        <f>monster.xml!B60</f>
        <v>2001</v>
      </c>
      <c r="C56">
        <f>monster.xml!C60</f>
        <v>28</v>
      </c>
      <c r="D56" t="str">
        <f>monster.xml!D60</f>
        <v>石岩卫士</v>
      </c>
      <c r="E56">
        <f>monster.xml!G60</f>
        <v>0</v>
      </c>
      <c r="F56" t="str">
        <f>monster.xml!X60</f>
        <v>monster/10052.png</v>
      </c>
      <c r="G56">
        <f>monster.xml!Y60</f>
        <v>0</v>
      </c>
    </row>
    <row r="57" spans="1:7">
      <c r="A57">
        <f>monster.xml!A61</f>
        <v>56</v>
      </c>
      <c r="B57">
        <f>monster.xml!B61</f>
        <v>2001</v>
      </c>
      <c r="C57">
        <f>monster.xml!C61</f>
        <v>27</v>
      </c>
      <c r="D57" t="str">
        <f>monster.xml!D61</f>
        <v>城墙巡视者</v>
      </c>
      <c r="E57">
        <f>monster.xml!G61</f>
        <v>0</v>
      </c>
      <c r="F57" t="str">
        <f>monster.xml!X61</f>
        <v>monster/10053.png</v>
      </c>
      <c r="G57">
        <f>monster.xml!Y61</f>
        <v>0</v>
      </c>
    </row>
    <row r="58" spans="1:7">
      <c r="A58">
        <f>monster.xml!A62</f>
        <v>57</v>
      </c>
      <c r="B58">
        <f>monster.xml!B62</f>
        <v>2001</v>
      </c>
      <c r="C58">
        <f>monster.xml!C62</f>
        <v>28</v>
      </c>
      <c r="D58" t="str">
        <f>monster.xml!D62</f>
        <v>城墙守卫</v>
      </c>
      <c r="E58">
        <f>monster.xml!G62</f>
        <v>0</v>
      </c>
      <c r="F58" t="str">
        <f>monster.xml!X62</f>
        <v>monster/10054.png</v>
      </c>
      <c r="G58">
        <f>monster.xml!Y62</f>
        <v>0</v>
      </c>
    </row>
    <row r="59" spans="1:7">
      <c r="A59">
        <f>monster.xml!A63</f>
        <v>58</v>
      </c>
      <c r="B59">
        <f>monster.xml!B63</f>
        <v>2001</v>
      </c>
      <c r="C59">
        <f>monster.xml!C63</f>
        <v>29</v>
      </c>
      <c r="D59" t="str">
        <f>monster.xml!D63</f>
        <v>城墙更夫</v>
      </c>
      <c r="E59">
        <f>monster.xml!G63</f>
        <v>0</v>
      </c>
      <c r="F59" t="str">
        <f>monster.xml!X63</f>
        <v>monster/10055.png</v>
      </c>
      <c r="G59">
        <f>monster.xml!Y63</f>
        <v>0</v>
      </c>
    </row>
    <row r="60" spans="1:7">
      <c r="A60">
        <f>monster.xml!A64</f>
        <v>59</v>
      </c>
      <c r="B60">
        <f>monster.xml!B64</f>
        <v>2001</v>
      </c>
      <c r="C60">
        <f>monster.xml!C64</f>
        <v>30</v>
      </c>
      <c r="D60" t="str">
        <f>monster.xml!D64</f>
        <v>城墙报信者</v>
      </c>
      <c r="E60">
        <f>monster.xml!G64</f>
        <v>0</v>
      </c>
      <c r="F60" t="str">
        <f>monster.xml!X64</f>
        <v>monster/10056.png</v>
      </c>
      <c r="G60">
        <f>monster.xml!Y64</f>
        <v>0</v>
      </c>
    </row>
    <row r="61" spans="1:7">
      <c r="A61">
        <f>monster.xml!A65</f>
        <v>60</v>
      </c>
      <c r="B61">
        <f>monster.xml!B65</f>
        <v>2001</v>
      </c>
      <c r="C61">
        <f>monster.xml!C65</f>
        <v>29</v>
      </c>
      <c r="D61" t="str">
        <f>monster.xml!D65</f>
        <v>城墙守卫</v>
      </c>
      <c r="E61">
        <f>monster.xml!G65</f>
        <v>0</v>
      </c>
      <c r="F61" t="str">
        <f>monster.xml!X65</f>
        <v>monster/10057.png</v>
      </c>
      <c r="G61">
        <f>monster.xml!Y65</f>
        <v>0</v>
      </c>
    </row>
    <row r="62" spans="1:7">
      <c r="A62">
        <f>monster.xml!A66</f>
        <v>61</v>
      </c>
      <c r="B62">
        <f>monster.xml!B66</f>
        <v>2001</v>
      </c>
      <c r="C62">
        <f>monster.xml!C66</f>
        <v>30</v>
      </c>
      <c r="D62" t="str">
        <f>monster.xml!D66</f>
        <v>城墙弓箭手</v>
      </c>
      <c r="E62">
        <f>monster.xml!G66</f>
        <v>0</v>
      </c>
      <c r="F62" t="str">
        <f>monster.xml!X66</f>
        <v>monster/10058.png</v>
      </c>
      <c r="G62">
        <f>monster.xml!Y66</f>
        <v>0</v>
      </c>
    </row>
    <row r="63" spans="1:7">
      <c r="A63">
        <f>monster.xml!A67</f>
        <v>62</v>
      </c>
      <c r="B63">
        <f>monster.xml!B67</f>
        <v>2001</v>
      </c>
      <c r="C63">
        <f>monster.xml!C67</f>
        <v>31</v>
      </c>
      <c r="D63" t="str">
        <f>monster.xml!D67</f>
        <v>城墙巡视者</v>
      </c>
      <c r="E63">
        <f>monster.xml!G67</f>
        <v>0</v>
      </c>
      <c r="F63" t="str">
        <f>monster.xml!X67</f>
        <v>monster/10059.png</v>
      </c>
      <c r="G63">
        <f>monster.xml!Y67</f>
        <v>0</v>
      </c>
    </row>
    <row r="64" spans="1:7">
      <c r="A64">
        <f>monster.xml!A68</f>
        <v>63</v>
      </c>
      <c r="B64">
        <f>monster.xml!B68</f>
        <v>2001</v>
      </c>
      <c r="C64">
        <f>monster.xml!C68</f>
        <v>32</v>
      </c>
      <c r="D64" t="str">
        <f>monster.xml!D68</f>
        <v>城墙火炬手</v>
      </c>
      <c r="E64">
        <f>monster.xml!G68</f>
        <v>0</v>
      </c>
      <c r="F64" t="str">
        <f>monster.xml!X68</f>
        <v>monster/10060.png</v>
      </c>
      <c r="G64">
        <f>monster.xml!Y68</f>
        <v>0</v>
      </c>
    </row>
    <row r="65" spans="1:7">
      <c r="A65">
        <f>monster.xml!A69</f>
        <v>64</v>
      </c>
      <c r="B65">
        <f>monster.xml!B69</f>
        <v>2001</v>
      </c>
      <c r="C65">
        <f>monster.xml!C69</f>
        <v>31</v>
      </c>
      <c r="D65" t="str">
        <f>monster.xml!D69</f>
        <v>凛风守卫</v>
      </c>
      <c r="E65">
        <f>monster.xml!G69</f>
        <v>0</v>
      </c>
      <c r="F65" t="str">
        <f>monster.xml!X69</f>
        <v>monster/10061.png</v>
      </c>
      <c r="G65">
        <f>monster.xml!Y69</f>
        <v>0</v>
      </c>
    </row>
    <row r="66" spans="1:7">
      <c r="A66">
        <f>monster.xml!A70</f>
        <v>65</v>
      </c>
      <c r="B66">
        <f>monster.xml!B70</f>
        <v>2001</v>
      </c>
      <c r="C66">
        <f>monster.xml!C70</f>
        <v>32</v>
      </c>
      <c r="D66" t="str">
        <f>monster.xml!D70</f>
        <v>凛风侍女</v>
      </c>
      <c r="E66">
        <f>monster.xml!G70</f>
        <v>0</v>
      </c>
      <c r="F66" t="str">
        <f>monster.xml!X70</f>
        <v>monster/10062.png</v>
      </c>
      <c r="G66">
        <f>monster.xml!Y70</f>
        <v>0</v>
      </c>
    </row>
    <row r="67" spans="1:7">
      <c r="A67">
        <f>monster.xml!A71</f>
        <v>66</v>
      </c>
      <c r="B67">
        <f>monster.xml!B71</f>
        <v>2001</v>
      </c>
      <c r="C67">
        <f>monster.xml!C71</f>
        <v>33</v>
      </c>
      <c r="D67" t="str">
        <f>monster.xml!D71</f>
        <v>凛风近卫</v>
      </c>
      <c r="E67">
        <f>monster.xml!G71</f>
        <v>0</v>
      </c>
      <c r="F67" t="str">
        <f>monster.xml!X71</f>
        <v>monster/10063.png</v>
      </c>
      <c r="G67">
        <f>monster.xml!Y71</f>
        <v>0</v>
      </c>
    </row>
    <row r="68" spans="1:7">
      <c r="A68">
        <f>monster.xml!A72</f>
        <v>67</v>
      </c>
      <c r="B68">
        <f>monster.xml!B72</f>
        <v>2001</v>
      </c>
      <c r="C68">
        <f>monster.xml!C72</f>
        <v>34</v>
      </c>
      <c r="D68" t="str">
        <f>monster.xml!D72</f>
        <v>凛风军长</v>
      </c>
      <c r="E68">
        <f>monster.xml!G72</f>
        <v>0</v>
      </c>
      <c r="F68" t="str">
        <f>monster.xml!X72</f>
        <v>monster/10064.png</v>
      </c>
      <c r="G68">
        <f>monster.xml!Y72</f>
        <v>0</v>
      </c>
    </row>
    <row r="69" spans="1:7">
      <c r="A69">
        <f>monster.xml!A73</f>
        <v>68</v>
      </c>
      <c r="B69">
        <f>monster.xml!B73</f>
        <v>2001</v>
      </c>
      <c r="C69">
        <f>monster.xml!C73</f>
        <v>33</v>
      </c>
      <c r="D69" t="str">
        <f>monster.xml!D73</f>
        <v>骷髅护卫</v>
      </c>
      <c r="E69">
        <f>monster.xml!G73</f>
        <v>0</v>
      </c>
      <c r="F69" t="str">
        <f>monster.xml!X73</f>
        <v>monster/10065.png</v>
      </c>
      <c r="G69">
        <f>monster.xml!Y73</f>
        <v>0</v>
      </c>
    </row>
    <row r="70" spans="1:7">
      <c r="A70">
        <f>monster.xml!A74</f>
        <v>69</v>
      </c>
      <c r="B70">
        <f>monster.xml!B74</f>
        <v>2001</v>
      </c>
      <c r="C70">
        <f>monster.xml!C74</f>
        <v>34</v>
      </c>
      <c r="D70" t="str">
        <f>monster.xml!D74</f>
        <v>鲜肉食尸鬼</v>
      </c>
      <c r="E70">
        <f>monster.xml!G74</f>
        <v>0</v>
      </c>
      <c r="F70" t="str">
        <f>monster.xml!X74</f>
        <v>monster/10066.png</v>
      </c>
      <c r="G70">
        <f>monster.xml!Y74</f>
        <v>0</v>
      </c>
    </row>
    <row r="71" spans="1:7">
      <c r="A71">
        <f>monster.xml!A75</f>
        <v>70</v>
      </c>
      <c r="B71">
        <f>monster.xml!B75</f>
        <v>2001</v>
      </c>
      <c r="C71">
        <f>monster.xml!C75</f>
        <v>35</v>
      </c>
      <c r="D71" t="str">
        <f>monster.xml!D75</f>
        <v>嚎叫女妖</v>
      </c>
      <c r="E71">
        <f>monster.xml!G75</f>
        <v>0</v>
      </c>
      <c r="F71" t="str">
        <f>monster.xml!X75</f>
        <v>monster/10067.png</v>
      </c>
      <c r="G71">
        <f>monster.xml!Y75</f>
        <v>0</v>
      </c>
    </row>
    <row r="72" spans="1:7">
      <c r="A72">
        <f>monster.xml!A76</f>
        <v>71</v>
      </c>
      <c r="B72">
        <f>monster.xml!B76</f>
        <v>2001</v>
      </c>
      <c r="C72">
        <f>monster.xml!C76</f>
        <v>36</v>
      </c>
      <c r="D72" t="str">
        <f>monster.xml!D76</f>
        <v>邪恶召唤者</v>
      </c>
      <c r="E72">
        <f>monster.xml!G76</f>
        <v>0</v>
      </c>
      <c r="F72" t="str">
        <f>monster.xml!X76</f>
        <v>monster/10068.png</v>
      </c>
      <c r="G72">
        <f>monster.xml!Y76</f>
        <v>0</v>
      </c>
    </row>
    <row r="73" spans="1:7">
      <c r="A73">
        <f>monster.xml!A77</f>
        <v>72</v>
      </c>
      <c r="B73">
        <f>monster.xml!B77</f>
        <v>2001</v>
      </c>
      <c r="C73">
        <f>monster.xml!C77</f>
        <v>35</v>
      </c>
      <c r="D73" t="str">
        <f>monster.xml!D77</f>
        <v>变异巨鳄</v>
      </c>
      <c r="E73">
        <f>monster.xml!G77</f>
        <v>0</v>
      </c>
      <c r="F73" t="str">
        <f>monster.xml!X77</f>
        <v>monster/10069.png</v>
      </c>
      <c r="G73">
        <f>monster.xml!Y77</f>
        <v>0</v>
      </c>
    </row>
    <row r="74" spans="1:7">
      <c r="A74">
        <f>monster.xml!A78</f>
        <v>73</v>
      </c>
      <c r="B74">
        <f>monster.xml!B78</f>
        <v>2001</v>
      </c>
      <c r="C74">
        <f>monster.xml!C78</f>
        <v>36</v>
      </c>
      <c r="D74" t="str">
        <f>monster.xml!D78</f>
        <v>密林猛虎</v>
      </c>
      <c r="E74">
        <f>monster.xml!G78</f>
        <v>0</v>
      </c>
      <c r="F74" t="str">
        <f>monster.xml!X78</f>
        <v>monster/10070.png</v>
      </c>
      <c r="G74">
        <f>monster.xml!Y78</f>
        <v>0</v>
      </c>
    </row>
    <row r="75" spans="1:7">
      <c r="A75">
        <f>monster.xml!A79</f>
        <v>74</v>
      </c>
      <c r="B75">
        <f>monster.xml!B79</f>
        <v>2001</v>
      </c>
      <c r="C75">
        <f>monster.xml!C79</f>
        <v>37</v>
      </c>
      <c r="D75" t="str">
        <f>monster.xml!D79</f>
        <v>密林研究员</v>
      </c>
      <c r="E75">
        <f>monster.xml!G79</f>
        <v>0</v>
      </c>
      <c r="F75" t="str">
        <f>monster.xml!X79</f>
        <v>monster/10071.png</v>
      </c>
      <c r="G75">
        <f>monster.xml!Y79</f>
        <v>0</v>
      </c>
    </row>
    <row r="76" spans="1:7">
      <c r="A76">
        <f>monster.xml!A80</f>
        <v>75</v>
      </c>
      <c r="B76">
        <f>monster.xml!B80</f>
        <v>2001</v>
      </c>
      <c r="C76">
        <f>monster.xml!C80</f>
        <v>38</v>
      </c>
      <c r="D76" t="str">
        <f>monster.xml!D80</f>
        <v>密林药剂师</v>
      </c>
      <c r="E76">
        <f>monster.xml!G80</f>
        <v>0</v>
      </c>
      <c r="F76" t="str">
        <f>monster.xml!X80</f>
        <v>monster/10072.png</v>
      </c>
      <c r="G76">
        <f>monster.xml!Y80</f>
        <v>0</v>
      </c>
    </row>
    <row r="77" spans="1:7">
      <c r="A77">
        <f>monster.xml!A81</f>
        <v>76</v>
      </c>
      <c r="B77">
        <f>monster.xml!B81</f>
        <v>2001</v>
      </c>
      <c r="C77">
        <f>monster.xml!C81</f>
        <v>37</v>
      </c>
      <c r="D77" t="str">
        <f>monster.xml!D81</f>
        <v>圣坛祈愿者</v>
      </c>
      <c r="E77">
        <f>monster.xml!G81</f>
        <v>0</v>
      </c>
      <c r="F77" t="str">
        <f>monster.xml!X81</f>
        <v>monster/10073.png</v>
      </c>
      <c r="G77">
        <f>monster.xml!Y81</f>
        <v>0</v>
      </c>
    </row>
    <row r="78" spans="1:7">
      <c r="A78">
        <f>monster.xml!A82</f>
        <v>77</v>
      </c>
      <c r="B78">
        <f>monster.xml!B82</f>
        <v>2001</v>
      </c>
      <c r="C78">
        <f>monster.xml!C82</f>
        <v>38</v>
      </c>
      <c r="D78" t="str">
        <f>monster.xml!D82</f>
        <v>圣坛信徒</v>
      </c>
      <c r="E78">
        <f>monster.xml!G82</f>
        <v>0</v>
      </c>
      <c r="F78" t="str">
        <f>monster.xml!X82</f>
        <v>monster/10074.png</v>
      </c>
      <c r="G78">
        <f>monster.xml!Y82</f>
        <v>0</v>
      </c>
    </row>
    <row r="79" spans="1:7">
      <c r="A79">
        <f>monster.xml!A83</f>
        <v>78</v>
      </c>
      <c r="B79">
        <f>monster.xml!B83</f>
        <v>2001</v>
      </c>
      <c r="C79">
        <f>monster.xml!C83</f>
        <v>39</v>
      </c>
      <c r="D79" t="str">
        <f>monster.xml!D83</f>
        <v>圣坛守卫</v>
      </c>
      <c r="E79">
        <f>monster.xml!G83</f>
        <v>0</v>
      </c>
      <c r="F79" t="str">
        <f>monster.xml!X83</f>
        <v>monster/10075.png</v>
      </c>
      <c r="G79">
        <f>monster.xml!Y83</f>
        <v>0</v>
      </c>
    </row>
    <row r="80" spans="1:7">
      <c r="A80">
        <f>monster.xml!A84</f>
        <v>79</v>
      </c>
      <c r="B80">
        <f>monster.xml!B84</f>
        <v>2001</v>
      </c>
      <c r="C80">
        <f>monster.xml!C84</f>
        <v>40</v>
      </c>
      <c r="D80" t="str">
        <f>monster.xml!D84</f>
        <v>圣坛祭祀</v>
      </c>
      <c r="E80">
        <f>monster.xml!G84</f>
        <v>0</v>
      </c>
      <c r="F80" t="str">
        <f>monster.xml!X84</f>
        <v>monster/10076.png</v>
      </c>
      <c r="G80">
        <f>monster.xml!Y84</f>
        <v>0</v>
      </c>
    </row>
    <row r="81" spans="1:7">
      <c r="A81">
        <f>monster.xml!A85</f>
        <v>80</v>
      </c>
      <c r="B81">
        <f>monster.xml!B85</f>
        <v>2001</v>
      </c>
      <c r="C81">
        <f>monster.xml!C85</f>
        <v>39</v>
      </c>
      <c r="D81" t="str">
        <f>monster.xml!D85</f>
        <v>怒牙斥候</v>
      </c>
      <c r="E81">
        <f>monster.xml!G85</f>
        <v>0</v>
      </c>
      <c r="F81" t="str">
        <f>monster.xml!X85</f>
        <v>monster/10077.png</v>
      </c>
      <c r="G81">
        <f>monster.xml!Y85</f>
        <v>0</v>
      </c>
    </row>
    <row r="82" spans="1:7">
      <c r="A82">
        <f>monster.xml!A86</f>
        <v>81</v>
      </c>
      <c r="B82">
        <f>monster.xml!B86</f>
        <v>2001</v>
      </c>
      <c r="C82">
        <f>monster.xml!C86</f>
        <v>40</v>
      </c>
      <c r="D82" t="str">
        <f>monster.xml!D86</f>
        <v>怒牙军犬</v>
      </c>
      <c r="E82">
        <f>monster.xml!G86</f>
        <v>0</v>
      </c>
      <c r="F82" t="str">
        <f>monster.xml!X86</f>
        <v>monster/10078.png</v>
      </c>
      <c r="G82">
        <f>monster.xml!Y86</f>
        <v>0</v>
      </c>
    </row>
    <row r="83" spans="1:7">
      <c r="A83">
        <f>monster.xml!A87</f>
        <v>82</v>
      </c>
      <c r="B83">
        <f>monster.xml!B87</f>
        <v>2001</v>
      </c>
      <c r="C83">
        <f>monster.xml!C87</f>
        <v>41</v>
      </c>
      <c r="D83" t="str">
        <f>monster.xml!D87</f>
        <v>怒牙撕裂者</v>
      </c>
      <c r="E83">
        <f>monster.xml!G87</f>
        <v>0</v>
      </c>
      <c r="F83" t="str">
        <f>monster.xml!X87</f>
        <v>monster/10079.png</v>
      </c>
      <c r="G83">
        <f>monster.xml!Y87</f>
        <v>0</v>
      </c>
    </row>
    <row r="84" spans="1:7">
      <c r="A84">
        <f>monster.xml!A88</f>
        <v>83</v>
      </c>
      <c r="B84">
        <f>monster.xml!B88</f>
        <v>2001</v>
      </c>
      <c r="C84">
        <f>monster.xml!C88</f>
        <v>42</v>
      </c>
      <c r="D84" t="str">
        <f>monster.xml!D88</f>
        <v>怒牙毁灭者</v>
      </c>
      <c r="E84">
        <f>monster.xml!G88</f>
        <v>0</v>
      </c>
      <c r="F84" t="str">
        <f>monster.xml!X88</f>
        <v>monster/10080.png</v>
      </c>
      <c r="G84">
        <f>monster.xml!Y88</f>
        <v>0</v>
      </c>
    </row>
    <row r="85" spans="1:7">
      <c r="A85">
        <f>monster.xml!A89</f>
        <v>84</v>
      </c>
      <c r="B85">
        <f>monster.xml!B89</f>
        <v>2001</v>
      </c>
      <c r="C85">
        <f>monster.xml!C89</f>
        <v>41</v>
      </c>
      <c r="D85" t="str">
        <f>monster.xml!D89</f>
        <v>尘沙堡新兵</v>
      </c>
      <c r="E85">
        <f>monster.xml!G89</f>
        <v>0</v>
      </c>
      <c r="F85" t="str">
        <f>monster.xml!X89</f>
        <v>monster/10081.png</v>
      </c>
      <c r="G85">
        <f>monster.xml!Y89</f>
        <v>0</v>
      </c>
    </row>
    <row r="86" spans="1:7">
      <c r="A86">
        <f>monster.xml!A90</f>
        <v>85</v>
      </c>
      <c r="B86">
        <f>monster.xml!B90</f>
        <v>2001</v>
      </c>
      <c r="C86">
        <f>monster.xml!C90</f>
        <v>42</v>
      </c>
      <c r="D86" t="str">
        <f>monster.xml!D90</f>
        <v>尘沙堡小鬼</v>
      </c>
      <c r="E86">
        <f>monster.xml!G90</f>
        <v>0</v>
      </c>
      <c r="F86" t="str">
        <f>monster.xml!X90</f>
        <v>monster/10082.png</v>
      </c>
      <c r="G86">
        <f>monster.xml!Y90</f>
        <v>0</v>
      </c>
    </row>
    <row r="87" spans="1:7">
      <c r="A87">
        <f>monster.xml!A91</f>
        <v>86</v>
      </c>
      <c r="B87">
        <f>monster.xml!B91</f>
        <v>2001</v>
      </c>
      <c r="C87">
        <f>monster.xml!C91</f>
        <v>43</v>
      </c>
      <c r="D87" t="str">
        <f>monster.xml!D91</f>
        <v>尘沙堡术士</v>
      </c>
      <c r="E87">
        <f>monster.xml!G91</f>
        <v>0</v>
      </c>
      <c r="F87" t="str">
        <f>monster.xml!X91</f>
        <v>monster/10083.png</v>
      </c>
      <c r="G87">
        <f>monster.xml!Y91</f>
        <v>0</v>
      </c>
    </row>
    <row r="88" spans="1:7">
      <c r="A88">
        <f>monster.xml!A92</f>
        <v>87</v>
      </c>
      <c r="B88">
        <f>monster.xml!B92</f>
        <v>2001</v>
      </c>
      <c r="C88">
        <f>monster.xml!C92</f>
        <v>44</v>
      </c>
      <c r="D88" t="str">
        <f>monster.xml!D92</f>
        <v>尘沙堡守卫</v>
      </c>
      <c r="E88">
        <f>monster.xml!G92</f>
        <v>0</v>
      </c>
      <c r="F88" t="str">
        <f>monster.xml!X92</f>
        <v>monster/10084.png</v>
      </c>
      <c r="G88">
        <f>monster.xml!Y92</f>
        <v>0</v>
      </c>
    </row>
    <row r="89" spans="1:7">
      <c r="A89">
        <f>monster.xml!A93</f>
        <v>88</v>
      </c>
      <c r="B89">
        <f>monster.xml!B93</f>
        <v>2001</v>
      </c>
      <c r="C89">
        <f>monster.xml!C93</f>
        <v>43</v>
      </c>
      <c r="D89" t="str">
        <f>monster.xml!D93</f>
        <v>潮汐勇士</v>
      </c>
      <c r="E89">
        <f>monster.xml!G93</f>
        <v>0</v>
      </c>
      <c r="F89" t="str">
        <f>monster.xml!X93</f>
        <v>monster/10085.png</v>
      </c>
      <c r="G89">
        <f>monster.xml!Y93</f>
        <v>0</v>
      </c>
    </row>
    <row r="90" spans="1:7">
      <c r="A90">
        <f>monster.xml!A94</f>
        <v>89</v>
      </c>
      <c r="B90">
        <f>monster.xml!B94</f>
        <v>2001</v>
      </c>
      <c r="C90">
        <f>monster.xml!C94</f>
        <v>44</v>
      </c>
      <c r="D90" t="str">
        <f>monster.xml!D94</f>
        <v>潮汐复生者</v>
      </c>
      <c r="E90">
        <f>monster.xml!G94</f>
        <v>0</v>
      </c>
      <c r="F90" t="str">
        <f>monster.xml!X94</f>
        <v>monster/10086.png</v>
      </c>
      <c r="G90">
        <f>monster.xml!Y94</f>
        <v>0</v>
      </c>
    </row>
    <row r="91" spans="1:7">
      <c r="A91">
        <f>monster.xml!A95</f>
        <v>90</v>
      </c>
      <c r="B91">
        <f>monster.xml!B95</f>
        <v>2001</v>
      </c>
      <c r="C91">
        <f>monster.xml!C95</f>
        <v>45</v>
      </c>
      <c r="D91" t="str">
        <f>monster.xml!D95</f>
        <v>潮汐预言者</v>
      </c>
      <c r="E91">
        <f>monster.xml!G95</f>
        <v>0</v>
      </c>
      <c r="F91" t="str">
        <f>monster.xml!X95</f>
        <v>monster/10087.png</v>
      </c>
      <c r="G91">
        <f>monster.xml!Y95</f>
        <v>0</v>
      </c>
    </row>
    <row r="92" spans="1:7">
      <c r="A92">
        <f>monster.xml!A96</f>
        <v>91</v>
      </c>
      <c r="B92">
        <f>monster.xml!B96</f>
        <v>2001</v>
      </c>
      <c r="C92">
        <f>monster.xml!C96</f>
        <v>46</v>
      </c>
      <c r="D92" t="str">
        <f>monster.xml!D96</f>
        <v>潮汐祭祀</v>
      </c>
      <c r="E92">
        <f>monster.xml!G96</f>
        <v>0</v>
      </c>
      <c r="F92" t="str">
        <f>monster.xml!X96</f>
        <v>monster/10088.png</v>
      </c>
      <c r="G92">
        <f>monster.xml!Y96</f>
        <v>0</v>
      </c>
    </row>
    <row r="93" spans="1:7">
      <c r="A93">
        <f>monster.xml!A97</f>
        <v>92</v>
      </c>
      <c r="B93">
        <f>monster.xml!B97</f>
        <v>2001</v>
      </c>
      <c r="C93">
        <f>monster.xml!C97</f>
        <v>45</v>
      </c>
      <c r="D93" t="str">
        <f>monster.xml!D97</f>
        <v>魔法守卫</v>
      </c>
      <c r="E93">
        <f>monster.xml!G97</f>
        <v>0</v>
      </c>
      <c r="F93" t="str">
        <f>monster.xml!X97</f>
        <v>monster/10089.png</v>
      </c>
      <c r="G93">
        <f>monster.xml!Y97</f>
        <v>0</v>
      </c>
    </row>
    <row r="94" spans="1:7">
      <c r="A94">
        <f>monster.xml!A98</f>
        <v>93</v>
      </c>
      <c r="B94">
        <f>monster.xml!B98</f>
        <v>2001</v>
      </c>
      <c r="C94">
        <f>monster.xml!C98</f>
        <v>46</v>
      </c>
      <c r="D94" t="str">
        <f>monster.xml!D98</f>
        <v>钢铁护卫</v>
      </c>
      <c r="E94">
        <f>monster.xml!G98</f>
        <v>0</v>
      </c>
      <c r="F94" t="str">
        <f>monster.xml!X98</f>
        <v>monster/10090.png</v>
      </c>
      <c r="G94">
        <f>monster.xml!Y98</f>
        <v>0</v>
      </c>
    </row>
    <row r="95" spans="1:7">
      <c r="A95">
        <f>monster.xml!A99</f>
        <v>94</v>
      </c>
      <c r="B95">
        <f>monster.xml!B99</f>
        <v>2001</v>
      </c>
      <c r="C95">
        <f>monster.xml!C99</f>
        <v>47</v>
      </c>
      <c r="D95" t="str">
        <f>monster.xml!D99</f>
        <v>魔法漫步者</v>
      </c>
      <c r="E95">
        <f>monster.xml!G99</f>
        <v>0</v>
      </c>
      <c r="F95" t="str">
        <f>monster.xml!X99</f>
        <v>monster/10091.png</v>
      </c>
      <c r="G95">
        <f>monster.xml!Y99</f>
        <v>0</v>
      </c>
    </row>
    <row r="96" spans="1:7">
      <c r="A96">
        <f>monster.xml!A100</f>
        <v>95</v>
      </c>
      <c r="B96">
        <f>monster.xml!B100</f>
        <v>2001</v>
      </c>
      <c r="C96">
        <f>monster.xml!C100</f>
        <v>48</v>
      </c>
      <c r="D96" t="str">
        <f>monster.xml!D100</f>
        <v>星城占星师</v>
      </c>
      <c r="E96">
        <f>monster.xml!G100</f>
        <v>0</v>
      </c>
      <c r="F96" t="str">
        <f>monster.xml!X100</f>
        <v>monster/10092.png</v>
      </c>
      <c r="G96">
        <f>monster.xml!Y100</f>
        <v>0</v>
      </c>
    </row>
    <row r="97" spans="1:7">
      <c r="A97">
        <f>monster.xml!A101</f>
        <v>96</v>
      </c>
      <c r="B97">
        <f>monster.xml!B101</f>
        <v>2001</v>
      </c>
      <c r="C97">
        <f>monster.xml!C101</f>
        <v>47</v>
      </c>
      <c r="D97" t="str">
        <f>monster.xml!D101</f>
        <v>墓穴守卫</v>
      </c>
      <c r="E97">
        <f>monster.xml!G101</f>
        <v>0</v>
      </c>
      <c r="F97" t="str">
        <f>monster.xml!X101</f>
        <v>monster/10093.png</v>
      </c>
      <c r="G97">
        <f>monster.xml!Y101</f>
        <v>0</v>
      </c>
    </row>
    <row r="98" spans="1:7">
      <c r="A98">
        <f>monster.xml!A102</f>
        <v>97</v>
      </c>
      <c r="B98">
        <f>monster.xml!B102</f>
        <v>2001</v>
      </c>
      <c r="C98">
        <f>monster.xml!C102</f>
        <v>48</v>
      </c>
      <c r="D98" t="str">
        <f>monster.xml!D102</f>
        <v>盗墓者</v>
      </c>
      <c r="E98">
        <f>monster.xml!G102</f>
        <v>0</v>
      </c>
      <c r="F98" t="str">
        <f>monster.xml!X102</f>
        <v>monster/10094.png</v>
      </c>
      <c r="G98">
        <f>monster.xml!Y102</f>
        <v>0</v>
      </c>
    </row>
    <row r="99" spans="1:7">
      <c r="A99">
        <f>monster.xml!A103</f>
        <v>98</v>
      </c>
      <c r="B99">
        <f>monster.xml!B103</f>
        <v>2001</v>
      </c>
      <c r="C99">
        <f>monster.xml!C103</f>
        <v>49</v>
      </c>
      <c r="D99" t="str">
        <f>monster.xml!D103</f>
        <v>虚灵哨兵</v>
      </c>
      <c r="E99">
        <f>monster.xml!G103</f>
        <v>0</v>
      </c>
      <c r="F99" t="str">
        <f>monster.xml!X103</f>
        <v>monster/10095.png</v>
      </c>
      <c r="G99">
        <f>monster.xml!Y103</f>
        <v>0</v>
      </c>
    </row>
    <row r="100" spans="1:7">
      <c r="A100">
        <f>monster.xml!A104</f>
        <v>99</v>
      </c>
      <c r="B100">
        <f>monster.xml!B104</f>
        <v>2001</v>
      </c>
      <c r="C100">
        <f>monster.xml!C104</f>
        <v>50</v>
      </c>
      <c r="D100" t="str">
        <f>monster.xml!D104</f>
        <v>虚灵巫师</v>
      </c>
      <c r="E100">
        <f>monster.xml!G104</f>
        <v>0</v>
      </c>
      <c r="F100" t="str">
        <f>monster.xml!X104</f>
        <v>monster/10096.png</v>
      </c>
      <c r="G100">
        <f>monster.xml!Y104</f>
        <v>0</v>
      </c>
    </row>
    <row r="101" spans="1:7">
      <c r="A101">
        <f>monster.xml!A105</f>
        <v>100</v>
      </c>
      <c r="B101">
        <f>monster.xml!B105</f>
        <v>2001</v>
      </c>
      <c r="C101">
        <f>monster.xml!C105</f>
        <v>49</v>
      </c>
      <c r="D101" t="str">
        <f>monster.xml!D105</f>
        <v>十字献祭者</v>
      </c>
      <c r="E101">
        <f>monster.xml!G105</f>
        <v>0</v>
      </c>
      <c r="F101" t="str">
        <f>monster.xml!X105</f>
        <v>monster/10097.png</v>
      </c>
      <c r="G101">
        <f>monster.xml!Y105</f>
        <v>0</v>
      </c>
    </row>
    <row r="102" spans="1:7">
      <c r="A102">
        <f>monster.xml!A106</f>
        <v>101</v>
      </c>
      <c r="B102">
        <f>monster.xml!B106</f>
        <v>2001</v>
      </c>
      <c r="C102">
        <f>monster.xml!C106</f>
        <v>50</v>
      </c>
      <c r="D102" t="str">
        <f>monster.xml!D106</f>
        <v>献祭者之灵</v>
      </c>
      <c r="E102">
        <f>monster.xml!G106</f>
        <v>0</v>
      </c>
      <c r="F102" t="str">
        <f>monster.xml!X106</f>
        <v>monster/10098.png</v>
      </c>
      <c r="G102">
        <f>monster.xml!Y106</f>
        <v>0</v>
      </c>
    </row>
    <row r="103" spans="1:7">
      <c r="A103">
        <f>monster.xml!A107</f>
        <v>102</v>
      </c>
      <c r="B103">
        <f>monster.xml!B107</f>
        <v>2001</v>
      </c>
      <c r="C103">
        <f>monster.xml!C107</f>
        <v>51</v>
      </c>
      <c r="D103" t="str">
        <f>monster.xml!D107</f>
        <v>十字祭祀</v>
      </c>
      <c r="E103">
        <f>monster.xml!G107</f>
        <v>0</v>
      </c>
      <c r="F103" t="str">
        <f>monster.xml!X107</f>
        <v>monster/10099.png</v>
      </c>
      <c r="G103">
        <f>monster.xml!Y107</f>
        <v>0</v>
      </c>
    </row>
    <row r="104" spans="1:7">
      <c r="A104">
        <f>monster.xml!A108</f>
        <v>103</v>
      </c>
      <c r="B104">
        <f>monster.xml!B108</f>
        <v>2001</v>
      </c>
      <c r="C104">
        <f>monster.xml!C108</f>
        <v>52</v>
      </c>
      <c r="D104" t="str">
        <f>monster.xml!D108</f>
        <v>十字侩子手</v>
      </c>
      <c r="E104">
        <f>monster.xml!G108</f>
        <v>0</v>
      </c>
      <c r="F104" t="str">
        <f>monster.xml!X108</f>
        <v>monster/10100.png</v>
      </c>
      <c r="G104">
        <f>monster.xml!Y108</f>
        <v>0</v>
      </c>
    </row>
    <row r="105" spans="1:7">
      <c r="A105">
        <f>monster.xml!A109</f>
        <v>104</v>
      </c>
      <c r="B105">
        <f>monster.xml!B109</f>
        <v>2001</v>
      </c>
      <c r="C105">
        <f>monster.xml!C109</f>
        <v>51</v>
      </c>
      <c r="D105" t="str">
        <f>monster.xml!D109</f>
        <v>时光看守</v>
      </c>
      <c r="E105">
        <f>monster.xml!G109</f>
        <v>0</v>
      </c>
      <c r="F105" t="str">
        <f>monster.xml!X109</f>
        <v>monster/10101.png</v>
      </c>
      <c r="G105">
        <f>monster.xml!Y109</f>
        <v>0</v>
      </c>
    </row>
    <row r="106" spans="1:7">
      <c r="A106">
        <f>monster.xml!A110</f>
        <v>105</v>
      </c>
      <c r="B106">
        <f>monster.xml!B110</f>
        <v>2001</v>
      </c>
      <c r="C106">
        <f>monster.xml!C110</f>
        <v>52</v>
      </c>
      <c r="D106" t="str">
        <f>monster.xml!D110</f>
        <v>时光哨兵</v>
      </c>
      <c r="E106">
        <f>monster.xml!G110</f>
        <v>0</v>
      </c>
      <c r="F106" t="str">
        <f>monster.xml!X110</f>
        <v>monster/10102.png</v>
      </c>
      <c r="G106">
        <f>monster.xml!Y110</f>
        <v>0</v>
      </c>
    </row>
    <row r="107" spans="1:7">
      <c r="A107">
        <f>monster.xml!A111</f>
        <v>106</v>
      </c>
      <c r="B107">
        <f>monster.xml!B111</f>
        <v>2001</v>
      </c>
      <c r="C107">
        <f>monster.xml!C111</f>
        <v>53</v>
      </c>
      <c r="D107" t="str">
        <f>monster.xml!D111</f>
        <v>永恒刺客</v>
      </c>
      <c r="E107">
        <f>monster.xml!G111</f>
        <v>0</v>
      </c>
      <c r="F107" t="str">
        <f>monster.xml!X111</f>
        <v>monster/10103.png</v>
      </c>
      <c r="G107">
        <f>monster.xml!Y111</f>
        <v>0</v>
      </c>
    </row>
    <row r="108" spans="1:7">
      <c r="A108">
        <f>monster.xml!A112</f>
        <v>107</v>
      </c>
      <c r="B108">
        <f>monster.xml!B112</f>
        <v>2001</v>
      </c>
      <c r="C108">
        <f>monster.xml!C112</f>
        <v>54</v>
      </c>
      <c r="D108" t="str">
        <f>monster.xml!D112</f>
        <v>永恒探索者</v>
      </c>
      <c r="E108">
        <f>monster.xml!G112</f>
        <v>0</v>
      </c>
      <c r="F108" t="str">
        <f>monster.xml!X112</f>
        <v>monster/10104.png</v>
      </c>
      <c r="G108">
        <f>monster.xml!Y112</f>
        <v>0</v>
      </c>
    </row>
    <row r="109" spans="1:7">
      <c r="A109">
        <f>monster.xml!A113</f>
        <v>108</v>
      </c>
      <c r="B109">
        <f>monster.xml!B113</f>
        <v>2001</v>
      </c>
      <c r="C109">
        <f>monster.xml!C113</f>
        <v>53</v>
      </c>
      <c r="D109" t="str">
        <f>monster.xml!D113</f>
        <v>折月看守</v>
      </c>
      <c r="E109">
        <f>monster.xml!G113</f>
        <v>0</v>
      </c>
      <c r="F109" t="str">
        <f>monster.xml!X113</f>
        <v>monster/10105.png</v>
      </c>
      <c r="G109">
        <f>monster.xml!Y113</f>
        <v>0</v>
      </c>
    </row>
    <row r="110" spans="1:7">
      <c r="A110">
        <f>monster.xml!A114</f>
        <v>109</v>
      </c>
      <c r="B110">
        <f>monster.xml!B114</f>
        <v>2001</v>
      </c>
      <c r="C110">
        <f>monster.xml!C114</f>
        <v>54</v>
      </c>
      <c r="D110" t="str">
        <f>monster.xml!D114</f>
        <v>折月侍女</v>
      </c>
      <c r="E110">
        <f>monster.xml!G114</f>
        <v>0</v>
      </c>
      <c r="F110" t="str">
        <f>monster.xml!X114</f>
        <v>monster/10106.png</v>
      </c>
      <c r="G110">
        <f>monster.xml!Y114</f>
        <v>0</v>
      </c>
    </row>
    <row r="111" spans="1:7">
      <c r="A111">
        <f>monster.xml!A115</f>
        <v>110</v>
      </c>
      <c r="B111">
        <f>monster.xml!B115</f>
        <v>2001</v>
      </c>
      <c r="C111">
        <f>monster.xml!C115</f>
        <v>55</v>
      </c>
      <c r="D111" t="str">
        <f>monster.xml!D115</f>
        <v>折月预言者</v>
      </c>
      <c r="E111">
        <f>monster.xml!G115</f>
        <v>0</v>
      </c>
      <c r="F111" t="str">
        <f>monster.xml!X115</f>
        <v>monster/10107.png</v>
      </c>
      <c r="G111">
        <f>monster.xml!Y115</f>
        <v>0</v>
      </c>
    </row>
    <row r="112" spans="1:7">
      <c r="A112">
        <f>monster.xml!A116</f>
        <v>111</v>
      </c>
      <c r="B112">
        <f>monster.xml!B116</f>
        <v>2001</v>
      </c>
      <c r="C112">
        <f>monster.xml!C116</f>
        <v>56</v>
      </c>
      <c r="D112" t="str">
        <f>monster.xml!D116</f>
        <v>折月管家</v>
      </c>
      <c r="E112">
        <f>monster.xml!G116</f>
        <v>0</v>
      </c>
      <c r="F112" t="str">
        <f>monster.xml!X116</f>
        <v>monster/10108.png</v>
      </c>
      <c r="G112">
        <f>monster.xml!Y116</f>
        <v>0</v>
      </c>
    </row>
    <row r="113" spans="1:7">
      <c r="A113">
        <f>monster.xml!A117</f>
        <v>112</v>
      </c>
      <c r="B113">
        <f>monster.xml!B117</f>
        <v>2001</v>
      </c>
      <c r="C113">
        <f>monster.xml!C117</f>
        <v>55</v>
      </c>
      <c r="D113" t="str">
        <f>monster.xml!D117</f>
        <v>虚空旅者</v>
      </c>
      <c r="E113">
        <f>monster.xml!G117</f>
        <v>0</v>
      </c>
      <c r="F113" t="str">
        <f>monster.xml!X117</f>
        <v>monster/10109.png</v>
      </c>
      <c r="G113">
        <f>monster.xml!Y117</f>
        <v>0</v>
      </c>
    </row>
    <row r="114" spans="1:7">
      <c r="A114">
        <f>monster.xml!A118</f>
        <v>113</v>
      </c>
      <c r="B114">
        <f>monster.xml!B118</f>
        <v>2001</v>
      </c>
      <c r="C114">
        <f>monster.xml!C118</f>
        <v>56</v>
      </c>
      <c r="D114" t="str">
        <f>monster.xml!D118</f>
        <v>密教信徒</v>
      </c>
      <c r="E114">
        <f>monster.xml!G118</f>
        <v>0</v>
      </c>
      <c r="F114" t="str">
        <f>monster.xml!X118</f>
        <v>monster/10110.png</v>
      </c>
      <c r="G114">
        <f>monster.xml!Y118</f>
        <v>0</v>
      </c>
    </row>
    <row r="115" spans="1:7">
      <c r="A115">
        <f>monster.xml!A119</f>
        <v>114</v>
      </c>
      <c r="B115">
        <f>monster.xml!B119</f>
        <v>2001</v>
      </c>
      <c r="C115">
        <f>monster.xml!C119</f>
        <v>57</v>
      </c>
      <c r="D115" t="str">
        <f>monster.xml!D119</f>
        <v>密教誓死者</v>
      </c>
      <c r="E115">
        <f>monster.xml!G119</f>
        <v>0</v>
      </c>
      <c r="F115" t="str">
        <f>monster.xml!X119</f>
        <v>monster/10111.png</v>
      </c>
      <c r="G115">
        <f>monster.xml!Y119</f>
        <v>0</v>
      </c>
    </row>
    <row r="116" spans="1:7">
      <c r="A116">
        <f>monster.xml!A120</f>
        <v>115</v>
      </c>
      <c r="B116">
        <f>monster.xml!B120</f>
        <v>2001</v>
      </c>
      <c r="C116">
        <f>monster.xml!C120</f>
        <v>58</v>
      </c>
      <c r="D116" t="str">
        <f>monster.xml!D120</f>
        <v>密教祭司</v>
      </c>
      <c r="E116">
        <f>monster.xml!G120</f>
        <v>0</v>
      </c>
      <c r="F116" t="str">
        <f>monster.xml!X120</f>
        <v>monster/10110.png</v>
      </c>
      <c r="G116">
        <f>monster.xml!Y120</f>
        <v>0</v>
      </c>
    </row>
    <row r="117" spans="1:7">
      <c r="A117">
        <f>monster.xml!A121</f>
        <v>116</v>
      </c>
      <c r="B117">
        <f>monster.xml!B121</f>
        <v>2001</v>
      </c>
      <c r="C117">
        <f>monster.xml!C121</f>
        <v>57</v>
      </c>
      <c r="D117" t="str">
        <f>monster.xml!D121</f>
        <v>拾金人</v>
      </c>
      <c r="E117">
        <f>monster.xml!G121</f>
        <v>0</v>
      </c>
      <c r="F117" t="str">
        <f>monster.xml!X121</f>
        <v>monster/10109.png</v>
      </c>
      <c r="G117">
        <f>monster.xml!Y121</f>
        <v>0</v>
      </c>
    </row>
    <row r="118" spans="1:7">
      <c r="A118">
        <f>monster.xml!A122</f>
        <v>117</v>
      </c>
      <c r="B118">
        <f>monster.xml!B122</f>
        <v>2001</v>
      </c>
      <c r="C118">
        <f>monster.xml!C122</f>
        <v>58</v>
      </c>
      <c r="D118" t="str">
        <f>monster.xml!D122</f>
        <v>铸币师</v>
      </c>
      <c r="E118">
        <f>monster.xml!G122</f>
        <v>0</v>
      </c>
      <c r="F118" t="str">
        <f>monster.xml!X122</f>
        <v>monster/10108.png</v>
      </c>
      <c r="G118">
        <f>monster.xml!Y122</f>
        <v>0</v>
      </c>
    </row>
    <row r="119" spans="1:7">
      <c r="A119">
        <f>monster.xml!A123</f>
        <v>118</v>
      </c>
      <c r="B119">
        <f>monster.xml!B123</f>
        <v>2001</v>
      </c>
      <c r="C119">
        <f>monster.xml!C123</f>
        <v>59</v>
      </c>
      <c r="D119" t="str">
        <f>monster.xml!D123</f>
        <v>流金守卫</v>
      </c>
      <c r="E119">
        <f>monster.xml!G123</f>
        <v>0</v>
      </c>
      <c r="F119" t="str">
        <f>monster.xml!X123</f>
        <v>monster/10107.png</v>
      </c>
      <c r="G119">
        <f>monster.xml!Y123</f>
        <v>0</v>
      </c>
    </row>
    <row r="120" spans="1:7">
      <c r="A120">
        <f>monster.xml!A124</f>
        <v>119</v>
      </c>
      <c r="B120">
        <f>monster.xml!B124</f>
        <v>2001</v>
      </c>
      <c r="C120">
        <f>monster.xml!C124</f>
        <v>60</v>
      </c>
      <c r="D120" t="str">
        <f>monster.xml!D124</f>
        <v>流金近卫</v>
      </c>
      <c r="E120">
        <f>monster.xml!G124</f>
        <v>0</v>
      </c>
      <c r="F120" t="str">
        <f>monster.xml!X124</f>
        <v>monster/10106.png</v>
      </c>
      <c r="G120">
        <f>monster.xml!Y124</f>
        <v>0</v>
      </c>
    </row>
    <row r="121" spans="1:7">
      <c r="A121">
        <f>monster.xml!A125</f>
        <v>120</v>
      </c>
      <c r="B121">
        <f>monster.xml!B125</f>
        <v>2001</v>
      </c>
      <c r="C121">
        <f>monster.xml!C125</f>
        <v>59</v>
      </c>
      <c r="D121" t="str">
        <f>monster.xml!D125</f>
        <v>变异灵猴</v>
      </c>
      <c r="E121">
        <f>monster.xml!G125</f>
        <v>0</v>
      </c>
      <c r="F121" t="str">
        <f>monster.xml!X125</f>
        <v>monster/10105.png</v>
      </c>
      <c r="G121">
        <f>monster.xml!Y125</f>
        <v>0</v>
      </c>
    </row>
    <row r="122" spans="1:7">
      <c r="A122">
        <f>monster.xml!A126</f>
        <v>121</v>
      </c>
      <c r="B122">
        <f>monster.xml!B126</f>
        <v>2001</v>
      </c>
      <c r="C122">
        <f>monster.xml!C126</f>
        <v>60</v>
      </c>
      <c r="D122" t="str">
        <f>monster.xml!D126</f>
        <v>森林巨蜥</v>
      </c>
      <c r="E122">
        <f>monster.xml!G126</f>
        <v>0</v>
      </c>
      <c r="F122" t="str">
        <f>monster.xml!X126</f>
        <v>monster/10104.png</v>
      </c>
      <c r="G122">
        <f>monster.xml!Y126</f>
        <v>0</v>
      </c>
    </row>
    <row r="123" spans="1:7">
      <c r="A123">
        <f>monster.xml!A127</f>
        <v>122</v>
      </c>
      <c r="B123">
        <f>monster.xml!B127</f>
        <v>2001</v>
      </c>
      <c r="C123">
        <f>monster.xml!C127</f>
        <v>61</v>
      </c>
      <c r="D123" t="str">
        <f>monster.xml!D127</f>
        <v>塔姆捕食者</v>
      </c>
      <c r="E123">
        <f>monster.xml!G127</f>
        <v>0</v>
      </c>
      <c r="F123" t="str">
        <f>monster.xml!X127</f>
        <v>monster/10103.png</v>
      </c>
      <c r="G123">
        <f>monster.xml!Y127</f>
        <v>0</v>
      </c>
    </row>
    <row r="124" spans="1:7">
      <c r="A124">
        <f>monster.xml!A128</f>
        <v>123</v>
      </c>
      <c r="B124">
        <f>monster.xml!B128</f>
        <v>2001</v>
      </c>
      <c r="C124">
        <f>monster.xml!C128</f>
        <v>62</v>
      </c>
      <c r="D124" t="str">
        <f>monster.xml!D128</f>
        <v>塔姆斩杀者</v>
      </c>
      <c r="E124">
        <f>monster.xml!G128</f>
        <v>0</v>
      </c>
      <c r="F124" t="str">
        <f>monster.xml!X128</f>
        <v>monster/10102.png</v>
      </c>
      <c r="G124">
        <f>monster.xml!Y128</f>
        <v>0</v>
      </c>
    </row>
    <row r="125" spans="1:7">
      <c r="A125">
        <f>monster.xml!A129</f>
        <v>124</v>
      </c>
      <c r="B125">
        <f>monster.xml!B129</f>
        <v>2001</v>
      </c>
      <c r="C125">
        <f>monster.xml!C129</f>
        <v>61</v>
      </c>
      <c r="D125" t="str">
        <f>monster.xml!D129</f>
        <v>王陵清理者</v>
      </c>
      <c r="E125">
        <f>monster.xml!G129</f>
        <v>0</v>
      </c>
      <c r="F125" t="str">
        <f>monster.xml!X129</f>
        <v>monster/10101.png</v>
      </c>
      <c r="G125">
        <f>monster.xml!Y129</f>
        <v>0</v>
      </c>
    </row>
    <row r="126" spans="1:7">
      <c r="A126">
        <f>monster.xml!A130</f>
        <v>125</v>
      </c>
      <c r="B126">
        <f>monster.xml!B130</f>
        <v>2001</v>
      </c>
      <c r="C126">
        <f>monster.xml!C130</f>
        <v>62</v>
      </c>
      <c r="D126" t="str">
        <f>monster.xml!D130</f>
        <v>王陵守卫</v>
      </c>
      <c r="E126">
        <f>monster.xml!G130</f>
        <v>0</v>
      </c>
      <c r="F126" t="str">
        <f>monster.xml!X130</f>
        <v>monster/10100.png</v>
      </c>
      <c r="G126">
        <f>monster.xml!Y130</f>
        <v>0</v>
      </c>
    </row>
    <row r="127" spans="1:7">
      <c r="A127">
        <f>monster.xml!A131</f>
        <v>126</v>
      </c>
      <c r="B127">
        <f>monster.xml!B131</f>
        <v>2001</v>
      </c>
      <c r="C127">
        <f>monster.xml!C131</f>
        <v>63</v>
      </c>
      <c r="D127" t="str">
        <f>monster.xml!D131</f>
        <v>复生的守卫</v>
      </c>
      <c r="E127">
        <f>monster.xml!G131</f>
        <v>0</v>
      </c>
      <c r="F127" t="str">
        <f>monster.xml!X131</f>
        <v>monster/10099.png</v>
      </c>
      <c r="G127">
        <f>monster.xml!Y131</f>
        <v>0</v>
      </c>
    </row>
    <row r="128" spans="1:7">
      <c r="A128">
        <f>monster.xml!A132</f>
        <v>127</v>
      </c>
      <c r="B128">
        <f>monster.xml!B132</f>
        <v>2001</v>
      </c>
      <c r="C128">
        <f>monster.xml!C132</f>
        <v>64</v>
      </c>
      <c r="D128" t="str">
        <f>monster.xml!D132</f>
        <v>复生的贵族</v>
      </c>
      <c r="E128">
        <f>monster.xml!G132</f>
        <v>0</v>
      </c>
      <c r="F128" t="str">
        <f>monster.xml!X132</f>
        <v>monster/10098.png</v>
      </c>
      <c r="G128">
        <f>monster.xml!Y132</f>
        <v>0</v>
      </c>
    </row>
    <row r="129" spans="1:7">
      <c r="A129">
        <f>monster.xml!A133</f>
        <v>128</v>
      </c>
      <c r="B129">
        <f>monster.xml!B133</f>
        <v>2001</v>
      </c>
      <c r="C129">
        <f>monster.xml!C133</f>
        <v>63</v>
      </c>
      <c r="D129" t="str">
        <f>monster.xml!D133</f>
        <v>巨型鳄鱼</v>
      </c>
      <c r="E129">
        <f>monster.xml!G133</f>
        <v>0</v>
      </c>
      <c r="F129" t="str">
        <f>monster.xml!X133</f>
        <v>monster/10097.png</v>
      </c>
      <c r="G129">
        <f>monster.xml!Y133</f>
        <v>0</v>
      </c>
    </row>
    <row r="130" spans="1:7">
      <c r="A130">
        <f>monster.xml!A134</f>
        <v>129</v>
      </c>
      <c r="B130">
        <f>monster.xml!B134</f>
        <v>2001</v>
      </c>
      <c r="C130">
        <f>monster.xml!C134</f>
        <v>64</v>
      </c>
      <c r="D130" t="str">
        <f>monster.xml!D134</f>
        <v>丛林巨人</v>
      </c>
      <c r="E130">
        <f>monster.xml!G134</f>
        <v>0</v>
      </c>
      <c r="F130" t="str">
        <f>monster.xml!X134</f>
        <v>monster/10096.png</v>
      </c>
      <c r="G130">
        <f>monster.xml!Y134</f>
        <v>0</v>
      </c>
    </row>
    <row r="131" spans="1:7">
      <c r="A131">
        <f>monster.xml!A135</f>
        <v>130</v>
      </c>
      <c r="B131">
        <f>monster.xml!B135</f>
        <v>2001</v>
      </c>
      <c r="C131">
        <f>monster.xml!C135</f>
        <v>65</v>
      </c>
      <c r="D131" t="str">
        <f>monster.xml!D135</f>
        <v>丛林伐木者</v>
      </c>
      <c r="E131">
        <f>monster.xml!G135</f>
        <v>0</v>
      </c>
      <c r="F131" t="str">
        <f>monster.xml!X135</f>
        <v>monster/10095.png</v>
      </c>
      <c r="G131">
        <f>monster.xml!Y135</f>
        <v>0</v>
      </c>
    </row>
    <row r="132" spans="1:7">
      <c r="A132">
        <f>monster.xml!A136</f>
        <v>131</v>
      </c>
      <c r="B132">
        <f>monster.xml!B136</f>
        <v>2001</v>
      </c>
      <c r="C132">
        <f>monster.xml!C136</f>
        <v>66</v>
      </c>
      <c r="D132" t="str">
        <f>monster.xml!D136</f>
        <v>风投公司监工</v>
      </c>
      <c r="E132">
        <f>monster.xml!G136</f>
        <v>0</v>
      </c>
      <c r="F132" t="str">
        <f>monster.xml!X136</f>
        <v>monster/10094.png</v>
      </c>
      <c r="G132">
        <f>monster.xml!Y136</f>
        <v>0</v>
      </c>
    </row>
    <row r="133" spans="1:7">
      <c r="A133">
        <f>monster.xml!A137</f>
        <v>132</v>
      </c>
      <c r="B133">
        <f>monster.xml!B137</f>
        <v>2001</v>
      </c>
      <c r="C133">
        <f>monster.xml!C137</f>
        <v>65</v>
      </c>
      <c r="D133" t="str">
        <f>monster.xml!D137</f>
        <v>红魔狱卒</v>
      </c>
      <c r="E133">
        <f>monster.xml!G137</f>
        <v>0</v>
      </c>
      <c r="F133" t="str">
        <f>monster.xml!X137</f>
        <v>monster/10093.png</v>
      </c>
      <c r="G133">
        <f>monster.xml!Y137</f>
        <v>0</v>
      </c>
    </row>
    <row r="134" spans="1:7">
      <c r="A134">
        <f>monster.xml!A138</f>
        <v>133</v>
      </c>
      <c r="B134">
        <f>monster.xml!B138</f>
        <v>2001</v>
      </c>
      <c r="C134">
        <f>monster.xml!C138</f>
        <v>66</v>
      </c>
      <c r="D134" t="str">
        <f>monster.xml!D138</f>
        <v>红魔囚徒</v>
      </c>
      <c r="E134">
        <f>monster.xml!G138</f>
        <v>0</v>
      </c>
      <c r="F134" t="str">
        <f>monster.xml!X138</f>
        <v>monster/10092.png</v>
      </c>
      <c r="G134">
        <f>monster.xml!Y138</f>
        <v>0</v>
      </c>
    </row>
    <row r="135" spans="1:7">
      <c r="A135">
        <f>monster.xml!A139</f>
        <v>134</v>
      </c>
      <c r="B135">
        <f>monster.xml!B139</f>
        <v>2001</v>
      </c>
      <c r="C135">
        <f>monster.xml!C139</f>
        <v>67</v>
      </c>
      <c r="D135" t="str">
        <f>monster.xml!D139</f>
        <v>红魔守卫</v>
      </c>
      <c r="E135">
        <f>monster.xml!G139</f>
        <v>0</v>
      </c>
      <c r="F135" t="str">
        <f>monster.xml!X139</f>
        <v>monster/10091.png</v>
      </c>
      <c r="G135">
        <f>monster.xml!Y139</f>
        <v>0</v>
      </c>
    </row>
    <row r="136" spans="1:7">
      <c r="A136">
        <f>monster.xml!A140</f>
        <v>135</v>
      </c>
      <c r="B136">
        <f>monster.xml!B140</f>
        <v>2001</v>
      </c>
      <c r="C136">
        <f>monster.xml!C140</f>
        <v>68</v>
      </c>
      <c r="D136" t="str">
        <f>monster.xml!D140</f>
        <v>红魔破法者</v>
      </c>
      <c r="E136">
        <f>monster.xml!G140</f>
        <v>0</v>
      </c>
      <c r="F136" t="str">
        <f>monster.xml!X140</f>
        <v>monster/10090.png</v>
      </c>
      <c r="G136">
        <f>monster.xml!Y140</f>
        <v>0</v>
      </c>
    </row>
    <row r="137" spans="1:7">
      <c r="A137">
        <f>monster.xml!A141</f>
        <v>136</v>
      </c>
      <c r="B137">
        <f>monster.xml!B141</f>
        <v>2001</v>
      </c>
      <c r="C137">
        <f>monster.xml!C141</f>
        <v>67</v>
      </c>
      <c r="D137" t="str">
        <f>monster.xml!D141</f>
        <v>金砂堡哨兵</v>
      </c>
      <c r="E137">
        <f>monster.xml!G141</f>
        <v>0</v>
      </c>
      <c r="F137" t="str">
        <f>monster.xml!X141</f>
        <v>monster/10089.png</v>
      </c>
      <c r="G137">
        <f>monster.xml!Y141</f>
        <v>0</v>
      </c>
    </row>
    <row r="138" spans="1:7">
      <c r="A138">
        <f>monster.xml!A142</f>
        <v>137</v>
      </c>
      <c r="B138">
        <f>monster.xml!B142</f>
        <v>2001</v>
      </c>
      <c r="C138">
        <f>monster.xml!C142</f>
        <v>68</v>
      </c>
      <c r="D138" t="str">
        <f>monster.xml!D142</f>
        <v>金砂堡刺客</v>
      </c>
      <c r="E138">
        <f>monster.xml!G142</f>
        <v>0</v>
      </c>
      <c r="F138" t="str">
        <f>monster.xml!X142</f>
        <v>monster/10088.png</v>
      </c>
      <c r="G138">
        <f>monster.xml!Y142</f>
        <v>0</v>
      </c>
    </row>
    <row r="139" spans="1:7">
      <c r="A139">
        <f>monster.xml!A143</f>
        <v>138</v>
      </c>
      <c r="B139">
        <f>monster.xml!B143</f>
        <v>2001</v>
      </c>
      <c r="C139">
        <f>monster.xml!C143</f>
        <v>69</v>
      </c>
      <c r="D139" t="str">
        <f>monster.xml!D143</f>
        <v>金砂堡守卫</v>
      </c>
      <c r="E139">
        <f>monster.xml!G143</f>
        <v>0</v>
      </c>
      <c r="F139" t="str">
        <f>monster.xml!X143</f>
        <v>monster/10087.png</v>
      </c>
      <c r="G139">
        <f>monster.xml!Y143</f>
        <v>0</v>
      </c>
    </row>
    <row r="140" spans="1:7">
      <c r="A140">
        <f>monster.xml!A144</f>
        <v>139</v>
      </c>
      <c r="B140">
        <f>monster.xml!B144</f>
        <v>2001</v>
      </c>
      <c r="C140">
        <f>monster.xml!C144</f>
        <v>70</v>
      </c>
      <c r="D140" t="str">
        <f>monster.xml!D144</f>
        <v>金砂堡总管</v>
      </c>
      <c r="E140">
        <f>monster.xml!G144</f>
        <v>0</v>
      </c>
      <c r="F140" t="str">
        <f>monster.xml!X144</f>
        <v>monster/10086.png</v>
      </c>
      <c r="G140">
        <f>monster.xml!Y144</f>
        <v>0</v>
      </c>
    </row>
    <row r="141" spans="1:7">
      <c r="A141">
        <f>monster.xml!A145</f>
        <v>140</v>
      </c>
      <c r="B141">
        <f>monster.xml!B145</f>
        <v>2001</v>
      </c>
      <c r="C141">
        <f>monster.xml!C145</f>
        <v>69</v>
      </c>
      <c r="D141" t="str">
        <f>monster.xml!D145</f>
        <v>法力浮龙</v>
      </c>
      <c r="E141">
        <f>monster.xml!G145</f>
        <v>0</v>
      </c>
      <c r="F141" t="str">
        <f>monster.xml!X145</f>
        <v>monster/10085.png</v>
      </c>
      <c r="G141">
        <f>monster.xml!Y145</f>
        <v>0</v>
      </c>
    </row>
    <row r="142" spans="1:7">
      <c r="A142">
        <f>monster.xml!A146</f>
        <v>141</v>
      </c>
      <c r="B142">
        <f>monster.xml!B146</f>
        <v>2001</v>
      </c>
      <c r="C142">
        <f>monster.xml!C146</f>
        <v>70</v>
      </c>
      <c r="D142" t="str">
        <f>monster.xml!D146</f>
        <v>达雅守护者</v>
      </c>
      <c r="E142">
        <f>monster.xml!G146</f>
        <v>0</v>
      </c>
      <c r="F142" t="str">
        <f>monster.xml!X146</f>
        <v>monster/10084.png</v>
      </c>
      <c r="G142">
        <f>monster.xml!Y146</f>
        <v>0</v>
      </c>
    </row>
    <row r="143" spans="1:7">
      <c r="A143">
        <f>monster.xml!A147</f>
        <v>142</v>
      </c>
      <c r="B143">
        <f>monster.xml!B147</f>
        <v>2001</v>
      </c>
      <c r="C143">
        <f>monster.xml!C147</f>
        <v>71</v>
      </c>
      <c r="D143" t="str">
        <f>monster.xml!D147</f>
        <v>达雅骑士</v>
      </c>
      <c r="E143">
        <f>monster.xml!G147</f>
        <v>0</v>
      </c>
      <c r="F143" t="str">
        <f>monster.xml!X147</f>
        <v>monster/10111.png</v>
      </c>
      <c r="G143">
        <f>monster.xml!Y147</f>
        <v>0</v>
      </c>
    </row>
    <row r="144" spans="1:7">
      <c r="A144">
        <f>monster.xml!A148</f>
        <v>143</v>
      </c>
      <c r="B144">
        <f>monster.xml!B148</f>
        <v>2001</v>
      </c>
      <c r="C144">
        <f>monster.xml!C148</f>
        <v>72</v>
      </c>
      <c r="D144" t="str">
        <f>monster.xml!D148</f>
        <v>达雅魔导师</v>
      </c>
      <c r="E144">
        <f>monster.xml!G148</f>
        <v>0</v>
      </c>
      <c r="F144" t="str">
        <f>monster.xml!X148</f>
        <v>monster/10112.png</v>
      </c>
      <c r="G144">
        <f>monster.xml!Y148</f>
        <v>0</v>
      </c>
    </row>
    <row r="145" spans="1:7">
      <c r="A145">
        <f>monster.xml!A149</f>
        <v>144</v>
      </c>
      <c r="B145">
        <f>monster.xml!B149</f>
        <v>2001</v>
      </c>
      <c r="C145">
        <f>monster.xml!C149</f>
        <v>71</v>
      </c>
      <c r="D145" t="str">
        <f>monster.xml!D149</f>
        <v>红谷恶灵</v>
      </c>
      <c r="E145">
        <f>monster.xml!G149</f>
        <v>0</v>
      </c>
      <c r="F145" t="str">
        <f>monster.xml!X149</f>
        <v>monster/10113.png</v>
      </c>
      <c r="G145">
        <f>monster.xml!Y149</f>
        <v>0</v>
      </c>
    </row>
    <row r="146" spans="1:7">
      <c r="A146">
        <f>monster.xml!A150</f>
        <v>145</v>
      </c>
      <c r="B146">
        <f>monster.xml!B150</f>
        <v>2001</v>
      </c>
      <c r="C146">
        <f>monster.xml!C150</f>
        <v>72</v>
      </c>
      <c r="D146" t="str">
        <f>monster.xml!D150</f>
        <v>红谷鲜血傀儡</v>
      </c>
      <c r="E146">
        <f>monster.xml!G150</f>
        <v>0</v>
      </c>
      <c r="F146" t="str">
        <f>monster.xml!X150</f>
        <v>monster/10114.png</v>
      </c>
      <c r="G146">
        <f>monster.xml!Y150</f>
        <v>0</v>
      </c>
    </row>
    <row r="147" spans="1:7">
      <c r="A147">
        <f>monster.xml!A151</f>
        <v>146</v>
      </c>
      <c r="B147">
        <f>monster.xml!B151</f>
        <v>2001</v>
      </c>
      <c r="C147">
        <f>monster.xml!C151</f>
        <v>73</v>
      </c>
      <c r="D147" t="str">
        <f>monster.xml!D151</f>
        <v>红谷侩子手</v>
      </c>
      <c r="E147">
        <f>monster.xml!G151</f>
        <v>0</v>
      </c>
      <c r="F147" t="str">
        <f>monster.xml!X151</f>
        <v>monster/10115.png</v>
      </c>
      <c r="G147">
        <f>monster.xml!Y151</f>
        <v>0</v>
      </c>
    </row>
    <row r="148" spans="1:7">
      <c r="A148">
        <f>monster.xml!A152</f>
        <v>147</v>
      </c>
      <c r="B148">
        <f>monster.xml!B152</f>
        <v>2001</v>
      </c>
      <c r="C148">
        <f>monster.xml!C152</f>
        <v>74</v>
      </c>
      <c r="D148" t="str">
        <f>monster.xml!D152</f>
        <v>红谷斩杀者</v>
      </c>
      <c r="E148">
        <f>monster.xml!G152</f>
        <v>0</v>
      </c>
      <c r="F148" t="str">
        <f>monster.xml!X152</f>
        <v>monster/10116.png</v>
      </c>
      <c r="G148">
        <f>monster.xml!Y152</f>
        <v>0</v>
      </c>
    </row>
    <row r="149" spans="1:7">
      <c r="A149">
        <f>monster.xml!A153</f>
        <v>148</v>
      </c>
      <c r="B149">
        <f>monster.xml!B153</f>
        <v>2001</v>
      </c>
      <c r="C149">
        <f>monster.xml!C153</f>
        <v>73</v>
      </c>
      <c r="D149" t="str">
        <f>monster.xml!D153</f>
        <v>骷髅守卫</v>
      </c>
      <c r="E149">
        <f>monster.xml!G153</f>
        <v>0</v>
      </c>
      <c r="F149" t="str">
        <f>monster.xml!X153</f>
        <v>monster/10117.png</v>
      </c>
      <c r="G149">
        <f>monster.xml!Y153</f>
        <v>0</v>
      </c>
    </row>
    <row r="150" spans="1:7">
      <c r="A150">
        <f>monster.xml!A154</f>
        <v>149</v>
      </c>
      <c r="B150">
        <f>monster.xml!B154</f>
        <v>2001</v>
      </c>
      <c r="C150">
        <f>monster.xml!C154</f>
        <v>74</v>
      </c>
      <c r="D150" t="str">
        <f>monster.xml!D154</f>
        <v>骷髅盾兵</v>
      </c>
      <c r="E150">
        <f>monster.xml!G154</f>
        <v>0</v>
      </c>
      <c r="F150" t="str">
        <f>monster.xml!X154</f>
        <v>monster/10118.png</v>
      </c>
      <c r="G150">
        <f>monster.xml!Y154</f>
        <v>0</v>
      </c>
    </row>
    <row r="151" spans="1:7">
      <c r="A151">
        <f>monster.xml!A155</f>
        <v>150</v>
      </c>
      <c r="B151">
        <f>monster.xml!B155</f>
        <v>2001</v>
      </c>
      <c r="C151">
        <f>monster.xml!C155</f>
        <v>75</v>
      </c>
      <c r="D151" t="str">
        <f>monster.xml!D155</f>
        <v>地穴勇士</v>
      </c>
      <c r="E151">
        <f>monster.xml!G155</f>
        <v>0</v>
      </c>
      <c r="F151" t="str">
        <f>monster.xml!X155</f>
        <v>monster/10119.png</v>
      </c>
      <c r="G151">
        <f>monster.xml!Y155</f>
        <v>0</v>
      </c>
    </row>
    <row r="152" spans="1:7">
      <c r="A152">
        <f>monster.xml!A156</f>
        <v>151</v>
      </c>
      <c r="B152">
        <f>monster.xml!B156</f>
        <v>2001</v>
      </c>
      <c r="C152">
        <f>monster.xml!C156</f>
        <v>76</v>
      </c>
      <c r="D152" t="str">
        <f>monster.xml!D156</f>
        <v>地穴通灵师</v>
      </c>
      <c r="E152">
        <f>monster.xml!G156</f>
        <v>0</v>
      </c>
      <c r="F152" t="str">
        <f>monster.xml!X156</f>
        <v>monster/10120.png</v>
      </c>
      <c r="G152">
        <f>monster.xml!Y156</f>
        <v>0</v>
      </c>
    </row>
    <row r="153" spans="1:7">
      <c r="A153">
        <f>monster.xml!A157</f>
        <v>152</v>
      </c>
      <c r="B153">
        <f>monster.xml!B157</f>
        <v>2001</v>
      </c>
      <c r="C153">
        <f>monster.xml!C157</f>
        <v>75</v>
      </c>
      <c r="D153" t="str">
        <f>monster.xml!D157</f>
        <v>流云守卫</v>
      </c>
      <c r="E153">
        <f>monster.xml!G157</f>
        <v>0</v>
      </c>
      <c r="F153" t="str">
        <f>monster.xml!X157</f>
        <v>monster/10121.png</v>
      </c>
      <c r="G153">
        <f>monster.xml!Y157</f>
        <v>0</v>
      </c>
    </row>
    <row r="154" spans="1:7">
      <c r="A154">
        <f>monster.xml!A158</f>
        <v>153</v>
      </c>
      <c r="B154">
        <f>monster.xml!B158</f>
        <v>2001</v>
      </c>
      <c r="C154">
        <f>monster.xml!C158</f>
        <v>76</v>
      </c>
      <c r="D154" t="str">
        <f>monster.xml!D158</f>
        <v>流云哨兵</v>
      </c>
      <c r="E154">
        <f>monster.xml!G158</f>
        <v>0</v>
      </c>
      <c r="F154" t="str">
        <f>monster.xml!X158</f>
        <v>monster/10122.png</v>
      </c>
      <c r="G154">
        <f>monster.xml!Y158</f>
        <v>0</v>
      </c>
    </row>
    <row r="155" spans="1:7">
      <c r="A155">
        <f>monster.xml!A159</f>
        <v>154</v>
      </c>
      <c r="B155">
        <f>monster.xml!B159</f>
        <v>2001</v>
      </c>
      <c r="C155">
        <f>monster.xml!C159</f>
        <v>77</v>
      </c>
      <c r="D155" t="str">
        <f>monster.xml!D159</f>
        <v>流云看守者</v>
      </c>
      <c r="E155">
        <f>monster.xml!G159</f>
        <v>0</v>
      </c>
      <c r="F155" t="str">
        <f>monster.xml!X159</f>
        <v>monster/10123.png</v>
      </c>
      <c r="G155">
        <f>monster.xml!Y159</f>
        <v>0</v>
      </c>
    </row>
    <row r="156" spans="1:7">
      <c r="A156">
        <f>monster.xml!A160</f>
        <v>155</v>
      </c>
      <c r="B156">
        <f>monster.xml!B160</f>
        <v>2001</v>
      </c>
      <c r="C156">
        <f>monster.xml!C160</f>
        <v>78</v>
      </c>
      <c r="D156" t="str">
        <f>monster.xml!D160</f>
        <v>流云通灵师</v>
      </c>
      <c r="E156">
        <f>monster.xml!G160</f>
        <v>0</v>
      </c>
      <c r="F156" t="str">
        <f>monster.xml!X160</f>
        <v>monster/10124.png</v>
      </c>
      <c r="G156">
        <f>monster.xml!Y160</f>
        <v>0</v>
      </c>
    </row>
    <row r="157" spans="1:7">
      <c r="A157">
        <f>monster.xml!A161</f>
        <v>156</v>
      </c>
      <c r="B157">
        <f>monster.xml!B161</f>
        <v>2001</v>
      </c>
      <c r="C157">
        <f>monster.xml!C161</f>
        <v>77</v>
      </c>
      <c r="D157" t="str">
        <f>monster.xml!D161</f>
        <v>饮光朝圣者</v>
      </c>
      <c r="E157">
        <f>monster.xml!G161</f>
        <v>0</v>
      </c>
      <c r="F157" t="str">
        <f>monster.xml!X161</f>
        <v>monster/10125.png</v>
      </c>
      <c r="G157">
        <f>monster.xml!Y161</f>
        <v>0</v>
      </c>
    </row>
    <row r="158" spans="1:7">
      <c r="A158">
        <f>monster.xml!A162</f>
        <v>157</v>
      </c>
      <c r="B158">
        <f>monster.xml!B162</f>
        <v>2001</v>
      </c>
      <c r="C158">
        <f>monster.xml!C162</f>
        <v>78</v>
      </c>
      <c r="D158" t="str">
        <f>monster.xml!D162</f>
        <v>饮光祭祀</v>
      </c>
      <c r="E158">
        <f>monster.xml!G162</f>
        <v>0</v>
      </c>
      <c r="F158" t="str">
        <f>monster.xml!X162</f>
        <v>monster/10126.png</v>
      </c>
      <c r="G158">
        <f>monster.xml!Y162</f>
        <v>0</v>
      </c>
    </row>
    <row r="159" spans="1:7">
      <c r="A159">
        <f>monster.xml!A163</f>
        <v>158</v>
      </c>
      <c r="B159">
        <f>monster.xml!B163</f>
        <v>2001</v>
      </c>
      <c r="C159">
        <f>monster.xml!C163</f>
        <v>79</v>
      </c>
      <c r="D159" t="str">
        <f>monster.xml!D163</f>
        <v>悬崖巨猿</v>
      </c>
      <c r="E159">
        <f>monster.xml!G163</f>
        <v>0</v>
      </c>
      <c r="F159" t="str">
        <f>monster.xml!X163</f>
        <v>monster/10127.png</v>
      </c>
      <c r="G159">
        <f>monster.xml!Y163</f>
        <v>0</v>
      </c>
    </row>
    <row r="160" spans="1:7">
      <c r="A160">
        <f>monster.xml!A164</f>
        <v>159</v>
      </c>
      <c r="B160">
        <f>monster.xml!B164</f>
        <v>2001</v>
      </c>
      <c r="C160">
        <f>monster.xml!C164</f>
        <v>80</v>
      </c>
      <c r="D160" t="str">
        <f>monster.xml!D164</f>
        <v>峭壁爬行者</v>
      </c>
      <c r="E160">
        <f>monster.xml!G164</f>
        <v>0</v>
      </c>
      <c r="F160" t="str">
        <f>monster.xml!X164</f>
        <v>monster/10128.png</v>
      </c>
      <c r="G160">
        <f>monster.xml!Y164</f>
        <v>0</v>
      </c>
    </row>
    <row r="161" spans="1:7">
      <c r="A161">
        <f>monster.xml!A165</f>
        <v>160</v>
      </c>
      <c r="B161">
        <f>monster.xml!B165</f>
        <v>2001</v>
      </c>
      <c r="C161">
        <f>monster.xml!C165</f>
        <v>79</v>
      </c>
      <c r="D161" t="str">
        <f>monster.xml!D165</f>
        <v>灾祸守卫</v>
      </c>
      <c r="E161">
        <f>monster.xml!G165</f>
        <v>0</v>
      </c>
      <c r="F161" t="str">
        <f>monster.xml!X165</f>
        <v>monster/10129.png</v>
      </c>
      <c r="G161">
        <f>monster.xml!Y165</f>
        <v>0</v>
      </c>
    </row>
    <row r="162" spans="1:7">
      <c r="A162">
        <f>monster.xml!A166</f>
        <v>161</v>
      </c>
      <c r="B162">
        <f>monster.xml!B166</f>
        <v>2001</v>
      </c>
      <c r="C162">
        <f>monster.xml!C166</f>
        <v>80</v>
      </c>
      <c r="D162" t="str">
        <f>monster.xml!D166</f>
        <v>灾祸斥候</v>
      </c>
      <c r="E162">
        <f>monster.xml!G166</f>
        <v>0</v>
      </c>
      <c r="F162" t="str">
        <f>monster.xml!X166</f>
        <v>monster/10054.png</v>
      </c>
      <c r="G162">
        <f>monster.xml!Y166</f>
        <v>0</v>
      </c>
    </row>
    <row r="163" spans="1:7">
      <c r="A163">
        <f>monster.xml!A167</f>
        <v>162</v>
      </c>
      <c r="B163">
        <f>monster.xml!B167</f>
        <v>2001</v>
      </c>
      <c r="C163">
        <f>monster.xml!C167</f>
        <v>81</v>
      </c>
      <c r="D163" t="str">
        <f>monster.xml!D167</f>
        <v>灾祸法师</v>
      </c>
      <c r="E163">
        <f>monster.xml!G167</f>
        <v>0</v>
      </c>
      <c r="F163" t="str">
        <f>monster.xml!X167</f>
        <v>monster/10057.png</v>
      </c>
      <c r="G163">
        <f>monster.xml!Y167</f>
        <v>0</v>
      </c>
    </row>
    <row r="164" spans="1:7">
      <c r="A164">
        <f>monster.xml!A168</f>
        <v>163</v>
      </c>
      <c r="B164">
        <f>monster.xml!B168</f>
        <v>2001</v>
      </c>
      <c r="C164">
        <f>monster.xml!C168</f>
        <v>82</v>
      </c>
      <c r="D164" t="str">
        <f>monster.xml!D168</f>
        <v>灵魂献祭者</v>
      </c>
      <c r="E164">
        <f>monster.xml!G168</f>
        <v>0</v>
      </c>
      <c r="F164" t="str">
        <f>monster.xml!X168</f>
        <v>monster/10060.png</v>
      </c>
      <c r="G164">
        <f>monster.xml!Y168</f>
        <v>0</v>
      </c>
    </row>
    <row r="165" spans="1:7">
      <c r="A165">
        <f>monster.xml!A169</f>
        <v>164</v>
      </c>
      <c r="B165">
        <f>monster.xml!B169</f>
        <v>2001</v>
      </c>
      <c r="C165">
        <f>monster.xml!C169</f>
        <v>81</v>
      </c>
      <c r="D165" t="str">
        <f>monster.xml!D169</f>
        <v>遗迹巨蟒</v>
      </c>
      <c r="E165">
        <f>monster.xml!G169</f>
        <v>0</v>
      </c>
      <c r="F165" t="str">
        <f>monster.xml!X169</f>
        <v>monster/10063.png</v>
      </c>
      <c r="G165">
        <f>monster.xml!Y169</f>
        <v>0</v>
      </c>
    </row>
    <row r="166" spans="1:7">
      <c r="A166">
        <f>monster.xml!A170</f>
        <v>165</v>
      </c>
      <c r="B166">
        <f>monster.xml!B170</f>
        <v>2001</v>
      </c>
      <c r="C166">
        <f>monster.xml!C170</f>
        <v>82</v>
      </c>
      <c r="D166" t="str">
        <f>monster.xml!D170</f>
        <v>遗迹犀牛</v>
      </c>
      <c r="E166">
        <f>monster.xml!G170</f>
        <v>0</v>
      </c>
      <c r="F166" t="str">
        <f>monster.xml!X170</f>
        <v>monster/10066.png</v>
      </c>
      <c r="G166">
        <f>monster.xml!Y170</f>
        <v>0</v>
      </c>
    </row>
    <row r="167" spans="1:7">
      <c r="A167">
        <f>monster.xml!A171</f>
        <v>166</v>
      </c>
      <c r="B167">
        <f>monster.xml!B171</f>
        <v>2001</v>
      </c>
      <c r="C167">
        <f>monster.xml!C171</f>
        <v>83</v>
      </c>
      <c r="D167" t="str">
        <f>monster.xml!D171</f>
        <v>努玛入侵者</v>
      </c>
      <c r="E167">
        <f>monster.xml!G171</f>
        <v>0</v>
      </c>
      <c r="F167" t="str">
        <f>monster.xml!X171</f>
        <v>monster/10069.png</v>
      </c>
      <c r="G167">
        <f>monster.xml!Y171</f>
        <v>0</v>
      </c>
    </row>
    <row r="168" spans="1:7">
      <c r="A168">
        <f>monster.xml!A172</f>
        <v>167</v>
      </c>
      <c r="B168">
        <f>monster.xml!B172</f>
        <v>2001</v>
      </c>
      <c r="C168">
        <f>monster.xml!C172</f>
        <v>84</v>
      </c>
      <c r="D168" t="str">
        <f>monster.xml!D172</f>
        <v>努玛先锋</v>
      </c>
      <c r="E168">
        <f>monster.xml!G172</f>
        <v>0</v>
      </c>
      <c r="F168" t="str">
        <f>monster.xml!X172</f>
        <v>monster/10072.png</v>
      </c>
      <c r="G168">
        <f>monster.xml!Y172</f>
        <v>0</v>
      </c>
    </row>
    <row r="169" spans="1:7">
      <c r="A169">
        <f>monster.xml!A173</f>
        <v>168</v>
      </c>
      <c r="B169">
        <f>monster.xml!B173</f>
        <v>2001</v>
      </c>
      <c r="C169">
        <f>monster.xml!C173</f>
        <v>83</v>
      </c>
      <c r="D169" t="str">
        <f>monster.xml!D173</f>
        <v>游荡的幽灵</v>
      </c>
      <c r="E169">
        <f>monster.xml!G173</f>
        <v>0</v>
      </c>
      <c r="F169" t="str">
        <f>monster.xml!X173</f>
        <v>monster/10075.png</v>
      </c>
      <c r="G169">
        <f>monster.xml!Y173</f>
        <v>0</v>
      </c>
    </row>
    <row r="170" spans="1:7">
      <c r="A170">
        <f>monster.xml!A174</f>
        <v>169</v>
      </c>
      <c r="B170">
        <f>monster.xml!B174</f>
        <v>2001</v>
      </c>
      <c r="C170">
        <f>monster.xml!C174</f>
        <v>84</v>
      </c>
      <c r="D170" t="str">
        <f>monster.xml!D174</f>
        <v>暴怒的幽灵</v>
      </c>
      <c r="E170">
        <f>monster.xml!G174</f>
        <v>0</v>
      </c>
      <c r="F170" t="str">
        <f>monster.xml!X174</f>
        <v>monster/10078.png</v>
      </c>
      <c r="G170">
        <f>monster.xml!Y174</f>
        <v>0</v>
      </c>
    </row>
    <row r="171" spans="1:7">
      <c r="A171">
        <f>monster.xml!A175</f>
        <v>170</v>
      </c>
      <c r="B171">
        <f>monster.xml!B175</f>
        <v>2001</v>
      </c>
      <c r="C171">
        <f>monster.xml!C175</f>
        <v>85</v>
      </c>
      <c r="D171" t="str">
        <f>monster.xml!D175</f>
        <v>迷茫的幽灵</v>
      </c>
      <c r="E171">
        <f>monster.xml!G175</f>
        <v>0</v>
      </c>
      <c r="F171" t="str">
        <f>monster.xml!X175</f>
        <v>monster/10121.png</v>
      </c>
      <c r="G171">
        <f>monster.xml!Y175</f>
        <v>0</v>
      </c>
    </row>
    <row r="172" spans="1:7">
      <c r="A172">
        <f>monster.xml!A176</f>
        <v>171</v>
      </c>
      <c r="B172">
        <f>monster.xml!B176</f>
        <v>2001</v>
      </c>
      <c r="C172">
        <f>monster.xml!C176</f>
        <v>86</v>
      </c>
      <c r="D172" t="str">
        <f>monster.xml!D176</f>
        <v>幽灵守卫</v>
      </c>
      <c r="E172">
        <f>monster.xml!G176</f>
        <v>0</v>
      </c>
      <c r="F172" t="str">
        <f>monster.xml!X176</f>
        <v>monster/10120.png</v>
      </c>
      <c r="G172">
        <f>monster.xml!Y176</f>
        <v>0</v>
      </c>
    </row>
    <row r="173" spans="1:7">
      <c r="A173">
        <f>monster.xml!A177</f>
        <v>172</v>
      </c>
      <c r="B173">
        <f>monster.xml!B177</f>
        <v>2001</v>
      </c>
      <c r="C173">
        <f>monster.xml!C177</f>
        <v>85</v>
      </c>
      <c r="D173" t="str">
        <f>monster.xml!D177</f>
        <v>霜寒探索者</v>
      </c>
      <c r="E173">
        <f>monster.xml!G177</f>
        <v>0</v>
      </c>
      <c r="F173" t="str">
        <f>monster.xml!X177</f>
        <v>monster/10119.png</v>
      </c>
      <c r="G173">
        <f>monster.xml!Y177</f>
        <v>0</v>
      </c>
    </row>
    <row r="174" spans="1:7">
      <c r="A174">
        <f>monster.xml!A178</f>
        <v>173</v>
      </c>
      <c r="B174">
        <f>monster.xml!B178</f>
        <v>2001</v>
      </c>
      <c r="C174">
        <f>monster.xml!C178</f>
        <v>86</v>
      </c>
      <c r="D174" t="str">
        <f>monster.xml!D178</f>
        <v>霜寒矿工</v>
      </c>
      <c r="E174">
        <f>monster.xml!G178</f>
        <v>0</v>
      </c>
      <c r="F174" t="str">
        <f>monster.xml!X178</f>
        <v>monster/10118.png</v>
      </c>
      <c r="G174">
        <f>monster.xml!Y178</f>
        <v>0</v>
      </c>
    </row>
    <row r="175" spans="1:7">
      <c r="A175">
        <f>monster.xml!A179</f>
        <v>174</v>
      </c>
      <c r="B175">
        <f>monster.xml!B179</f>
        <v>2001</v>
      </c>
      <c r="C175">
        <f>monster.xml!C179</f>
        <v>87</v>
      </c>
      <c r="D175" t="str">
        <f>monster.xml!D179</f>
        <v>霜寒守卫</v>
      </c>
      <c r="E175">
        <f>monster.xml!G179</f>
        <v>0</v>
      </c>
      <c r="F175" t="str">
        <f>monster.xml!X179</f>
        <v>monster/10117.png</v>
      </c>
      <c r="G175">
        <f>monster.xml!Y179</f>
        <v>0</v>
      </c>
    </row>
    <row r="176" spans="1:7">
      <c r="A176">
        <f>monster.xml!A180</f>
        <v>175</v>
      </c>
      <c r="B176">
        <f>monster.xml!B180</f>
        <v>2001</v>
      </c>
      <c r="C176">
        <f>monster.xml!C180</f>
        <v>88</v>
      </c>
      <c r="D176" t="str">
        <f>monster.xml!D180</f>
        <v>符文巨人</v>
      </c>
      <c r="E176">
        <f>monster.xml!G180</f>
        <v>0</v>
      </c>
      <c r="F176" t="str">
        <f>monster.xml!X180</f>
        <v>monster/10116.png</v>
      </c>
      <c r="G176">
        <f>monster.xml!Y180</f>
        <v>0</v>
      </c>
    </row>
    <row r="177" spans="1:7">
      <c r="A177">
        <f>monster.xml!A181</f>
        <v>176</v>
      </c>
      <c r="B177">
        <f>monster.xml!B181</f>
        <v>2001</v>
      </c>
      <c r="C177">
        <f>monster.xml!C181</f>
        <v>87</v>
      </c>
      <c r="D177" t="str">
        <f>monster.xml!D181</f>
        <v>铁卫苦工</v>
      </c>
      <c r="E177">
        <f>monster.xml!G181</f>
        <v>0</v>
      </c>
      <c r="F177" t="str">
        <f>monster.xml!X181</f>
        <v>monster/10115.png</v>
      </c>
      <c r="G177">
        <f>monster.xml!Y181</f>
        <v>0</v>
      </c>
    </row>
    <row r="178" spans="1:7">
      <c r="A178">
        <f>monster.xml!A182</f>
        <v>177</v>
      </c>
      <c r="B178">
        <f>monster.xml!B182</f>
        <v>2001</v>
      </c>
      <c r="C178">
        <f>monster.xml!C182</f>
        <v>88</v>
      </c>
      <c r="D178" t="str">
        <f>monster.xml!D182</f>
        <v>铁卫雕刻者</v>
      </c>
      <c r="E178">
        <f>monster.xml!G182</f>
        <v>0</v>
      </c>
      <c r="F178" t="str">
        <f>monster.xml!X182</f>
        <v>monster/10114.png</v>
      </c>
      <c r="G178">
        <f>monster.xml!Y182</f>
        <v>0</v>
      </c>
    </row>
    <row r="179" spans="1:7">
      <c r="A179">
        <f>monster.xml!A183</f>
        <v>178</v>
      </c>
      <c r="B179">
        <f>monster.xml!B183</f>
        <v>2001</v>
      </c>
      <c r="C179">
        <f>monster.xml!C183</f>
        <v>89</v>
      </c>
      <c r="D179" t="str">
        <f>monster.xml!D183</f>
        <v>铁卫监工</v>
      </c>
      <c r="E179">
        <f>monster.xml!G183</f>
        <v>0</v>
      </c>
      <c r="F179" t="str">
        <f>monster.xml!X183</f>
        <v>monster/10113.png</v>
      </c>
      <c r="G179">
        <f>monster.xml!Y183</f>
        <v>0</v>
      </c>
    </row>
    <row r="180" spans="1:7">
      <c r="A180">
        <f>monster.xml!A184</f>
        <v>179</v>
      </c>
      <c r="B180">
        <f>monster.xml!B184</f>
        <v>2001</v>
      </c>
      <c r="C180">
        <f>monster.xml!C184</f>
        <v>90</v>
      </c>
      <c r="D180" t="str">
        <f>monster.xml!D184</f>
        <v>铁卫工程师</v>
      </c>
      <c r="E180">
        <f>monster.xml!G184</f>
        <v>0</v>
      </c>
      <c r="F180" t="str">
        <f>monster.xml!X184</f>
        <v>monster/10112.png</v>
      </c>
      <c r="G180">
        <f>monster.xml!Y184</f>
        <v>0</v>
      </c>
    </row>
    <row r="181" spans="1:7">
      <c r="A181">
        <f>monster.xml!A185</f>
        <v>180</v>
      </c>
      <c r="B181">
        <f>monster.xml!B185</f>
        <v>2001</v>
      </c>
      <c r="C181">
        <f>monster.xml!C185</f>
        <v>89</v>
      </c>
      <c r="D181" t="str">
        <f>monster.xml!D185</f>
        <v>喋血魔像</v>
      </c>
      <c r="E181">
        <f>monster.xml!G185</f>
        <v>0</v>
      </c>
      <c r="F181" t="str">
        <f>monster.xml!X185</f>
        <v>monster/10111.png</v>
      </c>
      <c r="G181">
        <f>monster.xml!Y185</f>
        <v>0</v>
      </c>
    </row>
    <row r="182" spans="1:7">
      <c r="A182">
        <f>monster.xml!A186</f>
        <v>181</v>
      </c>
      <c r="B182">
        <f>monster.xml!B186</f>
        <v>2001</v>
      </c>
      <c r="C182">
        <f>monster.xml!C186</f>
        <v>90</v>
      </c>
      <c r="D182" t="str">
        <f>monster.xml!D186</f>
        <v>喋血斥候</v>
      </c>
      <c r="E182">
        <f>monster.xml!G186</f>
        <v>0</v>
      </c>
      <c r="F182" t="str">
        <f>monster.xml!X186</f>
        <v>monster/10110.png</v>
      </c>
      <c r="G182">
        <f>monster.xml!Y186</f>
        <v>0</v>
      </c>
    </row>
    <row r="183" spans="1:7">
      <c r="A183">
        <f>monster.xml!A187</f>
        <v>182</v>
      </c>
      <c r="B183">
        <f>monster.xml!B187</f>
        <v>2001</v>
      </c>
      <c r="C183">
        <f>monster.xml!C187</f>
        <v>91</v>
      </c>
      <c r="D183" t="str">
        <f>monster.xml!D187</f>
        <v>喋血亡魂</v>
      </c>
      <c r="E183">
        <f>monster.xml!G187</f>
        <v>0</v>
      </c>
      <c r="F183" t="str">
        <f>monster.xml!X187</f>
        <v>monster/10109.png</v>
      </c>
      <c r="G183">
        <f>monster.xml!Y187</f>
        <v>0</v>
      </c>
    </row>
    <row r="184" spans="1:7">
      <c r="A184">
        <f>monster.xml!A188</f>
        <v>183</v>
      </c>
      <c r="B184">
        <f>monster.xml!B188</f>
        <v>2001</v>
      </c>
      <c r="C184">
        <f>monster.xml!C188</f>
        <v>92</v>
      </c>
      <c r="D184" t="str">
        <f>monster.xml!D188</f>
        <v>喋血巨人</v>
      </c>
      <c r="E184">
        <f>monster.xml!G188</f>
        <v>0</v>
      </c>
      <c r="F184" t="str">
        <f>monster.xml!X188</f>
        <v>monster/10108.png</v>
      </c>
      <c r="G184">
        <f>monster.xml!Y188</f>
        <v>0</v>
      </c>
    </row>
    <row r="185" spans="1:7">
      <c r="A185">
        <f>monster.xml!A189</f>
        <v>184</v>
      </c>
      <c r="B185">
        <f>monster.xml!B189</f>
        <v>2001</v>
      </c>
      <c r="C185">
        <f>monster.xml!C189</f>
        <v>91</v>
      </c>
      <c r="D185" t="str">
        <f>monster.xml!D189</f>
        <v>苦塔信徒</v>
      </c>
      <c r="E185">
        <f>monster.xml!G189</f>
        <v>0</v>
      </c>
      <c r="F185" t="str">
        <f>monster.xml!X189</f>
        <v>monster/10107.png</v>
      </c>
      <c r="G185">
        <f>monster.xml!Y189</f>
        <v>0</v>
      </c>
    </row>
    <row r="186" spans="1:7">
      <c r="A186">
        <f>monster.xml!A190</f>
        <v>185</v>
      </c>
      <c r="B186">
        <f>monster.xml!B190</f>
        <v>2001</v>
      </c>
      <c r="C186">
        <f>monster.xml!C190</f>
        <v>92</v>
      </c>
      <c r="D186" t="str">
        <f>monster.xml!D190</f>
        <v>苦塔潜修者</v>
      </c>
      <c r="E186">
        <f>monster.xml!G190</f>
        <v>0</v>
      </c>
      <c r="F186" t="str">
        <f>monster.xml!X190</f>
        <v>monster/10106.png</v>
      </c>
      <c r="G186">
        <f>monster.xml!Y190</f>
        <v>0</v>
      </c>
    </row>
    <row r="187" spans="1:7">
      <c r="A187">
        <f>monster.xml!A191</f>
        <v>186</v>
      </c>
      <c r="B187">
        <f>monster.xml!B191</f>
        <v>2001</v>
      </c>
      <c r="C187">
        <f>monster.xml!C191</f>
        <v>93</v>
      </c>
      <c r="D187" t="str">
        <f>monster.xml!D191</f>
        <v>苦塔僧侣</v>
      </c>
      <c r="E187">
        <f>monster.xml!G191</f>
        <v>0</v>
      </c>
      <c r="F187" t="str">
        <f>monster.xml!X191</f>
        <v>monster/10105.png</v>
      </c>
      <c r="G187">
        <f>monster.xml!Y191</f>
        <v>0</v>
      </c>
    </row>
    <row r="188" spans="1:7">
      <c r="A188">
        <f>monster.xml!A192</f>
        <v>187</v>
      </c>
      <c r="B188">
        <f>monster.xml!B192</f>
        <v>2001</v>
      </c>
      <c r="C188">
        <f>monster.xml!C192</f>
        <v>94</v>
      </c>
      <c r="D188" t="str">
        <f>monster.xml!D192</f>
        <v>苦塔守望者</v>
      </c>
      <c r="E188">
        <f>monster.xml!G192</f>
        <v>0</v>
      </c>
      <c r="F188" t="str">
        <f>monster.xml!X192</f>
        <v>monster/10104.png</v>
      </c>
      <c r="G188">
        <f>monster.xml!Y192</f>
        <v>0</v>
      </c>
    </row>
    <row r="189" spans="1:7">
      <c r="A189">
        <f>monster.xml!A193</f>
        <v>188</v>
      </c>
      <c r="B189">
        <f>monster.xml!B193</f>
        <v>2001</v>
      </c>
      <c r="C189">
        <f>monster.xml!C193</f>
        <v>93</v>
      </c>
      <c r="D189" t="str">
        <f>monster.xml!D193</f>
        <v>雪域苍狼</v>
      </c>
      <c r="E189">
        <f>monster.xml!G193</f>
        <v>0</v>
      </c>
      <c r="F189" t="str">
        <f>monster.xml!X193</f>
        <v>monster/10103.png</v>
      </c>
      <c r="G189">
        <f>monster.xml!Y193</f>
        <v>0</v>
      </c>
    </row>
    <row r="190" spans="1:7">
      <c r="A190">
        <f>monster.xml!A194</f>
        <v>189</v>
      </c>
      <c r="B190">
        <f>monster.xml!B194</f>
        <v>2001</v>
      </c>
      <c r="C190">
        <f>monster.xml!C194</f>
        <v>94</v>
      </c>
      <c r="D190" t="str">
        <f>monster.xml!D194</f>
        <v>雪域猛犸</v>
      </c>
      <c r="E190">
        <f>monster.xml!G194</f>
        <v>0</v>
      </c>
      <c r="F190" t="str">
        <f>monster.xml!X194</f>
        <v>monster/10102.png</v>
      </c>
      <c r="G190">
        <f>monster.xml!Y194</f>
        <v>0</v>
      </c>
    </row>
    <row r="191" spans="1:7">
      <c r="A191">
        <f>monster.xml!A195</f>
        <v>190</v>
      </c>
      <c r="B191">
        <f>monster.xml!B195</f>
        <v>2001</v>
      </c>
      <c r="C191">
        <f>monster.xml!C195</f>
        <v>95</v>
      </c>
      <c r="D191" t="str">
        <f>monster.xml!D195</f>
        <v>雪庭守卫</v>
      </c>
      <c r="E191">
        <f>monster.xml!G195</f>
        <v>0</v>
      </c>
      <c r="F191" t="str">
        <f>monster.xml!X195</f>
        <v>monster/10101.png</v>
      </c>
      <c r="G191">
        <f>monster.xml!Y195</f>
        <v>0</v>
      </c>
    </row>
    <row r="192" spans="1:7">
      <c r="A192">
        <f>monster.xml!A196</f>
        <v>191</v>
      </c>
      <c r="B192">
        <f>monster.xml!B196</f>
        <v>2001</v>
      </c>
      <c r="C192">
        <f>monster.xml!C196</f>
        <v>96</v>
      </c>
      <c r="D192" t="str">
        <f>monster.xml!D196</f>
        <v>雪庭巡视者</v>
      </c>
      <c r="E192">
        <f>monster.xml!G196</f>
        <v>0</v>
      </c>
      <c r="F192" t="str">
        <f>monster.xml!X196</f>
        <v>monster/10100.png</v>
      </c>
      <c r="G192">
        <f>monster.xml!Y196</f>
        <v>0</v>
      </c>
    </row>
    <row r="193" spans="1:7">
      <c r="A193">
        <f>monster.xml!A197</f>
        <v>192</v>
      </c>
      <c r="B193">
        <f>monster.xml!B197</f>
        <v>2001</v>
      </c>
      <c r="C193">
        <f>monster.xml!C197</f>
        <v>95</v>
      </c>
      <c r="D193" t="str">
        <f>monster.xml!D197</f>
        <v>食尸鬼</v>
      </c>
      <c r="E193">
        <f>monster.xml!G197</f>
        <v>0</v>
      </c>
      <c r="F193" t="str">
        <f>monster.xml!X197</f>
        <v>monster/10099.png</v>
      </c>
      <c r="G193">
        <f>monster.xml!Y197</f>
        <v>0</v>
      </c>
    </row>
    <row r="194" spans="1:7">
      <c r="A194">
        <f>monster.xml!A198</f>
        <v>193</v>
      </c>
      <c r="B194">
        <f>monster.xml!B198</f>
        <v>2001</v>
      </c>
      <c r="C194">
        <f>monster.xml!C198</f>
        <v>96</v>
      </c>
      <c r="D194" t="str">
        <f>monster.xml!D198</f>
        <v>复活的僵尸</v>
      </c>
      <c r="E194">
        <f>monster.xml!G198</f>
        <v>0</v>
      </c>
      <c r="F194" t="str">
        <f>monster.xml!X198</f>
        <v>monster/10098.png</v>
      </c>
      <c r="G194">
        <f>monster.xml!Y198</f>
        <v>0</v>
      </c>
    </row>
    <row r="195" spans="1:7">
      <c r="A195">
        <f>monster.xml!A199</f>
        <v>194</v>
      </c>
      <c r="B195">
        <f>monster.xml!B199</f>
        <v>2001</v>
      </c>
      <c r="C195">
        <f>monster.xml!C199</f>
        <v>97</v>
      </c>
      <c r="D195" t="str">
        <f>monster.xml!D199</f>
        <v>幽魂兽</v>
      </c>
      <c r="E195">
        <f>monster.xml!G199</f>
        <v>0</v>
      </c>
      <c r="F195" t="str">
        <f>monster.xml!X199</f>
        <v>monster/10097.png</v>
      </c>
      <c r="G195">
        <f>monster.xml!Y199</f>
        <v>0</v>
      </c>
    </row>
    <row r="196" spans="1:7">
      <c r="A196">
        <f>monster.xml!A200</f>
        <v>195</v>
      </c>
      <c r="B196">
        <f>monster.xml!B200</f>
        <v>2001</v>
      </c>
      <c r="C196">
        <f>monster.xml!C200</f>
        <v>98</v>
      </c>
      <c r="D196" t="str">
        <f>monster.xml!D200</f>
        <v>游荡的亡魂</v>
      </c>
      <c r="E196">
        <f>monster.xml!G200</f>
        <v>0</v>
      </c>
      <c r="F196" t="str">
        <f>monster.xml!X200</f>
        <v>monster/10096.png</v>
      </c>
      <c r="G196">
        <f>monster.xml!Y200</f>
        <v>0</v>
      </c>
    </row>
    <row r="197" spans="1:7">
      <c r="A197">
        <f>monster.xml!A201</f>
        <v>196</v>
      </c>
      <c r="B197">
        <f>monster.xml!B201</f>
        <v>2001</v>
      </c>
      <c r="C197">
        <f>monster.xml!C201</f>
        <v>97</v>
      </c>
      <c r="D197" t="str">
        <f>monster.xml!D201</f>
        <v>地狱守卫</v>
      </c>
      <c r="E197">
        <f>monster.xml!G201</f>
        <v>0</v>
      </c>
      <c r="F197" t="str">
        <f>monster.xml!X201</f>
        <v>monster/10095.png</v>
      </c>
      <c r="G197">
        <f>monster.xml!Y201</f>
        <v>0</v>
      </c>
    </row>
    <row r="198" spans="1:7">
      <c r="A198">
        <f>monster.xml!A202</f>
        <v>197</v>
      </c>
      <c r="B198">
        <f>monster.xml!B202</f>
        <v>2001</v>
      </c>
      <c r="C198">
        <f>monster.xml!C202</f>
        <v>98</v>
      </c>
      <c r="D198" t="str">
        <f>monster.xml!D202</f>
        <v>地狱三头犬</v>
      </c>
      <c r="E198">
        <f>monster.xml!G202</f>
        <v>0</v>
      </c>
      <c r="F198" t="str">
        <f>monster.xml!X202</f>
        <v>monster/10094.png</v>
      </c>
      <c r="G198">
        <f>monster.xml!Y202</f>
        <v>0</v>
      </c>
    </row>
    <row r="199" spans="1:7">
      <c r="A199">
        <f>monster.xml!A203</f>
        <v>198</v>
      </c>
      <c r="B199">
        <f>monster.xml!B203</f>
        <v>2001</v>
      </c>
      <c r="C199">
        <f>monster.xml!C203</f>
        <v>99</v>
      </c>
      <c r="D199" t="str">
        <f>monster.xml!D203</f>
        <v>石脊石像鬼</v>
      </c>
      <c r="E199">
        <f>monster.xml!G203</f>
        <v>0</v>
      </c>
      <c r="F199" t="str">
        <f>monster.xml!X203</f>
        <v>monster/10093.png</v>
      </c>
      <c r="G199">
        <f>monster.xml!Y203</f>
        <v>0</v>
      </c>
    </row>
    <row r="200" spans="1:7">
      <c r="A200">
        <f>monster.xml!A204</f>
        <v>199</v>
      </c>
      <c r="B200">
        <f>monster.xml!B204</f>
        <v>2001</v>
      </c>
      <c r="C200">
        <f>monster.xml!C204</f>
        <v>100</v>
      </c>
      <c r="D200" t="str">
        <f>monster.xml!D204</f>
        <v>熔岩巨兽</v>
      </c>
      <c r="E200">
        <f>monster.xml!G204</f>
        <v>0</v>
      </c>
      <c r="F200" t="str">
        <f>monster.xml!X204</f>
        <v>monster/10092.png</v>
      </c>
      <c r="G200">
        <f>monster.xml!Y204</f>
        <v>0</v>
      </c>
    </row>
    <row r="201" spans="1:7">
      <c r="A201">
        <f>monster.xml!A205</f>
        <v>200</v>
      </c>
      <c r="B201">
        <f>monster.xml!B205</f>
        <v>2001</v>
      </c>
      <c r="C201">
        <f>monster.xml!C205</f>
        <v>98</v>
      </c>
      <c r="D201" t="str">
        <f>monster.xml!D205</f>
        <v>安塔恶魔守卫</v>
      </c>
      <c r="E201">
        <f>monster.xml!G205</f>
        <v>0</v>
      </c>
      <c r="F201" t="str">
        <f>monster.xml!X205</f>
        <v>monster/10091.png</v>
      </c>
      <c r="G201">
        <f>monster.xml!Y205</f>
        <v>0</v>
      </c>
    </row>
    <row r="202" spans="1:7">
      <c r="A202">
        <f>monster.xml!A206</f>
        <v>201</v>
      </c>
      <c r="B202">
        <f>monster.xml!B206</f>
        <v>2001</v>
      </c>
      <c r="C202">
        <f>monster.xml!C206</f>
        <v>99</v>
      </c>
      <c r="D202" t="str">
        <f>monster.xml!D206</f>
        <v>安塔巨兽</v>
      </c>
      <c r="E202">
        <f>monster.xml!G206</f>
        <v>0</v>
      </c>
      <c r="F202" t="str">
        <f>monster.xml!X206</f>
        <v>monster/10090.png</v>
      </c>
      <c r="G202">
        <f>monster.xml!Y206</f>
        <v>0</v>
      </c>
    </row>
    <row r="203" spans="1:7">
      <c r="A203">
        <f>monster.xml!A207</f>
        <v>202</v>
      </c>
      <c r="B203">
        <f>monster.xml!B207</f>
        <v>2001</v>
      </c>
      <c r="C203">
        <f>monster.xml!C207</f>
        <v>100</v>
      </c>
      <c r="D203" t="str">
        <f>monster.xml!D207</f>
        <v>安塔恶魔督军</v>
      </c>
      <c r="E203">
        <f>monster.xml!G207</f>
        <v>0</v>
      </c>
      <c r="F203" t="str">
        <f>monster.xml!X207</f>
        <v>monster/10089.png</v>
      </c>
      <c r="G203">
        <f>monster.xml!Y207</f>
        <v>0</v>
      </c>
    </row>
    <row r="204" spans="1:7">
      <c r="A204">
        <f>monster.xml!A208</f>
        <v>203</v>
      </c>
      <c r="B204">
        <f>monster.xml!B208</f>
        <v>2001</v>
      </c>
      <c r="C204">
        <f>monster.xml!C208</f>
        <v>101</v>
      </c>
      <c r="D204" t="str">
        <f>monster.xml!D208</f>
        <v>安踏恶魔统领</v>
      </c>
      <c r="E204">
        <f>monster.xml!G208</f>
        <v>0</v>
      </c>
      <c r="F204" t="str">
        <f>monster.xml!X208</f>
        <v>monster/10088.png</v>
      </c>
      <c r="G204">
        <f>monster.xml!Y208</f>
        <v>0</v>
      </c>
    </row>
    <row r="205" spans="1:7">
      <c r="A205">
        <f>monster.xml!A209</f>
        <v>204</v>
      </c>
      <c r="B205">
        <f>monster.xml!B209</f>
        <v>2001</v>
      </c>
      <c r="C205">
        <f>monster.xml!C209</f>
        <v>99</v>
      </c>
      <c r="D205" t="str">
        <f>monster.xml!D209</f>
        <v>鬼灵步卒</v>
      </c>
      <c r="E205">
        <f>monster.xml!G209</f>
        <v>0</v>
      </c>
      <c r="F205" t="str">
        <f>monster.xml!X209</f>
        <v>monster/10087.png</v>
      </c>
      <c r="G205">
        <f>monster.xml!Y209</f>
        <v>0</v>
      </c>
    </row>
    <row r="206" spans="1:7">
      <c r="A206">
        <f>monster.xml!A210</f>
        <v>205</v>
      </c>
      <c r="B206">
        <f>monster.xml!B210</f>
        <v>2001</v>
      </c>
      <c r="C206">
        <f>monster.xml!C210</f>
        <v>100</v>
      </c>
      <c r="D206" t="str">
        <f>monster.xml!D210</f>
        <v>灵魂倒影</v>
      </c>
      <c r="E206">
        <f>monster.xml!G210</f>
        <v>0</v>
      </c>
      <c r="F206" t="str">
        <f>monster.xml!X210</f>
        <v>monster/10086.png</v>
      </c>
      <c r="G206">
        <f>monster.xml!Y210</f>
        <v>0</v>
      </c>
    </row>
    <row r="207" spans="1:7">
      <c r="A207">
        <f>monster.xml!A211</f>
        <v>206</v>
      </c>
      <c r="B207">
        <f>monster.xml!B211</f>
        <v>2001</v>
      </c>
      <c r="C207">
        <f>monster.xml!C211</f>
        <v>101</v>
      </c>
      <c r="D207" t="str">
        <f>monster.xml!D211</f>
        <v>魅影法师</v>
      </c>
      <c r="E207">
        <f>monster.xml!G211</f>
        <v>0</v>
      </c>
      <c r="F207" t="str">
        <f>monster.xml!X211</f>
        <v>monster/10085.png</v>
      </c>
      <c r="G207">
        <f>monster.xml!Y211</f>
        <v>0</v>
      </c>
    </row>
    <row r="208" spans="1:7">
      <c r="A208">
        <f>monster.xml!A212</f>
        <v>207</v>
      </c>
      <c r="B208">
        <f>monster.xml!B212</f>
        <v>2001</v>
      </c>
      <c r="C208">
        <f>monster.xml!C212</f>
        <v>102</v>
      </c>
      <c r="D208" t="str">
        <f>monster.xml!D212</f>
        <v>灵魂兽</v>
      </c>
      <c r="E208">
        <f>monster.xml!G212</f>
        <v>0</v>
      </c>
      <c r="F208" t="str">
        <f>monster.xml!X212</f>
        <v>monster/10084.png</v>
      </c>
      <c r="G208">
        <f>monster.xml!Y212</f>
        <v>0</v>
      </c>
    </row>
    <row r="209" spans="1:7">
      <c r="A209">
        <f>monster.xml!A213</f>
        <v>1001</v>
      </c>
      <c r="B209">
        <f>monster.xml!B213</f>
        <v>2001</v>
      </c>
      <c r="C209">
        <f>monster.xml!C213</f>
        <v>3</v>
      </c>
      <c r="D209" t="str">
        <f>monster.xml!D213</f>
        <v>教官尼德</v>
      </c>
      <c r="E209">
        <f>monster.xml!G213</f>
        <v>0</v>
      </c>
      <c r="F209" t="str">
        <f>monster.xml!X213</f>
        <v>monster/10001.png</v>
      </c>
      <c r="G209">
        <f>monster.xml!Y213</f>
        <v>1</v>
      </c>
    </row>
    <row r="210" spans="1:7">
      <c r="A210">
        <f>monster.xml!A214</f>
        <v>1002</v>
      </c>
      <c r="B210">
        <f>monster.xml!B214</f>
        <v>2001</v>
      </c>
      <c r="C210">
        <f>monster.xml!C214</f>
        <v>4</v>
      </c>
      <c r="D210" t="str">
        <f>monster.xml!D214</f>
        <v>艾伯特</v>
      </c>
      <c r="E210">
        <f>monster.xml!G214</f>
        <v>0</v>
      </c>
      <c r="F210" t="str">
        <f>monster.xml!X214</f>
        <v>monster/10003.png</v>
      </c>
      <c r="G210">
        <f>monster.xml!Y214</f>
        <v>1</v>
      </c>
    </row>
    <row r="211" spans="1:7">
      <c r="A211">
        <f>monster.xml!A215</f>
        <v>1003</v>
      </c>
      <c r="B211">
        <f>monster.xml!B215</f>
        <v>2001</v>
      </c>
      <c r="C211">
        <f>monster.xml!C215</f>
        <v>6</v>
      </c>
      <c r="D211" t="str">
        <f>monster.xml!D215</f>
        <v>朝圣者马修</v>
      </c>
      <c r="E211">
        <f>monster.xml!G215</f>
        <v>0</v>
      </c>
      <c r="F211" t="str">
        <f>monster.xml!X215</f>
        <v>monster/10005.png</v>
      </c>
      <c r="G211">
        <f>monster.xml!Y215</f>
        <v>1</v>
      </c>
    </row>
    <row r="212" spans="1:7">
      <c r="A212">
        <f>monster.xml!A216</f>
        <v>1004</v>
      </c>
      <c r="B212">
        <f>monster.xml!B216</f>
        <v>2001</v>
      </c>
      <c r="C212">
        <f>monster.xml!C216</f>
        <v>8</v>
      </c>
      <c r="D212" t="str">
        <f>monster.xml!D216</f>
        <v>遗迹恶灵</v>
      </c>
      <c r="E212">
        <f>monster.xml!G216</f>
        <v>0</v>
      </c>
      <c r="F212" t="str">
        <f>monster.xml!X216</f>
        <v>monster/10007.png</v>
      </c>
      <c r="G212">
        <f>monster.xml!Y216</f>
        <v>1</v>
      </c>
    </row>
    <row r="213" spans="1:7">
      <c r="A213">
        <f>monster.xml!A217</f>
        <v>1005</v>
      </c>
      <c r="B213">
        <f>monster.xml!B217</f>
        <v>2001</v>
      </c>
      <c r="C213">
        <f>monster.xml!C217</f>
        <v>10</v>
      </c>
      <c r="D213" t="str">
        <f>monster.xml!D217</f>
        <v>深渊领主</v>
      </c>
      <c r="E213">
        <f>monster.xml!G217</f>
        <v>0</v>
      </c>
      <c r="F213" t="str">
        <f>monster.xml!X217</f>
        <v>monster/10009.png</v>
      </c>
      <c r="G213">
        <f>monster.xml!Y217</f>
        <v>1</v>
      </c>
    </row>
    <row r="214" spans="1:7">
      <c r="A214">
        <f>monster.xml!A218</f>
        <v>1006</v>
      </c>
      <c r="B214">
        <f>monster.xml!B218</f>
        <v>2001</v>
      </c>
      <c r="C214">
        <f>monster.xml!C218</f>
        <v>12</v>
      </c>
      <c r="D214" t="str">
        <f>monster.xml!D218</f>
        <v>南风城主本森</v>
      </c>
      <c r="E214">
        <f>monster.xml!G218</f>
        <v>0</v>
      </c>
      <c r="F214" t="str">
        <f>monster.xml!X218</f>
        <v>monster/10033.png</v>
      </c>
      <c r="G214">
        <f>monster.xml!Y218</f>
        <v>1</v>
      </c>
    </row>
    <row r="215" spans="1:7">
      <c r="A215">
        <f>monster.xml!A219</f>
        <v>1007</v>
      </c>
      <c r="B215">
        <f>monster.xml!B219</f>
        <v>2001</v>
      </c>
      <c r="C215">
        <f>monster.xml!C219</f>
        <v>14</v>
      </c>
      <c r="D215" t="str">
        <f>monster.xml!D219</f>
        <v>圣光祭祀亚伯</v>
      </c>
      <c r="E215">
        <f>monster.xml!G219</f>
        <v>0</v>
      </c>
      <c r="F215" t="str">
        <f>monster.xml!X219</f>
        <v>monster/10011.png</v>
      </c>
      <c r="G215">
        <f>monster.xml!Y219</f>
        <v>1</v>
      </c>
    </row>
    <row r="216" spans="1:7">
      <c r="A216">
        <f>monster.xml!A220</f>
        <v>1008</v>
      </c>
      <c r="B216">
        <f>monster.xml!B220</f>
        <v>2001</v>
      </c>
      <c r="C216">
        <f>monster.xml!C220</f>
        <v>16</v>
      </c>
      <c r="D216" t="str">
        <f>monster.xml!D220</f>
        <v>嗜酒的威廉</v>
      </c>
      <c r="E216">
        <f>monster.xml!G220</f>
        <v>0</v>
      </c>
      <c r="F216" t="str">
        <f>monster.xml!X220</f>
        <v>monster/10036.png</v>
      </c>
      <c r="G216">
        <f>monster.xml!Y220</f>
        <v>1</v>
      </c>
    </row>
    <row r="217" spans="1:7">
      <c r="A217">
        <f>monster.xml!A221</f>
        <v>1009</v>
      </c>
      <c r="B217">
        <f>monster.xml!B221</f>
        <v>2001</v>
      </c>
      <c r="C217">
        <f>monster.xml!C221</f>
        <v>18</v>
      </c>
      <c r="D217" t="str">
        <f>monster.xml!D221</f>
        <v>钢铁意志</v>
      </c>
      <c r="E217">
        <f>monster.xml!G221</f>
        <v>0</v>
      </c>
      <c r="F217" t="str">
        <f>monster.xml!X221</f>
        <v>monster/10013.png</v>
      </c>
      <c r="G217">
        <f>monster.xml!Y221</f>
        <v>1</v>
      </c>
    </row>
    <row r="218" spans="1:7">
      <c r="A218">
        <f>monster.xml!A222</f>
        <v>1010</v>
      </c>
      <c r="B218">
        <f>monster.xml!B222</f>
        <v>2001</v>
      </c>
      <c r="C218">
        <f>monster.xml!C222</f>
        <v>20</v>
      </c>
      <c r="D218" t="str">
        <f>monster.xml!D222</f>
        <v>卡尔玛尔</v>
      </c>
      <c r="E218">
        <f>monster.xml!G222</f>
        <v>0</v>
      </c>
      <c r="F218" t="str">
        <f>monster.xml!X222</f>
        <v>monster/10015.png</v>
      </c>
      <c r="G218">
        <f>monster.xml!Y222</f>
        <v>1</v>
      </c>
    </row>
    <row r="219" spans="1:7">
      <c r="A219">
        <f>monster.xml!A223</f>
        <v>1011</v>
      </c>
      <c r="B219">
        <f>monster.xml!B223</f>
        <v>2001</v>
      </c>
      <c r="C219">
        <f>monster.xml!C223</f>
        <v>22</v>
      </c>
      <c r="D219" t="str">
        <f>monster.xml!D223</f>
        <v>阿格特</v>
      </c>
      <c r="E219">
        <f>monster.xml!G223</f>
        <v>0</v>
      </c>
      <c r="F219" t="str">
        <f>monster.xml!X223</f>
        <v>monster/10017.png</v>
      </c>
      <c r="G219">
        <f>monster.xml!Y223</f>
        <v>1</v>
      </c>
    </row>
    <row r="220" spans="1:7">
      <c r="A220">
        <f>monster.xml!A224</f>
        <v>1012</v>
      </c>
      <c r="B220">
        <f>monster.xml!B224</f>
        <v>2001</v>
      </c>
      <c r="C220">
        <f>monster.xml!C224</f>
        <v>24</v>
      </c>
      <c r="D220" t="str">
        <f>monster.xml!D224</f>
        <v>锻造师卡姆</v>
      </c>
      <c r="E220">
        <f>monster.xml!G224</f>
        <v>0</v>
      </c>
      <c r="F220" t="str">
        <f>monster.xml!X224</f>
        <v>monster/10019.png</v>
      </c>
      <c r="G220">
        <f>monster.xml!Y224</f>
        <v>1</v>
      </c>
    </row>
    <row r="221" spans="1:7">
      <c r="A221">
        <f>monster.xml!A225</f>
        <v>1013</v>
      </c>
      <c r="B221">
        <f>monster.xml!B225</f>
        <v>2001</v>
      </c>
      <c r="C221">
        <f>monster.xml!C225</f>
        <v>26</v>
      </c>
      <c r="D221" t="str">
        <f>monster.xml!D225</f>
        <v>绝望的托恩</v>
      </c>
      <c r="E221">
        <f>monster.xml!G225</f>
        <v>0</v>
      </c>
      <c r="F221" t="str">
        <f>monster.xml!X225</f>
        <v>monster/10021.png</v>
      </c>
      <c r="G221">
        <f>monster.xml!Y225</f>
        <v>1</v>
      </c>
    </row>
    <row r="222" spans="1:7">
      <c r="A222">
        <f>monster.xml!A226</f>
        <v>1014</v>
      </c>
      <c r="B222">
        <f>monster.xml!B226</f>
        <v>2001</v>
      </c>
      <c r="C222">
        <f>monster.xml!C226</f>
        <v>28</v>
      </c>
      <c r="D222" t="str">
        <f>monster.xml!D226</f>
        <v>卡森那什</v>
      </c>
      <c r="E222">
        <f>monster.xml!G226</f>
        <v>0</v>
      </c>
      <c r="F222" t="str">
        <f>monster.xml!X226</f>
        <v>monster/10023.png</v>
      </c>
      <c r="G222">
        <f>monster.xml!Y226</f>
        <v>1</v>
      </c>
    </row>
    <row r="223" spans="1:7">
      <c r="A223">
        <f>monster.xml!A227</f>
        <v>1015</v>
      </c>
      <c r="B223">
        <f>monster.xml!B227</f>
        <v>2001</v>
      </c>
      <c r="C223">
        <f>monster.xml!C227</f>
        <v>30</v>
      </c>
      <c r="D223" t="str">
        <f>monster.xml!D227</f>
        <v>看门人埃里克</v>
      </c>
      <c r="E223">
        <f>monster.xml!G227</f>
        <v>0</v>
      </c>
      <c r="F223" t="str">
        <f>monster.xml!X227</f>
        <v>monster/10025.png</v>
      </c>
      <c r="G223">
        <f>monster.xml!Y227</f>
        <v>1</v>
      </c>
    </row>
    <row r="224" spans="1:7">
      <c r="A224">
        <f>monster.xml!A228</f>
        <v>1016</v>
      </c>
      <c r="B224">
        <f>monster.xml!B228</f>
        <v>2001</v>
      </c>
      <c r="C224">
        <f>monster.xml!C228</f>
        <v>32</v>
      </c>
      <c r="D224" t="str">
        <f>monster.xml!D228</f>
        <v>马佐夫将军</v>
      </c>
      <c r="E224">
        <f>monster.xml!G228</f>
        <v>0</v>
      </c>
      <c r="F224" t="str">
        <f>monster.xml!X228</f>
        <v>monster/10108.png</v>
      </c>
      <c r="G224">
        <f>monster.xml!Y228</f>
        <v>1</v>
      </c>
    </row>
    <row r="225" spans="1:7">
      <c r="A225">
        <f>monster.xml!A229</f>
        <v>1017</v>
      </c>
      <c r="B225">
        <f>monster.xml!B229</f>
        <v>2001</v>
      </c>
      <c r="C225">
        <f>monster.xml!C229</f>
        <v>34</v>
      </c>
      <c r="D225" t="str">
        <f>monster.xml!D229</f>
        <v>城主玛尔斯</v>
      </c>
      <c r="E225">
        <f>monster.xml!G229</f>
        <v>0</v>
      </c>
      <c r="F225" t="str">
        <f>monster.xml!X229</f>
        <v>monster/10027.png</v>
      </c>
      <c r="G225">
        <f>monster.xml!Y229</f>
        <v>1</v>
      </c>
    </row>
    <row r="226" spans="1:7">
      <c r="A226">
        <f>monster.xml!A230</f>
        <v>1018</v>
      </c>
      <c r="B226">
        <f>monster.xml!B230</f>
        <v>2001</v>
      </c>
      <c r="C226">
        <f>monster.xml!C230</f>
        <v>36</v>
      </c>
      <c r="D226" t="str">
        <f>monster.xml!D230</f>
        <v>鲜血歌者德克</v>
      </c>
      <c r="E226">
        <f>monster.xml!G230</f>
        <v>0</v>
      </c>
      <c r="F226" t="str">
        <f>monster.xml!X230</f>
        <v>monster/10029.png</v>
      </c>
      <c r="G226">
        <f>monster.xml!Y230</f>
        <v>1</v>
      </c>
    </row>
    <row r="227" spans="1:7">
      <c r="A227">
        <f>monster.xml!A231</f>
        <v>1019</v>
      </c>
      <c r="B227">
        <f>monster.xml!B231</f>
        <v>2001</v>
      </c>
      <c r="C227">
        <f>monster.xml!C231</f>
        <v>38</v>
      </c>
      <c r="D227" t="str">
        <f>monster.xml!D231</f>
        <v>疯狂的比尔</v>
      </c>
      <c r="E227">
        <f>monster.xml!G231</f>
        <v>0</v>
      </c>
      <c r="F227" t="str">
        <f>monster.xml!X231</f>
        <v>monster/10104.png</v>
      </c>
      <c r="G227">
        <f>monster.xml!Y231</f>
        <v>1</v>
      </c>
    </row>
    <row r="228" spans="1:7">
      <c r="A228">
        <f>monster.xml!A232</f>
        <v>1020</v>
      </c>
      <c r="B228">
        <f>monster.xml!B232</f>
        <v>2001</v>
      </c>
      <c r="C228">
        <f>monster.xml!C232</f>
        <v>40</v>
      </c>
      <c r="D228" t="str">
        <f>monster.xml!D232</f>
        <v>圣徒弗雷德</v>
      </c>
      <c r="E228">
        <f>monster.xml!G232</f>
        <v>0</v>
      </c>
      <c r="F228" t="str">
        <f>monster.xml!X232</f>
        <v>monster/10031.png</v>
      </c>
      <c r="G228">
        <f>monster.xml!Y232</f>
        <v>1</v>
      </c>
    </row>
    <row r="229" spans="1:7">
      <c r="A229">
        <f>monster.xml!A233</f>
        <v>1021</v>
      </c>
      <c r="B229">
        <f>monster.xml!B233</f>
        <v>2001</v>
      </c>
      <c r="C229">
        <f>monster.xml!C233</f>
        <v>42</v>
      </c>
      <c r="D229" t="str">
        <f>monster.xml!D233</f>
        <v>瑞克将军</v>
      </c>
      <c r="E229">
        <f>monster.xml!G233</f>
        <v>0</v>
      </c>
      <c r="F229" t="str">
        <f>monster.xml!X233</f>
        <v>monster/10033.png</v>
      </c>
      <c r="G229">
        <f>monster.xml!Y233</f>
        <v>1</v>
      </c>
    </row>
    <row r="230" spans="1:7">
      <c r="A230">
        <f>monster.xml!A234</f>
        <v>1022</v>
      </c>
      <c r="B230">
        <f>monster.xml!B234</f>
        <v>2001</v>
      </c>
      <c r="C230">
        <f>monster.xml!C234</f>
        <v>44</v>
      </c>
      <c r="D230" t="str">
        <f>monster.xml!D234</f>
        <v>金砂尼索克</v>
      </c>
      <c r="E230">
        <f>monster.xml!G234</f>
        <v>0</v>
      </c>
      <c r="F230" t="str">
        <f>monster.xml!X234</f>
        <v>monster/10035.png</v>
      </c>
      <c r="G230">
        <f>monster.xml!Y234</f>
        <v>1</v>
      </c>
    </row>
    <row r="231" spans="1:7">
      <c r="A231">
        <f>monster.xml!A235</f>
        <v>1023</v>
      </c>
      <c r="B231">
        <f>monster.xml!B235</f>
        <v>2001</v>
      </c>
      <c r="C231">
        <f>monster.xml!C235</f>
        <v>46</v>
      </c>
      <c r="D231" t="str">
        <f>monster.xml!D235</f>
        <v>潮汐领主霍格</v>
      </c>
      <c r="E231">
        <f>monster.xml!G235</f>
        <v>0</v>
      </c>
      <c r="F231" t="str">
        <f>monster.xml!X235</f>
        <v>monster/10037.png</v>
      </c>
      <c r="G231">
        <f>monster.xml!Y235</f>
        <v>1</v>
      </c>
    </row>
    <row r="232" spans="1:7">
      <c r="A232">
        <f>monster.xml!A236</f>
        <v>1024</v>
      </c>
      <c r="B232">
        <f>monster.xml!B236</f>
        <v>2001</v>
      </c>
      <c r="C232">
        <f>monster.xml!C236</f>
        <v>48</v>
      </c>
      <c r="D232" t="str">
        <f>monster.xml!D236</f>
        <v>梦游人艾德文</v>
      </c>
      <c r="E232">
        <f>monster.xml!G236</f>
        <v>0</v>
      </c>
      <c r="F232" t="str">
        <f>monster.xml!X236</f>
        <v>monster/10039.png</v>
      </c>
      <c r="G232">
        <f>monster.xml!Y236</f>
        <v>1</v>
      </c>
    </row>
    <row r="233" spans="1:7">
      <c r="A233">
        <f>monster.xml!A237</f>
        <v>1025</v>
      </c>
      <c r="B233">
        <f>monster.xml!B237</f>
        <v>2001</v>
      </c>
      <c r="C233">
        <f>monster.xml!C237</f>
        <v>50</v>
      </c>
      <c r="D233" t="str">
        <f>monster.xml!D237</f>
        <v>猛犸之灵</v>
      </c>
      <c r="E233">
        <f>monster.xml!G237</f>
        <v>0</v>
      </c>
      <c r="F233" t="str">
        <f>monster.xml!X237</f>
        <v>monster/10041.png</v>
      </c>
      <c r="G233">
        <f>monster.xml!Y237</f>
        <v>1</v>
      </c>
    </row>
    <row r="234" spans="1:7">
      <c r="A234">
        <f>monster.xml!A238</f>
        <v>1026</v>
      </c>
      <c r="B234">
        <f>monster.xml!B238</f>
        <v>2001</v>
      </c>
      <c r="C234">
        <f>monster.xml!C238</f>
        <v>52</v>
      </c>
      <c r="D234" t="str">
        <f>monster.xml!D238</f>
        <v>灵魂祭祀鲍勃</v>
      </c>
      <c r="E234">
        <f>monster.xml!G238</f>
        <v>0</v>
      </c>
      <c r="F234" t="str">
        <f>monster.xml!X238</f>
        <v>monster/10043.png</v>
      </c>
      <c r="G234">
        <f>monster.xml!Y238</f>
        <v>1</v>
      </c>
    </row>
    <row r="235" spans="1:7">
      <c r="A235">
        <f>monster.xml!A239</f>
        <v>1027</v>
      </c>
      <c r="B235">
        <f>monster.xml!B239</f>
        <v>2001</v>
      </c>
      <c r="C235">
        <f>monster.xml!C239</f>
        <v>54</v>
      </c>
      <c r="D235" t="str">
        <f>monster.xml!D239</f>
        <v>穿梭者萨贝鲁</v>
      </c>
      <c r="E235">
        <f>monster.xml!G239</f>
        <v>0</v>
      </c>
      <c r="F235" t="str">
        <f>monster.xml!X239</f>
        <v>monster/10045.png</v>
      </c>
      <c r="G235">
        <f>monster.xml!Y239</f>
        <v>1</v>
      </c>
    </row>
    <row r="236" spans="1:7">
      <c r="A236">
        <f>monster.xml!A240</f>
        <v>1028</v>
      </c>
      <c r="B236">
        <f>monster.xml!B240</f>
        <v>2001</v>
      </c>
      <c r="C236">
        <f>monster.xml!C240</f>
        <v>56</v>
      </c>
      <c r="D236" t="str">
        <f>monster.xml!D240</f>
        <v>南森格林</v>
      </c>
      <c r="E236">
        <f>monster.xml!G240</f>
        <v>0</v>
      </c>
      <c r="F236" t="str">
        <f>monster.xml!X240</f>
        <v>monster/10047.png</v>
      </c>
      <c r="G236">
        <f>monster.xml!Y240</f>
        <v>1</v>
      </c>
    </row>
    <row r="237" spans="1:7">
      <c r="A237">
        <f>monster.xml!A241</f>
        <v>1029</v>
      </c>
      <c r="B237">
        <f>monster.xml!B241</f>
        <v>2001</v>
      </c>
      <c r="C237">
        <f>monster.xml!C241</f>
        <v>58</v>
      </c>
      <c r="D237" t="str">
        <f>monster.xml!D241</f>
        <v>大法师萨琳娜</v>
      </c>
      <c r="E237">
        <f>monster.xml!G241</f>
        <v>0</v>
      </c>
      <c r="F237" t="str">
        <f>monster.xml!X241</f>
        <v>monster/10049.png</v>
      </c>
      <c r="G237">
        <f>monster.xml!Y241</f>
        <v>1</v>
      </c>
    </row>
    <row r="238" spans="1:7">
      <c r="A238">
        <f>monster.xml!A242</f>
        <v>1030</v>
      </c>
      <c r="B238">
        <f>monster.xml!B242</f>
        <v>2001</v>
      </c>
      <c r="C238">
        <f>monster.xml!C242</f>
        <v>60</v>
      </c>
      <c r="D238" t="str">
        <f>monster.xml!D242</f>
        <v>监工金索克</v>
      </c>
      <c r="E238">
        <f>monster.xml!G242</f>
        <v>0</v>
      </c>
      <c r="F238" t="str">
        <f>monster.xml!X242</f>
        <v>monster/10051.png</v>
      </c>
      <c r="G238">
        <f>monster.xml!Y242</f>
        <v>1</v>
      </c>
    </row>
    <row r="239" spans="1:7">
      <c r="A239">
        <f>monster.xml!A243</f>
        <v>1031</v>
      </c>
      <c r="B239">
        <f>monster.xml!B243</f>
        <v>2001</v>
      </c>
      <c r="C239">
        <f>monster.xml!C243</f>
        <v>62</v>
      </c>
      <c r="D239" t="str">
        <f>monster.xml!D243</f>
        <v>杰森塔姆</v>
      </c>
      <c r="E239">
        <f>monster.xml!G243</f>
        <v>0</v>
      </c>
      <c r="F239" t="str">
        <f>monster.xml!X243</f>
        <v>monster/10053.png</v>
      </c>
      <c r="G239">
        <f>monster.xml!Y243</f>
        <v>1</v>
      </c>
    </row>
    <row r="240" spans="1:7">
      <c r="A240">
        <f>monster.xml!A244</f>
        <v>1032</v>
      </c>
      <c r="B240">
        <f>monster.xml!B244</f>
        <v>2001</v>
      </c>
      <c r="C240">
        <f>monster.xml!C244</f>
        <v>64</v>
      </c>
      <c r="D240" t="str">
        <f>monster.xml!D244</f>
        <v>守陵人伊利肯</v>
      </c>
      <c r="E240">
        <f>monster.xml!G244</f>
        <v>0</v>
      </c>
      <c r="F240" t="str">
        <f>monster.xml!X244</f>
        <v>monster/10055.png</v>
      </c>
      <c r="G240">
        <f>monster.xml!Y244</f>
        <v>1</v>
      </c>
    </row>
    <row r="241" spans="1:7">
      <c r="A241">
        <f>monster.xml!A245</f>
        <v>1033</v>
      </c>
      <c r="B241">
        <f>monster.xml!B245</f>
        <v>2001</v>
      </c>
      <c r="C241">
        <f>monster.xml!C245</f>
        <v>66</v>
      </c>
      <c r="D241" t="str">
        <f>monster.xml!D245</f>
        <v>伐木总管吉姆</v>
      </c>
      <c r="E241">
        <f>monster.xml!G245</f>
        <v>0</v>
      </c>
      <c r="F241" t="str">
        <f>monster.xml!X245</f>
        <v>monster/10057.png</v>
      </c>
      <c r="G241">
        <f>monster.xml!Y245</f>
        <v>1</v>
      </c>
    </row>
    <row r="242" spans="1:7">
      <c r="A242">
        <f>monster.xml!A246</f>
        <v>1034</v>
      </c>
      <c r="B242">
        <f>monster.xml!B246</f>
        <v>2001</v>
      </c>
      <c r="C242">
        <f>monster.xml!C246</f>
        <v>68</v>
      </c>
      <c r="D242" t="str">
        <f>monster.xml!D246</f>
        <v>典狱长里奇</v>
      </c>
      <c r="E242">
        <f>monster.xml!G246</f>
        <v>0</v>
      </c>
      <c r="F242" t="str">
        <f>monster.xml!X246</f>
        <v>monster/10059.png</v>
      </c>
      <c r="G242">
        <f>monster.xml!Y246</f>
        <v>1</v>
      </c>
    </row>
    <row r="243" spans="1:7">
      <c r="A243">
        <f>monster.xml!A247</f>
        <v>1035</v>
      </c>
      <c r="B243">
        <f>monster.xml!B247</f>
        <v>2001</v>
      </c>
      <c r="C243">
        <f>monster.xml!C247</f>
        <v>70</v>
      </c>
      <c r="D243" t="str">
        <f>monster.xml!D247</f>
        <v>帕奇维克</v>
      </c>
      <c r="E243">
        <f>monster.xml!G247</f>
        <v>0</v>
      </c>
      <c r="F243" t="str">
        <f>monster.xml!X247</f>
        <v>monster/10061.png</v>
      </c>
      <c r="G243">
        <f>monster.xml!Y247</f>
        <v>1</v>
      </c>
    </row>
    <row r="244" spans="1:7">
      <c r="A244">
        <f>monster.xml!A248</f>
        <v>1036</v>
      </c>
      <c r="B244">
        <f>monster.xml!B248</f>
        <v>2001</v>
      </c>
      <c r="C244">
        <f>monster.xml!C248</f>
        <v>72</v>
      </c>
      <c r="D244" t="str">
        <f>monster.xml!D248</f>
        <v>达雅的分身</v>
      </c>
      <c r="E244">
        <f>monster.xml!G248</f>
        <v>0</v>
      </c>
      <c r="F244" t="str">
        <f>monster.xml!X248</f>
        <v>monster/10131.png</v>
      </c>
      <c r="G244">
        <f>monster.xml!Y248</f>
        <v>1</v>
      </c>
    </row>
    <row r="245" spans="1:7">
      <c r="A245">
        <f>monster.xml!A249</f>
        <v>1037</v>
      </c>
      <c r="B245">
        <f>monster.xml!B249</f>
        <v>2001</v>
      </c>
      <c r="C245">
        <f>monster.xml!C249</f>
        <v>74</v>
      </c>
      <c r="D245" t="str">
        <f>monster.xml!D249</f>
        <v>恶魔微笑拉兹</v>
      </c>
      <c r="E245">
        <f>monster.xml!G249</f>
        <v>0</v>
      </c>
      <c r="F245" t="str">
        <f>monster.xml!X249</f>
        <v>monster/10132.png</v>
      </c>
      <c r="G245">
        <f>monster.xml!Y249</f>
        <v>1</v>
      </c>
    </row>
    <row r="246" spans="1:7">
      <c r="A246">
        <f>monster.xml!A250</f>
        <v>1038</v>
      </c>
      <c r="B246">
        <f>monster.xml!B250</f>
        <v>2001</v>
      </c>
      <c r="C246">
        <f>monster.xml!C250</f>
        <v>76</v>
      </c>
      <c r="D246" t="str">
        <f>monster.xml!D250</f>
        <v>骷髅领主艾伦</v>
      </c>
      <c r="E246">
        <f>monster.xml!G250</f>
        <v>0</v>
      </c>
      <c r="F246" t="str">
        <f>monster.xml!X250</f>
        <v>monster/10133.png</v>
      </c>
      <c r="G246">
        <f>monster.xml!Y250</f>
        <v>1</v>
      </c>
    </row>
    <row r="247" spans="1:7">
      <c r="A247">
        <f>monster.xml!A251</f>
        <v>1039</v>
      </c>
      <c r="B247">
        <f>monster.xml!B251</f>
        <v>2001</v>
      </c>
      <c r="C247">
        <f>monster.xml!C251</f>
        <v>78</v>
      </c>
      <c r="D247" t="str">
        <f>monster.xml!D251</f>
        <v>阿那卡利斯</v>
      </c>
      <c r="E247">
        <f>monster.xml!G251</f>
        <v>0</v>
      </c>
      <c r="F247" t="str">
        <f>monster.xml!X251</f>
        <v>monster/10134.png</v>
      </c>
      <c r="G247">
        <f>monster.xml!Y251</f>
        <v>1</v>
      </c>
    </row>
    <row r="248" spans="1:7">
      <c r="A248">
        <f>monster.xml!A252</f>
        <v>1040</v>
      </c>
      <c r="B248">
        <f>monster.xml!B252</f>
        <v>2001</v>
      </c>
      <c r="C248">
        <f>monster.xml!C252</f>
        <v>80</v>
      </c>
      <c r="D248" t="str">
        <f>monster.xml!D252</f>
        <v>饮光之峰玛卡</v>
      </c>
      <c r="E248">
        <f>monster.xml!G252</f>
        <v>0</v>
      </c>
      <c r="F248" t="str">
        <f>monster.xml!X252</f>
        <v>monster/10135.png</v>
      </c>
      <c r="G248">
        <f>monster.xml!Y252</f>
        <v>1</v>
      </c>
    </row>
    <row r="249" spans="1:7">
      <c r="A249">
        <f>monster.xml!A253</f>
        <v>1041</v>
      </c>
      <c r="B249">
        <f>monster.xml!B253</f>
        <v>2001</v>
      </c>
      <c r="C249">
        <f>monster.xml!C253</f>
        <v>82</v>
      </c>
      <c r="D249" t="str">
        <f>monster.xml!D253</f>
        <v>特伦斯黑风</v>
      </c>
      <c r="E249">
        <f>monster.xml!G253</f>
        <v>0</v>
      </c>
      <c r="F249" t="str">
        <f>monster.xml!X253</f>
        <v>monster/10136.png</v>
      </c>
      <c r="G249">
        <f>monster.xml!Y253</f>
        <v>1</v>
      </c>
    </row>
    <row r="250" spans="1:7">
      <c r="A250">
        <f>monster.xml!A254</f>
        <v>1042</v>
      </c>
      <c r="B250">
        <f>monster.xml!B254</f>
        <v>2001</v>
      </c>
      <c r="C250">
        <f>monster.xml!C254</f>
        <v>84</v>
      </c>
      <c r="D250" t="str">
        <f>monster.xml!D254</f>
        <v>努玛守护拉德</v>
      </c>
      <c r="E250">
        <f>monster.xml!G254</f>
        <v>0</v>
      </c>
      <c r="F250" t="str">
        <f>monster.xml!X254</f>
        <v>monster/10137.png</v>
      </c>
      <c r="G250">
        <f>monster.xml!Y254</f>
        <v>1</v>
      </c>
    </row>
    <row r="251" spans="1:7">
      <c r="A251">
        <f>monster.xml!A255</f>
        <v>1043</v>
      </c>
      <c r="B251">
        <f>monster.xml!B255</f>
        <v>2001</v>
      </c>
      <c r="C251">
        <f>monster.xml!C255</f>
        <v>86</v>
      </c>
      <c r="D251" t="str">
        <f>monster.xml!D255</f>
        <v>引魂师克里斯</v>
      </c>
      <c r="E251">
        <f>monster.xml!G255</f>
        <v>0</v>
      </c>
      <c r="F251" t="str">
        <f>monster.xml!X255</f>
        <v>monster/10138.png</v>
      </c>
      <c r="G251">
        <f>monster.xml!Y255</f>
        <v>1</v>
      </c>
    </row>
    <row r="252" spans="1:7">
      <c r="A252">
        <f>monster.xml!A256</f>
        <v>1044</v>
      </c>
      <c r="B252">
        <f>monster.xml!B256</f>
        <v>2001</v>
      </c>
      <c r="C252">
        <f>monster.xml!C256</f>
        <v>88</v>
      </c>
      <c r="D252" t="str">
        <f>monster.xml!D256</f>
        <v>霜寒矿主鲍勃</v>
      </c>
      <c r="E252">
        <f>monster.xml!G256</f>
        <v>0</v>
      </c>
      <c r="F252" t="str">
        <f>monster.xml!X256</f>
        <v>monster/10139.png</v>
      </c>
      <c r="G252">
        <f>monster.xml!Y256</f>
        <v>1</v>
      </c>
    </row>
    <row r="253" spans="1:7">
      <c r="A253">
        <f>monster.xml!A257</f>
        <v>1045</v>
      </c>
      <c r="B253">
        <f>monster.xml!B257</f>
        <v>2001</v>
      </c>
      <c r="C253">
        <f>monster.xml!C257</f>
        <v>90</v>
      </c>
      <c r="D253" t="str">
        <f>monster.xml!D257</f>
        <v>铸造者科莫兹</v>
      </c>
      <c r="E253">
        <f>monster.xml!G257</f>
        <v>0</v>
      </c>
      <c r="F253" t="str">
        <f>monster.xml!X257</f>
        <v>monster/10140.png</v>
      </c>
      <c r="G253">
        <f>monster.xml!Y257</f>
        <v>1</v>
      </c>
    </row>
    <row r="254" spans="1:7">
      <c r="A254">
        <f>monster.xml!A258</f>
        <v>1046</v>
      </c>
      <c r="B254">
        <f>monster.xml!B258</f>
        <v>2001</v>
      </c>
      <c r="C254">
        <f>monster.xml!C258</f>
        <v>92</v>
      </c>
      <c r="D254" t="str">
        <f>monster.xml!D258</f>
        <v>嗜血的约书亚</v>
      </c>
      <c r="E254">
        <f>monster.xml!G258</f>
        <v>0</v>
      </c>
      <c r="F254" t="str">
        <f>monster.xml!X258</f>
        <v>monster/10141.png</v>
      </c>
      <c r="G254">
        <f>monster.xml!Y258</f>
        <v>1</v>
      </c>
    </row>
    <row r="255" spans="1:7">
      <c r="A255">
        <f>monster.xml!A259</f>
        <v>1047</v>
      </c>
      <c r="B255">
        <f>monster.xml!B259</f>
        <v>2001</v>
      </c>
      <c r="C255">
        <f>monster.xml!C259</f>
        <v>94</v>
      </c>
      <c r="D255" t="str">
        <f>monster.xml!D259</f>
        <v>苦修者艾亚</v>
      </c>
      <c r="E255">
        <f>monster.xml!G259</f>
        <v>0</v>
      </c>
      <c r="F255" t="str">
        <f>monster.xml!X259</f>
        <v>monster/10136.png</v>
      </c>
      <c r="G255">
        <f>monster.xml!Y259</f>
        <v>1</v>
      </c>
    </row>
    <row r="256" spans="1:7">
      <c r="A256">
        <f>monster.xml!A260</f>
        <v>1048</v>
      </c>
      <c r="B256">
        <f>monster.xml!B260</f>
        <v>2001</v>
      </c>
      <c r="C256">
        <f>monster.xml!C260</f>
        <v>96</v>
      </c>
      <c r="D256" t="str">
        <f>monster.xml!D260</f>
        <v>庭守克比斯多</v>
      </c>
      <c r="E256">
        <f>monster.xml!G260</f>
        <v>0</v>
      </c>
      <c r="F256" t="str">
        <f>monster.xml!X260</f>
        <v>monster/10131.png</v>
      </c>
      <c r="G256">
        <f>monster.xml!Y260</f>
        <v>1</v>
      </c>
    </row>
    <row r="257" spans="1:7">
      <c r="A257">
        <f>monster.xml!A261</f>
        <v>1049</v>
      </c>
      <c r="B257">
        <f>monster.xml!B261</f>
        <v>2001</v>
      </c>
      <c r="C257">
        <f>monster.xml!C261</f>
        <v>98</v>
      </c>
      <c r="D257" t="str">
        <f>monster.xml!D261</f>
        <v>隐藏者麦肯</v>
      </c>
      <c r="E257">
        <f>monster.xml!G261</f>
        <v>0</v>
      </c>
      <c r="F257" t="str">
        <f>monster.xml!X261</f>
        <v>monster/10126.png</v>
      </c>
      <c r="G257">
        <f>monster.xml!Y261</f>
        <v>1</v>
      </c>
    </row>
    <row r="258" spans="1:7">
      <c r="A258">
        <f>monster.xml!A262</f>
        <v>1050</v>
      </c>
      <c r="B258">
        <f>monster.xml!B262</f>
        <v>2001</v>
      </c>
      <c r="C258">
        <f>monster.xml!C262</f>
        <v>100</v>
      </c>
      <c r="D258" t="str">
        <f>monster.xml!D262</f>
        <v>往生者奥斯卡</v>
      </c>
      <c r="E258">
        <f>monster.xml!G262</f>
        <v>0</v>
      </c>
      <c r="F258" t="str">
        <f>monster.xml!X262</f>
        <v>monster/10121.png</v>
      </c>
      <c r="G258">
        <f>monster.xml!Y262</f>
        <v>1</v>
      </c>
    </row>
    <row r="259" spans="1:7">
      <c r="A259">
        <f>monster.xml!A263</f>
        <v>1051</v>
      </c>
      <c r="B259">
        <f>monster.xml!B263</f>
        <v>2001</v>
      </c>
      <c r="C259">
        <f>monster.xml!C263</f>
        <v>101</v>
      </c>
      <c r="D259" t="str">
        <f>monster.xml!D263</f>
        <v>恶魔将军安塔</v>
      </c>
      <c r="E259">
        <f>monster.xml!G263</f>
        <v>0</v>
      </c>
      <c r="F259" t="str">
        <f>monster.xml!X263</f>
        <v>monster/10116.png</v>
      </c>
      <c r="G259">
        <f>monster.xml!Y263</f>
        <v>1</v>
      </c>
    </row>
    <row r="260" spans="1:7">
      <c r="A260">
        <f>monster.xml!A264</f>
        <v>1052</v>
      </c>
      <c r="B260">
        <f>monster.xml!B264</f>
        <v>2001</v>
      </c>
      <c r="C260">
        <f>monster.xml!C264</f>
        <v>102</v>
      </c>
      <c r="D260" t="str">
        <f>monster.xml!D264</f>
        <v>里奥伯特</v>
      </c>
      <c r="E260">
        <f>monster.xml!G264</f>
        <v>0</v>
      </c>
      <c r="F260" t="str">
        <f>monster.xml!X264</f>
        <v>monster/10111.png</v>
      </c>
      <c r="G260">
        <f>monster.xml!Y264</f>
        <v>1</v>
      </c>
    </row>
    <row r="261" spans="1:7">
      <c r="A261">
        <f>monster.xml!A265</f>
        <v>9000</v>
      </c>
      <c r="B261">
        <f>monster.xml!B265</f>
        <v>2003</v>
      </c>
      <c r="C261">
        <f>monster.xml!C265</f>
        <v>10</v>
      </c>
      <c r="D261" t="str">
        <f>monster.xml!D265</f>
        <v>子车鸿德</v>
      </c>
      <c r="E261">
        <f>monster.xml!G265</f>
        <v>25</v>
      </c>
      <c r="F261" t="str">
        <f>monster.xml!X265</f>
        <v>UI/Program/HeroMaster_Man_1.png</v>
      </c>
      <c r="G261">
        <f>monster.xml!Y265</f>
        <v>0</v>
      </c>
    </row>
    <row r="262" spans="1:7">
      <c r="A262">
        <f>monster.xml!A266</f>
        <v>9001</v>
      </c>
      <c r="B262">
        <f>monster.xml!B266</f>
        <v>2001</v>
      </c>
      <c r="C262">
        <f>monster.xml!C266</f>
        <v>10</v>
      </c>
      <c r="D262" t="str">
        <f>monster.xml!D266</f>
        <v>阴博涉</v>
      </c>
      <c r="E262">
        <f>monster.xml!G266</f>
        <v>3</v>
      </c>
      <c r="F262" t="str">
        <f>monster.xml!X266</f>
        <v>UI/Program/HeroWarrior_Man_1.png</v>
      </c>
      <c r="G262">
        <f>monster.xml!Y266</f>
        <v>0</v>
      </c>
    </row>
    <row r="263" spans="1:7">
      <c r="A263">
        <f>monster.xml!A267</f>
        <v>9002</v>
      </c>
      <c r="B263">
        <f>monster.xml!B267</f>
        <v>2002</v>
      </c>
      <c r="C263">
        <f>monster.xml!C267</f>
        <v>10</v>
      </c>
      <c r="D263" t="str">
        <f>monster.xml!D267</f>
        <v>庚明达</v>
      </c>
      <c r="E263">
        <f>monster.xml!G267</f>
        <v>16</v>
      </c>
      <c r="F263" t="str">
        <f>monster.xml!X267</f>
        <v>UI/Program/HeroHunter_Man_1.png</v>
      </c>
      <c r="G263">
        <f>monster.xml!Y267</f>
        <v>0</v>
      </c>
    </row>
    <row r="264" spans="1:7">
      <c r="A264">
        <f>monster.xml!A268</f>
        <v>9003</v>
      </c>
      <c r="B264">
        <f>monster.xml!B268</f>
        <v>2003</v>
      </c>
      <c r="C264">
        <f>monster.xml!C268</f>
        <v>10</v>
      </c>
      <c r="D264" t="str">
        <f>monster.xml!D268</f>
        <v>令狐旭彬</v>
      </c>
      <c r="E264">
        <f>monster.xml!G268</f>
        <v>22</v>
      </c>
      <c r="F264" t="str">
        <f>monster.xml!X268</f>
        <v>UI/Program/HeroMaster_Woman_1.png</v>
      </c>
      <c r="G264">
        <f>monster.xml!Y268</f>
        <v>0</v>
      </c>
    </row>
    <row r="265" spans="1:7">
      <c r="A265">
        <f>monster.xml!A269</f>
        <v>9004</v>
      </c>
      <c r="B265">
        <f>monster.xml!B269</f>
        <v>2001</v>
      </c>
      <c r="C265">
        <f>monster.xml!C269</f>
        <v>10</v>
      </c>
      <c r="D265" t="str">
        <f>monster.xml!D269</f>
        <v>辉安国</v>
      </c>
      <c r="E265">
        <f>monster.xml!G269</f>
        <v>9</v>
      </c>
      <c r="F265" t="str">
        <f>monster.xml!X269</f>
        <v>UI/Program/HeroWarrior_Woman_1.png</v>
      </c>
      <c r="G265">
        <f>monster.xml!Y269</f>
        <v>0</v>
      </c>
    </row>
    <row r="266" spans="1:7">
      <c r="A266">
        <f>monster.xml!A270</f>
        <v>9005</v>
      </c>
      <c r="B266">
        <f>monster.xml!B270</f>
        <v>2002</v>
      </c>
      <c r="C266">
        <f>monster.xml!C270</f>
        <v>11</v>
      </c>
      <c r="D266" t="str">
        <f>monster.xml!D270</f>
        <v>狄昂雄</v>
      </c>
      <c r="E266">
        <f>monster.xml!G270</f>
        <v>16</v>
      </c>
      <c r="F266" t="str">
        <f>monster.xml!X270</f>
        <v>UI/Program/HeroHunter_Woman_1.png</v>
      </c>
      <c r="G266">
        <f>monster.xml!Y270</f>
        <v>0</v>
      </c>
    </row>
    <row r="267" spans="1:7">
      <c r="A267">
        <f>monster.xml!A271</f>
        <v>9006</v>
      </c>
      <c r="B267">
        <f>monster.xml!B271</f>
        <v>2003</v>
      </c>
      <c r="C267">
        <f>monster.xml!C271</f>
        <v>11</v>
      </c>
      <c r="D267" t="str">
        <f>monster.xml!D271</f>
        <v>訾阳曦</v>
      </c>
      <c r="E267">
        <f>monster.xml!G271</f>
        <v>25</v>
      </c>
      <c r="F267" t="str">
        <f>monster.xml!X271</f>
        <v>UI/Program/HeroMaster_Man_1.png</v>
      </c>
      <c r="G267">
        <f>monster.xml!Y271</f>
        <v>0</v>
      </c>
    </row>
    <row r="268" spans="1:7">
      <c r="A268">
        <f>monster.xml!A272</f>
        <v>9007</v>
      </c>
      <c r="B268">
        <f>monster.xml!B272</f>
        <v>2001</v>
      </c>
      <c r="C268">
        <f>monster.xml!C272</f>
        <v>11</v>
      </c>
      <c r="D268" t="str">
        <f>monster.xml!D272</f>
        <v>漆国兴</v>
      </c>
      <c r="E268">
        <f>monster.xml!G272</f>
        <v>7</v>
      </c>
      <c r="F268" t="str">
        <f>monster.xml!X272</f>
        <v>UI/Program/HeroWarrior_Man_1.png</v>
      </c>
      <c r="G268">
        <f>monster.xml!Y272</f>
        <v>0</v>
      </c>
    </row>
    <row r="269" spans="1:7">
      <c r="A269">
        <f>monster.xml!A273</f>
        <v>9008</v>
      </c>
      <c r="B269">
        <f>monster.xml!B273</f>
        <v>2002</v>
      </c>
      <c r="C269">
        <f>monster.xml!C273</f>
        <v>11</v>
      </c>
      <c r="D269" t="str">
        <f>monster.xml!D273</f>
        <v>剑旭尧</v>
      </c>
      <c r="E269">
        <f>monster.xml!G273</f>
        <v>12</v>
      </c>
      <c r="F269" t="str">
        <f>monster.xml!X273</f>
        <v>UI/Program/HeroHunter_Man_1.png</v>
      </c>
      <c r="G269">
        <f>monster.xml!Y273</f>
        <v>0</v>
      </c>
    </row>
    <row r="270" spans="1:7">
      <c r="A270">
        <f>monster.xml!A274</f>
        <v>9009</v>
      </c>
      <c r="B270">
        <f>monster.xml!B274</f>
        <v>2003</v>
      </c>
      <c r="C270">
        <f>monster.xml!C274</f>
        <v>11</v>
      </c>
      <c r="D270" t="str">
        <f>monster.xml!D274</f>
        <v>枚元青</v>
      </c>
      <c r="E270">
        <f>monster.xml!G274</f>
        <v>21</v>
      </c>
      <c r="F270" t="str">
        <f>monster.xml!X274</f>
        <v>UI/Program/HeroMaster_Woman_1.png</v>
      </c>
      <c r="G270">
        <f>monster.xml!Y274</f>
        <v>0</v>
      </c>
    </row>
    <row r="271" spans="1:7">
      <c r="A271">
        <f>monster.xml!A275</f>
        <v>9010</v>
      </c>
      <c r="B271">
        <f>monster.xml!B275</f>
        <v>2001</v>
      </c>
      <c r="C271">
        <f>monster.xml!C275</f>
        <v>12</v>
      </c>
      <c r="D271" t="str">
        <f>monster.xml!D275</f>
        <v>星元恺</v>
      </c>
      <c r="E271">
        <f>monster.xml!G275</f>
        <v>10</v>
      </c>
      <c r="F271" t="str">
        <f>monster.xml!X275</f>
        <v>UI/Program/HeroWarrior_Woman_1.png</v>
      </c>
      <c r="G271">
        <f>monster.xml!Y275</f>
        <v>0</v>
      </c>
    </row>
    <row r="272" spans="1:7">
      <c r="A272">
        <f>monster.xml!A276</f>
        <v>9011</v>
      </c>
      <c r="B272">
        <f>monster.xml!B276</f>
        <v>2002</v>
      </c>
      <c r="C272">
        <f>monster.xml!C276</f>
        <v>12</v>
      </c>
      <c r="D272" t="str">
        <f>monster.xml!D276</f>
        <v>秋承宣</v>
      </c>
      <c r="E272">
        <f>monster.xml!G276</f>
        <v>16</v>
      </c>
      <c r="F272" t="str">
        <f>monster.xml!X276</f>
        <v>UI/Program/HeroHunter_Woman_1.png</v>
      </c>
      <c r="G272">
        <f>monster.xml!Y276</f>
        <v>0</v>
      </c>
    </row>
    <row r="273" spans="1:7">
      <c r="A273">
        <f>monster.xml!A277</f>
        <v>9012</v>
      </c>
      <c r="B273">
        <f>monster.xml!B277</f>
        <v>2003</v>
      </c>
      <c r="C273">
        <f>monster.xml!C277</f>
        <v>12</v>
      </c>
      <c r="D273" t="str">
        <f>monster.xml!D277</f>
        <v>濯俊逸</v>
      </c>
      <c r="E273">
        <f>monster.xml!G277</f>
        <v>23</v>
      </c>
      <c r="F273" t="str">
        <f>monster.xml!X277</f>
        <v>UI/Program/HeroMaster_Man_1.png</v>
      </c>
      <c r="G273">
        <f>monster.xml!Y277</f>
        <v>0</v>
      </c>
    </row>
    <row r="274" spans="1:7">
      <c r="A274">
        <f>monster.xml!A278</f>
        <v>9013</v>
      </c>
      <c r="B274">
        <f>monster.xml!B278</f>
        <v>2001</v>
      </c>
      <c r="C274">
        <f>monster.xml!C278</f>
        <v>12</v>
      </c>
      <c r="D274" t="str">
        <f>monster.xml!D278</f>
        <v>安奇逸</v>
      </c>
      <c r="E274">
        <f>monster.xml!G278</f>
        <v>4</v>
      </c>
      <c r="F274" t="str">
        <f>monster.xml!X278</f>
        <v>UI/Program/HeroWarrior_Man_1.png</v>
      </c>
      <c r="G274">
        <f>monster.xml!Y278</f>
        <v>0</v>
      </c>
    </row>
    <row r="275" spans="1:7">
      <c r="A275">
        <f>monster.xml!A279</f>
        <v>9014</v>
      </c>
      <c r="B275">
        <f>monster.xml!B279</f>
        <v>2002</v>
      </c>
      <c r="C275">
        <f>monster.xml!C279</f>
        <v>12</v>
      </c>
      <c r="D275" t="str">
        <f>monster.xml!D279</f>
        <v>尹君浩</v>
      </c>
      <c r="E275">
        <f>monster.xml!G279</f>
        <v>19</v>
      </c>
      <c r="F275" t="str">
        <f>monster.xml!X279</f>
        <v>UI/Program/HeroHunter_Man_1.png</v>
      </c>
      <c r="G275">
        <f>monster.xml!Y279</f>
        <v>0</v>
      </c>
    </row>
    <row r="276" spans="1:7">
      <c r="A276">
        <f>monster.xml!A280</f>
        <v>9015</v>
      </c>
      <c r="B276">
        <f>monster.xml!B280</f>
        <v>2003</v>
      </c>
      <c r="C276">
        <f>monster.xml!C280</f>
        <v>13</v>
      </c>
      <c r="D276" t="str">
        <f>monster.xml!D280</f>
        <v>刁弘懿</v>
      </c>
      <c r="E276">
        <f>monster.xml!G280</f>
        <v>26</v>
      </c>
      <c r="F276" t="str">
        <f>monster.xml!X280</f>
        <v>UI/Program/HeroMaster_Woman_1.png</v>
      </c>
      <c r="G276">
        <f>monster.xml!Y280</f>
        <v>0</v>
      </c>
    </row>
    <row r="277" spans="1:7">
      <c r="A277">
        <f>monster.xml!A281</f>
        <v>9016</v>
      </c>
      <c r="B277">
        <f>monster.xml!B281</f>
        <v>2001</v>
      </c>
      <c r="C277">
        <f>monster.xml!C281</f>
        <v>13</v>
      </c>
      <c r="D277" t="str">
        <f>monster.xml!D281</f>
        <v>锺离骏伟</v>
      </c>
      <c r="E277">
        <f>monster.xml!G281</f>
        <v>3</v>
      </c>
      <c r="F277" t="str">
        <f>monster.xml!X281</f>
        <v>UI/Program/HeroWarrior_Woman_1.png</v>
      </c>
      <c r="G277">
        <f>monster.xml!Y281</f>
        <v>0</v>
      </c>
    </row>
    <row r="278" spans="1:7">
      <c r="A278">
        <f>monster.xml!A282</f>
        <v>9017</v>
      </c>
      <c r="B278">
        <f>monster.xml!B282</f>
        <v>2002</v>
      </c>
      <c r="C278">
        <f>monster.xml!C282</f>
        <v>13</v>
      </c>
      <c r="D278" t="str">
        <f>monster.xml!D282</f>
        <v>袭浦和</v>
      </c>
      <c r="E278">
        <f>monster.xml!G282</f>
        <v>13</v>
      </c>
      <c r="F278" t="str">
        <f>monster.xml!X282</f>
        <v>UI/Program/HeroHunter_Woman_1.png</v>
      </c>
      <c r="G278">
        <f>monster.xml!Y282</f>
        <v>0</v>
      </c>
    </row>
    <row r="279" spans="1:7">
      <c r="A279">
        <f>monster.xml!A283</f>
        <v>9018</v>
      </c>
      <c r="B279">
        <f>monster.xml!B283</f>
        <v>2003</v>
      </c>
      <c r="C279">
        <f>monster.xml!C283</f>
        <v>13</v>
      </c>
      <c r="D279" t="str">
        <f>monster.xml!D283</f>
        <v>能高格</v>
      </c>
      <c r="E279">
        <f>monster.xml!G283</f>
        <v>23</v>
      </c>
      <c r="F279" t="str">
        <f>monster.xml!X283</f>
        <v>UI/Program/HeroMaster_Man_1.png</v>
      </c>
      <c r="G279">
        <f>monster.xml!Y283</f>
        <v>0</v>
      </c>
    </row>
    <row r="280" spans="1:7">
      <c r="A280">
        <f>monster.xml!A284</f>
        <v>9019</v>
      </c>
      <c r="B280">
        <f>monster.xml!B284</f>
        <v>2001</v>
      </c>
      <c r="C280">
        <f>monster.xml!C284</f>
        <v>13</v>
      </c>
      <c r="D280" t="str">
        <f>monster.xml!D284</f>
        <v>阚信然</v>
      </c>
      <c r="E280">
        <f>monster.xml!G284</f>
        <v>10</v>
      </c>
      <c r="F280" t="str">
        <f>monster.xml!X284</f>
        <v>UI/Program/HeroWarrior_Man_1.png</v>
      </c>
      <c r="G280">
        <f>monster.xml!Y284</f>
        <v>0</v>
      </c>
    </row>
    <row r="281" spans="1:7">
      <c r="A281">
        <f>monster.xml!A285</f>
        <v>9020</v>
      </c>
      <c r="B281">
        <f>monster.xml!B285</f>
        <v>2002</v>
      </c>
      <c r="C281">
        <f>monster.xml!C285</f>
        <v>14</v>
      </c>
      <c r="D281" t="str">
        <f>monster.xml!D285</f>
        <v>太史开霁</v>
      </c>
      <c r="E281">
        <f>monster.xml!G285</f>
        <v>12</v>
      </c>
      <c r="F281" t="str">
        <f>monster.xml!X285</f>
        <v>UI/Program/HeroHunter_Man_1.png</v>
      </c>
      <c r="G281">
        <f>monster.xml!Y285</f>
        <v>0</v>
      </c>
    </row>
    <row r="282" spans="1:7">
      <c r="A282">
        <f>monster.xml!A286</f>
        <v>9021</v>
      </c>
      <c r="B282">
        <f>monster.xml!B286</f>
        <v>2003</v>
      </c>
      <c r="C282">
        <f>monster.xml!C286</f>
        <v>14</v>
      </c>
      <c r="D282" t="str">
        <f>monster.xml!D286</f>
        <v>贲俊悟</v>
      </c>
      <c r="E282">
        <f>monster.xml!G286</f>
        <v>24</v>
      </c>
      <c r="F282" t="str">
        <f>monster.xml!X286</f>
        <v>UI/Program/HeroMaster_Woman_1.png</v>
      </c>
      <c r="G282">
        <f>monster.xml!Y286</f>
        <v>0</v>
      </c>
    </row>
    <row r="283" spans="1:7">
      <c r="A283">
        <f>monster.xml!A287</f>
        <v>9022</v>
      </c>
      <c r="B283">
        <f>monster.xml!B287</f>
        <v>2001</v>
      </c>
      <c r="C283">
        <f>monster.xml!C287</f>
        <v>14</v>
      </c>
      <c r="D283" t="str">
        <f>monster.xml!D287</f>
        <v>买文柏</v>
      </c>
      <c r="E283">
        <f>monster.xml!G287</f>
        <v>10</v>
      </c>
      <c r="F283" t="str">
        <f>monster.xml!X287</f>
        <v>UI/Program/HeroWarrior_Woman_1.png</v>
      </c>
      <c r="G283">
        <f>monster.xml!Y287</f>
        <v>0</v>
      </c>
    </row>
    <row r="284" spans="1:7">
      <c r="A284">
        <f>monster.xml!A288</f>
        <v>9023</v>
      </c>
      <c r="B284">
        <f>monster.xml!B288</f>
        <v>2002</v>
      </c>
      <c r="C284">
        <f>monster.xml!C288</f>
        <v>14</v>
      </c>
      <c r="D284" t="str">
        <f>monster.xml!D288</f>
        <v>裘弘伟</v>
      </c>
      <c r="E284">
        <f>monster.xml!G288</f>
        <v>17</v>
      </c>
      <c r="F284" t="str">
        <f>monster.xml!X288</f>
        <v>UI/Program/HeroHunter_Woman_1.png</v>
      </c>
      <c r="G284">
        <f>monster.xml!Y288</f>
        <v>0</v>
      </c>
    </row>
    <row r="285" spans="1:7">
      <c r="A285">
        <f>monster.xml!A289</f>
        <v>9024</v>
      </c>
      <c r="B285">
        <f>monster.xml!B289</f>
        <v>2003</v>
      </c>
      <c r="C285">
        <f>monster.xml!C289</f>
        <v>14</v>
      </c>
      <c r="D285" t="str">
        <f>monster.xml!D289</f>
        <v>江晋鹏</v>
      </c>
      <c r="E285">
        <f>monster.xml!G289</f>
        <v>24</v>
      </c>
      <c r="F285" t="str">
        <f>monster.xml!X289</f>
        <v>UI/Program/HeroMaster_Man_1.png</v>
      </c>
      <c r="G285">
        <f>monster.xml!Y289</f>
        <v>0</v>
      </c>
    </row>
    <row r="286" spans="1:7">
      <c r="A286">
        <f>monster.xml!A290</f>
        <v>9025</v>
      </c>
      <c r="B286">
        <f>monster.xml!B290</f>
        <v>2001</v>
      </c>
      <c r="C286">
        <f>monster.xml!C290</f>
        <v>15</v>
      </c>
      <c r="D286" t="str">
        <f>monster.xml!D290</f>
        <v>左丘建木</v>
      </c>
      <c r="E286">
        <f>monster.xml!G290</f>
        <v>7</v>
      </c>
      <c r="F286" t="str">
        <f>monster.xml!X290</f>
        <v>UI/Program/HeroWarrior_Man_1.png</v>
      </c>
      <c r="G286">
        <f>monster.xml!Y290</f>
        <v>0</v>
      </c>
    </row>
    <row r="287" spans="1:7">
      <c r="A287">
        <f>monster.xml!A291</f>
        <v>9026</v>
      </c>
      <c r="B287">
        <f>monster.xml!B291</f>
        <v>2002</v>
      </c>
      <c r="C287">
        <f>monster.xml!C291</f>
        <v>15</v>
      </c>
      <c r="D287" t="str">
        <f>monster.xml!D291</f>
        <v>司寇德华</v>
      </c>
      <c r="E287">
        <f>monster.xml!G291</f>
        <v>12</v>
      </c>
      <c r="F287" t="str">
        <f>monster.xml!X291</f>
        <v>UI/Program/HeroHunter_Man_1.png</v>
      </c>
      <c r="G287">
        <f>monster.xml!Y291</f>
        <v>0</v>
      </c>
    </row>
    <row r="288" spans="1:7">
      <c r="A288">
        <f>monster.xml!A292</f>
        <v>9027</v>
      </c>
      <c r="B288">
        <f>monster.xml!B292</f>
        <v>2003</v>
      </c>
      <c r="C288">
        <f>monster.xml!C292</f>
        <v>15</v>
      </c>
      <c r="D288" t="str">
        <f>monster.xml!D292</f>
        <v>晁兴国</v>
      </c>
      <c r="E288">
        <f>monster.xml!G292</f>
        <v>22</v>
      </c>
      <c r="F288" t="str">
        <f>monster.xml!X292</f>
        <v>UI/Program/HeroMaster_Woman_1.png</v>
      </c>
      <c r="G288">
        <f>monster.xml!Y292</f>
        <v>0</v>
      </c>
    </row>
    <row r="289" spans="1:7">
      <c r="A289">
        <f>monster.xml!A293</f>
        <v>9028</v>
      </c>
      <c r="B289">
        <f>monster.xml!B293</f>
        <v>2001</v>
      </c>
      <c r="C289">
        <f>monster.xml!C293</f>
        <v>15</v>
      </c>
      <c r="D289" t="str">
        <f>monster.xml!D293</f>
        <v>柴永贞</v>
      </c>
      <c r="E289">
        <f>monster.xml!G293</f>
        <v>4</v>
      </c>
      <c r="F289" t="str">
        <f>monster.xml!X293</f>
        <v>UI/Program/HeroWarrior_Woman_1.png</v>
      </c>
      <c r="G289">
        <f>monster.xml!Y293</f>
        <v>0</v>
      </c>
    </row>
    <row r="290" spans="1:7">
      <c r="A290">
        <f>monster.xml!A294</f>
        <v>9029</v>
      </c>
      <c r="B290">
        <f>monster.xml!B294</f>
        <v>2002</v>
      </c>
      <c r="C290">
        <f>monster.xml!C294</f>
        <v>15</v>
      </c>
      <c r="D290" t="str">
        <f>monster.xml!D294</f>
        <v>茂永昌</v>
      </c>
      <c r="E290">
        <f>monster.xml!G294</f>
        <v>15</v>
      </c>
      <c r="F290" t="str">
        <f>monster.xml!X294</f>
        <v>UI/Program/HeroHunter_Woman_1.png</v>
      </c>
      <c r="G290">
        <f>monster.xml!Y294</f>
        <v>0</v>
      </c>
    </row>
    <row r="291" spans="1:7">
      <c r="A291">
        <f>monster.xml!A295</f>
        <v>9030</v>
      </c>
      <c r="B291">
        <f>monster.xml!B295</f>
        <v>2003</v>
      </c>
      <c r="C291">
        <f>monster.xml!C295</f>
        <v>16</v>
      </c>
      <c r="D291" t="str">
        <f>monster.xml!D295</f>
        <v>郎英朗</v>
      </c>
      <c r="E291">
        <f>monster.xml!G295</f>
        <v>28</v>
      </c>
      <c r="F291" t="str">
        <f>monster.xml!X295</f>
        <v>UI/Program/HeroMaster_Man_1.png</v>
      </c>
      <c r="G291">
        <f>monster.xml!Y295</f>
        <v>0</v>
      </c>
    </row>
    <row r="292" spans="1:7">
      <c r="A292">
        <f>monster.xml!A296</f>
        <v>9031</v>
      </c>
      <c r="B292">
        <f>monster.xml!B296</f>
        <v>2001</v>
      </c>
      <c r="C292">
        <f>monster.xml!C296</f>
        <v>16</v>
      </c>
      <c r="D292" t="str">
        <f>monster.xml!D296</f>
        <v>苦嘉石</v>
      </c>
      <c r="E292">
        <f>monster.xml!G296</f>
        <v>6</v>
      </c>
      <c r="F292" t="str">
        <f>monster.xml!X296</f>
        <v>UI/Program/HeroWarrior_Man_1.png</v>
      </c>
      <c r="G292">
        <f>monster.xml!Y296</f>
        <v>0</v>
      </c>
    </row>
    <row r="293" spans="1:7">
      <c r="A293">
        <f>monster.xml!A297</f>
        <v>9032</v>
      </c>
      <c r="B293">
        <f>monster.xml!B297</f>
        <v>2002</v>
      </c>
      <c r="C293">
        <f>monster.xml!C297</f>
        <v>16</v>
      </c>
      <c r="D293" t="str">
        <f>monster.xml!D297</f>
        <v>素志文</v>
      </c>
      <c r="E293">
        <f>monster.xml!G297</f>
        <v>15</v>
      </c>
      <c r="F293" t="str">
        <f>monster.xml!X297</f>
        <v>UI/Program/HeroHunter_Man_1.png</v>
      </c>
      <c r="G293">
        <f>monster.xml!Y297</f>
        <v>0</v>
      </c>
    </row>
    <row r="294" spans="1:7">
      <c r="A294">
        <f>monster.xml!A298</f>
        <v>9033</v>
      </c>
      <c r="B294">
        <f>monster.xml!B298</f>
        <v>2003</v>
      </c>
      <c r="C294">
        <f>monster.xml!C298</f>
        <v>16</v>
      </c>
      <c r="D294" t="str">
        <f>monster.xml!D298</f>
        <v>奚运盛</v>
      </c>
      <c r="E294">
        <f>monster.xml!G298</f>
        <v>23</v>
      </c>
      <c r="F294" t="str">
        <f>monster.xml!X298</f>
        <v>UI/Program/HeroMaster_Woman_1.png</v>
      </c>
      <c r="G294">
        <f>monster.xml!Y298</f>
        <v>0</v>
      </c>
    </row>
    <row r="295" spans="1:7">
      <c r="A295">
        <f>monster.xml!A299</f>
        <v>9034</v>
      </c>
      <c r="B295">
        <f>monster.xml!B299</f>
        <v>2001</v>
      </c>
      <c r="C295">
        <f>monster.xml!C299</f>
        <v>16</v>
      </c>
      <c r="D295" t="str">
        <f>monster.xml!D299</f>
        <v>玄庆生</v>
      </c>
      <c r="E295">
        <f>monster.xml!G299</f>
        <v>6</v>
      </c>
      <c r="F295" t="str">
        <f>monster.xml!X299</f>
        <v>UI/Program/HeroWarrior_Woman_1.png</v>
      </c>
      <c r="G295">
        <f>monster.xml!Y299</f>
        <v>0</v>
      </c>
    </row>
    <row r="296" spans="1:7">
      <c r="A296">
        <f>monster.xml!A300</f>
        <v>9035</v>
      </c>
      <c r="B296">
        <f>monster.xml!B300</f>
        <v>2002</v>
      </c>
      <c r="C296">
        <f>monster.xml!C300</f>
        <v>17</v>
      </c>
      <c r="D296" t="str">
        <f>monster.xml!D300</f>
        <v>愈德本</v>
      </c>
      <c r="E296">
        <f>monster.xml!G300</f>
        <v>15</v>
      </c>
      <c r="F296" t="str">
        <f>monster.xml!X300</f>
        <v>UI/Program/HeroHunter_Woman_1.png</v>
      </c>
      <c r="G296">
        <f>monster.xml!Y300</f>
        <v>0</v>
      </c>
    </row>
    <row r="297" spans="1:7">
      <c r="A297">
        <f>monster.xml!A301</f>
        <v>9036</v>
      </c>
      <c r="B297">
        <f>monster.xml!B301</f>
        <v>2003</v>
      </c>
      <c r="C297">
        <f>monster.xml!C301</f>
        <v>17</v>
      </c>
      <c r="D297" t="str">
        <f>monster.xml!D301</f>
        <v>春天翰</v>
      </c>
      <c r="E297">
        <f>monster.xml!G301</f>
        <v>25</v>
      </c>
      <c r="F297" t="str">
        <f>monster.xml!X301</f>
        <v>UI/Program/HeroMaster_Man_1.png</v>
      </c>
      <c r="G297">
        <f>monster.xml!Y301</f>
        <v>0</v>
      </c>
    </row>
    <row r="298" spans="1:7">
      <c r="A298">
        <f>monster.xml!A302</f>
        <v>9037</v>
      </c>
      <c r="B298">
        <f>monster.xml!B302</f>
        <v>2001</v>
      </c>
      <c r="C298">
        <f>monster.xml!C302</f>
        <v>17</v>
      </c>
      <c r="D298" t="str">
        <f>monster.xml!D302</f>
        <v>巨长平</v>
      </c>
      <c r="E298">
        <f>monster.xml!G302</f>
        <v>4</v>
      </c>
      <c r="F298" t="str">
        <f>monster.xml!X302</f>
        <v>UI/Program/HeroWarrior_Man_1.png</v>
      </c>
      <c r="G298">
        <f>monster.xml!Y302</f>
        <v>0</v>
      </c>
    </row>
    <row r="299" spans="1:7">
      <c r="A299">
        <f>monster.xml!A303</f>
        <v>9038</v>
      </c>
      <c r="B299">
        <f>monster.xml!B303</f>
        <v>2002</v>
      </c>
      <c r="C299">
        <f>monster.xml!C303</f>
        <v>17</v>
      </c>
      <c r="D299" t="str">
        <f>monster.xml!D303</f>
        <v>颜欣悦</v>
      </c>
      <c r="E299">
        <f>monster.xml!G303</f>
        <v>18</v>
      </c>
      <c r="F299" t="str">
        <f>monster.xml!X303</f>
        <v>UI/Program/HeroHunter_Man_1.png</v>
      </c>
      <c r="G299">
        <f>monster.xml!Y303</f>
        <v>0</v>
      </c>
    </row>
    <row r="300" spans="1:7">
      <c r="A300">
        <f>monster.xml!A304</f>
        <v>9039</v>
      </c>
      <c r="B300">
        <f>monster.xml!B304</f>
        <v>2003</v>
      </c>
      <c r="C300">
        <f>monster.xml!C304</f>
        <v>17</v>
      </c>
      <c r="D300" t="str">
        <f>monster.xml!D304</f>
        <v>荀文星</v>
      </c>
      <c r="E300">
        <f>monster.xml!G304</f>
        <v>27</v>
      </c>
      <c r="F300" t="str">
        <f>monster.xml!X304</f>
        <v>UI/Program/HeroMaster_Woman_1.png</v>
      </c>
      <c r="G300">
        <f>monster.xml!Y304</f>
        <v>0</v>
      </c>
    </row>
    <row r="301" spans="1:7">
      <c r="A301">
        <f>monster.xml!A305</f>
        <v>9040</v>
      </c>
      <c r="B301">
        <f>monster.xml!B305</f>
        <v>2001</v>
      </c>
      <c r="C301">
        <f>monster.xml!C305</f>
        <v>18</v>
      </c>
      <c r="D301" t="str">
        <f>monster.xml!D305</f>
        <v>巴鸿文</v>
      </c>
      <c r="E301">
        <f>monster.xml!G305</f>
        <v>1</v>
      </c>
      <c r="F301" t="str">
        <f>monster.xml!X305</f>
        <v>UI/Program/HeroWarrior_Woman_1.png</v>
      </c>
      <c r="G301">
        <f>monster.xml!Y305</f>
        <v>0</v>
      </c>
    </row>
    <row r="302" spans="1:7">
      <c r="A302">
        <f>monster.xml!A306</f>
        <v>9041</v>
      </c>
      <c r="B302">
        <f>monster.xml!B306</f>
        <v>2002</v>
      </c>
      <c r="C302">
        <f>monster.xml!C306</f>
        <v>18</v>
      </c>
      <c r="D302" t="str">
        <f>monster.xml!D306</f>
        <v>洛安宜</v>
      </c>
      <c r="E302">
        <f>monster.xml!G306</f>
        <v>13</v>
      </c>
      <c r="F302" t="str">
        <f>monster.xml!X306</f>
        <v>UI/Program/HeroHunter_Woman_1.png</v>
      </c>
      <c r="G302">
        <f>monster.xml!Y306</f>
        <v>0</v>
      </c>
    </row>
    <row r="303" spans="1:7">
      <c r="A303">
        <f>monster.xml!A307</f>
        <v>9042</v>
      </c>
      <c r="B303">
        <f>monster.xml!B307</f>
        <v>2003</v>
      </c>
      <c r="C303">
        <f>monster.xml!C307</f>
        <v>18</v>
      </c>
      <c r="D303" t="str">
        <f>monster.xml!D307</f>
        <v>翟腾逸</v>
      </c>
      <c r="E303">
        <f>monster.xml!G307</f>
        <v>25</v>
      </c>
      <c r="F303" t="str">
        <f>monster.xml!X307</f>
        <v>UI/Program/HeroMaster_Man_1.png</v>
      </c>
      <c r="G303">
        <f>monster.xml!Y307</f>
        <v>0</v>
      </c>
    </row>
    <row r="304" spans="1:7">
      <c r="A304">
        <f>monster.xml!A308</f>
        <v>9043</v>
      </c>
      <c r="B304">
        <f>monster.xml!B308</f>
        <v>2001</v>
      </c>
      <c r="C304">
        <f>monster.xml!C308</f>
        <v>18</v>
      </c>
      <c r="D304" t="str">
        <f>monster.xml!D308</f>
        <v>谷梁彦昌</v>
      </c>
      <c r="E304">
        <f>monster.xml!G308</f>
        <v>8</v>
      </c>
      <c r="F304" t="str">
        <f>monster.xml!X308</f>
        <v>UI/Program/HeroWarrior_Man_1.png</v>
      </c>
      <c r="G304">
        <f>monster.xml!Y308</f>
        <v>0</v>
      </c>
    </row>
    <row r="305" spans="1:7">
      <c r="A305">
        <f>monster.xml!A309</f>
        <v>9044</v>
      </c>
      <c r="B305">
        <f>monster.xml!B309</f>
        <v>2002</v>
      </c>
      <c r="C305">
        <f>monster.xml!C309</f>
        <v>18</v>
      </c>
      <c r="D305" t="str">
        <f>monster.xml!D309</f>
        <v>吉德容</v>
      </c>
      <c r="E305">
        <f>monster.xml!G309</f>
        <v>20</v>
      </c>
      <c r="F305" t="str">
        <f>monster.xml!X309</f>
        <v>UI/Program/HeroHunter_Man_1.png</v>
      </c>
      <c r="G305">
        <f>monster.xml!Y309</f>
        <v>0</v>
      </c>
    </row>
    <row r="306" spans="1:7">
      <c r="A306">
        <f>monster.xml!A310</f>
        <v>9045</v>
      </c>
      <c r="B306">
        <f>monster.xml!B310</f>
        <v>2003</v>
      </c>
      <c r="C306">
        <f>monster.xml!C310</f>
        <v>19</v>
      </c>
      <c r="D306" t="str">
        <f>monster.xml!D310</f>
        <v>沙玉泽</v>
      </c>
      <c r="E306">
        <f>monster.xml!G310</f>
        <v>23</v>
      </c>
      <c r="F306" t="str">
        <f>monster.xml!X310</f>
        <v>UI/Program/HeroMaster_Woman_1.png</v>
      </c>
      <c r="G306">
        <f>monster.xml!Y310</f>
        <v>0</v>
      </c>
    </row>
    <row r="307" spans="1:7">
      <c r="A307">
        <f>monster.xml!A311</f>
        <v>9046</v>
      </c>
      <c r="B307">
        <f>monster.xml!B311</f>
        <v>2001</v>
      </c>
      <c r="C307">
        <f>monster.xml!C311</f>
        <v>19</v>
      </c>
      <c r="D307" t="str">
        <f>monster.xml!D311</f>
        <v>希睿德</v>
      </c>
      <c r="E307">
        <f>monster.xml!G311</f>
        <v>7</v>
      </c>
      <c r="F307" t="str">
        <f>monster.xml!X311</f>
        <v>UI/Program/HeroWarrior_Woman_1.png</v>
      </c>
      <c r="G307">
        <f>monster.xml!Y311</f>
        <v>0</v>
      </c>
    </row>
    <row r="308" spans="1:7">
      <c r="A308">
        <f>monster.xml!A312</f>
        <v>9047</v>
      </c>
      <c r="B308">
        <f>monster.xml!B312</f>
        <v>2002</v>
      </c>
      <c r="C308">
        <f>monster.xml!C312</f>
        <v>19</v>
      </c>
      <c r="D308" t="str">
        <f>monster.xml!D312</f>
        <v>泰文曜</v>
      </c>
      <c r="E308">
        <f>monster.xml!G312</f>
        <v>13</v>
      </c>
      <c r="F308" t="str">
        <f>monster.xml!X312</f>
        <v>UI/Program/HeroHunter_Woman_1.png</v>
      </c>
      <c r="G308">
        <f>monster.xml!Y312</f>
        <v>0</v>
      </c>
    </row>
    <row r="309" spans="1:7">
      <c r="A309">
        <f>monster.xml!A313</f>
        <v>9048</v>
      </c>
      <c r="B309">
        <f>monster.xml!B313</f>
        <v>2003</v>
      </c>
      <c r="C309">
        <f>monster.xml!C313</f>
        <v>19</v>
      </c>
      <c r="D309" t="str">
        <f>monster.xml!D313</f>
        <v>闭雅昶</v>
      </c>
      <c r="E309">
        <f>monster.xml!G313</f>
        <v>30</v>
      </c>
      <c r="F309" t="str">
        <f>monster.xml!X313</f>
        <v>UI/Program/HeroMaster_Man_1.png</v>
      </c>
      <c r="G309">
        <f>monster.xml!Y313</f>
        <v>0</v>
      </c>
    </row>
    <row r="310" spans="1:7">
      <c r="A310">
        <f>monster.xml!A314</f>
        <v>9049</v>
      </c>
      <c r="B310">
        <f>monster.xml!B314</f>
        <v>2001</v>
      </c>
      <c r="C310">
        <f>monster.xml!C314</f>
        <v>19</v>
      </c>
      <c r="D310" t="str">
        <f>monster.xml!D314</f>
        <v>喜睿思</v>
      </c>
      <c r="E310">
        <f>monster.xml!G314</f>
        <v>6</v>
      </c>
      <c r="F310" t="str">
        <f>monster.xml!X314</f>
        <v>UI/Program/HeroWarrior_Man_1.png</v>
      </c>
      <c r="G310">
        <f>monster.xml!Y314</f>
        <v>0</v>
      </c>
    </row>
    <row r="311" spans="1:7">
      <c r="A311">
        <f>monster.xml!A315</f>
        <v>9050</v>
      </c>
      <c r="B311">
        <f>monster.xml!B315</f>
        <v>2002</v>
      </c>
      <c r="C311">
        <f>monster.xml!C315</f>
        <v>20</v>
      </c>
      <c r="D311" t="str">
        <f>monster.xml!D315</f>
        <v>鲁嘉泽</v>
      </c>
      <c r="E311">
        <f>monster.xml!G315</f>
        <v>16</v>
      </c>
      <c r="F311" t="str">
        <f>monster.xml!X315</f>
        <v>UI/Program/HeroHunter_Man_1.png</v>
      </c>
      <c r="G311">
        <f>monster.xml!Y315</f>
        <v>0</v>
      </c>
    </row>
    <row r="312" spans="1:7">
      <c r="A312">
        <f>monster.xml!A316</f>
        <v>9051</v>
      </c>
      <c r="B312">
        <f>monster.xml!B316</f>
        <v>2003</v>
      </c>
      <c r="C312">
        <f>monster.xml!C316</f>
        <v>20</v>
      </c>
      <c r="D312" t="str">
        <f>monster.xml!D316</f>
        <v>凤元正</v>
      </c>
      <c r="E312">
        <f>monster.xml!G316</f>
        <v>23</v>
      </c>
      <c r="F312" t="str">
        <f>monster.xml!X316</f>
        <v>UI/Program/HeroMaster_Woman_1.png</v>
      </c>
      <c r="G312">
        <f>monster.xml!Y316</f>
        <v>0</v>
      </c>
    </row>
    <row r="313" spans="1:7">
      <c r="A313">
        <f>monster.xml!A317</f>
        <v>9052</v>
      </c>
      <c r="B313">
        <f>monster.xml!B317</f>
        <v>2001</v>
      </c>
      <c r="C313">
        <f>monster.xml!C317</f>
        <v>20</v>
      </c>
      <c r="D313" t="str">
        <f>monster.xml!D317</f>
        <v>骆康复</v>
      </c>
      <c r="E313">
        <f>monster.xml!G317</f>
        <v>10</v>
      </c>
      <c r="F313" t="str">
        <f>monster.xml!X317</f>
        <v>UI/Program/HeroWarrior_Woman_1.png</v>
      </c>
      <c r="G313">
        <f>monster.xml!Y317</f>
        <v>0</v>
      </c>
    </row>
    <row r="314" spans="1:7">
      <c r="A314">
        <f>monster.xml!A318</f>
        <v>9053</v>
      </c>
      <c r="B314">
        <f>monster.xml!B318</f>
        <v>2002</v>
      </c>
      <c r="C314">
        <f>monster.xml!C318</f>
        <v>20</v>
      </c>
      <c r="D314" t="str">
        <f>monster.xml!D318</f>
        <v>势德厚</v>
      </c>
      <c r="E314">
        <f>monster.xml!G318</f>
        <v>13</v>
      </c>
      <c r="F314" t="str">
        <f>monster.xml!X318</f>
        <v>UI/Program/HeroHunter_Woman_1.png</v>
      </c>
      <c r="G314">
        <f>monster.xml!Y318</f>
        <v>0</v>
      </c>
    </row>
    <row r="315" spans="1:7">
      <c r="A315">
        <f>monster.xml!A319</f>
        <v>9054</v>
      </c>
      <c r="B315">
        <f>monster.xml!B319</f>
        <v>2003</v>
      </c>
      <c r="C315">
        <f>monster.xml!C319</f>
        <v>20</v>
      </c>
      <c r="D315" t="str">
        <f>monster.xml!D319</f>
        <v>闵宏达</v>
      </c>
      <c r="E315">
        <f>monster.xml!G319</f>
        <v>26</v>
      </c>
      <c r="F315" t="str">
        <f>monster.xml!X319</f>
        <v>UI/Program/HeroMaster_Man_1.png</v>
      </c>
      <c r="G315">
        <f>monster.xml!Y319</f>
        <v>0</v>
      </c>
    </row>
    <row r="316" spans="1:7">
      <c r="A316">
        <f>monster.xml!A320</f>
        <v>9055</v>
      </c>
      <c r="B316">
        <f>monster.xml!B320</f>
        <v>2001</v>
      </c>
      <c r="C316">
        <f>monster.xml!C320</f>
        <v>21</v>
      </c>
      <c r="D316" t="str">
        <f>monster.xml!D320</f>
        <v>邬宏博</v>
      </c>
      <c r="E316">
        <f>monster.xml!G320</f>
        <v>5</v>
      </c>
      <c r="F316" t="str">
        <f>monster.xml!X320</f>
        <v>UI/Program/HeroWarrior_Man_1.png</v>
      </c>
      <c r="G316">
        <f>monster.xml!Y320</f>
        <v>0</v>
      </c>
    </row>
    <row r="317" spans="1:7">
      <c r="A317">
        <f>monster.xml!A321</f>
        <v>9056</v>
      </c>
      <c r="B317">
        <f>monster.xml!B321</f>
        <v>2002</v>
      </c>
      <c r="C317">
        <f>monster.xml!C321</f>
        <v>21</v>
      </c>
      <c r="D317" t="str">
        <f>monster.xml!D321</f>
        <v>郸飞鸿</v>
      </c>
      <c r="E317">
        <f>monster.xml!G321</f>
        <v>17</v>
      </c>
      <c r="F317" t="str">
        <f>monster.xml!X321</f>
        <v>UI/Program/HeroHunter_Man_1.png</v>
      </c>
      <c r="G317">
        <f>monster.xml!Y321</f>
        <v>0</v>
      </c>
    </row>
    <row r="318" spans="1:7">
      <c r="A318">
        <f>monster.xml!A322</f>
        <v>9057</v>
      </c>
      <c r="B318">
        <f>monster.xml!B322</f>
        <v>2003</v>
      </c>
      <c r="C318">
        <f>monster.xml!C322</f>
        <v>21</v>
      </c>
      <c r="D318" t="str">
        <f>monster.xml!D322</f>
        <v>后英卫</v>
      </c>
      <c r="E318">
        <f>monster.xml!G322</f>
        <v>24</v>
      </c>
      <c r="F318" t="str">
        <f>monster.xml!X322</f>
        <v>UI/Program/HeroMaster_Woman_1.png</v>
      </c>
      <c r="G318">
        <f>monster.xml!Y322</f>
        <v>0</v>
      </c>
    </row>
    <row r="319" spans="1:7">
      <c r="A319">
        <f>monster.xml!A323</f>
        <v>9058</v>
      </c>
      <c r="B319">
        <f>monster.xml!B323</f>
        <v>2001</v>
      </c>
      <c r="C319">
        <f>monster.xml!C323</f>
        <v>21</v>
      </c>
      <c r="D319" t="str">
        <f>monster.xml!D323</f>
        <v>栋永宁</v>
      </c>
      <c r="E319">
        <f>monster.xml!G323</f>
        <v>5</v>
      </c>
      <c r="F319" t="str">
        <f>monster.xml!X323</f>
        <v>UI/Program/HeroWarrior_Woman_1.png</v>
      </c>
      <c r="G319">
        <f>monster.xml!Y323</f>
        <v>0</v>
      </c>
    </row>
    <row r="320" spans="1:7">
      <c r="A320">
        <f>monster.xml!A324</f>
        <v>9059</v>
      </c>
      <c r="B320">
        <f>monster.xml!B324</f>
        <v>2002</v>
      </c>
      <c r="C320">
        <f>monster.xml!C324</f>
        <v>21</v>
      </c>
      <c r="D320" t="str">
        <f>monster.xml!D324</f>
        <v>妫睿好</v>
      </c>
      <c r="E320">
        <f>monster.xml!G324</f>
        <v>16</v>
      </c>
      <c r="F320" t="str">
        <f>monster.xml!X324</f>
        <v>UI/Program/HeroHunter_Woman_1.png</v>
      </c>
      <c r="G320">
        <f>monster.xml!Y324</f>
        <v>0</v>
      </c>
    </row>
    <row r="321" spans="1:7">
      <c r="A321">
        <f>monster.xml!A325</f>
        <v>9060</v>
      </c>
      <c r="B321">
        <f>monster.xml!B325</f>
        <v>2003</v>
      </c>
      <c r="C321">
        <f>monster.xml!C325</f>
        <v>22</v>
      </c>
      <c r="D321" t="str">
        <f>monster.xml!D325</f>
        <v>衷星洲</v>
      </c>
      <c r="E321">
        <f>monster.xml!G325</f>
        <v>30</v>
      </c>
      <c r="F321" t="str">
        <f>monster.xml!X325</f>
        <v>UI/Program/HeroMaster_Man_1.png</v>
      </c>
      <c r="G321">
        <f>monster.xml!Y325</f>
        <v>0</v>
      </c>
    </row>
    <row r="322" spans="1:7">
      <c r="A322">
        <f>monster.xml!A326</f>
        <v>9061</v>
      </c>
      <c r="B322">
        <f>monster.xml!B326</f>
        <v>2001</v>
      </c>
      <c r="C322">
        <f>monster.xml!C326</f>
        <v>22</v>
      </c>
      <c r="D322" t="str">
        <f>monster.xml!D326</f>
        <v>圣立群</v>
      </c>
      <c r="E322">
        <f>monster.xml!G326</f>
        <v>10</v>
      </c>
      <c r="F322" t="str">
        <f>monster.xml!X326</f>
        <v>UI/Program/HeroWarrior_Man_1.png</v>
      </c>
      <c r="G322">
        <f>monster.xml!Y326</f>
        <v>0</v>
      </c>
    </row>
    <row r="323" spans="1:7">
      <c r="A323">
        <f>monster.xml!A327</f>
        <v>9062</v>
      </c>
      <c r="B323">
        <f>monster.xml!B327</f>
        <v>2002</v>
      </c>
      <c r="C323">
        <f>monster.xml!C327</f>
        <v>22</v>
      </c>
      <c r="D323" t="str">
        <f>monster.xml!D327</f>
        <v>歧金鑫</v>
      </c>
      <c r="E323">
        <f>monster.xml!G327</f>
        <v>13</v>
      </c>
      <c r="F323" t="str">
        <f>monster.xml!X327</f>
        <v>UI/Program/HeroHunter_Man_1.png</v>
      </c>
      <c r="G323">
        <f>monster.xml!Y327</f>
        <v>0</v>
      </c>
    </row>
    <row r="324" spans="1:7">
      <c r="A324">
        <f>monster.xml!A328</f>
        <v>9063</v>
      </c>
      <c r="B324">
        <f>monster.xml!B328</f>
        <v>2003</v>
      </c>
      <c r="C324">
        <f>monster.xml!C328</f>
        <v>22</v>
      </c>
      <c r="D324" t="str">
        <f>monster.xml!D328</f>
        <v>旗天赋</v>
      </c>
      <c r="E324">
        <f>monster.xml!G328</f>
        <v>29</v>
      </c>
      <c r="F324" t="str">
        <f>monster.xml!X328</f>
        <v>UI/Program/HeroMaster_Woman_1.png</v>
      </c>
      <c r="G324">
        <f>monster.xml!Y328</f>
        <v>0</v>
      </c>
    </row>
    <row r="325" spans="1:7">
      <c r="A325">
        <f>monster.xml!A329</f>
        <v>9064</v>
      </c>
      <c r="B325">
        <f>monster.xml!B329</f>
        <v>2001</v>
      </c>
      <c r="C325">
        <f>monster.xml!C329</f>
        <v>22</v>
      </c>
      <c r="D325" t="str">
        <f>monster.xml!D329</f>
        <v>少星泽</v>
      </c>
      <c r="E325">
        <f>monster.xml!G329</f>
        <v>3</v>
      </c>
      <c r="F325" t="str">
        <f>monster.xml!X329</f>
        <v>UI/Program/HeroWarrior_Woman_1.png</v>
      </c>
      <c r="G325">
        <f>monster.xml!Y329</f>
        <v>0</v>
      </c>
    </row>
    <row r="326" spans="1:7">
      <c r="A326">
        <f>monster.xml!A330</f>
        <v>9065</v>
      </c>
      <c r="B326">
        <f>monster.xml!B330</f>
        <v>2002</v>
      </c>
      <c r="C326">
        <f>monster.xml!C330</f>
        <v>23</v>
      </c>
      <c r="D326" t="str">
        <f>monster.xml!D330</f>
        <v>豆良朋</v>
      </c>
      <c r="E326">
        <f>monster.xml!G330</f>
        <v>11</v>
      </c>
      <c r="F326" t="str">
        <f>monster.xml!X330</f>
        <v>UI/Program/HeroHunter_Woman_1.png</v>
      </c>
      <c r="G326">
        <f>monster.xml!Y330</f>
        <v>0</v>
      </c>
    </row>
    <row r="327" spans="1:7">
      <c r="A327">
        <f>monster.xml!A331</f>
        <v>9066</v>
      </c>
      <c r="B327">
        <f>monster.xml!B331</f>
        <v>2003</v>
      </c>
      <c r="C327">
        <f>monster.xml!C331</f>
        <v>23</v>
      </c>
      <c r="D327" t="str">
        <f>monster.xml!D331</f>
        <v>蚁华容</v>
      </c>
      <c r="E327">
        <f>monster.xml!G331</f>
        <v>26</v>
      </c>
      <c r="F327" t="str">
        <f>monster.xml!X331</f>
        <v>UI/Program/HeroMaster_Man_1.png</v>
      </c>
      <c r="G327">
        <f>monster.xml!Y331</f>
        <v>0</v>
      </c>
    </row>
    <row r="328" spans="1:7">
      <c r="A328">
        <f>monster.xml!A332</f>
        <v>9067</v>
      </c>
      <c r="B328">
        <f>monster.xml!B332</f>
        <v>2001</v>
      </c>
      <c r="C328">
        <f>monster.xml!C332</f>
        <v>23</v>
      </c>
      <c r="D328" t="str">
        <f>monster.xml!D332</f>
        <v>淡博学</v>
      </c>
      <c r="E328">
        <f>monster.xml!G332</f>
        <v>8</v>
      </c>
      <c r="F328" t="str">
        <f>monster.xml!X332</f>
        <v>UI/Program/HeroWarrior_Man_1.png</v>
      </c>
      <c r="G328">
        <f>monster.xml!Y332</f>
        <v>0</v>
      </c>
    </row>
    <row r="329" spans="1:7">
      <c r="A329">
        <f>monster.xml!A333</f>
        <v>9068</v>
      </c>
      <c r="B329">
        <f>monster.xml!B333</f>
        <v>2002</v>
      </c>
      <c r="C329">
        <f>monster.xml!C333</f>
        <v>23</v>
      </c>
      <c r="D329" t="str">
        <f>monster.xml!D333</f>
        <v>建长运</v>
      </c>
      <c r="E329">
        <f>monster.xml!G333</f>
        <v>15</v>
      </c>
      <c r="F329" t="str">
        <f>monster.xml!X333</f>
        <v>UI/Program/HeroHunter_Man_1.png</v>
      </c>
      <c r="G329">
        <f>monster.xml!Y333</f>
        <v>0</v>
      </c>
    </row>
    <row r="330" spans="1:7">
      <c r="A330">
        <f>monster.xml!A334</f>
        <v>9069</v>
      </c>
      <c r="B330">
        <f>monster.xml!B334</f>
        <v>2003</v>
      </c>
      <c r="C330">
        <f>monster.xml!C334</f>
        <v>23</v>
      </c>
      <c r="D330" t="str">
        <f>monster.xml!D334</f>
        <v>巧弘益</v>
      </c>
      <c r="E330">
        <f>monster.xml!G334</f>
        <v>21</v>
      </c>
      <c r="F330" t="str">
        <f>monster.xml!X334</f>
        <v>UI/Program/HeroMaster_Woman_1.png</v>
      </c>
      <c r="G330">
        <f>monster.xml!Y334</f>
        <v>0</v>
      </c>
    </row>
    <row r="331" spans="1:7">
      <c r="A331">
        <f>monster.xml!A335</f>
        <v>9070</v>
      </c>
      <c r="B331">
        <f>monster.xml!B335</f>
        <v>2001</v>
      </c>
      <c r="C331">
        <f>monster.xml!C335</f>
        <v>23</v>
      </c>
      <c r="D331" t="str">
        <f>monster.xml!D335</f>
        <v>盈振翱</v>
      </c>
      <c r="E331">
        <f>monster.xml!G335</f>
        <v>8</v>
      </c>
      <c r="F331" t="str">
        <f>monster.xml!X335</f>
        <v>UI/Program/HeroWarrior_Woman_1.png</v>
      </c>
      <c r="G331">
        <f>monster.xml!Y335</f>
        <v>0</v>
      </c>
    </row>
    <row r="332" spans="1:7">
      <c r="A332">
        <f>monster.xml!A336</f>
        <v>9071</v>
      </c>
      <c r="B332">
        <f>monster.xml!B336</f>
        <v>2001</v>
      </c>
      <c r="C332">
        <f>monster.xml!C336</f>
        <v>25</v>
      </c>
      <c r="D332" t="str">
        <f>monster.xml!D336</f>
        <v>刁修雅</v>
      </c>
      <c r="E332">
        <f>monster.xml!G336</f>
        <v>7</v>
      </c>
      <c r="F332" t="str">
        <f>monster.xml!X336</f>
        <v>UI/Program/HeroHunter_Woman_1.png</v>
      </c>
      <c r="G332">
        <f>monster.xml!Y336</f>
        <v>0</v>
      </c>
    </row>
    <row r="333" spans="1:7">
      <c r="A333">
        <f>monster.xml!A337</f>
        <v>9072</v>
      </c>
      <c r="B333">
        <f>monster.xml!B337</f>
        <v>2003</v>
      </c>
      <c r="C333">
        <f>monster.xml!C337</f>
        <v>25</v>
      </c>
      <c r="D333" t="str">
        <f>monster.xml!D337</f>
        <v>沙鸿达</v>
      </c>
      <c r="E333">
        <f>monster.xml!G337</f>
        <v>27</v>
      </c>
      <c r="F333" t="str">
        <f>monster.xml!X337</f>
        <v>UI/Program/HeroMaster_Man_1.png</v>
      </c>
      <c r="G333">
        <f>monster.xml!Y337</f>
        <v>0</v>
      </c>
    </row>
    <row r="334" spans="1:7">
      <c r="A334">
        <f>monster.xml!A338</f>
        <v>9073</v>
      </c>
      <c r="B334">
        <f>monster.xml!B338</f>
        <v>2003</v>
      </c>
      <c r="C334">
        <f>monster.xml!C338</f>
        <v>24</v>
      </c>
      <c r="D334" t="str">
        <f>monster.xml!D338</f>
        <v>谯睿好</v>
      </c>
      <c r="E334">
        <f>monster.xml!G338</f>
        <v>29</v>
      </c>
      <c r="F334" t="str">
        <f>monster.xml!X338</f>
        <v>UI/Program/HeroWarrior_Man_1.png</v>
      </c>
      <c r="G334">
        <f>monster.xml!Y338</f>
        <v>0</v>
      </c>
    </row>
    <row r="335" spans="1:7">
      <c r="A335">
        <f>monster.xml!A339</f>
        <v>9074</v>
      </c>
      <c r="B335">
        <f>monster.xml!B339</f>
        <v>2002</v>
      </c>
      <c r="C335">
        <f>monster.xml!C339</f>
        <v>25</v>
      </c>
      <c r="D335" t="str">
        <f>monster.xml!D339</f>
        <v>璩鸿才</v>
      </c>
      <c r="E335">
        <f>monster.xml!G339</f>
        <v>17</v>
      </c>
      <c r="F335" t="str">
        <f>monster.xml!X339</f>
        <v>UI/Program/HeroHunter_Man_1.png</v>
      </c>
      <c r="G335">
        <f>monster.xml!Y339</f>
        <v>0</v>
      </c>
    </row>
    <row r="336" spans="1:7">
      <c r="A336">
        <f>monster.xml!A340</f>
        <v>9075</v>
      </c>
      <c r="B336">
        <f>monster.xml!B340</f>
        <v>2001</v>
      </c>
      <c r="C336">
        <f>monster.xml!C340</f>
        <v>27</v>
      </c>
      <c r="D336" t="str">
        <f>monster.xml!D340</f>
        <v>张良吉</v>
      </c>
      <c r="E336">
        <f>monster.xml!G340</f>
        <v>4</v>
      </c>
      <c r="F336" t="str">
        <f>monster.xml!X340</f>
        <v>UI/Program/HeroMaster_Woman_1.png</v>
      </c>
      <c r="G336">
        <f>monster.xml!Y340</f>
        <v>0</v>
      </c>
    </row>
    <row r="337" spans="1:7">
      <c r="A337">
        <f>monster.xml!A341</f>
        <v>9076</v>
      </c>
      <c r="B337">
        <f>monster.xml!B341</f>
        <v>2003</v>
      </c>
      <c r="C337">
        <f>monster.xml!C341</f>
        <v>28</v>
      </c>
      <c r="D337" t="str">
        <f>monster.xml!D341</f>
        <v>肥浩宕</v>
      </c>
      <c r="E337">
        <f>monster.xml!G341</f>
        <v>29</v>
      </c>
      <c r="F337" t="str">
        <f>monster.xml!X341</f>
        <v>UI/Program/HeroWarrior_Woman_1.png</v>
      </c>
      <c r="G337">
        <f>monster.xml!Y341</f>
        <v>0</v>
      </c>
    </row>
    <row r="338" spans="1:7">
      <c r="A338">
        <f>monster.xml!A342</f>
        <v>9077</v>
      </c>
      <c r="B338">
        <f>monster.xml!B342</f>
        <v>2002</v>
      </c>
      <c r="C338">
        <f>monster.xml!C342</f>
        <v>28</v>
      </c>
      <c r="D338" t="str">
        <f>monster.xml!D342</f>
        <v>丛博学</v>
      </c>
      <c r="E338">
        <f>monster.xml!G342</f>
        <v>13</v>
      </c>
      <c r="F338" t="str">
        <f>monster.xml!X342</f>
        <v>UI/Program/HeroHunter_Woman_1.png</v>
      </c>
      <c r="G338">
        <f>monster.xml!Y342</f>
        <v>0</v>
      </c>
    </row>
    <row r="339" spans="1:7">
      <c r="A339">
        <f>monster.xml!A343</f>
        <v>9078</v>
      </c>
      <c r="B339">
        <f>monster.xml!B343</f>
        <v>2003</v>
      </c>
      <c r="C339">
        <f>monster.xml!C343</f>
        <v>29</v>
      </c>
      <c r="D339" t="str">
        <f>monster.xml!D343</f>
        <v>郦永昌</v>
      </c>
      <c r="E339">
        <f>monster.xml!G343</f>
        <v>27</v>
      </c>
      <c r="F339" t="str">
        <f>monster.xml!X343</f>
        <v>UI/Program/HeroMaster_Man_1.png</v>
      </c>
      <c r="G339">
        <f>monster.xml!Y343</f>
        <v>0</v>
      </c>
    </row>
    <row r="340" spans="1:7">
      <c r="A340">
        <f>monster.xml!A344</f>
        <v>9079</v>
      </c>
      <c r="B340">
        <f>monster.xml!B344</f>
        <v>2001</v>
      </c>
      <c r="C340">
        <f>monster.xml!C344</f>
        <v>32</v>
      </c>
      <c r="D340" t="str">
        <f>monster.xml!D344</f>
        <v>田嘉悦</v>
      </c>
      <c r="E340">
        <f>monster.xml!G344</f>
        <v>7</v>
      </c>
      <c r="F340" t="str">
        <f>monster.xml!X344</f>
        <v>UI/Program/HeroWarrior_Man_1.png</v>
      </c>
      <c r="G340">
        <f>monster.xml!Y344</f>
        <v>0</v>
      </c>
    </row>
    <row r="341" spans="1:7">
      <c r="A341">
        <f>monster.xml!A345</f>
        <v>9080</v>
      </c>
      <c r="B341">
        <f>monster.xml!B345</f>
        <v>2001</v>
      </c>
      <c r="C341">
        <f>monster.xml!C345</f>
        <v>31</v>
      </c>
      <c r="D341" t="str">
        <f>monster.xml!D345</f>
        <v>封元忠</v>
      </c>
      <c r="E341">
        <f>monster.xml!G345</f>
        <v>5</v>
      </c>
      <c r="F341" t="str">
        <f>monster.xml!X345</f>
        <v>UI/Program/HeroHunter_Man_1.png</v>
      </c>
      <c r="G341">
        <f>monster.xml!Y345</f>
        <v>0</v>
      </c>
    </row>
    <row r="342" spans="1:7">
      <c r="A342">
        <f>monster.xml!A346</f>
        <v>9081</v>
      </c>
      <c r="B342">
        <f>monster.xml!B346</f>
        <v>2002</v>
      </c>
      <c r="C342">
        <f>monster.xml!C346</f>
        <v>32</v>
      </c>
      <c r="D342" t="str">
        <f>monster.xml!D346</f>
        <v>图门运骏</v>
      </c>
      <c r="E342">
        <f>monster.xml!G346</f>
        <v>12</v>
      </c>
      <c r="F342" t="str">
        <f>monster.xml!X346</f>
        <v>UI/Program/HeroMaster_Woman_1.png</v>
      </c>
      <c r="G342">
        <f>monster.xml!Y346</f>
        <v>0</v>
      </c>
    </row>
    <row r="343" spans="1:7">
      <c r="A343">
        <f>monster.xml!A347</f>
        <v>1030011</v>
      </c>
      <c r="B343">
        <f>monster.xml!B347</f>
        <v>2001</v>
      </c>
      <c r="C343">
        <f>monster.xml!C347</f>
        <v>30</v>
      </c>
      <c r="D343" t="str">
        <f>monster.xml!D347</f>
        <v>战士幻象</v>
      </c>
      <c r="E343">
        <f>monster.xml!G347</f>
        <v>3</v>
      </c>
      <c r="F343" t="str">
        <f>monster.xml!X347</f>
        <v>UI/Program/HeroWarrior_Man_1.png</v>
      </c>
      <c r="G343">
        <f>monster.xml!Y347</f>
        <v>1</v>
      </c>
    </row>
    <row r="344" spans="1:7">
      <c r="A344">
        <f>monster.xml!A348</f>
        <v>1030021</v>
      </c>
      <c r="B344">
        <f>monster.xml!B348</f>
        <v>2001</v>
      </c>
      <c r="C344">
        <f>monster.xml!C348</f>
        <v>30</v>
      </c>
      <c r="D344" t="str">
        <f>monster.xml!D348</f>
        <v>法力风暴</v>
      </c>
      <c r="E344" t="str">
        <f>monster.xml!G348</f>
        <v>25,30</v>
      </c>
      <c r="F344" t="str">
        <f>monster.xml!X348</f>
        <v>monster/10061.png</v>
      </c>
      <c r="G344">
        <f>monster.xml!Y348</f>
        <v>1</v>
      </c>
    </row>
    <row r="345" spans="1:7">
      <c r="A345">
        <f>monster.xml!A349</f>
        <v>1030031</v>
      </c>
      <c r="B345">
        <f>monster.xml!B349</f>
        <v>2001</v>
      </c>
      <c r="C345">
        <f>monster.xml!C349</f>
        <v>31</v>
      </c>
      <c r="D345" t="str">
        <f>monster.xml!D349</f>
        <v>角斗士里奥</v>
      </c>
      <c r="E345">
        <f>monster.xml!G349</f>
        <v>5</v>
      </c>
      <c r="F345" t="str">
        <f>monster.xml!X349</f>
        <v>monster/10067.png</v>
      </c>
      <c r="G345">
        <f>monster.xml!Y349</f>
        <v>1</v>
      </c>
    </row>
    <row r="346" spans="1:7">
      <c r="A346">
        <f>monster.xml!A350</f>
        <v>1030041</v>
      </c>
      <c r="B346">
        <f>monster.xml!B350</f>
        <v>2001</v>
      </c>
      <c r="C346">
        <f>monster.xml!C350</f>
        <v>31</v>
      </c>
      <c r="D346" t="str">
        <f>monster.xml!D350</f>
        <v>荒野游侠</v>
      </c>
      <c r="E346">
        <f>monster.xml!G350</f>
        <v>16</v>
      </c>
      <c r="F346" t="str">
        <f>monster.xml!X350</f>
        <v>monster/10096.png</v>
      </c>
      <c r="G346">
        <f>monster.xml!Y350</f>
        <v>1</v>
      </c>
    </row>
    <row r="347" spans="1:7">
      <c r="A347">
        <f>monster.xml!A351</f>
        <v>1030051</v>
      </c>
      <c r="B347">
        <f>monster.xml!B351</f>
        <v>2001</v>
      </c>
      <c r="C347">
        <f>monster.xml!C351</f>
        <v>31</v>
      </c>
      <c r="D347" t="str">
        <f>monster.xml!D351</f>
        <v>憾地者</v>
      </c>
      <c r="E347">
        <f>monster.xml!G351</f>
        <v>4</v>
      </c>
      <c r="F347" t="str">
        <f>monster.xml!X351</f>
        <v>monster/10123.png</v>
      </c>
      <c r="G347">
        <f>monster.xml!Y351</f>
        <v>1</v>
      </c>
    </row>
    <row r="348" spans="1:7">
      <c r="A348">
        <f>monster.xml!A352</f>
        <v>1030061</v>
      </c>
      <c r="B348">
        <f>monster.xml!B352</f>
        <v>2001</v>
      </c>
      <c r="C348">
        <f>monster.xml!C352</f>
        <v>32</v>
      </c>
      <c r="D348" t="str">
        <f>monster.xml!D352</f>
        <v>拉兹</v>
      </c>
      <c r="E348">
        <f>monster.xml!G352</f>
        <v>10</v>
      </c>
      <c r="F348" t="str">
        <f>monster.xml!X352</f>
        <v>monster/10106.png</v>
      </c>
      <c r="G348">
        <f>monster.xml!Y352</f>
        <v>1</v>
      </c>
    </row>
    <row r="349" spans="1:7">
      <c r="A349">
        <f>monster.xml!A353</f>
        <v>1030071</v>
      </c>
      <c r="B349">
        <f>monster.xml!B353</f>
        <v>2001</v>
      </c>
      <c r="C349">
        <f>monster.xml!C353</f>
        <v>32</v>
      </c>
      <c r="D349" t="str">
        <f>monster.xml!D353</f>
        <v>塔克</v>
      </c>
      <c r="E349">
        <f>monster.xml!G353</f>
        <v>3</v>
      </c>
      <c r="F349" t="str">
        <f>monster.xml!X353</f>
        <v>monster/10085.png</v>
      </c>
      <c r="G349">
        <f>monster.xml!Y353</f>
        <v>1</v>
      </c>
    </row>
    <row r="350" spans="1:7">
      <c r="A350">
        <f>monster.xml!A354</f>
        <v>1030072</v>
      </c>
      <c r="B350">
        <f>monster.xml!B354</f>
        <v>2001</v>
      </c>
      <c r="C350">
        <f>monster.xml!C354</f>
        <v>32</v>
      </c>
      <c r="D350" t="str">
        <f>monster.xml!D354</f>
        <v>迪皮斯</v>
      </c>
      <c r="E350" t="str">
        <f>monster.xml!G354</f>
        <v>17,14</v>
      </c>
      <c r="F350" t="str">
        <f>monster.xml!X354</f>
        <v>monster/10012.png</v>
      </c>
      <c r="G350">
        <f>monster.xml!Y354</f>
        <v>1</v>
      </c>
    </row>
    <row r="351" spans="1:7">
      <c r="A351">
        <f>monster.xml!A355</f>
        <v>1030081</v>
      </c>
      <c r="B351">
        <f>monster.xml!B355</f>
        <v>2001</v>
      </c>
      <c r="C351">
        <f>monster.xml!C355</f>
        <v>33</v>
      </c>
      <c r="D351" t="str">
        <f>monster.xml!D355</f>
        <v>狂野安东尼</v>
      </c>
      <c r="E351">
        <f>monster.xml!G355</f>
        <v>7</v>
      </c>
      <c r="F351" t="str">
        <f>monster.xml!X355</f>
        <v>monster/10086.png</v>
      </c>
      <c r="G351">
        <f>monster.xml!Y355</f>
        <v>1</v>
      </c>
    </row>
    <row r="352" spans="1:7">
      <c r="A352">
        <f>monster.xml!A356</f>
        <v>1030091</v>
      </c>
      <c r="B352">
        <f>monster.xml!B356</f>
        <v>2001</v>
      </c>
      <c r="C352">
        <f>monster.xml!C356</f>
        <v>34</v>
      </c>
      <c r="D352" t="str">
        <f>monster.xml!D356</f>
        <v>巡林者瑞克</v>
      </c>
      <c r="E352">
        <f>monster.xml!G356</f>
        <v>15</v>
      </c>
      <c r="F352" t="str">
        <f>monster.xml!X356</f>
        <v>monster/10094.png</v>
      </c>
      <c r="G352">
        <f>monster.xml!Y356</f>
        <v>1</v>
      </c>
    </row>
    <row r="353" spans="1:7">
      <c r="A353">
        <f>monster.xml!A357</f>
        <v>1035011</v>
      </c>
      <c r="B353">
        <f>monster.xml!B357</f>
        <v>2001</v>
      </c>
      <c r="C353">
        <f>monster.xml!C357</f>
        <v>35</v>
      </c>
      <c r="D353" t="str">
        <f>monster.xml!D357</f>
        <v>战士幻象</v>
      </c>
      <c r="E353">
        <f>monster.xml!G357</f>
        <v>3</v>
      </c>
      <c r="F353" t="str">
        <f>monster.xml!X357</f>
        <v>UI/Program/HeroWarrior_Man_1.png</v>
      </c>
      <c r="G353">
        <f>monster.xml!Y357</f>
        <v>1</v>
      </c>
    </row>
    <row r="354" spans="1:7">
      <c r="A354">
        <f>monster.xml!A358</f>
        <v>1035021</v>
      </c>
      <c r="B354">
        <f>monster.xml!B358</f>
        <v>2001</v>
      </c>
      <c r="C354">
        <f>monster.xml!C358</f>
        <v>35</v>
      </c>
      <c r="D354" t="str">
        <f>monster.xml!D358</f>
        <v>法力风暴</v>
      </c>
      <c r="E354" t="str">
        <f>monster.xml!G358</f>
        <v>25,30</v>
      </c>
      <c r="F354" t="str">
        <f>monster.xml!X358</f>
        <v>monster/10061.png</v>
      </c>
      <c r="G354">
        <f>monster.xml!Y358</f>
        <v>1</v>
      </c>
    </row>
    <row r="355" spans="1:7">
      <c r="A355">
        <f>monster.xml!A359</f>
        <v>1035031</v>
      </c>
      <c r="B355">
        <f>monster.xml!B359</f>
        <v>2001</v>
      </c>
      <c r="C355">
        <f>monster.xml!C359</f>
        <v>36</v>
      </c>
      <c r="D355" t="str">
        <f>monster.xml!D359</f>
        <v>角斗士里奥</v>
      </c>
      <c r="E355">
        <f>monster.xml!G359</f>
        <v>5</v>
      </c>
      <c r="F355" t="str">
        <f>monster.xml!X359</f>
        <v>monster/10067.png</v>
      </c>
      <c r="G355">
        <f>monster.xml!Y359</f>
        <v>1</v>
      </c>
    </row>
    <row r="356" spans="1:7">
      <c r="A356">
        <f>monster.xml!A360</f>
        <v>1035041</v>
      </c>
      <c r="B356">
        <f>monster.xml!B360</f>
        <v>2001</v>
      </c>
      <c r="C356">
        <f>monster.xml!C360</f>
        <v>36</v>
      </c>
      <c r="D356" t="str">
        <f>monster.xml!D360</f>
        <v>荒野游侠</v>
      </c>
      <c r="E356">
        <f>monster.xml!G360</f>
        <v>16</v>
      </c>
      <c r="F356" t="str">
        <f>monster.xml!X360</f>
        <v>monster/10096.png</v>
      </c>
      <c r="G356">
        <f>monster.xml!Y360</f>
        <v>1</v>
      </c>
    </row>
    <row r="357" spans="1:7">
      <c r="A357">
        <f>monster.xml!A361</f>
        <v>1035051</v>
      </c>
      <c r="B357">
        <f>monster.xml!B361</f>
        <v>2001</v>
      </c>
      <c r="C357">
        <f>monster.xml!C361</f>
        <v>36</v>
      </c>
      <c r="D357" t="str">
        <f>monster.xml!D361</f>
        <v>憾地者</v>
      </c>
      <c r="E357">
        <f>monster.xml!G361</f>
        <v>4</v>
      </c>
      <c r="F357" t="str">
        <f>monster.xml!X361</f>
        <v>monster/10123.png</v>
      </c>
      <c r="G357">
        <f>monster.xml!Y361</f>
        <v>1</v>
      </c>
    </row>
    <row r="358" spans="1:7">
      <c r="A358">
        <f>monster.xml!A362</f>
        <v>1035061</v>
      </c>
      <c r="B358">
        <f>monster.xml!B362</f>
        <v>2001</v>
      </c>
      <c r="C358">
        <f>monster.xml!C362</f>
        <v>37</v>
      </c>
      <c r="D358" t="str">
        <f>monster.xml!D362</f>
        <v>拉兹</v>
      </c>
      <c r="E358">
        <f>monster.xml!G362</f>
        <v>10</v>
      </c>
      <c r="F358" t="str">
        <f>monster.xml!X362</f>
        <v>monster/10106.png</v>
      </c>
      <c r="G358">
        <f>monster.xml!Y362</f>
        <v>1</v>
      </c>
    </row>
    <row r="359" spans="1:7">
      <c r="A359">
        <f>monster.xml!A363</f>
        <v>1035071</v>
      </c>
      <c r="B359">
        <f>monster.xml!B363</f>
        <v>2001</v>
      </c>
      <c r="C359">
        <f>monster.xml!C363</f>
        <v>37</v>
      </c>
      <c r="D359" t="str">
        <f>monster.xml!D363</f>
        <v>塔克</v>
      </c>
      <c r="E359">
        <f>monster.xml!G363</f>
        <v>3</v>
      </c>
      <c r="F359" t="str">
        <f>monster.xml!X363</f>
        <v>monster/10085.png</v>
      </c>
      <c r="G359">
        <f>monster.xml!Y363</f>
        <v>1</v>
      </c>
    </row>
    <row r="360" spans="1:7">
      <c r="A360">
        <f>monster.xml!A364</f>
        <v>1035072</v>
      </c>
      <c r="B360">
        <f>monster.xml!B364</f>
        <v>2001</v>
      </c>
      <c r="C360">
        <f>monster.xml!C364</f>
        <v>37</v>
      </c>
      <c r="D360" t="str">
        <f>monster.xml!D364</f>
        <v>迪皮斯</v>
      </c>
      <c r="E360" t="str">
        <f>monster.xml!G364</f>
        <v>17,14</v>
      </c>
      <c r="F360" t="str">
        <f>monster.xml!X364</f>
        <v>monster/10012.png</v>
      </c>
      <c r="G360">
        <f>monster.xml!Y364</f>
        <v>1</v>
      </c>
    </row>
    <row r="361" spans="1:7">
      <c r="A361">
        <f>monster.xml!A365</f>
        <v>1035081</v>
      </c>
      <c r="B361">
        <f>monster.xml!B365</f>
        <v>2001</v>
      </c>
      <c r="C361">
        <f>monster.xml!C365</f>
        <v>38</v>
      </c>
      <c r="D361" t="str">
        <f>monster.xml!D365</f>
        <v>狂野安东尼</v>
      </c>
      <c r="E361">
        <f>monster.xml!G365</f>
        <v>7</v>
      </c>
      <c r="F361" t="str">
        <f>monster.xml!X365</f>
        <v>monster/10086.png</v>
      </c>
      <c r="G361">
        <f>monster.xml!Y365</f>
        <v>1</v>
      </c>
    </row>
    <row r="362" spans="1:7">
      <c r="A362">
        <f>monster.xml!A366</f>
        <v>1035091</v>
      </c>
      <c r="B362">
        <f>monster.xml!B366</f>
        <v>2001</v>
      </c>
      <c r="C362">
        <f>monster.xml!C366</f>
        <v>39</v>
      </c>
      <c r="D362" t="str">
        <f>monster.xml!D366</f>
        <v>巡林者瑞克</v>
      </c>
      <c r="E362">
        <f>monster.xml!G366</f>
        <v>15</v>
      </c>
      <c r="F362" t="str">
        <f>monster.xml!X366</f>
        <v>monster/10094.png</v>
      </c>
      <c r="G362">
        <f>monster.xml!Y366</f>
        <v>1</v>
      </c>
    </row>
    <row r="363" spans="1:7">
      <c r="A363">
        <f>monster.xml!A367</f>
        <v>1040011</v>
      </c>
      <c r="B363">
        <f>monster.xml!B367</f>
        <v>2001</v>
      </c>
      <c r="C363">
        <f>monster.xml!C367</f>
        <v>40</v>
      </c>
      <c r="D363" t="str">
        <f>monster.xml!D367</f>
        <v>战士幻象</v>
      </c>
      <c r="E363">
        <f>monster.xml!G367</f>
        <v>3</v>
      </c>
      <c r="F363" t="str">
        <f>monster.xml!X367</f>
        <v>UI/Program/HeroWarrior_Man_1.png</v>
      </c>
      <c r="G363">
        <f>monster.xml!Y367</f>
        <v>1</v>
      </c>
    </row>
    <row r="364" spans="1:7">
      <c r="A364">
        <f>monster.xml!A368</f>
        <v>1040021</v>
      </c>
      <c r="B364">
        <f>monster.xml!B368</f>
        <v>2001</v>
      </c>
      <c r="C364">
        <f>monster.xml!C368</f>
        <v>40</v>
      </c>
      <c r="D364" t="str">
        <f>monster.xml!D368</f>
        <v>法力风暴</v>
      </c>
      <c r="E364" t="str">
        <f>monster.xml!G368</f>
        <v>25,30</v>
      </c>
      <c r="F364" t="str">
        <f>monster.xml!X368</f>
        <v>monster/10061.png</v>
      </c>
      <c r="G364">
        <f>monster.xml!Y368</f>
        <v>1</v>
      </c>
    </row>
    <row r="365" spans="1:7">
      <c r="A365">
        <f>monster.xml!A369</f>
        <v>1040031</v>
      </c>
      <c r="B365">
        <f>monster.xml!B369</f>
        <v>2001</v>
      </c>
      <c r="C365">
        <f>monster.xml!C369</f>
        <v>41</v>
      </c>
      <c r="D365" t="str">
        <f>monster.xml!D369</f>
        <v>角斗士里奥</v>
      </c>
      <c r="E365">
        <f>monster.xml!G369</f>
        <v>5</v>
      </c>
      <c r="F365" t="str">
        <f>monster.xml!X369</f>
        <v>monster/10067.png</v>
      </c>
      <c r="G365">
        <f>monster.xml!Y369</f>
        <v>1</v>
      </c>
    </row>
    <row r="366" spans="1:7">
      <c r="A366">
        <f>monster.xml!A370</f>
        <v>1040041</v>
      </c>
      <c r="B366">
        <f>monster.xml!B370</f>
        <v>2001</v>
      </c>
      <c r="C366">
        <f>monster.xml!C370</f>
        <v>41</v>
      </c>
      <c r="D366" t="str">
        <f>monster.xml!D370</f>
        <v>荒野游侠</v>
      </c>
      <c r="E366">
        <f>monster.xml!G370</f>
        <v>16</v>
      </c>
      <c r="F366" t="str">
        <f>monster.xml!X370</f>
        <v>monster/10096.png</v>
      </c>
      <c r="G366">
        <f>monster.xml!Y370</f>
        <v>1</v>
      </c>
    </row>
    <row r="367" spans="1:7">
      <c r="A367">
        <f>monster.xml!A371</f>
        <v>1040051</v>
      </c>
      <c r="B367">
        <f>monster.xml!B371</f>
        <v>2001</v>
      </c>
      <c r="C367">
        <f>monster.xml!C371</f>
        <v>41</v>
      </c>
      <c r="D367" t="str">
        <f>monster.xml!D371</f>
        <v>憾地者</v>
      </c>
      <c r="E367">
        <f>monster.xml!G371</f>
        <v>4</v>
      </c>
      <c r="F367" t="str">
        <f>monster.xml!X371</f>
        <v>monster/10123.png</v>
      </c>
      <c r="G367">
        <f>monster.xml!Y371</f>
        <v>1</v>
      </c>
    </row>
    <row r="368" spans="1:7">
      <c r="A368">
        <f>monster.xml!A372</f>
        <v>1040061</v>
      </c>
      <c r="B368">
        <f>monster.xml!B372</f>
        <v>2001</v>
      </c>
      <c r="C368">
        <f>monster.xml!C372</f>
        <v>42</v>
      </c>
      <c r="D368" t="str">
        <f>monster.xml!D372</f>
        <v>拉兹</v>
      </c>
      <c r="E368">
        <f>monster.xml!G372</f>
        <v>10</v>
      </c>
      <c r="F368" t="str">
        <f>monster.xml!X372</f>
        <v>monster/10106.png</v>
      </c>
      <c r="G368">
        <f>monster.xml!Y372</f>
        <v>1</v>
      </c>
    </row>
    <row r="369" spans="1:7">
      <c r="A369">
        <f>monster.xml!A373</f>
        <v>1040071</v>
      </c>
      <c r="B369">
        <f>monster.xml!B373</f>
        <v>2001</v>
      </c>
      <c r="C369">
        <f>monster.xml!C373</f>
        <v>42</v>
      </c>
      <c r="D369" t="str">
        <f>monster.xml!D373</f>
        <v>塔克</v>
      </c>
      <c r="E369">
        <f>monster.xml!G373</f>
        <v>3</v>
      </c>
      <c r="F369" t="str">
        <f>monster.xml!X373</f>
        <v>monster/10085.png</v>
      </c>
      <c r="G369">
        <f>monster.xml!Y373</f>
        <v>1</v>
      </c>
    </row>
    <row r="370" spans="1:7">
      <c r="A370">
        <f>monster.xml!A374</f>
        <v>1040072</v>
      </c>
      <c r="B370">
        <f>monster.xml!B374</f>
        <v>2001</v>
      </c>
      <c r="C370">
        <f>monster.xml!C374</f>
        <v>42</v>
      </c>
      <c r="D370" t="str">
        <f>monster.xml!D374</f>
        <v>迪皮斯</v>
      </c>
      <c r="E370" t="str">
        <f>monster.xml!G374</f>
        <v>17,14</v>
      </c>
      <c r="F370" t="str">
        <f>monster.xml!X374</f>
        <v>monster/10012.png</v>
      </c>
      <c r="G370">
        <f>monster.xml!Y374</f>
        <v>1</v>
      </c>
    </row>
    <row r="371" spans="1:7">
      <c r="A371">
        <f>monster.xml!A375</f>
        <v>1040081</v>
      </c>
      <c r="B371">
        <f>monster.xml!B375</f>
        <v>2001</v>
      </c>
      <c r="C371">
        <f>monster.xml!C375</f>
        <v>43</v>
      </c>
      <c r="D371" t="str">
        <f>monster.xml!D375</f>
        <v>狂野安东尼</v>
      </c>
      <c r="E371">
        <f>monster.xml!G375</f>
        <v>7</v>
      </c>
      <c r="F371" t="str">
        <f>monster.xml!X375</f>
        <v>monster/10086.png</v>
      </c>
      <c r="G371">
        <f>monster.xml!Y375</f>
        <v>1</v>
      </c>
    </row>
    <row r="372" spans="1:7">
      <c r="A372">
        <f>monster.xml!A376</f>
        <v>1040091</v>
      </c>
      <c r="B372">
        <f>monster.xml!B376</f>
        <v>2001</v>
      </c>
      <c r="C372">
        <f>monster.xml!C376</f>
        <v>44</v>
      </c>
      <c r="D372" t="str">
        <f>monster.xml!D376</f>
        <v>巡林者瑞克</v>
      </c>
      <c r="E372">
        <f>monster.xml!G376</f>
        <v>15</v>
      </c>
      <c r="F372" t="str">
        <f>monster.xml!X376</f>
        <v>monster/10094.png</v>
      </c>
      <c r="G372">
        <f>monster.xml!Y376</f>
        <v>1</v>
      </c>
    </row>
    <row r="373" spans="1:7">
      <c r="A373">
        <f>monster.xml!A377</f>
        <v>1045011</v>
      </c>
      <c r="B373">
        <f>monster.xml!B377</f>
        <v>2001</v>
      </c>
      <c r="C373">
        <f>monster.xml!C377</f>
        <v>45</v>
      </c>
      <c r="D373" t="str">
        <f>monster.xml!D377</f>
        <v>战士幻象</v>
      </c>
      <c r="E373">
        <f>monster.xml!G377</f>
        <v>3</v>
      </c>
      <c r="F373" t="str">
        <f>monster.xml!X377</f>
        <v>UI/Program/HeroWarrior_Man_1.png</v>
      </c>
      <c r="G373">
        <f>monster.xml!Y377</f>
        <v>1</v>
      </c>
    </row>
    <row r="374" spans="1:7">
      <c r="A374">
        <f>monster.xml!A378</f>
        <v>1045021</v>
      </c>
      <c r="B374">
        <f>monster.xml!B378</f>
        <v>2001</v>
      </c>
      <c r="C374">
        <f>monster.xml!C378</f>
        <v>45</v>
      </c>
      <c r="D374" t="str">
        <f>monster.xml!D378</f>
        <v>法力风暴</v>
      </c>
      <c r="E374" t="str">
        <f>monster.xml!G378</f>
        <v>25,30</v>
      </c>
      <c r="F374" t="str">
        <f>monster.xml!X378</f>
        <v>monster/10061.png</v>
      </c>
      <c r="G374">
        <f>monster.xml!Y378</f>
        <v>1</v>
      </c>
    </row>
    <row r="375" spans="1:7">
      <c r="A375">
        <f>monster.xml!A379</f>
        <v>1045031</v>
      </c>
      <c r="B375">
        <f>monster.xml!B379</f>
        <v>2001</v>
      </c>
      <c r="C375">
        <f>monster.xml!C379</f>
        <v>46</v>
      </c>
      <c r="D375" t="str">
        <f>monster.xml!D379</f>
        <v>角斗士里奥</v>
      </c>
      <c r="E375">
        <f>monster.xml!G379</f>
        <v>5</v>
      </c>
      <c r="F375" t="str">
        <f>monster.xml!X379</f>
        <v>monster/10067.png</v>
      </c>
      <c r="G375">
        <f>monster.xml!Y379</f>
        <v>1</v>
      </c>
    </row>
    <row r="376" spans="1:7">
      <c r="A376">
        <f>monster.xml!A380</f>
        <v>1045041</v>
      </c>
      <c r="B376">
        <f>monster.xml!B380</f>
        <v>2001</v>
      </c>
      <c r="C376">
        <f>monster.xml!C380</f>
        <v>46</v>
      </c>
      <c r="D376" t="str">
        <f>monster.xml!D380</f>
        <v>荒野游侠</v>
      </c>
      <c r="E376">
        <f>monster.xml!G380</f>
        <v>16</v>
      </c>
      <c r="F376" t="str">
        <f>monster.xml!X380</f>
        <v>monster/10096.png</v>
      </c>
      <c r="G376">
        <f>monster.xml!Y380</f>
        <v>1</v>
      </c>
    </row>
    <row r="377" spans="1:7">
      <c r="A377">
        <f>monster.xml!A381</f>
        <v>1045051</v>
      </c>
      <c r="B377">
        <f>monster.xml!B381</f>
        <v>2001</v>
      </c>
      <c r="C377">
        <f>monster.xml!C381</f>
        <v>46</v>
      </c>
      <c r="D377" t="str">
        <f>monster.xml!D381</f>
        <v>憾地者</v>
      </c>
      <c r="E377">
        <f>monster.xml!G381</f>
        <v>4</v>
      </c>
      <c r="F377" t="str">
        <f>monster.xml!X381</f>
        <v>monster/10123.png</v>
      </c>
      <c r="G377">
        <f>monster.xml!Y381</f>
        <v>1</v>
      </c>
    </row>
    <row r="378" spans="1:7">
      <c r="A378">
        <f>monster.xml!A382</f>
        <v>1045061</v>
      </c>
      <c r="B378">
        <f>monster.xml!B382</f>
        <v>2001</v>
      </c>
      <c r="C378">
        <f>monster.xml!C382</f>
        <v>47</v>
      </c>
      <c r="D378" t="str">
        <f>monster.xml!D382</f>
        <v>拉兹</v>
      </c>
      <c r="E378">
        <f>monster.xml!G382</f>
        <v>10</v>
      </c>
      <c r="F378" t="str">
        <f>monster.xml!X382</f>
        <v>monster/10106.png</v>
      </c>
      <c r="G378">
        <f>monster.xml!Y382</f>
        <v>1</v>
      </c>
    </row>
    <row r="379" spans="1:7">
      <c r="A379">
        <f>monster.xml!A383</f>
        <v>1045071</v>
      </c>
      <c r="B379">
        <f>monster.xml!B383</f>
        <v>2001</v>
      </c>
      <c r="C379">
        <f>monster.xml!C383</f>
        <v>47</v>
      </c>
      <c r="D379" t="str">
        <f>monster.xml!D383</f>
        <v>塔克</v>
      </c>
      <c r="E379">
        <f>monster.xml!G383</f>
        <v>3</v>
      </c>
      <c r="F379" t="str">
        <f>monster.xml!X383</f>
        <v>monster/10085.png</v>
      </c>
      <c r="G379">
        <f>monster.xml!Y383</f>
        <v>1</v>
      </c>
    </row>
    <row r="380" spans="1:7">
      <c r="A380">
        <f>monster.xml!A384</f>
        <v>1045072</v>
      </c>
      <c r="B380">
        <f>monster.xml!B384</f>
        <v>2001</v>
      </c>
      <c r="C380">
        <f>monster.xml!C384</f>
        <v>47</v>
      </c>
      <c r="D380" t="str">
        <f>monster.xml!D384</f>
        <v>迪皮斯</v>
      </c>
      <c r="E380" t="str">
        <f>monster.xml!G384</f>
        <v>17,14</v>
      </c>
      <c r="F380" t="str">
        <f>monster.xml!X384</f>
        <v>monster/10012.png</v>
      </c>
      <c r="G380">
        <f>monster.xml!Y384</f>
        <v>1</v>
      </c>
    </row>
    <row r="381" spans="1:7">
      <c r="A381">
        <f>monster.xml!A385</f>
        <v>1045081</v>
      </c>
      <c r="B381">
        <f>monster.xml!B385</f>
        <v>2001</v>
      </c>
      <c r="C381">
        <f>monster.xml!C385</f>
        <v>48</v>
      </c>
      <c r="D381" t="str">
        <f>monster.xml!D385</f>
        <v>狂野安东尼</v>
      </c>
      <c r="E381">
        <f>monster.xml!G385</f>
        <v>7</v>
      </c>
      <c r="F381" t="str">
        <f>monster.xml!X385</f>
        <v>monster/10086.png</v>
      </c>
      <c r="G381">
        <f>monster.xml!Y385</f>
        <v>1</v>
      </c>
    </row>
    <row r="382" spans="1:7">
      <c r="A382">
        <f>monster.xml!A386</f>
        <v>1045091</v>
      </c>
      <c r="B382">
        <f>monster.xml!B386</f>
        <v>2001</v>
      </c>
      <c r="C382">
        <f>monster.xml!C386</f>
        <v>49</v>
      </c>
      <c r="D382" t="str">
        <f>monster.xml!D386</f>
        <v>巡林者瑞克</v>
      </c>
      <c r="E382">
        <f>monster.xml!G386</f>
        <v>15</v>
      </c>
      <c r="F382" t="str">
        <f>monster.xml!X386</f>
        <v>monster/10094.png</v>
      </c>
      <c r="G382">
        <f>monster.xml!Y386</f>
        <v>1</v>
      </c>
    </row>
    <row r="383" spans="1:7">
      <c r="A383">
        <f>monster.xml!A387</f>
        <v>1050011</v>
      </c>
      <c r="B383">
        <f>monster.xml!B387</f>
        <v>2001</v>
      </c>
      <c r="C383">
        <f>monster.xml!C387</f>
        <v>50</v>
      </c>
      <c r="D383" t="str">
        <f>monster.xml!D387</f>
        <v>战士幻象</v>
      </c>
      <c r="E383">
        <f>monster.xml!G387</f>
        <v>3</v>
      </c>
      <c r="F383" t="str">
        <f>monster.xml!X387</f>
        <v>UI/Program/HeroWarrior_Man_1.png</v>
      </c>
      <c r="G383">
        <f>monster.xml!Y387</f>
        <v>1</v>
      </c>
    </row>
    <row r="384" spans="1:7">
      <c r="A384">
        <f>monster.xml!A388</f>
        <v>1050021</v>
      </c>
      <c r="B384">
        <f>monster.xml!B388</f>
        <v>2001</v>
      </c>
      <c r="C384">
        <f>monster.xml!C388</f>
        <v>50</v>
      </c>
      <c r="D384" t="str">
        <f>monster.xml!D388</f>
        <v>法力风暴</v>
      </c>
      <c r="E384" t="str">
        <f>monster.xml!G388</f>
        <v>25,30</v>
      </c>
      <c r="F384" t="str">
        <f>monster.xml!X388</f>
        <v>monster/10061.png</v>
      </c>
      <c r="G384">
        <f>monster.xml!Y388</f>
        <v>1</v>
      </c>
    </row>
    <row r="385" spans="1:7">
      <c r="A385">
        <f>monster.xml!A389</f>
        <v>1050031</v>
      </c>
      <c r="B385">
        <f>monster.xml!B389</f>
        <v>2001</v>
      </c>
      <c r="C385">
        <f>monster.xml!C389</f>
        <v>51</v>
      </c>
      <c r="D385" t="str">
        <f>monster.xml!D389</f>
        <v>角斗士里奥</v>
      </c>
      <c r="E385">
        <f>monster.xml!G389</f>
        <v>5</v>
      </c>
      <c r="F385" t="str">
        <f>monster.xml!X389</f>
        <v>monster/10067.png</v>
      </c>
      <c r="G385">
        <f>monster.xml!Y389</f>
        <v>1</v>
      </c>
    </row>
    <row r="386" spans="1:7">
      <c r="A386">
        <f>monster.xml!A390</f>
        <v>1050041</v>
      </c>
      <c r="B386">
        <f>monster.xml!B390</f>
        <v>2001</v>
      </c>
      <c r="C386">
        <f>monster.xml!C390</f>
        <v>51</v>
      </c>
      <c r="D386" t="str">
        <f>monster.xml!D390</f>
        <v>荒野游侠</v>
      </c>
      <c r="E386">
        <f>monster.xml!G390</f>
        <v>16</v>
      </c>
      <c r="F386" t="str">
        <f>monster.xml!X390</f>
        <v>monster/10096.png</v>
      </c>
      <c r="G386">
        <f>monster.xml!Y390</f>
        <v>1</v>
      </c>
    </row>
    <row r="387" spans="1:7">
      <c r="A387">
        <f>monster.xml!A391</f>
        <v>1050051</v>
      </c>
      <c r="B387">
        <f>monster.xml!B391</f>
        <v>2001</v>
      </c>
      <c r="C387">
        <f>monster.xml!C391</f>
        <v>51</v>
      </c>
      <c r="D387" t="str">
        <f>monster.xml!D391</f>
        <v>憾地者</v>
      </c>
      <c r="E387">
        <f>monster.xml!G391</f>
        <v>4</v>
      </c>
      <c r="F387" t="str">
        <f>monster.xml!X391</f>
        <v>monster/10123.png</v>
      </c>
      <c r="G387">
        <f>monster.xml!Y391</f>
        <v>1</v>
      </c>
    </row>
    <row r="388" spans="1:7">
      <c r="A388">
        <f>monster.xml!A392</f>
        <v>1050061</v>
      </c>
      <c r="B388">
        <f>monster.xml!B392</f>
        <v>2001</v>
      </c>
      <c r="C388">
        <f>monster.xml!C392</f>
        <v>52</v>
      </c>
      <c r="D388" t="str">
        <f>monster.xml!D392</f>
        <v>拉兹</v>
      </c>
      <c r="E388">
        <f>monster.xml!G392</f>
        <v>10</v>
      </c>
      <c r="F388" t="str">
        <f>monster.xml!X392</f>
        <v>monster/10106.png</v>
      </c>
      <c r="G388">
        <f>monster.xml!Y392</f>
        <v>1</v>
      </c>
    </row>
    <row r="389" spans="1:7">
      <c r="A389">
        <f>monster.xml!A393</f>
        <v>1050071</v>
      </c>
      <c r="B389">
        <f>monster.xml!B393</f>
        <v>2001</v>
      </c>
      <c r="C389">
        <f>monster.xml!C393</f>
        <v>52</v>
      </c>
      <c r="D389" t="str">
        <f>monster.xml!D393</f>
        <v>塔克</v>
      </c>
      <c r="E389">
        <f>monster.xml!G393</f>
        <v>3</v>
      </c>
      <c r="F389" t="str">
        <f>monster.xml!X393</f>
        <v>monster/10085.png</v>
      </c>
      <c r="G389">
        <f>monster.xml!Y393</f>
        <v>1</v>
      </c>
    </row>
    <row r="390" spans="1:7">
      <c r="A390">
        <f>monster.xml!A394</f>
        <v>1050072</v>
      </c>
      <c r="B390">
        <f>monster.xml!B394</f>
        <v>2001</v>
      </c>
      <c r="C390">
        <f>monster.xml!C394</f>
        <v>52</v>
      </c>
      <c r="D390" t="str">
        <f>monster.xml!D394</f>
        <v>迪皮斯</v>
      </c>
      <c r="E390" t="str">
        <f>monster.xml!G394</f>
        <v>17,14</v>
      </c>
      <c r="F390" t="str">
        <f>monster.xml!X394</f>
        <v>monster/10012.png</v>
      </c>
      <c r="G390">
        <f>monster.xml!Y394</f>
        <v>1</v>
      </c>
    </row>
    <row r="391" spans="1:7">
      <c r="A391">
        <f>monster.xml!A395</f>
        <v>1050081</v>
      </c>
      <c r="B391">
        <f>monster.xml!B395</f>
        <v>2001</v>
      </c>
      <c r="C391">
        <f>monster.xml!C395</f>
        <v>53</v>
      </c>
      <c r="D391" t="str">
        <f>monster.xml!D395</f>
        <v>狂野安东尼</v>
      </c>
      <c r="E391">
        <f>monster.xml!G395</f>
        <v>7</v>
      </c>
      <c r="F391" t="str">
        <f>monster.xml!X395</f>
        <v>monster/10086.png</v>
      </c>
      <c r="G391">
        <f>monster.xml!Y395</f>
        <v>1</v>
      </c>
    </row>
    <row r="392" spans="1:7">
      <c r="A392">
        <f>monster.xml!A396</f>
        <v>1050091</v>
      </c>
      <c r="B392">
        <f>monster.xml!B396</f>
        <v>2001</v>
      </c>
      <c r="C392">
        <f>monster.xml!C396</f>
        <v>54</v>
      </c>
      <c r="D392" t="str">
        <f>monster.xml!D396</f>
        <v>巡林者瑞克</v>
      </c>
      <c r="E392">
        <f>monster.xml!G396</f>
        <v>15</v>
      </c>
      <c r="F392" t="str">
        <f>monster.xml!X396</f>
        <v>monster/10094.png</v>
      </c>
      <c r="G392">
        <f>monster.xml!Y396</f>
        <v>1</v>
      </c>
    </row>
    <row r="393" spans="1:7">
      <c r="A393">
        <f>monster.xml!A397</f>
        <v>1055011</v>
      </c>
      <c r="B393">
        <f>monster.xml!B397</f>
        <v>2001</v>
      </c>
      <c r="C393">
        <f>monster.xml!C397</f>
        <v>55</v>
      </c>
      <c r="D393" t="str">
        <f>monster.xml!D397</f>
        <v>战士幻象</v>
      </c>
      <c r="E393">
        <f>monster.xml!G397</f>
        <v>3</v>
      </c>
      <c r="F393" t="str">
        <f>monster.xml!X397</f>
        <v>UI/Program/HeroWarrior_Man_1.png</v>
      </c>
      <c r="G393">
        <f>monster.xml!Y397</f>
        <v>1</v>
      </c>
    </row>
    <row r="394" spans="1:7">
      <c r="A394">
        <f>monster.xml!A398</f>
        <v>1055021</v>
      </c>
      <c r="B394">
        <f>monster.xml!B398</f>
        <v>2001</v>
      </c>
      <c r="C394">
        <f>monster.xml!C398</f>
        <v>55</v>
      </c>
      <c r="D394" t="str">
        <f>monster.xml!D398</f>
        <v>法力风暴</v>
      </c>
      <c r="E394" t="str">
        <f>monster.xml!G398</f>
        <v>25,30</v>
      </c>
      <c r="F394" t="str">
        <f>monster.xml!X398</f>
        <v>monster/10061.png</v>
      </c>
      <c r="G394">
        <f>monster.xml!Y398</f>
        <v>1</v>
      </c>
    </row>
    <row r="395" spans="1:7">
      <c r="A395">
        <f>monster.xml!A399</f>
        <v>1055031</v>
      </c>
      <c r="B395">
        <f>monster.xml!B399</f>
        <v>2001</v>
      </c>
      <c r="C395">
        <f>monster.xml!C399</f>
        <v>56</v>
      </c>
      <c r="D395" t="str">
        <f>monster.xml!D399</f>
        <v>角斗士里奥</v>
      </c>
      <c r="E395">
        <f>monster.xml!G399</f>
        <v>5</v>
      </c>
      <c r="F395" t="str">
        <f>monster.xml!X399</f>
        <v>monster/10067.png</v>
      </c>
      <c r="G395">
        <f>monster.xml!Y399</f>
        <v>1</v>
      </c>
    </row>
    <row r="396" spans="1:7">
      <c r="A396">
        <f>monster.xml!A400</f>
        <v>1055041</v>
      </c>
      <c r="B396">
        <f>monster.xml!B400</f>
        <v>2001</v>
      </c>
      <c r="C396">
        <f>monster.xml!C400</f>
        <v>56</v>
      </c>
      <c r="D396" t="str">
        <f>monster.xml!D400</f>
        <v>荒野游侠</v>
      </c>
      <c r="E396">
        <f>monster.xml!G400</f>
        <v>16</v>
      </c>
      <c r="F396" t="str">
        <f>monster.xml!X400</f>
        <v>monster/10096.png</v>
      </c>
      <c r="G396">
        <f>monster.xml!Y400</f>
        <v>1</v>
      </c>
    </row>
    <row r="397" spans="1:7">
      <c r="A397">
        <f>monster.xml!A401</f>
        <v>1055051</v>
      </c>
      <c r="B397">
        <f>monster.xml!B401</f>
        <v>2001</v>
      </c>
      <c r="C397">
        <f>monster.xml!C401</f>
        <v>56</v>
      </c>
      <c r="D397" t="str">
        <f>monster.xml!D401</f>
        <v>憾地者</v>
      </c>
      <c r="E397">
        <f>monster.xml!G401</f>
        <v>4</v>
      </c>
      <c r="F397" t="str">
        <f>monster.xml!X401</f>
        <v>monster/10123.png</v>
      </c>
      <c r="G397">
        <f>monster.xml!Y401</f>
        <v>1</v>
      </c>
    </row>
    <row r="398" spans="1:7">
      <c r="A398">
        <f>monster.xml!A402</f>
        <v>1055061</v>
      </c>
      <c r="B398">
        <f>monster.xml!B402</f>
        <v>2001</v>
      </c>
      <c r="C398">
        <f>monster.xml!C402</f>
        <v>57</v>
      </c>
      <c r="D398" t="str">
        <f>monster.xml!D402</f>
        <v>拉兹</v>
      </c>
      <c r="E398">
        <f>monster.xml!G402</f>
        <v>10</v>
      </c>
      <c r="F398" t="str">
        <f>monster.xml!X402</f>
        <v>monster/10106.png</v>
      </c>
      <c r="G398">
        <f>monster.xml!Y402</f>
        <v>1</v>
      </c>
    </row>
    <row r="399" spans="1:7">
      <c r="A399">
        <f>monster.xml!A403</f>
        <v>1055071</v>
      </c>
      <c r="B399">
        <f>monster.xml!B403</f>
        <v>2001</v>
      </c>
      <c r="C399">
        <f>monster.xml!C403</f>
        <v>57</v>
      </c>
      <c r="D399" t="str">
        <f>monster.xml!D403</f>
        <v>塔克</v>
      </c>
      <c r="E399">
        <f>monster.xml!G403</f>
        <v>3</v>
      </c>
      <c r="F399" t="str">
        <f>monster.xml!X403</f>
        <v>monster/10085.png</v>
      </c>
      <c r="G399">
        <f>monster.xml!Y403</f>
        <v>1</v>
      </c>
    </row>
    <row r="400" spans="1:7">
      <c r="A400">
        <f>monster.xml!A404</f>
        <v>1055072</v>
      </c>
      <c r="B400">
        <f>monster.xml!B404</f>
        <v>2001</v>
      </c>
      <c r="C400">
        <f>monster.xml!C404</f>
        <v>57</v>
      </c>
      <c r="D400" t="str">
        <f>monster.xml!D404</f>
        <v>迪皮斯</v>
      </c>
      <c r="E400" t="str">
        <f>monster.xml!G404</f>
        <v>17,14</v>
      </c>
      <c r="F400" t="str">
        <f>monster.xml!X404</f>
        <v>monster/10012.png</v>
      </c>
      <c r="G400">
        <f>monster.xml!Y404</f>
        <v>1</v>
      </c>
    </row>
    <row r="401" spans="1:7">
      <c r="A401">
        <f>monster.xml!A405</f>
        <v>1055081</v>
      </c>
      <c r="B401">
        <f>monster.xml!B405</f>
        <v>2001</v>
      </c>
      <c r="C401">
        <f>monster.xml!C405</f>
        <v>58</v>
      </c>
      <c r="D401" t="str">
        <f>monster.xml!D405</f>
        <v>狂野安东尼</v>
      </c>
      <c r="E401">
        <f>monster.xml!G405</f>
        <v>7</v>
      </c>
      <c r="F401" t="str">
        <f>monster.xml!X405</f>
        <v>monster/10086.png</v>
      </c>
      <c r="G401">
        <f>monster.xml!Y405</f>
        <v>1</v>
      </c>
    </row>
    <row r="402" spans="1:7">
      <c r="A402">
        <f>monster.xml!A406</f>
        <v>1055091</v>
      </c>
      <c r="B402">
        <f>monster.xml!B406</f>
        <v>2001</v>
      </c>
      <c r="C402">
        <f>monster.xml!C406</f>
        <v>59</v>
      </c>
      <c r="D402" t="str">
        <f>monster.xml!D406</f>
        <v>巡林者瑞克</v>
      </c>
      <c r="E402">
        <f>monster.xml!G406</f>
        <v>15</v>
      </c>
      <c r="F402" t="str">
        <f>monster.xml!X406</f>
        <v>monster/10094.png</v>
      </c>
      <c r="G402">
        <f>monster.xml!Y406</f>
        <v>1</v>
      </c>
    </row>
    <row r="403" spans="1:7">
      <c r="A403">
        <f>monster.xml!A407</f>
        <v>1060011</v>
      </c>
      <c r="B403">
        <f>monster.xml!B407</f>
        <v>2001</v>
      </c>
      <c r="C403">
        <f>monster.xml!C407</f>
        <v>60</v>
      </c>
      <c r="D403" t="str">
        <f>monster.xml!D407</f>
        <v>坚定的格雷格</v>
      </c>
      <c r="E403">
        <f>monster.xml!G407</f>
        <v>3</v>
      </c>
      <c r="F403" t="str">
        <f>monster.xml!X407</f>
        <v>monster/10119.png</v>
      </c>
      <c r="G403">
        <f>monster.xml!Y407</f>
        <v>1</v>
      </c>
    </row>
    <row r="404" spans="1:7">
      <c r="A404">
        <f>monster.xml!A408</f>
        <v>1060021</v>
      </c>
      <c r="B404">
        <f>monster.xml!B408</f>
        <v>2001</v>
      </c>
      <c r="C404">
        <f>monster.xml!C408</f>
        <v>60</v>
      </c>
      <c r="D404" t="str">
        <f>monster.xml!D408</f>
        <v>莱恩的倒影</v>
      </c>
      <c r="E404" t="str">
        <f>monster.xml!G408</f>
        <v>1,2</v>
      </c>
      <c r="F404" t="str">
        <f>monster.xml!X408</f>
        <v>UI/Program/MercenaryWarrior_1.png</v>
      </c>
      <c r="G404">
        <f>monster.xml!Y408</f>
        <v>1</v>
      </c>
    </row>
    <row r="405" spans="1:7">
      <c r="A405">
        <f>monster.xml!A409</f>
        <v>1060031</v>
      </c>
      <c r="B405">
        <f>monster.xml!B409</f>
        <v>2001</v>
      </c>
      <c r="C405">
        <f>monster.xml!C409</f>
        <v>61</v>
      </c>
      <c r="D405" t="str">
        <f>monster.xml!D409</f>
        <v>混乱的玛尔达</v>
      </c>
      <c r="E405" t="str">
        <f>monster.xml!G409</f>
        <v>6,19,23</v>
      </c>
      <c r="F405" t="str">
        <f>monster.xml!X409</f>
        <v>monster/10086.png</v>
      </c>
      <c r="G405">
        <f>monster.xml!Y409</f>
        <v>1</v>
      </c>
    </row>
    <row r="406" spans="1:7">
      <c r="A406">
        <f>monster.xml!A410</f>
        <v>1060041</v>
      </c>
      <c r="B406">
        <f>monster.xml!B410</f>
        <v>2001</v>
      </c>
      <c r="C406">
        <f>monster.xml!C410</f>
        <v>61</v>
      </c>
      <c r="D406" t="str">
        <f>monster.xml!D410</f>
        <v>驯兽师瓦纳</v>
      </c>
      <c r="E406">
        <f>monster.xml!G410</f>
        <v>2</v>
      </c>
      <c r="F406" t="str">
        <f>monster.xml!X410</f>
        <v>monster/10094.png</v>
      </c>
      <c r="G406">
        <f>monster.xml!Y410</f>
        <v>1</v>
      </c>
    </row>
    <row r="407" spans="1:7">
      <c r="A407">
        <f>monster.xml!A411</f>
        <v>1060042</v>
      </c>
      <c r="B407">
        <f>monster.xml!B411</f>
        <v>2001</v>
      </c>
      <c r="C407">
        <f>monster.xml!C411</f>
        <v>61</v>
      </c>
      <c r="D407" t="str">
        <f>monster.xml!D411</f>
        <v>多兰</v>
      </c>
      <c r="E407">
        <f>monster.xml!G411</f>
        <v>9</v>
      </c>
      <c r="F407" t="str">
        <f>monster.xml!X411</f>
        <v>monster/10061.png</v>
      </c>
      <c r="G407">
        <f>monster.xml!Y411</f>
        <v>1</v>
      </c>
    </row>
    <row r="408" spans="1:7">
      <c r="A408">
        <f>monster.xml!A412</f>
        <v>1060043</v>
      </c>
      <c r="B408">
        <f>monster.xml!B412</f>
        <v>2001</v>
      </c>
      <c r="C408">
        <f>monster.xml!C412</f>
        <v>61</v>
      </c>
      <c r="D408" t="str">
        <f>monster.xml!D412</f>
        <v>约翰</v>
      </c>
      <c r="E408">
        <f>monster.xml!G412</f>
        <v>10</v>
      </c>
      <c r="F408" t="str">
        <f>monster.xml!X412</f>
        <v>monster/10067.png</v>
      </c>
      <c r="G408">
        <f>monster.xml!Y412</f>
        <v>1</v>
      </c>
    </row>
    <row r="409" spans="1:7">
      <c r="A409">
        <f>monster.xml!A413</f>
        <v>1060051</v>
      </c>
      <c r="B409">
        <f>monster.xml!B413</f>
        <v>2001</v>
      </c>
      <c r="C409">
        <f>monster.xml!C413</f>
        <v>61</v>
      </c>
      <c r="D409" t="str">
        <f>monster.xml!D413</f>
        <v>炎之安苏</v>
      </c>
      <c r="E409">
        <f>monster.xml!G413</f>
        <v>21</v>
      </c>
      <c r="F409" t="str">
        <f>monster.xml!X413</f>
        <v>monster/10096.png</v>
      </c>
      <c r="G409">
        <f>monster.xml!Y413</f>
        <v>1</v>
      </c>
    </row>
    <row r="410" spans="1:7">
      <c r="A410">
        <f>monster.xml!A414</f>
        <v>1060061</v>
      </c>
      <c r="B410">
        <f>monster.xml!B414</f>
        <v>2001</v>
      </c>
      <c r="C410">
        <f>monster.xml!C414</f>
        <v>62</v>
      </c>
      <c r="D410" t="str">
        <f>monster.xml!D414</f>
        <v>迅捷的维恩</v>
      </c>
      <c r="E410">
        <f>monster.xml!G414</f>
        <v>14</v>
      </c>
      <c r="F410" t="str">
        <f>monster.xml!X414</f>
        <v>monster/10073.png</v>
      </c>
      <c r="G410">
        <f>monster.xml!Y414</f>
        <v>1</v>
      </c>
    </row>
    <row r="411" spans="1:7">
      <c r="A411">
        <f>monster.xml!A415</f>
        <v>1060071</v>
      </c>
      <c r="B411">
        <f>monster.xml!B415</f>
        <v>2001</v>
      </c>
      <c r="C411">
        <f>monster.xml!C415</f>
        <v>62</v>
      </c>
      <c r="D411" t="str">
        <f>monster.xml!D415</f>
        <v>暮光预言者</v>
      </c>
      <c r="E411">
        <f>monster.xml!G415</f>
        <v>13</v>
      </c>
      <c r="F411" t="str">
        <f>monster.xml!X415</f>
        <v>monster/10080.png</v>
      </c>
      <c r="G411">
        <f>monster.xml!Y415</f>
        <v>1</v>
      </c>
    </row>
    <row r="412" spans="1:7">
      <c r="A412">
        <f>monster.xml!A416</f>
        <v>1060081</v>
      </c>
      <c r="B412">
        <f>monster.xml!B416</f>
        <v>2001</v>
      </c>
      <c r="C412">
        <f>monster.xml!C416</f>
        <v>63</v>
      </c>
      <c r="D412" t="str">
        <f>monster.xml!D416</f>
        <v>卡雷</v>
      </c>
      <c r="E412">
        <f>monster.xml!G416</f>
        <v>25</v>
      </c>
      <c r="F412" t="str">
        <f>monster.xml!X416</f>
        <v>monster/10056.png</v>
      </c>
      <c r="G412">
        <f>monster.xml!Y416</f>
        <v>1</v>
      </c>
    </row>
    <row r="413" spans="1:7">
      <c r="A413">
        <f>monster.xml!A417</f>
        <v>1060091</v>
      </c>
      <c r="B413">
        <f>monster.xml!B417</f>
        <v>2001</v>
      </c>
      <c r="C413">
        <f>monster.xml!C417</f>
        <v>64</v>
      </c>
      <c r="D413" t="str">
        <f>monster.xml!D417</f>
        <v>日光弗雷尔</v>
      </c>
      <c r="E413">
        <f>monster.xml!G417</f>
        <v>28</v>
      </c>
      <c r="F413" t="str">
        <f>monster.xml!X417</f>
        <v>monster/10010.png</v>
      </c>
      <c r="G413">
        <f>monster.xml!Y417</f>
        <v>1</v>
      </c>
    </row>
    <row r="414" spans="1:7">
      <c r="A414">
        <f>monster.xml!A418</f>
        <v>1065011</v>
      </c>
      <c r="B414">
        <f>monster.xml!B418</f>
        <v>2001</v>
      </c>
      <c r="C414">
        <f>monster.xml!C418</f>
        <v>65</v>
      </c>
      <c r="D414" t="str">
        <f>monster.xml!D418</f>
        <v>坚定的格雷格</v>
      </c>
      <c r="E414">
        <f>monster.xml!G418</f>
        <v>3</v>
      </c>
      <c r="F414" t="str">
        <f>monster.xml!X418</f>
        <v>monster/10119.png</v>
      </c>
      <c r="G414">
        <f>monster.xml!Y418</f>
        <v>1</v>
      </c>
    </row>
    <row r="415" spans="1:7">
      <c r="A415">
        <f>monster.xml!A419</f>
        <v>1065021</v>
      </c>
      <c r="B415">
        <f>monster.xml!B419</f>
        <v>2001</v>
      </c>
      <c r="C415">
        <f>monster.xml!C419</f>
        <v>65</v>
      </c>
      <c r="D415" t="str">
        <f>monster.xml!D419</f>
        <v>莱恩的倒影</v>
      </c>
      <c r="E415" t="str">
        <f>monster.xml!G419</f>
        <v>1,2</v>
      </c>
      <c r="F415" t="str">
        <f>monster.xml!X419</f>
        <v>UI/Program/MercenaryWarrior_1.png</v>
      </c>
      <c r="G415">
        <f>monster.xml!Y419</f>
        <v>1</v>
      </c>
    </row>
    <row r="416" spans="1:7">
      <c r="A416">
        <f>monster.xml!A420</f>
        <v>1065031</v>
      </c>
      <c r="B416">
        <f>monster.xml!B420</f>
        <v>2001</v>
      </c>
      <c r="C416">
        <f>monster.xml!C420</f>
        <v>66</v>
      </c>
      <c r="D416" t="str">
        <f>monster.xml!D420</f>
        <v>混乱的玛尔达</v>
      </c>
      <c r="E416" t="str">
        <f>monster.xml!G420</f>
        <v>6,19,23</v>
      </c>
      <c r="F416" t="str">
        <f>monster.xml!X420</f>
        <v>monster/10086.png</v>
      </c>
      <c r="G416">
        <f>monster.xml!Y420</f>
        <v>1</v>
      </c>
    </row>
    <row r="417" spans="1:7">
      <c r="A417">
        <f>monster.xml!A421</f>
        <v>1065041</v>
      </c>
      <c r="B417">
        <f>monster.xml!B421</f>
        <v>2001</v>
      </c>
      <c r="C417">
        <f>monster.xml!C421</f>
        <v>66</v>
      </c>
      <c r="D417" t="str">
        <f>monster.xml!D421</f>
        <v>驯兽师瓦纳</v>
      </c>
      <c r="E417">
        <f>monster.xml!G421</f>
        <v>2</v>
      </c>
      <c r="F417" t="str">
        <f>monster.xml!X421</f>
        <v>monster/10094.png</v>
      </c>
      <c r="G417">
        <f>monster.xml!Y421</f>
        <v>1</v>
      </c>
    </row>
    <row r="418" spans="1:7">
      <c r="A418">
        <f>monster.xml!A422</f>
        <v>1065042</v>
      </c>
      <c r="B418">
        <f>monster.xml!B422</f>
        <v>2001</v>
      </c>
      <c r="C418">
        <f>monster.xml!C422</f>
        <v>66</v>
      </c>
      <c r="D418" t="str">
        <f>monster.xml!D422</f>
        <v>多兰</v>
      </c>
      <c r="E418">
        <f>monster.xml!G422</f>
        <v>9</v>
      </c>
      <c r="F418" t="str">
        <f>monster.xml!X422</f>
        <v>monster/10061.png</v>
      </c>
      <c r="G418">
        <f>monster.xml!Y422</f>
        <v>1</v>
      </c>
    </row>
    <row r="419" spans="1:7">
      <c r="A419">
        <f>monster.xml!A423</f>
        <v>1065043</v>
      </c>
      <c r="B419">
        <f>monster.xml!B423</f>
        <v>2001</v>
      </c>
      <c r="C419">
        <f>monster.xml!C423</f>
        <v>66</v>
      </c>
      <c r="D419" t="str">
        <f>monster.xml!D423</f>
        <v>约翰</v>
      </c>
      <c r="E419">
        <f>monster.xml!G423</f>
        <v>10</v>
      </c>
      <c r="F419" t="str">
        <f>monster.xml!X423</f>
        <v>monster/10067.png</v>
      </c>
      <c r="G419">
        <f>monster.xml!Y423</f>
        <v>1</v>
      </c>
    </row>
    <row r="420" spans="1:7">
      <c r="A420">
        <f>monster.xml!A424</f>
        <v>1065051</v>
      </c>
      <c r="B420">
        <f>monster.xml!B424</f>
        <v>2001</v>
      </c>
      <c r="C420">
        <f>monster.xml!C424</f>
        <v>66</v>
      </c>
      <c r="D420" t="str">
        <f>monster.xml!D424</f>
        <v>炎之安苏</v>
      </c>
      <c r="E420">
        <f>monster.xml!G424</f>
        <v>21</v>
      </c>
      <c r="F420" t="str">
        <f>monster.xml!X424</f>
        <v>monster/10096.png</v>
      </c>
      <c r="G420">
        <f>monster.xml!Y424</f>
        <v>1</v>
      </c>
    </row>
    <row r="421" spans="1:7">
      <c r="A421">
        <f>monster.xml!A425</f>
        <v>1065061</v>
      </c>
      <c r="B421">
        <f>monster.xml!B425</f>
        <v>2001</v>
      </c>
      <c r="C421">
        <f>monster.xml!C425</f>
        <v>67</v>
      </c>
      <c r="D421" t="str">
        <f>monster.xml!D425</f>
        <v>迅捷的维恩</v>
      </c>
      <c r="E421">
        <f>monster.xml!G425</f>
        <v>14</v>
      </c>
      <c r="F421" t="str">
        <f>monster.xml!X425</f>
        <v>monster/10073.png</v>
      </c>
      <c r="G421">
        <f>monster.xml!Y425</f>
        <v>1</v>
      </c>
    </row>
    <row r="422" spans="1:7">
      <c r="A422">
        <f>monster.xml!A426</f>
        <v>1065071</v>
      </c>
      <c r="B422">
        <f>monster.xml!B426</f>
        <v>2001</v>
      </c>
      <c r="C422">
        <f>monster.xml!C426</f>
        <v>67</v>
      </c>
      <c r="D422" t="str">
        <f>monster.xml!D426</f>
        <v>暮光预言者</v>
      </c>
      <c r="E422">
        <f>monster.xml!G426</f>
        <v>13</v>
      </c>
      <c r="F422" t="str">
        <f>monster.xml!X426</f>
        <v>monster/10080.png</v>
      </c>
      <c r="G422">
        <f>monster.xml!Y426</f>
        <v>1</v>
      </c>
    </row>
    <row r="423" spans="1:7">
      <c r="A423">
        <f>monster.xml!A427</f>
        <v>1065081</v>
      </c>
      <c r="B423">
        <f>monster.xml!B427</f>
        <v>2001</v>
      </c>
      <c r="C423">
        <f>monster.xml!C427</f>
        <v>68</v>
      </c>
      <c r="D423" t="str">
        <f>monster.xml!D427</f>
        <v>卡雷</v>
      </c>
      <c r="E423">
        <f>monster.xml!G427</f>
        <v>25</v>
      </c>
      <c r="F423" t="str">
        <f>monster.xml!X427</f>
        <v>monster/10056.png</v>
      </c>
      <c r="G423">
        <f>monster.xml!Y427</f>
        <v>1</v>
      </c>
    </row>
    <row r="424" spans="1:7">
      <c r="A424">
        <f>monster.xml!A428</f>
        <v>1065091</v>
      </c>
      <c r="B424">
        <f>monster.xml!B428</f>
        <v>2001</v>
      </c>
      <c r="C424">
        <f>monster.xml!C428</f>
        <v>69</v>
      </c>
      <c r="D424" t="str">
        <f>monster.xml!D428</f>
        <v>日光弗雷尔</v>
      </c>
      <c r="E424">
        <f>monster.xml!G428</f>
        <v>28</v>
      </c>
      <c r="F424" t="str">
        <f>monster.xml!X428</f>
        <v>monster/10010.png</v>
      </c>
      <c r="G424">
        <f>monster.xml!Y428</f>
        <v>1</v>
      </c>
    </row>
    <row r="425" spans="1:7">
      <c r="A425">
        <f>monster.xml!A429</f>
        <v>1070011</v>
      </c>
      <c r="B425">
        <f>monster.xml!B429</f>
        <v>2001</v>
      </c>
      <c r="C425">
        <f>monster.xml!C429</f>
        <v>70</v>
      </c>
      <c r="D425" t="str">
        <f>monster.xml!D429</f>
        <v>坚定的格雷格</v>
      </c>
      <c r="E425">
        <f>monster.xml!G429</f>
        <v>3</v>
      </c>
      <c r="F425" t="str">
        <f>monster.xml!X429</f>
        <v>monster/10119.png</v>
      </c>
      <c r="G425">
        <f>monster.xml!Y429</f>
        <v>1</v>
      </c>
    </row>
    <row r="426" spans="1:7">
      <c r="A426">
        <f>monster.xml!A430</f>
        <v>1070021</v>
      </c>
      <c r="B426">
        <f>monster.xml!B430</f>
        <v>2001</v>
      </c>
      <c r="C426">
        <f>monster.xml!C430</f>
        <v>70</v>
      </c>
      <c r="D426" t="str">
        <f>monster.xml!D430</f>
        <v>莱恩的倒影</v>
      </c>
      <c r="E426" t="str">
        <f>monster.xml!G430</f>
        <v>1,2</v>
      </c>
      <c r="F426" t="str">
        <f>monster.xml!X430</f>
        <v>UI/Program/MercenaryWarrior_1.png</v>
      </c>
      <c r="G426">
        <f>monster.xml!Y430</f>
        <v>1</v>
      </c>
    </row>
    <row r="427" spans="1:7">
      <c r="A427">
        <f>monster.xml!A431</f>
        <v>1070031</v>
      </c>
      <c r="B427">
        <f>monster.xml!B431</f>
        <v>2001</v>
      </c>
      <c r="C427">
        <f>monster.xml!C431</f>
        <v>71</v>
      </c>
      <c r="D427" t="str">
        <f>monster.xml!D431</f>
        <v>混乱的玛尔达</v>
      </c>
      <c r="E427" t="str">
        <f>monster.xml!G431</f>
        <v>6,19,23</v>
      </c>
      <c r="F427" t="str">
        <f>monster.xml!X431</f>
        <v>monster/10086.png</v>
      </c>
      <c r="G427">
        <f>monster.xml!Y431</f>
        <v>1</v>
      </c>
    </row>
    <row r="428" spans="1:7">
      <c r="A428">
        <f>monster.xml!A432</f>
        <v>1070041</v>
      </c>
      <c r="B428">
        <f>monster.xml!B432</f>
        <v>2001</v>
      </c>
      <c r="C428">
        <f>monster.xml!C432</f>
        <v>71</v>
      </c>
      <c r="D428" t="str">
        <f>monster.xml!D432</f>
        <v>驯兽师瓦纳</v>
      </c>
      <c r="E428">
        <f>monster.xml!G432</f>
        <v>2</v>
      </c>
      <c r="F428" t="str">
        <f>monster.xml!X432</f>
        <v>monster/10094.png</v>
      </c>
      <c r="G428">
        <f>monster.xml!Y432</f>
        <v>1</v>
      </c>
    </row>
    <row r="429" spans="1:7">
      <c r="A429">
        <f>monster.xml!A433</f>
        <v>1070042</v>
      </c>
      <c r="B429">
        <f>monster.xml!B433</f>
        <v>2001</v>
      </c>
      <c r="C429">
        <f>monster.xml!C433</f>
        <v>71</v>
      </c>
      <c r="D429" t="str">
        <f>monster.xml!D433</f>
        <v>多兰</v>
      </c>
      <c r="E429">
        <f>monster.xml!G433</f>
        <v>9</v>
      </c>
      <c r="F429" t="str">
        <f>monster.xml!X433</f>
        <v>monster/10061.png</v>
      </c>
      <c r="G429">
        <f>monster.xml!Y433</f>
        <v>1</v>
      </c>
    </row>
    <row r="430" spans="1:7">
      <c r="A430">
        <f>monster.xml!A434</f>
        <v>1070043</v>
      </c>
      <c r="B430">
        <f>monster.xml!B434</f>
        <v>2001</v>
      </c>
      <c r="C430">
        <f>monster.xml!C434</f>
        <v>71</v>
      </c>
      <c r="D430" t="str">
        <f>monster.xml!D434</f>
        <v>约翰</v>
      </c>
      <c r="E430">
        <f>monster.xml!G434</f>
        <v>10</v>
      </c>
      <c r="F430" t="str">
        <f>monster.xml!X434</f>
        <v>monster/10067.png</v>
      </c>
      <c r="G430">
        <f>monster.xml!Y434</f>
        <v>1</v>
      </c>
    </row>
    <row r="431" spans="1:7">
      <c r="A431">
        <f>monster.xml!A435</f>
        <v>1070051</v>
      </c>
      <c r="B431">
        <f>monster.xml!B435</f>
        <v>2001</v>
      </c>
      <c r="C431">
        <f>monster.xml!C435</f>
        <v>71</v>
      </c>
      <c r="D431" t="str">
        <f>monster.xml!D435</f>
        <v>炎之安苏</v>
      </c>
      <c r="E431">
        <f>monster.xml!G435</f>
        <v>21</v>
      </c>
      <c r="F431" t="str">
        <f>monster.xml!X435</f>
        <v>monster/10096.png</v>
      </c>
      <c r="G431">
        <f>monster.xml!Y435</f>
        <v>1</v>
      </c>
    </row>
    <row r="432" spans="1:7">
      <c r="A432">
        <f>monster.xml!A436</f>
        <v>1070061</v>
      </c>
      <c r="B432">
        <f>monster.xml!B436</f>
        <v>2001</v>
      </c>
      <c r="C432">
        <f>monster.xml!C436</f>
        <v>72</v>
      </c>
      <c r="D432" t="str">
        <f>monster.xml!D436</f>
        <v>迅捷的维恩</v>
      </c>
      <c r="E432">
        <f>monster.xml!G436</f>
        <v>14</v>
      </c>
      <c r="F432" t="str">
        <f>monster.xml!X436</f>
        <v>monster/10073.png</v>
      </c>
      <c r="G432">
        <f>monster.xml!Y436</f>
        <v>1</v>
      </c>
    </row>
    <row r="433" spans="1:7">
      <c r="A433">
        <f>monster.xml!A437</f>
        <v>1070071</v>
      </c>
      <c r="B433">
        <f>monster.xml!B437</f>
        <v>2001</v>
      </c>
      <c r="C433">
        <f>monster.xml!C437</f>
        <v>72</v>
      </c>
      <c r="D433" t="str">
        <f>monster.xml!D437</f>
        <v>暮光预言者</v>
      </c>
      <c r="E433">
        <f>monster.xml!G437</f>
        <v>13</v>
      </c>
      <c r="F433" t="str">
        <f>monster.xml!X437</f>
        <v>monster/10080.png</v>
      </c>
      <c r="G433">
        <f>monster.xml!Y437</f>
        <v>1</v>
      </c>
    </row>
    <row r="434" spans="1:7">
      <c r="A434">
        <f>monster.xml!A438</f>
        <v>1070081</v>
      </c>
      <c r="B434">
        <f>monster.xml!B438</f>
        <v>2001</v>
      </c>
      <c r="C434">
        <f>monster.xml!C438</f>
        <v>73</v>
      </c>
      <c r="D434" t="str">
        <f>monster.xml!D438</f>
        <v>卡雷</v>
      </c>
      <c r="E434">
        <f>monster.xml!G438</f>
        <v>25</v>
      </c>
      <c r="F434" t="str">
        <f>monster.xml!X438</f>
        <v>monster/10056.png</v>
      </c>
      <c r="G434">
        <f>monster.xml!Y438</f>
        <v>1</v>
      </c>
    </row>
    <row r="435" spans="1:7">
      <c r="A435">
        <f>monster.xml!A439</f>
        <v>1070091</v>
      </c>
      <c r="B435">
        <f>monster.xml!B439</f>
        <v>2001</v>
      </c>
      <c r="C435">
        <f>monster.xml!C439</f>
        <v>74</v>
      </c>
      <c r="D435" t="str">
        <f>monster.xml!D439</f>
        <v>日光弗雷尔</v>
      </c>
      <c r="E435">
        <f>monster.xml!G439</f>
        <v>28</v>
      </c>
      <c r="F435" t="str">
        <f>monster.xml!X439</f>
        <v>monster/10010.png</v>
      </c>
      <c r="G435">
        <f>monster.xml!Y439</f>
        <v>1</v>
      </c>
    </row>
    <row r="436" spans="1:7">
      <c r="A436">
        <f>monster.xml!A440</f>
        <v>1075011</v>
      </c>
      <c r="B436">
        <f>monster.xml!B440</f>
        <v>2001</v>
      </c>
      <c r="C436">
        <f>monster.xml!C440</f>
        <v>75</v>
      </c>
      <c r="D436" t="str">
        <f>monster.xml!D440</f>
        <v>坚定的格雷格</v>
      </c>
      <c r="E436">
        <f>monster.xml!G440</f>
        <v>3</v>
      </c>
      <c r="F436" t="str">
        <f>monster.xml!X440</f>
        <v>monster/10119.png</v>
      </c>
      <c r="G436">
        <f>monster.xml!Y440</f>
        <v>1</v>
      </c>
    </row>
    <row r="437" spans="1:7">
      <c r="A437">
        <f>monster.xml!A441</f>
        <v>1075021</v>
      </c>
      <c r="B437">
        <f>monster.xml!B441</f>
        <v>2001</v>
      </c>
      <c r="C437">
        <f>monster.xml!C441</f>
        <v>75</v>
      </c>
      <c r="D437" t="str">
        <f>monster.xml!D441</f>
        <v>莱恩的倒影</v>
      </c>
      <c r="E437" t="str">
        <f>monster.xml!G441</f>
        <v>1,2</v>
      </c>
      <c r="F437" t="str">
        <f>monster.xml!X441</f>
        <v>UI/Program/MercenaryWarrior_1.png</v>
      </c>
      <c r="G437">
        <f>monster.xml!Y441</f>
        <v>1</v>
      </c>
    </row>
    <row r="438" spans="1:7">
      <c r="A438">
        <f>monster.xml!A442</f>
        <v>1075031</v>
      </c>
      <c r="B438">
        <f>monster.xml!B442</f>
        <v>2001</v>
      </c>
      <c r="C438">
        <f>monster.xml!C442</f>
        <v>76</v>
      </c>
      <c r="D438" t="str">
        <f>monster.xml!D442</f>
        <v>混乱的玛尔达</v>
      </c>
      <c r="E438" t="str">
        <f>monster.xml!G442</f>
        <v>6,19,23</v>
      </c>
      <c r="F438" t="str">
        <f>monster.xml!X442</f>
        <v>monster/10086.png</v>
      </c>
      <c r="G438">
        <f>monster.xml!Y442</f>
        <v>1</v>
      </c>
    </row>
    <row r="439" spans="1:7">
      <c r="A439">
        <f>monster.xml!A443</f>
        <v>1075041</v>
      </c>
      <c r="B439">
        <f>monster.xml!B443</f>
        <v>2001</v>
      </c>
      <c r="C439">
        <f>monster.xml!C443</f>
        <v>76</v>
      </c>
      <c r="D439" t="str">
        <f>monster.xml!D443</f>
        <v>驯兽师瓦纳</v>
      </c>
      <c r="E439">
        <f>monster.xml!G443</f>
        <v>2</v>
      </c>
      <c r="F439" t="str">
        <f>monster.xml!X443</f>
        <v>monster/10094.png</v>
      </c>
      <c r="G439">
        <f>monster.xml!Y443</f>
        <v>1</v>
      </c>
    </row>
    <row r="440" spans="1:7">
      <c r="A440">
        <f>monster.xml!A444</f>
        <v>1075042</v>
      </c>
      <c r="B440">
        <f>monster.xml!B444</f>
        <v>2001</v>
      </c>
      <c r="C440">
        <f>monster.xml!C444</f>
        <v>76</v>
      </c>
      <c r="D440" t="str">
        <f>monster.xml!D444</f>
        <v>多兰</v>
      </c>
      <c r="E440">
        <f>monster.xml!G444</f>
        <v>9</v>
      </c>
      <c r="F440" t="str">
        <f>monster.xml!X444</f>
        <v>monster/10061.png</v>
      </c>
      <c r="G440">
        <f>monster.xml!Y444</f>
        <v>1</v>
      </c>
    </row>
    <row r="441" spans="1:7">
      <c r="A441">
        <f>monster.xml!A445</f>
        <v>1075043</v>
      </c>
      <c r="B441">
        <f>monster.xml!B445</f>
        <v>2001</v>
      </c>
      <c r="C441">
        <f>monster.xml!C445</f>
        <v>76</v>
      </c>
      <c r="D441" t="str">
        <f>monster.xml!D445</f>
        <v>约翰</v>
      </c>
      <c r="E441">
        <f>monster.xml!G445</f>
        <v>10</v>
      </c>
      <c r="F441" t="str">
        <f>monster.xml!X445</f>
        <v>monster/10067.png</v>
      </c>
      <c r="G441">
        <f>monster.xml!Y445</f>
        <v>1</v>
      </c>
    </row>
    <row r="442" spans="1:7">
      <c r="A442">
        <f>monster.xml!A446</f>
        <v>1075051</v>
      </c>
      <c r="B442">
        <f>monster.xml!B446</f>
        <v>2001</v>
      </c>
      <c r="C442">
        <f>monster.xml!C446</f>
        <v>76</v>
      </c>
      <c r="D442" t="str">
        <f>monster.xml!D446</f>
        <v>炎之安苏</v>
      </c>
      <c r="E442">
        <f>monster.xml!G446</f>
        <v>21</v>
      </c>
      <c r="F442" t="str">
        <f>monster.xml!X446</f>
        <v>monster/10096.png</v>
      </c>
      <c r="G442">
        <f>monster.xml!Y446</f>
        <v>1</v>
      </c>
    </row>
    <row r="443" spans="1:7">
      <c r="A443">
        <f>monster.xml!A447</f>
        <v>1075061</v>
      </c>
      <c r="B443">
        <f>monster.xml!B447</f>
        <v>2001</v>
      </c>
      <c r="C443">
        <f>monster.xml!C447</f>
        <v>77</v>
      </c>
      <c r="D443" t="str">
        <f>monster.xml!D447</f>
        <v>迅捷的维恩</v>
      </c>
      <c r="E443">
        <f>monster.xml!G447</f>
        <v>14</v>
      </c>
      <c r="F443" t="str">
        <f>monster.xml!X447</f>
        <v>monster/10073.png</v>
      </c>
      <c r="G443">
        <f>monster.xml!Y447</f>
        <v>1</v>
      </c>
    </row>
    <row r="444" spans="1:7">
      <c r="A444">
        <f>monster.xml!A448</f>
        <v>1075071</v>
      </c>
      <c r="B444">
        <f>monster.xml!B448</f>
        <v>2001</v>
      </c>
      <c r="C444">
        <f>monster.xml!C448</f>
        <v>77</v>
      </c>
      <c r="D444" t="str">
        <f>monster.xml!D448</f>
        <v>暮光预言者</v>
      </c>
      <c r="E444">
        <f>monster.xml!G448</f>
        <v>13</v>
      </c>
      <c r="F444" t="str">
        <f>monster.xml!X448</f>
        <v>monster/10080.png</v>
      </c>
      <c r="G444">
        <f>monster.xml!Y448</f>
        <v>1</v>
      </c>
    </row>
    <row r="445" spans="1:7">
      <c r="A445">
        <f>monster.xml!A449</f>
        <v>1075081</v>
      </c>
      <c r="B445">
        <f>monster.xml!B449</f>
        <v>2001</v>
      </c>
      <c r="C445">
        <f>monster.xml!C449</f>
        <v>78</v>
      </c>
      <c r="D445" t="str">
        <f>monster.xml!D449</f>
        <v>卡雷</v>
      </c>
      <c r="E445">
        <f>monster.xml!G449</f>
        <v>25</v>
      </c>
      <c r="F445" t="str">
        <f>monster.xml!X449</f>
        <v>monster/10056.png</v>
      </c>
      <c r="G445">
        <f>monster.xml!Y449</f>
        <v>1</v>
      </c>
    </row>
    <row r="446" spans="1:7">
      <c r="A446">
        <f>monster.xml!A450</f>
        <v>1075091</v>
      </c>
      <c r="B446">
        <f>monster.xml!B450</f>
        <v>2001</v>
      </c>
      <c r="C446">
        <f>monster.xml!C450</f>
        <v>79</v>
      </c>
      <c r="D446" t="str">
        <f>monster.xml!D450</f>
        <v>日光弗雷尔</v>
      </c>
      <c r="E446">
        <f>monster.xml!G450</f>
        <v>28</v>
      </c>
      <c r="F446" t="str">
        <f>monster.xml!X450</f>
        <v>monster/10010.png</v>
      </c>
      <c r="G446">
        <f>monster.xml!Y450</f>
        <v>1</v>
      </c>
    </row>
    <row r="447" spans="1:7">
      <c r="A447">
        <f>monster.xml!A451</f>
        <v>1080011</v>
      </c>
      <c r="B447">
        <f>monster.xml!B451</f>
        <v>2001</v>
      </c>
      <c r="C447">
        <f>monster.xml!C451</f>
        <v>80</v>
      </c>
      <c r="D447" t="str">
        <f>monster.xml!D451</f>
        <v>坚定的格雷格</v>
      </c>
      <c r="E447">
        <f>monster.xml!G451</f>
        <v>3</v>
      </c>
      <c r="F447" t="str">
        <f>monster.xml!X451</f>
        <v>monster/10119.png</v>
      </c>
      <c r="G447">
        <f>monster.xml!Y451</f>
        <v>1</v>
      </c>
    </row>
    <row r="448" spans="1:7">
      <c r="A448">
        <f>monster.xml!A452</f>
        <v>1080021</v>
      </c>
      <c r="B448">
        <f>monster.xml!B452</f>
        <v>2001</v>
      </c>
      <c r="C448">
        <f>monster.xml!C452</f>
        <v>80</v>
      </c>
      <c r="D448" t="str">
        <f>monster.xml!D452</f>
        <v>莱恩的倒影</v>
      </c>
      <c r="E448" t="str">
        <f>monster.xml!G452</f>
        <v>1,2</v>
      </c>
      <c r="F448" t="str">
        <f>monster.xml!X452</f>
        <v>UI/Program/MercenaryWarrior_1.png</v>
      </c>
      <c r="G448">
        <f>monster.xml!Y452</f>
        <v>1</v>
      </c>
    </row>
    <row r="449" spans="1:7">
      <c r="A449">
        <f>monster.xml!A453</f>
        <v>1080031</v>
      </c>
      <c r="B449">
        <f>monster.xml!B453</f>
        <v>2001</v>
      </c>
      <c r="C449">
        <f>monster.xml!C453</f>
        <v>81</v>
      </c>
      <c r="D449" t="str">
        <f>monster.xml!D453</f>
        <v>混乱的玛尔达</v>
      </c>
      <c r="E449" t="str">
        <f>monster.xml!G453</f>
        <v>6,19,23</v>
      </c>
      <c r="F449" t="str">
        <f>monster.xml!X453</f>
        <v>monster/10086.png</v>
      </c>
      <c r="G449">
        <f>monster.xml!Y453</f>
        <v>1</v>
      </c>
    </row>
    <row r="450" spans="1:7">
      <c r="A450">
        <f>monster.xml!A454</f>
        <v>1080041</v>
      </c>
      <c r="B450">
        <f>monster.xml!B454</f>
        <v>2001</v>
      </c>
      <c r="C450">
        <f>monster.xml!C454</f>
        <v>81</v>
      </c>
      <c r="D450" t="str">
        <f>monster.xml!D454</f>
        <v>驯兽师瓦纳</v>
      </c>
      <c r="E450">
        <f>monster.xml!G454</f>
        <v>2</v>
      </c>
      <c r="F450" t="str">
        <f>monster.xml!X454</f>
        <v>monster/10094.png</v>
      </c>
      <c r="G450">
        <f>monster.xml!Y454</f>
        <v>1</v>
      </c>
    </row>
    <row r="451" spans="1:7">
      <c r="A451">
        <f>monster.xml!A455</f>
        <v>1080042</v>
      </c>
      <c r="B451">
        <f>monster.xml!B455</f>
        <v>2001</v>
      </c>
      <c r="C451">
        <f>monster.xml!C455</f>
        <v>81</v>
      </c>
      <c r="D451" t="str">
        <f>monster.xml!D455</f>
        <v>多兰</v>
      </c>
      <c r="E451">
        <f>monster.xml!G455</f>
        <v>9</v>
      </c>
      <c r="F451" t="str">
        <f>monster.xml!X455</f>
        <v>monster/10061.png</v>
      </c>
      <c r="G451">
        <f>monster.xml!Y455</f>
        <v>1</v>
      </c>
    </row>
    <row r="452" spans="1:7">
      <c r="A452">
        <f>monster.xml!A456</f>
        <v>1080043</v>
      </c>
      <c r="B452">
        <f>monster.xml!B456</f>
        <v>2001</v>
      </c>
      <c r="C452">
        <f>monster.xml!C456</f>
        <v>81</v>
      </c>
      <c r="D452" t="str">
        <f>monster.xml!D456</f>
        <v>约翰</v>
      </c>
      <c r="E452">
        <f>monster.xml!G456</f>
        <v>10</v>
      </c>
      <c r="F452" t="str">
        <f>monster.xml!X456</f>
        <v>monster/10067.png</v>
      </c>
      <c r="G452">
        <f>monster.xml!Y456</f>
        <v>1</v>
      </c>
    </row>
    <row r="453" spans="1:7">
      <c r="A453">
        <f>monster.xml!A457</f>
        <v>1080051</v>
      </c>
      <c r="B453">
        <f>monster.xml!B457</f>
        <v>2001</v>
      </c>
      <c r="C453">
        <f>monster.xml!C457</f>
        <v>81</v>
      </c>
      <c r="D453" t="str">
        <f>monster.xml!D457</f>
        <v>炎之安苏</v>
      </c>
      <c r="E453">
        <f>monster.xml!G457</f>
        <v>21</v>
      </c>
      <c r="F453" t="str">
        <f>monster.xml!X457</f>
        <v>monster/10096.png</v>
      </c>
      <c r="G453">
        <f>monster.xml!Y457</f>
        <v>1</v>
      </c>
    </row>
    <row r="454" spans="1:7">
      <c r="A454">
        <f>monster.xml!A458</f>
        <v>1080061</v>
      </c>
      <c r="B454">
        <f>monster.xml!B458</f>
        <v>2001</v>
      </c>
      <c r="C454">
        <f>monster.xml!C458</f>
        <v>82</v>
      </c>
      <c r="D454" t="str">
        <f>monster.xml!D458</f>
        <v>迅捷的维恩</v>
      </c>
      <c r="E454">
        <f>monster.xml!G458</f>
        <v>14</v>
      </c>
      <c r="F454" t="str">
        <f>monster.xml!X458</f>
        <v>monster/10073.png</v>
      </c>
      <c r="G454">
        <f>monster.xml!Y458</f>
        <v>1</v>
      </c>
    </row>
    <row r="455" spans="1:7">
      <c r="A455">
        <f>monster.xml!A459</f>
        <v>1080071</v>
      </c>
      <c r="B455">
        <f>monster.xml!B459</f>
        <v>2001</v>
      </c>
      <c r="C455">
        <f>monster.xml!C459</f>
        <v>82</v>
      </c>
      <c r="D455" t="str">
        <f>monster.xml!D459</f>
        <v>暮光预言者</v>
      </c>
      <c r="E455">
        <f>monster.xml!G459</f>
        <v>13</v>
      </c>
      <c r="F455" t="str">
        <f>monster.xml!X459</f>
        <v>monster/10080.png</v>
      </c>
      <c r="G455">
        <f>monster.xml!Y459</f>
        <v>1</v>
      </c>
    </row>
    <row r="456" spans="1:7">
      <c r="A456">
        <f>monster.xml!A460</f>
        <v>1080081</v>
      </c>
      <c r="B456">
        <f>monster.xml!B460</f>
        <v>2001</v>
      </c>
      <c r="C456">
        <f>monster.xml!C460</f>
        <v>83</v>
      </c>
      <c r="D456" t="str">
        <f>monster.xml!D460</f>
        <v>卡雷</v>
      </c>
      <c r="E456">
        <f>monster.xml!G460</f>
        <v>25</v>
      </c>
      <c r="F456" t="str">
        <f>monster.xml!X460</f>
        <v>monster/10056.png</v>
      </c>
      <c r="G456">
        <f>monster.xml!Y460</f>
        <v>1</v>
      </c>
    </row>
    <row r="457" spans="1:7">
      <c r="A457">
        <f>monster.xml!A461</f>
        <v>1080091</v>
      </c>
      <c r="B457">
        <f>monster.xml!B461</f>
        <v>2001</v>
      </c>
      <c r="C457">
        <f>monster.xml!C461</f>
        <v>84</v>
      </c>
      <c r="D457" t="str">
        <f>monster.xml!D461</f>
        <v>日光弗雷尔</v>
      </c>
      <c r="E457">
        <f>monster.xml!G461</f>
        <v>28</v>
      </c>
      <c r="F457" t="str">
        <f>monster.xml!X461</f>
        <v>monster/10010.png</v>
      </c>
      <c r="G457">
        <f>monster.xml!Y461</f>
        <v>1</v>
      </c>
    </row>
    <row r="458" spans="1:7">
      <c r="A458">
        <f>monster.xml!A462</f>
        <v>1085011</v>
      </c>
      <c r="B458">
        <f>monster.xml!B462</f>
        <v>2001</v>
      </c>
      <c r="C458">
        <f>monster.xml!C462</f>
        <v>85</v>
      </c>
      <c r="D458" t="str">
        <f>monster.xml!D462</f>
        <v>疾风克鲁</v>
      </c>
      <c r="E458">
        <f>monster.xml!G462</f>
        <v>19</v>
      </c>
      <c r="F458" t="str">
        <f>monster.xml!X462</f>
        <v>monster/10134.png</v>
      </c>
      <c r="G458">
        <f>monster.xml!Y462</f>
        <v>1</v>
      </c>
    </row>
    <row r="459" spans="1:7">
      <c r="A459">
        <f>monster.xml!A463</f>
        <v>1085021</v>
      </c>
      <c r="B459">
        <f>monster.xml!B463</f>
        <v>2001</v>
      </c>
      <c r="C459">
        <f>monster.xml!C463</f>
        <v>85</v>
      </c>
      <c r="D459" t="str">
        <f>monster.xml!D463</f>
        <v>拨弄的赛亚</v>
      </c>
      <c r="E459" t="str">
        <f>monster.xml!G463</f>
        <v>17,18,8</v>
      </c>
      <c r="F459" t="str">
        <f>monster.xml!X463</f>
        <v>monster/10125.png</v>
      </c>
      <c r="G459">
        <f>monster.xml!Y463</f>
        <v>1</v>
      </c>
    </row>
    <row r="460" spans="1:7">
      <c r="A460">
        <f>monster.xml!A464</f>
        <v>1085031</v>
      </c>
      <c r="B460">
        <f>monster.xml!B464</f>
        <v>2001</v>
      </c>
      <c r="C460">
        <f>monster.xml!C464</f>
        <v>86</v>
      </c>
      <c r="D460" t="str">
        <f>monster.xml!D464</f>
        <v>法力风暴</v>
      </c>
      <c r="E460" t="str">
        <f>monster.xml!G464</f>
        <v>25,30</v>
      </c>
      <c r="F460" t="str">
        <f>monster.xml!X464</f>
        <v>monster/10061.png</v>
      </c>
      <c r="G460">
        <f>monster.xml!Y464</f>
        <v>1</v>
      </c>
    </row>
    <row r="461" spans="1:7">
      <c r="A461">
        <f>monster.xml!A465</f>
        <v>1085041</v>
      </c>
      <c r="B461">
        <f>monster.xml!B465</f>
        <v>2001</v>
      </c>
      <c r="C461">
        <f>monster.xml!C465</f>
        <v>86</v>
      </c>
      <c r="D461" t="str">
        <f>monster.xml!D465</f>
        <v>火舞者</v>
      </c>
      <c r="E461">
        <f>monster.xml!G465</f>
        <v>29</v>
      </c>
      <c r="F461" t="str">
        <f>monster.xml!X465</f>
        <v>monster/10116.png</v>
      </c>
      <c r="G461">
        <f>monster.xml!Y465</f>
        <v>1</v>
      </c>
    </row>
    <row r="462" spans="1:7">
      <c r="A462">
        <f>monster.xml!A466</f>
        <v>1085051</v>
      </c>
      <c r="B462">
        <f>monster.xml!B466</f>
        <v>2001</v>
      </c>
      <c r="C462">
        <f>monster.xml!C466</f>
        <v>86</v>
      </c>
      <c r="D462" t="str">
        <f>monster.xml!D466</f>
        <v>血誓审判者</v>
      </c>
      <c r="E462">
        <f>monster.xml!G466</f>
        <v>5</v>
      </c>
      <c r="F462" t="str">
        <f>monster.xml!X466</f>
        <v>monster/10083.png</v>
      </c>
      <c r="G462">
        <f>monster.xml!Y466</f>
        <v>1</v>
      </c>
    </row>
    <row r="463" spans="1:7">
      <c r="A463">
        <f>monster.xml!A467</f>
        <v>1085052</v>
      </c>
      <c r="B463">
        <f>monster.xml!B467</f>
        <v>2001</v>
      </c>
      <c r="C463">
        <f>monster.xml!C467</f>
        <v>86</v>
      </c>
      <c r="D463" t="str">
        <f>monster.xml!D467</f>
        <v>血誓预言者</v>
      </c>
      <c r="E463">
        <f>monster.xml!G467</f>
        <v>2</v>
      </c>
      <c r="F463" t="str">
        <f>monster.xml!X467</f>
        <v>monster/10082.png</v>
      </c>
      <c r="G463">
        <f>monster.xml!Y467</f>
        <v>1</v>
      </c>
    </row>
    <row r="464" spans="1:7">
      <c r="A464">
        <f>monster.xml!A468</f>
        <v>1085053</v>
      </c>
      <c r="B464">
        <f>monster.xml!B468</f>
        <v>2001</v>
      </c>
      <c r="C464">
        <f>monster.xml!C468</f>
        <v>86</v>
      </c>
      <c r="D464" t="str">
        <f>monster.xml!D468</f>
        <v>血誓召唤者</v>
      </c>
      <c r="E464">
        <f>monster.xml!G468</f>
        <v>26</v>
      </c>
      <c r="F464" t="str">
        <f>monster.xml!X468</f>
        <v>monster/10081.png</v>
      </c>
      <c r="G464">
        <f>monster.xml!Y468</f>
        <v>1</v>
      </c>
    </row>
    <row r="465" spans="1:7">
      <c r="A465">
        <f>monster.xml!A469</f>
        <v>1085054</v>
      </c>
      <c r="B465">
        <f>monster.xml!B469</f>
        <v>2001</v>
      </c>
      <c r="C465">
        <f>monster.xml!C469</f>
        <v>86</v>
      </c>
      <c r="D465" t="str">
        <f>monster.xml!D469</f>
        <v>血誓领主</v>
      </c>
      <c r="E465">
        <f>monster.xml!G469</f>
        <v>14</v>
      </c>
      <c r="F465" t="str">
        <f>monster.xml!X469</f>
        <v>monster/10072.png</v>
      </c>
      <c r="G465">
        <f>monster.xml!Y469</f>
        <v>1</v>
      </c>
    </row>
    <row r="466" spans="1:7">
      <c r="A466">
        <f>monster.xml!A470</f>
        <v>1085061</v>
      </c>
      <c r="B466">
        <f>monster.xml!B470</f>
        <v>2001</v>
      </c>
      <c r="C466">
        <f>monster.xml!C470</f>
        <v>87</v>
      </c>
      <c r="D466" t="str">
        <f>monster.xml!D470</f>
        <v>舞钢者拜伦</v>
      </c>
      <c r="E466">
        <f>monster.xml!G470</f>
        <v>8</v>
      </c>
      <c r="F466" t="str">
        <f>monster.xml!X470</f>
        <v>monster/10084.png</v>
      </c>
      <c r="G466">
        <f>monster.xml!Y470</f>
        <v>1</v>
      </c>
    </row>
    <row r="467" spans="1:7">
      <c r="A467">
        <f>monster.xml!A471</f>
        <v>1085071</v>
      </c>
      <c r="B467">
        <f>monster.xml!B471</f>
        <v>2001</v>
      </c>
      <c r="C467">
        <f>monster.xml!C471</f>
        <v>87</v>
      </c>
      <c r="D467" t="str">
        <f>monster.xml!D471</f>
        <v>风暴之王</v>
      </c>
      <c r="E467">
        <f>monster.xml!G471</f>
        <v>6</v>
      </c>
      <c r="F467" t="str">
        <f>monster.xml!X471</f>
        <v>monster/10138.png</v>
      </c>
      <c r="G467">
        <f>monster.xml!Y471</f>
        <v>1</v>
      </c>
    </row>
    <row r="468" spans="1:7">
      <c r="A468">
        <f>monster.xml!A472</f>
        <v>1085081</v>
      </c>
      <c r="B468">
        <f>monster.xml!B472</f>
        <v>2001</v>
      </c>
      <c r="C468">
        <f>monster.xml!C472</f>
        <v>88</v>
      </c>
      <c r="D468" t="str">
        <f>monster.xml!D472</f>
        <v>雷伊战争使者</v>
      </c>
      <c r="E468">
        <f>monster.xml!G472</f>
        <v>7</v>
      </c>
      <c r="F468" t="str">
        <f>monster.xml!X472</f>
        <v>monster/10127.png</v>
      </c>
      <c r="G468">
        <f>monster.xml!Y472</f>
        <v>1</v>
      </c>
    </row>
    <row r="469" spans="1:7">
      <c r="A469">
        <f>monster.xml!A473</f>
        <v>1085091</v>
      </c>
      <c r="B469">
        <f>monster.xml!B473</f>
        <v>2001</v>
      </c>
      <c r="C469">
        <f>monster.xml!C473</f>
        <v>89</v>
      </c>
      <c r="D469" t="str">
        <f>monster.xml!D473</f>
        <v>暴君泰伦</v>
      </c>
      <c r="E469" t="str">
        <f>monster.xml!G473</f>
        <v>10,9</v>
      </c>
      <c r="F469" t="str">
        <f>monster.xml!X473</f>
        <v>monster/10140.png</v>
      </c>
      <c r="G469">
        <f>monster.xml!Y473</f>
        <v>1</v>
      </c>
    </row>
    <row r="470" spans="1:7">
      <c r="A470">
        <f>monster.xml!A474</f>
        <v>1090011</v>
      </c>
      <c r="B470">
        <f>monster.xml!B474</f>
        <v>2001</v>
      </c>
      <c r="C470">
        <f>monster.xml!C474</f>
        <v>90</v>
      </c>
      <c r="D470" t="str">
        <f>monster.xml!D474</f>
        <v>疾风克鲁</v>
      </c>
      <c r="E470">
        <f>monster.xml!G474</f>
        <v>19</v>
      </c>
      <c r="F470" t="str">
        <f>monster.xml!X474</f>
        <v>monster/10134.png</v>
      </c>
      <c r="G470">
        <f>monster.xml!Y474</f>
        <v>1</v>
      </c>
    </row>
    <row r="471" spans="1:7">
      <c r="A471">
        <f>monster.xml!A475</f>
        <v>1090021</v>
      </c>
      <c r="B471">
        <f>monster.xml!B475</f>
        <v>2001</v>
      </c>
      <c r="C471">
        <f>monster.xml!C475</f>
        <v>90</v>
      </c>
      <c r="D471" t="str">
        <f>monster.xml!D475</f>
        <v>拨弄的赛亚</v>
      </c>
      <c r="E471" t="str">
        <f>monster.xml!G475</f>
        <v>17,18,8</v>
      </c>
      <c r="F471" t="str">
        <f>monster.xml!X475</f>
        <v>monster/10125.png</v>
      </c>
      <c r="G471">
        <f>monster.xml!Y475</f>
        <v>1</v>
      </c>
    </row>
    <row r="472" spans="1:7">
      <c r="A472">
        <f>monster.xml!A476</f>
        <v>1090031</v>
      </c>
      <c r="B472">
        <f>monster.xml!B476</f>
        <v>2001</v>
      </c>
      <c r="C472">
        <f>monster.xml!C476</f>
        <v>91</v>
      </c>
      <c r="D472" t="str">
        <f>monster.xml!D476</f>
        <v>法力风暴</v>
      </c>
      <c r="E472" t="str">
        <f>monster.xml!G476</f>
        <v>25,30</v>
      </c>
      <c r="F472" t="str">
        <f>monster.xml!X476</f>
        <v>monster/10061.png</v>
      </c>
      <c r="G472">
        <f>monster.xml!Y476</f>
        <v>1</v>
      </c>
    </row>
    <row r="473" spans="1:7">
      <c r="A473">
        <f>monster.xml!A477</f>
        <v>1090041</v>
      </c>
      <c r="B473">
        <f>monster.xml!B477</f>
        <v>2001</v>
      </c>
      <c r="C473">
        <f>monster.xml!C477</f>
        <v>91</v>
      </c>
      <c r="D473" t="str">
        <f>monster.xml!D477</f>
        <v>火舞者</v>
      </c>
      <c r="E473">
        <f>monster.xml!G477</f>
        <v>29</v>
      </c>
      <c r="F473" t="str">
        <f>monster.xml!X477</f>
        <v>monster/10116.png</v>
      </c>
      <c r="G473">
        <f>monster.xml!Y477</f>
        <v>1</v>
      </c>
    </row>
    <row r="474" spans="1:7">
      <c r="A474">
        <f>monster.xml!A478</f>
        <v>1090051</v>
      </c>
      <c r="B474">
        <f>monster.xml!B478</f>
        <v>2001</v>
      </c>
      <c r="C474">
        <f>monster.xml!C478</f>
        <v>91</v>
      </c>
      <c r="D474" t="str">
        <f>monster.xml!D478</f>
        <v>血誓审判者</v>
      </c>
      <c r="E474">
        <f>monster.xml!G478</f>
        <v>5</v>
      </c>
      <c r="F474" t="str">
        <f>monster.xml!X478</f>
        <v>monster/10083.png</v>
      </c>
      <c r="G474">
        <f>monster.xml!Y478</f>
        <v>1</v>
      </c>
    </row>
    <row r="475" spans="1:7">
      <c r="A475">
        <f>monster.xml!A479</f>
        <v>1090052</v>
      </c>
      <c r="B475">
        <f>monster.xml!B479</f>
        <v>2001</v>
      </c>
      <c r="C475">
        <f>monster.xml!C479</f>
        <v>91</v>
      </c>
      <c r="D475" t="str">
        <f>monster.xml!D479</f>
        <v>血誓预言者</v>
      </c>
      <c r="E475">
        <f>monster.xml!G479</f>
        <v>2</v>
      </c>
      <c r="F475" t="str">
        <f>monster.xml!X479</f>
        <v>monster/10082.png</v>
      </c>
      <c r="G475">
        <f>monster.xml!Y479</f>
        <v>1</v>
      </c>
    </row>
    <row r="476" spans="1:7">
      <c r="A476">
        <f>monster.xml!A480</f>
        <v>1090053</v>
      </c>
      <c r="B476">
        <f>monster.xml!B480</f>
        <v>2001</v>
      </c>
      <c r="C476">
        <f>monster.xml!C480</f>
        <v>91</v>
      </c>
      <c r="D476" t="str">
        <f>monster.xml!D480</f>
        <v>血誓召唤者</v>
      </c>
      <c r="E476">
        <f>monster.xml!G480</f>
        <v>26</v>
      </c>
      <c r="F476" t="str">
        <f>monster.xml!X480</f>
        <v>monster/10081.png</v>
      </c>
      <c r="G476">
        <f>monster.xml!Y480</f>
        <v>1</v>
      </c>
    </row>
    <row r="477" spans="1:7">
      <c r="A477">
        <f>monster.xml!A481</f>
        <v>1090054</v>
      </c>
      <c r="B477">
        <f>monster.xml!B481</f>
        <v>2001</v>
      </c>
      <c r="C477">
        <f>monster.xml!C481</f>
        <v>91</v>
      </c>
      <c r="D477" t="str">
        <f>monster.xml!D481</f>
        <v>血誓领主</v>
      </c>
      <c r="E477">
        <f>monster.xml!G481</f>
        <v>14</v>
      </c>
      <c r="F477" t="str">
        <f>monster.xml!X481</f>
        <v>monster/10072.png</v>
      </c>
      <c r="G477">
        <f>monster.xml!Y481</f>
        <v>1</v>
      </c>
    </row>
    <row r="478" spans="1:7">
      <c r="A478">
        <f>monster.xml!A482</f>
        <v>1090061</v>
      </c>
      <c r="B478">
        <f>monster.xml!B482</f>
        <v>2001</v>
      </c>
      <c r="C478">
        <f>monster.xml!C482</f>
        <v>92</v>
      </c>
      <c r="D478" t="str">
        <f>monster.xml!D482</f>
        <v>舞钢者拜伦</v>
      </c>
      <c r="E478">
        <f>monster.xml!G482</f>
        <v>8</v>
      </c>
      <c r="F478" t="str">
        <f>monster.xml!X482</f>
        <v>monster/10084.png</v>
      </c>
      <c r="G478">
        <f>monster.xml!Y482</f>
        <v>1</v>
      </c>
    </row>
    <row r="479" spans="1:7">
      <c r="A479">
        <f>monster.xml!A483</f>
        <v>1090071</v>
      </c>
      <c r="B479">
        <f>monster.xml!B483</f>
        <v>2001</v>
      </c>
      <c r="C479">
        <f>monster.xml!C483</f>
        <v>92</v>
      </c>
      <c r="D479" t="str">
        <f>monster.xml!D483</f>
        <v>风暴之王</v>
      </c>
      <c r="E479">
        <f>monster.xml!G483</f>
        <v>6</v>
      </c>
      <c r="F479" t="str">
        <f>monster.xml!X483</f>
        <v>monster/10138.png</v>
      </c>
      <c r="G479">
        <f>monster.xml!Y483</f>
        <v>1</v>
      </c>
    </row>
    <row r="480" spans="1:7">
      <c r="A480">
        <f>monster.xml!A484</f>
        <v>1090081</v>
      </c>
      <c r="B480">
        <f>monster.xml!B484</f>
        <v>2001</v>
      </c>
      <c r="C480">
        <f>monster.xml!C484</f>
        <v>93</v>
      </c>
      <c r="D480" t="str">
        <f>monster.xml!D484</f>
        <v>雷伊战争使者</v>
      </c>
      <c r="E480">
        <f>monster.xml!G484</f>
        <v>7</v>
      </c>
      <c r="F480" t="str">
        <f>monster.xml!X484</f>
        <v>monster/10127.png</v>
      </c>
      <c r="G480">
        <f>monster.xml!Y484</f>
        <v>1</v>
      </c>
    </row>
    <row r="481" spans="1:7">
      <c r="A481">
        <f>monster.xml!A485</f>
        <v>1090091</v>
      </c>
      <c r="B481">
        <f>monster.xml!B485</f>
        <v>2001</v>
      </c>
      <c r="C481">
        <f>monster.xml!C485</f>
        <v>94</v>
      </c>
      <c r="D481" t="str">
        <f>monster.xml!D485</f>
        <v>暴君泰伦</v>
      </c>
      <c r="E481" t="str">
        <f>monster.xml!G485</f>
        <v>10,9</v>
      </c>
      <c r="F481" t="str">
        <f>monster.xml!X485</f>
        <v>monster/10140.png</v>
      </c>
      <c r="G481">
        <f>monster.xml!Y485</f>
        <v>1</v>
      </c>
    </row>
    <row r="482" spans="1:7">
      <c r="A482">
        <f>monster.xml!A486</f>
        <v>1095011</v>
      </c>
      <c r="B482">
        <f>monster.xml!B486</f>
        <v>2001</v>
      </c>
      <c r="C482">
        <f>monster.xml!C486</f>
        <v>95</v>
      </c>
      <c r="D482" t="str">
        <f>monster.xml!D486</f>
        <v>疾风克鲁</v>
      </c>
      <c r="E482">
        <f>monster.xml!G486</f>
        <v>19</v>
      </c>
      <c r="F482" t="str">
        <f>monster.xml!X486</f>
        <v>monster/10134.png</v>
      </c>
      <c r="G482">
        <f>monster.xml!Y486</f>
        <v>1</v>
      </c>
    </row>
    <row r="483" spans="1:7">
      <c r="A483">
        <f>monster.xml!A487</f>
        <v>1095021</v>
      </c>
      <c r="B483">
        <f>monster.xml!B487</f>
        <v>2001</v>
      </c>
      <c r="C483">
        <f>monster.xml!C487</f>
        <v>95</v>
      </c>
      <c r="D483" t="str">
        <f>monster.xml!D487</f>
        <v>拨弄的赛亚</v>
      </c>
      <c r="E483" t="str">
        <f>monster.xml!G487</f>
        <v>17,18,8</v>
      </c>
      <c r="F483" t="str">
        <f>monster.xml!X487</f>
        <v>monster/10125.png</v>
      </c>
      <c r="G483">
        <f>monster.xml!Y487</f>
        <v>1</v>
      </c>
    </row>
    <row r="484" spans="1:7">
      <c r="A484">
        <f>monster.xml!A488</f>
        <v>1095031</v>
      </c>
      <c r="B484">
        <f>monster.xml!B488</f>
        <v>2001</v>
      </c>
      <c r="C484">
        <f>monster.xml!C488</f>
        <v>96</v>
      </c>
      <c r="D484" t="str">
        <f>monster.xml!D488</f>
        <v>法力风暴</v>
      </c>
      <c r="E484" t="str">
        <f>monster.xml!G488</f>
        <v>25,30</v>
      </c>
      <c r="F484" t="str">
        <f>monster.xml!X488</f>
        <v>monster/10061.png</v>
      </c>
      <c r="G484">
        <f>monster.xml!Y488</f>
        <v>1</v>
      </c>
    </row>
    <row r="485" spans="1:7">
      <c r="A485">
        <f>monster.xml!A489</f>
        <v>1095041</v>
      </c>
      <c r="B485">
        <f>monster.xml!B489</f>
        <v>2001</v>
      </c>
      <c r="C485">
        <f>monster.xml!C489</f>
        <v>96</v>
      </c>
      <c r="D485" t="str">
        <f>monster.xml!D489</f>
        <v>火舞者</v>
      </c>
      <c r="E485">
        <f>monster.xml!G489</f>
        <v>29</v>
      </c>
      <c r="F485" t="str">
        <f>monster.xml!X489</f>
        <v>monster/10116.png</v>
      </c>
      <c r="G485">
        <f>monster.xml!Y489</f>
        <v>1</v>
      </c>
    </row>
    <row r="486" spans="1:7">
      <c r="A486">
        <f>monster.xml!A490</f>
        <v>1095051</v>
      </c>
      <c r="B486">
        <f>monster.xml!B490</f>
        <v>2001</v>
      </c>
      <c r="C486">
        <f>monster.xml!C490</f>
        <v>96</v>
      </c>
      <c r="D486" t="str">
        <f>monster.xml!D490</f>
        <v>血誓审判者</v>
      </c>
      <c r="E486">
        <f>monster.xml!G490</f>
        <v>5</v>
      </c>
      <c r="F486" t="str">
        <f>monster.xml!X490</f>
        <v>monster/10083.png</v>
      </c>
      <c r="G486">
        <f>monster.xml!Y490</f>
        <v>1</v>
      </c>
    </row>
    <row r="487" spans="1:7">
      <c r="A487">
        <f>monster.xml!A491</f>
        <v>1095052</v>
      </c>
      <c r="B487">
        <f>monster.xml!B491</f>
        <v>2001</v>
      </c>
      <c r="C487">
        <f>monster.xml!C491</f>
        <v>96</v>
      </c>
      <c r="D487" t="str">
        <f>monster.xml!D491</f>
        <v>血誓预言者</v>
      </c>
      <c r="E487">
        <f>monster.xml!G491</f>
        <v>2</v>
      </c>
      <c r="F487" t="str">
        <f>monster.xml!X491</f>
        <v>monster/10082.png</v>
      </c>
      <c r="G487">
        <f>monster.xml!Y491</f>
        <v>1</v>
      </c>
    </row>
    <row r="488" spans="1:7">
      <c r="A488">
        <f>monster.xml!A492</f>
        <v>1095053</v>
      </c>
      <c r="B488">
        <f>monster.xml!B492</f>
        <v>2001</v>
      </c>
      <c r="C488">
        <f>monster.xml!C492</f>
        <v>96</v>
      </c>
      <c r="D488" t="str">
        <f>monster.xml!D492</f>
        <v>血誓召唤者</v>
      </c>
      <c r="E488">
        <f>monster.xml!G492</f>
        <v>26</v>
      </c>
      <c r="F488" t="str">
        <f>monster.xml!X492</f>
        <v>monster/10081.png</v>
      </c>
      <c r="G488">
        <f>monster.xml!Y492</f>
        <v>1</v>
      </c>
    </row>
    <row r="489" spans="1:7">
      <c r="A489">
        <f>monster.xml!A493</f>
        <v>1095054</v>
      </c>
      <c r="B489">
        <f>monster.xml!B493</f>
        <v>2001</v>
      </c>
      <c r="C489">
        <f>monster.xml!C493</f>
        <v>96</v>
      </c>
      <c r="D489" t="str">
        <f>monster.xml!D493</f>
        <v>血誓领主</v>
      </c>
      <c r="E489">
        <f>monster.xml!G493</f>
        <v>14</v>
      </c>
      <c r="F489" t="str">
        <f>monster.xml!X493</f>
        <v>monster/10072.png</v>
      </c>
      <c r="G489">
        <f>monster.xml!Y493</f>
        <v>1</v>
      </c>
    </row>
    <row r="490" spans="1:7">
      <c r="A490">
        <f>monster.xml!A494</f>
        <v>1095061</v>
      </c>
      <c r="B490">
        <f>monster.xml!B494</f>
        <v>2001</v>
      </c>
      <c r="C490">
        <f>monster.xml!C494</f>
        <v>97</v>
      </c>
      <c r="D490" t="str">
        <f>monster.xml!D494</f>
        <v>舞钢者拜伦</v>
      </c>
      <c r="E490">
        <f>monster.xml!G494</f>
        <v>8</v>
      </c>
      <c r="F490" t="str">
        <f>monster.xml!X494</f>
        <v>monster/10084.png</v>
      </c>
      <c r="G490">
        <f>monster.xml!Y494</f>
        <v>1</v>
      </c>
    </row>
    <row r="491" spans="1:7">
      <c r="A491">
        <f>monster.xml!A495</f>
        <v>1095071</v>
      </c>
      <c r="B491">
        <f>monster.xml!B495</f>
        <v>2001</v>
      </c>
      <c r="C491">
        <f>monster.xml!C495</f>
        <v>97</v>
      </c>
      <c r="D491" t="str">
        <f>monster.xml!D495</f>
        <v>风暴之王</v>
      </c>
      <c r="E491">
        <f>monster.xml!G495</f>
        <v>6</v>
      </c>
      <c r="F491" t="str">
        <f>monster.xml!X495</f>
        <v>monster/10138.png</v>
      </c>
      <c r="G491">
        <f>monster.xml!Y495</f>
        <v>1</v>
      </c>
    </row>
    <row r="492" spans="1:7">
      <c r="A492">
        <f>monster.xml!A496</f>
        <v>1095081</v>
      </c>
      <c r="B492">
        <f>monster.xml!B496</f>
        <v>2001</v>
      </c>
      <c r="C492">
        <f>monster.xml!C496</f>
        <v>98</v>
      </c>
      <c r="D492" t="str">
        <f>monster.xml!D496</f>
        <v>雷伊战争使者</v>
      </c>
      <c r="E492">
        <f>monster.xml!G496</f>
        <v>7</v>
      </c>
      <c r="F492" t="str">
        <f>monster.xml!X496</f>
        <v>monster/10127.png</v>
      </c>
      <c r="G492">
        <f>monster.xml!Y496</f>
        <v>1</v>
      </c>
    </row>
    <row r="493" spans="1:7">
      <c r="A493">
        <f>monster.xml!A497</f>
        <v>1095091</v>
      </c>
      <c r="B493">
        <f>monster.xml!B497</f>
        <v>2001</v>
      </c>
      <c r="C493">
        <f>monster.xml!C497</f>
        <v>99</v>
      </c>
      <c r="D493" t="str">
        <f>monster.xml!D497</f>
        <v>暴君泰伦</v>
      </c>
      <c r="E493" t="str">
        <f>monster.xml!G497</f>
        <v>10,9</v>
      </c>
      <c r="F493" t="str">
        <f>monster.xml!X497</f>
        <v>monster/10140.png</v>
      </c>
      <c r="G493">
        <f>monster.xml!Y497</f>
        <v>1</v>
      </c>
    </row>
    <row r="494" spans="1:7">
      <c r="A494">
        <f>monster.xml!A498</f>
        <v>1100011</v>
      </c>
      <c r="B494">
        <f>monster.xml!B498</f>
        <v>2001</v>
      </c>
      <c r="C494">
        <f>monster.xml!C498</f>
        <v>100</v>
      </c>
      <c r="D494" t="str">
        <f>monster.xml!D498</f>
        <v>疾风克鲁</v>
      </c>
      <c r="E494">
        <f>monster.xml!G498</f>
        <v>19</v>
      </c>
      <c r="F494" t="str">
        <f>monster.xml!X498</f>
        <v>monster/10134.png</v>
      </c>
      <c r="G494">
        <f>monster.xml!Y498</f>
        <v>1</v>
      </c>
    </row>
    <row r="495" spans="1:7">
      <c r="A495">
        <f>monster.xml!A499</f>
        <v>1100021</v>
      </c>
      <c r="B495">
        <f>monster.xml!B499</f>
        <v>2001</v>
      </c>
      <c r="C495">
        <f>monster.xml!C499</f>
        <v>100</v>
      </c>
      <c r="D495" t="str">
        <f>monster.xml!D499</f>
        <v>拨弄的赛亚</v>
      </c>
      <c r="E495" t="str">
        <f>monster.xml!G499</f>
        <v>17,18,8</v>
      </c>
      <c r="F495" t="str">
        <f>monster.xml!X499</f>
        <v>monster/10125.png</v>
      </c>
      <c r="G495">
        <f>monster.xml!Y499</f>
        <v>1</v>
      </c>
    </row>
    <row r="496" spans="1:7">
      <c r="A496">
        <f>monster.xml!A500</f>
        <v>1100031</v>
      </c>
      <c r="B496">
        <f>monster.xml!B500</f>
        <v>2001</v>
      </c>
      <c r="C496">
        <f>monster.xml!C500</f>
        <v>101</v>
      </c>
      <c r="D496" t="str">
        <f>monster.xml!D500</f>
        <v>法力风暴</v>
      </c>
      <c r="E496" t="str">
        <f>monster.xml!G500</f>
        <v>25,30</v>
      </c>
      <c r="F496" t="str">
        <f>monster.xml!X500</f>
        <v>monster/10061.png</v>
      </c>
      <c r="G496">
        <f>monster.xml!Y500</f>
        <v>1</v>
      </c>
    </row>
    <row r="497" spans="1:7">
      <c r="A497">
        <f>monster.xml!A501</f>
        <v>1100041</v>
      </c>
      <c r="B497">
        <f>monster.xml!B501</f>
        <v>2001</v>
      </c>
      <c r="C497">
        <f>monster.xml!C501</f>
        <v>101</v>
      </c>
      <c r="D497" t="str">
        <f>monster.xml!D501</f>
        <v>火舞者</v>
      </c>
      <c r="E497">
        <f>monster.xml!G501</f>
        <v>29</v>
      </c>
      <c r="F497" t="str">
        <f>monster.xml!X501</f>
        <v>monster/10116.png</v>
      </c>
      <c r="G497">
        <f>monster.xml!Y501</f>
        <v>1</v>
      </c>
    </row>
    <row r="498" spans="1:7">
      <c r="A498">
        <f>monster.xml!A502</f>
        <v>1100051</v>
      </c>
      <c r="B498">
        <f>monster.xml!B502</f>
        <v>2001</v>
      </c>
      <c r="C498">
        <f>monster.xml!C502</f>
        <v>101</v>
      </c>
      <c r="D498" t="str">
        <f>monster.xml!D502</f>
        <v>血誓审判者</v>
      </c>
      <c r="E498">
        <f>monster.xml!G502</f>
        <v>5</v>
      </c>
      <c r="F498" t="str">
        <f>monster.xml!X502</f>
        <v>monster/10083.png</v>
      </c>
      <c r="G498">
        <f>monster.xml!Y502</f>
        <v>1</v>
      </c>
    </row>
    <row r="499" spans="1:7">
      <c r="A499">
        <f>monster.xml!A503</f>
        <v>1100052</v>
      </c>
      <c r="B499">
        <f>monster.xml!B503</f>
        <v>2001</v>
      </c>
      <c r="C499">
        <f>monster.xml!C503</f>
        <v>101</v>
      </c>
      <c r="D499" t="str">
        <f>monster.xml!D503</f>
        <v>血誓预言者</v>
      </c>
      <c r="E499">
        <f>monster.xml!G503</f>
        <v>2</v>
      </c>
      <c r="F499" t="str">
        <f>monster.xml!X503</f>
        <v>monster/10082.png</v>
      </c>
      <c r="G499">
        <f>monster.xml!Y503</f>
        <v>1</v>
      </c>
    </row>
    <row r="500" spans="1:7">
      <c r="A500">
        <f>monster.xml!A504</f>
        <v>1100053</v>
      </c>
      <c r="B500">
        <f>monster.xml!B504</f>
        <v>2001</v>
      </c>
      <c r="C500">
        <f>monster.xml!C504</f>
        <v>101</v>
      </c>
      <c r="D500" t="str">
        <f>monster.xml!D504</f>
        <v>血誓召唤者</v>
      </c>
      <c r="E500">
        <f>monster.xml!G504</f>
        <v>26</v>
      </c>
      <c r="F500" t="str">
        <f>monster.xml!X504</f>
        <v>monster/10081.png</v>
      </c>
      <c r="G500">
        <f>monster.xml!Y504</f>
        <v>1</v>
      </c>
    </row>
    <row r="501" spans="1:7">
      <c r="A501">
        <f>monster.xml!A505</f>
        <v>1100054</v>
      </c>
      <c r="B501">
        <f>monster.xml!B505</f>
        <v>2001</v>
      </c>
      <c r="C501">
        <f>monster.xml!C505</f>
        <v>101</v>
      </c>
      <c r="D501" t="str">
        <f>monster.xml!D505</f>
        <v>血誓领主</v>
      </c>
      <c r="E501">
        <f>monster.xml!G505</f>
        <v>14</v>
      </c>
      <c r="F501" t="str">
        <f>monster.xml!X505</f>
        <v>monster/10072.png</v>
      </c>
      <c r="G501">
        <f>monster.xml!Y505</f>
        <v>1</v>
      </c>
    </row>
    <row r="502" spans="1:7">
      <c r="A502">
        <f>monster.xml!A506</f>
        <v>1100061</v>
      </c>
      <c r="B502">
        <f>monster.xml!B506</f>
        <v>2001</v>
      </c>
      <c r="C502">
        <f>monster.xml!C506</f>
        <v>102</v>
      </c>
      <c r="D502" t="str">
        <f>monster.xml!D506</f>
        <v>舞钢者拜伦</v>
      </c>
      <c r="E502">
        <f>monster.xml!G506</f>
        <v>8</v>
      </c>
      <c r="F502" t="str">
        <f>monster.xml!X506</f>
        <v>monster/10084.png</v>
      </c>
      <c r="G502">
        <f>monster.xml!Y506</f>
        <v>1</v>
      </c>
    </row>
    <row r="503" spans="1:7">
      <c r="A503">
        <f>monster.xml!A507</f>
        <v>1100071</v>
      </c>
      <c r="B503">
        <f>monster.xml!B507</f>
        <v>2001</v>
      </c>
      <c r="C503">
        <f>monster.xml!C507</f>
        <v>102</v>
      </c>
      <c r="D503" t="str">
        <f>monster.xml!D507</f>
        <v>风暴之王</v>
      </c>
      <c r="E503">
        <f>monster.xml!G507</f>
        <v>6</v>
      </c>
      <c r="F503" t="str">
        <f>monster.xml!X507</f>
        <v>monster/10138.png</v>
      </c>
      <c r="G503">
        <f>monster.xml!Y507</f>
        <v>1</v>
      </c>
    </row>
    <row r="504" spans="1:7">
      <c r="A504">
        <f>monster.xml!A508</f>
        <v>1100081</v>
      </c>
      <c r="B504">
        <f>monster.xml!B508</f>
        <v>2001</v>
      </c>
      <c r="C504">
        <f>monster.xml!C508</f>
        <v>102</v>
      </c>
      <c r="D504" t="str">
        <f>monster.xml!D508</f>
        <v>雷伊战争使者</v>
      </c>
      <c r="E504">
        <f>monster.xml!G508</f>
        <v>7</v>
      </c>
      <c r="F504" t="str">
        <f>monster.xml!X508</f>
        <v>monster/10127.png</v>
      </c>
      <c r="G504">
        <f>monster.xml!Y508</f>
        <v>1</v>
      </c>
    </row>
    <row r="505" spans="1:7">
      <c r="A505">
        <f>monster.xml!A509</f>
        <v>1100091</v>
      </c>
      <c r="B505">
        <f>monster.xml!B509</f>
        <v>2001</v>
      </c>
      <c r="C505">
        <f>monster.xml!C509</f>
        <v>102</v>
      </c>
      <c r="D505" t="str">
        <f>monster.xml!D509</f>
        <v>暴君泰伦</v>
      </c>
      <c r="E505" t="str">
        <f>monster.xml!G509</f>
        <v>10,9</v>
      </c>
      <c r="F505" t="str">
        <f>monster.xml!X509</f>
        <v>monster/10140.png</v>
      </c>
      <c r="G505">
        <f>monster.xml!Y509</f>
        <v>1</v>
      </c>
    </row>
    <row r="506" spans="1:7">
      <c r="A506">
        <f>monster.xml!A510</f>
        <v>2030011</v>
      </c>
      <c r="B506">
        <f>monster.xml!B510</f>
        <v>2001</v>
      </c>
      <c r="C506">
        <f>monster.xml!C510</f>
        <v>30</v>
      </c>
      <c r="D506" t="str">
        <f>monster.xml!D510</f>
        <v>猎人幻象</v>
      </c>
      <c r="E506">
        <f>monster.xml!G510</f>
        <v>11</v>
      </c>
      <c r="F506" t="str">
        <f>monster.xml!X510</f>
        <v>UI/Program/HeroHunter_Woman_1.png</v>
      </c>
      <c r="G506">
        <f>monster.xml!Y510</f>
        <v>1</v>
      </c>
    </row>
    <row r="507" spans="1:7">
      <c r="A507">
        <f>monster.xml!A511</f>
        <v>2030021</v>
      </c>
      <c r="B507">
        <f>monster.xml!B511</f>
        <v>2001</v>
      </c>
      <c r="C507">
        <f>monster.xml!C511</f>
        <v>30</v>
      </c>
      <c r="D507" t="str">
        <f>monster.xml!D511</f>
        <v>法力风暴</v>
      </c>
      <c r="E507" t="str">
        <f>monster.xml!G511</f>
        <v>25,30</v>
      </c>
      <c r="F507" t="str">
        <f>monster.xml!X511</f>
        <v>monster/10061.png</v>
      </c>
      <c r="G507">
        <f>monster.xml!Y511</f>
        <v>1</v>
      </c>
    </row>
    <row r="508" spans="1:7">
      <c r="A508">
        <f>monster.xml!A512</f>
        <v>2030031</v>
      </c>
      <c r="B508">
        <f>monster.xml!B512</f>
        <v>2001</v>
      </c>
      <c r="C508">
        <f>monster.xml!C512</f>
        <v>31</v>
      </c>
      <c r="D508" t="str">
        <f>monster.xml!D512</f>
        <v>角斗士里奥</v>
      </c>
      <c r="E508">
        <f>monster.xml!G512</f>
        <v>5</v>
      </c>
      <c r="F508" t="str">
        <f>monster.xml!X512</f>
        <v>monster/10067.png</v>
      </c>
      <c r="G508">
        <f>monster.xml!Y512</f>
        <v>1</v>
      </c>
    </row>
    <row r="509" spans="1:7">
      <c r="A509">
        <f>monster.xml!A513</f>
        <v>2030041</v>
      </c>
      <c r="B509">
        <f>monster.xml!B513</f>
        <v>2001</v>
      </c>
      <c r="C509">
        <f>monster.xml!C513</f>
        <v>31</v>
      </c>
      <c r="D509" t="str">
        <f>monster.xml!D513</f>
        <v>荒野游侠</v>
      </c>
      <c r="E509">
        <f>monster.xml!G513</f>
        <v>16</v>
      </c>
      <c r="F509" t="str">
        <f>monster.xml!X513</f>
        <v>monster/10096.png</v>
      </c>
      <c r="G509">
        <f>monster.xml!Y513</f>
        <v>1</v>
      </c>
    </row>
    <row r="510" spans="1:7">
      <c r="A510">
        <f>monster.xml!A514</f>
        <v>2030051</v>
      </c>
      <c r="B510">
        <f>monster.xml!B514</f>
        <v>2001</v>
      </c>
      <c r="C510">
        <f>monster.xml!C514</f>
        <v>31</v>
      </c>
      <c r="D510" t="str">
        <f>monster.xml!D514</f>
        <v>憾地者</v>
      </c>
      <c r="E510">
        <f>monster.xml!G514</f>
        <v>4</v>
      </c>
      <c r="F510" t="str">
        <f>monster.xml!X514</f>
        <v>monster/10123.png</v>
      </c>
      <c r="G510">
        <f>monster.xml!Y514</f>
        <v>1</v>
      </c>
    </row>
    <row r="511" spans="1:7">
      <c r="A511">
        <f>monster.xml!A515</f>
        <v>2030061</v>
      </c>
      <c r="B511">
        <f>monster.xml!B515</f>
        <v>2001</v>
      </c>
      <c r="C511">
        <f>monster.xml!C515</f>
        <v>32</v>
      </c>
      <c r="D511" t="str">
        <f>monster.xml!D515</f>
        <v>拉兹</v>
      </c>
      <c r="E511">
        <f>monster.xml!G515</f>
        <v>10</v>
      </c>
      <c r="F511" t="str">
        <f>monster.xml!X515</f>
        <v>monster/10106.png</v>
      </c>
      <c r="G511">
        <f>monster.xml!Y515</f>
        <v>1</v>
      </c>
    </row>
    <row r="512" spans="1:7">
      <c r="A512">
        <f>monster.xml!A516</f>
        <v>2030071</v>
      </c>
      <c r="B512">
        <f>monster.xml!B516</f>
        <v>2001</v>
      </c>
      <c r="C512">
        <f>monster.xml!C516</f>
        <v>32</v>
      </c>
      <c r="D512" t="str">
        <f>monster.xml!D516</f>
        <v>塔克</v>
      </c>
      <c r="E512">
        <f>monster.xml!G516</f>
        <v>3</v>
      </c>
      <c r="F512" t="str">
        <f>monster.xml!X516</f>
        <v>monster/10085.png</v>
      </c>
      <c r="G512">
        <f>monster.xml!Y516</f>
        <v>1</v>
      </c>
    </row>
    <row r="513" spans="1:7">
      <c r="A513">
        <f>monster.xml!A517</f>
        <v>2030072</v>
      </c>
      <c r="B513">
        <f>monster.xml!B517</f>
        <v>2001</v>
      </c>
      <c r="C513">
        <f>monster.xml!C517</f>
        <v>32</v>
      </c>
      <c r="D513" t="str">
        <f>monster.xml!D517</f>
        <v>迪皮斯</v>
      </c>
      <c r="E513" t="str">
        <f>monster.xml!G517</f>
        <v>17,14</v>
      </c>
      <c r="F513" t="str">
        <f>monster.xml!X517</f>
        <v>monster/10012.png</v>
      </c>
      <c r="G513">
        <f>monster.xml!Y517</f>
        <v>1</v>
      </c>
    </row>
    <row r="514" spans="1:7">
      <c r="A514">
        <f>monster.xml!A518</f>
        <v>2030081</v>
      </c>
      <c r="B514">
        <f>monster.xml!B518</f>
        <v>2001</v>
      </c>
      <c r="C514">
        <f>monster.xml!C518</f>
        <v>33</v>
      </c>
      <c r="D514" t="str">
        <f>monster.xml!D518</f>
        <v>狂野安东尼</v>
      </c>
      <c r="E514">
        <f>monster.xml!G518</f>
        <v>7</v>
      </c>
      <c r="F514" t="str">
        <f>monster.xml!X518</f>
        <v>monster/10086.png</v>
      </c>
      <c r="G514">
        <f>monster.xml!Y518</f>
        <v>1</v>
      </c>
    </row>
    <row r="515" spans="1:7">
      <c r="A515">
        <f>monster.xml!A519</f>
        <v>2030091</v>
      </c>
      <c r="B515">
        <f>monster.xml!B519</f>
        <v>2001</v>
      </c>
      <c r="C515">
        <f>monster.xml!C519</f>
        <v>34</v>
      </c>
      <c r="D515" t="str">
        <f>monster.xml!D519</f>
        <v>巡林者瑞克</v>
      </c>
      <c r="E515">
        <f>monster.xml!G519</f>
        <v>15</v>
      </c>
      <c r="F515" t="str">
        <f>monster.xml!X519</f>
        <v>monster/10094.png</v>
      </c>
      <c r="G515">
        <f>monster.xml!Y519</f>
        <v>1</v>
      </c>
    </row>
    <row r="516" spans="1:7">
      <c r="A516">
        <f>monster.xml!A520</f>
        <v>2035011</v>
      </c>
      <c r="B516">
        <f>monster.xml!B520</f>
        <v>2001</v>
      </c>
      <c r="C516">
        <f>monster.xml!C520</f>
        <v>35</v>
      </c>
      <c r="D516" t="str">
        <f>monster.xml!D520</f>
        <v>猎人幻象</v>
      </c>
      <c r="E516">
        <f>monster.xml!G520</f>
        <v>11</v>
      </c>
      <c r="F516" t="str">
        <f>monster.xml!X520</f>
        <v>UI/Program/HeroHunter_Woman_1.png</v>
      </c>
      <c r="G516">
        <f>monster.xml!Y520</f>
        <v>1</v>
      </c>
    </row>
    <row r="517" spans="1:7">
      <c r="A517">
        <f>monster.xml!A521</f>
        <v>2035021</v>
      </c>
      <c r="B517">
        <f>monster.xml!B521</f>
        <v>2001</v>
      </c>
      <c r="C517">
        <f>monster.xml!C521</f>
        <v>35</v>
      </c>
      <c r="D517" t="str">
        <f>monster.xml!D521</f>
        <v>法力风暴</v>
      </c>
      <c r="E517" t="str">
        <f>monster.xml!G521</f>
        <v>25,30</v>
      </c>
      <c r="F517" t="str">
        <f>monster.xml!X521</f>
        <v>monster/10061.png</v>
      </c>
      <c r="G517">
        <f>monster.xml!Y521</f>
        <v>1</v>
      </c>
    </row>
    <row r="518" spans="1:7">
      <c r="A518">
        <f>monster.xml!A522</f>
        <v>2035031</v>
      </c>
      <c r="B518">
        <f>monster.xml!B522</f>
        <v>2001</v>
      </c>
      <c r="C518">
        <f>monster.xml!C522</f>
        <v>36</v>
      </c>
      <c r="D518" t="str">
        <f>monster.xml!D522</f>
        <v>角斗士里奥</v>
      </c>
      <c r="E518">
        <f>monster.xml!G522</f>
        <v>5</v>
      </c>
      <c r="F518" t="str">
        <f>monster.xml!X522</f>
        <v>monster/10067.png</v>
      </c>
      <c r="G518">
        <f>monster.xml!Y522</f>
        <v>1</v>
      </c>
    </row>
    <row r="519" spans="1:7">
      <c r="A519">
        <f>monster.xml!A523</f>
        <v>2035041</v>
      </c>
      <c r="B519">
        <f>monster.xml!B523</f>
        <v>2001</v>
      </c>
      <c r="C519">
        <f>monster.xml!C523</f>
        <v>36</v>
      </c>
      <c r="D519" t="str">
        <f>monster.xml!D523</f>
        <v>荒野游侠</v>
      </c>
      <c r="E519">
        <f>monster.xml!G523</f>
        <v>16</v>
      </c>
      <c r="F519" t="str">
        <f>monster.xml!X523</f>
        <v>monster/10096.png</v>
      </c>
      <c r="G519">
        <f>monster.xml!Y523</f>
        <v>1</v>
      </c>
    </row>
    <row r="520" spans="1:7">
      <c r="A520">
        <f>monster.xml!A524</f>
        <v>2035051</v>
      </c>
      <c r="B520">
        <f>monster.xml!B524</f>
        <v>2001</v>
      </c>
      <c r="C520">
        <f>monster.xml!C524</f>
        <v>36</v>
      </c>
      <c r="D520" t="str">
        <f>monster.xml!D524</f>
        <v>憾地者</v>
      </c>
      <c r="E520">
        <f>monster.xml!G524</f>
        <v>4</v>
      </c>
      <c r="F520" t="str">
        <f>monster.xml!X524</f>
        <v>monster/10123.png</v>
      </c>
      <c r="G520">
        <f>monster.xml!Y524</f>
        <v>1</v>
      </c>
    </row>
    <row r="521" spans="1:7">
      <c r="A521">
        <f>monster.xml!A525</f>
        <v>2035061</v>
      </c>
      <c r="B521">
        <f>monster.xml!B525</f>
        <v>2001</v>
      </c>
      <c r="C521">
        <f>monster.xml!C525</f>
        <v>37</v>
      </c>
      <c r="D521" t="str">
        <f>monster.xml!D525</f>
        <v>拉兹</v>
      </c>
      <c r="E521">
        <f>monster.xml!G525</f>
        <v>10</v>
      </c>
      <c r="F521" t="str">
        <f>monster.xml!X525</f>
        <v>monster/10106.png</v>
      </c>
      <c r="G521">
        <f>monster.xml!Y525</f>
        <v>1</v>
      </c>
    </row>
    <row r="522" spans="1:7">
      <c r="A522">
        <f>monster.xml!A526</f>
        <v>2035071</v>
      </c>
      <c r="B522">
        <f>monster.xml!B526</f>
        <v>2001</v>
      </c>
      <c r="C522">
        <f>monster.xml!C526</f>
        <v>37</v>
      </c>
      <c r="D522" t="str">
        <f>monster.xml!D526</f>
        <v>塔克</v>
      </c>
      <c r="E522">
        <f>monster.xml!G526</f>
        <v>3</v>
      </c>
      <c r="F522" t="str">
        <f>monster.xml!X526</f>
        <v>monster/10085.png</v>
      </c>
      <c r="G522">
        <f>monster.xml!Y526</f>
        <v>1</v>
      </c>
    </row>
    <row r="523" spans="1:7">
      <c r="A523">
        <f>monster.xml!A527</f>
        <v>2035072</v>
      </c>
      <c r="B523">
        <f>monster.xml!B527</f>
        <v>2001</v>
      </c>
      <c r="C523">
        <f>monster.xml!C527</f>
        <v>37</v>
      </c>
      <c r="D523" t="str">
        <f>monster.xml!D527</f>
        <v>迪皮斯</v>
      </c>
      <c r="E523" t="str">
        <f>monster.xml!G527</f>
        <v>17,14</v>
      </c>
      <c r="F523" t="str">
        <f>monster.xml!X527</f>
        <v>monster/10012.png</v>
      </c>
      <c r="G523">
        <f>monster.xml!Y527</f>
        <v>1</v>
      </c>
    </row>
    <row r="524" spans="1:7">
      <c r="A524">
        <f>monster.xml!A528</f>
        <v>2035081</v>
      </c>
      <c r="B524">
        <f>monster.xml!B528</f>
        <v>2001</v>
      </c>
      <c r="C524">
        <f>monster.xml!C528</f>
        <v>38</v>
      </c>
      <c r="D524" t="str">
        <f>monster.xml!D528</f>
        <v>狂野安东尼</v>
      </c>
      <c r="E524">
        <f>monster.xml!G528</f>
        <v>7</v>
      </c>
      <c r="F524" t="str">
        <f>monster.xml!X528</f>
        <v>monster/10086.png</v>
      </c>
      <c r="G524">
        <f>monster.xml!Y528</f>
        <v>1</v>
      </c>
    </row>
    <row r="525" spans="1:7">
      <c r="A525">
        <f>monster.xml!A529</f>
        <v>2035091</v>
      </c>
      <c r="B525">
        <f>monster.xml!B529</f>
        <v>2001</v>
      </c>
      <c r="C525">
        <f>monster.xml!C529</f>
        <v>39</v>
      </c>
      <c r="D525" t="str">
        <f>monster.xml!D529</f>
        <v>巡林者瑞克</v>
      </c>
      <c r="E525">
        <f>monster.xml!G529</f>
        <v>15</v>
      </c>
      <c r="F525" t="str">
        <f>monster.xml!X529</f>
        <v>monster/10094.png</v>
      </c>
      <c r="G525">
        <f>monster.xml!Y529</f>
        <v>1</v>
      </c>
    </row>
    <row r="526" spans="1:7">
      <c r="A526">
        <f>monster.xml!A530</f>
        <v>2040011</v>
      </c>
      <c r="B526">
        <f>monster.xml!B530</f>
        <v>2001</v>
      </c>
      <c r="C526">
        <f>monster.xml!C530</f>
        <v>40</v>
      </c>
      <c r="D526" t="str">
        <f>monster.xml!D530</f>
        <v>猎人幻象</v>
      </c>
      <c r="E526">
        <f>monster.xml!G530</f>
        <v>11</v>
      </c>
      <c r="F526" t="str">
        <f>monster.xml!X530</f>
        <v>UI/Program/HeroHunter_Woman_1.png</v>
      </c>
      <c r="G526">
        <f>monster.xml!Y530</f>
        <v>1</v>
      </c>
    </row>
    <row r="527" spans="1:7">
      <c r="A527">
        <f>monster.xml!A531</f>
        <v>2040021</v>
      </c>
      <c r="B527">
        <f>monster.xml!B531</f>
        <v>2001</v>
      </c>
      <c r="C527">
        <f>monster.xml!C531</f>
        <v>40</v>
      </c>
      <c r="D527" t="str">
        <f>monster.xml!D531</f>
        <v>法力风暴</v>
      </c>
      <c r="E527" t="str">
        <f>monster.xml!G531</f>
        <v>25,30</v>
      </c>
      <c r="F527" t="str">
        <f>monster.xml!X531</f>
        <v>monster/10061.png</v>
      </c>
      <c r="G527">
        <f>monster.xml!Y531</f>
        <v>1</v>
      </c>
    </row>
    <row r="528" spans="1:7">
      <c r="A528">
        <f>monster.xml!A532</f>
        <v>2040031</v>
      </c>
      <c r="B528">
        <f>monster.xml!B532</f>
        <v>2001</v>
      </c>
      <c r="C528">
        <f>monster.xml!C532</f>
        <v>41</v>
      </c>
      <c r="D528" t="str">
        <f>monster.xml!D532</f>
        <v>角斗士里奥</v>
      </c>
      <c r="E528">
        <f>monster.xml!G532</f>
        <v>5</v>
      </c>
      <c r="F528" t="str">
        <f>monster.xml!X532</f>
        <v>monster/10067.png</v>
      </c>
      <c r="G528">
        <f>monster.xml!Y532</f>
        <v>1</v>
      </c>
    </row>
    <row r="529" spans="1:7">
      <c r="A529">
        <f>monster.xml!A533</f>
        <v>2040041</v>
      </c>
      <c r="B529">
        <f>monster.xml!B533</f>
        <v>2001</v>
      </c>
      <c r="C529">
        <f>monster.xml!C533</f>
        <v>41</v>
      </c>
      <c r="D529" t="str">
        <f>monster.xml!D533</f>
        <v>荒野游侠</v>
      </c>
      <c r="E529">
        <f>monster.xml!G533</f>
        <v>16</v>
      </c>
      <c r="F529" t="str">
        <f>monster.xml!X533</f>
        <v>monster/10096.png</v>
      </c>
      <c r="G529">
        <f>monster.xml!Y533</f>
        <v>1</v>
      </c>
    </row>
    <row r="530" spans="1:7">
      <c r="A530">
        <f>monster.xml!A534</f>
        <v>2040051</v>
      </c>
      <c r="B530">
        <f>monster.xml!B534</f>
        <v>2001</v>
      </c>
      <c r="C530">
        <f>monster.xml!C534</f>
        <v>41</v>
      </c>
      <c r="D530" t="str">
        <f>monster.xml!D534</f>
        <v>憾地者</v>
      </c>
      <c r="E530">
        <f>monster.xml!G534</f>
        <v>4</v>
      </c>
      <c r="F530" t="str">
        <f>monster.xml!X534</f>
        <v>monster/10123.png</v>
      </c>
      <c r="G530">
        <f>monster.xml!Y534</f>
        <v>1</v>
      </c>
    </row>
    <row r="531" spans="1:7">
      <c r="A531">
        <f>monster.xml!A535</f>
        <v>2040061</v>
      </c>
      <c r="B531">
        <f>monster.xml!B535</f>
        <v>2001</v>
      </c>
      <c r="C531">
        <f>monster.xml!C535</f>
        <v>42</v>
      </c>
      <c r="D531" t="str">
        <f>monster.xml!D535</f>
        <v>拉兹</v>
      </c>
      <c r="E531">
        <f>monster.xml!G535</f>
        <v>10</v>
      </c>
      <c r="F531" t="str">
        <f>monster.xml!X535</f>
        <v>monster/10106.png</v>
      </c>
      <c r="G531">
        <f>monster.xml!Y535</f>
        <v>1</v>
      </c>
    </row>
    <row r="532" spans="1:7">
      <c r="A532">
        <f>monster.xml!A536</f>
        <v>2040071</v>
      </c>
      <c r="B532">
        <f>monster.xml!B536</f>
        <v>2001</v>
      </c>
      <c r="C532">
        <f>monster.xml!C536</f>
        <v>42</v>
      </c>
      <c r="D532" t="str">
        <f>monster.xml!D536</f>
        <v>塔克</v>
      </c>
      <c r="E532">
        <f>monster.xml!G536</f>
        <v>3</v>
      </c>
      <c r="F532" t="str">
        <f>monster.xml!X536</f>
        <v>monster/10085.png</v>
      </c>
      <c r="G532">
        <f>monster.xml!Y536</f>
        <v>1</v>
      </c>
    </row>
    <row r="533" spans="1:7">
      <c r="A533">
        <f>monster.xml!A537</f>
        <v>2040072</v>
      </c>
      <c r="B533">
        <f>monster.xml!B537</f>
        <v>2001</v>
      </c>
      <c r="C533">
        <f>monster.xml!C537</f>
        <v>42</v>
      </c>
      <c r="D533" t="str">
        <f>monster.xml!D537</f>
        <v>迪皮斯</v>
      </c>
      <c r="E533" t="str">
        <f>monster.xml!G537</f>
        <v>17,14</v>
      </c>
      <c r="F533" t="str">
        <f>monster.xml!X537</f>
        <v>monster/10012.png</v>
      </c>
      <c r="G533">
        <f>monster.xml!Y537</f>
        <v>1</v>
      </c>
    </row>
    <row r="534" spans="1:7">
      <c r="A534">
        <f>monster.xml!A538</f>
        <v>2040081</v>
      </c>
      <c r="B534">
        <f>monster.xml!B538</f>
        <v>2001</v>
      </c>
      <c r="C534">
        <f>monster.xml!C538</f>
        <v>43</v>
      </c>
      <c r="D534" t="str">
        <f>monster.xml!D538</f>
        <v>狂野安东尼</v>
      </c>
      <c r="E534">
        <f>monster.xml!G538</f>
        <v>7</v>
      </c>
      <c r="F534" t="str">
        <f>monster.xml!X538</f>
        <v>monster/10086.png</v>
      </c>
      <c r="G534">
        <f>monster.xml!Y538</f>
        <v>1</v>
      </c>
    </row>
    <row r="535" spans="1:7">
      <c r="A535">
        <f>monster.xml!A539</f>
        <v>2040091</v>
      </c>
      <c r="B535">
        <f>monster.xml!B539</f>
        <v>2001</v>
      </c>
      <c r="C535">
        <f>monster.xml!C539</f>
        <v>44</v>
      </c>
      <c r="D535" t="str">
        <f>monster.xml!D539</f>
        <v>巡林者瑞克</v>
      </c>
      <c r="E535">
        <f>monster.xml!G539</f>
        <v>15</v>
      </c>
      <c r="F535" t="str">
        <f>monster.xml!X539</f>
        <v>monster/10094.png</v>
      </c>
      <c r="G535">
        <f>monster.xml!Y539</f>
        <v>1</v>
      </c>
    </row>
    <row r="536" spans="1:7">
      <c r="A536">
        <f>monster.xml!A540</f>
        <v>2045011</v>
      </c>
      <c r="B536">
        <f>monster.xml!B540</f>
        <v>2001</v>
      </c>
      <c r="C536">
        <f>monster.xml!C540</f>
        <v>45</v>
      </c>
      <c r="D536" t="str">
        <f>monster.xml!D540</f>
        <v>猎人幻象</v>
      </c>
      <c r="E536">
        <f>monster.xml!G540</f>
        <v>11</v>
      </c>
      <c r="F536" t="str">
        <f>monster.xml!X540</f>
        <v>UI/Program/HeroHunter_Woman_1.png</v>
      </c>
      <c r="G536">
        <f>monster.xml!Y540</f>
        <v>1</v>
      </c>
    </row>
    <row r="537" spans="1:7">
      <c r="A537">
        <f>monster.xml!A541</f>
        <v>2045021</v>
      </c>
      <c r="B537">
        <f>monster.xml!B541</f>
        <v>2001</v>
      </c>
      <c r="C537">
        <f>monster.xml!C541</f>
        <v>45</v>
      </c>
      <c r="D537" t="str">
        <f>monster.xml!D541</f>
        <v>法力风暴</v>
      </c>
      <c r="E537" t="str">
        <f>monster.xml!G541</f>
        <v>25,30</v>
      </c>
      <c r="F537" t="str">
        <f>monster.xml!X541</f>
        <v>monster/10061.png</v>
      </c>
      <c r="G537">
        <f>monster.xml!Y541</f>
        <v>1</v>
      </c>
    </row>
    <row r="538" spans="1:7">
      <c r="A538">
        <f>monster.xml!A542</f>
        <v>2045031</v>
      </c>
      <c r="B538">
        <f>monster.xml!B542</f>
        <v>2001</v>
      </c>
      <c r="C538">
        <f>monster.xml!C542</f>
        <v>46</v>
      </c>
      <c r="D538" t="str">
        <f>monster.xml!D542</f>
        <v>角斗士里奥</v>
      </c>
      <c r="E538">
        <f>monster.xml!G542</f>
        <v>5</v>
      </c>
      <c r="F538" t="str">
        <f>monster.xml!X542</f>
        <v>monster/10067.png</v>
      </c>
      <c r="G538">
        <f>monster.xml!Y542</f>
        <v>1</v>
      </c>
    </row>
    <row r="539" spans="1:7">
      <c r="A539">
        <f>monster.xml!A543</f>
        <v>2045041</v>
      </c>
      <c r="B539">
        <f>monster.xml!B543</f>
        <v>2001</v>
      </c>
      <c r="C539">
        <f>monster.xml!C543</f>
        <v>46</v>
      </c>
      <c r="D539" t="str">
        <f>monster.xml!D543</f>
        <v>荒野游侠</v>
      </c>
      <c r="E539">
        <f>monster.xml!G543</f>
        <v>16</v>
      </c>
      <c r="F539" t="str">
        <f>monster.xml!X543</f>
        <v>monster/10096.png</v>
      </c>
      <c r="G539">
        <f>monster.xml!Y543</f>
        <v>1</v>
      </c>
    </row>
    <row r="540" spans="1:7">
      <c r="A540">
        <f>monster.xml!A544</f>
        <v>2045051</v>
      </c>
      <c r="B540">
        <f>monster.xml!B544</f>
        <v>2001</v>
      </c>
      <c r="C540">
        <f>monster.xml!C544</f>
        <v>46</v>
      </c>
      <c r="D540" t="str">
        <f>monster.xml!D544</f>
        <v>憾地者</v>
      </c>
      <c r="E540">
        <f>monster.xml!G544</f>
        <v>4</v>
      </c>
      <c r="F540" t="str">
        <f>monster.xml!X544</f>
        <v>monster/10123.png</v>
      </c>
      <c r="G540">
        <f>monster.xml!Y544</f>
        <v>1</v>
      </c>
    </row>
    <row r="541" spans="1:7">
      <c r="A541">
        <f>monster.xml!A545</f>
        <v>2045061</v>
      </c>
      <c r="B541">
        <f>monster.xml!B545</f>
        <v>2001</v>
      </c>
      <c r="C541">
        <f>monster.xml!C545</f>
        <v>47</v>
      </c>
      <c r="D541" t="str">
        <f>monster.xml!D545</f>
        <v>拉兹</v>
      </c>
      <c r="E541">
        <f>monster.xml!G545</f>
        <v>10</v>
      </c>
      <c r="F541" t="str">
        <f>monster.xml!X545</f>
        <v>monster/10106.png</v>
      </c>
      <c r="G541">
        <f>monster.xml!Y545</f>
        <v>1</v>
      </c>
    </row>
    <row r="542" spans="1:7">
      <c r="A542">
        <f>monster.xml!A546</f>
        <v>2045071</v>
      </c>
      <c r="B542">
        <f>monster.xml!B546</f>
        <v>2001</v>
      </c>
      <c r="C542">
        <f>monster.xml!C546</f>
        <v>47</v>
      </c>
      <c r="D542" t="str">
        <f>monster.xml!D546</f>
        <v>塔克</v>
      </c>
      <c r="E542">
        <f>monster.xml!G546</f>
        <v>3</v>
      </c>
      <c r="F542" t="str">
        <f>monster.xml!X546</f>
        <v>monster/10085.png</v>
      </c>
      <c r="G542">
        <f>monster.xml!Y546</f>
        <v>1</v>
      </c>
    </row>
    <row r="543" spans="1:7">
      <c r="A543">
        <f>monster.xml!A547</f>
        <v>2045072</v>
      </c>
      <c r="B543">
        <f>monster.xml!B547</f>
        <v>2001</v>
      </c>
      <c r="C543">
        <f>monster.xml!C547</f>
        <v>47</v>
      </c>
      <c r="D543" t="str">
        <f>monster.xml!D547</f>
        <v>迪皮斯</v>
      </c>
      <c r="E543" t="str">
        <f>monster.xml!G547</f>
        <v>17,14</v>
      </c>
      <c r="F543" t="str">
        <f>monster.xml!X547</f>
        <v>monster/10012.png</v>
      </c>
      <c r="G543">
        <f>monster.xml!Y547</f>
        <v>1</v>
      </c>
    </row>
    <row r="544" spans="1:7">
      <c r="A544">
        <f>monster.xml!A548</f>
        <v>2045081</v>
      </c>
      <c r="B544">
        <f>monster.xml!B548</f>
        <v>2001</v>
      </c>
      <c r="C544">
        <f>monster.xml!C548</f>
        <v>48</v>
      </c>
      <c r="D544" t="str">
        <f>monster.xml!D548</f>
        <v>狂野安东尼</v>
      </c>
      <c r="E544">
        <f>monster.xml!G548</f>
        <v>7</v>
      </c>
      <c r="F544" t="str">
        <f>monster.xml!X548</f>
        <v>monster/10086.png</v>
      </c>
      <c r="G544">
        <f>monster.xml!Y548</f>
        <v>1</v>
      </c>
    </row>
    <row r="545" spans="1:7">
      <c r="A545">
        <f>monster.xml!A549</f>
        <v>2045091</v>
      </c>
      <c r="B545">
        <f>monster.xml!B549</f>
        <v>2001</v>
      </c>
      <c r="C545">
        <f>monster.xml!C549</f>
        <v>49</v>
      </c>
      <c r="D545" t="str">
        <f>monster.xml!D549</f>
        <v>巡林者瑞克</v>
      </c>
      <c r="E545">
        <f>monster.xml!G549</f>
        <v>15</v>
      </c>
      <c r="F545" t="str">
        <f>monster.xml!X549</f>
        <v>monster/10094.png</v>
      </c>
      <c r="G545">
        <f>monster.xml!Y549</f>
        <v>1</v>
      </c>
    </row>
    <row r="546" spans="1:7">
      <c r="A546">
        <f>monster.xml!A550</f>
        <v>2050011</v>
      </c>
      <c r="B546">
        <f>monster.xml!B550</f>
        <v>2001</v>
      </c>
      <c r="C546">
        <f>monster.xml!C550</f>
        <v>50</v>
      </c>
      <c r="D546" t="str">
        <f>monster.xml!D550</f>
        <v>猎人幻象</v>
      </c>
      <c r="E546">
        <f>monster.xml!G550</f>
        <v>11</v>
      </c>
      <c r="F546" t="str">
        <f>monster.xml!X550</f>
        <v>UI/Program/HeroHunter_Woman_1.png</v>
      </c>
      <c r="G546">
        <f>monster.xml!Y550</f>
        <v>1</v>
      </c>
    </row>
    <row r="547" spans="1:7">
      <c r="A547">
        <f>monster.xml!A551</f>
        <v>2050021</v>
      </c>
      <c r="B547">
        <f>monster.xml!B551</f>
        <v>2001</v>
      </c>
      <c r="C547">
        <f>monster.xml!C551</f>
        <v>50</v>
      </c>
      <c r="D547" t="str">
        <f>monster.xml!D551</f>
        <v>法力风暴</v>
      </c>
      <c r="E547" t="str">
        <f>monster.xml!G551</f>
        <v>25,30</v>
      </c>
      <c r="F547" t="str">
        <f>monster.xml!X551</f>
        <v>monster/10061.png</v>
      </c>
      <c r="G547">
        <f>monster.xml!Y551</f>
        <v>1</v>
      </c>
    </row>
    <row r="548" spans="1:7">
      <c r="A548">
        <f>monster.xml!A552</f>
        <v>2050031</v>
      </c>
      <c r="B548">
        <f>monster.xml!B552</f>
        <v>2001</v>
      </c>
      <c r="C548">
        <f>monster.xml!C552</f>
        <v>51</v>
      </c>
      <c r="D548" t="str">
        <f>monster.xml!D552</f>
        <v>角斗士里奥</v>
      </c>
      <c r="E548">
        <f>monster.xml!G552</f>
        <v>5</v>
      </c>
      <c r="F548" t="str">
        <f>monster.xml!X552</f>
        <v>monster/10067.png</v>
      </c>
      <c r="G548">
        <f>monster.xml!Y552</f>
        <v>1</v>
      </c>
    </row>
    <row r="549" spans="1:7">
      <c r="A549">
        <f>monster.xml!A553</f>
        <v>2050041</v>
      </c>
      <c r="B549">
        <f>monster.xml!B553</f>
        <v>2001</v>
      </c>
      <c r="C549">
        <f>monster.xml!C553</f>
        <v>51</v>
      </c>
      <c r="D549" t="str">
        <f>monster.xml!D553</f>
        <v>荒野游侠</v>
      </c>
      <c r="E549">
        <f>monster.xml!G553</f>
        <v>16</v>
      </c>
      <c r="F549" t="str">
        <f>monster.xml!X553</f>
        <v>monster/10096.png</v>
      </c>
      <c r="G549">
        <f>monster.xml!Y553</f>
        <v>1</v>
      </c>
    </row>
    <row r="550" spans="1:7">
      <c r="A550">
        <f>monster.xml!A554</f>
        <v>2050051</v>
      </c>
      <c r="B550">
        <f>monster.xml!B554</f>
        <v>2001</v>
      </c>
      <c r="C550">
        <f>monster.xml!C554</f>
        <v>51</v>
      </c>
      <c r="D550" t="str">
        <f>monster.xml!D554</f>
        <v>憾地者</v>
      </c>
      <c r="E550">
        <f>monster.xml!G554</f>
        <v>4</v>
      </c>
      <c r="F550" t="str">
        <f>monster.xml!X554</f>
        <v>monster/10123.png</v>
      </c>
      <c r="G550">
        <f>monster.xml!Y554</f>
        <v>1</v>
      </c>
    </row>
    <row r="551" spans="1:7">
      <c r="A551">
        <f>monster.xml!A555</f>
        <v>2050061</v>
      </c>
      <c r="B551">
        <f>monster.xml!B555</f>
        <v>2001</v>
      </c>
      <c r="C551">
        <f>monster.xml!C555</f>
        <v>52</v>
      </c>
      <c r="D551" t="str">
        <f>monster.xml!D555</f>
        <v>拉兹</v>
      </c>
      <c r="E551">
        <f>monster.xml!G555</f>
        <v>10</v>
      </c>
      <c r="F551" t="str">
        <f>monster.xml!X555</f>
        <v>monster/10106.png</v>
      </c>
      <c r="G551">
        <f>monster.xml!Y555</f>
        <v>1</v>
      </c>
    </row>
    <row r="552" spans="1:7">
      <c r="A552">
        <f>monster.xml!A556</f>
        <v>2050071</v>
      </c>
      <c r="B552">
        <f>monster.xml!B556</f>
        <v>2001</v>
      </c>
      <c r="C552">
        <f>monster.xml!C556</f>
        <v>52</v>
      </c>
      <c r="D552" t="str">
        <f>monster.xml!D556</f>
        <v>塔克</v>
      </c>
      <c r="E552">
        <f>monster.xml!G556</f>
        <v>3</v>
      </c>
      <c r="F552" t="str">
        <f>monster.xml!X556</f>
        <v>monster/10085.png</v>
      </c>
      <c r="G552">
        <f>monster.xml!Y556</f>
        <v>1</v>
      </c>
    </row>
    <row r="553" spans="1:7">
      <c r="A553">
        <f>monster.xml!A557</f>
        <v>2050072</v>
      </c>
      <c r="B553">
        <f>monster.xml!B557</f>
        <v>2001</v>
      </c>
      <c r="C553">
        <f>monster.xml!C557</f>
        <v>52</v>
      </c>
      <c r="D553" t="str">
        <f>monster.xml!D557</f>
        <v>迪皮斯</v>
      </c>
      <c r="E553" t="str">
        <f>monster.xml!G557</f>
        <v>17,14</v>
      </c>
      <c r="F553" t="str">
        <f>monster.xml!X557</f>
        <v>monster/10012.png</v>
      </c>
      <c r="G553">
        <f>monster.xml!Y557</f>
        <v>1</v>
      </c>
    </row>
    <row r="554" spans="1:7">
      <c r="A554">
        <f>monster.xml!A558</f>
        <v>2050081</v>
      </c>
      <c r="B554">
        <f>monster.xml!B558</f>
        <v>2001</v>
      </c>
      <c r="C554">
        <f>monster.xml!C558</f>
        <v>53</v>
      </c>
      <c r="D554" t="str">
        <f>monster.xml!D558</f>
        <v>狂野安东尼</v>
      </c>
      <c r="E554">
        <f>monster.xml!G558</f>
        <v>7</v>
      </c>
      <c r="F554" t="str">
        <f>monster.xml!X558</f>
        <v>monster/10086.png</v>
      </c>
      <c r="G554">
        <f>monster.xml!Y558</f>
        <v>1</v>
      </c>
    </row>
    <row r="555" spans="1:7">
      <c r="A555">
        <f>monster.xml!A559</f>
        <v>2050091</v>
      </c>
      <c r="B555">
        <f>monster.xml!B559</f>
        <v>2001</v>
      </c>
      <c r="C555">
        <f>monster.xml!C559</f>
        <v>54</v>
      </c>
      <c r="D555" t="str">
        <f>monster.xml!D559</f>
        <v>巡林者瑞克</v>
      </c>
      <c r="E555">
        <f>monster.xml!G559</f>
        <v>15</v>
      </c>
      <c r="F555" t="str">
        <f>monster.xml!X559</f>
        <v>monster/10094.png</v>
      </c>
      <c r="G555">
        <f>monster.xml!Y559</f>
        <v>1</v>
      </c>
    </row>
    <row r="556" spans="1:7">
      <c r="A556">
        <f>monster.xml!A560</f>
        <v>2055011</v>
      </c>
      <c r="B556">
        <f>monster.xml!B560</f>
        <v>2001</v>
      </c>
      <c r="C556">
        <f>monster.xml!C560</f>
        <v>55</v>
      </c>
      <c r="D556" t="str">
        <f>monster.xml!D560</f>
        <v>猎人幻象</v>
      </c>
      <c r="E556">
        <f>monster.xml!G560</f>
        <v>11</v>
      </c>
      <c r="F556" t="str">
        <f>monster.xml!X560</f>
        <v>UI/Program/HeroHunter_Woman_1.png</v>
      </c>
      <c r="G556">
        <f>monster.xml!Y560</f>
        <v>1</v>
      </c>
    </row>
    <row r="557" spans="1:7">
      <c r="A557">
        <f>monster.xml!A561</f>
        <v>2055021</v>
      </c>
      <c r="B557">
        <f>monster.xml!B561</f>
        <v>2001</v>
      </c>
      <c r="C557">
        <f>monster.xml!C561</f>
        <v>55</v>
      </c>
      <c r="D557" t="str">
        <f>monster.xml!D561</f>
        <v>法力风暴</v>
      </c>
      <c r="E557" t="str">
        <f>monster.xml!G561</f>
        <v>25,30</v>
      </c>
      <c r="F557" t="str">
        <f>monster.xml!X561</f>
        <v>monster/10061.png</v>
      </c>
      <c r="G557">
        <f>monster.xml!Y561</f>
        <v>1</v>
      </c>
    </row>
    <row r="558" spans="1:7">
      <c r="A558">
        <f>monster.xml!A562</f>
        <v>2055031</v>
      </c>
      <c r="B558">
        <f>monster.xml!B562</f>
        <v>2001</v>
      </c>
      <c r="C558">
        <f>monster.xml!C562</f>
        <v>56</v>
      </c>
      <c r="D558" t="str">
        <f>monster.xml!D562</f>
        <v>角斗士里奥</v>
      </c>
      <c r="E558">
        <f>monster.xml!G562</f>
        <v>5</v>
      </c>
      <c r="F558" t="str">
        <f>monster.xml!X562</f>
        <v>monster/10067.png</v>
      </c>
      <c r="G558">
        <f>monster.xml!Y562</f>
        <v>1</v>
      </c>
    </row>
    <row r="559" spans="1:7">
      <c r="A559">
        <f>monster.xml!A563</f>
        <v>2055041</v>
      </c>
      <c r="B559">
        <f>monster.xml!B563</f>
        <v>2001</v>
      </c>
      <c r="C559">
        <f>monster.xml!C563</f>
        <v>56</v>
      </c>
      <c r="D559" t="str">
        <f>monster.xml!D563</f>
        <v>荒野游侠</v>
      </c>
      <c r="E559">
        <f>monster.xml!G563</f>
        <v>16</v>
      </c>
      <c r="F559" t="str">
        <f>monster.xml!X563</f>
        <v>monster/10096.png</v>
      </c>
      <c r="G559">
        <f>monster.xml!Y563</f>
        <v>1</v>
      </c>
    </row>
    <row r="560" spans="1:7">
      <c r="A560">
        <f>monster.xml!A564</f>
        <v>2055051</v>
      </c>
      <c r="B560">
        <f>monster.xml!B564</f>
        <v>2001</v>
      </c>
      <c r="C560">
        <f>monster.xml!C564</f>
        <v>56</v>
      </c>
      <c r="D560" t="str">
        <f>monster.xml!D564</f>
        <v>憾地者</v>
      </c>
      <c r="E560">
        <f>monster.xml!G564</f>
        <v>4</v>
      </c>
      <c r="F560" t="str">
        <f>monster.xml!X564</f>
        <v>monster/10123.png</v>
      </c>
      <c r="G560">
        <f>monster.xml!Y564</f>
        <v>1</v>
      </c>
    </row>
    <row r="561" spans="1:7">
      <c r="A561">
        <f>monster.xml!A565</f>
        <v>2055061</v>
      </c>
      <c r="B561">
        <f>monster.xml!B565</f>
        <v>2001</v>
      </c>
      <c r="C561">
        <f>monster.xml!C565</f>
        <v>57</v>
      </c>
      <c r="D561" t="str">
        <f>monster.xml!D565</f>
        <v>拉兹</v>
      </c>
      <c r="E561">
        <f>monster.xml!G565</f>
        <v>10</v>
      </c>
      <c r="F561" t="str">
        <f>monster.xml!X565</f>
        <v>monster/10106.png</v>
      </c>
      <c r="G561">
        <f>monster.xml!Y565</f>
        <v>1</v>
      </c>
    </row>
    <row r="562" spans="1:7">
      <c r="A562">
        <f>monster.xml!A566</f>
        <v>2055071</v>
      </c>
      <c r="B562">
        <f>monster.xml!B566</f>
        <v>2001</v>
      </c>
      <c r="C562">
        <f>monster.xml!C566</f>
        <v>57</v>
      </c>
      <c r="D562" t="str">
        <f>monster.xml!D566</f>
        <v>塔克</v>
      </c>
      <c r="E562">
        <f>monster.xml!G566</f>
        <v>3</v>
      </c>
      <c r="F562" t="str">
        <f>monster.xml!X566</f>
        <v>monster/10085.png</v>
      </c>
      <c r="G562">
        <f>monster.xml!Y566</f>
        <v>1</v>
      </c>
    </row>
    <row r="563" spans="1:7">
      <c r="A563">
        <f>monster.xml!A567</f>
        <v>2055072</v>
      </c>
      <c r="B563">
        <f>monster.xml!B567</f>
        <v>2001</v>
      </c>
      <c r="C563">
        <f>monster.xml!C567</f>
        <v>57</v>
      </c>
      <c r="D563" t="str">
        <f>monster.xml!D567</f>
        <v>迪皮斯</v>
      </c>
      <c r="E563" t="str">
        <f>monster.xml!G567</f>
        <v>17,14</v>
      </c>
      <c r="F563" t="str">
        <f>monster.xml!X567</f>
        <v>monster/10012.png</v>
      </c>
      <c r="G563">
        <f>monster.xml!Y567</f>
        <v>1</v>
      </c>
    </row>
    <row r="564" spans="1:7">
      <c r="A564">
        <f>monster.xml!A568</f>
        <v>2055081</v>
      </c>
      <c r="B564">
        <f>monster.xml!B568</f>
        <v>2001</v>
      </c>
      <c r="C564">
        <f>monster.xml!C568</f>
        <v>58</v>
      </c>
      <c r="D564" t="str">
        <f>monster.xml!D568</f>
        <v>狂野安东尼</v>
      </c>
      <c r="E564">
        <f>monster.xml!G568</f>
        <v>7</v>
      </c>
      <c r="F564" t="str">
        <f>monster.xml!X568</f>
        <v>monster/10086.png</v>
      </c>
      <c r="G564">
        <f>monster.xml!Y568</f>
        <v>1</v>
      </c>
    </row>
    <row r="565" spans="1:7">
      <c r="A565">
        <f>monster.xml!A569</f>
        <v>2055091</v>
      </c>
      <c r="B565">
        <f>monster.xml!B569</f>
        <v>2001</v>
      </c>
      <c r="C565">
        <f>monster.xml!C569</f>
        <v>59</v>
      </c>
      <c r="D565" t="str">
        <f>monster.xml!D569</f>
        <v>巡林者瑞克</v>
      </c>
      <c r="E565">
        <f>monster.xml!G569</f>
        <v>15</v>
      </c>
      <c r="F565" t="str">
        <f>monster.xml!X569</f>
        <v>monster/10094.png</v>
      </c>
      <c r="G565">
        <f>monster.xml!Y569</f>
        <v>1</v>
      </c>
    </row>
    <row r="566" spans="1:7">
      <c r="A566">
        <f>monster.xml!A570</f>
        <v>2060011</v>
      </c>
      <c r="B566">
        <f>monster.xml!B570</f>
        <v>2001</v>
      </c>
      <c r="C566">
        <f>monster.xml!C570</f>
        <v>60</v>
      </c>
      <c r="D566" t="str">
        <f>monster.xml!D570</f>
        <v>坚定的格雷格</v>
      </c>
      <c r="E566">
        <f>monster.xml!G570</f>
        <v>3</v>
      </c>
      <c r="F566" t="str">
        <f>monster.xml!X570</f>
        <v>monster/10119.png</v>
      </c>
      <c r="G566">
        <f>monster.xml!Y570</f>
        <v>1</v>
      </c>
    </row>
    <row r="567" spans="1:7">
      <c r="A567">
        <f>monster.xml!A571</f>
        <v>2060021</v>
      </c>
      <c r="B567">
        <f>monster.xml!B571</f>
        <v>2001</v>
      </c>
      <c r="C567">
        <f>monster.xml!C571</f>
        <v>60</v>
      </c>
      <c r="D567" t="str">
        <f>monster.xml!D571</f>
        <v>菲德丝的倒影</v>
      </c>
      <c r="E567" t="str">
        <f>monster.xml!G571</f>
        <v>15,11</v>
      </c>
      <c r="F567" t="str">
        <f>monster.xml!X571</f>
        <v>UI/Program/MercenaryHunter_1.png</v>
      </c>
      <c r="G567">
        <f>monster.xml!Y571</f>
        <v>1</v>
      </c>
    </row>
    <row r="568" spans="1:7">
      <c r="A568">
        <f>monster.xml!A572</f>
        <v>2060031</v>
      </c>
      <c r="B568">
        <f>monster.xml!B572</f>
        <v>2001</v>
      </c>
      <c r="C568">
        <f>monster.xml!C572</f>
        <v>61</v>
      </c>
      <c r="D568" t="str">
        <f>monster.xml!D572</f>
        <v>惊人的盖亚</v>
      </c>
      <c r="E568" t="str">
        <f>monster.xml!G572</f>
        <v>10,15,17,14</v>
      </c>
      <c r="F568" t="str">
        <f>monster.xml!X572</f>
        <v>monster/10130.png</v>
      </c>
      <c r="G568">
        <f>monster.xml!Y572</f>
        <v>1</v>
      </c>
    </row>
    <row r="569" spans="1:7">
      <c r="A569">
        <f>monster.xml!A573</f>
        <v>2060041</v>
      </c>
      <c r="B569">
        <f>monster.xml!B573</f>
        <v>2001</v>
      </c>
      <c r="C569">
        <f>monster.xml!C573</f>
        <v>61</v>
      </c>
      <c r="D569" t="str">
        <f>monster.xml!D573</f>
        <v>驯兽师瓦纳</v>
      </c>
      <c r="E569">
        <f>monster.xml!G573</f>
        <v>2</v>
      </c>
      <c r="F569" t="str">
        <f>monster.xml!X573</f>
        <v>monster/10094.png</v>
      </c>
      <c r="G569">
        <f>monster.xml!Y573</f>
        <v>1</v>
      </c>
    </row>
    <row r="570" spans="1:7">
      <c r="A570">
        <f>monster.xml!A574</f>
        <v>2060042</v>
      </c>
      <c r="B570">
        <f>monster.xml!B574</f>
        <v>2001</v>
      </c>
      <c r="C570">
        <f>monster.xml!C574</f>
        <v>61</v>
      </c>
      <c r="D570" t="str">
        <f>monster.xml!D574</f>
        <v>多兰</v>
      </c>
      <c r="E570">
        <f>monster.xml!G574</f>
        <v>9</v>
      </c>
      <c r="F570" t="str">
        <f>monster.xml!X574</f>
        <v>monster/10061.png</v>
      </c>
      <c r="G570">
        <f>monster.xml!Y574</f>
        <v>1</v>
      </c>
    </row>
    <row r="571" spans="1:7">
      <c r="A571">
        <f>monster.xml!A575</f>
        <v>2060043</v>
      </c>
      <c r="B571">
        <f>monster.xml!B575</f>
        <v>2001</v>
      </c>
      <c r="C571">
        <f>monster.xml!C575</f>
        <v>61</v>
      </c>
      <c r="D571" t="str">
        <f>monster.xml!D575</f>
        <v>约翰</v>
      </c>
      <c r="E571">
        <f>monster.xml!G575</f>
        <v>10</v>
      </c>
      <c r="F571" t="str">
        <f>monster.xml!X575</f>
        <v>monster/10067.png</v>
      </c>
      <c r="G571">
        <f>monster.xml!Y575</f>
        <v>1</v>
      </c>
    </row>
    <row r="572" spans="1:7">
      <c r="A572">
        <f>monster.xml!A576</f>
        <v>2060051</v>
      </c>
      <c r="B572">
        <f>monster.xml!B576</f>
        <v>2001</v>
      </c>
      <c r="C572">
        <f>monster.xml!C576</f>
        <v>61</v>
      </c>
      <c r="D572" t="str">
        <f>monster.xml!D576</f>
        <v>炎之安苏</v>
      </c>
      <c r="E572">
        <f>monster.xml!G576</f>
        <v>21</v>
      </c>
      <c r="F572" t="str">
        <f>monster.xml!X576</f>
        <v>monster/10096.png</v>
      </c>
      <c r="G572">
        <f>monster.xml!Y576</f>
        <v>1</v>
      </c>
    </row>
    <row r="573" spans="1:7">
      <c r="A573">
        <f>monster.xml!A577</f>
        <v>2060061</v>
      </c>
      <c r="B573">
        <f>monster.xml!B577</f>
        <v>2001</v>
      </c>
      <c r="C573">
        <f>monster.xml!C577</f>
        <v>62</v>
      </c>
      <c r="D573" t="str">
        <f>monster.xml!D577</f>
        <v>迅捷的维恩</v>
      </c>
      <c r="E573">
        <f>monster.xml!G577</f>
        <v>14</v>
      </c>
      <c r="F573" t="str">
        <f>monster.xml!X577</f>
        <v>monster/10073.png</v>
      </c>
      <c r="G573">
        <f>monster.xml!Y577</f>
        <v>1</v>
      </c>
    </row>
    <row r="574" spans="1:7">
      <c r="A574">
        <f>monster.xml!A578</f>
        <v>2060071</v>
      </c>
      <c r="B574">
        <f>monster.xml!B578</f>
        <v>2001</v>
      </c>
      <c r="C574">
        <f>monster.xml!C578</f>
        <v>62</v>
      </c>
      <c r="D574" t="str">
        <f>monster.xml!D578</f>
        <v>暮光预言者</v>
      </c>
      <c r="E574">
        <f>monster.xml!G578</f>
        <v>13</v>
      </c>
      <c r="F574" t="str">
        <f>monster.xml!X578</f>
        <v>monster/10080.png</v>
      </c>
      <c r="G574">
        <f>monster.xml!Y578</f>
        <v>1</v>
      </c>
    </row>
    <row r="575" spans="1:7">
      <c r="A575">
        <f>monster.xml!A579</f>
        <v>2060081</v>
      </c>
      <c r="B575">
        <f>monster.xml!B579</f>
        <v>2001</v>
      </c>
      <c r="C575">
        <f>monster.xml!C579</f>
        <v>63</v>
      </c>
      <c r="D575" t="str">
        <f>monster.xml!D579</f>
        <v>卡雷</v>
      </c>
      <c r="E575">
        <f>monster.xml!G579</f>
        <v>25</v>
      </c>
      <c r="F575" t="str">
        <f>monster.xml!X579</f>
        <v>monster/10056.png</v>
      </c>
      <c r="G575">
        <f>monster.xml!Y579</f>
        <v>1</v>
      </c>
    </row>
    <row r="576" spans="1:7">
      <c r="A576">
        <f>monster.xml!A580</f>
        <v>2060091</v>
      </c>
      <c r="B576">
        <f>monster.xml!B580</f>
        <v>2001</v>
      </c>
      <c r="C576">
        <f>monster.xml!C580</f>
        <v>64</v>
      </c>
      <c r="D576" t="str">
        <f>monster.xml!D580</f>
        <v>日光弗雷尔</v>
      </c>
      <c r="E576">
        <f>monster.xml!G580</f>
        <v>28</v>
      </c>
      <c r="F576" t="str">
        <f>monster.xml!X580</f>
        <v>monster/10010.png</v>
      </c>
      <c r="G576">
        <f>monster.xml!Y580</f>
        <v>1</v>
      </c>
    </row>
    <row r="577" spans="1:7">
      <c r="A577">
        <f>monster.xml!A581</f>
        <v>2065011</v>
      </c>
      <c r="B577">
        <f>monster.xml!B581</f>
        <v>2001</v>
      </c>
      <c r="C577">
        <f>monster.xml!C581</f>
        <v>65</v>
      </c>
      <c r="D577" t="str">
        <f>monster.xml!D581</f>
        <v>坚定的格雷格</v>
      </c>
      <c r="E577">
        <f>monster.xml!G581</f>
        <v>3</v>
      </c>
      <c r="F577" t="str">
        <f>monster.xml!X581</f>
        <v>monster/10119.png</v>
      </c>
      <c r="G577">
        <f>monster.xml!Y581</f>
        <v>1</v>
      </c>
    </row>
    <row r="578" spans="1:7">
      <c r="A578">
        <f>monster.xml!A582</f>
        <v>2065021</v>
      </c>
      <c r="B578">
        <f>monster.xml!B582</f>
        <v>2001</v>
      </c>
      <c r="C578">
        <f>monster.xml!C582</f>
        <v>65</v>
      </c>
      <c r="D578" t="str">
        <f>monster.xml!D582</f>
        <v>菲德丝的倒影</v>
      </c>
      <c r="E578" t="str">
        <f>monster.xml!G582</f>
        <v>15,11</v>
      </c>
      <c r="F578" t="str">
        <f>monster.xml!X582</f>
        <v>UI/Program/MercenaryHunter_1.png</v>
      </c>
      <c r="G578">
        <f>monster.xml!Y582</f>
        <v>1</v>
      </c>
    </row>
    <row r="579" spans="1:7">
      <c r="A579">
        <f>monster.xml!A583</f>
        <v>2065031</v>
      </c>
      <c r="B579">
        <f>monster.xml!B583</f>
        <v>2001</v>
      </c>
      <c r="C579">
        <f>monster.xml!C583</f>
        <v>66</v>
      </c>
      <c r="D579" t="str">
        <f>monster.xml!D583</f>
        <v>惊人的盖亚</v>
      </c>
      <c r="E579" t="str">
        <f>monster.xml!G583</f>
        <v>10,15,17,14</v>
      </c>
      <c r="F579" t="str">
        <f>monster.xml!X583</f>
        <v>monster/10130.png</v>
      </c>
      <c r="G579">
        <f>monster.xml!Y583</f>
        <v>1</v>
      </c>
    </row>
    <row r="580" spans="1:7">
      <c r="A580">
        <f>monster.xml!A584</f>
        <v>2065041</v>
      </c>
      <c r="B580">
        <f>monster.xml!B584</f>
        <v>2001</v>
      </c>
      <c r="C580">
        <f>monster.xml!C584</f>
        <v>66</v>
      </c>
      <c r="D580" t="str">
        <f>monster.xml!D584</f>
        <v>驯兽师瓦纳</v>
      </c>
      <c r="E580">
        <f>monster.xml!G584</f>
        <v>2</v>
      </c>
      <c r="F580" t="str">
        <f>monster.xml!X584</f>
        <v>monster/10094.png</v>
      </c>
      <c r="G580">
        <f>monster.xml!Y584</f>
        <v>1</v>
      </c>
    </row>
    <row r="581" spans="1:7">
      <c r="A581">
        <f>monster.xml!A585</f>
        <v>2065042</v>
      </c>
      <c r="B581">
        <f>monster.xml!B585</f>
        <v>2001</v>
      </c>
      <c r="C581">
        <f>monster.xml!C585</f>
        <v>66</v>
      </c>
      <c r="D581" t="str">
        <f>monster.xml!D585</f>
        <v>多兰</v>
      </c>
      <c r="E581">
        <f>monster.xml!G585</f>
        <v>9</v>
      </c>
      <c r="F581" t="str">
        <f>monster.xml!X585</f>
        <v>monster/10061.png</v>
      </c>
      <c r="G581">
        <f>monster.xml!Y585</f>
        <v>1</v>
      </c>
    </row>
    <row r="582" spans="1:7">
      <c r="A582">
        <f>monster.xml!A586</f>
        <v>2065043</v>
      </c>
      <c r="B582">
        <f>monster.xml!B586</f>
        <v>2001</v>
      </c>
      <c r="C582">
        <f>monster.xml!C586</f>
        <v>66</v>
      </c>
      <c r="D582" t="str">
        <f>monster.xml!D586</f>
        <v>约翰</v>
      </c>
      <c r="E582">
        <f>monster.xml!G586</f>
        <v>10</v>
      </c>
      <c r="F582" t="str">
        <f>monster.xml!X586</f>
        <v>monster/10067.png</v>
      </c>
      <c r="G582">
        <f>monster.xml!Y586</f>
        <v>1</v>
      </c>
    </row>
    <row r="583" spans="1:7">
      <c r="A583">
        <f>monster.xml!A587</f>
        <v>2065051</v>
      </c>
      <c r="B583">
        <f>monster.xml!B587</f>
        <v>2001</v>
      </c>
      <c r="C583">
        <f>monster.xml!C587</f>
        <v>66</v>
      </c>
      <c r="D583" t="str">
        <f>monster.xml!D587</f>
        <v>炎之安苏</v>
      </c>
      <c r="E583">
        <f>monster.xml!G587</f>
        <v>21</v>
      </c>
      <c r="F583" t="str">
        <f>monster.xml!X587</f>
        <v>monster/10096.png</v>
      </c>
      <c r="G583">
        <f>monster.xml!Y587</f>
        <v>1</v>
      </c>
    </row>
    <row r="584" spans="1:7">
      <c r="A584">
        <f>monster.xml!A588</f>
        <v>2065061</v>
      </c>
      <c r="B584">
        <f>monster.xml!B588</f>
        <v>2001</v>
      </c>
      <c r="C584">
        <f>monster.xml!C588</f>
        <v>67</v>
      </c>
      <c r="D584" t="str">
        <f>monster.xml!D588</f>
        <v>迅捷的维恩</v>
      </c>
      <c r="E584">
        <f>monster.xml!G588</f>
        <v>14</v>
      </c>
      <c r="F584" t="str">
        <f>monster.xml!X588</f>
        <v>monster/10073.png</v>
      </c>
      <c r="G584">
        <f>monster.xml!Y588</f>
        <v>1</v>
      </c>
    </row>
    <row r="585" spans="1:7">
      <c r="A585">
        <f>monster.xml!A589</f>
        <v>2065071</v>
      </c>
      <c r="B585">
        <f>monster.xml!B589</f>
        <v>2001</v>
      </c>
      <c r="C585">
        <f>monster.xml!C589</f>
        <v>67</v>
      </c>
      <c r="D585" t="str">
        <f>monster.xml!D589</f>
        <v>暮光预言者</v>
      </c>
      <c r="E585">
        <f>monster.xml!G589</f>
        <v>13</v>
      </c>
      <c r="F585" t="str">
        <f>monster.xml!X589</f>
        <v>monster/10080.png</v>
      </c>
      <c r="G585">
        <f>monster.xml!Y589</f>
        <v>1</v>
      </c>
    </row>
    <row r="586" spans="1:7">
      <c r="A586">
        <f>monster.xml!A590</f>
        <v>2065081</v>
      </c>
      <c r="B586">
        <f>monster.xml!B590</f>
        <v>2001</v>
      </c>
      <c r="C586">
        <f>monster.xml!C590</f>
        <v>68</v>
      </c>
      <c r="D586" t="str">
        <f>monster.xml!D590</f>
        <v>卡雷</v>
      </c>
      <c r="E586">
        <f>monster.xml!G590</f>
        <v>25</v>
      </c>
      <c r="F586" t="str">
        <f>monster.xml!X590</f>
        <v>monster/10056.png</v>
      </c>
      <c r="G586">
        <f>monster.xml!Y590</f>
        <v>1</v>
      </c>
    </row>
    <row r="587" spans="1:7">
      <c r="A587">
        <f>monster.xml!A591</f>
        <v>2065091</v>
      </c>
      <c r="B587">
        <f>monster.xml!B591</f>
        <v>2001</v>
      </c>
      <c r="C587">
        <f>monster.xml!C591</f>
        <v>69</v>
      </c>
      <c r="D587" t="str">
        <f>monster.xml!D591</f>
        <v>日光弗雷尔</v>
      </c>
      <c r="E587">
        <f>monster.xml!G591</f>
        <v>28</v>
      </c>
      <c r="F587" t="str">
        <f>monster.xml!X591</f>
        <v>monster/10010.png</v>
      </c>
      <c r="G587">
        <f>monster.xml!Y591</f>
        <v>1</v>
      </c>
    </row>
    <row r="588" spans="1:7">
      <c r="A588">
        <f>monster.xml!A592</f>
        <v>2070011</v>
      </c>
      <c r="B588">
        <f>monster.xml!B592</f>
        <v>2001</v>
      </c>
      <c r="C588">
        <f>monster.xml!C592</f>
        <v>70</v>
      </c>
      <c r="D588" t="str">
        <f>monster.xml!D592</f>
        <v>坚定的格雷格</v>
      </c>
      <c r="E588">
        <f>monster.xml!G592</f>
        <v>3</v>
      </c>
      <c r="F588" t="str">
        <f>monster.xml!X592</f>
        <v>monster/10119.png</v>
      </c>
      <c r="G588">
        <f>monster.xml!Y592</f>
        <v>1</v>
      </c>
    </row>
    <row r="589" spans="1:7">
      <c r="A589">
        <f>monster.xml!A593</f>
        <v>2070021</v>
      </c>
      <c r="B589">
        <f>monster.xml!B593</f>
        <v>2001</v>
      </c>
      <c r="C589">
        <f>monster.xml!C593</f>
        <v>70</v>
      </c>
      <c r="D589" t="str">
        <f>monster.xml!D593</f>
        <v>菲德丝的倒影</v>
      </c>
      <c r="E589" t="str">
        <f>monster.xml!G593</f>
        <v>15,11</v>
      </c>
      <c r="F589" t="str">
        <f>monster.xml!X593</f>
        <v>UI/Program/MercenaryHunter_1.png</v>
      </c>
      <c r="G589">
        <f>monster.xml!Y593</f>
        <v>1</v>
      </c>
    </row>
    <row r="590" spans="1:7">
      <c r="A590">
        <f>monster.xml!A594</f>
        <v>2070031</v>
      </c>
      <c r="B590">
        <f>monster.xml!B594</f>
        <v>2001</v>
      </c>
      <c r="C590">
        <f>monster.xml!C594</f>
        <v>71</v>
      </c>
      <c r="D590" t="str">
        <f>monster.xml!D594</f>
        <v>惊人的盖亚</v>
      </c>
      <c r="E590" t="str">
        <f>monster.xml!G594</f>
        <v>10,15,17,14</v>
      </c>
      <c r="F590" t="str">
        <f>monster.xml!X594</f>
        <v>monster/10130.png</v>
      </c>
      <c r="G590">
        <f>monster.xml!Y594</f>
        <v>1</v>
      </c>
    </row>
    <row r="591" spans="1:7">
      <c r="A591">
        <f>monster.xml!A595</f>
        <v>2070041</v>
      </c>
      <c r="B591">
        <f>monster.xml!B595</f>
        <v>2001</v>
      </c>
      <c r="C591">
        <f>monster.xml!C595</f>
        <v>71</v>
      </c>
      <c r="D591" t="str">
        <f>monster.xml!D595</f>
        <v>驯兽师瓦纳</v>
      </c>
      <c r="E591">
        <f>monster.xml!G595</f>
        <v>2</v>
      </c>
      <c r="F591" t="str">
        <f>monster.xml!X595</f>
        <v>monster/10094.png</v>
      </c>
      <c r="G591">
        <f>monster.xml!Y595</f>
        <v>1</v>
      </c>
    </row>
    <row r="592" spans="1:7">
      <c r="A592">
        <f>monster.xml!A596</f>
        <v>2070042</v>
      </c>
      <c r="B592">
        <f>monster.xml!B596</f>
        <v>2001</v>
      </c>
      <c r="C592">
        <f>monster.xml!C596</f>
        <v>71</v>
      </c>
      <c r="D592" t="str">
        <f>monster.xml!D596</f>
        <v>多兰</v>
      </c>
      <c r="E592">
        <f>monster.xml!G596</f>
        <v>9</v>
      </c>
      <c r="F592" t="str">
        <f>monster.xml!X596</f>
        <v>monster/10061.png</v>
      </c>
      <c r="G592">
        <f>monster.xml!Y596</f>
        <v>1</v>
      </c>
    </row>
    <row r="593" spans="1:7">
      <c r="A593">
        <f>monster.xml!A597</f>
        <v>2070043</v>
      </c>
      <c r="B593">
        <f>monster.xml!B597</f>
        <v>2001</v>
      </c>
      <c r="C593">
        <f>monster.xml!C597</f>
        <v>71</v>
      </c>
      <c r="D593" t="str">
        <f>monster.xml!D597</f>
        <v>约翰</v>
      </c>
      <c r="E593">
        <f>monster.xml!G597</f>
        <v>10</v>
      </c>
      <c r="F593" t="str">
        <f>monster.xml!X597</f>
        <v>monster/10067.png</v>
      </c>
      <c r="G593">
        <f>monster.xml!Y597</f>
        <v>1</v>
      </c>
    </row>
    <row r="594" spans="1:7">
      <c r="A594">
        <f>monster.xml!A598</f>
        <v>2070051</v>
      </c>
      <c r="B594">
        <f>monster.xml!B598</f>
        <v>2001</v>
      </c>
      <c r="C594">
        <f>monster.xml!C598</f>
        <v>71</v>
      </c>
      <c r="D594" t="str">
        <f>monster.xml!D598</f>
        <v>炎之安苏</v>
      </c>
      <c r="E594">
        <f>monster.xml!G598</f>
        <v>21</v>
      </c>
      <c r="F594" t="str">
        <f>monster.xml!X598</f>
        <v>monster/10096.png</v>
      </c>
      <c r="G594">
        <f>monster.xml!Y598</f>
        <v>1</v>
      </c>
    </row>
    <row r="595" spans="1:7">
      <c r="A595">
        <f>monster.xml!A599</f>
        <v>2070061</v>
      </c>
      <c r="B595">
        <f>monster.xml!B599</f>
        <v>2001</v>
      </c>
      <c r="C595">
        <f>monster.xml!C599</f>
        <v>72</v>
      </c>
      <c r="D595" t="str">
        <f>monster.xml!D599</f>
        <v>迅捷的维恩</v>
      </c>
      <c r="E595">
        <f>monster.xml!G599</f>
        <v>14</v>
      </c>
      <c r="F595" t="str">
        <f>monster.xml!X599</f>
        <v>monster/10073.png</v>
      </c>
      <c r="G595">
        <f>monster.xml!Y599</f>
        <v>1</v>
      </c>
    </row>
    <row r="596" spans="1:7">
      <c r="A596">
        <f>monster.xml!A600</f>
        <v>2070071</v>
      </c>
      <c r="B596">
        <f>monster.xml!B600</f>
        <v>2001</v>
      </c>
      <c r="C596">
        <f>monster.xml!C600</f>
        <v>72</v>
      </c>
      <c r="D596" t="str">
        <f>monster.xml!D600</f>
        <v>暮光预言者</v>
      </c>
      <c r="E596">
        <f>monster.xml!G600</f>
        <v>13</v>
      </c>
      <c r="F596" t="str">
        <f>monster.xml!X600</f>
        <v>monster/10080.png</v>
      </c>
      <c r="G596">
        <f>monster.xml!Y600</f>
        <v>1</v>
      </c>
    </row>
    <row r="597" spans="1:7">
      <c r="A597">
        <f>monster.xml!A601</f>
        <v>2070081</v>
      </c>
      <c r="B597">
        <f>monster.xml!B601</f>
        <v>2001</v>
      </c>
      <c r="C597">
        <f>monster.xml!C601</f>
        <v>73</v>
      </c>
      <c r="D597" t="str">
        <f>monster.xml!D601</f>
        <v>卡雷</v>
      </c>
      <c r="E597">
        <f>monster.xml!G601</f>
        <v>25</v>
      </c>
      <c r="F597" t="str">
        <f>monster.xml!X601</f>
        <v>monster/10056.png</v>
      </c>
      <c r="G597">
        <f>monster.xml!Y601</f>
        <v>1</v>
      </c>
    </row>
    <row r="598" spans="1:7">
      <c r="A598">
        <f>monster.xml!A602</f>
        <v>2070091</v>
      </c>
      <c r="B598">
        <f>monster.xml!B602</f>
        <v>2001</v>
      </c>
      <c r="C598">
        <f>monster.xml!C602</f>
        <v>74</v>
      </c>
      <c r="D598" t="str">
        <f>monster.xml!D602</f>
        <v>日光弗雷尔</v>
      </c>
      <c r="E598">
        <f>monster.xml!G602</f>
        <v>28</v>
      </c>
      <c r="F598" t="str">
        <f>monster.xml!X602</f>
        <v>monster/10010.png</v>
      </c>
      <c r="G598">
        <f>monster.xml!Y602</f>
        <v>1</v>
      </c>
    </row>
    <row r="599" spans="1:7">
      <c r="A599">
        <f>monster.xml!A603</f>
        <v>2075011</v>
      </c>
      <c r="B599">
        <f>monster.xml!B603</f>
        <v>2001</v>
      </c>
      <c r="C599">
        <f>monster.xml!C603</f>
        <v>75</v>
      </c>
      <c r="D599" t="str">
        <f>monster.xml!D603</f>
        <v>坚定的格雷格</v>
      </c>
      <c r="E599">
        <f>monster.xml!G603</f>
        <v>3</v>
      </c>
      <c r="F599" t="str">
        <f>monster.xml!X603</f>
        <v>monster/10119.png</v>
      </c>
      <c r="G599">
        <f>monster.xml!Y603</f>
        <v>1</v>
      </c>
    </row>
    <row r="600" spans="1:7">
      <c r="A600">
        <f>monster.xml!A604</f>
        <v>2075021</v>
      </c>
      <c r="B600">
        <f>monster.xml!B604</f>
        <v>2001</v>
      </c>
      <c r="C600">
        <f>monster.xml!C604</f>
        <v>75</v>
      </c>
      <c r="D600" t="str">
        <f>monster.xml!D604</f>
        <v>菲德丝的倒影</v>
      </c>
      <c r="E600" t="str">
        <f>monster.xml!G604</f>
        <v>15,11</v>
      </c>
      <c r="F600" t="str">
        <f>monster.xml!X604</f>
        <v>UI/Program/MercenaryHunter_1.png</v>
      </c>
      <c r="G600">
        <f>monster.xml!Y604</f>
        <v>1</v>
      </c>
    </row>
    <row r="601" spans="1:7">
      <c r="A601">
        <f>monster.xml!A605</f>
        <v>2075031</v>
      </c>
      <c r="B601">
        <f>monster.xml!B605</f>
        <v>2001</v>
      </c>
      <c r="C601">
        <f>monster.xml!C605</f>
        <v>76</v>
      </c>
      <c r="D601" t="str">
        <f>monster.xml!D605</f>
        <v>惊人的盖亚</v>
      </c>
      <c r="E601" t="str">
        <f>monster.xml!G605</f>
        <v>10,15,17,14</v>
      </c>
      <c r="F601" t="str">
        <f>monster.xml!X605</f>
        <v>monster/10130.png</v>
      </c>
      <c r="G601">
        <f>monster.xml!Y605</f>
        <v>1</v>
      </c>
    </row>
    <row r="602" spans="1:7">
      <c r="A602">
        <f>monster.xml!A606</f>
        <v>2075041</v>
      </c>
      <c r="B602">
        <f>monster.xml!B606</f>
        <v>2001</v>
      </c>
      <c r="C602">
        <f>monster.xml!C606</f>
        <v>76</v>
      </c>
      <c r="D602" t="str">
        <f>monster.xml!D606</f>
        <v>驯兽师瓦纳</v>
      </c>
      <c r="E602">
        <f>monster.xml!G606</f>
        <v>2</v>
      </c>
      <c r="F602" t="str">
        <f>monster.xml!X606</f>
        <v>monster/10094.png</v>
      </c>
      <c r="G602">
        <f>monster.xml!Y606</f>
        <v>1</v>
      </c>
    </row>
    <row r="603" spans="1:7">
      <c r="A603">
        <f>monster.xml!A607</f>
        <v>2075042</v>
      </c>
      <c r="B603">
        <f>monster.xml!B607</f>
        <v>2001</v>
      </c>
      <c r="C603">
        <f>monster.xml!C607</f>
        <v>76</v>
      </c>
      <c r="D603" t="str">
        <f>monster.xml!D607</f>
        <v>多兰</v>
      </c>
      <c r="E603">
        <f>monster.xml!G607</f>
        <v>9</v>
      </c>
      <c r="F603" t="str">
        <f>monster.xml!X607</f>
        <v>monster/10061.png</v>
      </c>
      <c r="G603">
        <f>monster.xml!Y607</f>
        <v>1</v>
      </c>
    </row>
    <row r="604" spans="1:7">
      <c r="A604">
        <f>monster.xml!A608</f>
        <v>2075043</v>
      </c>
      <c r="B604">
        <f>monster.xml!B608</f>
        <v>2001</v>
      </c>
      <c r="C604">
        <f>monster.xml!C608</f>
        <v>76</v>
      </c>
      <c r="D604" t="str">
        <f>monster.xml!D608</f>
        <v>约翰</v>
      </c>
      <c r="E604">
        <f>monster.xml!G608</f>
        <v>10</v>
      </c>
      <c r="F604" t="str">
        <f>monster.xml!X608</f>
        <v>monster/10067.png</v>
      </c>
      <c r="G604">
        <f>monster.xml!Y608</f>
        <v>1</v>
      </c>
    </row>
    <row r="605" spans="1:7">
      <c r="A605">
        <f>monster.xml!A609</f>
        <v>2075051</v>
      </c>
      <c r="B605">
        <f>monster.xml!B609</f>
        <v>2001</v>
      </c>
      <c r="C605">
        <f>monster.xml!C609</f>
        <v>76</v>
      </c>
      <c r="D605" t="str">
        <f>monster.xml!D609</f>
        <v>炎之安苏</v>
      </c>
      <c r="E605">
        <f>monster.xml!G609</f>
        <v>21</v>
      </c>
      <c r="F605" t="str">
        <f>monster.xml!X609</f>
        <v>monster/10096.png</v>
      </c>
      <c r="G605">
        <f>monster.xml!Y609</f>
        <v>1</v>
      </c>
    </row>
    <row r="606" spans="1:7">
      <c r="A606">
        <f>monster.xml!A610</f>
        <v>2075061</v>
      </c>
      <c r="B606">
        <f>monster.xml!B610</f>
        <v>2001</v>
      </c>
      <c r="C606">
        <f>monster.xml!C610</f>
        <v>77</v>
      </c>
      <c r="D606" t="str">
        <f>monster.xml!D610</f>
        <v>迅捷的维恩</v>
      </c>
      <c r="E606">
        <f>monster.xml!G610</f>
        <v>14</v>
      </c>
      <c r="F606" t="str">
        <f>monster.xml!X610</f>
        <v>monster/10073.png</v>
      </c>
      <c r="G606">
        <f>monster.xml!Y610</f>
        <v>1</v>
      </c>
    </row>
    <row r="607" spans="1:7">
      <c r="A607">
        <f>monster.xml!A611</f>
        <v>2075071</v>
      </c>
      <c r="B607">
        <f>monster.xml!B611</f>
        <v>2001</v>
      </c>
      <c r="C607">
        <f>monster.xml!C611</f>
        <v>77</v>
      </c>
      <c r="D607" t="str">
        <f>monster.xml!D611</f>
        <v>暮光预言者</v>
      </c>
      <c r="E607">
        <f>monster.xml!G611</f>
        <v>13</v>
      </c>
      <c r="F607" t="str">
        <f>monster.xml!X611</f>
        <v>monster/10080.png</v>
      </c>
      <c r="G607">
        <f>monster.xml!Y611</f>
        <v>1</v>
      </c>
    </row>
    <row r="608" spans="1:7">
      <c r="A608">
        <f>monster.xml!A612</f>
        <v>2075081</v>
      </c>
      <c r="B608">
        <f>monster.xml!B612</f>
        <v>2001</v>
      </c>
      <c r="C608">
        <f>monster.xml!C612</f>
        <v>78</v>
      </c>
      <c r="D608" t="str">
        <f>monster.xml!D612</f>
        <v>卡雷</v>
      </c>
      <c r="E608">
        <f>monster.xml!G612</f>
        <v>25</v>
      </c>
      <c r="F608" t="str">
        <f>monster.xml!X612</f>
        <v>monster/10056.png</v>
      </c>
      <c r="G608">
        <f>monster.xml!Y612</f>
        <v>1</v>
      </c>
    </row>
    <row r="609" spans="1:7">
      <c r="A609">
        <f>monster.xml!A613</f>
        <v>2075091</v>
      </c>
      <c r="B609">
        <f>monster.xml!B613</f>
        <v>2001</v>
      </c>
      <c r="C609">
        <f>monster.xml!C613</f>
        <v>79</v>
      </c>
      <c r="D609" t="str">
        <f>monster.xml!D613</f>
        <v>日光弗雷尔</v>
      </c>
      <c r="E609">
        <f>monster.xml!G613</f>
        <v>28</v>
      </c>
      <c r="F609" t="str">
        <f>monster.xml!X613</f>
        <v>monster/10010.png</v>
      </c>
      <c r="G609">
        <f>monster.xml!Y613</f>
        <v>1</v>
      </c>
    </row>
    <row r="610" spans="1:7">
      <c r="A610">
        <f>monster.xml!A614</f>
        <v>2080011</v>
      </c>
      <c r="B610">
        <f>monster.xml!B614</f>
        <v>2001</v>
      </c>
      <c r="C610">
        <f>monster.xml!C614</f>
        <v>80</v>
      </c>
      <c r="D610" t="str">
        <f>monster.xml!D614</f>
        <v>坚定的格雷格</v>
      </c>
      <c r="E610">
        <f>monster.xml!G614</f>
        <v>3</v>
      </c>
      <c r="F610" t="str">
        <f>monster.xml!X614</f>
        <v>monster/10119.png</v>
      </c>
      <c r="G610">
        <f>monster.xml!Y614</f>
        <v>1</v>
      </c>
    </row>
    <row r="611" spans="1:7">
      <c r="A611">
        <f>monster.xml!A615</f>
        <v>2080021</v>
      </c>
      <c r="B611">
        <f>monster.xml!B615</f>
        <v>2001</v>
      </c>
      <c r="C611">
        <f>monster.xml!C615</f>
        <v>80</v>
      </c>
      <c r="D611" t="str">
        <f>monster.xml!D615</f>
        <v>菲德丝的倒影</v>
      </c>
      <c r="E611" t="str">
        <f>monster.xml!G615</f>
        <v>15,11</v>
      </c>
      <c r="F611" t="str">
        <f>monster.xml!X615</f>
        <v>UI/Program/MercenaryHunter_1.png</v>
      </c>
      <c r="G611">
        <f>monster.xml!Y615</f>
        <v>1</v>
      </c>
    </row>
    <row r="612" spans="1:7">
      <c r="A612">
        <f>monster.xml!A616</f>
        <v>2080031</v>
      </c>
      <c r="B612">
        <f>monster.xml!B616</f>
        <v>2001</v>
      </c>
      <c r="C612">
        <f>monster.xml!C616</f>
        <v>81</v>
      </c>
      <c r="D612" t="str">
        <f>monster.xml!D616</f>
        <v>惊人的盖亚</v>
      </c>
      <c r="E612" t="str">
        <f>monster.xml!G616</f>
        <v>10,15,17,14</v>
      </c>
      <c r="F612" t="str">
        <f>monster.xml!X616</f>
        <v>monster/10130.png</v>
      </c>
      <c r="G612">
        <f>monster.xml!Y616</f>
        <v>1</v>
      </c>
    </row>
    <row r="613" spans="1:7">
      <c r="A613">
        <f>monster.xml!A617</f>
        <v>2080041</v>
      </c>
      <c r="B613">
        <f>monster.xml!B617</f>
        <v>2001</v>
      </c>
      <c r="C613">
        <f>monster.xml!C617</f>
        <v>81</v>
      </c>
      <c r="D613" t="str">
        <f>monster.xml!D617</f>
        <v>驯兽师瓦纳</v>
      </c>
      <c r="E613">
        <f>monster.xml!G617</f>
        <v>2</v>
      </c>
      <c r="F613" t="str">
        <f>monster.xml!X617</f>
        <v>monster/10094.png</v>
      </c>
      <c r="G613">
        <f>monster.xml!Y617</f>
        <v>1</v>
      </c>
    </row>
    <row r="614" spans="1:7">
      <c r="A614">
        <f>monster.xml!A618</f>
        <v>2080042</v>
      </c>
      <c r="B614">
        <f>monster.xml!B618</f>
        <v>2001</v>
      </c>
      <c r="C614">
        <f>monster.xml!C618</f>
        <v>81</v>
      </c>
      <c r="D614" t="str">
        <f>monster.xml!D618</f>
        <v>多兰</v>
      </c>
      <c r="E614">
        <f>monster.xml!G618</f>
        <v>9</v>
      </c>
      <c r="F614" t="str">
        <f>monster.xml!X618</f>
        <v>monster/10061.png</v>
      </c>
      <c r="G614">
        <f>monster.xml!Y618</f>
        <v>1</v>
      </c>
    </row>
    <row r="615" spans="1:7">
      <c r="A615">
        <f>monster.xml!A619</f>
        <v>2080043</v>
      </c>
      <c r="B615">
        <f>monster.xml!B619</f>
        <v>2001</v>
      </c>
      <c r="C615">
        <f>monster.xml!C619</f>
        <v>81</v>
      </c>
      <c r="D615" t="str">
        <f>monster.xml!D619</f>
        <v>约翰</v>
      </c>
      <c r="E615">
        <f>monster.xml!G619</f>
        <v>10</v>
      </c>
      <c r="F615" t="str">
        <f>monster.xml!X619</f>
        <v>monster/10067.png</v>
      </c>
      <c r="G615">
        <f>monster.xml!Y619</f>
        <v>1</v>
      </c>
    </row>
    <row r="616" spans="1:7">
      <c r="A616">
        <f>monster.xml!A620</f>
        <v>2080051</v>
      </c>
      <c r="B616">
        <f>monster.xml!B620</f>
        <v>2001</v>
      </c>
      <c r="C616">
        <f>monster.xml!C620</f>
        <v>81</v>
      </c>
      <c r="D616" t="str">
        <f>monster.xml!D620</f>
        <v>炎之安苏</v>
      </c>
      <c r="E616">
        <f>monster.xml!G620</f>
        <v>21</v>
      </c>
      <c r="F616" t="str">
        <f>monster.xml!X620</f>
        <v>monster/10096.png</v>
      </c>
      <c r="G616">
        <f>monster.xml!Y620</f>
        <v>1</v>
      </c>
    </row>
    <row r="617" spans="1:7">
      <c r="A617">
        <f>monster.xml!A621</f>
        <v>2080061</v>
      </c>
      <c r="B617">
        <f>monster.xml!B621</f>
        <v>2001</v>
      </c>
      <c r="C617">
        <f>monster.xml!C621</f>
        <v>82</v>
      </c>
      <c r="D617" t="str">
        <f>monster.xml!D621</f>
        <v>迅捷的维恩</v>
      </c>
      <c r="E617">
        <f>monster.xml!G621</f>
        <v>14</v>
      </c>
      <c r="F617" t="str">
        <f>monster.xml!X621</f>
        <v>monster/10105.png</v>
      </c>
      <c r="G617">
        <f>monster.xml!Y621</f>
        <v>1</v>
      </c>
    </row>
    <row r="618" spans="1:7">
      <c r="A618">
        <f>monster.xml!A622</f>
        <v>2080071</v>
      </c>
      <c r="B618">
        <f>monster.xml!B622</f>
        <v>2001</v>
      </c>
      <c r="C618">
        <f>monster.xml!C622</f>
        <v>82</v>
      </c>
      <c r="D618" t="str">
        <f>monster.xml!D622</f>
        <v>暮光预言者</v>
      </c>
      <c r="E618">
        <f>monster.xml!G622</f>
        <v>13</v>
      </c>
      <c r="F618" t="str">
        <f>monster.xml!X622</f>
        <v>monster/10080.png</v>
      </c>
      <c r="G618">
        <f>monster.xml!Y622</f>
        <v>1</v>
      </c>
    </row>
    <row r="619" spans="1:7">
      <c r="A619">
        <f>monster.xml!A623</f>
        <v>2080081</v>
      </c>
      <c r="B619">
        <f>monster.xml!B623</f>
        <v>2001</v>
      </c>
      <c r="C619">
        <f>monster.xml!C623</f>
        <v>83</v>
      </c>
      <c r="D619" t="str">
        <f>monster.xml!D623</f>
        <v>卡雷</v>
      </c>
      <c r="E619">
        <f>monster.xml!G623</f>
        <v>25</v>
      </c>
      <c r="F619" t="str">
        <f>monster.xml!X623</f>
        <v>monster/10056.png</v>
      </c>
      <c r="G619">
        <f>monster.xml!Y623</f>
        <v>1</v>
      </c>
    </row>
    <row r="620" spans="1:7">
      <c r="A620">
        <f>monster.xml!A624</f>
        <v>2080091</v>
      </c>
      <c r="B620">
        <f>monster.xml!B624</f>
        <v>2001</v>
      </c>
      <c r="C620">
        <f>monster.xml!C624</f>
        <v>84</v>
      </c>
      <c r="D620" t="str">
        <f>monster.xml!D624</f>
        <v>日光弗雷尔</v>
      </c>
      <c r="E620">
        <f>monster.xml!G624</f>
        <v>28</v>
      </c>
      <c r="F620" t="str">
        <f>monster.xml!X624</f>
        <v>monster/10010.png</v>
      </c>
      <c r="G620">
        <f>monster.xml!Y624</f>
        <v>1</v>
      </c>
    </row>
    <row r="621" spans="1:7">
      <c r="A621">
        <f>monster.xml!A625</f>
        <v>2085011</v>
      </c>
      <c r="B621">
        <f>monster.xml!B625</f>
        <v>2001</v>
      </c>
      <c r="C621">
        <f>monster.xml!C625</f>
        <v>85</v>
      </c>
      <c r="D621" t="str">
        <f>monster.xml!D625</f>
        <v>咒术大师</v>
      </c>
      <c r="E621" t="str">
        <f>monster.xml!G625</f>
        <v>22,27</v>
      </c>
      <c r="F621" t="str">
        <f>monster.xml!X625</f>
        <v>monster/10136.png</v>
      </c>
      <c r="G621">
        <f>monster.xml!Y625</f>
        <v>1</v>
      </c>
    </row>
    <row r="622" spans="1:7">
      <c r="A622">
        <f>monster.xml!A626</f>
        <v>2085021</v>
      </c>
      <c r="B622">
        <f>monster.xml!B626</f>
        <v>2001</v>
      </c>
      <c r="C622">
        <f>monster.xml!C626</f>
        <v>85</v>
      </c>
      <c r="D622" t="str">
        <f>monster.xml!D626</f>
        <v>拨弄的赛亚</v>
      </c>
      <c r="E622" t="str">
        <f>monster.xml!G626</f>
        <v>17,18,8</v>
      </c>
      <c r="F622" t="str">
        <f>monster.xml!X626</f>
        <v>monster/10125.png</v>
      </c>
      <c r="G622">
        <f>monster.xml!Y626</f>
        <v>1</v>
      </c>
    </row>
    <row r="623" spans="1:7">
      <c r="A623">
        <f>monster.xml!A627</f>
        <v>2085031</v>
      </c>
      <c r="B623">
        <f>monster.xml!B627</f>
        <v>2001</v>
      </c>
      <c r="C623">
        <f>monster.xml!C627</f>
        <v>86</v>
      </c>
      <c r="D623" t="str">
        <f>monster.xml!D627</f>
        <v>法力风暴</v>
      </c>
      <c r="E623" t="str">
        <f>monster.xml!G627</f>
        <v>25,30</v>
      </c>
      <c r="F623" t="str">
        <f>monster.xml!X627</f>
        <v>monster/10061.png</v>
      </c>
      <c r="G623">
        <f>monster.xml!Y627</f>
        <v>1</v>
      </c>
    </row>
    <row r="624" spans="1:7">
      <c r="A624">
        <f>monster.xml!A628</f>
        <v>2085041</v>
      </c>
      <c r="B624">
        <f>monster.xml!B628</f>
        <v>2001</v>
      </c>
      <c r="C624">
        <f>monster.xml!C628</f>
        <v>86</v>
      </c>
      <c r="D624" t="str">
        <f>monster.xml!D628</f>
        <v>火舞者</v>
      </c>
      <c r="E624">
        <f>monster.xml!G628</f>
        <v>29</v>
      </c>
      <c r="F624" t="str">
        <f>monster.xml!X628</f>
        <v>monster/10116.png</v>
      </c>
      <c r="G624">
        <f>monster.xml!Y628</f>
        <v>1</v>
      </c>
    </row>
    <row r="625" spans="1:7">
      <c r="A625">
        <f>monster.xml!A629</f>
        <v>2085051</v>
      </c>
      <c r="B625">
        <f>monster.xml!B629</f>
        <v>2001</v>
      </c>
      <c r="C625">
        <f>monster.xml!C629</f>
        <v>86</v>
      </c>
      <c r="D625" t="str">
        <f>monster.xml!D629</f>
        <v>血誓审判者</v>
      </c>
      <c r="E625">
        <f>monster.xml!G629</f>
        <v>5</v>
      </c>
      <c r="F625" t="str">
        <f>monster.xml!X629</f>
        <v>monster/10083.png</v>
      </c>
      <c r="G625">
        <f>monster.xml!Y629</f>
        <v>1</v>
      </c>
    </row>
    <row r="626" spans="1:7">
      <c r="A626">
        <f>monster.xml!A630</f>
        <v>2085052</v>
      </c>
      <c r="B626">
        <f>monster.xml!B630</f>
        <v>2001</v>
      </c>
      <c r="C626">
        <f>monster.xml!C630</f>
        <v>86</v>
      </c>
      <c r="D626" t="str">
        <f>monster.xml!D630</f>
        <v>血誓预言者</v>
      </c>
      <c r="E626">
        <f>monster.xml!G630</f>
        <v>2</v>
      </c>
      <c r="F626" t="str">
        <f>monster.xml!X630</f>
        <v>monster/10082.png</v>
      </c>
      <c r="G626">
        <f>monster.xml!Y630</f>
        <v>1</v>
      </c>
    </row>
    <row r="627" spans="1:7">
      <c r="A627">
        <f>monster.xml!A631</f>
        <v>2085053</v>
      </c>
      <c r="B627">
        <f>monster.xml!B631</f>
        <v>2001</v>
      </c>
      <c r="C627">
        <f>monster.xml!C631</f>
        <v>86</v>
      </c>
      <c r="D627" t="str">
        <f>monster.xml!D631</f>
        <v>血誓召唤者</v>
      </c>
      <c r="E627">
        <f>monster.xml!G631</f>
        <v>26</v>
      </c>
      <c r="F627" t="str">
        <f>monster.xml!X631</f>
        <v>monster/10081.png</v>
      </c>
      <c r="G627">
        <f>monster.xml!Y631</f>
        <v>1</v>
      </c>
    </row>
    <row r="628" spans="1:7">
      <c r="A628">
        <f>monster.xml!A632</f>
        <v>2085054</v>
      </c>
      <c r="B628">
        <f>monster.xml!B632</f>
        <v>2001</v>
      </c>
      <c r="C628">
        <f>monster.xml!C632</f>
        <v>86</v>
      </c>
      <c r="D628" t="str">
        <f>monster.xml!D632</f>
        <v>血誓领主</v>
      </c>
      <c r="E628">
        <f>monster.xml!G632</f>
        <v>14</v>
      </c>
      <c r="F628" t="str">
        <f>monster.xml!X632</f>
        <v>monster/10072.png</v>
      </c>
      <c r="G628">
        <f>monster.xml!Y632</f>
        <v>1</v>
      </c>
    </row>
    <row r="629" spans="1:7">
      <c r="A629">
        <f>monster.xml!A633</f>
        <v>2085061</v>
      </c>
      <c r="B629">
        <f>monster.xml!B633</f>
        <v>2001</v>
      </c>
      <c r="C629">
        <f>monster.xml!C633</f>
        <v>87</v>
      </c>
      <c r="D629" t="str">
        <f>monster.xml!D633</f>
        <v>舞钢者拜伦</v>
      </c>
      <c r="E629">
        <f>monster.xml!G633</f>
        <v>8</v>
      </c>
      <c r="F629" t="str">
        <f>monster.xml!X633</f>
        <v>monster/10084.png</v>
      </c>
      <c r="G629">
        <f>monster.xml!Y633</f>
        <v>1</v>
      </c>
    </row>
    <row r="630" spans="1:7">
      <c r="A630">
        <f>monster.xml!A634</f>
        <v>2085071</v>
      </c>
      <c r="B630">
        <f>monster.xml!B634</f>
        <v>2001</v>
      </c>
      <c r="C630">
        <f>monster.xml!C634</f>
        <v>87</v>
      </c>
      <c r="D630" t="str">
        <f>monster.xml!D634</f>
        <v>风暴之王</v>
      </c>
      <c r="E630">
        <f>monster.xml!G634</f>
        <v>6</v>
      </c>
      <c r="F630" t="str">
        <f>monster.xml!X634</f>
        <v>monster/10138.png</v>
      </c>
      <c r="G630">
        <f>monster.xml!Y634</f>
        <v>1</v>
      </c>
    </row>
    <row r="631" spans="1:7">
      <c r="A631">
        <f>monster.xml!A635</f>
        <v>2085081</v>
      </c>
      <c r="B631">
        <f>monster.xml!B635</f>
        <v>2001</v>
      </c>
      <c r="C631">
        <f>monster.xml!C635</f>
        <v>88</v>
      </c>
      <c r="D631" t="str">
        <f>monster.xml!D635</f>
        <v>雷伊战争使者</v>
      </c>
      <c r="E631">
        <f>monster.xml!G635</f>
        <v>7</v>
      </c>
      <c r="F631" t="str">
        <f>monster.xml!X635</f>
        <v>monster/10127.png</v>
      </c>
      <c r="G631">
        <f>monster.xml!Y635</f>
        <v>1</v>
      </c>
    </row>
    <row r="632" spans="1:7">
      <c r="A632">
        <f>monster.xml!A636</f>
        <v>2085091</v>
      </c>
      <c r="B632">
        <f>monster.xml!B636</f>
        <v>2001</v>
      </c>
      <c r="C632">
        <f>monster.xml!C636</f>
        <v>89</v>
      </c>
      <c r="D632" t="str">
        <f>monster.xml!D636</f>
        <v>暴君泰伦</v>
      </c>
      <c r="E632" t="str">
        <f>monster.xml!G636</f>
        <v>10,9</v>
      </c>
      <c r="F632" t="str">
        <f>monster.xml!X636</f>
        <v>monster/10140.png</v>
      </c>
      <c r="G632">
        <f>monster.xml!Y636</f>
        <v>1</v>
      </c>
    </row>
    <row r="633" spans="1:7">
      <c r="A633">
        <f>monster.xml!A637</f>
        <v>2090011</v>
      </c>
      <c r="B633">
        <f>monster.xml!B637</f>
        <v>2001</v>
      </c>
      <c r="C633">
        <f>monster.xml!C637</f>
        <v>90</v>
      </c>
      <c r="D633" t="str">
        <f>monster.xml!D637</f>
        <v>咒术大师</v>
      </c>
      <c r="E633" t="str">
        <f>monster.xml!G637</f>
        <v>22,27</v>
      </c>
      <c r="F633" t="str">
        <f>monster.xml!X637</f>
        <v>monster/10136.png</v>
      </c>
      <c r="G633">
        <f>monster.xml!Y637</f>
        <v>1</v>
      </c>
    </row>
    <row r="634" spans="1:7">
      <c r="A634">
        <f>monster.xml!A638</f>
        <v>2090021</v>
      </c>
      <c r="B634">
        <f>monster.xml!B638</f>
        <v>2001</v>
      </c>
      <c r="C634">
        <f>monster.xml!C638</f>
        <v>90</v>
      </c>
      <c r="D634" t="str">
        <f>monster.xml!D638</f>
        <v>拨弄的赛亚</v>
      </c>
      <c r="E634" t="str">
        <f>monster.xml!G638</f>
        <v>17,18,8</v>
      </c>
      <c r="F634" t="str">
        <f>monster.xml!X638</f>
        <v>monster/10125.png</v>
      </c>
      <c r="G634">
        <f>monster.xml!Y638</f>
        <v>1</v>
      </c>
    </row>
    <row r="635" spans="1:7">
      <c r="A635">
        <f>monster.xml!A639</f>
        <v>2090031</v>
      </c>
      <c r="B635">
        <f>monster.xml!B639</f>
        <v>2001</v>
      </c>
      <c r="C635">
        <f>monster.xml!C639</f>
        <v>91</v>
      </c>
      <c r="D635" t="str">
        <f>monster.xml!D639</f>
        <v>法力风暴</v>
      </c>
      <c r="E635" t="str">
        <f>monster.xml!G639</f>
        <v>25,30</v>
      </c>
      <c r="F635" t="str">
        <f>monster.xml!X639</f>
        <v>monster/10061.png</v>
      </c>
      <c r="G635">
        <f>monster.xml!Y639</f>
        <v>1</v>
      </c>
    </row>
    <row r="636" spans="1:7">
      <c r="A636">
        <f>monster.xml!A640</f>
        <v>2090041</v>
      </c>
      <c r="B636">
        <f>monster.xml!B640</f>
        <v>2001</v>
      </c>
      <c r="C636">
        <f>monster.xml!C640</f>
        <v>91</v>
      </c>
      <c r="D636" t="str">
        <f>monster.xml!D640</f>
        <v>火舞者</v>
      </c>
      <c r="E636">
        <f>monster.xml!G640</f>
        <v>29</v>
      </c>
      <c r="F636" t="str">
        <f>monster.xml!X640</f>
        <v>monster/10116.png</v>
      </c>
      <c r="G636">
        <f>monster.xml!Y640</f>
        <v>1</v>
      </c>
    </row>
    <row r="637" spans="1:7">
      <c r="A637">
        <f>monster.xml!A641</f>
        <v>2090051</v>
      </c>
      <c r="B637">
        <f>monster.xml!B641</f>
        <v>2001</v>
      </c>
      <c r="C637">
        <f>monster.xml!C641</f>
        <v>91</v>
      </c>
      <c r="D637" t="str">
        <f>monster.xml!D641</f>
        <v>血誓审判者</v>
      </c>
      <c r="E637">
        <f>monster.xml!G641</f>
        <v>5</v>
      </c>
      <c r="F637" t="str">
        <f>monster.xml!X641</f>
        <v>monster/10083.png</v>
      </c>
      <c r="G637">
        <f>monster.xml!Y641</f>
        <v>1</v>
      </c>
    </row>
    <row r="638" spans="1:7">
      <c r="A638">
        <f>monster.xml!A642</f>
        <v>2090052</v>
      </c>
      <c r="B638">
        <f>monster.xml!B642</f>
        <v>2001</v>
      </c>
      <c r="C638">
        <f>monster.xml!C642</f>
        <v>91</v>
      </c>
      <c r="D638" t="str">
        <f>monster.xml!D642</f>
        <v>血誓预言者</v>
      </c>
      <c r="E638">
        <f>monster.xml!G642</f>
        <v>2</v>
      </c>
      <c r="F638" t="str">
        <f>monster.xml!X642</f>
        <v>monster/10082.png</v>
      </c>
      <c r="G638">
        <f>monster.xml!Y642</f>
        <v>1</v>
      </c>
    </row>
    <row r="639" spans="1:7">
      <c r="A639">
        <f>monster.xml!A643</f>
        <v>2090053</v>
      </c>
      <c r="B639">
        <f>monster.xml!B643</f>
        <v>2001</v>
      </c>
      <c r="C639">
        <f>monster.xml!C643</f>
        <v>91</v>
      </c>
      <c r="D639" t="str">
        <f>monster.xml!D643</f>
        <v>血誓召唤者</v>
      </c>
      <c r="E639">
        <f>monster.xml!G643</f>
        <v>26</v>
      </c>
      <c r="F639" t="str">
        <f>monster.xml!X643</f>
        <v>monster/10081.png</v>
      </c>
      <c r="G639">
        <f>monster.xml!Y643</f>
        <v>1</v>
      </c>
    </row>
    <row r="640" spans="1:7">
      <c r="A640">
        <f>monster.xml!A644</f>
        <v>2090054</v>
      </c>
      <c r="B640">
        <f>monster.xml!B644</f>
        <v>2001</v>
      </c>
      <c r="C640">
        <f>monster.xml!C644</f>
        <v>91</v>
      </c>
      <c r="D640" t="str">
        <f>monster.xml!D644</f>
        <v>血誓领主</v>
      </c>
      <c r="E640">
        <f>monster.xml!G644</f>
        <v>14</v>
      </c>
      <c r="F640" t="str">
        <f>monster.xml!X644</f>
        <v>monster/10072.png</v>
      </c>
      <c r="G640">
        <f>monster.xml!Y644</f>
        <v>1</v>
      </c>
    </row>
    <row r="641" spans="1:7">
      <c r="A641">
        <f>monster.xml!A645</f>
        <v>2090061</v>
      </c>
      <c r="B641">
        <f>monster.xml!B645</f>
        <v>2001</v>
      </c>
      <c r="C641">
        <f>monster.xml!C645</f>
        <v>92</v>
      </c>
      <c r="D641" t="str">
        <f>monster.xml!D645</f>
        <v>舞钢者拜伦</v>
      </c>
      <c r="E641">
        <f>monster.xml!G645</f>
        <v>8</v>
      </c>
      <c r="F641" t="str">
        <f>monster.xml!X645</f>
        <v>monster/10084.png</v>
      </c>
      <c r="G641">
        <f>monster.xml!Y645</f>
        <v>1</v>
      </c>
    </row>
    <row r="642" spans="1:7">
      <c r="A642">
        <f>monster.xml!A646</f>
        <v>2090071</v>
      </c>
      <c r="B642">
        <f>monster.xml!B646</f>
        <v>2001</v>
      </c>
      <c r="C642">
        <f>monster.xml!C646</f>
        <v>92</v>
      </c>
      <c r="D642" t="str">
        <f>monster.xml!D646</f>
        <v>风暴之王</v>
      </c>
      <c r="E642">
        <f>monster.xml!G646</f>
        <v>6</v>
      </c>
      <c r="F642" t="str">
        <f>monster.xml!X646</f>
        <v>monster/10138.png</v>
      </c>
      <c r="G642">
        <f>monster.xml!Y646</f>
        <v>1</v>
      </c>
    </row>
    <row r="643" spans="1:7">
      <c r="A643">
        <f>monster.xml!A647</f>
        <v>2090081</v>
      </c>
      <c r="B643">
        <f>monster.xml!B647</f>
        <v>2001</v>
      </c>
      <c r="C643">
        <f>monster.xml!C647</f>
        <v>93</v>
      </c>
      <c r="D643" t="str">
        <f>monster.xml!D647</f>
        <v>雷伊战争使者</v>
      </c>
      <c r="E643">
        <f>monster.xml!G647</f>
        <v>7</v>
      </c>
      <c r="F643" t="str">
        <f>monster.xml!X647</f>
        <v>monster/10127.png</v>
      </c>
      <c r="G643">
        <f>monster.xml!Y647</f>
        <v>1</v>
      </c>
    </row>
    <row r="644" spans="1:7">
      <c r="A644">
        <f>monster.xml!A648</f>
        <v>2090091</v>
      </c>
      <c r="B644">
        <f>monster.xml!B648</f>
        <v>2001</v>
      </c>
      <c r="C644">
        <f>monster.xml!C648</f>
        <v>94</v>
      </c>
      <c r="D644" t="str">
        <f>monster.xml!D648</f>
        <v>暴君泰伦</v>
      </c>
      <c r="E644" t="str">
        <f>monster.xml!G648</f>
        <v>10,9</v>
      </c>
      <c r="F644" t="str">
        <f>monster.xml!X648</f>
        <v>monster/10140.png</v>
      </c>
      <c r="G644">
        <f>monster.xml!Y648</f>
        <v>1</v>
      </c>
    </row>
    <row r="645" spans="1:7">
      <c r="A645">
        <f>monster.xml!A649</f>
        <v>2095011</v>
      </c>
      <c r="B645">
        <f>monster.xml!B649</f>
        <v>2001</v>
      </c>
      <c r="C645">
        <f>monster.xml!C649</f>
        <v>95</v>
      </c>
      <c r="D645" t="str">
        <f>monster.xml!D649</f>
        <v>咒术大师</v>
      </c>
      <c r="E645" t="str">
        <f>monster.xml!G649</f>
        <v>22,27</v>
      </c>
      <c r="F645" t="str">
        <f>monster.xml!X649</f>
        <v>monster/10136.png</v>
      </c>
      <c r="G645">
        <f>monster.xml!Y649</f>
        <v>1</v>
      </c>
    </row>
    <row r="646" spans="1:7">
      <c r="A646">
        <f>monster.xml!A650</f>
        <v>2095021</v>
      </c>
      <c r="B646">
        <f>monster.xml!B650</f>
        <v>2001</v>
      </c>
      <c r="C646">
        <f>monster.xml!C650</f>
        <v>95</v>
      </c>
      <c r="D646" t="str">
        <f>monster.xml!D650</f>
        <v>拨弄的赛亚</v>
      </c>
      <c r="E646" t="str">
        <f>monster.xml!G650</f>
        <v>17,18,8</v>
      </c>
      <c r="F646" t="str">
        <f>monster.xml!X650</f>
        <v>monster/10125.png</v>
      </c>
      <c r="G646">
        <f>monster.xml!Y650</f>
        <v>1</v>
      </c>
    </row>
    <row r="647" spans="1:7">
      <c r="A647">
        <f>monster.xml!A651</f>
        <v>2095031</v>
      </c>
      <c r="B647">
        <f>monster.xml!B651</f>
        <v>2001</v>
      </c>
      <c r="C647">
        <f>monster.xml!C651</f>
        <v>96</v>
      </c>
      <c r="D647" t="str">
        <f>monster.xml!D651</f>
        <v>法力风暴</v>
      </c>
      <c r="E647" t="str">
        <f>monster.xml!G651</f>
        <v>25,30</v>
      </c>
      <c r="F647" t="str">
        <f>monster.xml!X651</f>
        <v>monster/10061.png</v>
      </c>
      <c r="G647">
        <f>monster.xml!Y651</f>
        <v>1</v>
      </c>
    </row>
    <row r="648" spans="1:7">
      <c r="A648">
        <f>monster.xml!A652</f>
        <v>2095041</v>
      </c>
      <c r="B648">
        <f>monster.xml!B652</f>
        <v>2001</v>
      </c>
      <c r="C648">
        <f>monster.xml!C652</f>
        <v>96</v>
      </c>
      <c r="D648" t="str">
        <f>monster.xml!D652</f>
        <v>火舞者</v>
      </c>
      <c r="E648">
        <f>monster.xml!G652</f>
        <v>29</v>
      </c>
      <c r="F648" t="str">
        <f>monster.xml!X652</f>
        <v>monster/10116.png</v>
      </c>
      <c r="G648">
        <f>monster.xml!Y652</f>
        <v>1</v>
      </c>
    </row>
    <row r="649" spans="1:7">
      <c r="A649">
        <f>monster.xml!A653</f>
        <v>2095051</v>
      </c>
      <c r="B649">
        <f>monster.xml!B653</f>
        <v>2001</v>
      </c>
      <c r="C649">
        <f>monster.xml!C653</f>
        <v>96</v>
      </c>
      <c r="D649" t="str">
        <f>monster.xml!D653</f>
        <v>血誓审判者</v>
      </c>
      <c r="E649">
        <f>monster.xml!G653</f>
        <v>5</v>
      </c>
      <c r="F649" t="str">
        <f>monster.xml!X653</f>
        <v>monster/10083.png</v>
      </c>
      <c r="G649">
        <f>monster.xml!Y653</f>
        <v>1</v>
      </c>
    </row>
    <row r="650" spans="1:7">
      <c r="A650">
        <f>monster.xml!A654</f>
        <v>2095052</v>
      </c>
      <c r="B650">
        <f>monster.xml!B654</f>
        <v>2001</v>
      </c>
      <c r="C650">
        <f>monster.xml!C654</f>
        <v>96</v>
      </c>
      <c r="D650" t="str">
        <f>monster.xml!D654</f>
        <v>血誓预言者</v>
      </c>
      <c r="E650">
        <f>monster.xml!G654</f>
        <v>2</v>
      </c>
      <c r="F650" t="str">
        <f>monster.xml!X654</f>
        <v>monster/10082.png</v>
      </c>
      <c r="G650">
        <f>monster.xml!Y654</f>
        <v>1</v>
      </c>
    </row>
    <row r="651" spans="1:7">
      <c r="A651">
        <f>monster.xml!A655</f>
        <v>2095053</v>
      </c>
      <c r="B651">
        <f>monster.xml!B655</f>
        <v>2001</v>
      </c>
      <c r="C651">
        <f>monster.xml!C655</f>
        <v>96</v>
      </c>
      <c r="D651" t="str">
        <f>monster.xml!D655</f>
        <v>血誓召唤者</v>
      </c>
      <c r="E651">
        <f>monster.xml!G655</f>
        <v>26</v>
      </c>
      <c r="F651" t="str">
        <f>monster.xml!X655</f>
        <v>monster/10081.png</v>
      </c>
      <c r="G651">
        <f>monster.xml!Y655</f>
        <v>1</v>
      </c>
    </row>
    <row r="652" spans="1:7">
      <c r="A652">
        <f>monster.xml!A656</f>
        <v>2095054</v>
      </c>
      <c r="B652">
        <f>monster.xml!B656</f>
        <v>2001</v>
      </c>
      <c r="C652">
        <f>monster.xml!C656</f>
        <v>96</v>
      </c>
      <c r="D652" t="str">
        <f>monster.xml!D656</f>
        <v>血誓领主</v>
      </c>
      <c r="E652">
        <f>monster.xml!G656</f>
        <v>14</v>
      </c>
      <c r="F652" t="str">
        <f>monster.xml!X656</f>
        <v>monster/10072.png</v>
      </c>
      <c r="G652">
        <f>monster.xml!Y656</f>
        <v>1</v>
      </c>
    </row>
    <row r="653" spans="1:7">
      <c r="A653">
        <f>monster.xml!A657</f>
        <v>2095061</v>
      </c>
      <c r="B653">
        <f>monster.xml!B657</f>
        <v>2001</v>
      </c>
      <c r="C653">
        <f>monster.xml!C657</f>
        <v>97</v>
      </c>
      <c r="D653" t="str">
        <f>monster.xml!D657</f>
        <v>舞钢者拜伦</v>
      </c>
      <c r="E653">
        <f>monster.xml!G657</f>
        <v>8</v>
      </c>
      <c r="F653" t="str">
        <f>monster.xml!X657</f>
        <v>monster/10084.png</v>
      </c>
      <c r="G653">
        <f>monster.xml!Y657</f>
        <v>1</v>
      </c>
    </row>
    <row r="654" spans="1:7">
      <c r="A654">
        <f>monster.xml!A658</f>
        <v>2095071</v>
      </c>
      <c r="B654">
        <f>monster.xml!B658</f>
        <v>2001</v>
      </c>
      <c r="C654">
        <f>monster.xml!C658</f>
        <v>97</v>
      </c>
      <c r="D654" t="str">
        <f>monster.xml!D658</f>
        <v>风暴之王</v>
      </c>
      <c r="E654">
        <f>monster.xml!G658</f>
        <v>6</v>
      </c>
      <c r="F654" t="str">
        <f>monster.xml!X658</f>
        <v>monster/10138.png</v>
      </c>
      <c r="G654">
        <f>monster.xml!Y658</f>
        <v>1</v>
      </c>
    </row>
    <row r="655" spans="1:7">
      <c r="A655">
        <f>monster.xml!A659</f>
        <v>2095081</v>
      </c>
      <c r="B655">
        <f>monster.xml!B659</f>
        <v>2001</v>
      </c>
      <c r="C655">
        <f>monster.xml!C659</f>
        <v>98</v>
      </c>
      <c r="D655" t="str">
        <f>monster.xml!D659</f>
        <v>雷伊战争使者</v>
      </c>
      <c r="E655">
        <f>monster.xml!G659</f>
        <v>7</v>
      </c>
      <c r="F655" t="str">
        <f>monster.xml!X659</f>
        <v>monster/10127.png</v>
      </c>
      <c r="G655">
        <f>monster.xml!Y659</f>
        <v>1</v>
      </c>
    </row>
    <row r="656" spans="1:7">
      <c r="A656">
        <f>monster.xml!A660</f>
        <v>2095091</v>
      </c>
      <c r="B656">
        <f>monster.xml!B660</f>
        <v>2001</v>
      </c>
      <c r="C656">
        <f>monster.xml!C660</f>
        <v>99</v>
      </c>
      <c r="D656" t="str">
        <f>monster.xml!D660</f>
        <v>暴君泰伦</v>
      </c>
      <c r="E656" t="str">
        <f>monster.xml!G660</f>
        <v>10,9</v>
      </c>
      <c r="F656" t="str">
        <f>monster.xml!X660</f>
        <v>monster/10140.png</v>
      </c>
      <c r="G656">
        <f>monster.xml!Y660</f>
        <v>1</v>
      </c>
    </row>
    <row r="657" spans="1:7">
      <c r="A657">
        <f>monster.xml!A661</f>
        <v>2100011</v>
      </c>
      <c r="B657">
        <f>monster.xml!B661</f>
        <v>2001</v>
      </c>
      <c r="C657">
        <f>monster.xml!C661</f>
        <v>100</v>
      </c>
      <c r="D657" t="str">
        <f>monster.xml!D661</f>
        <v>咒术大师</v>
      </c>
      <c r="E657" t="str">
        <f>monster.xml!G661</f>
        <v>22,27</v>
      </c>
      <c r="F657" t="str">
        <f>monster.xml!X661</f>
        <v>monster/10136.png</v>
      </c>
      <c r="G657">
        <f>monster.xml!Y661</f>
        <v>1</v>
      </c>
    </row>
    <row r="658" spans="1:7">
      <c r="A658">
        <f>monster.xml!A662</f>
        <v>2100021</v>
      </c>
      <c r="B658">
        <f>monster.xml!B662</f>
        <v>2001</v>
      </c>
      <c r="C658">
        <f>monster.xml!C662</f>
        <v>100</v>
      </c>
      <c r="D658" t="str">
        <f>monster.xml!D662</f>
        <v>拨弄的赛亚</v>
      </c>
      <c r="E658" t="str">
        <f>monster.xml!G662</f>
        <v>17,18,8</v>
      </c>
      <c r="F658" t="str">
        <f>monster.xml!X662</f>
        <v>monster/10125.png</v>
      </c>
      <c r="G658">
        <f>monster.xml!Y662</f>
        <v>1</v>
      </c>
    </row>
    <row r="659" spans="1:7">
      <c r="A659">
        <f>monster.xml!A663</f>
        <v>2100031</v>
      </c>
      <c r="B659">
        <f>monster.xml!B663</f>
        <v>2001</v>
      </c>
      <c r="C659">
        <f>monster.xml!C663</f>
        <v>101</v>
      </c>
      <c r="D659" t="str">
        <f>monster.xml!D663</f>
        <v>法力风暴</v>
      </c>
      <c r="E659" t="str">
        <f>monster.xml!G663</f>
        <v>25,30</v>
      </c>
      <c r="F659" t="str">
        <f>monster.xml!X663</f>
        <v>monster/10061.png</v>
      </c>
      <c r="G659">
        <f>monster.xml!Y663</f>
        <v>1</v>
      </c>
    </row>
    <row r="660" spans="1:7">
      <c r="A660">
        <f>monster.xml!A664</f>
        <v>2100041</v>
      </c>
      <c r="B660">
        <f>monster.xml!B664</f>
        <v>2001</v>
      </c>
      <c r="C660">
        <f>monster.xml!C664</f>
        <v>101</v>
      </c>
      <c r="D660" t="str">
        <f>monster.xml!D664</f>
        <v>火舞者</v>
      </c>
      <c r="E660">
        <f>monster.xml!G664</f>
        <v>29</v>
      </c>
      <c r="F660" t="str">
        <f>monster.xml!X664</f>
        <v>monster/10116.png</v>
      </c>
      <c r="G660">
        <f>monster.xml!Y664</f>
        <v>1</v>
      </c>
    </row>
    <row r="661" spans="1:7">
      <c r="A661">
        <f>monster.xml!A665</f>
        <v>2100051</v>
      </c>
      <c r="B661">
        <f>monster.xml!B665</f>
        <v>2001</v>
      </c>
      <c r="C661">
        <f>monster.xml!C665</f>
        <v>101</v>
      </c>
      <c r="D661" t="str">
        <f>monster.xml!D665</f>
        <v>血誓审判者</v>
      </c>
      <c r="E661">
        <f>monster.xml!G665</f>
        <v>5</v>
      </c>
      <c r="F661" t="str">
        <f>monster.xml!X665</f>
        <v>monster/10083.png</v>
      </c>
      <c r="G661">
        <f>monster.xml!Y665</f>
        <v>1</v>
      </c>
    </row>
    <row r="662" spans="1:7">
      <c r="A662">
        <f>monster.xml!A666</f>
        <v>2100052</v>
      </c>
      <c r="B662">
        <f>monster.xml!B666</f>
        <v>2001</v>
      </c>
      <c r="C662">
        <f>monster.xml!C666</f>
        <v>101</v>
      </c>
      <c r="D662" t="str">
        <f>monster.xml!D666</f>
        <v>血誓预言者</v>
      </c>
      <c r="E662">
        <f>monster.xml!G666</f>
        <v>2</v>
      </c>
      <c r="F662" t="str">
        <f>monster.xml!X666</f>
        <v>monster/10082.png</v>
      </c>
      <c r="G662">
        <f>monster.xml!Y666</f>
        <v>1</v>
      </c>
    </row>
    <row r="663" spans="1:7">
      <c r="A663">
        <f>monster.xml!A667</f>
        <v>2100053</v>
      </c>
      <c r="B663">
        <f>monster.xml!B667</f>
        <v>2001</v>
      </c>
      <c r="C663">
        <f>monster.xml!C667</f>
        <v>101</v>
      </c>
      <c r="D663" t="str">
        <f>monster.xml!D667</f>
        <v>血誓召唤者</v>
      </c>
      <c r="E663">
        <f>monster.xml!G667</f>
        <v>26</v>
      </c>
      <c r="F663" t="str">
        <f>monster.xml!X667</f>
        <v>monster/10081.png</v>
      </c>
      <c r="G663">
        <f>monster.xml!Y667</f>
        <v>1</v>
      </c>
    </row>
    <row r="664" spans="1:7">
      <c r="A664">
        <f>monster.xml!A668</f>
        <v>2100054</v>
      </c>
      <c r="B664">
        <f>monster.xml!B668</f>
        <v>2001</v>
      </c>
      <c r="C664">
        <f>monster.xml!C668</f>
        <v>101</v>
      </c>
      <c r="D664" t="str">
        <f>monster.xml!D668</f>
        <v>血誓领主</v>
      </c>
      <c r="E664">
        <f>monster.xml!G668</f>
        <v>14</v>
      </c>
      <c r="F664" t="str">
        <f>monster.xml!X668</f>
        <v>monster/10072.png</v>
      </c>
      <c r="G664">
        <f>monster.xml!Y668</f>
        <v>1</v>
      </c>
    </row>
    <row r="665" spans="1:7">
      <c r="A665">
        <f>monster.xml!A669</f>
        <v>2100061</v>
      </c>
      <c r="B665">
        <f>monster.xml!B669</f>
        <v>2001</v>
      </c>
      <c r="C665">
        <f>monster.xml!C669</f>
        <v>102</v>
      </c>
      <c r="D665" t="str">
        <f>monster.xml!D669</f>
        <v>舞钢者拜伦</v>
      </c>
      <c r="E665">
        <f>monster.xml!G669</f>
        <v>8</v>
      </c>
      <c r="F665" t="str">
        <f>monster.xml!X669</f>
        <v>monster/10084.png</v>
      </c>
      <c r="G665">
        <f>monster.xml!Y669</f>
        <v>1</v>
      </c>
    </row>
    <row r="666" spans="1:7">
      <c r="A666">
        <f>monster.xml!A670</f>
        <v>2100071</v>
      </c>
      <c r="B666">
        <f>monster.xml!B670</f>
        <v>2001</v>
      </c>
      <c r="C666">
        <f>monster.xml!C670</f>
        <v>102</v>
      </c>
      <c r="D666" t="str">
        <f>monster.xml!D670</f>
        <v>风暴之王</v>
      </c>
      <c r="E666">
        <f>monster.xml!G670</f>
        <v>6</v>
      </c>
      <c r="F666" t="str">
        <f>monster.xml!X670</f>
        <v>monster/10138.png</v>
      </c>
      <c r="G666">
        <f>monster.xml!Y670</f>
        <v>1</v>
      </c>
    </row>
    <row r="667" spans="1:7">
      <c r="A667">
        <f>monster.xml!A671</f>
        <v>2100081</v>
      </c>
      <c r="B667">
        <f>monster.xml!B671</f>
        <v>2001</v>
      </c>
      <c r="C667">
        <f>monster.xml!C671</f>
        <v>102</v>
      </c>
      <c r="D667" t="str">
        <f>monster.xml!D671</f>
        <v>雷伊战争使者</v>
      </c>
      <c r="E667">
        <f>monster.xml!G671</f>
        <v>7</v>
      </c>
      <c r="F667" t="str">
        <f>monster.xml!X671</f>
        <v>monster/10127.png</v>
      </c>
      <c r="G667">
        <f>monster.xml!Y671</f>
        <v>1</v>
      </c>
    </row>
    <row r="668" spans="1:7">
      <c r="A668">
        <f>monster.xml!A672</f>
        <v>2100091</v>
      </c>
      <c r="B668">
        <f>monster.xml!B672</f>
        <v>2001</v>
      </c>
      <c r="C668">
        <f>monster.xml!C672</f>
        <v>102</v>
      </c>
      <c r="D668" t="str">
        <f>monster.xml!D672</f>
        <v>暴君泰伦</v>
      </c>
      <c r="E668" t="str">
        <f>monster.xml!G672</f>
        <v>10,9</v>
      </c>
      <c r="F668" t="str">
        <f>monster.xml!X672</f>
        <v>monster/10140.png</v>
      </c>
      <c r="G668">
        <f>monster.xml!Y672</f>
        <v>1</v>
      </c>
    </row>
    <row r="669" spans="1:7">
      <c r="A669">
        <f>monster.xml!A673</f>
        <v>3030011</v>
      </c>
      <c r="B669">
        <f>monster.xml!B673</f>
        <v>2001</v>
      </c>
      <c r="C669">
        <f>monster.xml!C673</f>
        <v>30</v>
      </c>
      <c r="D669" t="str">
        <f>monster.xml!D673</f>
        <v>法师幻象</v>
      </c>
      <c r="E669">
        <f>monster.xml!G673</f>
        <v>21</v>
      </c>
      <c r="F669" t="str">
        <f>monster.xml!X673</f>
        <v>UI/Program/HeroMaster_Man_1.png</v>
      </c>
      <c r="G669">
        <f>monster.xml!Y673</f>
        <v>1</v>
      </c>
    </row>
    <row r="670" spans="1:7">
      <c r="A670">
        <f>monster.xml!A674</f>
        <v>3030021</v>
      </c>
      <c r="B670">
        <f>monster.xml!B674</f>
        <v>2001</v>
      </c>
      <c r="C670">
        <f>monster.xml!C674</f>
        <v>30</v>
      </c>
      <c r="D670" t="str">
        <f>monster.xml!D674</f>
        <v>法力风暴</v>
      </c>
      <c r="E670" t="str">
        <f>monster.xml!G674</f>
        <v>25,30</v>
      </c>
      <c r="F670" t="str">
        <f>monster.xml!X674</f>
        <v>monster/10061.png</v>
      </c>
      <c r="G670">
        <f>monster.xml!Y674</f>
        <v>1</v>
      </c>
    </row>
    <row r="671" spans="1:7">
      <c r="A671">
        <f>monster.xml!A675</f>
        <v>3030031</v>
      </c>
      <c r="B671">
        <f>monster.xml!B675</f>
        <v>2001</v>
      </c>
      <c r="C671">
        <f>monster.xml!C675</f>
        <v>31</v>
      </c>
      <c r="D671" t="str">
        <f>monster.xml!D675</f>
        <v>角斗士里奥</v>
      </c>
      <c r="E671">
        <f>monster.xml!G675</f>
        <v>5</v>
      </c>
      <c r="F671" t="str">
        <f>monster.xml!X675</f>
        <v>monster/10067.png</v>
      </c>
      <c r="G671">
        <f>monster.xml!Y675</f>
        <v>1</v>
      </c>
    </row>
    <row r="672" spans="1:7">
      <c r="A672">
        <f>monster.xml!A676</f>
        <v>3030041</v>
      </c>
      <c r="B672">
        <f>monster.xml!B676</f>
        <v>2001</v>
      </c>
      <c r="C672">
        <f>monster.xml!C676</f>
        <v>31</v>
      </c>
      <c r="D672" t="str">
        <f>monster.xml!D676</f>
        <v>荒野游侠</v>
      </c>
      <c r="E672">
        <f>monster.xml!G676</f>
        <v>16</v>
      </c>
      <c r="F672" t="str">
        <f>monster.xml!X676</f>
        <v>monster/10096.png</v>
      </c>
      <c r="G672">
        <f>monster.xml!Y676</f>
        <v>1</v>
      </c>
    </row>
    <row r="673" spans="1:7">
      <c r="A673">
        <f>monster.xml!A677</f>
        <v>3030051</v>
      </c>
      <c r="B673">
        <f>monster.xml!B677</f>
        <v>2001</v>
      </c>
      <c r="C673">
        <f>monster.xml!C677</f>
        <v>31</v>
      </c>
      <c r="D673" t="str">
        <f>monster.xml!D677</f>
        <v>憾地者</v>
      </c>
      <c r="E673">
        <f>monster.xml!G677</f>
        <v>4</v>
      </c>
      <c r="F673" t="str">
        <f>monster.xml!X677</f>
        <v>monster/10123.png</v>
      </c>
      <c r="G673">
        <f>monster.xml!Y677</f>
        <v>1</v>
      </c>
    </row>
    <row r="674" spans="1:7">
      <c r="A674">
        <f>monster.xml!A678</f>
        <v>3030061</v>
      </c>
      <c r="B674">
        <f>monster.xml!B678</f>
        <v>2001</v>
      </c>
      <c r="C674">
        <f>monster.xml!C678</f>
        <v>32</v>
      </c>
      <c r="D674" t="str">
        <f>monster.xml!D678</f>
        <v>拉兹</v>
      </c>
      <c r="E674">
        <f>monster.xml!G678</f>
        <v>10</v>
      </c>
      <c r="F674" t="str">
        <f>monster.xml!X678</f>
        <v>monster/10106.png</v>
      </c>
      <c r="G674">
        <f>monster.xml!Y678</f>
        <v>1</v>
      </c>
    </row>
    <row r="675" spans="1:7">
      <c r="A675">
        <f>monster.xml!A679</f>
        <v>3030071</v>
      </c>
      <c r="B675">
        <f>monster.xml!B679</f>
        <v>2001</v>
      </c>
      <c r="C675">
        <f>monster.xml!C679</f>
        <v>32</v>
      </c>
      <c r="D675" t="str">
        <f>monster.xml!D679</f>
        <v>塔克</v>
      </c>
      <c r="E675">
        <f>monster.xml!G679</f>
        <v>3</v>
      </c>
      <c r="F675" t="str">
        <f>monster.xml!X679</f>
        <v>monster/10085.png</v>
      </c>
      <c r="G675">
        <f>monster.xml!Y679</f>
        <v>1</v>
      </c>
    </row>
    <row r="676" spans="1:7">
      <c r="A676">
        <f>monster.xml!A680</f>
        <v>3030072</v>
      </c>
      <c r="B676">
        <f>monster.xml!B680</f>
        <v>2001</v>
      </c>
      <c r="C676">
        <f>monster.xml!C680</f>
        <v>32</v>
      </c>
      <c r="D676" t="str">
        <f>monster.xml!D680</f>
        <v>迪皮斯</v>
      </c>
      <c r="E676" t="str">
        <f>monster.xml!G680</f>
        <v>17,14</v>
      </c>
      <c r="F676" t="str">
        <f>monster.xml!X680</f>
        <v>monster/10012.png</v>
      </c>
      <c r="G676">
        <f>monster.xml!Y680</f>
        <v>1</v>
      </c>
    </row>
    <row r="677" spans="1:7">
      <c r="A677">
        <f>monster.xml!A681</f>
        <v>3030081</v>
      </c>
      <c r="B677">
        <f>monster.xml!B681</f>
        <v>2001</v>
      </c>
      <c r="C677">
        <f>monster.xml!C681</f>
        <v>33</v>
      </c>
      <c r="D677" t="str">
        <f>monster.xml!D681</f>
        <v>狂野安东尼</v>
      </c>
      <c r="E677">
        <f>monster.xml!G681</f>
        <v>7</v>
      </c>
      <c r="F677" t="str">
        <f>monster.xml!X681</f>
        <v>monster/10086.png</v>
      </c>
      <c r="G677">
        <f>monster.xml!Y681</f>
        <v>1</v>
      </c>
    </row>
    <row r="678" spans="1:7">
      <c r="A678">
        <f>monster.xml!A682</f>
        <v>3030091</v>
      </c>
      <c r="B678">
        <f>monster.xml!B682</f>
        <v>2001</v>
      </c>
      <c r="C678">
        <f>monster.xml!C682</f>
        <v>34</v>
      </c>
      <c r="D678" t="str">
        <f>monster.xml!D682</f>
        <v>巡林者瑞克</v>
      </c>
      <c r="E678">
        <f>monster.xml!G682</f>
        <v>15</v>
      </c>
      <c r="F678" t="str">
        <f>monster.xml!X682</f>
        <v>monster/10094.png</v>
      </c>
      <c r="G678">
        <f>monster.xml!Y682</f>
        <v>1</v>
      </c>
    </row>
    <row r="679" spans="1:7">
      <c r="A679">
        <f>monster.xml!A683</f>
        <v>3035011</v>
      </c>
      <c r="B679">
        <f>monster.xml!B683</f>
        <v>2001</v>
      </c>
      <c r="C679">
        <f>monster.xml!C683</f>
        <v>35</v>
      </c>
      <c r="D679" t="str">
        <f>monster.xml!D683</f>
        <v>法师幻象</v>
      </c>
      <c r="E679">
        <f>monster.xml!G683</f>
        <v>21</v>
      </c>
      <c r="F679" t="str">
        <f>monster.xml!X683</f>
        <v>UI/Program/HeroMaster_Man_1.png</v>
      </c>
      <c r="G679">
        <f>monster.xml!Y683</f>
        <v>1</v>
      </c>
    </row>
    <row r="680" spans="1:7">
      <c r="A680">
        <f>monster.xml!A684</f>
        <v>3035021</v>
      </c>
      <c r="B680">
        <f>monster.xml!B684</f>
        <v>2001</v>
      </c>
      <c r="C680">
        <f>monster.xml!C684</f>
        <v>35</v>
      </c>
      <c r="D680" t="str">
        <f>monster.xml!D684</f>
        <v>法力风暴</v>
      </c>
      <c r="E680" t="str">
        <f>monster.xml!G684</f>
        <v>25,30</v>
      </c>
      <c r="F680" t="str">
        <f>monster.xml!X684</f>
        <v>monster/10061.png</v>
      </c>
      <c r="G680">
        <f>monster.xml!Y684</f>
        <v>1</v>
      </c>
    </row>
    <row r="681" spans="1:7">
      <c r="A681">
        <f>monster.xml!A685</f>
        <v>3035031</v>
      </c>
      <c r="B681">
        <f>monster.xml!B685</f>
        <v>2001</v>
      </c>
      <c r="C681">
        <f>monster.xml!C685</f>
        <v>36</v>
      </c>
      <c r="D681" t="str">
        <f>monster.xml!D685</f>
        <v>角斗士里奥</v>
      </c>
      <c r="E681">
        <f>monster.xml!G685</f>
        <v>5</v>
      </c>
      <c r="F681" t="str">
        <f>monster.xml!X685</f>
        <v>monster/10067.png</v>
      </c>
      <c r="G681">
        <f>monster.xml!Y685</f>
        <v>1</v>
      </c>
    </row>
    <row r="682" spans="1:7">
      <c r="A682">
        <f>monster.xml!A686</f>
        <v>3035041</v>
      </c>
      <c r="B682">
        <f>monster.xml!B686</f>
        <v>2001</v>
      </c>
      <c r="C682">
        <f>monster.xml!C686</f>
        <v>36</v>
      </c>
      <c r="D682" t="str">
        <f>monster.xml!D686</f>
        <v>荒野游侠</v>
      </c>
      <c r="E682">
        <f>monster.xml!G686</f>
        <v>16</v>
      </c>
      <c r="F682" t="str">
        <f>monster.xml!X686</f>
        <v>monster/10096.png</v>
      </c>
      <c r="G682">
        <f>monster.xml!Y686</f>
        <v>1</v>
      </c>
    </row>
    <row r="683" spans="1:7">
      <c r="A683">
        <f>monster.xml!A687</f>
        <v>3035051</v>
      </c>
      <c r="B683">
        <f>monster.xml!B687</f>
        <v>2001</v>
      </c>
      <c r="C683">
        <f>monster.xml!C687</f>
        <v>36</v>
      </c>
      <c r="D683" t="str">
        <f>monster.xml!D687</f>
        <v>憾地者</v>
      </c>
      <c r="E683">
        <f>monster.xml!G687</f>
        <v>4</v>
      </c>
      <c r="F683" t="str">
        <f>monster.xml!X687</f>
        <v>monster/10123.png</v>
      </c>
      <c r="G683">
        <f>monster.xml!Y687</f>
        <v>1</v>
      </c>
    </row>
    <row r="684" spans="1:7">
      <c r="A684">
        <f>monster.xml!A688</f>
        <v>3035061</v>
      </c>
      <c r="B684">
        <f>monster.xml!B688</f>
        <v>2001</v>
      </c>
      <c r="C684">
        <f>monster.xml!C688</f>
        <v>37</v>
      </c>
      <c r="D684" t="str">
        <f>monster.xml!D688</f>
        <v>拉兹</v>
      </c>
      <c r="E684">
        <f>monster.xml!G688</f>
        <v>10</v>
      </c>
      <c r="F684" t="str">
        <f>monster.xml!X688</f>
        <v>monster/10106.png</v>
      </c>
      <c r="G684">
        <f>monster.xml!Y688</f>
        <v>1</v>
      </c>
    </row>
    <row r="685" spans="1:7">
      <c r="A685">
        <f>monster.xml!A689</f>
        <v>3035071</v>
      </c>
      <c r="B685">
        <f>monster.xml!B689</f>
        <v>2001</v>
      </c>
      <c r="C685">
        <f>monster.xml!C689</f>
        <v>37</v>
      </c>
      <c r="D685" t="str">
        <f>monster.xml!D689</f>
        <v>塔克</v>
      </c>
      <c r="E685">
        <f>monster.xml!G689</f>
        <v>3</v>
      </c>
      <c r="F685" t="str">
        <f>monster.xml!X689</f>
        <v>monster/10085.png</v>
      </c>
      <c r="G685">
        <f>monster.xml!Y689</f>
        <v>1</v>
      </c>
    </row>
    <row r="686" spans="1:7">
      <c r="A686">
        <f>monster.xml!A690</f>
        <v>3035072</v>
      </c>
      <c r="B686">
        <f>monster.xml!B690</f>
        <v>2001</v>
      </c>
      <c r="C686">
        <f>monster.xml!C690</f>
        <v>37</v>
      </c>
      <c r="D686" t="str">
        <f>monster.xml!D690</f>
        <v>迪皮斯</v>
      </c>
      <c r="E686" t="str">
        <f>monster.xml!G690</f>
        <v>17,14</v>
      </c>
      <c r="F686" t="str">
        <f>monster.xml!X690</f>
        <v>monster/10012.png</v>
      </c>
      <c r="G686">
        <f>monster.xml!Y690</f>
        <v>1</v>
      </c>
    </row>
    <row r="687" spans="1:7">
      <c r="A687">
        <f>monster.xml!A691</f>
        <v>3035081</v>
      </c>
      <c r="B687">
        <f>monster.xml!B691</f>
        <v>2001</v>
      </c>
      <c r="C687">
        <f>monster.xml!C691</f>
        <v>38</v>
      </c>
      <c r="D687" t="str">
        <f>monster.xml!D691</f>
        <v>狂野安东尼</v>
      </c>
      <c r="E687">
        <f>monster.xml!G691</f>
        <v>7</v>
      </c>
      <c r="F687" t="str">
        <f>monster.xml!X691</f>
        <v>monster/10086.png</v>
      </c>
      <c r="G687">
        <f>monster.xml!Y691</f>
        <v>1</v>
      </c>
    </row>
    <row r="688" spans="1:7">
      <c r="A688">
        <f>monster.xml!A692</f>
        <v>3035091</v>
      </c>
      <c r="B688">
        <f>monster.xml!B692</f>
        <v>2001</v>
      </c>
      <c r="C688">
        <f>monster.xml!C692</f>
        <v>39</v>
      </c>
      <c r="D688" t="str">
        <f>monster.xml!D692</f>
        <v>巡林者瑞克</v>
      </c>
      <c r="E688">
        <f>monster.xml!G692</f>
        <v>15</v>
      </c>
      <c r="F688" t="str">
        <f>monster.xml!X692</f>
        <v>monster/10094.png</v>
      </c>
      <c r="G688">
        <f>monster.xml!Y692</f>
        <v>1</v>
      </c>
    </row>
    <row r="689" spans="1:7">
      <c r="A689">
        <f>monster.xml!A693</f>
        <v>3040011</v>
      </c>
      <c r="B689">
        <f>monster.xml!B693</f>
        <v>2001</v>
      </c>
      <c r="C689">
        <f>monster.xml!C693</f>
        <v>40</v>
      </c>
      <c r="D689" t="str">
        <f>monster.xml!D693</f>
        <v>法师幻象</v>
      </c>
      <c r="E689">
        <f>monster.xml!G693</f>
        <v>21</v>
      </c>
      <c r="F689" t="str">
        <f>monster.xml!X693</f>
        <v>UI/Program/HeroMaster_Man_1.png</v>
      </c>
      <c r="G689">
        <f>monster.xml!Y693</f>
        <v>1</v>
      </c>
    </row>
    <row r="690" spans="1:7">
      <c r="A690">
        <f>monster.xml!A694</f>
        <v>3040021</v>
      </c>
      <c r="B690">
        <f>monster.xml!B694</f>
        <v>2001</v>
      </c>
      <c r="C690">
        <f>monster.xml!C694</f>
        <v>40</v>
      </c>
      <c r="D690" t="str">
        <f>monster.xml!D694</f>
        <v>法力风暴</v>
      </c>
      <c r="E690" t="str">
        <f>monster.xml!G694</f>
        <v>25,30</v>
      </c>
      <c r="F690" t="str">
        <f>monster.xml!X694</f>
        <v>monster/10061.png</v>
      </c>
      <c r="G690">
        <f>monster.xml!Y694</f>
        <v>1</v>
      </c>
    </row>
    <row r="691" spans="1:7">
      <c r="A691">
        <f>monster.xml!A695</f>
        <v>3040031</v>
      </c>
      <c r="B691">
        <f>monster.xml!B695</f>
        <v>2001</v>
      </c>
      <c r="C691">
        <f>monster.xml!C695</f>
        <v>41</v>
      </c>
      <c r="D691" t="str">
        <f>monster.xml!D695</f>
        <v>角斗士里奥</v>
      </c>
      <c r="E691">
        <f>monster.xml!G695</f>
        <v>5</v>
      </c>
      <c r="F691" t="str">
        <f>monster.xml!X695</f>
        <v>monster/10067.png</v>
      </c>
      <c r="G691">
        <f>monster.xml!Y695</f>
        <v>1</v>
      </c>
    </row>
    <row r="692" spans="1:7">
      <c r="A692">
        <f>monster.xml!A696</f>
        <v>3040041</v>
      </c>
      <c r="B692">
        <f>monster.xml!B696</f>
        <v>2001</v>
      </c>
      <c r="C692">
        <f>monster.xml!C696</f>
        <v>41</v>
      </c>
      <c r="D692" t="str">
        <f>monster.xml!D696</f>
        <v>荒野游侠</v>
      </c>
      <c r="E692">
        <f>monster.xml!G696</f>
        <v>16</v>
      </c>
      <c r="F692" t="str">
        <f>monster.xml!X696</f>
        <v>monster/10096.png</v>
      </c>
      <c r="G692">
        <f>monster.xml!Y696</f>
        <v>1</v>
      </c>
    </row>
    <row r="693" spans="1:7">
      <c r="A693">
        <f>monster.xml!A697</f>
        <v>3040051</v>
      </c>
      <c r="B693">
        <f>monster.xml!B697</f>
        <v>2001</v>
      </c>
      <c r="C693">
        <f>monster.xml!C697</f>
        <v>41</v>
      </c>
      <c r="D693" t="str">
        <f>monster.xml!D697</f>
        <v>憾地者</v>
      </c>
      <c r="E693">
        <f>monster.xml!G697</f>
        <v>4</v>
      </c>
      <c r="F693" t="str">
        <f>monster.xml!X697</f>
        <v>monster/10123.png</v>
      </c>
      <c r="G693">
        <f>monster.xml!Y697</f>
        <v>1</v>
      </c>
    </row>
    <row r="694" spans="1:7">
      <c r="A694">
        <f>monster.xml!A698</f>
        <v>3040061</v>
      </c>
      <c r="B694">
        <f>monster.xml!B698</f>
        <v>2001</v>
      </c>
      <c r="C694">
        <f>monster.xml!C698</f>
        <v>42</v>
      </c>
      <c r="D694" t="str">
        <f>monster.xml!D698</f>
        <v>拉兹</v>
      </c>
      <c r="E694">
        <f>monster.xml!G698</f>
        <v>10</v>
      </c>
      <c r="F694" t="str">
        <f>monster.xml!X698</f>
        <v>monster/10106.png</v>
      </c>
      <c r="G694">
        <f>monster.xml!Y698</f>
        <v>1</v>
      </c>
    </row>
    <row r="695" spans="1:7">
      <c r="A695">
        <f>monster.xml!A699</f>
        <v>3040071</v>
      </c>
      <c r="B695">
        <f>monster.xml!B699</f>
        <v>2001</v>
      </c>
      <c r="C695">
        <f>monster.xml!C699</f>
        <v>42</v>
      </c>
      <c r="D695" t="str">
        <f>monster.xml!D699</f>
        <v>塔克</v>
      </c>
      <c r="E695">
        <f>monster.xml!G699</f>
        <v>3</v>
      </c>
      <c r="F695" t="str">
        <f>monster.xml!X699</f>
        <v>monster/10085.png</v>
      </c>
      <c r="G695">
        <f>monster.xml!Y699</f>
        <v>1</v>
      </c>
    </row>
    <row r="696" spans="1:7">
      <c r="A696">
        <f>monster.xml!A700</f>
        <v>3040072</v>
      </c>
      <c r="B696">
        <f>monster.xml!B700</f>
        <v>2001</v>
      </c>
      <c r="C696">
        <f>monster.xml!C700</f>
        <v>42</v>
      </c>
      <c r="D696" t="str">
        <f>monster.xml!D700</f>
        <v>迪皮斯</v>
      </c>
      <c r="E696" t="str">
        <f>monster.xml!G700</f>
        <v>17,14</v>
      </c>
      <c r="F696" t="str">
        <f>monster.xml!X700</f>
        <v>monster/10012.png</v>
      </c>
      <c r="G696">
        <f>monster.xml!Y700</f>
        <v>1</v>
      </c>
    </row>
    <row r="697" spans="1:7">
      <c r="A697">
        <f>monster.xml!A701</f>
        <v>3040081</v>
      </c>
      <c r="B697">
        <f>monster.xml!B701</f>
        <v>2001</v>
      </c>
      <c r="C697">
        <f>monster.xml!C701</f>
        <v>43</v>
      </c>
      <c r="D697" t="str">
        <f>monster.xml!D701</f>
        <v>狂野安东尼</v>
      </c>
      <c r="E697">
        <f>monster.xml!G701</f>
        <v>7</v>
      </c>
      <c r="F697" t="str">
        <f>monster.xml!X701</f>
        <v>monster/10086.png</v>
      </c>
      <c r="G697">
        <f>monster.xml!Y701</f>
        <v>1</v>
      </c>
    </row>
    <row r="698" spans="1:7">
      <c r="A698">
        <f>monster.xml!A702</f>
        <v>3040091</v>
      </c>
      <c r="B698">
        <f>monster.xml!B702</f>
        <v>2001</v>
      </c>
      <c r="C698">
        <f>monster.xml!C702</f>
        <v>44</v>
      </c>
      <c r="D698" t="str">
        <f>monster.xml!D702</f>
        <v>巡林者瑞克</v>
      </c>
      <c r="E698">
        <f>monster.xml!G702</f>
        <v>15</v>
      </c>
      <c r="F698" t="str">
        <f>monster.xml!X702</f>
        <v>monster/10094.png</v>
      </c>
      <c r="G698">
        <f>monster.xml!Y702</f>
        <v>1</v>
      </c>
    </row>
    <row r="699" spans="1:7">
      <c r="A699">
        <f>monster.xml!A703</f>
        <v>3045011</v>
      </c>
      <c r="B699">
        <f>monster.xml!B703</f>
        <v>2001</v>
      </c>
      <c r="C699">
        <f>monster.xml!C703</f>
        <v>45</v>
      </c>
      <c r="D699" t="str">
        <f>monster.xml!D703</f>
        <v>法师幻象</v>
      </c>
      <c r="E699">
        <f>monster.xml!G703</f>
        <v>21</v>
      </c>
      <c r="F699" t="str">
        <f>monster.xml!X703</f>
        <v>UI/Program/HeroMaster_Man_1.png</v>
      </c>
      <c r="G699">
        <f>monster.xml!Y703</f>
        <v>1</v>
      </c>
    </row>
    <row r="700" spans="1:7">
      <c r="A700">
        <f>monster.xml!A704</f>
        <v>3045021</v>
      </c>
      <c r="B700">
        <f>monster.xml!B704</f>
        <v>2001</v>
      </c>
      <c r="C700">
        <f>monster.xml!C704</f>
        <v>45</v>
      </c>
      <c r="D700" t="str">
        <f>monster.xml!D704</f>
        <v>法力风暴</v>
      </c>
      <c r="E700" t="str">
        <f>monster.xml!G704</f>
        <v>25,30</v>
      </c>
      <c r="F700" t="str">
        <f>monster.xml!X704</f>
        <v>monster/10061.png</v>
      </c>
      <c r="G700">
        <f>monster.xml!Y704</f>
        <v>1</v>
      </c>
    </row>
    <row r="701" spans="1:7">
      <c r="A701">
        <f>monster.xml!A705</f>
        <v>3045031</v>
      </c>
      <c r="B701">
        <f>monster.xml!B705</f>
        <v>2001</v>
      </c>
      <c r="C701">
        <f>monster.xml!C705</f>
        <v>46</v>
      </c>
      <c r="D701" t="str">
        <f>monster.xml!D705</f>
        <v>角斗士里奥</v>
      </c>
      <c r="E701">
        <f>monster.xml!G705</f>
        <v>5</v>
      </c>
      <c r="F701" t="str">
        <f>monster.xml!X705</f>
        <v>monster/10067.png</v>
      </c>
      <c r="G701">
        <f>monster.xml!Y705</f>
        <v>1</v>
      </c>
    </row>
    <row r="702" spans="1:7">
      <c r="A702">
        <f>monster.xml!A706</f>
        <v>3045041</v>
      </c>
      <c r="B702">
        <f>monster.xml!B706</f>
        <v>2001</v>
      </c>
      <c r="C702">
        <f>monster.xml!C706</f>
        <v>46</v>
      </c>
      <c r="D702" t="str">
        <f>monster.xml!D706</f>
        <v>荒野游侠</v>
      </c>
      <c r="E702">
        <f>monster.xml!G706</f>
        <v>16</v>
      </c>
      <c r="F702" t="str">
        <f>monster.xml!X706</f>
        <v>monster/10096.png</v>
      </c>
      <c r="G702">
        <f>monster.xml!Y706</f>
        <v>1</v>
      </c>
    </row>
    <row r="703" spans="1:7">
      <c r="A703">
        <f>monster.xml!A707</f>
        <v>3045051</v>
      </c>
      <c r="B703">
        <f>monster.xml!B707</f>
        <v>2001</v>
      </c>
      <c r="C703">
        <f>monster.xml!C707</f>
        <v>46</v>
      </c>
      <c r="D703" t="str">
        <f>monster.xml!D707</f>
        <v>憾地者</v>
      </c>
      <c r="E703">
        <f>monster.xml!G707</f>
        <v>4</v>
      </c>
      <c r="F703" t="str">
        <f>monster.xml!X707</f>
        <v>monster/10123.png</v>
      </c>
      <c r="G703">
        <f>monster.xml!Y707</f>
        <v>1</v>
      </c>
    </row>
    <row r="704" spans="1:7">
      <c r="A704">
        <f>monster.xml!A708</f>
        <v>3045061</v>
      </c>
      <c r="B704">
        <f>monster.xml!B708</f>
        <v>2001</v>
      </c>
      <c r="C704">
        <f>monster.xml!C708</f>
        <v>47</v>
      </c>
      <c r="D704" t="str">
        <f>monster.xml!D708</f>
        <v>拉兹</v>
      </c>
      <c r="E704">
        <f>monster.xml!G708</f>
        <v>10</v>
      </c>
      <c r="F704" t="str">
        <f>monster.xml!X708</f>
        <v>monster/10106.png</v>
      </c>
      <c r="G704">
        <f>monster.xml!Y708</f>
        <v>1</v>
      </c>
    </row>
    <row r="705" spans="1:7">
      <c r="A705">
        <f>monster.xml!A709</f>
        <v>3045071</v>
      </c>
      <c r="B705">
        <f>monster.xml!B709</f>
        <v>2001</v>
      </c>
      <c r="C705">
        <f>monster.xml!C709</f>
        <v>47</v>
      </c>
      <c r="D705" t="str">
        <f>monster.xml!D709</f>
        <v>塔克</v>
      </c>
      <c r="E705">
        <f>monster.xml!G709</f>
        <v>3</v>
      </c>
      <c r="F705" t="str">
        <f>monster.xml!X709</f>
        <v>monster/10085.png</v>
      </c>
      <c r="G705">
        <f>monster.xml!Y709</f>
        <v>1</v>
      </c>
    </row>
    <row r="706" spans="1:7">
      <c r="A706">
        <f>monster.xml!A710</f>
        <v>3045072</v>
      </c>
      <c r="B706">
        <f>monster.xml!B710</f>
        <v>2001</v>
      </c>
      <c r="C706">
        <f>monster.xml!C710</f>
        <v>47</v>
      </c>
      <c r="D706" t="str">
        <f>monster.xml!D710</f>
        <v>迪皮斯</v>
      </c>
      <c r="E706" t="str">
        <f>monster.xml!G710</f>
        <v>17,14</v>
      </c>
      <c r="F706" t="str">
        <f>monster.xml!X710</f>
        <v>monster/10012.png</v>
      </c>
      <c r="G706">
        <f>monster.xml!Y710</f>
        <v>1</v>
      </c>
    </row>
    <row r="707" spans="1:7">
      <c r="A707">
        <f>monster.xml!A711</f>
        <v>3045081</v>
      </c>
      <c r="B707">
        <f>monster.xml!B711</f>
        <v>2001</v>
      </c>
      <c r="C707">
        <f>monster.xml!C711</f>
        <v>48</v>
      </c>
      <c r="D707" t="str">
        <f>monster.xml!D711</f>
        <v>狂野安东尼</v>
      </c>
      <c r="E707">
        <f>monster.xml!G711</f>
        <v>7</v>
      </c>
      <c r="F707" t="str">
        <f>monster.xml!X711</f>
        <v>monster/10086.png</v>
      </c>
      <c r="G707">
        <f>monster.xml!Y711</f>
        <v>1</v>
      </c>
    </row>
    <row r="708" spans="1:7">
      <c r="A708">
        <f>monster.xml!A712</f>
        <v>3045091</v>
      </c>
      <c r="B708">
        <f>monster.xml!B712</f>
        <v>2001</v>
      </c>
      <c r="C708">
        <f>monster.xml!C712</f>
        <v>49</v>
      </c>
      <c r="D708" t="str">
        <f>monster.xml!D712</f>
        <v>巡林者瑞克</v>
      </c>
      <c r="E708">
        <f>monster.xml!G712</f>
        <v>15</v>
      </c>
      <c r="F708" t="str">
        <f>monster.xml!X712</f>
        <v>monster/10094.png</v>
      </c>
      <c r="G708">
        <f>monster.xml!Y712</f>
        <v>1</v>
      </c>
    </row>
    <row r="709" spans="1:7">
      <c r="A709">
        <f>monster.xml!A713</f>
        <v>3050011</v>
      </c>
      <c r="B709">
        <f>monster.xml!B713</f>
        <v>2001</v>
      </c>
      <c r="C709">
        <f>monster.xml!C713</f>
        <v>50</v>
      </c>
      <c r="D709" t="str">
        <f>monster.xml!D713</f>
        <v>法师幻象</v>
      </c>
      <c r="E709">
        <f>monster.xml!G713</f>
        <v>21</v>
      </c>
      <c r="F709" t="str">
        <f>monster.xml!X713</f>
        <v>UI/Program/HeroMaster_Man_1.png</v>
      </c>
      <c r="G709">
        <f>monster.xml!Y713</f>
        <v>1</v>
      </c>
    </row>
    <row r="710" spans="1:7">
      <c r="A710">
        <f>monster.xml!A714</f>
        <v>3050021</v>
      </c>
      <c r="B710">
        <f>monster.xml!B714</f>
        <v>2001</v>
      </c>
      <c r="C710">
        <f>monster.xml!C714</f>
        <v>50</v>
      </c>
      <c r="D710" t="str">
        <f>monster.xml!D714</f>
        <v>法力风暴</v>
      </c>
      <c r="E710" t="str">
        <f>monster.xml!G714</f>
        <v>25,30</v>
      </c>
      <c r="F710" t="str">
        <f>monster.xml!X714</f>
        <v>monster/10061.png</v>
      </c>
      <c r="G710">
        <f>monster.xml!Y714</f>
        <v>1</v>
      </c>
    </row>
    <row r="711" spans="1:7">
      <c r="A711">
        <f>monster.xml!A715</f>
        <v>3050031</v>
      </c>
      <c r="B711">
        <f>monster.xml!B715</f>
        <v>2001</v>
      </c>
      <c r="C711">
        <f>monster.xml!C715</f>
        <v>51</v>
      </c>
      <c r="D711" t="str">
        <f>monster.xml!D715</f>
        <v>角斗士里奥</v>
      </c>
      <c r="E711">
        <f>monster.xml!G715</f>
        <v>5</v>
      </c>
      <c r="F711" t="str">
        <f>monster.xml!X715</f>
        <v>monster/10067.png</v>
      </c>
      <c r="G711">
        <f>monster.xml!Y715</f>
        <v>1</v>
      </c>
    </row>
    <row r="712" spans="1:7">
      <c r="A712">
        <f>monster.xml!A716</f>
        <v>3050041</v>
      </c>
      <c r="B712">
        <f>monster.xml!B716</f>
        <v>2001</v>
      </c>
      <c r="C712">
        <f>monster.xml!C716</f>
        <v>51</v>
      </c>
      <c r="D712" t="str">
        <f>monster.xml!D716</f>
        <v>荒野游侠</v>
      </c>
      <c r="E712">
        <f>monster.xml!G716</f>
        <v>16</v>
      </c>
      <c r="F712" t="str">
        <f>monster.xml!X716</f>
        <v>monster/10096.png</v>
      </c>
      <c r="G712">
        <f>monster.xml!Y716</f>
        <v>1</v>
      </c>
    </row>
    <row r="713" spans="1:7">
      <c r="A713">
        <f>monster.xml!A717</f>
        <v>3050051</v>
      </c>
      <c r="B713">
        <f>monster.xml!B717</f>
        <v>2001</v>
      </c>
      <c r="C713">
        <f>monster.xml!C717</f>
        <v>51</v>
      </c>
      <c r="D713" t="str">
        <f>monster.xml!D717</f>
        <v>憾地者</v>
      </c>
      <c r="E713">
        <f>monster.xml!G717</f>
        <v>4</v>
      </c>
      <c r="F713" t="str">
        <f>monster.xml!X717</f>
        <v>monster/10123.png</v>
      </c>
      <c r="G713">
        <f>monster.xml!Y717</f>
        <v>1</v>
      </c>
    </row>
    <row r="714" spans="1:7">
      <c r="A714">
        <f>monster.xml!A718</f>
        <v>3050061</v>
      </c>
      <c r="B714">
        <f>monster.xml!B718</f>
        <v>2001</v>
      </c>
      <c r="C714">
        <f>monster.xml!C718</f>
        <v>52</v>
      </c>
      <c r="D714" t="str">
        <f>monster.xml!D718</f>
        <v>拉兹</v>
      </c>
      <c r="E714">
        <f>monster.xml!G718</f>
        <v>10</v>
      </c>
      <c r="F714" t="str">
        <f>monster.xml!X718</f>
        <v>monster/10106.png</v>
      </c>
      <c r="G714">
        <f>monster.xml!Y718</f>
        <v>1</v>
      </c>
    </row>
    <row r="715" spans="1:7">
      <c r="A715">
        <f>monster.xml!A719</f>
        <v>3050071</v>
      </c>
      <c r="B715">
        <f>monster.xml!B719</f>
        <v>2001</v>
      </c>
      <c r="C715">
        <f>monster.xml!C719</f>
        <v>52</v>
      </c>
      <c r="D715" t="str">
        <f>monster.xml!D719</f>
        <v>塔克</v>
      </c>
      <c r="E715">
        <f>monster.xml!G719</f>
        <v>3</v>
      </c>
      <c r="F715" t="str">
        <f>monster.xml!X719</f>
        <v>monster/10085.png</v>
      </c>
      <c r="G715">
        <f>monster.xml!Y719</f>
        <v>1</v>
      </c>
    </row>
    <row r="716" spans="1:7">
      <c r="A716">
        <f>monster.xml!A720</f>
        <v>3050072</v>
      </c>
      <c r="B716">
        <f>monster.xml!B720</f>
        <v>2001</v>
      </c>
      <c r="C716">
        <f>monster.xml!C720</f>
        <v>52</v>
      </c>
      <c r="D716" t="str">
        <f>monster.xml!D720</f>
        <v>迪皮斯</v>
      </c>
      <c r="E716" t="str">
        <f>monster.xml!G720</f>
        <v>17,14</v>
      </c>
      <c r="F716" t="str">
        <f>monster.xml!X720</f>
        <v>monster/10012.png</v>
      </c>
      <c r="G716">
        <f>monster.xml!Y720</f>
        <v>1</v>
      </c>
    </row>
    <row r="717" spans="1:7">
      <c r="A717">
        <f>monster.xml!A721</f>
        <v>3050081</v>
      </c>
      <c r="B717">
        <f>monster.xml!B721</f>
        <v>2001</v>
      </c>
      <c r="C717">
        <f>monster.xml!C721</f>
        <v>53</v>
      </c>
      <c r="D717" t="str">
        <f>monster.xml!D721</f>
        <v>狂野安东尼</v>
      </c>
      <c r="E717">
        <f>monster.xml!G721</f>
        <v>7</v>
      </c>
      <c r="F717" t="str">
        <f>monster.xml!X721</f>
        <v>monster/10086.png</v>
      </c>
      <c r="G717">
        <f>monster.xml!Y721</f>
        <v>1</v>
      </c>
    </row>
    <row r="718" spans="1:7">
      <c r="A718">
        <f>monster.xml!A722</f>
        <v>3050091</v>
      </c>
      <c r="B718">
        <f>monster.xml!B722</f>
        <v>2001</v>
      </c>
      <c r="C718">
        <f>monster.xml!C722</f>
        <v>54</v>
      </c>
      <c r="D718" t="str">
        <f>monster.xml!D722</f>
        <v>巡林者瑞克</v>
      </c>
      <c r="E718">
        <f>monster.xml!G722</f>
        <v>15</v>
      </c>
      <c r="F718" t="str">
        <f>monster.xml!X722</f>
        <v>monster/10094.png</v>
      </c>
      <c r="G718">
        <f>monster.xml!Y722</f>
        <v>1</v>
      </c>
    </row>
    <row r="719" spans="1:7">
      <c r="A719">
        <f>monster.xml!A723</f>
        <v>3055011</v>
      </c>
      <c r="B719">
        <f>monster.xml!B723</f>
        <v>2001</v>
      </c>
      <c r="C719">
        <f>monster.xml!C723</f>
        <v>55</v>
      </c>
      <c r="D719" t="str">
        <f>monster.xml!D723</f>
        <v>法师幻象</v>
      </c>
      <c r="E719">
        <f>monster.xml!G723</f>
        <v>21</v>
      </c>
      <c r="F719" t="str">
        <f>monster.xml!X723</f>
        <v>UI/Program/HeroMaster_Man_1.png</v>
      </c>
      <c r="G719">
        <f>monster.xml!Y723</f>
        <v>1</v>
      </c>
    </row>
    <row r="720" spans="1:7">
      <c r="A720">
        <f>monster.xml!A724</f>
        <v>3055021</v>
      </c>
      <c r="B720">
        <f>monster.xml!B724</f>
        <v>2001</v>
      </c>
      <c r="C720">
        <f>monster.xml!C724</f>
        <v>55</v>
      </c>
      <c r="D720" t="str">
        <f>monster.xml!D724</f>
        <v>法力风暴</v>
      </c>
      <c r="E720" t="str">
        <f>monster.xml!G724</f>
        <v>25,30</v>
      </c>
      <c r="F720" t="str">
        <f>monster.xml!X724</f>
        <v>monster/10061.png</v>
      </c>
      <c r="G720">
        <f>monster.xml!Y724</f>
        <v>1</v>
      </c>
    </row>
    <row r="721" spans="1:7">
      <c r="A721">
        <f>monster.xml!A725</f>
        <v>3055031</v>
      </c>
      <c r="B721">
        <f>monster.xml!B725</f>
        <v>2001</v>
      </c>
      <c r="C721">
        <f>monster.xml!C725</f>
        <v>56</v>
      </c>
      <c r="D721" t="str">
        <f>monster.xml!D725</f>
        <v>角斗士里奥</v>
      </c>
      <c r="E721">
        <f>monster.xml!G725</f>
        <v>5</v>
      </c>
      <c r="F721" t="str">
        <f>monster.xml!X725</f>
        <v>monster/10067.png</v>
      </c>
      <c r="G721">
        <f>monster.xml!Y725</f>
        <v>1</v>
      </c>
    </row>
    <row r="722" spans="1:7">
      <c r="A722">
        <f>monster.xml!A726</f>
        <v>3055041</v>
      </c>
      <c r="B722">
        <f>monster.xml!B726</f>
        <v>2001</v>
      </c>
      <c r="C722">
        <f>monster.xml!C726</f>
        <v>56</v>
      </c>
      <c r="D722" t="str">
        <f>monster.xml!D726</f>
        <v>荒野游侠</v>
      </c>
      <c r="E722">
        <f>monster.xml!G726</f>
        <v>16</v>
      </c>
      <c r="F722" t="str">
        <f>monster.xml!X726</f>
        <v>monster/10096.png</v>
      </c>
      <c r="G722">
        <f>monster.xml!Y726</f>
        <v>1</v>
      </c>
    </row>
    <row r="723" spans="1:7">
      <c r="A723">
        <f>monster.xml!A727</f>
        <v>3055051</v>
      </c>
      <c r="B723">
        <f>monster.xml!B727</f>
        <v>2001</v>
      </c>
      <c r="C723">
        <f>monster.xml!C727</f>
        <v>56</v>
      </c>
      <c r="D723" t="str">
        <f>monster.xml!D727</f>
        <v>憾地者</v>
      </c>
      <c r="E723">
        <f>monster.xml!G727</f>
        <v>4</v>
      </c>
      <c r="F723" t="str">
        <f>monster.xml!X727</f>
        <v>monster/10123.png</v>
      </c>
      <c r="G723">
        <f>monster.xml!Y727</f>
        <v>1</v>
      </c>
    </row>
    <row r="724" spans="1:7">
      <c r="A724">
        <f>monster.xml!A728</f>
        <v>3055061</v>
      </c>
      <c r="B724">
        <f>monster.xml!B728</f>
        <v>2001</v>
      </c>
      <c r="C724">
        <f>monster.xml!C728</f>
        <v>57</v>
      </c>
      <c r="D724" t="str">
        <f>monster.xml!D728</f>
        <v>拉兹</v>
      </c>
      <c r="E724">
        <f>monster.xml!G728</f>
        <v>10</v>
      </c>
      <c r="F724" t="str">
        <f>monster.xml!X728</f>
        <v>monster/10106.png</v>
      </c>
      <c r="G724">
        <f>monster.xml!Y728</f>
        <v>1</v>
      </c>
    </row>
    <row r="725" spans="1:7">
      <c r="A725">
        <f>monster.xml!A729</f>
        <v>3055071</v>
      </c>
      <c r="B725">
        <f>monster.xml!B729</f>
        <v>2001</v>
      </c>
      <c r="C725">
        <f>monster.xml!C729</f>
        <v>57</v>
      </c>
      <c r="D725" t="str">
        <f>monster.xml!D729</f>
        <v>塔克</v>
      </c>
      <c r="E725">
        <f>monster.xml!G729</f>
        <v>3</v>
      </c>
      <c r="F725" t="str">
        <f>monster.xml!X729</f>
        <v>monster/10085.png</v>
      </c>
      <c r="G725">
        <f>monster.xml!Y729</f>
        <v>1</v>
      </c>
    </row>
    <row r="726" spans="1:7">
      <c r="A726">
        <f>monster.xml!A730</f>
        <v>3055072</v>
      </c>
      <c r="B726">
        <f>monster.xml!B730</f>
        <v>2001</v>
      </c>
      <c r="C726">
        <f>monster.xml!C730</f>
        <v>57</v>
      </c>
      <c r="D726" t="str">
        <f>monster.xml!D730</f>
        <v>迪皮斯</v>
      </c>
      <c r="E726" t="str">
        <f>monster.xml!G730</f>
        <v>17,14</v>
      </c>
      <c r="F726" t="str">
        <f>monster.xml!X730</f>
        <v>monster/10012.png</v>
      </c>
      <c r="G726">
        <f>monster.xml!Y730</f>
        <v>1</v>
      </c>
    </row>
    <row r="727" spans="1:7">
      <c r="A727">
        <f>monster.xml!A731</f>
        <v>3055081</v>
      </c>
      <c r="B727">
        <f>monster.xml!B731</f>
        <v>2001</v>
      </c>
      <c r="C727">
        <f>monster.xml!C731</f>
        <v>58</v>
      </c>
      <c r="D727" t="str">
        <f>monster.xml!D731</f>
        <v>狂野安东尼</v>
      </c>
      <c r="E727">
        <f>monster.xml!G731</f>
        <v>7</v>
      </c>
      <c r="F727" t="str">
        <f>monster.xml!X731</f>
        <v>monster/10086.png</v>
      </c>
      <c r="G727">
        <f>monster.xml!Y731</f>
        <v>1</v>
      </c>
    </row>
    <row r="728" spans="1:7">
      <c r="A728">
        <f>monster.xml!A732</f>
        <v>3055091</v>
      </c>
      <c r="B728">
        <f>monster.xml!B732</f>
        <v>2001</v>
      </c>
      <c r="C728">
        <f>monster.xml!C732</f>
        <v>59</v>
      </c>
      <c r="D728" t="str">
        <f>monster.xml!D732</f>
        <v>巡林者瑞克</v>
      </c>
      <c r="E728">
        <f>monster.xml!G732</f>
        <v>15</v>
      </c>
      <c r="F728" t="str">
        <f>monster.xml!X732</f>
        <v>monster/10094.png</v>
      </c>
      <c r="G728">
        <f>monster.xml!Y732</f>
        <v>1</v>
      </c>
    </row>
    <row r="729" spans="1:7">
      <c r="A729">
        <f>monster.xml!A733</f>
        <v>3060011</v>
      </c>
      <c r="B729">
        <f>monster.xml!B733</f>
        <v>2001</v>
      </c>
      <c r="C729">
        <f>monster.xml!C733</f>
        <v>60</v>
      </c>
      <c r="D729" t="str">
        <f>monster.xml!D733</f>
        <v>坚定的格雷格</v>
      </c>
      <c r="E729">
        <f>monster.xml!G733</f>
        <v>3</v>
      </c>
      <c r="F729" t="str">
        <f>monster.xml!X733</f>
        <v>monster/10119.png</v>
      </c>
      <c r="G729">
        <f>monster.xml!Y733</f>
        <v>1</v>
      </c>
    </row>
    <row r="730" spans="1:7">
      <c r="A730">
        <f>monster.xml!A734</f>
        <v>3060021</v>
      </c>
      <c r="B730">
        <f>monster.xml!B734</f>
        <v>2001</v>
      </c>
      <c r="C730">
        <f>monster.xml!C734</f>
        <v>60</v>
      </c>
      <c r="D730" t="str">
        <f>monster.xml!D734</f>
        <v>赛琳娜的倒影</v>
      </c>
      <c r="E730" t="str">
        <f>monster.xml!G734</f>
        <v>26,24</v>
      </c>
      <c r="F730" t="str">
        <f>monster.xml!X734</f>
        <v>UI/Program/MercenaryMaster_1.png</v>
      </c>
      <c r="G730">
        <f>monster.xml!Y734</f>
        <v>1</v>
      </c>
    </row>
    <row r="731" spans="1:7">
      <c r="A731">
        <f>monster.xml!A735</f>
        <v>3060031</v>
      </c>
      <c r="B731">
        <f>monster.xml!B735</f>
        <v>2001</v>
      </c>
      <c r="C731">
        <f>monster.xml!C735</f>
        <v>61</v>
      </c>
      <c r="D731" t="str">
        <f>monster.xml!D735</f>
        <v>幻术师艾莉</v>
      </c>
      <c r="E731">
        <f>monster.xml!G735</f>
        <v>20</v>
      </c>
      <c r="F731" t="str">
        <f>monster.xml!X735</f>
        <v>monster/10086.png</v>
      </c>
      <c r="G731">
        <f>monster.xml!Y735</f>
        <v>1</v>
      </c>
    </row>
    <row r="732" spans="1:7">
      <c r="A732">
        <f>monster.xml!A736</f>
        <v>3060041</v>
      </c>
      <c r="B732">
        <f>monster.xml!B736</f>
        <v>2001</v>
      </c>
      <c r="C732">
        <f>monster.xml!C736</f>
        <v>61</v>
      </c>
      <c r="D732" t="str">
        <f>monster.xml!D736</f>
        <v>驯兽师瓦纳</v>
      </c>
      <c r="E732">
        <f>monster.xml!G736</f>
        <v>2</v>
      </c>
      <c r="F732" t="str">
        <f>monster.xml!X736</f>
        <v>monster/10094.png</v>
      </c>
      <c r="G732">
        <f>monster.xml!Y736</f>
        <v>1</v>
      </c>
    </row>
    <row r="733" spans="1:7">
      <c r="A733">
        <f>monster.xml!A737</f>
        <v>3060042</v>
      </c>
      <c r="B733">
        <f>monster.xml!B737</f>
        <v>2001</v>
      </c>
      <c r="C733">
        <f>monster.xml!C737</f>
        <v>61</v>
      </c>
      <c r="D733" t="str">
        <f>monster.xml!D737</f>
        <v>多兰</v>
      </c>
      <c r="E733">
        <f>monster.xml!G737</f>
        <v>9</v>
      </c>
      <c r="F733" t="str">
        <f>monster.xml!X737</f>
        <v>monster/10061.png</v>
      </c>
      <c r="G733">
        <f>monster.xml!Y737</f>
        <v>1</v>
      </c>
    </row>
    <row r="734" spans="1:7">
      <c r="A734">
        <f>monster.xml!A738</f>
        <v>3060043</v>
      </c>
      <c r="B734">
        <f>monster.xml!B738</f>
        <v>2001</v>
      </c>
      <c r="C734">
        <f>monster.xml!C738</f>
        <v>61</v>
      </c>
      <c r="D734" t="str">
        <f>monster.xml!D738</f>
        <v>约翰</v>
      </c>
      <c r="E734">
        <f>monster.xml!G738</f>
        <v>10</v>
      </c>
      <c r="F734" t="str">
        <f>monster.xml!X738</f>
        <v>monster/10067.png</v>
      </c>
      <c r="G734">
        <f>monster.xml!Y738</f>
        <v>1</v>
      </c>
    </row>
    <row r="735" spans="1:7">
      <c r="A735">
        <f>monster.xml!A739</f>
        <v>3060051</v>
      </c>
      <c r="B735">
        <f>monster.xml!B739</f>
        <v>2001</v>
      </c>
      <c r="C735">
        <f>monster.xml!C739</f>
        <v>61</v>
      </c>
      <c r="D735" t="str">
        <f>monster.xml!D739</f>
        <v>炎之安苏</v>
      </c>
      <c r="E735">
        <f>monster.xml!G739</f>
        <v>21</v>
      </c>
      <c r="F735" t="str">
        <f>monster.xml!X739</f>
        <v>monster/10096.png</v>
      </c>
      <c r="G735">
        <f>monster.xml!Y739</f>
        <v>1</v>
      </c>
    </row>
    <row r="736" spans="1:7">
      <c r="A736">
        <f>monster.xml!A740</f>
        <v>3060061</v>
      </c>
      <c r="B736">
        <f>monster.xml!B740</f>
        <v>2001</v>
      </c>
      <c r="C736">
        <f>monster.xml!C740</f>
        <v>62</v>
      </c>
      <c r="D736" t="str">
        <f>monster.xml!D740</f>
        <v>迅捷的维恩</v>
      </c>
      <c r="E736">
        <f>monster.xml!G740</f>
        <v>14</v>
      </c>
      <c r="F736" t="str">
        <f>monster.xml!X740</f>
        <v>monster/10073.png</v>
      </c>
      <c r="G736">
        <f>monster.xml!Y740</f>
        <v>1</v>
      </c>
    </row>
    <row r="737" spans="1:7">
      <c r="A737">
        <f>monster.xml!A741</f>
        <v>3060071</v>
      </c>
      <c r="B737">
        <f>monster.xml!B741</f>
        <v>2001</v>
      </c>
      <c r="C737">
        <f>monster.xml!C741</f>
        <v>62</v>
      </c>
      <c r="D737" t="str">
        <f>monster.xml!D741</f>
        <v>暮光预言者</v>
      </c>
      <c r="E737">
        <f>monster.xml!G741</f>
        <v>13</v>
      </c>
      <c r="F737" t="str">
        <f>monster.xml!X741</f>
        <v>monster/10080.png</v>
      </c>
      <c r="G737">
        <f>monster.xml!Y741</f>
        <v>1</v>
      </c>
    </row>
    <row r="738" spans="1:7">
      <c r="A738">
        <f>monster.xml!A742</f>
        <v>3060081</v>
      </c>
      <c r="B738">
        <f>monster.xml!B742</f>
        <v>2001</v>
      </c>
      <c r="C738">
        <f>monster.xml!C742</f>
        <v>63</v>
      </c>
      <c r="D738" t="str">
        <f>monster.xml!D742</f>
        <v>卡雷</v>
      </c>
      <c r="E738">
        <f>monster.xml!G742</f>
        <v>25</v>
      </c>
      <c r="F738" t="str">
        <f>monster.xml!X742</f>
        <v>monster/10056.png</v>
      </c>
      <c r="G738">
        <f>monster.xml!Y742</f>
        <v>1</v>
      </c>
    </row>
    <row r="739" spans="1:7">
      <c r="A739">
        <f>monster.xml!A743</f>
        <v>3060091</v>
      </c>
      <c r="B739">
        <f>monster.xml!B743</f>
        <v>2001</v>
      </c>
      <c r="C739">
        <f>monster.xml!C743</f>
        <v>64</v>
      </c>
      <c r="D739" t="str">
        <f>monster.xml!D743</f>
        <v>日光弗雷尔</v>
      </c>
      <c r="E739">
        <f>monster.xml!G743</f>
        <v>28</v>
      </c>
      <c r="F739" t="str">
        <f>monster.xml!X743</f>
        <v>monster/10010.png</v>
      </c>
      <c r="G739">
        <f>monster.xml!Y743</f>
        <v>1</v>
      </c>
    </row>
    <row r="740" spans="1:7">
      <c r="A740">
        <f>monster.xml!A744</f>
        <v>3065011</v>
      </c>
      <c r="B740">
        <f>monster.xml!B744</f>
        <v>2001</v>
      </c>
      <c r="C740">
        <f>monster.xml!C744</f>
        <v>65</v>
      </c>
      <c r="D740" t="str">
        <f>monster.xml!D744</f>
        <v>坚定的格雷格</v>
      </c>
      <c r="E740">
        <f>monster.xml!G744</f>
        <v>3</v>
      </c>
      <c r="F740" t="str">
        <f>monster.xml!X744</f>
        <v>monster/10119.png</v>
      </c>
      <c r="G740">
        <f>monster.xml!Y744</f>
        <v>1</v>
      </c>
    </row>
    <row r="741" spans="1:7">
      <c r="A741">
        <f>monster.xml!A745</f>
        <v>3065021</v>
      </c>
      <c r="B741">
        <f>monster.xml!B745</f>
        <v>2001</v>
      </c>
      <c r="C741">
        <f>monster.xml!C745</f>
        <v>65</v>
      </c>
      <c r="D741" t="str">
        <f>monster.xml!D745</f>
        <v>赛琳娜的倒影</v>
      </c>
      <c r="E741" t="str">
        <f>monster.xml!G745</f>
        <v>26,24</v>
      </c>
      <c r="F741" t="str">
        <f>monster.xml!X745</f>
        <v>UI/Program/MercenaryMaster_1.png</v>
      </c>
      <c r="G741">
        <f>monster.xml!Y745</f>
        <v>1</v>
      </c>
    </row>
    <row r="742" spans="1:7">
      <c r="A742">
        <f>monster.xml!A746</f>
        <v>3065031</v>
      </c>
      <c r="B742">
        <f>monster.xml!B746</f>
        <v>2001</v>
      </c>
      <c r="C742">
        <f>monster.xml!C746</f>
        <v>66</v>
      </c>
      <c r="D742" t="str">
        <f>monster.xml!D746</f>
        <v>幻术师艾莉</v>
      </c>
      <c r="E742">
        <f>monster.xml!G746</f>
        <v>20</v>
      </c>
      <c r="F742" t="str">
        <f>monster.xml!X746</f>
        <v>monster/10111.png</v>
      </c>
      <c r="G742">
        <f>monster.xml!Y746</f>
        <v>1</v>
      </c>
    </row>
    <row r="743" spans="1:7">
      <c r="A743">
        <f>monster.xml!A747</f>
        <v>3065041</v>
      </c>
      <c r="B743">
        <f>monster.xml!B747</f>
        <v>2001</v>
      </c>
      <c r="C743">
        <f>monster.xml!C747</f>
        <v>66</v>
      </c>
      <c r="D743" t="str">
        <f>monster.xml!D747</f>
        <v>驯兽师瓦纳</v>
      </c>
      <c r="E743">
        <f>monster.xml!G747</f>
        <v>2</v>
      </c>
      <c r="F743" t="str">
        <f>monster.xml!X747</f>
        <v>monster/10094.png</v>
      </c>
      <c r="G743">
        <f>monster.xml!Y747</f>
        <v>1</v>
      </c>
    </row>
    <row r="744" spans="1:7">
      <c r="A744">
        <f>monster.xml!A748</f>
        <v>3065042</v>
      </c>
      <c r="B744">
        <f>monster.xml!B748</f>
        <v>2001</v>
      </c>
      <c r="C744">
        <f>monster.xml!C748</f>
        <v>66</v>
      </c>
      <c r="D744" t="str">
        <f>monster.xml!D748</f>
        <v>多兰</v>
      </c>
      <c r="E744">
        <f>monster.xml!G748</f>
        <v>9</v>
      </c>
      <c r="F744" t="str">
        <f>monster.xml!X748</f>
        <v>monster/10061.png</v>
      </c>
      <c r="G744">
        <f>monster.xml!Y748</f>
        <v>1</v>
      </c>
    </row>
    <row r="745" spans="1:7">
      <c r="A745">
        <f>monster.xml!A749</f>
        <v>3065043</v>
      </c>
      <c r="B745">
        <f>monster.xml!B749</f>
        <v>2001</v>
      </c>
      <c r="C745">
        <f>monster.xml!C749</f>
        <v>66</v>
      </c>
      <c r="D745" t="str">
        <f>monster.xml!D749</f>
        <v>约翰</v>
      </c>
      <c r="E745">
        <f>monster.xml!G749</f>
        <v>10</v>
      </c>
      <c r="F745" t="str">
        <f>monster.xml!X749</f>
        <v>monster/10067.png</v>
      </c>
      <c r="G745">
        <f>monster.xml!Y749</f>
        <v>1</v>
      </c>
    </row>
    <row r="746" spans="1:7">
      <c r="A746">
        <f>monster.xml!A750</f>
        <v>3065051</v>
      </c>
      <c r="B746">
        <f>monster.xml!B750</f>
        <v>2001</v>
      </c>
      <c r="C746">
        <f>monster.xml!C750</f>
        <v>66</v>
      </c>
      <c r="D746" t="str">
        <f>monster.xml!D750</f>
        <v>炎之安苏</v>
      </c>
      <c r="E746">
        <f>monster.xml!G750</f>
        <v>21</v>
      </c>
      <c r="F746" t="str">
        <f>monster.xml!X750</f>
        <v>monster/10096.png</v>
      </c>
      <c r="G746">
        <f>monster.xml!Y750</f>
        <v>1</v>
      </c>
    </row>
    <row r="747" spans="1:7">
      <c r="A747">
        <f>monster.xml!A751</f>
        <v>3065061</v>
      </c>
      <c r="B747">
        <f>monster.xml!B751</f>
        <v>2001</v>
      </c>
      <c r="C747">
        <f>monster.xml!C751</f>
        <v>67</v>
      </c>
      <c r="D747" t="str">
        <f>monster.xml!D751</f>
        <v>迅捷的维恩</v>
      </c>
      <c r="E747">
        <f>monster.xml!G751</f>
        <v>14</v>
      </c>
      <c r="F747" t="str">
        <f>monster.xml!X751</f>
        <v>monster/10073.png</v>
      </c>
      <c r="G747">
        <f>monster.xml!Y751</f>
        <v>1</v>
      </c>
    </row>
    <row r="748" spans="1:7">
      <c r="A748">
        <f>monster.xml!A752</f>
        <v>3065071</v>
      </c>
      <c r="B748">
        <f>monster.xml!B752</f>
        <v>2001</v>
      </c>
      <c r="C748">
        <f>monster.xml!C752</f>
        <v>67</v>
      </c>
      <c r="D748" t="str">
        <f>monster.xml!D752</f>
        <v>暮光预言者</v>
      </c>
      <c r="E748">
        <f>monster.xml!G752</f>
        <v>13</v>
      </c>
      <c r="F748" t="str">
        <f>monster.xml!X752</f>
        <v>monster/10080.png</v>
      </c>
      <c r="G748">
        <f>monster.xml!Y752</f>
        <v>1</v>
      </c>
    </row>
    <row r="749" spans="1:7">
      <c r="A749">
        <f>monster.xml!A753</f>
        <v>3065081</v>
      </c>
      <c r="B749">
        <f>monster.xml!B753</f>
        <v>2001</v>
      </c>
      <c r="C749">
        <f>monster.xml!C753</f>
        <v>68</v>
      </c>
      <c r="D749" t="str">
        <f>monster.xml!D753</f>
        <v>卡雷</v>
      </c>
      <c r="E749">
        <f>monster.xml!G753</f>
        <v>25</v>
      </c>
      <c r="F749" t="str">
        <f>monster.xml!X753</f>
        <v>monster/10056.png</v>
      </c>
      <c r="G749">
        <f>monster.xml!Y753</f>
        <v>1</v>
      </c>
    </row>
    <row r="750" spans="1:7">
      <c r="A750">
        <f>monster.xml!A754</f>
        <v>3065091</v>
      </c>
      <c r="B750">
        <f>monster.xml!B754</f>
        <v>2001</v>
      </c>
      <c r="C750">
        <f>monster.xml!C754</f>
        <v>69</v>
      </c>
      <c r="D750" t="str">
        <f>monster.xml!D754</f>
        <v>日光弗雷尔</v>
      </c>
      <c r="E750">
        <f>monster.xml!G754</f>
        <v>28</v>
      </c>
      <c r="F750" t="str">
        <f>monster.xml!X754</f>
        <v>monster/10010.png</v>
      </c>
      <c r="G750">
        <f>monster.xml!Y754</f>
        <v>1</v>
      </c>
    </row>
    <row r="751" spans="1:7">
      <c r="A751">
        <f>monster.xml!A755</f>
        <v>3070011</v>
      </c>
      <c r="B751">
        <f>monster.xml!B755</f>
        <v>2001</v>
      </c>
      <c r="C751">
        <f>monster.xml!C755</f>
        <v>70</v>
      </c>
      <c r="D751" t="str">
        <f>monster.xml!D755</f>
        <v>坚定的格雷格</v>
      </c>
      <c r="E751">
        <f>monster.xml!G755</f>
        <v>3</v>
      </c>
      <c r="F751" t="str">
        <f>monster.xml!X755</f>
        <v>monster/10119.png</v>
      </c>
      <c r="G751">
        <f>monster.xml!Y755</f>
        <v>1</v>
      </c>
    </row>
    <row r="752" spans="1:7">
      <c r="A752">
        <f>monster.xml!A756</f>
        <v>3070021</v>
      </c>
      <c r="B752">
        <f>monster.xml!B756</f>
        <v>2001</v>
      </c>
      <c r="C752">
        <f>monster.xml!C756</f>
        <v>70</v>
      </c>
      <c r="D752" t="str">
        <f>monster.xml!D756</f>
        <v>赛琳娜的倒影</v>
      </c>
      <c r="E752" t="str">
        <f>monster.xml!G756</f>
        <v>26,24</v>
      </c>
      <c r="F752" t="str">
        <f>monster.xml!X756</f>
        <v>UI/Program/MercenaryMaster_1.png</v>
      </c>
      <c r="G752">
        <f>monster.xml!Y756</f>
        <v>1</v>
      </c>
    </row>
    <row r="753" spans="1:7">
      <c r="A753">
        <f>monster.xml!A757</f>
        <v>3070031</v>
      </c>
      <c r="B753">
        <f>monster.xml!B757</f>
        <v>2001</v>
      </c>
      <c r="C753">
        <f>monster.xml!C757</f>
        <v>71</v>
      </c>
      <c r="D753" t="str">
        <f>monster.xml!D757</f>
        <v>幻术师艾莉</v>
      </c>
      <c r="E753">
        <f>monster.xml!G757</f>
        <v>20</v>
      </c>
      <c r="F753" t="str">
        <f>monster.xml!X757</f>
        <v>monster/10111.png</v>
      </c>
      <c r="G753">
        <f>monster.xml!Y757</f>
        <v>1</v>
      </c>
    </row>
    <row r="754" spans="1:7">
      <c r="A754">
        <f>monster.xml!A758</f>
        <v>3070041</v>
      </c>
      <c r="B754">
        <f>monster.xml!B758</f>
        <v>2001</v>
      </c>
      <c r="C754">
        <f>monster.xml!C758</f>
        <v>71</v>
      </c>
      <c r="D754" t="str">
        <f>monster.xml!D758</f>
        <v>驯兽师瓦纳</v>
      </c>
      <c r="E754">
        <f>monster.xml!G758</f>
        <v>2</v>
      </c>
      <c r="F754" t="str">
        <f>monster.xml!X758</f>
        <v>monster/10094.png</v>
      </c>
      <c r="G754">
        <f>monster.xml!Y758</f>
        <v>1</v>
      </c>
    </row>
    <row r="755" spans="1:7">
      <c r="A755">
        <f>monster.xml!A759</f>
        <v>3070042</v>
      </c>
      <c r="B755">
        <f>monster.xml!B759</f>
        <v>2001</v>
      </c>
      <c r="C755">
        <f>monster.xml!C759</f>
        <v>71</v>
      </c>
      <c r="D755" t="str">
        <f>monster.xml!D759</f>
        <v>多兰</v>
      </c>
      <c r="E755">
        <f>monster.xml!G759</f>
        <v>9</v>
      </c>
      <c r="F755" t="str">
        <f>monster.xml!X759</f>
        <v>monster/10061.png</v>
      </c>
      <c r="G755">
        <f>monster.xml!Y759</f>
        <v>1</v>
      </c>
    </row>
    <row r="756" spans="1:7">
      <c r="A756">
        <f>monster.xml!A760</f>
        <v>3070043</v>
      </c>
      <c r="B756">
        <f>monster.xml!B760</f>
        <v>2001</v>
      </c>
      <c r="C756">
        <f>monster.xml!C760</f>
        <v>71</v>
      </c>
      <c r="D756" t="str">
        <f>monster.xml!D760</f>
        <v>约翰</v>
      </c>
      <c r="E756">
        <f>monster.xml!G760</f>
        <v>10</v>
      </c>
      <c r="F756" t="str">
        <f>monster.xml!X760</f>
        <v>monster/10067.png</v>
      </c>
      <c r="G756">
        <f>monster.xml!Y760</f>
        <v>1</v>
      </c>
    </row>
    <row r="757" spans="1:7">
      <c r="A757">
        <f>monster.xml!A761</f>
        <v>3070051</v>
      </c>
      <c r="B757">
        <f>monster.xml!B761</f>
        <v>2001</v>
      </c>
      <c r="C757">
        <f>monster.xml!C761</f>
        <v>71</v>
      </c>
      <c r="D757" t="str">
        <f>monster.xml!D761</f>
        <v>炎之安苏</v>
      </c>
      <c r="E757">
        <f>monster.xml!G761</f>
        <v>21</v>
      </c>
      <c r="F757" t="str">
        <f>monster.xml!X761</f>
        <v>monster/10096.png</v>
      </c>
      <c r="G757">
        <f>monster.xml!Y761</f>
        <v>1</v>
      </c>
    </row>
    <row r="758" spans="1:7">
      <c r="A758">
        <f>monster.xml!A762</f>
        <v>3070061</v>
      </c>
      <c r="B758">
        <f>monster.xml!B762</f>
        <v>2001</v>
      </c>
      <c r="C758">
        <f>monster.xml!C762</f>
        <v>72</v>
      </c>
      <c r="D758" t="str">
        <f>monster.xml!D762</f>
        <v>迅捷的维恩</v>
      </c>
      <c r="E758">
        <f>monster.xml!G762</f>
        <v>14</v>
      </c>
      <c r="F758" t="str">
        <f>monster.xml!X762</f>
        <v>monster/10073.png</v>
      </c>
      <c r="G758">
        <f>monster.xml!Y762</f>
        <v>1</v>
      </c>
    </row>
    <row r="759" spans="1:7">
      <c r="A759">
        <f>monster.xml!A763</f>
        <v>3070071</v>
      </c>
      <c r="B759">
        <f>monster.xml!B763</f>
        <v>2001</v>
      </c>
      <c r="C759">
        <f>monster.xml!C763</f>
        <v>72</v>
      </c>
      <c r="D759" t="str">
        <f>monster.xml!D763</f>
        <v>暮光预言者</v>
      </c>
      <c r="E759">
        <f>monster.xml!G763</f>
        <v>13</v>
      </c>
      <c r="F759" t="str">
        <f>monster.xml!X763</f>
        <v>monster/10080.png</v>
      </c>
      <c r="G759">
        <f>monster.xml!Y763</f>
        <v>1</v>
      </c>
    </row>
    <row r="760" spans="1:7">
      <c r="A760">
        <f>monster.xml!A764</f>
        <v>3070081</v>
      </c>
      <c r="B760">
        <f>monster.xml!B764</f>
        <v>2001</v>
      </c>
      <c r="C760">
        <f>monster.xml!C764</f>
        <v>73</v>
      </c>
      <c r="D760" t="str">
        <f>monster.xml!D764</f>
        <v>卡雷</v>
      </c>
      <c r="E760">
        <f>monster.xml!G764</f>
        <v>25</v>
      </c>
      <c r="F760" t="str">
        <f>monster.xml!X764</f>
        <v>monster/10056.png</v>
      </c>
      <c r="G760">
        <f>monster.xml!Y764</f>
        <v>1</v>
      </c>
    </row>
    <row r="761" spans="1:7">
      <c r="A761">
        <f>monster.xml!A765</f>
        <v>3070091</v>
      </c>
      <c r="B761">
        <f>monster.xml!B765</f>
        <v>2001</v>
      </c>
      <c r="C761">
        <f>monster.xml!C765</f>
        <v>74</v>
      </c>
      <c r="D761" t="str">
        <f>monster.xml!D765</f>
        <v>日光弗雷尔</v>
      </c>
      <c r="E761">
        <f>monster.xml!G765</f>
        <v>28</v>
      </c>
      <c r="F761" t="str">
        <f>monster.xml!X765</f>
        <v>monster/10010.png</v>
      </c>
      <c r="G761">
        <f>monster.xml!Y765</f>
        <v>1</v>
      </c>
    </row>
    <row r="762" spans="1:7">
      <c r="A762">
        <f>monster.xml!A766</f>
        <v>3075011</v>
      </c>
      <c r="B762">
        <f>monster.xml!B766</f>
        <v>2001</v>
      </c>
      <c r="C762">
        <f>monster.xml!C766</f>
        <v>75</v>
      </c>
      <c r="D762" t="str">
        <f>monster.xml!D766</f>
        <v>坚定的格雷格</v>
      </c>
      <c r="E762">
        <f>monster.xml!G766</f>
        <v>3</v>
      </c>
      <c r="F762" t="str">
        <f>monster.xml!X766</f>
        <v>monster/10119.png</v>
      </c>
      <c r="G762">
        <f>monster.xml!Y766</f>
        <v>1</v>
      </c>
    </row>
    <row r="763" spans="1:7">
      <c r="A763">
        <f>monster.xml!A767</f>
        <v>3075021</v>
      </c>
      <c r="B763">
        <f>monster.xml!B767</f>
        <v>2001</v>
      </c>
      <c r="C763">
        <f>monster.xml!C767</f>
        <v>75</v>
      </c>
      <c r="D763" t="str">
        <f>monster.xml!D767</f>
        <v>赛琳娜的倒影</v>
      </c>
      <c r="E763" t="str">
        <f>monster.xml!G767</f>
        <v>26,24</v>
      </c>
      <c r="F763" t="str">
        <f>monster.xml!X767</f>
        <v>UI/Program/MercenaryMaster_1.png</v>
      </c>
      <c r="G763">
        <f>monster.xml!Y767</f>
        <v>1</v>
      </c>
    </row>
    <row r="764" spans="1:7">
      <c r="A764">
        <f>monster.xml!A768</f>
        <v>3075031</v>
      </c>
      <c r="B764">
        <f>monster.xml!B768</f>
        <v>2001</v>
      </c>
      <c r="C764">
        <f>monster.xml!C768</f>
        <v>76</v>
      </c>
      <c r="D764" t="str">
        <f>monster.xml!D768</f>
        <v>幻术师艾莉</v>
      </c>
      <c r="E764">
        <f>monster.xml!G768</f>
        <v>20</v>
      </c>
      <c r="F764" t="str">
        <f>monster.xml!X768</f>
        <v>monster/10111.png</v>
      </c>
      <c r="G764">
        <f>monster.xml!Y768</f>
        <v>1</v>
      </c>
    </row>
    <row r="765" spans="1:7">
      <c r="A765">
        <f>monster.xml!A769</f>
        <v>3075041</v>
      </c>
      <c r="B765">
        <f>monster.xml!B769</f>
        <v>2001</v>
      </c>
      <c r="C765">
        <f>monster.xml!C769</f>
        <v>76</v>
      </c>
      <c r="D765" t="str">
        <f>monster.xml!D769</f>
        <v>驯兽师瓦纳</v>
      </c>
      <c r="E765">
        <f>monster.xml!G769</f>
        <v>2</v>
      </c>
      <c r="F765" t="str">
        <f>monster.xml!X769</f>
        <v>monster/10094.png</v>
      </c>
      <c r="G765">
        <f>monster.xml!Y769</f>
        <v>1</v>
      </c>
    </row>
    <row r="766" spans="1:7">
      <c r="A766">
        <f>monster.xml!A770</f>
        <v>3075042</v>
      </c>
      <c r="B766">
        <f>monster.xml!B770</f>
        <v>2001</v>
      </c>
      <c r="C766">
        <f>monster.xml!C770</f>
        <v>76</v>
      </c>
      <c r="D766" t="str">
        <f>monster.xml!D770</f>
        <v>多兰</v>
      </c>
      <c r="E766">
        <f>monster.xml!G770</f>
        <v>9</v>
      </c>
      <c r="F766" t="str">
        <f>monster.xml!X770</f>
        <v>monster/10061.png</v>
      </c>
      <c r="G766">
        <f>monster.xml!Y770</f>
        <v>1</v>
      </c>
    </row>
    <row r="767" spans="1:7">
      <c r="A767">
        <f>monster.xml!A771</f>
        <v>3075043</v>
      </c>
      <c r="B767">
        <f>monster.xml!B771</f>
        <v>2001</v>
      </c>
      <c r="C767">
        <f>monster.xml!C771</f>
        <v>76</v>
      </c>
      <c r="D767" t="str">
        <f>monster.xml!D771</f>
        <v>约翰</v>
      </c>
      <c r="E767">
        <f>monster.xml!G771</f>
        <v>10</v>
      </c>
      <c r="F767" t="str">
        <f>monster.xml!X771</f>
        <v>monster/10067.png</v>
      </c>
      <c r="G767">
        <f>monster.xml!Y771</f>
        <v>1</v>
      </c>
    </row>
    <row r="768" spans="1:7">
      <c r="A768">
        <f>monster.xml!A772</f>
        <v>3075051</v>
      </c>
      <c r="B768">
        <f>monster.xml!B772</f>
        <v>2001</v>
      </c>
      <c r="C768">
        <f>monster.xml!C772</f>
        <v>76</v>
      </c>
      <c r="D768" t="str">
        <f>monster.xml!D772</f>
        <v>炎之安苏</v>
      </c>
      <c r="E768">
        <f>monster.xml!G772</f>
        <v>21</v>
      </c>
      <c r="F768" t="str">
        <f>monster.xml!X772</f>
        <v>monster/10096.png</v>
      </c>
      <c r="G768">
        <f>monster.xml!Y772</f>
        <v>1</v>
      </c>
    </row>
    <row r="769" spans="1:7">
      <c r="A769">
        <f>monster.xml!A773</f>
        <v>3075061</v>
      </c>
      <c r="B769">
        <f>monster.xml!B773</f>
        <v>2001</v>
      </c>
      <c r="C769">
        <f>monster.xml!C773</f>
        <v>77</v>
      </c>
      <c r="D769" t="str">
        <f>monster.xml!D773</f>
        <v>迅捷的维恩</v>
      </c>
      <c r="E769">
        <f>monster.xml!G773</f>
        <v>14</v>
      </c>
      <c r="F769" t="str">
        <f>monster.xml!X773</f>
        <v>monster/10073.png</v>
      </c>
      <c r="G769">
        <f>monster.xml!Y773</f>
        <v>1</v>
      </c>
    </row>
    <row r="770" spans="1:7">
      <c r="A770">
        <f>monster.xml!A774</f>
        <v>3075071</v>
      </c>
      <c r="B770">
        <f>monster.xml!B774</f>
        <v>2001</v>
      </c>
      <c r="C770">
        <f>monster.xml!C774</f>
        <v>77</v>
      </c>
      <c r="D770" t="str">
        <f>monster.xml!D774</f>
        <v>暮光预言者</v>
      </c>
      <c r="E770">
        <f>monster.xml!G774</f>
        <v>13</v>
      </c>
      <c r="F770" t="str">
        <f>monster.xml!X774</f>
        <v>monster/10080.png</v>
      </c>
      <c r="G770">
        <f>monster.xml!Y774</f>
        <v>1</v>
      </c>
    </row>
    <row r="771" spans="1:7">
      <c r="A771">
        <f>monster.xml!A775</f>
        <v>3075081</v>
      </c>
      <c r="B771">
        <f>monster.xml!B775</f>
        <v>2001</v>
      </c>
      <c r="C771">
        <f>monster.xml!C775</f>
        <v>78</v>
      </c>
      <c r="D771" t="str">
        <f>monster.xml!D775</f>
        <v>卡雷</v>
      </c>
      <c r="E771">
        <f>monster.xml!G775</f>
        <v>25</v>
      </c>
      <c r="F771" t="str">
        <f>monster.xml!X775</f>
        <v>monster/10056.png</v>
      </c>
      <c r="G771">
        <f>monster.xml!Y775</f>
        <v>1</v>
      </c>
    </row>
    <row r="772" spans="1:7">
      <c r="A772">
        <f>monster.xml!A776</f>
        <v>3075091</v>
      </c>
      <c r="B772">
        <f>monster.xml!B776</f>
        <v>2001</v>
      </c>
      <c r="C772">
        <f>monster.xml!C776</f>
        <v>79</v>
      </c>
      <c r="D772" t="str">
        <f>monster.xml!D776</f>
        <v>日光弗雷尔</v>
      </c>
      <c r="E772">
        <f>monster.xml!G776</f>
        <v>28</v>
      </c>
      <c r="F772" t="str">
        <f>monster.xml!X776</f>
        <v>monster/10010.png</v>
      </c>
      <c r="G772">
        <f>monster.xml!Y776</f>
        <v>1</v>
      </c>
    </row>
    <row r="773" spans="1:7">
      <c r="A773">
        <f>monster.xml!A777</f>
        <v>3080011</v>
      </c>
      <c r="B773">
        <f>monster.xml!B777</f>
        <v>2001</v>
      </c>
      <c r="C773">
        <f>monster.xml!C777</f>
        <v>80</v>
      </c>
      <c r="D773" t="str">
        <f>monster.xml!D777</f>
        <v>坚定的格雷格</v>
      </c>
      <c r="E773">
        <f>monster.xml!G777</f>
        <v>3</v>
      </c>
      <c r="F773" t="str">
        <f>monster.xml!X777</f>
        <v>monster/10119.png</v>
      </c>
      <c r="G773">
        <f>monster.xml!Y777</f>
        <v>1</v>
      </c>
    </row>
    <row r="774" spans="1:7">
      <c r="A774">
        <f>monster.xml!A778</f>
        <v>3080021</v>
      </c>
      <c r="B774">
        <f>monster.xml!B778</f>
        <v>2001</v>
      </c>
      <c r="C774">
        <f>monster.xml!C778</f>
        <v>80</v>
      </c>
      <c r="D774" t="str">
        <f>monster.xml!D778</f>
        <v>赛琳娜的倒影</v>
      </c>
      <c r="E774" t="str">
        <f>monster.xml!G778</f>
        <v>26,24</v>
      </c>
      <c r="F774" t="str">
        <f>monster.xml!X778</f>
        <v>UI/Program/MercenaryMaster_1.png</v>
      </c>
      <c r="G774">
        <f>monster.xml!Y778</f>
        <v>1</v>
      </c>
    </row>
    <row r="775" spans="1:7">
      <c r="A775">
        <f>monster.xml!A779</f>
        <v>3080031</v>
      </c>
      <c r="B775">
        <f>monster.xml!B779</f>
        <v>2001</v>
      </c>
      <c r="C775">
        <f>monster.xml!C779</f>
        <v>81</v>
      </c>
      <c r="D775" t="str">
        <f>monster.xml!D779</f>
        <v>幻术师艾莉</v>
      </c>
      <c r="E775">
        <f>monster.xml!G779</f>
        <v>20</v>
      </c>
      <c r="F775" t="str">
        <f>monster.xml!X779</f>
        <v>monster/10111.png</v>
      </c>
      <c r="G775">
        <f>monster.xml!Y779</f>
        <v>1</v>
      </c>
    </row>
    <row r="776" spans="1:7">
      <c r="A776">
        <f>monster.xml!A780</f>
        <v>3080041</v>
      </c>
      <c r="B776">
        <f>monster.xml!B780</f>
        <v>2001</v>
      </c>
      <c r="C776">
        <f>monster.xml!C780</f>
        <v>81</v>
      </c>
      <c r="D776" t="str">
        <f>monster.xml!D780</f>
        <v>驯兽师瓦纳</v>
      </c>
      <c r="E776">
        <f>monster.xml!G780</f>
        <v>2</v>
      </c>
      <c r="F776" t="str">
        <f>monster.xml!X780</f>
        <v>monster/10094.png</v>
      </c>
      <c r="G776">
        <f>monster.xml!Y780</f>
        <v>1</v>
      </c>
    </row>
    <row r="777" spans="1:7">
      <c r="A777">
        <f>monster.xml!A781</f>
        <v>3080042</v>
      </c>
      <c r="B777">
        <f>monster.xml!B781</f>
        <v>2001</v>
      </c>
      <c r="C777">
        <f>monster.xml!C781</f>
        <v>81</v>
      </c>
      <c r="D777" t="str">
        <f>monster.xml!D781</f>
        <v>多兰</v>
      </c>
      <c r="E777">
        <f>monster.xml!G781</f>
        <v>9</v>
      </c>
      <c r="F777" t="str">
        <f>monster.xml!X781</f>
        <v>monster/10061.png</v>
      </c>
      <c r="G777">
        <f>monster.xml!Y781</f>
        <v>1</v>
      </c>
    </row>
    <row r="778" spans="1:7">
      <c r="A778">
        <f>monster.xml!A782</f>
        <v>3080043</v>
      </c>
      <c r="B778">
        <f>monster.xml!B782</f>
        <v>2001</v>
      </c>
      <c r="C778">
        <f>monster.xml!C782</f>
        <v>81</v>
      </c>
      <c r="D778" t="str">
        <f>monster.xml!D782</f>
        <v>约翰</v>
      </c>
      <c r="E778">
        <f>monster.xml!G782</f>
        <v>10</v>
      </c>
      <c r="F778" t="str">
        <f>monster.xml!X782</f>
        <v>monster/10067.png</v>
      </c>
      <c r="G778">
        <f>monster.xml!Y782</f>
        <v>1</v>
      </c>
    </row>
    <row r="779" spans="1:7">
      <c r="A779">
        <f>monster.xml!A783</f>
        <v>3080051</v>
      </c>
      <c r="B779">
        <f>monster.xml!B783</f>
        <v>2001</v>
      </c>
      <c r="C779">
        <f>monster.xml!C783</f>
        <v>81</v>
      </c>
      <c r="D779" t="str">
        <f>monster.xml!D783</f>
        <v>炎之安苏</v>
      </c>
      <c r="E779">
        <f>monster.xml!G783</f>
        <v>21</v>
      </c>
      <c r="F779" t="str">
        <f>monster.xml!X783</f>
        <v>monster/10096.png</v>
      </c>
      <c r="G779">
        <f>monster.xml!Y783</f>
        <v>1</v>
      </c>
    </row>
    <row r="780" spans="1:7">
      <c r="A780">
        <f>monster.xml!A784</f>
        <v>3080061</v>
      </c>
      <c r="B780">
        <f>monster.xml!B784</f>
        <v>2001</v>
      </c>
      <c r="C780">
        <f>monster.xml!C784</f>
        <v>82</v>
      </c>
      <c r="D780" t="str">
        <f>monster.xml!D784</f>
        <v>迅捷的维恩</v>
      </c>
      <c r="E780">
        <f>monster.xml!G784</f>
        <v>14</v>
      </c>
      <c r="F780" t="str">
        <f>monster.xml!X784</f>
        <v>monster/10073.png</v>
      </c>
      <c r="G780">
        <f>monster.xml!Y784</f>
        <v>1</v>
      </c>
    </row>
    <row r="781" spans="1:7">
      <c r="A781">
        <f>monster.xml!A785</f>
        <v>3080071</v>
      </c>
      <c r="B781">
        <f>monster.xml!B785</f>
        <v>2001</v>
      </c>
      <c r="C781">
        <f>monster.xml!C785</f>
        <v>82</v>
      </c>
      <c r="D781" t="str">
        <f>monster.xml!D785</f>
        <v>暮光预言者</v>
      </c>
      <c r="E781">
        <f>monster.xml!G785</f>
        <v>13</v>
      </c>
      <c r="F781" t="str">
        <f>monster.xml!X785</f>
        <v>monster/10080.png</v>
      </c>
      <c r="G781">
        <f>monster.xml!Y785</f>
        <v>1</v>
      </c>
    </row>
    <row r="782" spans="1:7">
      <c r="A782">
        <f>monster.xml!A786</f>
        <v>3080081</v>
      </c>
      <c r="B782">
        <f>monster.xml!B786</f>
        <v>2001</v>
      </c>
      <c r="C782">
        <f>monster.xml!C786</f>
        <v>83</v>
      </c>
      <c r="D782" t="str">
        <f>monster.xml!D786</f>
        <v>卡雷</v>
      </c>
      <c r="E782">
        <f>monster.xml!G786</f>
        <v>25</v>
      </c>
      <c r="F782" t="str">
        <f>monster.xml!X786</f>
        <v>monster/10056.png</v>
      </c>
      <c r="G782">
        <f>monster.xml!Y786</f>
        <v>1</v>
      </c>
    </row>
    <row r="783" spans="1:7">
      <c r="A783">
        <f>monster.xml!A787</f>
        <v>3080091</v>
      </c>
      <c r="B783">
        <f>monster.xml!B787</f>
        <v>2001</v>
      </c>
      <c r="C783">
        <f>monster.xml!C787</f>
        <v>84</v>
      </c>
      <c r="D783" t="str">
        <f>monster.xml!D787</f>
        <v>日光弗雷尔</v>
      </c>
      <c r="E783">
        <f>monster.xml!G787</f>
        <v>28</v>
      </c>
      <c r="F783" t="str">
        <f>monster.xml!X787</f>
        <v>monster/10010.png</v>
      </c>
      <c r="G783">
        <f>monster.xml!Y787</f>
        <v>1</v>
      </c>
    </row>
    <row r="784" spans="1:7">
      <c r="A784">
        <f>monster.xml!A788</f>
        <v>3085011</v>
      </c>
      <c r="B784">
        <f>monster.xml!B788</f>
        <v>2001</v>
      </c>
      <c r="C784">
        <f>monster.xml!C788</f>
        <v>85</v>
      </c>
      <c r="D784" t="str">
        <f>monster.xml!D788</f>
        <v>影子武士</v>
      </c>
      <c r="E784">
        <f>monster.xml!G788</f>
        <v>0</v>
      </c>
      <c r="F784" t="str">
        <f>monster.xml!X788</f>
        <v>monster/10114.png</v>
      </c>
      <c r="G784">
        <f>monster.xml!Y788</f>
        <v>1</v>
      </c>
    </row>
    <row r="785" spans="1:7">
      <c r="A785">
        <f>monster.xml!A789</f>
        <v>3085021</v>
      </c>
      <c r="B785">
        <f>monster.xml!B789</f>
        <v>2001</v>
      </c>
      <c r="C785">
        <f>monster.xml!C789</f>
        <v>85</v>
      </c>
      <c r="D785" t="str">
        <f>monster.xml!D789</f>
        <v>拨弄的赛亚</v>
      </c>
      <c r="E785" t="str">
        <f>monster.xml!G789</f>
        <v>17,18,8</v>
      </c>
      <c r="F785" t="str">
        <f>monster.xml!X789</f>
        <v>monster/10125.png</v>
      </c>
      <c r="G785">
        <f>monster.xml!Y789</f>
        <v>1</v>
      </c>
    </row>
    <row r="786" spans="1:7">
      <c r="A786">
        <f>monster.xml!A790</f>
        <v>3085031</v>
      </c>
      <c r="B786">
        <f>monster.xml!B790</f>
        <v>2001</v>
      </c>
      <c r="C786">
        <f>monster.xml!C790</f>
        <v>86</v>
      </c>
      <c r="D786" t="str">
        <f>monster.xml!D790</f>
        <v>法力风暴</v>
      </c>
      <c r="E786" t="str">
        <f>monster.xml!G790</f>
        <v>25,30</v>
      </c>
      <c r="F786" t="str">
        <f>monster.xml!X790</f>
        <v>monster/10061.png</v>
      </c>
      <c r="G786">
        <f>monster.xml!Y790</f>
        <v>1</v>
      </c>
    </row>
    <row r="787" spans="1:7">
      <c r="A787">
        <f>monster.xml!A791</f>
        <v>3085041</v>
      </c>
      <c r="B787">
        <f>monster.xml!B791</f>
        <v>2001</v>
      </c>
      <c r="C787">
        <f>monster.xml!C791</f>
        <v>86</v>
      </c>
      <c r="D787" t="str">
        <f>monster.xml!D791</f>
        <v>火舞者</v>
      </c>
      <c r="E787">
        <f>monster.xml!G791</f>
        <v>29</v>
      </c>
      <c r="F787" t="str">
        <f>monster.xml!X791</f>
        <v>monster/10116.png</v>
      </c>
      <c r="G787">
        <f>monster.xml!Y791</f>
        <v>1</v>
      </c>
    </row>
    <row r="788" spans="1:7">
      <c r="A788">
        <f>monster.xml!A792</f>
        <v>3085051</v>
      </c>
      <c r="B788">
        <f>monster.xml!B792</f>
        <v>2001</v>
      </c>
      <c r="C788">
        <f>monster.xml!C792</f>
        <v>86</v>
      </c>
      <c r="D788" t="str">
        <f>monster.xml!D792</f>
        <v>血誓审判者</v>
      </c>
      <c r="E788">
        <f>monster.xml!G792</f>
        <v>5</v>
      </c>
      <c r="F788" t="str">
        <f>monster.xml!X792</f>
        <v>monster/10083.png</v>
      </c>
      <c r="G788">
        <f>monster.xml!Y792</f>
        <v>1</v>
      </c>
    </row>
    <row r="789" spans="1:7">
      <c r="A789">
        <f>monster.xml!A793</f>
        <v>3085052</v>
      </c>
      <c r="B789">
        <f>monster.xml!B793</f>
        <v>2001</v>
      </c>
      <c r="C789">
        <f>monster.xml!C793</f>
        <v>86</v>
      </c>
      <c r="D789" t="str">
        <f>monster.xml!D793</f>
        <v>血誓预言者</v>
      </c>
      <c r="E789">
        <f>monster.xml!G793</f>
        <v>2</v>
      </c>
      <c r="F789" t="str">
        <f>monster.xml!X793</f>
        <v>monster/10082.png</v>
      </c>
      <c r="G789">
        <f>monster.xml!Y793</f>
        <v>1</v>
      </c>
    </row>
    <row r="790" spans="1:7">
      <c r="A790">
        <f>monster.xml!A794</f>
        <v>3085053</v>
      </c>
      <c r="B790">
        <f>monster.xml!B794</f>
        <v>2001</v>
      </c>
      <c r="C790">
        <f>monster.xml!C794</f>
        <v>86</v>
      </c>
      <c r="D790" t="str">
        <f>monster.xml!D794</f>
        <v>血誓召唤者</v>
      </c>
      <c r="E790">
        <f>monster.xml!G794</f>
        <v>26</v>
      </c>
      <c r="F790" t="str">
        <f>monster.xml!X794</f>
        <v>monster/10081.png</v>
      </c>
      <c r="G790">
        <f>monster.xml!Y794</f>
        <v>1</v>
      </c>
    </row>
    <row r="791" spans="1:7">
      <c r="A791">
        <f>monster.xml!A795</f>
        <v>3085054</v>
      </c>
      <c r="B791">
        <f>monster.xml!B795</f>
        <v>2001</v>
      </c>
      <c r="C791">
        <f>monster.xml!C795</f>
        <v>86</v>
      </c>
      <c r="D791" t="str">
        <f>monster.xml!D795</f>
        <v>血誓领主</v>
      </c>
      <c r="E791">
        <f>monster.xml!G795</f>
        <v>14</v>
      </c>
      <c r="F791" t="str">
        <f>monster.xml!X795</f>
        <v>monster/10072.png</v>
      </c>
      <c r="G791">
        <f>monster.xml!Y795</f>
        <v>1</v>
      </c>
    </row>
    <row r="792" spans="1:7">
      <c r="A792">
        <f>monster.xml!A796</f>
        <v>3085061</v>
      </c>
      <c r="B792">
        <f>monster.xml!B796</f>
        <v>2001</v>
      </c>
      <c r="C792">
        <f>monster.xml!C796</f>
        <v>87</v>
      </c>
      <c r="D792" t="str">
        <f>monster.xml!D796</f>
        <v>舞钢者拜伦</v>
      </c>
      <c r="E792">
        <f>monster.xml!G796</f>
        <v>8</v>
      </c>
      <c r="F792" t="str">
        <f>monster.xml!X796</f>
        <v>monster/10084.png</v>
      </c>
      <c r="G792">
        <f>monster.xml!Y796</f>
        <v>1</v>
      </c>
    </row>
    <row r="793" spans="1:7">
      <c r="A793">
        <f>monster.xml!A797</f>
        <v>3085071</v>
      </c>
      <c r="B793">
        <f>monster.xml!B797</f>
        <v>2001</v>
      </c>
      <c r="C793">
        <f>monster.xml!C797</f>
        <v>87</v>
      </c>
      <c r="D793" t="str">
        <f>monster.xml!D797</f>
        <v>风暴之王</v>
      </c>
      <c r="E793">
        <f>monster.xml!G797</f>
        <v>6</v>
      </c>
      <c r="F793" t="str">
        <f>monster.xml!X797</f>
        <v>monster/10138.png</v>
      </c>
      <c r="G793">
        <f>monster.xml!Y797</f>
        <v>1</v>
      </c>
    </row>
    <row r="794" spans="1:7">
      <c r="A794">
        <f>monster.xml!A798</f>
        <v>3085081</v>
      </c>
      <c r="B794">
        <f>monster.xml!B798</f>
        <v>2001</v>
      </c>
      <c r="C794">
        <f>monster.xml!C798</f>
        <v>88</v>
      </c>
      <c r="D794" t="str">
        <f>monster.xml!D798</f>
        <v>雷伊战争使者</v>
      </c>
      <c r="E794">
        <f>monster.xml!G798</f>
        <v>7</v>
      </c>
      <c r="F794" t="str">
        <f>monster.xml!X798</f>
        <v>monster/10127.png</v>
      </c>
      <c r="G794">
        <f>monster.xml!Y798</f>
        <v>1</v>
      </c>
    </row>
    <row r="795" spans="1:7">
      <c r="A795">
        <f>monster.xml!A799</f>
        <v>3085091</v>
      </c>
      <c r="B795">
        <f>monster.xml!B799</f>
        <v>2001</v>
      </c>
      <c r="C795">
        <f>monster.xml!C799</f>
        <v>89</v>
      </c>
      <c r="D795" t="str">
        <f>monster.xml!D799</f>
        <v>暴君泰伦</v>
      </c>
      <c r="E795" t="str">
        <f>monster.xml!G799</f>
        <v>10,9</v>
      </c>
      <c r="F795" t="str">
        <f>monster.xml!X799</f>
        <v>monster/10140.png</v>
      </c>
      <c r="G795">
        <f>monster.xml!Y799</f>
        <v>1</v>
      </c>
    </row>
    <row r="796" spans="1:7">
      <c r="A796">
        <f>monster.xml!A800</f>
        <v>3090011</v>
      </c>
      <c r="B796">
        <f>monster.xml!B800</f>
        <v>2001</v>
      </c>
      <c r="C796">
        <f>monster.xml!C800</f>
        <v>90</v>
      </c>
      <c r="D796" t="str">
        <f>monster.xml!D800</f>
        <v>影子武士</v>
      </c>
      <c r="E796">
        <f>monster.xml!G800</f>
        <v>0</v>
      </c>
      <c r="F796" t="str">
        <f>monster.xml!X800</f>
        <v>monster/10114.png</v>
      </c>
      <c r="G796">
        <f>monster.xml!Y800</f>
        <v>1</v>
      </c>
    </row>
    <row r="797" spans="1:7">
      <c r="A797">
        <f>monster.xml!A801</f>
        <v>3090021</v>
      </c>
      <c r="B797">
        <f>monster.xml!B801</f>
        <v>2001</v>
      </c>
      <c r="C797">
        <f>monster.xml!C801</f>
        <v>90</v>
      </c>
      <c r="D797" t="str">
        <f>monster.xml!D801</f>
        <v>拨弄的赛亚</v>
      </c>
      <c r="E797" t="str">
        <f>monster.xml!G801</f>
        <v>17,18,8</v>
      </c>
      <c r="F797" t="str">
        <f>monster.xml!X801</f>
        <v>monster/10125.png</v>
      </c>
      <c r="G797">
        <f>monster.xml!Y801</f>
        <v>1</v>
      </c>
    </row>
    <row r="798" spans="1:7">
      <c r="A798">
        <f>monster.xml!A802</f>
        <v>3090031</v>
      </c>
      <c r="B798">
        <f>monster.xml!B802</f>
        <v>2001</v>
      </c>
      <c r="C798">
        <f>monster.xml!C802</f>
        <v>91</v>
      </c>
      <c r="D798" t="str">
        <f>monster.xml!D802</f>
        <v>法力风暴</v>
      </c>
      <c r="E798" t="str">
        <f>monster.xml!G802</f>
        <v>25,30</v>
      </c>
      <c r="F798" t="str">
        <f>monster.xml!X802</f>
        <v>monster/10061.png</v>
      </c>
      <c r="G798">
        <f>monster.xml!Y802</f>
        <v>1</v>
      </c>
    </row>
    <row r="799" spans="1:7">
      <c r="A799">
        <f>monster.xml!A803</f>
        <v>3090041</v>
      </c>
      <c r="B799">
        <f>monster.xml!B803</f>
        <v>2001</v>
      </c>
      <c r="C799">
        <f>monster.xml!C803</f>
        <v>91</v>
      </c>
      <c r="D799" t="str">
        <f>monster.xml!D803</f>
        <v>火舞者</v>
      </c>
      <c r="E799">
        <f>monster.xml!G803</f>
        <v>29</v>
      </c>
      <c r="F799" t="str">
        <f>monster.xml!X803</f>
        <v>monster/10116.png</v>
      </c>
      <c r="G799">
        <f>monster.xml!Y803</f>
        <v>1</v>
      </c>
    </row>
    <row r="800" spans="1:7">
      <c r="A800">
        <f>monster.xml!A804</f>
        <v>3090051</v>
      </c>
      <c r="B800">
        <f>monster.xml!B804</f>
        <v>2001</v>
      </c>
      <c r="C800">
        <f>monster.xml!C804</f>
        <v>91</v>
      </c>
      <c r="D800" t="str">
        <f>monster.xml!D804</f>
        <v>血誓审判者</v>
      </c>
      <c r="E800">
        <f>monster.xml!G804</f>
        <v>5</v>
      </c>
      <c r="F800" t="str">
        <f>monster.xml!X804</f>
        <v>monster/10083.png</v>
      </c>
      <c r="G800">
        <f>monster.xml!Y804</f>
        <v>1</v>
      </c>
    </row>
    <row r="801" spans="1:7">
      <c r="A801">
        <f>monster.xml!A805</f>
        <v>3090052</v>
      </c>
      <c r="B801">
        <f>monster.xml!B805</f>
        <v>2001</v>
      </c>
      <c r="C801">
        <f>monster.xml!C805</f>
        <v>91</v>
      </c>
      <c r="D801" t="str">
        <f>monster.xml!D805</f>
        <v>血誓预言者</v>
      </c>
      <c r="E801">
        <f>monster.xml!G805</f>
        <v>2</v>
      </c>
      <c r="F801" t="str">
        <f>monster.xml!X805</f>
        <v>monster/10082.png</v>
      </c>
      <c r="G801">
        <f>monster.xml!Y805</f>
        <v>1</v>
      </c>
    </row>
    <row r="802" spans="1:7">
      <c r="A802">
        <f>monster.xml!A806</f>
        <v>3090053</v>
      </c>
      <c r="B802">
        <f>monster.xml!B806</f>
        <v>2001</v>
      </c>
      <c r="C802">
        <f>monster.xml!C806</f>
        <v>91</v>
      </c>
      <c r="D802" t="str">
        <f>monster.xml!D806</f>
        <v>血誓召唤者</v>
      </c>
      <c r="E802">
        <f>monster.xml!G806</f>
        <v>26</v>
      </c>
      <c r="F802" t="str">
        <f>monster.xml!X806</f>
        <v>monster/10081.png</v>
      </c>
      <c r="G802">
        <f>monster.xml!Y806</f>
        <v>1</v>
      </c>
    </row>
    <row r="803" spans="1:7">
      <c r="A803">
        <f>monster.xml!A807</f>
        <v>3090054</v>
      </c>
      <c r="B803">
        <f>monster.xml!B807</f>
        <v>2001</v>
      </c>
      <c r="C803">
        <f>monster.xml!C807</f>
        <v>91</v>
      </c>
      <c r="D803" t="str">
        <f>monster.xml!D807</f>
        <v>血誓领主</v>
      </c>
      <c r="E803">
        <f>monster.xml!G807</f>
        <v>14</v>
      </c>
      <c r="F803" t="str">
        <f>monster.xml!X807</f>
        <v>monster/10072.png</v>
      </c>
      <c r="G803">
        <f>monster.xml!Y807</f>
        <v>1</v>
      </c>
    </row>
    <row r="804" spans="1:7">
      <c r="A804">
        <f>monster.xml!A808</f>
        <v>3090061</v>
      </c>
      <c r="B804">
        <f>monster.xml!B808</f>
        <v>2001</v>
      </c>
      <c r="C804">
        <f>monster.xml!C808</f>
        <v>92</v>
      </c>
      <c r="D804" t="str">
        <f>monster.xml!D808</f>
        <v>舞钢者拜伦</v>
      </c>
      <c r="E804">
        <f>monster.xml!G808</f>
        <v>8</v>
      </c>
      <c r="F804" t="str">
        <f>monster.xml!X808</f>
        <v>monster/10084.png</v>
      </c>
      <c r="G804">
        <f>monster.xml!Y808</f>
        <v>1</v>
      </c>
    </row>
    <row r="805" spans="1:7">
      <c r="A805">
        <f>monster.xml!A809</f>
        <v>3090071</v>
      </c>
      <c r="B805">
        <f>monster.xml!B809</f>
        <v>2001</v>
      </c>
      <c r="C805">
        <f>monster.xml!C809</f>
        <v>92</v>
      </c>
      <c r="D805" t="str">
        <f>monster.xml!D809</f>
        <v>风暴之王</v>
      </c>
      <c r="E805">
        <f>monster.xml!G809</f>
        <v>6</v>
      </c>
      <c r="F805" t="str">
        <f>monster.xml!X809</f>
        <v>monster/10138.png</v>
      </c>
      <c r="G805">
        <f>monster.xml!Y809</f>
        <v>1</v>
      </c>
    </row>
    <row r="806" spans="1:7">
      <c r="A806">
        <f>monster.xml!A810</f>
        <v>3090081</v>
      </c>
      <c r="B806">
        <f>monster.xml!B810</f>
        <v>2001</v>
      </c>
      <c r="C806">
        <f>monster.xml!C810</f>
        <v>93</v>
      </c>
      <c r="D806" t="str">
        <f>monster.xml!D810</f>
        <v>雷伊战争使者</v>
      </c>
      <c r="E806">
        <f>monster.xml!G810</f>
        <v>7</v>
      </c>
      <c r="F806" t="str">
        <f>monster.xml!X810</f>
        <v>monster/10127.png</v>
      </c>
      <c r="G806">
        <f>monster.xml!Y810</f>
        <v>1</v>
      </c>
    </row>
    <row r="807" spans="1:7">
      <c r="A807">
        <f>monster.xml!A811</f>
        <v>3090091</v>
      </c>
      <c r="B807">
        <f>monster.xml!B811</f>
        <v>2001</v>
      </c>
      <c r="C807">
        <f>monster.xml!C811</f>
        <v>94</v>
      </c>
      <c r="D807" t="str">
        <f>monster.xml!D811</f>
        <v>暴君泰伦</v>
      </c>
      <c r="E807" t="str">
        <f>monster.xml!G811</f>
        <v>10,9</v>
      </c>
      <c r="F807" t="str">
        <f>monster.xml!X811</f>
        <v>monster/10140.png</v>
      </c>
      <c r="G807">
        <f>monster.xml!Y811</f>
        <v>1</v>
      </c>
    </row>
    <row r="808" spans="1:7">
      <c r="A808">
        <f>monster.xml!A812</f>
        <v>3095011</v>
      </c>
      <c r="B808">
        <f>monster.xml!B812</f>
        <v>2001</v>
      </c>
      <c r="C808">
        <f>monster.xml!C812</f>
        <v>95</v>
      </c>
      <c r="D808" t="str">
        <f>monster.xml!D812</f>
        <v>影子武士</v>
      </c>
      <c r="E808">
        <f>monster.xml!G812</f>
        <v>0</v>
      </c>
      <c r="F808" t="str">
        <f>monster.xml!X812</f>
        <v>monster/10114.png</v>
      </c>
      <c r="G808">
        <f>monster.xml!Y812</f>
        <v>1</v>
      </c>
    </row>
    <row r="809" spans="1:7">
      <c r="A809">
        <f>monster.xml!A813</f>
        <v>3095021</v>
      </c>
      <c r="B809">
        <f>monster.xml!B813</f>
        <v>2001</v>
      </c>
      <c r="C809">
        <f>monster.xml!C813</f>
        <v>95</v>
      </c>
      <c r="D809" t="str">
        <f>monster.xml!D813</f>
        <v>拨弄的赛亚</v>
      </c>
      <c r="E809" t="str">
        <f>monster.xml!G813</f>
        <v>17,18,8</v>
      </c>
      <c r="F809" t="str">
        <f>monster.xml!X813</f>
        <v>monster/10125.png</v>
      </c>
      <c r="G809">
        <f>monster.xml!Y813</f>
        <v>1</v>
      </c>
    </row>
    <row r="810" spans="1:7">
      <c r="A810">
        <f>monster.xml!A814</f>
        <v>3095031</v>
      </c>
      <c r="B810">
        <f>monster.xml!B814</f>
        <v>2001</v>
      </c>
      <c r="C810">
        <f>monster.xml!C814</f>
        <v>96</v>
      </c>
      <c r="D810" t="str">
        <f>monster.xml!D814</f>
        <v>法力风暴</v>
      </c>
      <c r="E810" t="str">
        <f>monster.xml!G814</f>
        <v>25,30</v>
      </c>
      <c r="F810" t="str">
        <f>monster.xml!X814</f>
        <v>monster/10061.png</v>
      </c>
      <c r="G810">
        <f>monster.xml!Y814</f>
        <v>1</v>
      </c>
    </row>
    <row r="811" spans="1:7">
      <c r="A811">
        <f>monster.xml!A815</f>
        <v>3095041</v>
      </c>
      <c r="B811">
        <f>monster.xml!B815</f>
        <v>2001</v>
      </c>
      <c r="C811">
        <f>monster.xml!C815</f>
        <v>96</v>
      </c>
      <c r="D811" t="str">
        <f>monster.xml!D815</f>
        <v>火舞者</v>
      </c>
      <c r="E811">
        <f>monster.xml!G815</f>
        <v>29</v>
      </c>
      <c r="F811" t="str">
        <f>monster.xml!X815</f>
        <v>monster/10116.png</v>
      </c>
      <c r="G811">
        <f>monster.xml!Y815</f>
        <v>1</v>
      </c>
    </row>
    <row r="812" spans="1:7">
      <c r="A812">
        <f>monster.xml!A816</f>
        <v>3095051</v>
      </c>
      <c r="B812">
        <f>monster.xml!B816</f>
        <v>2001</v>
      </c>
      <c r="C812">
        <f>monster.xml!C816</f>
        <v>96</v>
      </c>
      <c r="D812" t="str">
        <f>monster.xml!D816</f>
        <v>血誓审判者</v>
      </c>
      <c r="E812">
        <f>monster.xml!G816</f>
        <v>5</v>
      </c>
      <c r="F812" t="str">
        <f>monster.xml!X816</f>
        <v>monster/10083.png</v>
      </c>
      <c r="G812">
        <f>monster.xml!Y816</f>
        <v>1</v>
      </c>
    </row>
    <row r="813" spans="1:7">
      <c r="A813">
        <f>monster.xml!A817</f>
        <v>3095052</v>
      </c>
      <c r="B813">
        <f>monster.xml!B817</f>
        <v>2001</v>
      </c>
      <c r="C813">
        <f>monster.xml!C817</f>
        <v>96</v>
      </c>
      <c r="D813" t="str">
        <f>monster.xml!D817</f>
        <v>血誓预言者</v>
      </c>
      <c r="E813">
        <f>monster.xml!G817</f>
        <v>2</v>
      </c>
      <c r="F813" t="str">
        <f>monster.xml!X817</f>
        <v>monster/10082.png</v>
      </c>
      <c r="G813">
        <f>monster.xml!Y817</f>
        <v>1</v>
      </c>
    </row>
    <row r="814" spans="1:7">
      <c r="A814">
        <f>monster.xml!A818</f>
        <v>3095053</v>
      </c>
      <c r="B814">
        <f>monster.xml!B818</f>
        <v>2001</v>
      </c>
      <c r="C814">
        <f>monster.xml!C818</f>
        <v>96</v>
      </c>
      <c r="D814" t="str">
        <f>monster.xml!D818</f>
        <v>血誓召唤者</v>
      </c>
      <c r="E814">
        <f>monster.xml!G818</f>
        <v>26</v>
      </c>
      <c r="F814" t="str">
        <f>monster.xml!X818</f>
        <v>monster/10081.png</v>
      </c>
      <c r="G814">
        <f>monster.xml!Y818</f>
        <v>1</v>
      </c>
    </row>
    <row r="815" spans="1:7">
      <c r="A815">
        <f>monster.xml!A819</f>
        <v>3095054</v>
      </c>
      <c r="B815">
        <f>monster.xml!B819</f>
        <v>2001</v>
      </c>
      <c r="C815">
        <f>monster.xml!C819</f>
        <v>96</v>
      </c>
      <c r="D815" t="str">
        <f>monster.xml!D819</f>
        <v>血誓领主</v>
      </c>
      <c r="E815">
        <f>monster.xml!G819</f>
        <v>14</v>
      </c>
      <c r="F815" t="str">
        <f>monster.xml!X819</f>
        <v>monster/10072.png</v>
      </c>
      <c r="G815">
        <f>monster.xml!Y819</f>
        <v>1</v>
      </c>
    </row>
    <row r="816" spans="1:7">
      <c r="A816">
        <f>monster.xml!A820</f>
        <v>3095061</v>
      </c>
      <c r="B816">
        <f>monster.xml!B820</f>
        <v>2001</v>
      </c>
      <c r="C816">
        <f>monster.xml!C820</f>
        <v>97</v>
      </c>
      <c r="D816" t="str">
        <f>monster.xml!D820</f>
        <v>舞钢者拜伦</v>
      </c>
      <c r="E816">
        <f>monster.xml!G820</f>
        <v>8</v>
      </c>
      <c r="F816" t="str">
        <f>monster.xml!X820</f>
        <v>monster/10084.png</v>
      </c>
      <c r="G816">
        <f>monster.xml!Y820</f>
        <v>1</v>
      </c>
    </row>
    <row r="817" spans="1:7">
      <c r="A817">
        <f>monster.xml!A821</f>
        <v>3095071</v>
      </c>
      <c r="B817">
        <f>monster.xml!B821</f>
        <v>2001</v>
      </c>
      <c r="C817">
        <f>monster.xml!C821</f>
        <v>97</v>
      </c>
      <c r="D817" t="str">
        <f>monster.xml!D821</f>
        <v>风暴之王</v>
      </c>
      <c r="E817">
        <f>monster.xml!G821</f>
        <v>6</v>
      </c>
      <c r="F817" t="str">
        <f>monster.xml!X821</f>
        <v>monster/10138.png</v>
      </c>
      <c r="G817">
        <f>monster.xml!Y821</f>
        <v>1</v>
      </c>
    </row>
    <row r="818" spans="1:7">
      <c r="A818">
        <f>monster.xml!A822</f>
        <v>3095081</v>
      </c>
      <c r="B818">
        <f>monster.xml!B822</f>
        <v>2001</v>
      </c>
      <c r="C818">
        <f>monster.xml!C822</f>
        <v>98</v>
      </c>
      <c r="D818" t="str">
        <f>monster.xml!D822</f>
        <v>雷伊战争使者</v>
      </c>
      <c r="E818">
        <f>monster.xml!G822</f>
        <v>7</v>
      </c>
      <c r="F818" t="str">
        <f>monster.xml!X822</f>
        <v>monster/10127.png</v>
      </c>
      <c r="G818">
        <f>monster.xml!Y822</f>
        <v>1</v>
      </c>
    </row>
    <row r="819" spans="1:7">
      <c r="A819">
        <f>monster.xml!A823</f>
        <v>3095091</v>
      </c>
      <c r="B819">
        <f>monster.xml!B823</f>
        <v>2001</v>
      </c>
      <c r="C819">
        <f>monster.xml!C823</f>
        <v>99</v>
      </c>
      <c r="D819" t="str">
        <f>monster.xml!D823</f>
        <v>暴君泰伦</v>
      </c>
      <c r="E819" t="str">
        <f>monster.xml!G823</f>
        <v>10,9</v>
      </c>
      <c r="F819" t="str">
        <f>monster.xml!X823</f>
        <v>monster/10140.png</v>
      </c>
      <c r="G819">
        <f>monster.xml!Y823</f>
        <v>1</v>
      </c>
    </row>
    <row r="820" spans="1:7">
      <c r="A820">
        <f>monster.xml!A824</f>
        <v>3100011</v>
      </c>
      <c r="B820">
        <f>monster.xml!B824</f>
        <v>2001</v>
      </c>
      <c r="C820">
        <f>monster.xml!C824</f>
        <v>100</v>
      </c>
      <c r="D820" t="str">
        <f>monster.xml!D824</f>
        <v>影子武士</v>
      </c>
      <c r="E820">
        <f>monster.xml!G824</f>
        <v>0</v>
      </c>
      <c r="F820" t="str">
        <f>monster.xml!X824</f>
        <v>monster/10114.png</v>
      </c>
      <c r="G820">
        <f>monster.xml!Y824</f>
        <v>1</v>
      </c>
    </row>
    <row r="821" spans="1:7">
      <c r="A821">
        <f>monster.xml!A825</f>
        <v>3100021</v>
      </c>
      <c r="B821">
        <f>monster.xml!B825</f>
        <v>2001</v>
      </c>
      <c r="C821">
        <f>monster.xml!C825</f>
        <v>100</v>
      </c>
      <c r="D821" t="str">
        <f>monster.xml!D825</f>
        <v>拨弄的赛亚</v>
      </c>
      <c r="E821" t="str">
        <f>monster.xml!G825</f>
        <v>17,18,8</v>
      </c>
      <c r="F821" t="str">
        <f>monster.xml!X825</f>
        <v>monster/10125.png</v>
      </c>
      <c r="G821">
        <f>monster.xml!Y825</f>
        <v>1</v>
      </c>
    </row>
    <row r="822" spans="1:7">
      <c r="A822">
        <f>monster.xml!A826</f>
        <v>3100031</v>
      </c>
      <c r="B822">
        <f>monster.xml!B826</f>
        <v>2001</v>
      </c>
      <c r="C822">
        <f>monster.xml!C826</f>
        <v>101</v>
      </c>
      <c r="D822" t="str">
        <f>monster.xml!D826</f>
        <v>法力风暴</v>
      </c>
      <c r="E822" t="str">
        <f>monster.xml!G826</f>
        <v>25,30</v>
      </c>
      <c r="F822" t="str">
        <f>monster.xml!X826</f>
        <v>monster/10061.png</v>
      </c>
      <c r="G822">
        <f>monster.xml!Y826</f>
        <v>1</v>
      </c>
    </row>
    <row r="823" spans="1:7">
      <c r="A823">
        <f>monster.xml!A827</f>
        <v>3100041</v>
      </c>
      <c r="B823">
        <f>monster.xml!B827</f>
        <v>2001</v>
      </c>
      <c r="C823">
        <f>monster.xml!C827</f>
        <v>101</v>
      </c>
      <c r="D823" t="str">
        <f>monster.xml!D827</f>
        <v>火舞者</v>
      </c>
      <c r="E823">
        <f>monster.xml!G827</f>
        <v>29</v>
      </c>
      <c r="F823" t="str">
        <f>monster.xml!X827</f>
        <v>monster/10116.png</v>
      </c>
      <c r="G823">
        <f>monster.xml!Y827</f>
        <v>1</v>
      </c>
    </row>
    <row r="824" spans="1:7">
      <c r="A824">
        <f>monster.xml!A828</f>
        <v>3100051</v>
      </c>
      <c r="B824">
        <f>monster.xml!B828</f>
        <v>2001</v>
      </c>
      <c r="C824">
        <f>monster.xml!C828</f>
        <v>101</v>
      </c>
      <c r="D824" t="str">
        <f>monster.xml!D828</f>
        <v>血誓审判者</v>
      </c>
      <c r="E824">
        <f>monster.xml!G828</f>
        <v>5</v>
      </c>
      <c r="F824" t="str">
        <f>monster.xml!X828</f>
        <v>monster/10083.png</v>
      </c>
      <c r="G824">
        <f>monster.xml!Y828</f>
        <v>1</v>
      </c>
    </row>
    <row r="825" spans="1:7">
      <c r="A825">
        <f>monster.xml!A829</f>
        <v>3100052</v>
      </c>
      <c r="B825">
        <f>monster.xml!B829</f>
        <v>2001</v>
      </c>
      <c r="C825">
        <f>monster.xml!C829</f>
        <v>101</v>
      </c>
      <c r="D825" t="str">
        <f>monster.xml!D829</f>
        <v>血誓预言者</v>
      </c>
      <c r="E825">
        <f>monster.xml!G829</f>
        <v>2</v>
      </c>
      <c r="F825" t="str">
        <f>monster.xml!X829</f>
        <v>monster/10082.png</v>
      </c>
      <c r="G825">
        <f>monster.xml!Y829</f>
        <v>1</v>
      </c>
    </row>
    <row r="826" spans="1:7">
      <c r="A826">
        <f>monster.xml!A830</f>
        <v>3100053</v>
      </c>
      <c r="B826">
        <f>monster.xml!B830</f>
        <v>2001</v>
      </c>
      <c r="C826">
        <f>monster.xml!C830</f>
        <v>101</v>
      </c>
      <c r="D826" t="str">
        <f>monster.xml!D830</f>
        <v>血誓召唤者</v>
      </c>
      <c r="E826">
        <f>monster.xml!G830</f>
        <v>26</v>
      </c>
      <c r="F826" t="str">
        <f>monster.xml!X830</f>
        <v>monster/10081.png</v>
      </c>
      <c r="G826">
        <f>monster.xml!Y830</f>
        <v>1</v>
      </c>
    </row>
    <row r="827" spans="1:7">
      <c r="A827">
        <f>monster.xml!A831</f>
        <v>3100054</v>
      </c>
      <c r="B827">
        <f>monster.xml!B831</f>
        <v>2001</v>
      </c>
      <c r="C827">
        <f>monster.xml!C831</f>
        <v>101</v>
      </c>
      <c r="D827" t="str">
        <f>monster.xml!D831</f>
        <v>血誓领主</v>
      </c>
      <c r="E827">
        <f>monster.xml!G831</f>
        <v>14</v>
      </c>
      <c r="F827" t="str">
        <f>monster.xml!X831</f>
        <v>monster/10072.png</v>
      </c>
      <c r="G827">
        <f>monster.xml!Y831</f>
        <v>1</v>
      </c>
    </row>
    <row r="828" spans="1:7">
      <c r="A828">
        <f>monster.xml!A832</f>
        <v>3100061</v>
      </c>
      <c r="B828">
        <f>monster.xml!B832</f>
        <v>2001</v>
      </c>
      <c r="C828">
        <f>monster.xml!C832</f>
        <v>102</v>
      </c>
      <c r="D828" t="str">
        <f>monster.xml!D832</f>
        <v>舞钢者拜伦</v>
      </c>
      <c r="E828">
        <f>monster.xml!G832</f>
        <v>8</v>
      </c>
      <c r="F828" t="str">
        <f>monster.xml!X832</f>
        <v>monster/10084.png</v>
      </c>
      <c r="G828">
        <f>monster.xml!Y832</f>
        <v>1</v>
      </c>
    </row>
    <row r="829" spans="1:7">
      <c r="A829">
        <f>monster.xml!A833</f>
        <v>3100071</v>
      </c>
      <c r="B829">
        <f>monster.xml!B833</f>
        <v>2001</v>
      </c>
      <c r="C829">
        <f>monster.xml!C833</f>
        <v>102</v>
      </c>
      <c r="D829" t="str">
        <f>monster.xml!D833</f>
        <v>风暴之王</v>
      </c>
      <c r="E829">
        <f>monster.xml!G833</f>
        <v>6</v>
      </c>
      <c r="F829" t="str">
        <f>monster.xml!X833</f>
        <v>monster/10138.png</v>
      </c>
      <c r="G829">
        <f>monster.xml!Y833</f>
        <v>1</v>
      </c>
    </row>
    <row r="830" spans="1:7">
      <c r="A830">
        <f>monster.xml!A834</f>
        <v>3100081</v>
      </c>
      <c r="B830">
        <f>monster.xml!B834</f>
        <v>2001</v>
      </c>
      <c r="C830">
        <f>monster.xml!C834</f>
        <v>102</v>
      </c>
      <c r="D830" t="str">
        <f>monster.xml!D834</f>
        <v>雷伊战争使者</v>
      </c>
      <c r="E830">
        <f>monster.xml!G834</f>
        <v>7</v>
      </c>
      <c r="F830" t="str">
        <f>monster.xml!X834</f>
        <v>monster/10127.png</v>
      </c>
      <c r="G830">
        <f>monster.xml!Y834</f>
        <v>1</v>
      </c>
    </row>
    <row r="831" spans="1:7">
      <c r="A831">
        <f>monster.xml!A835</f>
        <v>3100091</v>
      </c>
      <c r="B831">
        <f>monster.xml!B835</f>
        <v>2001</v>
      </c>
      <c r="C831">
        <f>monster.xml!C835</f>
        <v>102</v>
      </c>
      <c r="D831" t="str">
        <f>monster.xml!D835</f>
        <v>暴君泰伦</v>
      </c>
      <c r="E831" t="str">
        <f>monster.xml!G835</f>
        <v>10,9</v>
      </c>
      <c r="F831" t="str">
        <f>monster.xml!X835</f>
        <v>monster/10140.png</v>
      </c>
      <c r="G831">
        <f>monster.xml!Y835</f>
        <v>1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406"/>
  <sheetViews>
    <sheetView topLeftCell="A82" workbookViewId="0">
      <selection activeCell="C126" sqref="C126"/>
    </sheetView>
  </sheetViews>
  <sheetFormatPr defaultRowHeight="13.5"/>
  <sheetData>
    <row r="1" spans="1:4">
      <c r="A1" t="s">
        <v>547</v>
      </c>
      <c r="B1" t="s">
        <v>548</v>
      </c>
      <c r="D1" t="s">
        <v>549</v>
      </c>
    </row>
    <row r="2" spans="1:4">
      <c r="A2">
        <v>30</v>
      </c>
      <c r="B2">
        <f>[3]战士难度!$C1</f>
        <v>32012</v>
      </c>
      <c r="C2">
        <f>VLOOKUP(A2,[3]怪物抗性与玩家穿透!$A$2:$Q$74,17,0)</f>
        <v>1.0061248239113125</v>
      </c>
      <c r="D2">
        <f>ROUND(B2/C2,0)</f>
        <v>31817</v>
      </c>
    </row>
    <row r="3" spans="1:4">
      <c r="A3">
        <v>30</v>
      </c>
      <c r="B3">
        <f>[3]战士难度!$C2</f>
        <v>39572</v>
      </c>
      <c r="C3">
        <f>VLOOKUP(A3,[3]怪物抗性与玩家穿透!$A$2:$Q$74,17,0)</f>
        <v>1.0061248239113125</v>
      </c>
      <c r="D3">
        <f t="shared" ref="D3:D66" si="0">ROUND(B3/C3,0)</f>
        <v>39331</v>
      </c>
    </row>
    <row r="4" spans="1:4">
      <c r="A4">
        <v>31</v>
      </c>
      <c r="B4">
        <f>[3]战士难度!$C3</f>
        <v>52500</v>
      </c>
      <c r="C4">
        <f>VLOOKUP(A4,[3]怪物抗性与玩家穿透!$A$2:$Q$74,17,0)</f>
        <v>1.0141242937853108</v>
      </c>
      <c r="D4">
        <f t="shared" si="0"/>
        <v>51769</v>
      </c>
    </row>
    <row r="5" spans="1:4">
      <c r="A5">
        <v>31</v>
      </c>
      <c r="B5">
        <f>[3]战士难度!$C4</f>
        <v>59371</v>
      </c>
      <c r="C5">
        <f>VLOOKUP(A5,[3]怪物抗性与玩家穿透!$A$2:$Q$74,17,0)</f>
        <v>1.0141242937853108</v>
      </c>
      <c r="D5">
        <f t="shared" si="0"/>
        <v>58544</v>
      </c>
    </row>
    <row r="6" spans="1:4">
      <c r="A6">
        <v>31</v>
      </c>
      <c r="B6">
        <f>[3]战士难度!$C5</f>
        <v>67140</v>
      </c>
      <c r="C6">
        <f>VLOOKUP(A6,[3]怪物抗性与玩家穿透!$A$2:$Q$74,17,0)</f>
        <v>1.0141242937853108</v>
      </c>
      <c r="D6">
        <f t="shared" si="0"/>
        <v>66205</v>
      </c>
    </row>
    <row r="7" spans="1:4">
      <c r="A7">
        <v>32</v>
      </c>
      <c r="B7">
        <f>[3]战士难度!$C6</f>
        <v>79104</v>
      </c>
      <c r="C7">
        <f>VLOOKUP(A7,[3]怪物抗性与玩家穿透!$A$2:$Q$74,17,0)</f>
        <v>1.0262259068275992</v>
      </c>
      <c r="D7">
        <f t="shared" si="0"/>
        <v>77082</v>
      </c>
    </row>
    <row r="8" spans="1:4">
      <c r="A8">
        <v>32</v>
      </c>
      <c r="B8">
        <f>[3]战士难度!$C7</f>
        <v>88403</v>
      </c>
      <c r="C8">
        <f>VLOOKUP(A8,[3]怪物抗性与玩家穿透!$A$2:$Q$74,17,0)</f>
        <v>1.0262259068275992</v>
      </c>
      <c r="D8">
        <f t="shared" si="0"/>
        <v>86144</v>
      </c>
    </row>
    <row r="9" spans="1:4">
      <c r="A9">
        <v>33</v>
      </c>
      <c r="B9">
        <f>[3]战士难度!$C8</f>
        <v>98795</v>
      </c>
      <c r="C9">
        <f>VLOOKUP(A9,[3]怪物抗性与玩家穿透!$A$2:$Q$74,17,0)</f>
        <v>1.0369356348141303</v>
      </c>
      <c r="D9">
        <f t="shared" si="0"/>
        <v>95276</v>
      </c>
    </row>
    <row r="10" spans="1:4">
      <c r="A10">
        <v>34</v>
      </c>
      <c r="B10">
        <f>[3]战士难度!$C9</f>
        <v>114576</v>
      </c>
      <c r="C10">
        <f>VLOOKUP(A10,[3]怪物抗性与玩家穿透!$A$2:$Q$74,17,0)</f>
        <v>1.0464252180174023</v>
      </c>
      <c r="D10">
        <f t="shared" si="0"/>
        <v>109493</v>
      </c>
    </row>
    <row r="11" spans="1:4">
      <c r="A11">
        <v>35</v>
      </c>
      <c r="B11">
        <f>[3]战士难度!$C10</f>
        <v>55889</v>
      </c>
      <c r="C11">
        <f>VLOOKUP(A11,[3]怪物抗性与玩家穿透!$A$2:$Q$74,17,0)</f>
        <v>1.0548425998079545</v>
      </c>
      <c r="D11">
        <f t="shared" si="0"/>
        <v>52983</v>
      </c>
    </row>
    <row r="12" spans="1:4">
      <c r="A12">
        <v>35</v>
      </c>
      <c r="B12">
        <f>[3]战士难度!$C11</f>
        <v>67365</v>
      </c>
      <c r="C12">
        <f>VLOOKUP(A12,[3]怪物抗性与玩家穿透!$A$2:$Q$74,17,0)</f>
        <v>1.0548425998079545</v>
      </c>
      <c r="D12">
        <f t="shared" si="0"/>
        <v>63863</v>
      </c>
    </row>
    <row r="13" spans="1:4">
      <c r="A13">
        <v>36</v>
      </c>
      <c r="B13">
        <f>[3]战士难度!$C12</f>
        <v>86413</v>
      </c>
      <c r="C13">
        <f>VLOOKUP(A13,[3]怪物抗性与玩家穿透!$A$2:$Q$74,17,0)</f>
        <v>1.0623155845758585</v>
      </c>
      <c r="D13">
        <f t="shared" si="0"/>
        <v>81344</v>
      </c>
    </row>
    <row r="14" spans="1:4">
      <c r="A14">
        <v>36</v>
      </c>
      <c r="B14">
        <f>[3]战士难度!$C13</f>
        <v>96870</v>
      </c>
      <c r="C14">
        <f>VLOOKUP(A14,[3]怪物抗性与玩家穿透!$A$2:$Q$74,17,0)</f>
        <v>1.0623155845758585</v>
      </c>
      <c r="D14">
        <f t="shared" si="0"/>
        <v>91188</v>
      </c>
    </row>
    <row r="15" spans="1:4">
      <c r="A15">
        <v>36</v>
      </c>
      <c r="B15">
        <f>[3]战士难度!$C14</f>
        <v>108592</v>
      </c>
      <c r="C15">
        <f>VLOOKUP(A15,[3]怪物抗性与玩家穿透!$A$2:$Q$74,17,0)</f>
        <v>1.0623155845758585</v>
      </c>
      <c r="D15">
        <f t="shared" si="0"/>
        <v>102222</v>
      </c>
    </row>
    <row r="16" spans="1:4">
      <c r="A16">
        <v>37</v>
      </c>
      <c r="B16">
        <f>[3]战士难度!$C15</f>
        <v>126458</v>
      </c>
      <c r="C16">
        <f>VLOOKUP(A16,[3]怪物抗性与玩家穿透!$A$2:$Q$74,17,0)</f>
        <v>1.0689548827179796</v>
      </c>
      <c r="D16">
        <f t="shared" si="0"/>
        <v>118301</v>
      </c>
    </row>
    <row r="17" spans="1:4">
      <c r="A17">
        <v>37</v>
      </c>
      <c r="B17">
        <f>[3]战士难度!$C16</f>
        <v>140552</v>
      </c>
      <c r="C17">
        <f>VLOOKUP(A17,[3]怪物抗性与玩家穿透!$A$2:$Q$74,17,0)</f>
        <v>1.0689548827179796</v>
      </c>
      <c r="D17">
        <f t="shared" si="0"/>
        <v>131485</v>
      </c>
    </row>
    <row r="18" spans="1:4">
      <c r="A18">
        <v>38</v>
      </c>
      <c r="B18">
        <f>[3]战士难度!$C17</f>
        <v>156217</v>
      </c>
      <c r="C18">
        <f>VLOOKUP(A18,[3]怪物抗性与玩家穿透!$A$2:$Q$74,17,0)</f>
        <v>1.074856652656633</v>
      </c>
      <c r="D18">
        <f t="shared" si="0"/>
        <v>145338</v>
      </c>
    </row>
    <row r="19" spans="1:4">
      <c r="A19">
        <v>39</v>
      </c>
      <c r="B19">
        <f>[3]战士难度!$C18</f>
        <v>179852</v>
      </c>
      <c r="C19">
        <f>VLOOKUP(A19,[3]怪物抗性与玩家穿透!$A$2:$Q$74,17,0)</f>
        <v>1.0801046291375216</v>
      </c>
      <c r="D19">
        <f t="shared" si="0"/>
        <v>166513</v>
      </c>
    </row>
    <row r="20" spans="1:4">
      <c r="A20">
        <v>40</v>
      </c>
      <c r="B20">
        <f>[3]战士难度!$C19</f>
        <v>92599</v>
      </c>
      <c r="C20">
        <f>VLOOKUP(A20,[3]怪物抗性与玩家穿透!$A$2:$Q$74,17,0)</f>
        <v>1.0847719103376994</v>
      </c>
      <c r="D20">
        <f t="shared" si="0"/>
        <v>85363</v>
      </c>
    </row>
    <row r="21" spans="1:4">
      <c r="A21">
        <v>40</v>
      </c>
      <c r="B21">
        <f>[3]战士难度!$C20</f>
        <v>108904</v>
      </c>
      <c r="C21">
        <f>VLOOKUP(A21,[3]怪物抗性与玩家穿透!$A$2:$Q$74,17,0)</f>
        <v>1.0847719103376994</v>
      </c>
      <c r="D21">
        <f t="shared" si="0"/>
        <v>100393</v>
      </c>
    </row>
    <row r="22" spans="1:4">
      <c r="A22">
        <v>41</v>
      </c>
      <c r="B22">
        <f>[3]战士难度!$C21</f>
        <v>135194</v>
      </c>
      <c r="C22">
        <f>VLOOKUP(A22,[3]怪物抗性与玩家穿透!$A$2:$Q$74,17,0)</f>
        <v>1.0889224628355065</v>
      </c>
      <c r="D22">
        <f t="shared" si="0"/>
        <v>124154</v>
      </c>
    </row>
    <row r="23" spans="1:4">
      <c r="A23">
        <v>41</v>
      </c>
      <c r="B23">
        <f>[3]战士难度!$C22</f>
        <v>150115</v>
      </c>
      <c r="C23">
        <f>VLOOKUP(A23,[3]怪物抗性与玩家穿透!$A$2:$Q$74,17,0)</f>
        <v>1.0889224628355065</v>
      </c>
      <c r="D23">
        <f t="shared" si="0"/>
        <v>137856</v>
      </c>
    </row>
    <row r="24" spans="1:4">
      <c r="A24">
        <v>41</v>
      </c>
      <c r="B24">
        <f>[3]战士难度!$C23</f>
        <v>166683</v>
      </c>
      <c r="C24">
        <f>VLOOKUP(A24,[3]怪物抗性与玩家穿透!$A$2:$Q$74,17,0)</f>
        <v>1.0889224628355065</v>
      </c>
      <c r="D24">
        <f t="shared" si="0"/>
        <v>153072</v>
      </c>
    </row>
    <row r="25" spans="1:4">
      <c r="A25">
        <v>42</v>
      </c>
      <c r="B25">
        <f>[3]战士难度!$C24</f>
        <v>191652</v>
      </c>
      <c r="C25">
        <f>VLOOKUP(A25,[3]怪物抗性与玩家穿透!$A$2:$Q$74,17,0)</f>
        <v>1.0926123926238318</v>
      </c>
      <c r="D25">
        <f t="shared" si="0"/>
        <v>175407</v>
      </c>
    </row>
    <row r="26" spans="1:4">
      <c r="A26">
        <v>42</v>
      </c>
      <c r="B26">
        <f>[3]战士难度!$C25</f>
        <v>211679</v>
      </c>
      <c r="C26">
        <f>VLOOKUP(A26,[3]怪物抗性与玩家穿透!$A$2:$Q$74,17,0)</f>
        <v>1.0926123926238318</v>
      </c>
      <c r="D26">
        <f t="shared" si="0"/>
        <v>193737</v>
      </c>
    </row>
    <row r="27" spans="1:4">
      <c r="A27">
        <v>43</v>
      </c>
      <c r="B27">
        <f>[3]战士难度!$C26</f>
        <v>233800</v>
      </c>
      <c r="C27">
        <f>VLOOKUP(A27,[3]怪物抗性与玩家穿透!$A$2:$Q$74,17,0)</f>
        <v>1.0958910215721893</v>
      </c>
      <c r="D27">
        <f t="shared" si="0"/>
        <v>213342</v>
      </c>
    </row>
    <row r="28" spans="1:4">
      <c r="A28">
        <v>44</v>
      </c>
      <c r="B28">
        <f>[3]战士难度!$C27</f>
        <v>266930</v>
      </c>
      <c r="C28">
        <f>VLOOKUP(A28,[3]怪物抗性与玩家穿透!$A$2:$Q$74,17,0)</f>
        <v>1.0988018016476118</v>
      </c>
      <c r="D28">
        <f t="shared" si="0"/>
        <v>242928</v>
      </c>
    </row>
    <row r="29" spans="1:4">
      <c r="A29">
        <v>45</v>
      </c>
      <c r="B29">
        <f>[3]战士难度!$C28</f>
        <v>136233</v>
      </c>
      <c r="C29">
        <f>VLOOKUP(A29,[3]怪物抗性与玩家穿透!$A$2:$Q$74,17,0)</f>
        <v>1.1013830934565856</v>
      </c>
      <c r="D29">
        <f t="shared" si="0"/>
        <v>123693</v>
      </c>
    </row>
    <row r="30" spans="1:4">
      <c r="A30">
        <v>45</v>
      </c>
      <c r="B30">
        <f>[3]战士难度!$C29</f>
        <v>158796</v>
      </c>
      <c r="C30">
        <f>VLOOKUP(A30,[3]怪物抗性与玩家穿透!$A$2:$Q$74,17,0)</f>
        <v>1.1013830934565856</v>
      </c>
      <c r="D30">
        <f t="shared" si="0"/>
        <v>144179</v>
      </c>
    </row>
    <row r="31" spans="1:4">
      <c r="A31">
        <v>46</v>
      </c>
      <c r="B31">
        <f>[3]战士难度!$C30</f>
        <v>194795</v>
      </c>
      <c r="C31">
        <f>VLOOKUP(A31,[3]怪物抗性与玩家穿透!$A$2:$Q$74,17,0)</f>
        <v>1.103668831004097</v>
      </c>
      <c r="D31">
        <f t="shared" si="0"/>
        <v>176498</v>
      </c>
    </row>
    <row r="32" spans="1:4">
      <c r="A32">
        <v>46</v>
      </c>
      <c r="B32">
        <f>[3]战士难度!$C31</f>
        <v>215484</v>
      </c>
      <c r="C32">
        <f>VLOOKUP(A32,[3]怪物抗性与玩家穿透!$A$2:$Q$74,17,0)</f>
        <v>1.103668831004097</v>
      </c>
      <c r="D32">
        <f t="shared" si="0"/>
        <v>195243</v>
      </c>
    </row>
    <row r="33" spans="1:4">
      <c r="A33">
        <v>46</v>
      </c>
      <c r="B33">
        <f>[3]战士难度!$C32</f>
        <v>238371</v>
      </c>
      <c r="C33">
        <f>VLOOKUP(A33,[3]怪物抗性与玩家穿透!$A$2:$Q$74,17,0)</f>
        <v>1.103668831004097</v>
      </c>
      <c r="D33">
        <f t="shared" si="0"/>
        <v>215981</v>
      </c>
    </row>
    <row r="34" spans="1:4">
      <c r="A34">
        <v>47</v>
      </c>
      <c r="B34">
        <f>[3]战士难度!$C33</f>
        <v>272712</v>
      </c>
      <c r="C34">
        <f>VLOOKUP(A34,[3]怪物抗性与玩家穿透!$A$2:$Q$74,17,0)</f>
        <v>1.2031943305364541</v>
      </c>
      <c r="D34">
        <f t="shared" si="0"/>
        <v>226657</v>
      </c>
    </row>
    <row r="35" spans="1:4">
      <c r="A35">
        <v>47</v>
      </c>
      <c r="B35">
        <f>[3]战士难度!$C34</f>
        <v>300440</v>
      </c>
      <c r="C35">
        <f>VLOOKUP(A35,[3]怪物抗性与玩家穿透!$A$2:$Q$74,17,0)</f>
        <v>1.2031943305364541</v>
      </c>
      <c r="D35">
        <f t="shared" si="0"/>
        <v>249702</v>
      </c>
    </row>
    <row r="36" spans="1:4">
      <c r="A36">
        <v>48</v>
      </c>
      <c r="B36">
        <f>[3]战士难度!$C35</f>
        <v>330987</v>
      </c>
      <c r="C36">
        <f>VLOOKUP(A36,[3]怪物抗性与玩家穿透!$A$2:$Q$74,17,0)</f>
        <v>1.2983080850746616</v>
      </c>
      <c r="D36">
        <f t="shared" si="0"/>
        <v>254937</v>
      </c>
    </row>
    <row r="37" spans="1:4">
      <c r="A37">
        <v>49</v>
      </c>
      <c r="B37">
        <f>[3]战士难度!$C36</f>
        <v>376602</v>
      </c>
      <c r="C37">
        <f>VLOOKUP(A37,[3]怪物抗性与玩家穿透!$A$2:$Q$74,17,0)</f>
        <v>1.3888596939903837</v>
      </c>
      <c r="D37">
        <f t="shared" si="0"/>
        <v>271159</v>
      </c>
    </row>
    <row r="38" spans="1:4">
      <c r="A38">
        <v>50</v>
      </c>
      <c r="B38">
        <f>[3]战士难度!$C37</f>
        <v>205857</v>
      </c>
      <c r="C38">
        <f>VLOOKUP(A38,[3]怪物抗性与玩家穿透!$A$2:$Q$74,17,0)</f>
        <v>1.4747895599187224</v>
      </c>
      <c r="D38">
        <f t="shared" si="0"/>
        <v>139584</v>
      </c>
    </row>
    <row r="39" spans="1:4">
      <c r="A39">
        <v>50</v>
      </c>
      <c r="B39">
        <f>[3]战士难度!$C38</f>
        <v>236146</v>
      </c>
      <c r="C39">
        <f>VLOOKUP(A39,[3]怪物抗性与玩家穿透!$A$2:$Q$74,17,0)</f>
        <v>1.4747895599187224</v>
      </c>
      <c r="D39">
        <f t="shared" si="0"/>
        <v>160122</v>
      </c>
    </row>
    <row r="40" spans="1:4">
      <c r="A40">
        <v>51</v>
      </c>
      <c r="B40">
        <f>[3]战士难度!$C39</f>
        <v>283574</v>
      </c>
      <c r="C40">
        <f>VLOOKUP(A40,[3]怪物抗性与玩家穿透!$A$2:$Q$74,17,0)</f>
        <v>1.5561073788285797</v>
      </c>
      <c r="D40">
        <f t="shared" si="0"/>
        <v>182233</v>
      </c>
    </row>
    <row r="41" spans="1:4">
      <c r="A41">
        <v>51</v>
      </c>
      <c r="B41">
        <f>[3]战士难度!$C40</f>
        <v>311468</v>
      </c>
      <c r="C41">
        <f>VLOOKUP(A41,[3]怪物抗性与玩家穿透!$A$2:$Q$74,17,0)</f>
        <v>1.5561073788285797</v>
      </c>
      <c r="D41">
        <f t="shared" si="0"/>
        <v>200158</v>
      </c>
    </row>
    <row r="42" spans="1:4">
      <c r="A42">
        <v>51</v>
      </c>
      <c r="B42">
        <f>[3]战士难度!$C41</f>
        <v>342105</v>
      </c>
      <c r="C42">
        <f>VLOOKUP(A42,[3]怪物抗性与玩家穿透!$A$2:$Q$74,17,0)</f>
        <v>1.5561073788285797</v>
      </c>
      <c r="D42">
        <f t="shared" si="0"/>
        <v>219847</v>
      </c>
    </row>
    <row r="43" spans="1:4">
      <c r="A43">
        <v>52</v>
      </c>
      <c r="B43">
        <f>[3]战士难度!$C42</f>
        <v>387694</v>
      </c>
      <c r="C43">
        <f>VLOOKUP(A43,[3]怪物抗性与玩家穿透!$A$2:$Q$74,17,0)</f>
        <v>1.632875137996699</v>
      </c>
      <c r="D43">
        <f t="shared" si="0"/>
        <v>237430</v>
      </c>
    </row>
    <row r="44" spans="1:4">
      <c r="A44">
        <v>52</v>
      </c>
      <c r="B44">
        <f>[3]战士难度!$C43</f>
        <v>424979</v>
      </c>
      <c r="C44">
        <f>VLOOKUP(A44,[3]怪物抗性与玩家穿透!$A$2:$Q$74,17,0)</f>
        <v>1.632875137996699</v>
      </c>
      <c r="D44">
        <f t="shared" si="0"/>
        <v>260264</v>
      </c>
    </row>
    <row r="45" spans="1:4">
      <c r="A45">
        <v>53</v>
      </c>
      <c r="B45">
        <f>[3]战士难度!$C44</f>
        <v>465849</v>
      </c>
      <c r="C45">
        <f>VLOOKUP(A45,[3]怪物抗性与玩家穿透!$A$2:$Q$74,17,0)</f>
        <v>1.7051936863402923</v>
      </c>
      <c r="D45">
        <f t="shared" si="0"/>
        <v>273194</v>
      </c>
    </row>
    <row r="46" spans="1:4">
      <c r="A46">
        <v>54</v>
      </c>
      <c r="B46">
        <f>[3]战士难度!$C45</f>
        <v>526522</v>
      </c>
      <c r="C46">
        <f>VLOOKUP(A46,[3]怪物抗性与玩家穿透!$A$2:$Q$74,17,0)</f>
        <v>1.7731921405419184</v>
      </c>
      <c r="D46">
        <f t="shared" si="0"/>
        <v>296935</v>
      </c>
    </row>
    <row r="47" spans="1:4">
      <c r="A47">
        <v>55</v>
      </c>
      <c r="B47">
        <f>[3]战士难度!$C46</f>
        <v>297057</v>
      </c>
      <c r="C47">
        <f>VLOOKUP(A47,[3]怪物抗性与玩家穿透!$A$2:$Q$74,17,0)</f>
        <v>1.8370195454607101</v>
      </c>
      <c r="D47">
        <f t="shared" si="0"/>
        <v>161706</v>
      </c>
    </row>
    <row r="48" spans="1:4">
      <c r="A48">
        <v>55</v>
      </c>
      <c r="B48">
        <f>[3]战士难度!$C47</f>
        <v>336949</v>
      </c>
      <c r="C48">
        <f>VLOOKUP(A48,[3]怪物抗性与玩家穿透!$A$2:$Q$74,17,0)</f>
        <v>1.8370195454607101</v>
      </c>
      <c r="D48">
        <f t="shared" si="0"/>
        <v>183422</v>
      </c>
    </row>
    <row r="49" spans="1:4">
      <c r="A49">
        <v>56</v>
      </c>
      <c r="B49">
        <f>[3]战士难度!$C48</f>
        <v>398593</v>
      </c>
      <c r="C49">
        <f>VLOOKUP(A49,[3]怪物抗性与玩家穿透!$A$2:$Q$74,17,0)</f>
        <v>1.8968383285704005</v>
      </c>
      <c r="D49">
        <f t="shared" si="0"/>
        <v>210135</v>
      </c>
    </row>
    <row r="50" spans="1:4">
      <c r="A50">
        <v>56</v>
      </c>
      <c r="B50">
        <f>[3]战士难度!$C49</f>
        <v>435461</v>
      </c>
      <c r="C50">
        <f>VLOOKUP(A50,[3]怪物抗性与玩家穿透!$A$2:$Q$74,17,0)</f>
        <v>1.8968383285704005</v>
      </c>
      <c r="D50">
        <f t="shared" si="0"/>
        <v>229572</v>
      </c>
    </row>
    <row r="51" spans="1:4">
      <c r="A51">
        <v>56</v>
      </c>
      <c r="B51">
        <f>[3]战士难度!$C50</f>
        <v>475739</v>
      </c>
      <c r="C51">
        <f>VLOOKUP(A51,[3]怪物抗性与玩家穿透!$A$2:$Q$74,17,0)</f>
        <v>1.8968383285704005</v>
      </c>
      <c r="D51">
        <f t="shared" si="0"/>
        <v>250806</v>
      </c>
    </row>
    <row r="52" spans="1:4">
      <c r="A52">
        <v>57</v>
      </c>
      <c r="B52">
        <f>[3]战士难度!$C51</f>
        <v>535297</v>
      </c>
      <c r="C52">
        <f>VLOOKUP(A52,[3]怪物抗性与玩家穿透!$A$2:$Q$74,17,0)</f>
        <v>1.9528191832758077</v>
      </c>
      <c r="D52">
        <f t="shared" si="0"/>
        <v>274115</v>
      </c>
    </row>
    <row r="53" spans="1:4">
      <c r="A53">
        <v>57</v>
      </c>
      <c r="B53">
        <f>[3]战士难度!$C52</f>
        <v>584488</v>
      </c>
      <c r="C53">
        <f>VLOOKUP(A53,[3]怪物抗性与玩家穿透!$A$2:$Q$74,17,0)</f>
        <v>1.9528191832758077</v>
      </c>
      <c r="D53">
        <f t="shared" si="0"/>
        <v>299305</v>
      </c>
    </row>
    <row r="54" spans="1:4">
      <c r="A54">
        <v>58</v>
      </c>
      <c r="B54">
        <f>[3]战士难度!$C53</f>
        <v>638200</v>
      </c>
      <c r="C54">
        <f>VLOOKUP(A54,[3]怪物抗性与玩家穿透!$A$2:$Q$74,17,0)</f>
        <v>2.0051370907958033</v>
      </c>
      <c r="D54">
        <f t="shared" si="0"/>
        <v>318282</v>
      </c>
    </row>
    <row r="55" spans="1:4">
      <c r="A55">
        <v>59</v>
      </c>
      <c r="B55">
        <f>[3]战士难度!$C54</f>
        <v>717570</v>
      </c>
      <c r="C55">
        <f>VLOOKUP(A55,[3]怪物抗性与玩家穿透!$A$2:$Q$74,17,0)</f>
        <v>2.0539682493532241</v>
      </c>
      <c r="D55">
        <f t="shared" si="0"/>
        <v>349358</v>
      </c>
    </row>
    <row r="56" spans="1:4">
      <c r="A56">
        <v>60</v>
      </c>
      <c r="B56">
        <f>[3]战士难度!$C55</f>
        <v>441390</v>
      </c>
      <c r="C56">
        <f>VLOOKUP(A56,[3]怪物抗性与玩家穿透!$A$2:$Q$74,17,0)</f>
        <v>2.0994877261354725</v>
      </c>
      <c r="D56">
        <f t="shared" si="0"/>
        <v>210237</v>
      </c>
    </row>
    <row r="57" spans="1:4">
      <c r="A57">
        <v>60</v>
      </c>
      <c r="B57">
        <f>[3]战士难度!$C56</f>
        <v>496479</v>
      </c>
      <c r="C57">
        <f>VLOOKUP(A57,[3]怪物抗性与玩家穿透!$A$2:$Q$74,17,0)</f>
        <v>2.0994877261354725</v>
      </c>
      <c r="D57">
        <f t="shared" si="0"/>
        <v>236476</v>
      </c>
    </row>
    <row r="58" spans="1:4">
      <c r="A58">
        <v>61</v>
      </c>
      <c r="B58">
        <f>[3]战士难度!$C57</f>
        <v>580771</v>
      </c>
      <c r="C58">
        <f>VLOOKUP(A58,[3]怪物抗性与玩家穿透!$A$2:$Q$74,17,0)</f>
        <v>2.1418676845513991</v>
      </c>
      <c r="D58">
        <f t="shared" si="0"/>
        <v>271152</v>
      </c>
    </row>
    <row r="59" spans="1:4">
      <c r="A59">
        <v>61</v>
      </c>
      <c r="B59">
        <f>[3]战士难度!$C58</f>
        <v>631834</v>
      </c>
      <c r="C59">
        <f>VLOOKUP(A59,[3]怪物抗性与玩家穿透!$A$2:$Q$74,17,0)</f>
        <v>2.1418676845513991</v>
      </c>
      <c r="D59">
        <f t="shared" si="0"/>
        <v>294992</v>
      </c>
    </row>
    <row r="60" spans="1:4">
      <c r="A60">
        <v>61</v>
      </c>
      <c r="B60">
        <f>[3]战士难度!$C59</f>
        <v>687387</v>
      </c>
      <c r="C60">
        <f>VLOOKUP(A60,[3]怪物抗性与玩家穿透!$A$2:$Q$74,17,0)</f>
        <v>2.1418676845513991</v>
      </c>
      <c r="D60">
        <f t="shared" si="0"/>
        <v>320929</v>
      </c>
    </row>
    <row r="61" spans="1:4">
      <c r="A61">
        <v>62</v>
      </c>
      <c r="B61">
        <f>[3]战士难度!$C60</f>
        <v>769128</v>
      </c>
      <c r="C61">
        <f>VLOOKUP(A61,[3]怪物抗性与玩家穿透!$A$2:$Q$74,17,0)</f>
        <v>2.181276068777926</v>
      </c>
      <c r="D61">
        <f t="shared" si="0"/>
        <v>352605</v>
      </c>
    </row>
    <row r="62" spans="1:4">
      <c r="A62">
        <v>62</v>
      </c>
      <c r="B62">
        <f>[3]战士难度!$C61</f>
        <v>837170</v>
      </c>
      <c r="C62">
        <f>VLOOKUP(A62,[3]怪物抗性与玩家穿透!$A$2:$Q$74,17,0)</f>
        <v>2.181276068777926</v>
      </c>
      <c r="D62">
        <f t="shared" si="0"/>
        <v>383798</v>
      </c>
    </row>
    <row r="63" spans="1:4">
      <c r="A63">
        <v>63</v>
      </c>
      <c r="B63">
        <f>[3]战士难度!$C62</f>
        <v>911232</v>
      </c>
      <c r="C63">
        <f>VLOOKUP(A63,[3]怪物抗性与玩家穿透!$A$2:$Q$74,17,0)</f>
        <v>2.2178756510713313</v>
      </c>
      <c r="D63">
        <f t="shared" si="0"/>
        <v>410858</v>
      </c>
    </row>
    <row r="64" spans="1:4">
      <c r="A64">
        <v>64</v>
      </c>
      <c r="B64">
        <f>[3]战士难度!$C63</f>
        <v>1020271</v>
      </c>
      <c r="C64">
        <f>VLOOKUP(A64,[3]怪物抗性与玩家穿透!$A$2:$Q$74,17,0)</f>
        <v>2.2518233660675429</v>
      </c>
      <c r="D64">
        <f t="shared" si="0"/>
        <v>453087</v>
      </c>
    </row>
    <row r="65" spans="1:4">
      <c r="A65">
        <v>65</v>
      </c>
      <c r="B65">
        <f>[3]战士难度!$C64</f>
        <v>644882</v>
      </c>
      <c r="C65">
        <f>VLOOKUP(A65,[3]怪物抗性与玩家穿透!$A$2:$Q$74,17,0)</f>
        <v>2.2832698712947881</v>
      </c>
      <c r="D65">
        <f t="shared" si="0"/>
        <v>282438</v>
      </c>
    </row>
    <row r="66" spans="1:4">
      <c r="A66">
        <v>65</v>
      </c>
      <c r="B66">
        <f>[3]战士难度!$C65</f>
        <v>718649</v>
      </c>
      <c r="C66">
        <f>VLOOKUP(A66,[3]怪物抗性与玩家穿透!$A$2:$Q$74,17,0)</f>
        <v>2.2832698712947881</v>
      </c>
      <c r="D66">
        <f t="shared" si="0"/>
        <v>314746</v>
      </c>
    </row>
    <row r="67" spans="1:4">
      <c r="A67">
        <v>66</v>
      </c>
      <c r="B67">
        <f>[3]战士难度!$C66</f>
        <v>830293</v>
      </c>
      <c r="C67">
        <f>VLOOKUP(A67,[3]怪物抗性与玩家穿透!$A$2:$Q$74,17,0)</f>
        <v>2.312359285141266</v>
      </c>
      <c r="D67">
        <f t="shared" ref="D67:D130" si="1">ROUND(B67/C67,0)</f>
        <v>359067</v>
      </c>
    </row>
    <row r="68" spans="1:4">
      <c r="A68">
        <v>66</v>
      </c>
      <c r="B68">
        <f>[3]战士难度!$C67</f>
        <v>898913</v>
      </c>
      <c r="C68">
        <f>VLOOKUP(A68,[3]怪物抗性与玩家穿透!$A$2:$Q$74,17,0)</f>
        <v>2.312359285141266</v>
      </c>
      <c r="D68">
        <f t="shared" si="1"/>
        <v>388743</v>
      </c>
    </row>
    <row r="69" spans="1:4">
      <c r="A69">
        <v>66</v>
      </c>
      <c r="B69">
        <f>[3]战士难度!$C68</f>
        <v>973204</v>
      </c>
      <c r="C69">
        <f>VLOOKUP(A69,[3]怪物抗性与玩家穿透!$A$2:$Q$74,17,0)</f>
        <v>2.312359285141266</v>
      </c>
      <c r="D69">
        <f t="shared" si="1"/>
        <v>420871</v>
      </c>
    </row>
    <row r="70" spans="1:4">
      <c r="A70">
        <v>67</v>
      </c>
      <c r="B70">
        <f>[3]战士难度!$C69</f>
        <v>1081897</v>
      </c>
      <c r="C70">
        <f>VLOOKUP(A70,[3]怪物抗性与玩家穿透!$A$2:$Q$74,17,0)</f>
        <v>2.3392290631667616</v>
      </c>
      <c r="D70">
        <f t="shared" si="1"/>
        <v>462502</v>
      </c>
    </row>
    <row r="71" spans="1:4">
      <c r="A71">
        <v>67</v>
      </c>
      <c r="B71">
        <f>[3]战士难度!$C70</f>
        <v>1173208</v>
      </c>
      <c r="C71">
        <f>VLOOKUP(A71,[3]怪物抗性与玩家穿透!$A$2:$Q$74,17,0)</f>
        <v>2.3392290631667616</v>
      </c>
      <c r="D71">
        <f t="shared" si="1"/>
        <v>501536</v>
      </c>
    </row>
    <row r="72" spans="1:4">
      <c r="A72">
        <v>68</v>
      </c>
      <c r="B72">
        <f>[3]战士难度!$C71</f>
        <v>1272226</v>
      </c>
      <c r="C72">
        <f>VLOOKUP(A72,[3]怪物抗性与玩家穿透!$A$2:$Q$74,17,0)</f>
        <v>2.3640099813994913</v>
      </c>
      <c r="D72">
        <f t="shared" si="1"/>
        <v>538164</v>
      </c>
    </row>
    <row r="73" spans="1:4">
      <c r="A73">
        <v>69</v>
      </c>
      <c r="B73">
        <f>[3]战士难度!$C72</f>
        <v>1417370</v>
      </c>
      <c r="C73">
        <f>VLOOKUP(A73,[3]怪物抗性与玩家穿透!$A$2:$Q$74,17,0)</f>
        <v>2.3868262014969699</v>
      </c>
      <c r="D73">
        <f t="shared" si="1"/>
        <v>593830</v>
      </c>
    </row>
    <row r="74" spans="1:4">
      <c r="A74">
        <v>70</v>
      </c>
      <c r="B74">
        <f>[3]战士难度!$C73</f>
        <v>918191</v>
      </c>
      <c r="C74">
        <f>VLOOKUP(A74,[3]怪物抗性与玩家穿透!$A$2:$Q$74,17,0)</f>
        <v>2.4077953976733797</v>
      </c>
      <c r="D74">
        <f t="shared" si="1"/>
        <v>381341</v>
      </c>
    </row>
    <row r="75" spans="1:4">
      <c r="A75">
        <v>70</v>
      </c>
      <c r="B75">
        <f>[3]战士难度!$C74</f>
        <v>1018864</v>
      </c>
      <c r="C75">
        <f>VLOOKUP(A75,[3]怪物抗性与玩家穿透!$A$2:$Q$74,17,0)</f>
        <v>2.4077953976733797</v>
      </c>
      <c r="D75">
        <f t="shared" si="1"/>
        <v>423152</v>
      </c>
    </row>
    <row r="76" spans="1:4">
      <c r="A76">
        <v>71</v>
      </c>
      <c r="B76">
        <f>[3]战士难度!$C75</f>
        <v>1170469</v>
      </c>
      <c r="C76">
        <f>VLOOKUP(A76,[3]怪物抗性与玩家穿透!$A$2:$Q$74,17,0)</f>
        <v>2.4242631086570161</v>
      </c>
      <c r="D76">
        <f t="shared" si="1"/>
        <v>482814</v>
      </c>
    </row>
    <row r="77" spans="1:4">
      <c r="A77">
        <v>71</v>
      </c>
      <c r="B77">
        <f>[3]战士难度!$C76</f>
        <v>1264283</v>
      </c>
      <c r="C77">
        <f>VLOOKUP(A77,[3]怪物抗性与玩家穿透!$A$2:$Q$74,17,0)</f>
        <v>2.4242631086570161</v>
      </c>
      <c r="D77">
        <f t="shared" si="1"/>
        <v>521512</v>
      </c>
    </row>
    <row r="78" spans="1:4">
      <c r="A78">
        <v>71</v>
      </c>
      <c r="B78">
        <f>[3]战士难度!$C77</f>
        <v>1365615</v>
      </c>
      <c r="C78">
        <f>VLOOKUP(A78,[3]怪物抗性与玩家穿透!$A$2:$Q$74,17,0)</f>
        <v>2.4242631086570161</v>
      </c>
      <c r="D78">
        <f t="shared" si="1"/>
        <v>563311</v>
      </c>
    </row>
    <row r="79" spans="1:4">
      <c r="A79">
        <v>72</v>
      </c>
      <c r="B79">
        <f>[3]战士难度!$C78</f>
        <v>1513471</v>
      </c>
      <c r="C79">
        <f>VLOOKUP(A79,[3]怪物抗性与玩家穿透!$A$2:$Q$74,17,0)</f>
        <v>2.4363487220326188</v>
      </c>
      <c r="D79">
        <f t="shared" si="1"/>
        <v>621205</v>
      </c>
    </row>
    <row r="80" spans="1:4">
      <c r="A80">
        <v>72</v>
      </c>
      <c r="B80">
        <f>[3]战士难度!$C79</f>
        <v>1638231</v>
      </c>
      <c r="C80">
        <f>VLOOKUP(A80,[3]怪物抗性与玩家穿透!$A$2:$Q$74,17,0)</f>
        <v>2.4363487220326188</v>
      </c>
      <c r="D80">
        <f t="shared" si="1"/>
        <v>672412</v>
      </c>
    </row>
    <row r="81" spans="1:4">
      <c r="A81">
        <v>73</v>
      </c>
      <c r="B81">
        <f>[3]战士难度!$C80</f>
        <v>1773276</v>
      </c>
      <c r="C81">
        <f>VLOOKUP(A81,[3]怪物抗性与玩家穿透!$A$2:$Q$74,17,0)</f>
        <v>2.4442269953962246</v>
      </c>
      <c r="D81">
        <f t="shared" si="1"/>
        <v>725496</v>
      </c>
    </row>
    <row r="82" spans="1:4">
      <c r="A82">
        <v>74</v>
      </c>
      <c r="B82">
        <f>[3]战士难度!$C81</f>
        <v>1970808</v>
      </c>
      <c r="C82">
        <f>VLOOKUP(A82,[3]怪物抗性与玩家穿透!$A$2:$Q$74,17,0)</f>
        <v>2.4481193019639087</v>
      </c>
      <c r="D82">
        <f t="shared" si="1"/>
        <v>805029</v>
      </c>
    </row>
    <row r="83" spans="1:4">
      <c r="A83">
        <v>75</v>
      </c>
      <c r="B83">
        <f>[3]战士难度!$C82</f>
        <v>1256089</v>
      </c>
      <c r="C83">
        <f>VLOOKUP(A83,[3]怪物抗性与玩家穿透!$A$2:$Q$74,17,0)</f>
        <v>2.4482840031770676</v>
      </c>
      <c r="D83">
        <f t="shared" si="1"/>
        <v>513049</v>
      </c>
    </row>
    <row r="84" spans="1:4">
      <c r="A84">
        <v>75</v>
      </c>
      <c r="B84">
        <f>[3]战士难度!$C83</f>
        <v>1399176</v>
      </c>
      <c r="C84">
        <f>VLOOKUP(A84,[3]怪物抗性与玩家穿透!$A$2:$Q$74,17,0)</f>
        <v>2.4482840031770676</v>
      </c>
      <c r="D84">
        <f t="shared" si="1"/>
        <v>571493</v>
      </c>
    </row>
    <row r="85" spans="1:4">
      <c r="A85">
        <v>76</v>
      </c>
      <c r="B85">
        <f>[3]战士难度!$C84</f>
        <v>1615629</v>
      </c>
      <c r="C85">
        <f>VLOOKUP(A85,[3]怪物抗性与玩家穿透!$A$2:$Q$74,17,0)</f>
        <v>2.4450065791656015</v>
      </c>
      <c r="D85">
        <f t="shared" si="1"/>
        <v>660787</v>
      </c>
    </row>
    <row r="86" spans="1:4">
      <c r="A86">
        <v>76</v>
      </c>
      <c r="B86">
        <f>[3]战士难度!$C85</f>
        <v>1748757</v>
      </c>
      <c r="C86">
        <f>VLOOKUP(A86,[3]怪物抗性与玩家穿透!$A$2:$Q$74,17,0)</f>
        <v>2.4450065791656015</v>
      </c>
      <c r="D86">
        <f t="shared" si="1"/>
        <v>715236</v>
      </c>
    </row>
    <row r="87" spans="1:4">
      <c r="A87">
        <v>76</v>
      </c>
      <c r="B87">
        <f>[3]战士难度!$C86</f>
        <v>1892855</v>
      </c>
      <c r="C87">
        <f>VLOOKUP(A87,[3]怪物抗性与玩家穿透!$A$2:$Q$74,17,0)</f>
        <v>2.4450065791656015</v>
      </c>
      <c r="D87">
        <f t="shared" si="1"/>
        <v>774172</v>
      </c>
    </row>
    <row r="88" spans="1:4">
      <c r="A88">
        <v>77</v>
      </c>
      <c r="B88">
        <f>[3]战士难度!$C87</f>
        <v>2103623</v>
      </c>
      <c r="C88">
        <f>VLOOKUP(A88,[3]怪物抗性与玩家穿透!$A$2:$Q$74,17,0)</f>
        <v>2.438590059896411</v>
      </c>
      <c r="D88">
        <f t="shared" si="1"/>
        <v>862639</v>
      </c>
    </row>
    <row r="89" spans="1:4">
      <c r="A89">
        <v>77</v>
      </c>
      <c r="B89">
        <f>[3]战士难度!$C88</f>
        <v>2280762</v>
      </c>
      <c r="C89">
        <f>VLOOKUP(A89,[3]怪物抗性与玩家穿透!$A$2:$Q$74,17,0)</f>
        <v>2.438590059896411</v>
      </c>
      <c r="D89">
        <f t="shared" si="1"/>
        <v>935279</v>
      </c>
    </row>
    <row r="90" spans="1:4">
      <c r="A90">
        <v>78</v>
      </c>
      <c r="B90">
        <f>[3]战士难度!$C89</f>
        <v>2472818</v>
      </c>
      <c r="C90">
        <f>VLOOKUP(A90,[3]怪物抗性与玩家穿透!$A$2:$Q$74,17,0)</f>
        <v>2.4293461832281542</v>
      </c>
      <c r="D90">
        <f t="shared" si="1"/>
        <v>1017894</v>
      </c>
    </row>
    <row r="91" spans="1:4">
      <c r="A91">
        <v>79</v>
      </c>
      <c r="B91">
        <f>[3]战士难度!$C90</f>
        <v>2754281</v>
      </c>
      <c r="C91">
        <f>VLOOKUP(A91,[3]怪物抗性与玩家穿透!$A$2:$Q$74,17,0)</f>
        <v>2.4175875787732251</v>
      </c>
      <c r="D91">
        <f t="shared" si="1"/>
        <v>1139268</v>
      </c>
    </row>
    <row r="92" spans="1:4">
      <c r="A92">
        <v>80</v>
      </c>
      <c r="B92">
        <f>[3]战士难度!$C91</f>
        <v>1674661</v>
      </c>
      <c r="C92">
        <f>VLOOKUP(A92,[3]怪物抗性与玩家穿透!$A$2:$Q$74,17,0)</f>
        <v>2.4036211533087277</v>
      </c>
      <c r="D92">
        <f t="shared" si="1"/>
        <v>696724</v>
      </c>
    </row>
    <row r="93" spans="1:4">
      <c r="A93">
        <v>80</v>
      </c>
      <c r="B93">
        <f>[3]战士难度!$C92</f>
        <v>1870982</v>
      </c>
      <c r="C93">
        <f>VLOOKUP(A93,[3]怪物抗性与玩家穿透!$A$2:$Q$74,17,0)</f>
        <v>2.4036211533087277</v>
      </c>
      <c r="D93">
        <f t="shared" si="1"/>
        <v>778401</v>
      </c>
    </row>
    <row r="94" spans="1:4">
      <c r="A94">
        <v>81</v>
      </c>
      <c r="B94">
        <f>[3]战士难度!$C93</f>
        <v>2169002</v>
      </c>
      <c r="C94">
        <f>VLOOKUP(A94,[3]怪物抗性与玩家穿透!$A$2:$Q$74,17,0)</f>
        <v>2.3877427450961606</v>
      </c>
      <c r="D94">
        <f t="shared" si="1"/>
        <v>908390</v>
      </c>
    </row>
    <row r="95" spans="1:4">
      <c r="A95">
        <v>81</v>
      </c>
      <c r="B95">
        <f>[3]战士难度!$C94</f>
        <v>2351443</v>
      </c>
      <c r="C95">
        <f>VLOOKUP(A95,[3]怪物抗性与玩家穿透!$A$2:$Q$74,17,0)</f>
        <v>2.3877427450961606</v>
      </c>
      <c r="D95">
        <f t="shared" si="1"/>
        <v>984797</v>
      </c>
    </row>
    <row r="96" spans="1:4">
      <c r="A96">
        <v>81</v>
      </c>
      <c r="B96">
        <f>[3]战士难度!$C95</f>
        <v>2549230</v>
      </c>
      <c r="C96">
        <f>VLOOKUP(A96,[3]怪物抗性与玩家穿透!$A$2:$Q$74,17,0)</f>
        <v>2.3877427450961606</v>
      </c>
      <c r="D96">
        <f t="shared" si="1"/>
        <v>1067632</v>
      </c>
    </row>
    <row r="97" spans="1:4">
      <c r="A97">
        <v>82</v>
      </c>
      <c r="B97">
        <f>[3]战士难度!$C96</f>
        <v>2839064</v>
      </c>
      <c r="C97">
        <f>VLOOKUP(A97,[3]怪物抗性与玩家穿透!$A$2:$Q$74,17,0)</f>
        <v>2.370233026993366</v>
      </c>
      <c r="D97">
        <f t="shared" si="1"/>
        <v>1197800</v>
      </c>
    </row>
    <row r="98" spans="1:4">
      <c r="A98">
        <v>82</v>
      </c>
      <c r="B98">
        <f>[3]战士难度!$C97</f>
        <v>3081924</v>
      </c>
      <c r="C98">
        <f>VLOOKUP(A98,[3]怪物抗性与玩家穿透!$A$2:$Q$74,17,0)</f>
        <v>2.370233026993366</v>
      </c>
      <c r="D98">
        <f t="shared" si="1"/>
        <v>1300262</v>
      </c>
    </row>
    <row r="99" spans="1:4">
      <c r="A99">
        <v>83</v>
      </c>
      <c r="B99">
        <f>[3]战士难度!$C98</f>
        <v>3345558</v>
      </c>
      <c r="C99">
        <f>VLOOKUP(A99,[3]怪物抗性与玩家穿透!$A$2:$Q$74,17,0)</f>
        <v>2.3513545738377988</v>
      </c>
      <c r="D99">
        <f t="shared" si="1"/>
        <v>1422822</v>
      </c>
    </row>
    <row r="100" spans="1:4">
      <c r="A100">
        <v>84</v>
      </c>
      <c r="B100">
        <f>[3]战士难度!$C99</f>
        <v>3732480</v>
      </c>
      <c r="C100">
        <f>VLOOKUP(A100,[3]怪物抗性与玩家穿透!$A$2:$Q$74,17,0)</f>
        <v>2.3313499673920637</v>
      </c>
      <c r="D100">
        <f t="shared" si="1"/>
        <v>1600995</v>
      </c>
    </row>
    <row r="101" spans="1:4">
      <c r="A101">
        <v>85</v>
      </c>
      <c r="B101">
        <f>[3]战士难度!$C100</f>
        <v>2198486</v>
      </c>
      <c r="C101">
        <f>VLOOKUP(A101,[3]怪物抗性与玩家穿透!$A$2:$Q$74,17,0)</f>
        <v>2.3104407893519863</v>
      </c>
      <c r="D101">
        <f t="shared" si="1"/>
        <v>951544</v>
      </c>
    </row>
    <row r="102" spans="1:4">
      <c r="A102">
        <v>85</v>
      </c>
      <c r="B102">
        <f>[3]战士难度!$C101</f>
        <v>2459068</v>
      </c>
      <c r="C102">
        <f>VLOOKUP(A102,[3]怪物抗性与玩家穿透!$A$2:$Q$74,17,0)</f>
        <v>2.3104407893519863</v>
      </c>
      <c r="D102">
        <f t="shared" si="1"/>
        <v>1064329</v>
      </c>
    </row>
    <row r="103" spans="1:4">
      <c r="A103">
        <v>86</v>
      </c>
      <c r="B103">
        <f>[3]战士难度!$C102</f>
        <v>2855176</v>
      </c>
      <c r="C103">
        <f>VLOOKUP(A103,[3]怪物抗性与玩家穿透!$A$2:$Q$74,17,0)</f>
        <v>2.3411468053605766</v>
      </c>
      <c r="D103">
        <f t="shared" si="1"/>
        <v>1219563</v>
      </c>
    </row>
    <row r="104" spans="1:4">
      <c r="A104">
        <v>86</v>
      </c>
      <c r="B104">
        <f>[3]战士难度!$C103</f>
        <v>3097225</v>
      </c>
      <c r="C104">
        <f>VLOOKUP(A104,[3]怪物抗性与玩家穿透!$A$2:$Q$74,17,0)</f>
        <v>2.3411468053605766</v>
      </c>
      <c r="D104">
        <f t="shared" si="1"/>
        <v>1322952</v>
      </c>
    </row>
    <row r="105" spans="1:4">
      <c r="A105">
        <v>86</v>
      </c>
      <c r="B105">
        <f>[3]战士难度!$C104</f>
        <v>3359794</v>
      </c>
      <c r="C105">
        <f>VLOOKUP(A105,[3]怪物抗性与玩家穿透!$A$2:$Q$74,17,0)</f>
        <v>2.3411468053605766</v>
      </c>
      <c r="D105">
        <f t="shared" si="1"/>
        <v>1435106</v>
      </c>
    </row>
    <row r="106" spans="1:4">
      <c r="A106">
        <v>87</v>
      </c>
      <c r="B106">
        <f>[3]战士难度!$C105</f>
        <v>3744834</v>
      </c>
      <c r="C106">
        <f>VLOOKUP(A106,[3]怪物抗性与玩家穿透!$A$2:$Q$74,17,0)</f>
        <v>2.3672942430651958</v>
      </c>
      <c r="D106">
        <f t="shared" si="1"/>
        <v>1581905</v>
      </c>
    </row>
    <row r="107" spans="1:4">
      <c r="A107">
        <v>87</v>
      </c>
      <c r="B107">
        <f>[3]战士难度!$C106</f>
        <v>4067097</v>
      </c>
      <c r="C107">
        <f>VLOOKUP(A107,[3]怪物抗性与玩家穿透!$A$2:$Q$74,17,0)</f>
        <v>2.3672942430651958</v>
      </c>
      <c r="D107">
        <f t="shared" si="1"/>
        <v>1718036</v>
      </c>
    </row>
    <row r="108" spans="1:4">
      <c r="A108">
        <v>88</v>
      </c>
      <c r="B108">
        <f>[3]战士难度!$C107</f>
        <v>4417092</v>
      </c>
      <c r="C108">
        <f>VLOOKUP(A108,[3]怪物抗性与玩家穿透!$A$2:$Q$74,17,0)</f>
        <v>2.3892125115563094</v>
      </c>
      <c r="D108">
        <f t="shared" si="1"/>
        <v>1848765</v>
      </c>
    </row>
    <row r="109" spans="1:4">
      <c r="A109">
        <v>89</v>
      </c>
      <c r="B109">
        <f>[3]战士难度!$C108</f>
        <v>4931046</v>
      </c>
      <c r="C109">
        <f>VLOOKUP(A109,[3]怪物抗性与玩家穿透!$A$2:$Q$74,17,0)</f>
        <v>2.4072269974445866</v>
      </c>
      <c r="D109">
        <f t="shared" si="1"/>
        <v>2048434</v>
      </c>
    </row>
    <row r="110" spans="1:4">
      <c r="A110">
        <v>90</v>
      </c>
      <c r="B110">
        <f>[3]战士难度!$C109</f>
        <v>2850251</v>
      </c>
      <c r="C110">
        <f>VLOOKUP(A110,[3]怪物抗性与玩家穿透!$A$2:$Q$74,17,0)</f>
        <v>2.421654651918431</v>
      </c>
      <c r="D110">
        <f t="shared" si="1"/>
        <v>1176985</v>
      </c>
    </row>
    <row r="111" spans="1:4">
      <c r="A111">
        <v>90</v>
      </c>
      <c r="B111">
        <f>[3]战士难度!$C110</f>
        <v>3191249</v>
      </c>
      <c r="C111">
        <f>VLOOKUP(A111,[3]怪物抗性与玩家穿透!$A$2:$Q$74,17,0)</f>
        <v>2.421654651918431</v>
      </c>
      <c r="D111">
        <f t="shared" si="1"/>
        <v>1317797</v>
      </c>
    </row>
    <row r="112" spans="1:4">
      <c r="A112">
        <v>91</v>
      </c>
      <c r="B112">
        <f>[3]战士难度!$C111</f>
        <v>3710201</v>
      </c>
      <c r="C112">
        <f>VLOOKUP(A112,[3]怪物抗性与玩家穿透!$A$2:$Q$74,17,0)</f>
        <v>2.4328006803577273</v>
      </c>
      <c r="D112">
        <f t="shared" si="1"/>
        <v>1525074</v>
      </c>
    </row>
    <row r="113" spans="1:4">
      <c r="A113">
        <v>91</v>
      </c>
      <c r="B113">
        <f>[3]战士难度!$C112</f>
        <v>4026826</v>
      </c>
      <c r="C113">
        <f>VLOOKUP(A113,[3]怪物抗性与玩家穿透!$A$2:$Q$74,17,0)</f>
        <v>2.4328006803577273</v>
      </c>
      <c r="D113">
        <f t="shared" si="1"/>
        <v>1655222</v>
      </c>
    </row>
    <row r="114" spans="1:4">
      <c r="A114">
        <v>91</v>
      </c>
      <c r="B114">
        <f>[3]战士难度!$C113</f>
        <v>4370472</v>
      </c>
      <c r="C114">
        <f>VLOOKUP(A114,[3]怪物抗性与玩家穿透!$A$2:$Q$74,17,0)</f>
        <v>2.4328006803577273</v>
      </c>
      <c r="D114">
        <f t="shared" si="1"/>
        <v>1796478</v>
      </c>
    </row>
    <row r="115" spans="1:4">
      <c r="A115">
        <v>92</v>
      </c>
      <c r="B115">
        <f>[3]战士难度!$C114</f>
        <v>4874711</v>
      </c>
      <c r="C115">
        <f>VLOOKUP(A115,[3]怪物抗性与玩家穿透!$A$2:$Q$74,17,0)</f>
        <v>2.4409561715232324</v>
      </c>
      <c r="D115">
        <f t="shared" si="1"/>
        <v>1997050</v>
      </c>
    </row>
    <row r="116" spans="1:4">
      <c r="A116">
        <v>92</v>
      </c>
      <c r="B116">
        <f>[3]战士难度!$C115</f>
        <v>5296325</v>
      </c>
      <c r="C116">
        <f>VLOOKUP(A116,[3]怪物抗性与玩家穿透!$A$2:$Q$74,17,0)</f>
        <v>2.4409561715232324</v>
      </c>
      <c r="D116">
        <f t="shared" si="1"/>
        <v>2169775</v>
      </c>
    </row>
    <row r="117" spans="1:4">
      <c r="A117">
        <v>93</v>
      </c>
      <c r="B117">
        <f>[3]战士难度!$C116</f>
        <v>5754405</v>
      </c>
      <c r="C117">
        <f>VLOOKUP(A117,[3]怪物抗性与玩家穿透!$A$2:$Q$74,17,0)</f>
        <v>2.4463965110860251</v>
      </c>
      <c r="D117">
        <f t="shared" si="1"/>
        <v>2352196</v>
      </c>
    </row>
    <row r="118" spans="1:4">
      <c r="A118">
        <v>94</v>
      </c>
      <c r="B118">
        <f>[3]战士难度!$C117</f>
        <v>6427392</v>
      </c>
      <c r="C118">
        <f>VLOOKUP(A118,[3]怪物抗性与玩家穿透!$A$2:$Q$74,17,0)</f>
        <v>2.4493804369474916</v>
      </c>
      <c r="D118">
        <f t="shared" si="1"/>
        <v>2624089</v>
      </c>
    </row>
    <row r="119" spans="1:4">
      <c r="A119">
        <v>95</v>
      </c>
      <c r="B119">
        <f>[3]战士难度!$C118</f>
        <v>3647580</v>
      </c>
      <c r="C119">
        <f>VLOOKUP(A119,[3]怪物抗性与玩家穿透!$A$2:$Q$74,17,0)</f>
        <v>2.4501496091557176</v>
      </c>
      <c r="D119">
        <f t="shared" si="1"/>
        <v>1488717</v>
      </c>
    </row>
    <row r="120" spans="1:4">
      <c r="A120">
        <v>95</v>
      </c>
      <c r="B120">
        <f>[3]战士难度!$C119</f>
        <v>4080867</v>
      </c>
      <c r="C120">
        <f>VLOOKUP(A120,[3]怪物抗性与玩家穿透!$A$2:$Q$74,17,0)</f>
        <v>2.4501496091557176</v>
      </c>
      <c r="D120">
        <f t="shared" si="1"/>
        <v>1665558</v>
      </c>
    </row>
    <row r="121" spans="1:4">
      <c r="A121">
        <v>96</v>
      </c>
      <c r="B121">
        <f>[3]战士难度!$C120</f>
        <v>4739682</v>
      </c>
      <c r="C121">
        <f>VLOOKUP(A121,[3]怪物抗性与玩家穿透!$A$2:$Q$74,17,0)</f>
        <v>2.4489285835782573</v>
      </c>
      <c r="D121">
        <f t="shared" si="1"/>
        <v>1935410</v>
      </c>
    </row>
    <row r="122" spans="1:4">
      <c r="A122">
        <v>96</v>
      </c>
      <c r="B122">
        <f>[3]战士难度!$C121</f>
        <v>5142117</v>
      </c>
      <c r="C122">
        <f>VLOOKUP(A122,[3]怪物抗性与玩家穿透!$A$2:$Q$74,17,0)</f>
        <v>2.4489285835782573</v>
      </c>
      <c r="D122">
        <f t="shared" si="1"/>
        <v>2099742</v>
      </c>
    </row>
    <row r="123" spans="1:4">
      <c r="A123">
        <v>96</v>
      </c>
      <c r="B123">
        <f>[3]战士难度!$C122</f>
        <v>5578722</v>
      </c>
      <c r="C123">
        <f>VLOOKUP(A123,[3]怪物抗性与玩家穿透!$A$2:$Q$74,17,0)</f>
        <v>2.4489285835782573</v>
      </c>
      <c r="D123">
        <f t="shared" si="1"/>
        <v>2278026</v>
      </c>
    </row>
    <row r="124" spans="1:4">
      <c r="A124">
        <v>97</v>
      </c>
      <c r="B124">
        <f>[3]战士难度!$C123</f>
        <v>6219065</v>
      </c>
      <c r="C124">
        <f>VLOOKUP(A124,[3]怪物抗性与玩家穿透!$A$2:$Q$74,17,0)</f>
        <v>2.4459250946816788</v>
      </c>
      <c r="D124">
        <f t="shared" si="1"/>
        <v>2542623</v>
      </c>
    </row>
    <row r="125" spans="1:4">
      <c r="A125">
        <v>97</v>
      </c>
      <c r="B125">
        <f>[3]战士难度!$C124</f>
        <v>6754883</v>
      </c>
      <c r="C125">
        <f>VLOOKUP(A125,[3]怪物抗性与玩家穿透!$A$2:$Q$74,17,0)</f>
        <v>2.4459250946816788</v>
      </c>
      <c r="D125">
        <f t="shared" si="1"/>
        <v>2761688</v>
      </c>
    </row>
    <row r="126" spans="1:4">
      <c r="A126">
        <v>98</v>
      </c>
      <c r="B126">
        <f>[3]战士难度!$C125</f>
        <v>7336865</v>
      </c>
      <c r="C126">
        <f>VLOOKUP(A126,[3]怪物抗性与玩家穿透!$A$2:$Q$74,17,0)</f>
        <v>2.4413305680396125</v>
      </c>
      <c r="D126">
        <f t="shared" si="1"/>
        <v>3005273</v>
      </c>
    </row>
    <row r="127" spans="1:4">
      <c r="A127">
        <v>99</v>
      </c>
      <c r="B127">
        <f>[3]战士难度!$C126</f>
        <v>8191577</v>
      </c>
      <c r="C127">
        <f>VLOOKUP(A127,[3]怪物抗性与玩家穿透!$A$2:$Q$74,17,0)</f>
        <v>2.4353207970995125</v>
      </c>
      <c r="D127">
        <f t="shared" si="1"/>
        <v>3363654</v>
      </c>
    </row>
    <row r="128" spans="1:4">
      <c r="A128">
        <v>100</v>
      </c>
      <c r="B128">
        <f>[3]战士难度!$C127</f>
        <v>4628567</v>
      </c>
      <c r="C128">
        <f>VLOOKUP(A128,[3]怪物抗性与玩家穿透!$A$2:$Q$74,17,0)</f>
        <v>2.4280567310684522</v>
      </c>
      <c r="D128">
        <f t="shared" si="1"/>
        <v>1906285</v>
      </c>
    </row>
    <row r="129" spans="1:4">
      <c r="A129">
        <v>100</v>
      </c>
      <c r="B129">
        <f>[3]战士难度!$C128</f>
        <v>5183687</v>
      </c>
      <c r="C129">
        <f>VLOOKUP(A129,[3]怪物抗性与玩家穿透!$A$2:$Q$74,17,0)</f>
        <v>2.4280567310684522</v>
      </c>
      <c r="D129">
        <f t="shared" si="1"/>
        <v>2134912</v>
      </c>
    </row>
    <row r="130" spans="1:4">
      <c r="A130">
        <v>101</v>
      </c>
      <c r="B130">
        <f>[3]战士难度!$C129</f>
        <v>6028767</v>
      </c>
      <c r="C130">
        <f>VLOOKUP(A130,[3]怪物抗性与玩家穿透!$A$2:$Q$74,17,0)</f>
        <v>2.4353207970995125</v>
      </c>
      <c r="D130">
        <f t="shared" si="1"/>
        <v>2475554</v>
      </c>
    </row>
    <row r="131" spans="1:4">
      <c r="A131">
        <v>101</v>
      </c>
      <c r="B131">
        <f>[3]战士难度!$C130</f>
        <v>6544159</v>
      </c>
      <c r="C131">
        <f>VLOOKUP(A131,[3]怪物抗性与玩家穿透!$A$2:$Q$74,17,0)</f>
        <v>2.4353207970995125</v>
      </c>
      <c r="D131">
        <f t="shared" ref="D131:D194" si="2">ROUND(B131/C131,0)</f>
        <v>2687186</v>
      </c>
    </row>
    <row r="132" spans="1:4">
      <c r="A132">
        <v>101</v>
      </c>
      <c r="B132">
        <f>[3]战士难度!$C131</f>
        <v>7103610</v>
      </c>
      <c r="C132">
        <f>VLOOKUP(A132,[3]怪物抗性与玩家穿透!$A$2:$Q$74,17,0)</f>
        <v>2.4353207970995125</v>
      </c>
      <c r="D132">
        <f t="shared" si="2"/>
        <v>2916909</v>
      </c>
    </row>
    <row r="133" spans="1:4">
      <c r="A133">
        <v>102</v>
      </c>
      <c r="B133">
        <f>[3]战士难度!$C132</f>
        <v>7924640</v>
      </c>
      <c r="C133">
        <f>VLOOKUP(A133,[3]怪物抗性与玩家穿透!$A$2:$Q$74,17,0)</f>
        <v>2.4280567310684522</v>
      </c>
      <c r="D133">
        <f t="shared" si="2"/>
        <v>3263779</v>
      </c>
    </row>
    <row r="134" spans="1:4">
      <c r="A134">
        <v>102</v>
      </c>
      <c r="B134">
        <f>[3]战士难度!$C133</f>
        <v>8610956</v>
      </c>
      <c r="C134">
        <f>VLOOKUP(A134,[3]怪物抗性与玩家穿透!$A$2:$Q$74,17,0)</f>
        <v>2.4280567310684522</v>
      </c>
      <c r="D134">
        <f t="shared" si="2"/>
        <v>3546439</v>
      </c>
    </row>
    <row r="135" spans="1:4">
      <c r="A135">
        <v>102</v>
      </c>
      <c r="B135">
        <f>[3]战士难度!$C134</f>
        <v>9356710</v>
      </c>
      <c r="C135">
        <f>VLOOKUP(A135,[3]怪物抗性与玩家穿透!$A$2:$Q$74,17,0)</f>
        <v>2.4280567310684522</v>
      </c>
      <c r="D135">
        <f t="shared" si="2"/>
        <v>3853580</v>
      </c>
    </row>
    <row r="136" spans="1:4">
      <c r="A136">
        <v>102</v>
      </c>
      <c r="B136">
        <f>[3]战士难度!$C135</f>
        <v>10452470</v>
      </c>
      <c r="C136">
        <f>VLOOKUP(A136,[3]怪物抗性与玩家穿透!$A$2:$Q$74,17,0)</f>
        <v>2.4280567310684522</v>
      </c>
      <c r="D136">
        <f t="shared" si="2"/>
        <v>4304871</v>
      </c>
    </row>
    <row r="137" spans="1:4">
      <c r="A137">
        <v>30</v>
      </c>
      <c r="B137">
        <f>[3]猎人难度!$C1</f>
        <v>66161</v>
      </c>
      <c r="C137">
        <f>VLOOKUP(A137,[3]怪物抗性与玩家穿透!$A$2:$Q$74,17,0)</f>
        <v>1.0061248239113125</v>
      </c>
      <c r="D137">
        <f t="shared" si="2"/>
        <v>65758</v>
      </c>
    </row>
    <row r="138" spans="1:4">
      <c r="A138">
        <v>30</v>
      </c>
      <c r="B138">
        <f>[3]猎人难度!$C2</f>
        <v>80087</v>
      </c>
      <c r="C138">
        <f>VLOOKUP(A138,[3]怪物抗性与玩家穿透!$A$2:$Q$74,17,0)</f>
        <v>1.0061248239113125</v>
      </c>
      <c r="D138">
        <f t="shared" si="2"/>
        <v>79599</v>
      </c>
    </row>
    <row r="139" spans="1:4">
      <c r="A139">
        <v>31</v>
      </c>
      <c r="B139">
        <f>[3]猎人难度!$C3</f>
        <v>103318</v>
      </c>
      <c r="C139">
        <f>VLOOKUP(A139,[3]怪物抗性与玩家穿透!$A$2:$Q$74,17,0)</f>
        <v>1.0141242937853108</v>
      </c>
      <c r="D139">
        <f t="shared" si="2"/>
        <v>101879</v>
      </c>
    </row>
    <row r="140" spans="1:4">
      <c r="A140">
        <v>31</v>
      </c>
      <c r="B140">
        <f>[3]猎人难度!$C4</f>
        <v>116001</v>
      </c>
      <c r="C140">
        <f>VLOOKUP(A140,[3]怪物抗性与玩家穿透!$A$2:$Q$74,17,0)</f>
        <v>1.0141242937853108</v>
      </c>
      <c r="D140">
        <f t="shared" si="2"/>
        <v>114385</v>
      </c>
    </row>
    <row r="141" spans="1:4">
      <c r="A141">
        <v>31</v>
      </c>
      <c r="B141">
        <f>[3]猎人难度!$C5</f>
        <v>130240</v>
      </c>
      <c r="C141">
        <f>VLOOKUP(A141,[3]怪物抗性与玩家穿透!$A$2:$Q$74,17,0)</f>
        <v>1.0141242937853108</v>
      </c>
      <c r="D141">
        <f t="shared" si="2"/>
        <v>128426</v>
      </c>
    </row>
    <row r="142" spans="1:4">
      <c r="A142">
        <v>32</v>
      </c>
      <c r="B142">
        <f>[3]猎人难度!$C6</f>
        <v>151981</v>
      </c>
      <c r="C142">
        <f>VLOOKUP(A142,[3]怪物抗性与玩家穿透!$A$2:$Q$74,17,0)</f>
        <v>1.0262259068275992</v>
      </c>
      <c r="D142">
        <f t="shared" si="2"/>
        <v>148097</v>
      </c>
    </row>
    <row r="143" spans="1:4">
      <c r="A143">
        <v>32</v>
      </c>
      <c r="B143">
        <f>[3]猎人难度!$C7</f>
        <v>169086</v>
      </c>
      <c r="C143">
        <f>VLOOKUP(A143,[3]怪物抗性与玩家穿透!$A$2:$Q$74,17,0)</f>
        <v>1.0262259068275992</v>
      </c>
      <c r="D143">
        <f t="shared" si="2"/>
        <v>164765</v>
      </c>
    </row>
    <row r="144" spans="1:4">
      <c r="A144">
        <v>33</v>
      </c>
      <c r="B144">
        <f>[3]猎人难度!$C8</f>
        <v>188117</v>
      </c>
      <c r="C144">
        <f>VLOOKUP(A144,[3]怪物抗性与玩家穿透!$A$2:$Q$74,17,0)</f>
        <v>1.0369356348141303</v>
      </c>
      <c r="D144">
        <f t="shared" si="2"/>
        <v>181416</v>
      </c>
    </row>
    <row r="145" spans="1:4">
      <c r="A145">
        <v>34</v>
      </c>
      <c r="B145">
        <f>[3]猎人难度!$C9</f>
        <v>216864</v>
      </c>
      <c r="C145">
        <f>VLOOKUP(A145,[3]怪物抗性与玩家穿透!$A$2:$Q$74,17,0)</f>
        <v>1.0464252180174023</v>
      </c>
      <c r="D145">
        <f t="shared" si="2"/>
        <v>207243</v>
      </c>
    </row>
    <row r="146" spans="1:4">
      <c r="A146">
        <v>35</v>
      </c>
      <c r="B146">
        <f>[3]猎人难度!$C10</f>
        <v>118454</v>
      </c>
      <c r="C146">
        <f>VLOOKUP(A146,[3]怪物抗性与玩家穿透!$A$2:$Q$74,17,0)</f>
        <v>1.0548425998079545</v>
      </c>
      <c r="D146">
        <f t="shared" si="2"/>
        <v>112295</v>
      </c>
    </row>
    <row r="147" spans="1:4">
      <c r="A147">
        <v>35</v>
      </c>
      <c r="B147">
        <f>[3]猎人难度!$C11</f>
        <v>139118</v>
      </c>
      <c r="C147">
        <f>VLOOKUP(A147,[3]怪物抗性与玩家穿透!$A$2:$Q$74,17,0)</f>
        <v>1.0548425998079545</v>
      </c>
      <c r="D147">
        <f t="shared" si="2"/>
        <v>131885</v>
      </c>
    </row>
    <row r="148" spans="1:4">
      <c r="A148">
        <v>36</v>
      </c>
      <c r="B148">
        <f>[3]猎人难度!$C12</f>
        <v>172382</v>
      </c>
      <c r="C148">
        <f>VLOOKUP(A148,[3]怪物抗性与玩家穿透!$A$2:$Q$74,17,0)</f>
        <v>1.0623155845758585</v>
      </c>
      <c r="D148">
        <f t="shared" si="2"/>
        <v>162270</v>
      </c>
    </row>
    <row r="149" spans="1:4">
      <c r="A149">
        <v>36</v>
      </c>
      <c r="B149">
        <f>[3]猎人难度!$C13</f>
        <v>191298</v>
      </c>
      <c r="C149">
        <f>VLOOKUP(A149,[3]怪物抗性与玩家穿透!$A$2:$Q$74,17,0)</f>
        <v>1.0623155845758585</v>
      </c>
      <c r="D149">
        <f t="shared" si="2"/>
        <v>180076</v>
      </c>
    </row>
    <row r="150" spans="1:4">
      <c r="A150">
        <v>36</v>
      </c>
      <c r="B150">
        <f>[3]猎人难度!$C14</f>
        <v>212290</v>
      </c>
      <c r="C150">
        <f>VLOOKUP(A150,[3]怪物抗性与玩家穿透!$A$2:$Q$74,17,0)</f>
        <v>1.0623155845758585</v>
      </c>
      <c r="D150">
        <f t="shared" si="2"/>
        <v>199837</v>
      </c>
    </row>
    <row r="151" spans="1:4">
      <c r="A151">
        <v>37</v>
      </c>
      <c r="B151">
        <f>[3]猎人难度!$C15</f>
        <v>243905</v>
      </c>
      <c r="C151">
        <f>VLOOKUP(A151,[3]怪物抗性与玩家穿透!$A$2:$Q$74,17,0)</f>
        <v>1.0689548827179796</v>
      </c>
      <c r="D151">
        <f t="shared" si="2"/>
        <v>228171</v>
      </c>
    </row>
    <row r="152" spans="1:4">
      <c r="A152">
        <v>37</v>
      </c>
      <c r="B152">
        <f>[3]猎人难度!$C16</f>
        <v>269288</v>
      </c>
      <c r="C152">
        <f>VLOOKUP(A152,[3]怪物抗性与玩家穿透!$A$2:$Q$74,17,0)</f>
        <v>1.0689548827179796</v>
      </c>
      <c r="D152">
        <f t="shared" si="2"/>
        <v>251917</v>
      </c>
    </row>
    <row r="153" spans="1:4">
      <c r="A153">
        <v>38</v>
      </c>
      <c r="B153">
        <f>[3]猎人难度!$C17</f>
        <v>297313</v>
      </c>
      <c r="C153">
        <f>VLOOKUP(A153,[3]怪物抗性与玩家穿透!$A$2:$Q$74,17,0)</f>
        <v>1.074856652656633</v>
      </c>
      <c r="D153">
        <f t="shared" si="2"/>
        <v>276607</v>
      </c>
    </row>
    <row r="154" spans="1:4">
      <c r="A154">
        <v>39</v>
      </c>
      <c r="B154">
        <f>[3]猎人难度!$C18</f>
        <v>339268</v>
      </c>
      <c r="C154">
        <f>VLOOKUP(A154,[3]怪物抗性与玩家穿透!$A$2:$Q$74,17,0)</f>
        <v>1.0801046291375216</v>
      </c>
      <c r="D154">
        <f t="shared" si="2"/>
        <v>314107</v>
      </c>
    </row>
    <row r="155" spans="1:4">
      <c r="A155">
        <v>40</v>
      </c>
      <c r="B155">
        <f>[3]猎人难度!$C19</f>
        <v>207538</v>
      </c>
      <c r="C155">
        <f>VLOOKUP(A155,[3]怪物抗性与玩家穿透!$A$2:$Q$74,17,0)</f>
        <v>1.0847719103376994</v>
      </c>
      <c r="D155">
        <f t="shared" si="2"/>
        <v>191319</v>
      </c>
    </row>
    <row r="156" spans="1:4">
      <c r="A156">
        <v>40</v>
      </c>
      <c r="B156">
        <f>[3]猎人难度!$C20</f>
        <v>236560</v>
      </c>
      <c r="C156">
        <f>VLOOKUP(A156,[3]怪物抗性与玩家穿透!$A$2:$Q$74,17,0)</f>
        <v>1.0847719103376994</v>
      </c>
      <c r="D156">
        <f t="shared" si="2"/>
        <v>218073</v>
      </c>
    </row>
    <row r="157" spans="1:4">
      <c r="A157">
        <v>41</v>
      </c>
      <c r="B157">
        <f>[3]猎人难度!$C21</f>
        <v>281664</v>
      </c>
      <c r="C157">
        <f>VLOOKUP(A157,[3]怪物抗性与玩家穿透!$A$2:$Q$74,17,0)</f>
        <v>1.0889224628355065</v>
      </c>
      <c r="D157">
        <f t="shared" si="2"/>
        <v>258663</v>
      </c>
    </row>
    <row r="158" spans="1:4">
      <c r="A158">
        <v>41</v>
      </c>
      <c r="B158">
        <f>[3]猎人难度!$C22</f>
        <v>308443</v>
      </c>
      <c r="C158">
        <f>VLOOKUP(A158,[3]怪物抗性与玩家穿透!$A$2:$Q$74,17,0)</f>
        <v>1.0889224628355065</v>
      </c>
      <c r="D158">
        <f t="shared" si="2"/>
        <v>283255</v>
      </c>
    </row>
    <row r="159" spans="1:4">
      <c r="A159">
        <v>41</v>
      </c>
      <c r="B159">
        <f>[3]猎人难度!$C23</f>
        <v>337768</v>
      </c>
      <c r="C159">
        <f>VLOOKUP(A159,[3]怪物抗性与玩家穿透!$A$2:$Q$74,17,0)</f>
        <v>1.0889224628355065</v>
      </c>
      <c r="D159">
        <f t="shared" si="2"/>
        <v>310186</v>
      </c>
    </row>
    <row r="160" spans="1:4">
      <c r="A160">
        <v>42</v>
      </c>
      <c r="B160">
        <f>[3]猎人难度!$C24</f>
        <v>381251</v>
      </c>
      <c r="C160">
        <f>VLOOKUP(A160,[3]怪物抗性与玩家穿透!$A$2:$Q$74,17,0)</f>
        <v>1.0926123926238318</v>
      </c>
      <c r="D160">
        <f t="shared" si="2"/>
        <v>348935</v>
      </c>
    </row>
    <row r="161" spans="1:4">
      <c r="A161">
        <v>42</v>
      </c>
      <c r="B161">
        <f>[3]猎人难度!$C25</f>
        <v>417009</v>
      </c>
      <c r="C161">
        <f>VLOOKUP(A161,[3]怪物抗性与玩家穿透!$A$2:$Q$74,17,0)</f>
        <v>1.0926123926238318</v>
      </c>
      <c r="D161">
        <f t="shared" si="2"/>
        <v>381662</v>
      </c>
    </row>
    <row r="162" spans="1:4">
      <c r="A162">
        <v>43</v>
      </c>
      <c r="B162">
        <f>[3]猎人难度!$C26</f>
        <v>456120</v>
      </c>
      <c r="C162">
        <f>VLOOKUP(A162,[3]怪物抗性与玩家穿透!$A$2:$Q$74,17,0)</f>
        <v>1.0958910215721893</v>
      </c>
      <c r="D162">
        <f t="shared" si="2"/>
        <v>416209</v>
      </c>
    </row>
    <row r="163" spans="1:4">
      <c r="A163">
        <v>44</v>
      </c>
      <c r="B163">
        <f>[3]猎人难度!$C27</f>
        <v>514034</v>
      </c>
      <c r="C163">
        <f>VLOOKUP(A163,[3]怪物抗性与玩家穿透!$A$2:$Q$74,17,0)</f>
        <v>1.0988018016476118</v>
      </c>
      <c r="D163">
        <f t="shared" si="2"/>
        <v>467813</v>
      </c>
    </row>
    <row r="164" spans="1:4">
      <c r="A164">
        <v>45</v>
      </c>
      <c r="B164">
        <f>[3]猎人难度!$C28</f>
        <v>309565</v>
      </c>
      <c r="C164">
        <f>VLOOKUP(A164,[3]怪物抗性与玩家穿透!$A$2:$Q$74,17,0)</f>
        <v>1.1013830934565856</v>
      </c>
      <c r="D164">
        <f t="shared" si="2"/>
        <v>281069</v>
      </c>
    </row>
    <row r="165" spans="1:4">
      <c r="A165">
        <v>45</v>
      </c>
      <c r="B165">
        <f>[3]猎人难度!$C29</f>
        <v>347026</v>
      </c>
      <c r="C165">
        <f>VLOOKUP(A165,[3]怪物抗性与玩家穿透!$A$2:$Q$74,17,0)</f>
        <v>1.1013830934565856</v>
      </c>
      <c r="D165">
        <f t="shared" si="2"/>
        <v>315082</v>
      </c>
    </row>
    <row r="166" spans="1:4">
      <c r="A166">
        <v>46</v>
      </c>
      <c r="B166">
        <f>[3]猎人难度!$C30</f>
        <v>404120</v>
      </c>
      <c r="C166">
        <f>VLOOKUP(A166,[3]怪物抗性与玩家穿透!$A$2:$Q$74,17,0)</f>
        <v>1.103668831004097</v>
      </c>
      <c r="D166">
        <f t="shared" si="2"/>
        <v>366161</v>
      </c>
    </row>
    <row r="167" spans="1:4">
      <c r="A167">
        <v>46</v>
      </c>
      <c r="B167">
        <f>[3]猎人难度!$C31</f>
        <v>438888</v>
      </c>
      <c r="C167">
        <f>VLOOKUP(A167,[3]怪物抗性与玩家穿透!$A$2:$Q$74,17,0)</f>
        <v>1.103668831004097</v>
      </c>
      <c r="D167">
        <f t="shared" si="2"/>
        <v>397663</v>
      </c>
    </row>
    <row r="168" spans="1:4">
      <c r="A168">
        <v>46</v>
      </c>
      <c r="B168">
        <f>[3]猎人难度!$C32</f>
        <v>476647</v>
      </c>
      <c r="C168">
        <f>VLOOKUP(A168,[3]怪物抗性与玩家穿透!$A$2:$Q$74,17,0)</f>
        <v>1.103668831004097</v>
      </c>
      <c r="D168">
        <f t="shared" si="2"/>
        <v>431875</v>
      </c>
    </row>
    <row r="169" spans="1:4">
      <c r="A169">
        <v>47</v>
      </c>
      <c r="B169">
        <f>[3]猎人难度!$C33</f>
        <v>532093</v>
      </c>
      <c r="C169">
        <f>VLOOKUP(A169,[3]怪物抗性与玩家穿透!$A$2:$Q$74,17,0)</f>
        <v>1.2031943305364541</v>
      </c>
      <c r="D169">
        <f t="shared" si="2"/>
        <v>442234</v>
      </c>
    </row>
    <row r="170" spans="1:4">
      <c r="A170">
        <v>47</v>
      </c>
      <c r="B170">
        <f>[3]猎人难度!$C34</f>
        <v>578398</v>
      </c>
      <c r="C170">
        <f>VLOOKUP(A170,[3]怪物抗性与玩家穿透!$A$2:$Q$74,17,0)</f>
        <v>1.2031943305364541</v>
      </c>
      <c r="D170">
        <f t="shared" si="2"/>
        <v>480719</v>
      </c>
    </row>
    <row r="171" spans="1:4">
      <c r="A171">
        <v>48</v>
      </c>
      <c r="B171">
        <f>[3]猎人难度!$C35</f>
        <v>628732</v>
      </c>
      <c r="C171">
        <f>VLOOKUP(A171,[3]怪物抗性与玩家穿透!$A$2:$Q$74,17,0)</f>
        <v>1.2983080850746616</v>
      </c>
      <c r="D171">
        <f t="shared" si="2"/>
        <v>484270</v>
      </c>
    </row>
    <row r="172" spans="1:4">
      <c r="A172">
        <v>49</v>
      </c>
      <c r="B172">
        <f>[3]猎人难度!$C36</f>
        <v>702724</v>
      </c>
      <c r="C172">
        <f>VLOOKUP(A172,[3]怪物抗性与玩家穿透!$A$2:$Q$74,17,0)</f>
        <v>1.3888596939903837</v>
      </c>
      <c r="D172">
        <f t="shared" si="2"/>
        <v>505972</v>
      </c>
    </row>
    <row r="173" spans="1:4">
      <c r="A173">
        <v>50</v>
      </c>
      <c r="B173">
        <f>[3]猎人难度!$C37</f>
        <v>495073</v>
      </c>
      <c r="C173">
        <f>VLOOKUP(A173,[3]怪物抗性与玩家穿透!$A$2:$Q$74,17,0)</f>
        <v>1.4747895599187224</v>
      </c>
      <c r="D173">
        <f t="shared" si="2"/>
        <v>335691</v>
      </c>
    </row>
    <row r="174" spans="1:4">
      <c r="A174">
        <v>50</v>
      </c>
      <c r="B174">
        <f>[3]猎人难度!$C38</f>
        <v>544862</v>
      </c>
      <c r="C174">
        <f>VLOOKUP(A174,[3]怪物抗性与玩家穿透!$A$2:$Q$74,17,0)</f>
        <v>1.4747895599187224</v>
      </c>
      <c r="D174">
        <f t="shared" si="2"/>
        <v>369451</v>
      </c>
    </row>
    <row r="175" spans="1:4">
      <c r="A175">
        <v>51</v>
      </c>
      <c r="B175">
        <f>[3]猎人难度!$C39</f>
        <v>619123</v>
      </c>
      <c r="C175">
        <f>VLOOKUP(A175,[3]怪物抗性与玩家穿透!$A$2:$Q$74,17,0)</f>
        <v>1.5561073788285797</v>
      </c>
      <c r="D175">
        <f t="shared" si="2"/>
        <v>397867</v>
      </c>
    </row>
    <row r="176" spans="1:4">
      <c r="A176">
        <v>51</v>
      </c>
      <c r="B176">
        <f>[3]猎人难度!$C40</f>
        <v>665687</v>
      </c>
      <c r="C176">
        <f>VLOOKUP(A176,[3]怪物抗性与玩家穿透!$A$2:$Q$74,17,0)</f>
        <v>1.5561073788285797</v>
      </c>
      <c r="D176">
        <f t="shared" si="2"/>
        <v>427790</v>
      </c>
    </row>
    <row r="177" spans="1:4">
      <c r="A177">
        <v>51</v>
      </c>
      <c r="B177">
        <f>[3]猎人难度!$C41</f>
        <v>715753</v>
      </c>
      <c r="C177">
        <f>VLOOKUP(A177,[3]怪物抗性与玩家穿透!$A$2:$Q$74,17,0)</f>
        <v>1.5561073788285797</v>
      </c>
      <c r="D177">
        <f t="shared" si="2"/>
        <v>459964</v>
      </c>
    </row>
    <row r="178" spans="1:4">
      <c r="A178">
        <v>52</v>
      </c>
      <c r="B178">
        <f>[3]猎人难度!$C42</f>
        <v>788414</v>
      </c>
      <c r="C178">
        <f>VLOOKUP(A178,[3]怪物抗性与玩家穿透!$A$2:$Q$74,17,0)</f>
        <v>1.632875137996699</v>
      </c>
      <c r="D178">
        <f t="shared" si="2"/>
        <v>482838</v>
      </c>
    </row>
    <row r="179" spans="1:4">
      <c r="A179">
        <v>52</v>
      </c>
      <c r="B179">
        <f>[3]猎人难度!$C43</f>
        <v>850270</v>
      </c>
      <c r="C179">
        <f>VLOOKUP(A179,[3]怪物抗性与玩家穿透!$A$2:$Q$74,17,0)</f>
        <v>1.632875137996699</v>
      </c>
      <c r="D179">
        <f t="shared" si="2"/>
        <v>520720</v>
      </c>
    </row>
    <row r="180" spans="1:4">
      <c r="A180">
        <v>53</v>
      </c>
      <c r="B180">
        <f>[3]猎人难度!$C44</f>
        <v>916978</v>
      </c>
      <c r="C180">
        <f>VLOOKUP(A180,[3]怪物抗性与玩家穿透!$A$2:$Q$74,17,0)</f>
        <v>1.7051936863402923</v>
      </c>
      <c r="D180">
        <f t="shared" si="2"/>
        <v>537756</v>
      </c>
    </row>
    <row r="181" spans="1:4">
      <c r="A181">
        <v>54</v>
      </c>
      <c r="B181">
        <f>[3]猎人难度!$C45</f>
        <v>1014134</v>
      </c>
      <c r="C181">
        <f>VLOOKUP(A181,[3]怪物抗性与玩家穿透!$A$2:$Q$74,17,0)</f>
        <v>1.7731921405419184</v>
      </c>
      <c r="D181">
        <f t="shared" si="2"/>
        <v>571926</v>
      </c>
    </row>
    <row r="182" spans="1:4">
      <c r="A182">
        <v>55</v>
      </c>
      <c r="B182">
        <f>[3]猎人难度!$C46</f>
        <v>747719</v>
      </c>
      <c r="C182">
        <f>VLOOKUP(A182,[3]怪物抗性与玩家穿透!$A$2:$Q$74,17,0)</f>
        <v>1.8370195454607101</v>
      </c>
      <c r="D182">
        <f t="shared" si="2"/>
        <v>407028</v>
      </c>
    </row>
    <row r="183" spans="1:4">
      <c r="A183">
        <v>55</v>
      </c>
      <c r="B183">
        <f>[3]猎人难度!$C47</f>
        <v>811678</v>
      </c>
      <c r="C183">
        <f>VLOOKUP(A183,[3]怪物抗性与玩家穿透!$A$2:$Q$74,17,0)</f>
        <v>1.8370195454607101</v>
      </c>
      <c r="D183">
        <f t="shared" si="2"/>
        <v>441845</v>
      </c>
    </row>
    <row r="184" spans="1:4">
      <c r="A184">
        <v>56</v>
      </c>
      <c r="B184">
        <f>[3]猎人难度!$C48</f>
        <v>905547</v>
      </c>
      <c r="C184">
        <f>VLOOKUP(A184,[3]怪物抗性与玩家穿透!$A$2:$Q$74,17,0)</f>
        <v>1.8968383285704005</v>
      </c>
      <c r="D184">
        <f t="shared" si="2"/>
        <v>477398</v>
      </c>
    </row>
    <row r="185" spans="1:4">
      <c r="A185">
        <v>56</v>
      </c>
      <c r="B185">
        <f>[3]猎人难度!$C49</f>
        <v>965761</v>
      </c>
      <c r="C185">
        <f>VLOOKUP(A185,[3]怪物抗性与玩家穿透!$A$2:$Q$74,17,0)</f>
        <v>1.8968383285704005</v>
      </c>
      <c r="D185">
        <f t="shared" si="2"/>
        <v>509142</v>
      </c>
    </row>
    <row r="186" spans="1:4">
      <c r="A186">
        <v>56</v>
      </c>
      <c r="B186">
        <f>[3]猎人难度!$C50</f>
        <v>1029979</v>
      </c>
      <c r="C186">
        <f>VLOOKUP(A186,[3]怪物抗性与玩家穿透!$A$2:$Q$74,17,0)</f>
        <v>1.8968383285704005</v>
      </c>
      <c r="D186">
        <f t="shared" si="2"/>
        <v>542998</v>
      </c>
    </row>
    <row r="187" spans="1:4">
      <c r="A187">
        <v>57</v>
      </c>
      <c r="B187">
        <f>[3]猎人难度!$C51</f>
        <v>1122294</v>
      </c>
      <c r="C187">
        <f>VLOOKUP(A187,[3]怪物抗性与玩家穿透!$A$2:$Q$74,17,0)</f>
        <v>1.9528191832758077</v>
      </c>
      <c r="D187">
        <f t="shared" si="2"/>
        <v>574705</v>
      </c>
    </row>
    <row r="188" spans="1:4">
      <c r="A188">
        <v>57</v>
      </c>
      <c r="B188">
        <f>[3]猎人难度!$C52</f>
        <v>1202152</v>
      </c>
      <c r="C188">
        <f>VLOOKUP(A188,[3]怪物抗性与玩家穿透!$A$2:$Q$74,17,0)</f>
        <v>1.9528191832758077</v>
      </c>
      <c r="D188">
        <f t="shared" si="2"/>
        <v>615598</v>
      </c>
    </row>
    <row r="189" spans="1:4">
      <c r="A189">
        <v>58</v>
      </c>
      <c r="B189">
        <f>[3]猎人难度!$C53</f>
        <v>1287693</v>
      </c>
      <c r="C189">
        <f>VLOOKUP(A189,[3]怪物抗性与玩家穿透!$A$2:$Q$74,17,0)</f>
        <v>2.0051370907958033</v>
      </c>
      <c r="D189">
        <f t="shared" si="2"/>
        <v>642197</v>
      </c>
    </row>
    <row r="190" spans="1:4">
      <c r="A190">
        <v>59</v>
      </c>
      <c r="B190">
        <f>[3]猎人难度!$C54</f>
        <v>1411290</v>
      </c>
      <c r="C190">
        <f>VLOOKUP(A190,[3]怪物抗性与玩家穿透!$A$2:$Q$74,17,0)</f>
        <v>2.0539682493532241</v>
      </c>
      <c r="D190">
        <f t="shared" si="2"/>
        <v>687104</v>
      </c>
    </row>
    <row r="191" spans="1:4">
      <c r="A191">
        <v>60</v>
      </c>
      <c r="B191">
        <f>[3]猎人难度!$C55</f>
        <v>1139576</v>
      </c>
      <c r="C191">
        <f>VLOOKUP(A191,[3]怪物抗性与玩家穿透!$A$2:$Q$74,17,0)</f>
        <v>2.0994877261354725</v>
      </c>
      <c r="D191">
        <f t="shared" si="2"/>
        <v>542788</v>
      </c>
    </row>
    <row r="192" spans="1:4">
      <c r="A192">
        <v>60</v>
      </c>
      <c r="B192">
        <f>[3]猎人难度!$C56</f>
        <v>1229783</v>
      </c>
      <c r="C192">
        <f>VLOOKUP(A192,[3]怪物抗性与玩家穿透!$A$2:$Q$74,17,0)</f>
        <v>2.0994877261354725</v>
      </c>
      <c r="D192">
        <f t="shared" si="2"/>
        <v>585754</v>
      </c>
    </row>
    <row r="193" spans="1:4">
      <c r="A193">
        <v>61</v>
      </c>
      <c r="B193">
        <f>[3]猎人难度!$C57</f>
        <v>1361264</v>
      </c>
      <c r="C193">
        <f>VLOOKUP(A193,[3]怪物抗性与玩家穿透!$A$2:$Q$74,17,0)</f>
        <v>2.1418676845513991</v>
      </c>
      <c r="D193">
        <f t="shared" si="2"/>
        <v>635550</v>
      </c>
    </row>
    <row r="194" spans="1:4">
      <c r="A194">
        <v>61</v>
      </c>
      <c r="B194">
        <f>[3]猎人难度!$C58</f>
        <v>1446454</v>
      </c>
      <c r="C194">
        <f>VLOOKUP(A194,[3]怪物抗性与玩家穿透!$A$2:$Q$74,17,0)</f>
        <v>2.1418676845513991</v>
      </c>
      <c r="D194">
        <f t="shared" si="2"/>
        <v>675324</v>
      </c>
    </row>
    <row r="195" spans="1:4">
      <c r="A195">
        <v>61</v>
      </c>
      <c r="B195">
        <f>[3]猎人难度!$C59</f>
        <v>1536976</v>
      </c>
      <c r="C195">
        <f>VLOOKUP(A195,[3]怪物抗性与玩家穿透!$A$2:$Q$74,17,0)</f>
        <v>2.1418676845513991</v>
      </c>
      <c r="D195">
        <f t="shared" ref="D195:D258" si="3">ROUND(B195/C195,0)</f>
        <v>717587</v>
      </c>
    </row>
    <row r="196" spans="1:4">
      <c r="A196">
        <v>62</v>
      </c>
      <c r="B196">
        <f>[3]猎人难度!$C60</f>
        <v>1666544</v>
      </c>
      <c r="C196">
        <f>VLOOKUP(A196,[3]怪物抗性与玩家穿透!$A$2:$Q$74,17,0)</f>
        <v>2.181276068777926</v>
      </c>
      <c r="D196">
        <f t="shared" si="3"/>
        <v>764023</v>
      </c>
    </row>
    <row r="197" spans="1:4">
      <c r="A197">
        <v>62</v>
      </c>
      <c r="B197">
        <f>[3]猎人难度!$C61</f>
        <v>1779460</v>
      </c>
      <c r="C197">
        <f>VLOOKUP(A197,[3]怪物抗性与玩家穿透!$A$2:$Q$74,17,0)</f>
        <v>2.181276068777926</v>
      </c>
      <c r="D197">
        <f t="shared" si="3"/>
        <v>815789</v>
      </c>
    </row>
    <row r="198" spans="1:4">
      <c r="A198">
        <v>63</v>
      </c>
      <c r="B198">
        <f>[3]猎人难度!$C62</f>
        <v>1900026</v>
      </c>
      <c r="C198">
        <f>VLOOKUP(A198,[3]怪物抗性与玩家穿透!$A$2:$Q$74,17,0)</f>
        <v>2.2178756510713313</v>
      </c>
      <c r="D198">
        <f t="shared" si="3"/>
        <v>856687</v>
      </c>
    </row>
    <row r="199" spans="1:4">
      <c r="A199">
        <v>64</v>
      </c>
      <c r="B199">
        <f>[3]猎人难度!$C63</f>
        <v>2073583</v>
      </c>
      <c r="C199">
        <f>VLOOKUP(A199,[3]怪物抗性与玩家穿透!$A$2:$Q$74,17,0)</f>
        <v>2.2518233660675429</v>
      </c>
      <c r="D199">
        <f t="shared" si="3"/>
        <v>920846</v>
      </c>
    </row>
    <row r="200" spans="1:4">
      <c r="A200">
        <v>65</v>
      </c>
      <c r="B200">
        <f>[3]猎人难度!$C64</f>
        <v>1685396</v>
      </c>
      <c r="C200">
        <f>VLOOKUP(A200,[3]怪物抗性与玩家穿透!$A$2:$Q$74,17,0)</f>
        <v>2.2832698712947881</v>
      </c>
      <c r="D200">
        <f t="shared" si="3"/>
        <v>738150</v>
      </c>
    </row>
    <row r="201" spans="1:4">
      <c r="A201">
        <v>65</v>
      </c>
      <c r="B201">
        <f>[3]猎人难度!$C65</f>
        <v>1806683</v>
      </c>
      <c r="C201">
        <f>VLOOKUP(A201,[3]怪物抗性与玩家穿透!$A$2:$Q$74,17,0)</f>
        <v>2.2832698712947881</v>
      </c>
      <c r="D201">
        <f t="shared" si="3"/>
        <v>791270</v>
      </c>
    </row>
    <row r="202" spans="1:4">
      <c r="A202">
        <v>66</v>
      </c>
      <c r="B202">
        <f>[3]猎人难度!$C66</f>
        <v>1982083</v>
      </c>
      <c r="C202">
        <f>VLOOKUP(A202,[3]怪物抗性与玩家穿透!$A$2:$Q$74,17,0)</f>
        <v>2.312359285141266</v>
      </c>
      <c r="D202">
        <f t="shared" si="3"/>
        <v>857169</v>
      </c>
    </row>
    <row r="203" spans="1:4">
      <c r="A203">
        <v>66</v>
      </c>
      <c r="B203">
        <f>[3]猎人难度!$C67</f>
        <v>2097051</v>
      </c>
      <c r="C203">
        <f>VLOOKUP(A203,[3]怪物抗性与玩家穿透!$A$2:$Q$74,17,0)</f>
        <v>2.312359285141266</v>
      </c>
      <c r="D203">
        <f t="shared" si="3"/>
        <v>906888</v>
      </c>
    </row>
    <row r="204" spans="1:4">
      <c r="A204">
        <v>66</v>
      </c>
      <c r="B204">
        <f>[3]猎人难度!$C68</f>
        <v>2218687</v>
      </c>
      <c r="C204">
        <f>VLOOKUP(A204,[3]怪物抗性与玩家穿透!$A$2:$Q$74,17,0)</f>
        <v>2.312359285141266</v>
      </c>
      <c r="D204">
        <f t="shared" si="3"/>
        <v>959491</v>
      </c>
    </row>
    <row r="205" spans="1:4">
      <c r="A205">
        <v>67</v>
      </c>
      <c r="B205">
        <f>[3]猎人难度!$C69</f>
        <v>2391914</v>
      </c>
      <c r="C205">
        <f>VLOOKUP(A205,[3]怪物抗性与玩家穿透!$A$2:$Q$74,17,0)</f>
        <v>2.3392290631667616</v>
      </c>
      <c r="D205">
        <f t="shared" si="3"/>
        <v>1022522</v>
      </c>
    </row>
    <row r="206" spans="1:4">
      <c r="A206">
        <v>67</v>
      </c>
      <c r="B206">
        <f>[3]猎人难度!$C70</f>
        <v>2544212</v>
      </c>
      <c r="C206">
        <f>VLOOKUP(A206,[3]怪物抗性与玩家穿透!$A$2:$Q$74,17,0)</f>
        <v>2.3392290631667616</v>
      </c>
      <c r="D206">
        <f t="shared" si="3"/>
        <v>1087628</v>
      </c>
    </row>
    <row r="207" spans="1:4">
      <c r="A207">
        <v>68</v>
      </c>
      <c r="B207">
        <f>[3]猎人难度!$C71</f>
        <v>2706206</v>
      </c>
      <c r="C207">
        <f>VLOOKUP(A207,[3]怪物抗性与玩家穿透!$A$2:$Q$74,17,0)</f>
        <v>2.3640099813994913</v>
      </c>
      <c r="D207">
        <f t="shared" si="3"/>
        <v>1144752</v>
      </c>
    </row>
    <row r="208" spans="1:4">
      <c r="A208">
        <v>69</v>
      </c>
      <c r="B208">
        <f>[3]猎人难度!$C72</f>
        <v>2938356</v>
      </c>
      <c r="C208">
        <f>VLOOKUP(A208,[3]怪物抗性与玩家穿透!$A$2:$Q$74,17,0)</f>
        <v>2.3868262014969699</v>
      </c>
      <c r="D208">
        <f t="shared" si="3"/>
        <v>1231072</v>
      </c>
    </row>
    <row r="209" spans="1:4">
      <c r="A209">
        <v>70</v>
      </c>
      <c r="B209">
        <f>[3]猎人难度!$C73</f>
        <v>2373997</v>
      </c>
      <c r="C209">
        <f>VLOOKUP(A209,[3]怪物抗性与玩家穿透!$A$2:$Q$74,17,0)</f>
        <v>2.4077953976733797</v>
      </c>
      <c r="D209">
        <f t="shared" si="3"/>
        <v>985963</v>
      </c>
    </row>
    <row r="210" spans="1:4">
      <c r="A210">
        <v>70</v>
      </c>
      <c r="B210">
        <f>[3]猎人难度!$C74</f>
        <v>2538958</v>
      </c>
      <c r="C210">
        <f>VLOOKUP(A210,[3]怪物抗性与玩家穿透!$A$2:$Q$74,17,0)</f>
        <v>2.4077953976733797</v>
      </c>
      <c r="D210">
        <f t="shared" si="3"/>
        <v>1054474</v>
      </c>
    </row>
    <row r="211" spans="1:4">
      <c r="A211">
        <v>71</v>
      </c>
      <c r="B211">
        <f>[3]猎人难度!$C75</f>
        <v>2776874</v>
      </c>
      <c r="C211">
        <f>VLOOKUP(A211,[3]怪物抗性与玩家穿透!$A$2:$Q$74,17,0)</f>
        <v>2.4242631086570161</v>
      </c>
      <c r="D211">
        <f t="shared" si="3"/>
        <v>1145451</v>
      </c>
    </row>
    <row r="212" spans="1:4">
      <c r="A212">
        <v>71</v>
      </c>
      <c r="B212">
        <f>[3]猎人难度!$C76</f>
        <v>2933451</v>
      </c>
      <c r="C212">
        <f>VLOOKUP(A212,[3]怪物抗性与玩家穿透!$A$2:$Q$74,17,0)</f>
        <v>2.4242631086570161</v>
      </c>
      <c r="D212">
        <f t="shared" si="3"/>
        <v>1210038</v>
      </c>
    </row>
    <row r="213" spans="1:4">
      <c r="A213">
        <v>71</v>
      </c>
      <c r="B213">
        <f>[3]猎人难度!$C77</f>
        <v>3098856</v>
      </c>
      <c r="C213">
        <f>VLOOKUP(A213,[3]怪物抗性与玩家穿透!$A$2:$Q$74,17,0)</f>
        <v>2.4242631086570161</v>
      </c>
      <c r="D213">
        <f t="shared" si="3"/>
        <v>1278267</v>
      </c>
    </row>
    <row r="214" spans="1:4">
      <c r="A214">
        <v>72</v>
      </c>
      <c r="B214">
        <f>[3]猎人难度!$C78</f>
        <v>3333994</v>
      </c>
      <c r="C214">
        <f>VLOOKUP(A214,[3]怪物抗性与玩家穿透!$A$2:$Q$74,17,0)</f>
        <v>2.4363487220326188</v>
      </c>
      <c r="D214">
        <f t="shared" si="3"/>
        <v>1368439</v>
      </c>
    </row>
    <row r="215" spans="1:4">
      <c r="A215">
        <v>72</v>
      </c>
      <c r="B215">
        <f>[3]猎人难度!$C79</f>
        <v>3541375</v>
      </c>
      <c r="C215">
        <f>VLOOKUP(A215,[3]怪物抗性与玩家穿透!$A$2:$Q$74,17,0)</f>
        <v>2.4363487220326188</v>
      </c>
      <c r="D215">
        <f t="shared" si="3"/>
        <v>1453558</v>
      </c>
    </row>
    <row r="216" spans="1:4">
      <c r="A216">
        <v>73</v>
      </c>
      <c r="B216">
        <f>[3]猎人难度!$C80</f>
        <v>3761655</v>
      </c>
      <c r="C216">
        <f>VLOOKUP(A216,[3]怪物抗性与玩家穿透!$A$2:$Q$74,17,0)</f>
        <v>2.4442269953962246</v>
      </c>
      <c r="D216">
        <f t="shared" si="3"/>
        <v>1538996</v>
      </c>
    </row>
    <row r="217" spans="1:4">
      <c r="A217">
        <v>74</v>
      </c>
      <c r="B217">
        <f>[3]猎人难度!$C81</f>
        <v>4076822</v>
      </c>
      <c r="C217">
        <f>VLOOKUP(A217,[3]怪物抗性与玩家穿透!$A$2:$Q$74,17,0)</f>
        <v>2.4481193019639087</v>
      </c>
      <c r="D217">
        <f t="shared" si="3"/>
        <v>1665287</v>
      </c>
    </row>
    <row r="218" spans="1:4">
      <c r="A218">
        <v>75</v>
      </c>
      <c r="B218">
        <f>[3]猎人难度!$C82</f>
        <v>3209315</v>
      </c>
      <c r="C218">
        <f>VLOOKUP(A218,[3]怪物抗性与玩家穿透!$A$2:$Q$74,17,0)</f>
        <v>2.4482840031770676</v>
      </c>
      <c r="D218">
        <f t="shared" si="3"/>
        <v>1310843</v>
      </c>
    </row>
    <row r="219" spans="1:4">
      <c r="A219">
        <v>75</v>
      </c>
      <c r="B219">
        <f>[3]猎人难度!$C83</f>
        <v>3440886</v>
      </c>
      <c r="C219">
        <f>VLOOKUP(A219,[3]怪物抗性与玩家穿透!$A$2:$Q$74,17,0)</f>
        <v>2.4482840031770676</v>
      </c>
      <c r="D219">
        <f t="shared" si="3"/>
        <v>1405428</v>
      </c>
    </row>
    <row r="220" spans="1:4">
      <c r="A220">
        <v>76</v>
      </c>
      <c r="B220">
        <f>[3]猎人难度!$C84</f>
        <v>3775846</v>
      </c>
      <c r="C220">
        <f>VLOOKUP(A220,[3]怪物抗性与玩家穿透!$A$2:$Q$74,17,0)</f>
        <v>2.4450065791656015</v>
      </c>
      <c r="D220">
        <f t="shared" si="3"/>
        <v>1544309</v>
      </c>
    </row>
    <row r="221" spans="1:4">
      <c r="A221">
        <v>76</v>
      </c>
      <c r="B221">
        <f>[3]猎人难度!$C85</f>
        <v>3995330</v>
      </c>
      <c r="C221">
        <f>VLOOKUP(A221,[3]怪物抗性与玩家穿透!$A$2:$Q$74,17,0)</f>
        <v>2.4450065791656015</v>
      </c>
      <c r="D221">
        <f t="shared" si="3"/>
        <v>1634077</v>
      </c>
    </row>
    <row r="222" spans="1:4">
      <c r="A222">
        <v>76</v>
      </c>
      <c r="B222">
        <f>[3]猎人难度!$C86</f>
        <v>4227573</v>
      </c>
      <c r="C222">
        <f>VLOOKUP(A222,[3]怪物抗性与玩家穿透!$A$2:$Q$74,17,0)</f>
        <v>2.4450065791656015</v>
      </c>
      <c r="D222">
        <f t="shared" si="3"/>
        <v>1729064</v>
      </c>
    </row>
    <row r="223" spans="1:4">
      <c r="A223">
        <v>77</v>
      </c>
      <c r="B223">
        <f>[3]猎人难度!$C87</f>
        <v>4558364</v>
      </c>
      <c r="C223">
        <f>VLOOKUP(A223,[3]怪物抗性与玩家穿透!$A$2:$Q$74,17,0)</f>
        <v>2.438590059896411</v>
      </c>
      <c r="D223">
        <f t="shared" si="3"/>
        <v>1869262</v>
      </c>
    </row>
    <row r="224" spans="1:4">
      <c r="A224">
        <v>77</v>
      </c>
      <c r="B224">
        <f>[3]猎人难度!$C88</f>
        <v>4849118</v>
      </c>
      <c r="C224">
        <f>VLOOKUP(A224,[3]怪物抗性与玩家穿透!$A$2:$Q$74,17,0)</f>
        <v>2.438590059896411</v>
      </c>
      <c r="D224">
        <f t="shared" si="3"/>
        <v>1988492</v>
      </c>
    </row>
    <row r="225" spans="1:4">
      <c r="A225">
        <v>78</v>
      </c>
      <c r="B225">
        <f>[3]猎人难度!$C89</f>
        <v>5158417</v>
      </c>
      <c r="C225">
        <f>VLOOKUP(A225,[3]怪物抗性与玩家穿透!$A$2:$Q$74,17,0)</f>
        <v>2.4293461832281542</v>
      </c>
      <c r="D225">
        <f t="shared" si="3"/>
        <v>2123377</v>
      </c>
    </row>
    <row r="226" spans="1:4">
      <c r="A226">
        <v>79</v>
      </c>
      <c r="B226">
        <f>[3]猎人难度!$C90</f>
        <v>5601721</v>
      </c>
      <c r="C226">
        <f>VLOOKUP(A226,[3]怪物抗性与玩家穿透!$A$2:$Q$74,17,0)</f>
        <v>2.4175875787732251</v>
      </c>
      <c r="D226">
        <f t="shared" si="3"/>
        <v>2317071</v>
      </c>
    </row>
    <row r="227" spans="1:4">
      <c r="A227">
        <v>80</v>
      </c>
      <c r="B227">
        <f>[3]猎人难度!$C91</f>
        <v>4229252</v>
      </c>
      <c r="C227">
        <f>VLOOKUP(A227,[3]怪物抗性与玩家穿透!$A$2:$Q$74,17,0)</f>
        <v>2.4036211533087277</v>
      </c>
      <c r="D227">
        <f t="shared" si="3"/>
        <v>1759534</v>
      </c>
    </row>
    <row r="228" spans="1:4">
      <c r="A228">
        <v>80</v>
      </c>
      <c r="B228">
        <f>[3]猎人难度!$C92</f>
        <v>4540920</v>
      </c>
      <c r="C228">
        <f>VLOOKUP(A228,[3]怪物抗性与玩家穿透!$A$2:$Q$74,17,0)</f>
        <v>2.4036211533087277</v>
      </c>
      <c r="D228">
        <f t="shared" si="3"/>
        <v>1889200</v>
      </c>
    </row>
    <row r="229" spans="1:4">
      <c r="A229">
        <v>81</v>
      </c>
      <c r="B229">
        <f>[3]猎人难度!$C93</f>
        <v>4992494</v>
      </c>
      <c r="C229">
        <f>VLOOKUP(A229,[3]怪物抗性与玩家穿透!$A$2:$Q$74,17,0)</f>
        <v>2.3877427450961606</v>
      </c>
      <c r="D229">
        <f t="shared" si="3"/>
        <v>2090884</v>
      </c>
    </row>
    <row r="230" spans="1:4">
      <c r="A230">
        <v>81</v>
      </c>
      <c r="B230">
        <f>[3]猎人难度!$C94</f>
        <v>5287653</v>
      </c>
      <c r="C230">
        <f>VLOOKUP(A230,[3]怪物抗性与玩家穿透!$A$2:$Q$74,17,0)</f>
        <v>2.3877427450961606</v>
      </c>
      <c r="D230">
        <f t="shared" si="3"/>
        <v>2214499</v>
      </c>
    </row>
    <row r="231" spans="1:4">
      <c r="A231">
        <v>81</v>
      </c>
      <c r="B231">
        <f>[3]猎人难度!$C95</f>
        <v>5600263</v>
      </c>
      <c r="C231">
        <f>VLOOKUP(A231,[3]怪物抗性与玩家穿透!$A$2:$Q$74,17,0)</f>
        <v>2.3877427450961606</v>
      </c>
      <c r="D231">
        <f t="shared" si="3"/>
        <v>2345421</v>
      </c>
    </row>
    <row r="232" spans="1:4">
      <c r="A232">
        <v>82</v>
      </c>
      <c r="B232">
        <f>[3]猎人难度!$C96</f>
        <v>6046012</v>
      </c>
      <c r="C232">
        <f>VLOOKUP(A232,[3]怪物抗性与玩家穿透!$A$2:$Q$74,17,0)</f>
        <v>2.370233026993366</v>
      </c>
      <c r="D232">
        <f t="shared" si="3"/>
        <v>2550809</v>
      </c>
    </row>
    <row r="233" spans="1:4">
      <c r="A233">
        <v>82</v>
      </c>
      <c r="B233">
        <f>[3]猎人难度!$C97</f>
        <v>6437059</v>
      </c>
      <c r="C233">
        <f>VLOOKUP(A233,[3]怪物抗性与玩家穿透!$A$2:$Q$74,17,0)</f>
        <v>2.370233026993366</v>
      </c>
      <c r="D233">
        <f t="shared" si="3"/>
        <v>2715792</v>
      </c>
    </row>
    <row r="234" spans="1:4">
      <c r="A234">
        <v>83</v>
      </c>
      <c r="B234">
        <f>[3]猎人难度!$C98</f>
        <v>6853399</v>
      </c>
      <c r="C234">
        <f>VLOOKUP(A234,[3]怪物抗性与玩家穿透!$A$2:$Q$74,17,0)</f>
        <v>2.3513545738377988</v>
      </c>
      <c r="D234">
        <f t="shared" si="3"/>
        <v>2914660</v>
      </c>
    </row>
    <row r="235" spans="1:4">
      <c r="A235">
        <v>84</v>
      </c>
      <c r="B235">
        <f>[3]猎人难度!$C99</f>
        <v>7450704</v>
      </c>
      <c r="C235">
        <f>VLOOKUP(A235,[3]怪物抗性与玩家穿透!$A$2:$Q$74,17,0)</f>
        <v>2.3313499673920637</v>
      </c>
      <c r="D235">
        <f t="shared" si="3"/>
        <v>3195875</v>
      </c>
    </row>
    <row r="236" spans="1:4">
      <c r="A236">
        <v>85</v>
      </c>
      <c r="B236">
        <f>[3]猎人难度!$C100</f>
        <v>5493664</v>
      </c>
      <c r="C236">
        <f>VLOOKUP(A236,[3]怪物抗性与玩家穿透!$A$2:$Q$74,17,0)</f>
        <v>2.3104407893519863</v>
      </c>
      <c r="D236">
        <f t="shared" si="3"/>
        <v>2377756</v>
      </c>
    </row>
    <row r="237" spans="1:4">
      <c r="A237">
        <v>85</v>
      </c>
      <c r="B237">
        <f>[3]猎人难度!$C101</f>
        <v>5897926</v>
      </c>
      <c r="C237">
        <f>VLOOKUP(A237,[3]怪物抗性与玩家穿透!$A$2:$Q$74,17,0)</f>
        <v>2.3104407893519863</v>
      </c>
      <c r="D237">
        <f t="shared" si="3"/>
        <v>2552728</v>
      </c>
    </row>
    <row r="238" spans="1:4">
      <c r="A238">
        <v>86</v>
      </c>
      <c r="B238">
        <f>[3]猎人难度!$C102</f>
        <v>6483590</v>
      </c>
      <c r="C238">
        <f>VLOOKUP(A238,[3]怪物抗性与玩家穿透!$A$2:$Q$74,17,0)</f>
        <v>2.3411468053605766</v>
      </c>
      <c r="D238">
        <f t="shared" si="3"/>
        <v>2769408</v>
      </c>
    </row>
    <row r="239" spans="1:4">
      <c r="A239">
        <v>86</v>
      </c>
      <c r="B239">
        <f>[3]猎人难度!$C103</f>
        <v>6866460</v>
      </c>
      <c r="C239">
        <f>VLOOKUP(A239,[3]怪物抗性与玩家穿透!$A$2:$Q$74,17,0)</f>
        <v>2.3411468053605766</v>
      </c>
      <c r="D239">
        <f t="shared" si="3"/>
        <v>2932947</v>
      </c>
    </row>
    <row r="240" spans="1:4">
      <c r="A240">
        <v>86</v>
      </c>
      <c r="B240">
        <f>[3]猎人难度!$C104</f>
        <v>7271939</v>
      </c>
      <c r="C240">
        <f>VLOOKUP(A240,[3]怪物抗性与玩家穿透!$A$2:$Q$74,17,0)</f>
        <v>2.3411468053605766</v>
      </c>
      <c r="D240">
        <f t="shared" si="3"/>
        <v>3106144</v>
      </c>
    </row>
    <row r="241" spans="1:4">
      <c r="A241">
        <v>87</v>
      </c>
      <c r="B241">
        <f>[3]猎人难度!$C105</f>
        <v>7850067</v>
      </c>
      <c r="C241">
        <f>VLOOKUP(A241,[3]怪物抗性与玩家穿透!$A$2:$Q$74,17,0)</f>
        <v>2.3672942430651958</v>
      </c>
      <c r="D241">
        <f t="shared" si="3"/>
        <v>3316050</v>
      </c>
    </row>
    <row r="242" spans="1:4">
      <c r="A242">
        <v>87</v>
      </c>
      <c r="B242">
        <f>[3]猎人难度!$C106</f>
        <v>8357314</v>
      </c>
      <c r="C242">
        <f>VLOOKUP(A242,[3]怪物抗性与玩家穿透!$A$2:$Q$74,17,0)</f>
        <v>2.3672942430651958</v>
      </c>
      <c r="D242">
        <f t="shared" si="3"/>
        <v>3530323</v>
      </c>
    </row>
    <row r="243" spans="1:4">
      <c r="A243">
        <v>88</v>
      </c>
      <c r="B243">
        <f>[3]猎人难度!$C107</f>
        <v>8897339</v>
      </c>
      <c r="C243">
        <f>VLOOKUP(A243,[3]怪物抗性与玩家穿透!$A$2:$Q$74,17,0)</f>
        <v>2.3892125115563094</v>
      </c>
      <c r="D243">
        <f t="shared" si="3"/>
        <v>3723963</v>
      </c>
    </row>
    <row r="244" spans="1:4">
      <c r="A244">
        <v>89</v>
      </c>
      <c r="B244">
        <f>[3]猎人难度!$C108</f>
        <v>9672037</v>
      </c>
      <c r="C244">
        <f>VLOOKUP(A244,[3]怪物抗性与玩家穿透!$A$2:$Q$74,17,0)</f>
        <v>2.4072269974445866</v>
      </c>
      <c r="D244">
        <f t="shared" si="3"/>
        <v>4017916</v>
      </c>
    </row>
    <row r="245" spans="1:4">
      <c r="A245">
        <v>90</v>
      </c>
      <c r="B245">
        <f>[3]猎人难度!$C109</f>
        <v>7070587</v>
      </c>
      <c r="C245">
        <f>VLOOKUP(A245,[3]怪物抗性与玩家穿透!$A$2:$Q$74,17,0)</f>
        <v>2.421654651918431</v>
      </c>
      <c r="D245">
        <f t="shared" si="3"/>
        <v>2919734</v>
      </c>
    </row>
    <row r="246" spans="1:4">
      <c r="A246">
        <v>90</v>
      </c>
      <c r="B246">
        <f>[3]猎人难度!$C110</f>
        <v>7588774</v>
      </c>
      <c r="C246">
        <f>VLOOKUP(A246,[3]怪物抗性与玩家穿透!$A$2:$Q$74,17,0)</f>
        <v>2.421654651918431</v>
      </c>
      <c r="D246">
        <f t="shared" si="3"/>
        <v>3133714</v>
      </c>
    </row>
    <row r="247" spans="1:4">
      <c r="A247">
        <v>91</v>
      </c>
      <c r="B247">
        <f>[3]猎人难度!$C111</f>
        <v>8339240</v>
      </c>
      <c r="C247">
        <f>VLOOKUP(A247,[3]怪物抗性与玩家穿透!$A$2:$Q$74,17,0)</f>
        <v>2.4328006803577273</v>
      </c>
      <c r="D247">
        <f t="shared" si="3"/>
        <v>3427835</v>
      </c>
    </row>
    <row r="248" spans="1:4">
      <c r="A248">
        <v>91</v>
      </c>
      <c r="B248">
        <f>[3]猎人难度!$C112</f>
        <v>8830085</v>
      </c>
      <c r="C248">
        <f>VLOOKUP(A248,[3]怪物抗性与玩家穿透!$A$2:$Q$74,17,0)</f>
        <v>2.4328006803577273</v>
      </c>
      <c r="D248">
        <f t="shared" si="3"/>
        <v>3629597</v>
      </c>
    </row>
    <row r="249" spans="1:4">
      <c r="A249">
        <v>91</v>
      </c>
      <c r="B249">
        <f>[3]猎人难度!$C113</f>
        <v>9349820</v>
      </c>
      <c r="C249">
        <f>VLOOKUP(A249,[3]怪物抗性与玩家穿透!$A$2:$Q$74,17,0)</f>
        <v>2.4328006803577273</v>
      </c>
      <c r="D249">
        <f t="shared" si="3"/>
        <v>3843233</v>
      </c>
    </row>
    <row r="250" spans="1:4">
      <c r="A250">
        <v>92</v>
      </c>
      <c r="B250">
        <f>[3]猎人难度!$C114</f>
        <v>10090696</v>
      </c>
      <c r="C250">
        <f>VLOOKUP(A250,[3]怪物抗性与玩家穿透!$A$2:$Q$74,17,0)</f>
        <v>2.4409561715232324</v>
      </c>
      <c r="D250">
        <f t="shared" si="3"/>
        <v>4133911</v>
      </c>
    </row>
    <row r="251" spans="1:4">
      <c r="A251">
        <v>92</v>
      </c>
      <c r="B251">
        <f>[3]猎人难度!$C115</f>
        <v>10740979</v>
      </c>
      <c r="C251">
        <f>VLOOKUP(A251,[3]怪物抗性与玩家穿透!$A$2:$Q$74,17,0)</f>
        <v>2.4409561715232324</v>
      </c>
      <c r="D251">
        <f t="shared" si="3"/>
        <v>4400316</v>
      </c>
    </row>
    <row r="252" spans="1:4">
      <c r="A252">
        <v>93</v>
      </c>
      <c r="B252">
        <f>[3]猎人难度!$C116</f>
        <v>11433170</v>
      </c>
      <c r="C252">
        <f>VLOOKUP(A252,[3]怪物抗性与玩家穿透!$A$2:$Q$74,17,0)</f>
        <v>2.4463965110860251</v>
      </c>
      <c r="D252">
        <f t="shared" si="3"/>
        <v>4673474</v>
      </c>
    </row>
    <row r="253" spans="1:4">
      <c r="A253">
        <v>94</v>
      </c>
      <c r="B253">
        <f>[3]猎人难度!$C117</f>
        <v>12425971</v>
      </c>
      <c r="C253">
        <f>VLOOKUP(A253,[3]怪物抗性与玩家穿透!$A$2:$Q$74,17,0)</f>
        <v>2.4493804369474916</v>
      </c>
      <c r="D253">
        <f t="shared" si="3"/>
        <v>5073108</v>
      </c>
    </row>
    <row r="254" spans="1:4">
      <c r="A254">
        <v>95</v>
      </c>
      <c r="B254">
        <f>[3]猎人难度!$C118</f>
        <v>9006666</v>
      </c>
      <c r="C254">
        <f>VLOOKUP(A254,[3]怪物抗性与玩家穿透!$A$2:$Q$74,17,0)</f>
        <v>2.4501496091557176</v>
      </c>
      <c r="D254">
        <f t="shared" si="3"/>
        <v>3675966</v>
      </c>
    </row>
    <row r="255" spans="1:4">
      <c r="A255">
        <v>95</v>
      </c>
      <c r="B255">
        <f>[3]猎人难度!$C119</f>
        <v>9656245</v>
      </c>
      <c r="C255">
        <f>VLOOKUP(A255,[3]怪物抗性与玩家穿透!$A$2:$Q$74,17,0)</f>
        <v>2.4501496091557176</v>
      </c>
      <c r="D255">
        <f t="shared" si="3"/>
        <v>3941084</v>
      </c>
    </row>
    <row r="256" spans="1:4">
      <c r="A256">
        <v>96</v>
      </c>
      <c r="B256">
        <f>[3]猎人难度!$C120</f>
        <v>10595804</v>
      </c>
      <c r="C256">
        <f>VLOOKUP(A256,[3]怪物抗性与玩家穿透!$A$2:$Q$74,17,0)</f>
        <v>2.4489285835782573</v>
      </c>
      <c r="D256">
        <f t="shared" si="3"/>
        <v>4326710</v>
      </c>
    </row>
    <row r="257" spans="1:4">
      <c r="A257">
        <v>96</v>
      </c>
      <c r="B257">
        <f>[3]猎人难度!$C121</f>
        <v>11211489</v>
      </c>
      <c r="C257">
        <f>VLOOKUP(A257,[3]怪物抗性与玩家穿透!$A$2:$Q$74,17,0)</f>
        <v>2.4489285835782573</v>
      </c>
      <c r="D257">
        <f t="shared" si="3"/>
        <v>4578120</v>
      </c>
    </row>
    <row r="258" spans="1:4">
      <c r="A258">
        <v>96</v>
      </c>
      <c r="B258">
        <f>[3]猎人难度!$C122</f>
        <v>11862949</v>
      </c>
      <c r="C258">
        <f>VLOOKUP(A258,[3]怪物抗性与玩家穿透!$A$2:$Q$74,17,0)</f>
        <v>2.4489285835782573</v>
      </c>
      <c r="D258">
        <f t="shared" si="3"/>
        <v>4844138</v>
      </c>
    </row>
    <row r="259" spans="1:4">
      <c r="A259">
        <v>97</v>
      </c>
      <c r="B259">
        <f>[3]猎人难度!$C123</f>
        <v>12790824</v>
      </c>
      <c r="C259">
        <f>VLOOKUP(A259,[3]怪物抗性与玩家穿透!$A$2:$Q$74,17,0)</f>
        <v>2.4459250946816788</v>
      </c>
      <c r="D259">
        <f t="shared" ref="D259:D322" si="4">ROUND(B259/C259,0)</f>
        <v>5229442</v>
      </c>
    </row>
    <row r="260" spans="1:4">
      <c r="A260">
        <v>97</v>
      </c>
      <c r="B260">
        <f>[3]猎人难度!$C124</f>
        <v>13606429</v>
      </c>
      <c r="C260">
        <f>VLOOKUP(A260,[3]怪物抗性与玩家穿透!$A$2:$Q$74,17,0)</f>
        <v>2.4459250946816788</v>
      </c>
      <c r="D260">
        <f t="shared" si="4"/>
        <v>5562897</v>
      </c>
    </row>
    <row r="261" spans="1:4">
      <c r="A261">
        <v>98</v>
      </c>
      <c r="B261">
        <f>[3]猎人难度!$C125</f>
        <v>14474040</v>
      </c>
      <c r="C261">
        <f>VLOOKUP(A261,[3]怪物抗性与玩家穿透!$A$2:$Q$74,17,0)</f>
        <v>2.4413305680396125</v>
      </c>
      <c r="D261">
        <f t="shared" si="4"/>
        <v>5928751</v>
      </c>
    </row>
    <row r="262" spans="1:4">
      <c r="A262">
        <v>99</v>
      </c>
      <c r="B262">
        <f>[3]猎人难度!$C126</f>
        <v>15717517</v>
      </c>
      <c r="C262">
        <f>VLOOKUP(A262,[3]怪物抗性与玩家穿透!$A$2:$Q$74,17,0)</f>
        <v>2.4353207970995125</v>
      </c>
      <c r="D262">
        <f t="shared" si="4"/>
        <v>6453982</v>
      </c>
    </row>
    <row r="263" spans="1:4">
      <c r="A263">
        <v>100</v>
      </c>
      <c r="B263">
        <f>[3]猎人难度!$C127</f>
        <v>11373825</v>
      </c>
      <c r="C263">
        <f>VLOOKUP(A263,[3]怪物抗性与玩家穿透!$A$2:$Q$74,17,0)</f>
        <v>2.4280567310684522</v>
      </c>
      <c r="D263">
        <f t="shared" si="4"/>
        <v>4684332</v>
      </c>
    </row>
    <row r="264" spans="1:4">
      <c r="A264">
        <v>100</v>
      </c>
      <c r="B264">
        <f>[3]猎人难度!$C128</f>
        <v>12193842</v>
      </c>
      <c r="C264">
        <f>VLOOKUP(A264,[3]怪物抗性与玩家穿透!$A$2:$Q$74,17,0)</f>
        <v>2.4280567310684522</v>
      </c>
      <c r="D264">
        <f t="shared" si="4"/>
        <v>5022058</v>
      </c>
    </row>
    <row r="265" spans="1:4">
      <c r="A265">
        <v>101</v>
      </c>
      <c r="B265">
        <f>[3]猎人难度!$C129</f>
        <v>13379890</v>
      </c>
      <c r="C265">
        <f>VLOOKUP(A265,[3]怪物抗性与玩家穿透!$A$2:$Q$74,17,0)</f>
        <v>2.4353207970995125</v>
      </c>
      <c r="D265">
        <f t="shared" si="4"/>
        <v>5494098</v>
      </c>
    </row>
    <row r="266" spans="1:4">
      <c r="A266">
        <v>101</v>
      </c>
      <c r="B266">
        <f>[3]猎人难度!$C130</f>
        <v>14157129</v>
      </c>
      <c r="C266">
        <f>VLOOKUP(A266,[3]怪物抗性与玩家穿透!$A$2:$Q$74,17,0)</f>
        <v>2.4353207970995125</v>
      </c>
      <c r="D266">
        <f t="shared" si="4"/>
        <v>5813250</v>
      </c>
    </row>
    <row r="267" spans="1:4">
      <c r="A267">
        <v>101</v>
      </c>
      <c r="B267">
        <f>[3]猎人难度!$C131</f>
        <v>14979518</v>
      </c>
      <c r="C267">
        <f>VLOOKUP(A267,[3]怪物抗性与玩家穿透!$A$2:$Q$74,17,0)</f>
        <v>2.4353207970995125</v>
      </c>
      <c r="D267">
        <f t="shared" si="4"/>
        <v>6150942</v>
      </c>
    </row>
    <row r="268" spans="1:4">
      <c r="A268">
        <v>102</v>
      </c>
      <c r="B268">
        <f>[3]猎人难度!$C132</f>
        <v>16150825</v>
      </c>
      <c r="C268">
        <f>VLOOKUP(A268,[3]怪物抗性与玩家穿透!$A$2:$Q$74,17,0)</f>
        <v>2.4280567310684522</v>
      </c>
      <c r="D268">
        <f t="shared" si="4"/>
        <v>6651749</v>
      </c>
    </row>
    <row r="269" spans="1:4">
      <c r="A269">
        <v>102</v>
      </c>
      <c r="B269">
        <f>[3]猎人难度!$C133</f>
        <v>17180440</v>
      </c>
      <c r="C269">
        <f>VLOOKUP(A269,[3]怪物抗性与玩家穿透!$A$2:$Q$74,17,0)</f>
        <v>2.4280567310684522</v>
      </c>
      <c r="D269">
        <f t="shared" si="4"/>
        <v>7075798</v>
      </c>
    </row>
    <row r="270" spans="1:4">
      <c r="A270">
        <v>102</v>
      </c>
      <c r="B270">
        <f>[3]猎人难度!$C134</f>
        <v>18275694</v>
      </c>
      <c r="C270">
        <f>VLOOKUP(A270,[3]怪物抗性与玩家穿透!$A$2:$Q$74,17,0)</f>
        <v>2.4280567310684522</v>
      </c>
      <c r="D270">
        <f t="shared" si="4"/>
        <v>7526881</v>
      </c>
    </row>
    <row r="271" spans="1:4">
      <c r="A271">
        <v>102</v>
      </c>
      <c r="B271">
        <f>[3]猎人难度!$C135</f>
        <v>19845406</v>
      </c>
      <c r="C271">
        <f>VLOOKUP(A271,[3]怪物抗性与玩家穿透!$A$2:$Q$74,17,0)</f>
        <v>2.4280567310684522</v>
      </c>
      <c r="D271">
        <f t="shared" si="4"/>
        <v>8173370</v>
      </c>
    </row>
    <row r="272" spans="1:4">
      <c r="A272">
        <v>30</v>
      </c>
      <c r="B272">
        <f>[3]法师难度!$C1</f>
        <v>41150</v>
      </c>
      <c r="C272">
        <f>VLOOKUP(A272,[3]怪物抗性与玩家穿透!$A$2:$Q$74,17,0)</f>
        <v>1.0061248239113125</v>
      </c>
      <c r="D272">
        <f t="shared" si="4"/>
        <v>40899</v>
      </c>
    </row>
    <row r="273" spans="1:4">
      <c r="A273">
        <v>30</v>
      </c>
      <c r="B273">
        <f>[3]法师难度!$C2</f>
        <v>51351</v>
      </c>
      <c r="C273">
        <f>VLOOKUP(A273,[3]怪物抗性与玩家穿透!$A$2:$Q$74,17,0)</f>
        <v>1.0061248239113125</v>
      </c>
      <c r="D273">
        <f t="shared" si="4"/>
        <v>51038</v>
      </c>
    </row>
    <row r="274" spans="1:4">
      <c r="A274">
        <v>31</v>
      </c>
      <c r="B274">
        <f>[3]法师难度!$C3</f>
        <v>68990</v>
      </c>
      <c r="C274">
        <f>VLOOKUP(A274,[3]怪物抗性与玩家穿透!$A$2:$Q$74,17,0)</f>
        <v>1.0141242937853108</v>
      </c>
      <c r="D274">
        <f t="shared" si="4"/>
        <v>68029</v>
      </c>
    </row>
    <row r="275" spans="1:4">
      <c r="A275">
        <v>31</v>
      </c>
      <c r="B275">
        <f>[3]法师难度!$C4</f>
        <v>78255</v>
      </c>
      <c r="C275">
        <f>VLOOKUP(A275,[3]怪物抗性与玩家穿透!$A$2:$Q$74,17,0)</f>
        <v>1.0141242937853108</v>
      </c>
      <c r="D275">
        <f t="shared" si="4"/>
        <v>77165</v>
      </c>
    </row>
    <row r="276" spans="1:4">
      <c r="A276">
        <v>31</v>
      </c>
      <c r="B276">
        <f>[3]法师难度!$C5</f>
        <v>88765</v>
      </c>
      <c r="C276">
        <f>VLOOKUP(A276,[3]怪物抗性与玩家穿透!$A$2:$Q$74,17,0)</f>
        <v>1.0141242937853108</v>
      </c>
      <c r="D276">
        <f t="shared" si="4"/>
        <v>87529</v>
      </c>
    </row>
    <row r="277" spans="1:4">
      <c r="A277">
        <v>32</v>
      </c>
      <c r="B277">
        <f>[3]法师难度!$C6</f>
        <v>105005</v>
      </c>
      <c r="C277">
        <f>VLOOKUP(A277,[3]怪物抗性与玩家穿透!$A$2:$Q$74,17,0)</f>
        <v>1.0262259068275992</v>
      </c>
      <c r="D277">
        <f t="shared" si="4"/>
        <v>102322</v>
      </c>
    </row>
    <row r="278" spans="1:4">
      <c r="A278">
        <v>32</v>
      </c>
      <c r="B278">
        <f>[3]法师难度!$C7</f>
        <v>117564</v>
      </c>
      <c r="C278">
        <f>VLOOKUP(A278,[3]怪物抗性与玩家穿透!$A$2:$Q$74,17,0)</f>
        <v>1.0262259068275992</v>
      </c>
      <c r="D278">
        <f t="shared" si="4"/>
        <v>114560</v>
      </c>
    </row>
    <row r="279" spans="1:4">
      <c r="A279">
        <v>33</v>
      </c>
      <c r="B279">
        <f>[3]法师难度!$C8</f>
        <v>131625</v>
      </c>
      <c r="C279">
        <f>VLOOKUP(A279,[3]怪物抗性与玩家穿透!$A$2:$Q$74,17,0)</f>
        <v>1.0369356348141303</v>
      </c>
      <c r="D279">
        <f t="shared" si="4"/>
        <v>126937</v>
      </c>
    </row>
    <row r="280" spans="1:4">
      <c r="A280">
        <v>34</v>
      </c>
      <c r="B280">
        <f>[3]法师难度!$C9</f>
        <v>153024</v>
      </c>
      <c r="C280">
        <f>VLOOKUP(A280,[3]怪物抗性与玩家穿透!$A$2:$Q$74,17,0)</f>
        <v>1.0464252180174023</v>
      </c>
      <c r="D280">
        <f t="shared" si="4"/>
        <v>146235</v>
      </c>
    </row>
    <row r="281" spans="1:4">
      <c r="A281">
        <v>35</v>
      </c>
      <c r="B281">
        <f>[3]法师难度!$C10</f>
        <v>85868</v>
      </c>
      <c r="C281">
        <f>VLOOKUP(A281,[3]怪物抗性与玩家穿透!$A$2:$Q$74,17,0)</f>
        <v>1.0548425998079545</v>
      </c>
      <c r="D281">
        <f t="shared" si="4"/>
        <v>81404</v>
      </c>
    </row>
    <row r="282" spans="1:4">
      <c r="A282">
        <v>35</v>
      </c>
      <c r="B282">
        <f>[3]法师难度!$C11</f>
        <v>102505</v>
      </c>
      <c r="C282">
        <f>VLOOKUP(A282,[3]怪物抗性与玩家穿透!$A$2:$Q$74,17,0)</f>
        <v>1.0548425998079545</v>
      </c>
      <c r="D282">
        <f t="shared" si="4"/>
        <v>97176</v>
      </c>
    </row>
    <row r="283" spans="1:4">
      <c r="A283">
        <v>36</v>
      </c>
      <c r="B283">
        <f>[3]法师难度!$C12</f>
        <v>129807</v>
      </c>
      <c r="C283">
        <f>VLOOKUP(A283,[3]怪物抗性与玩家穿透!$A$2:$Q$74,17,0)</f>
        <v>1.0623155845758585</v>
      </c>
      <c r="D283">
        <f t="shared" si="4"/>
        <v>122193</v>
      </c>
    </row>
    <row r="284" spans="1:4">
      <c r="A284">
        <v>36</v>
      </c>
      <c r="B284">
        <f>[3]法师难度!$C13</f>
        <v>144990</v>
      </c>
      <c r="C284">
        <f>VLOOKUP(A284,[3]怪物抗性与玩家穿透!$A$2:$Q$74,17,0)</f>
        <v>1.0623155845758585</v>
      </c>
      <c r="D284">
        <f t="shared" si="4"/>
        <v>136485</v>
      </c>
    </row>
    <row r="285" spans="1:4">
      <c r="A285">
        <v>36</v>
      </c>
      <c r="B285">
        <f>[3]法师难度!$C14</f>
        <v>161948</v>
      </c>
      <c r="C285">
        <f>VLOOKUP(A285,[3]怪物抗性与玩家穿透!$A$2:$Q$74,17,0)</f>
        <v>1.0623155845758585</v>
      </c>
      <c r="D285">
        <f t="shared" si="4"/>
        <v>152448</v>
      </c>
    </row>
    <row r="286" spans="1:4">
      <c r="A286">
        <v>37</v>
      </c>
      <c r="B286">
        <f>[3]法师难度!$C15</f>
        <v>187684</v>
      </c>
      <c r="C286">
        <f>VLOOKUP(A286,[3]怪物抗性与玩家穿透!$A$2:$Q$74,17,0)</f>
        <v>1.0689548827179796</v>
      </c>
      <c r="D286">
        <f t="shared" si="4"/>
        <v>175577</v>
      </c>
    </row>
    <row r="287" spans="1:4">
      <c r="A287">
        <v>37</v>
      </c>
      <c r="B287">
        <f>[3]法师难度!$C16</f>
        <v>208113</v>
      </c>
      <c r="C287">
        <f>VLOOKUP(A287,[3]怪物抗性与玩家穿透!$A$2:$Q$74,17,0)</f>
        <v>1.0689548827179796</v>
      </c>
      <c r="D287">
        <f t="shared" si="4"/>
        <v>194688</v>
      </c>
    </row>
    <row r="288" spans="1:4">
      <c r="A288">
        <v>38</v>
      </c>
      <c r="B288">
        <f>[3]法师难度!$C17</f>
        <v>230767</v>
      </c>
      <c r="C288">
        <f>VLOOKUP(A288,[3]怪物抗性与玩家穿透!$A$2:$Q$74,17,0)</f>
        <v>1.074856652656633</v>
      </c>
      <c r="D288">
        <f t="shared" si="4"/>
        <v>214696</v>
      </c>
    </row>
    <row r="289" spans="1:4">
      <c r="A289">
        <v>39</v>
      </c>
      <c r="B289">
        <f>[3]法师难度!$C18</f>
        <v>264852</v>
      </c>
      <c r="C289">
        <f>VLOOKUP(A289,[3]怪物抗性与玩家穿透!$A$2:$Q$74,17,0)</f>
        <v>1.0801046291375216</v>
      </c>
      <c r="D289">
        <f t="shared" si="4"/>
        <v>245210</v>
      </c>
    </row>
    <row r="290" spans="1:4">
      <c r="A290">
        <v>40</v>
      </c>
      <c r="B290">
        <f>[3]法师难度!$C19</f>
        <v>153228</v>
      </c>
      <c r="C290">
        <f>VLOOKUP(A290,[3]怪物抗性与玩家穿透!$A$2:$Q$74,17,0)</f>
        <v>1.0847719103376994</v>
      </c>
      <c r="D290">
        <f t="shared" si="4"/>
        <v>141254</v>
      </c>
    </row>
    <row r="291" spans="1:4">
      <c r="A291">
        <v>40</v>
      </c>
      <c r="B291">
        <f>[3]法师难度!$C20</f>
        <v>177345</v>
      </c>
      <c r="C291">
        <f>VLOOKUP(A291,[3]怪物抗性与玩家穿透!$A$2:$Q$74,17,0)</f>
        <v>1.0847719103376994</v>
      </c>
      <c r="D291">
        <f t="shared" si="4"/>
        <v>163486</v>
      </c>
    </row>
    <row r="292" spans="1:4">
      <c r="A292">
        <v>41</v>
      </c>
      <c r="B292">
        <f>[3]法师难度!$C21</f>
        <v>215505</v>
      </c>
      <c r="C292">
        <f>VLOOKUP(A292,[3]怪物抗性与玩家穿透!$A$2:$Q$74,17,0)</f>
        <v>1.0889224628355065</v>
      </c>
      <c r="D292">
        <f t="shared" si="4"/>
        <v>197907</v>
      </c>
    </row>
    <row r="293" spans="1:4">
      <c r="A293">
        <v>41</v>
      </c>
      <c r="B293">
        <f>[3]法师难度!$C22</f>
        <v>237660</v>
      </c>
      <c r="C293">
        <f>VLOOKUP(A293,[3]怪物抗性与玩家穿透!$A$2:$Q$74,17,0)</f>
        <v>1.0889224628355065</v>
      </c>
      <c r="D293">
        <f t="shared" si="4"/>
        <v>218252</v>
      </c>
    </row>
    <row r="294" spans="1:4">
      <c r="A294">
        <v>41</v>
      </c>
      <c r="B294">
        <f>[3]法师难度!$C23</f>
        <v>262092</v>
      </c>
      <c r="C294">
        <f>VLOOKUP(A294,[3]怪物抗性与玩家穿透!$A$2:$Q$74,17,0)</f>
        <v>1.0889224628355065</v>
      </c>
      <c r="D294">
        <f t="shared" si="4"/>
        <v>240689</v>
      </c>
    </row>
    <row r="295" spans="1:4">
      <c r="A295">
        <v>42</v>
      </c>
      <c r="B295">
        <f>[3]法师难度!$C24</f>
        <v>298619</v>
      </c>
      <c r="C295">
        <f>VLOOKUP(A295,[3]怪物抗性与玩家穿透!$A$2:$Q$74,17,0)</f>
        <v>1.0926123926238318</v>
      </c>
      <c r="D295">
        <f t="shared" si="4"/>
        <v>273307</v>
      </c>
    </row>
    <row r="296" spans="1:4">
      <c r="A296">
        <v>42</v>
      </c>
      <c r="B296">
        <f>[3]法师难度!$C25</f>
        <v>328276</v>
      </c>
      <c r="C296">
        <f>VLOOKUP(A296,[3]怪物抗性与玩家穿透!$A$2:$Q$74,17,0)</f>
        <v>1.0926123926238318</v>
      </c>
      <c r="D296">
        <f t="shared" si="4"/>
        <v>300451</v>
      </c>
    </row>
    <row r="297" spans="1:4">
      <c r="A297">
        <v>43</v>
      </c>
      <c r="B297">
        <f>[3]法师难度!$C26</f>
        <v>360878</v>
      </c>
      <c r="C297">
        <f>VLOOKUP(A297,[3]怪物抗性与玩家穿透!$A$2:$Q$74,17,0)</f>
        <v>1.0958910215721893</v>
      </c>
      <c r="D297">
        <f t="shared" si="4"/>
        <v>329301</v>
      </c>
    </row>
    <row r="298" spans="1:4">
      <c r="A298">
        <v>44</v>
      </c>
      <c r="B298">
        <f>[3]法师难度!$C27</f>
        <v>409438</v>
      </c>
      <c r="C298">
        <f>VLOOKUP(A298,[3]怪物抗性与玩家穿透!$A$2:$Q$74,17,0)</f>
        <v>1.0988018016476118</v>
      </c>
      <c r="D298">
        <f t="shared" si="4"/>
        <v>372622</v>
      </c>
    </row>
    <row r="299" spans="1:4">
      <c r="A299">
        <v>45</v>
      </c>
      <c r="B299">
        <f>[3]法师难度!$C28</f>
        <v>236912</v>
      </c>
      <c r="C299">
        <f>VLOOKUP(A299,[3]怪物抗性与玩家穿透!$A$2:$Q$74,17,0)</f>
        <v>1.1013830934565856</v>
      </c>
      <c r="D299">
        <f t="shared" si="4"/>
        <v>215104</v>
      </c>
    </row>
    <row r="300" spans="1:4">
      <c r="A300">
        <v>45</v>
      </c>
      <c r="B300">
        <f>[3]法师难度!$C29</f>
        <v>268464</v>
      </c>
      <c r="C300">
        <f>VLOOKUP(A300,[3]怪物抗性与玩家穿透!$A$2:$Q$74,17,0)</f>
        <v>1.1013830934565856</v>
      </c>
      <c r="D300">
        <f t="shared" si="4"/>
        <v>243752</v>
      </c>
    </row>
    <row r="301" spans="1:4">
      <c r="A301">
        <v>46</v>
      </c>
      <c r="B301">
        <f>[3]法师难度!$C30</f>
        <v>317164</v>
      </c>
      <c r="C301">
        <f>VLOOKUP(A301,[3]怪物抗性与玩家穿透!$A$2:$Q$74,17,0)</f>
        <v>1.103668831004097</v>
      </c>
      <c r="D301">
        <f t="shared" si="4"/>
        <v>287372</v>
      </c>
    </row>
    <row r="302" spans="1:4">
      <c r="A302">
        <v>46</v>
      </c>
      <c r="B302">
        <f>[3]法师难度!$C31</f>
        <v>346334</v>
      </c>
      <c r="C302">
        <f>VLOOKUP(A302,[3]怪物抗性与玩家穿透!$A$2:$Q$74,17,0)</f>
        <v>1.103668831004097</v>
      </c>
      <c r="D302">
        <f t="shared" si="4"/>
        <v>313802</v>
      </c>
    </row>
    <row r="303" spans="1:4">
      <c r="A303">
        <v>46</v>
      </c>
      <c r="B303">
        <f>[3]法师难度!$C32</f>
        <v>378187</v>
      </c>
      <c r="C303">
        <f>VLOOKUP(A303,[3]怪物抗性与玩家穿透!$A$2:$Q$74,17,0)</f>
        <v>1.103668831004097</v>
      </c>
      <c r="D303">
        <f t="shared" si="4"/>
        <v>342663</v>
      </c>
    </row>
    <row r="304" spans="1:4">
      <c r="A304">
        <v>47</v>
      </c>
      <c r="B304">
        <f>[3]法师难度!$C33</f>
        <v>425260</v>
      </c>
      <c r="C304">
        <f>VLOOKUP(A304,[3]怪物抗性与玩家穿透!$A$2:$Q$74,17,0)</f>
        <v>1.2031943305364541</v>
      </c>
      <c r="D304">
        <f t="shared" si="4"/>
        <v>353442</v>
      </c>
    </row>
    <row r="305" spans="1:4">
      <c r="A305">
        <v>47</v>
      </c>
      <c r="B305">
        <f>[3]法师难度!$C34</f>
        <v>464174</v>
      </c>
      <c r="C305">
        <f>VLOOKUP(A305,[3]怪物抗性与玩家穿透!$A$2:$Q$74,17,0)</f>
        <v>1.2031943305364541</v>
      </c>
      <c r="D305">
        <f t="shared" si="4"/>
        <v>385785</v>
      </c>
    </row>
    <row r="306" spans="1:4">
      <c r="A306">
        <v>48</v>
      </c>
      <c r="B306">
        <f>[3]法师难度!$C35</f>
        <v>506649</v>
      </c>
      <c r="C306">
        <f>VLOOKUP(A306,[3]怪物抗性与玩家穿透!$A$2:$Q$74,17,0)</f>
        <v>1.2983080850746616</v>
      </c>
      <c r="D306">
        <f t="shared" si="4"/>
        <v>390238</v>
      </c>
    </row>
    <row r="307" spans="1:4">
      <c r="A307">
        <v>49</v>
      </c>
      <c r="B307">
        <f>[3]法师难度!$C36</f>
        <v>569388</v>
      </c>
      <c r="C307">
        <f>VLOOKUP(A307,[3]怪物抗性与玩家穿透!$A$2:$Q$74,17,0)</f>
        <v>1.3888596939903837</v>
      </c>
      <c r="D307">
        <f t="shared" si="4"/>
        <v>409968</v>
      </c>
    </row>
    <row r="308" spans="1:4">
      <c r="A308">
        <v>50</v>
      </c>
      <c r="B308">
        <f>[3]法师难度!$C37</f>
        <v>385670</v>
      </c>
      <c r="C308">
        <f>VLOOKUP(A308,[3]怪物抗性与玩家穿透!$A$2:$Q$74,17,0)</f>
        <v>1.4747895599187224</v>
      </c>
      <c r="D308">
        <f t="shared" si="4"/>
        <v>261508</v>
      </c>
    </row>
    <row r="309" spans="1:4">
      <c r="A309">
        <v>50</v>
      </c>
      <c r="B309">
        <f>[3]法师难度!$C38</f>
        <v>428415</v>
      </c>
      <c r="C309">
        <f>VLOOKUP(A309,[3]怪物抗性与玩家穿透!$A$2:$Q$74,17,0)</f>
        <v>1.4747895599187224</v>
      </c>
      <c r="D309">
        <f t="shared" si="4"/>
        <v>290492</v>
      </c>
    </row>
    <row r="310" spans="1:4">
      <c r="A310">
        <v>51</v>
      </c>
      <c r="B310">
        <f>[3]法师难度!$C39</f>
        <v>492867</v>
      </c>
      <c r="C310">
        <f>VLOOKUP(A310,[3]怪物抗性与玩家穿透!$A$2:$Q$74,17,0)</f>
        <v>1.5561073788285797</v>
      </c>
      <c r="D310">
        <f t="shared" si="4"/>
        <v>316731</v>
      </c>
    </row>
    <row r="311" spans="1:4">
      <c r="A311">
        <v>51</v>
      </c>
      <c r="B311">
        <f>[3]法师难度!$C40</f>
        <v>532682</v>
      </c>
      <c r="C311">
        <f>VLOOKUP(A311,[3]怪物抗性与玩家穿透!$A$2:$Q$74,17,0)</f>
        <v>1.5561073788285797</v>
      </c>
      <c r="D311">
        <f t="shared" si="4"/>
        <v>342317</v>
      </c>
    </row>
    <row r="312" spans="1:4">
      <c r="A312">
        <v>51</v>
      </c>
      <c r="B312">
        <f>[3]法师难度!$C41</f>
        <v>575714</v>
      </c>
      <c r="C312">
        <f>VLOOKUP(A312,[3]怪物抗性与玩家穿透!$A$2:$Q$74,17,0)</f>
        <v>1.5561073788285797</v>
      </c>
      <c r="D312">
        <f t="shared" si="4"/>
        <v>369971</v>
      </c>
    </row>
    <row r="313" spans="1:4">
      <c r="A313">
        <v>52</v>
      </c>
      <c r="B313">
        <f>[3]法师难度!$C42</f>
        <v>638545</v>
      </c>
      <c r="C313">
        <f>VLOOKUP(A313,[3]怪物抗性与玩家穿透!$A$2:$Q$74,17,0)</f>
        <v>1.632875137996699</v>
      </c>
      <c r="D313">
        <f t="shared" si="4"/>
        <v>391056</v>
      </c>
    </row>
    <row r="314" spans="1:4">
      <c r="A314">
        <v>52</v>
      </c>
      <c r="B314">
        <f>[3]法师难度!$C43</f>
        <v>691502</v>
      </c>
      <c r="C314">
        <f>VLOOKUP(A314,[3]怪物抗性与玩家穿透!$A$2:$Q$74,17,0)</f>
        <v>1.632875137996699</v>
      </c>
      <c r="D314">
        <f t="shared" si="4"/>
        <v>423487</v>
      </c>
    </row>
    <row r="315" spans="1:4">
      <c r="A315">
        <v>53</v>
      </c>
      <c r="B315">
        <f>[3]法师难度!$C44</f>
        <v>748850</v>
      </c>
      <c r="C315">
        <f>VLOOKUP(A315,[3]怪物抗性与玩家穿透!$A$2:$Q$74,17,0)</f>
        <v>1.7051936863402923</v>
      </c>
      <c r="D315">
        <f t="shared" si="4"/>
        <v>439158</v>
      </c>
    </row>
    <row r="316" spans="1:4">
      <c r="A316">
        <v>54</v>
      </c>
      <c r="B316">
        <f>[3]法师难度!$C45</f>
        <v>832781</v>
      </c>
      <c r="C316">
        <f>VLOOKUP(A316,[3]怪物抗性与玩家穿透!$A$2:$Q$74,17,0)</f>
        <v>1.7731921405419184</v>
      </c>
      <c r="D316">
        <f t="shared" si="4"/>
        <v>469651</v>
      </c>
    </row>
    <row r="317" spans="1:4">
      <c r="A317">
        <v>55</v>
      </c>
      <c r="B317">
        <f>[3]法师难度!$C46</f>
        <v>582456</v>
      </c>
      <c r="C317">
        <f>VLOOKUP(A317,[3]怪物抗性与玩家穿透!$A$2:$Q$74,17,0)</f>
        <v>1.8370195454607101</v>
      </c>
      <c r="D317">
        <f t="shared" si="4"/>
        <v>317066</v>
      </c>
    </row>
    <row r="318" spans="1:4">
      <c r="A318">
        <v>55</v>
      </c>
      <c r="B318">
        <f>[3]法师难度!$C47</f>
        <v>637890</v>
      </c>
      <c r="C318">
        <f>VLOOKUP(A318,[3]怪物抗性与玩家穿透!$A$2:$Q$74,17,0)</f>
        <v>1.8370195454607101</v>
      </c>
      <c r="D318">
        <f t="shared" si="4"/>
        <v>347242</v>
      </c>
    </row>
    <row r="319" spans="1:4">
      <c r="A319">
        <v>56</v>
      </c>
      <c r="B319">
        <f>[3]法师难度!$C48</f>
        <v>720093</v>
      </c>
      <c r="C319">
        <f>VLOOKUP(A319,[3]怪物抗性与玩家穿透!$A$2:$Q$74,17,0)</f>
        <v>1.8968383285704005</v>
      </c>
      <c r="D319">
        <f t="shared" si="4"/>
        <v>379628</v>
      </c>
    </row>
    <row r="320" spans="1:4">
      <c r="A320">
        <v>56</v>
      </c>
      <c r="B320">
        <f>[3]法师难度!$C49</f>
        <v>772054</v>
      </c>
      <c r="C320">
        <f>VLOOKUP(A320,[3]怪物抗性与玩家穿透!$A$2:$Q$74,17,0)</f>
        <v>1.8968383285704005</v>
      </c>
      <c r="D320">
        <f t="shared" si="4"/>
        <v>407022</v>
      </c>
    </row>
    <row r="321" spans="1:4">
      <c r="A321">
        <v>56</v>
      </c>
      <c r="B321">
        <f>[3]法师难度!$C50</f>
        <v>827763</v>
      </c>
      <c r="C321">
        <f>VLOOKUP(A321,[3]怪物抗性与玩家穿透!$A$2:$Q$74,17,0)</f>
        <v>1.8968383285704005</v>
      </c>
      <c r="D321">
        <f t="shared" si="4"/>
        <v>436391</v>
      </c>
    </row>
    <row r="322" spans="1:4">
      <c r="A322">
        <v>57</v>
      </c>
      <c r="B322">
        <f>[3]法师难度!$C51</f>
        <v>908346</v>
      </c>
      <c r="C322">
        <f>VLOOKUP(A322,[3]怪物抗性与玩家穿透!$A$2:$Q$74,17,0)</f>
        <v>1.9528191832758077</v>
      </c>
      <c r="D322">
        <f t="shared" si="4"/>
        <v>465146</v>
      </c>
    </row>
    <row r="323" spans="1:4">
      <c r="A323">
        <v>57</v>
      </c>
      <c r="B323">
        <f>[3]法师难度!$C52</f>
        <v>977328</v>
      </c>
      <c r="C323">
        <f>VLOOKUP(A323,[3]怪物抗性与玩家穿透!$A$2:$Q$74,17,0)</f>
        <v>1.9528191832758077</v>
      </c>
      <c r="D323">
        <f t="shared" ref="D323:D386" si="5">ROUND(B323/C323,0)</f>
        <v>500470</v>
      </c>
    </row>
    <row r="324" spans="1:4">
      <c r="A324">
        <v>58</v>
      </c>
      <c r="B324">
        <f>[3]法师难度!$C53</f>
        <v>1051548</v>
      </c>
      <c r="C324">
        <f>VLOOKUP(A324,[3]怪物抗性与玩家穿透!$A$2:$Q$74,17,0)</f>
        <v>2.0051370907958033</v>
      </c>
      <c r="D324">
        <f t="shared" si="5"/>
        <v>524427</v>
      </c>
    </row>
    <row r="325" spans="1:4">
      <c r="A325">
        <v>59</v>
      </c>
      <c r="B325">
        <f>[3]法师难度!$C54</f>
        <v>1159350</v>
      </c>
      <c r="C325">
        <f>VLOOKUP(A325,[3]怪物抗性与玩家穿透!$A$2:$Q$74,17,0)</f>
        <v>2.0539682493532241</v>
      </c>
      <c r="D325">
        <f t="shared" si="5"/>
        <v>564444</v>
      </c>
    </row>
    <row r="326" spans="1:4">
      <c r="A326">
        <v>60</v>
      </c>
      <c r="B326">
        <f>[3]法师难度!$C55</f>
        <v>899778</v>
      </c>
      <c r="C326">
        <f>VLOOKUP(A326,[3]怪物抗性与玩家穿透!$A$2:$Q$74,17,0)</f>
        <v>2.0994877261354725</v>
      </c>
      <c r="D326">
        <f t="shared" si="5"/>
        <v>428570</v>
      </c>
    </row>
    <row r="327" spans="1:4">
      <c r="A327">
        <v>60</v>
      </c>
      <c r="B327">
        <f>[3]法师难度!$C56</f>
        <v>979732</v>
      </c>
      <c r="C327">
        <f>VLOOKUP(A327,[3]怪物抗性与玩家穿透!$A$2:$Q$74,17,0)</f>
        <v>2.0994877261354725</v>
      </c>
      <c r="D327">
        <f t="shared" si="5"/>
        <v>466653</v>
      </c>
    </row>
    <row r="328" spans="1:4">
      <c r="A328">
        <v>61</v>
      </c>
      <c r="B328">
        <f>[3]法师难度!$C57</f>
        <v>1097495</v>
      </c>
      <c r="C328">
        <f>VLOOKUP(A328,[3]怪物抗性与玩家穿透!$A$2:$Q$74,17,0)</f>
        <v>2.1418676845513991</v>
      </c>
      <c r="D328">
        <f t="shared" si="5"/>
        <v>512401</v>
      </c>
    </row>
    <row r="329" spans="1:4">
      <c r="A329">
        <v>61</v>
      </c>
      <c r="B329">
        <f>[3]法师难度!$C58</f>
        <v>1172650</v>
      </c>
      <c r="C329">
        <f>VLOOKUP(A329,[3]怪物抗性与玩家穿透!$A$2:$Q$74,17,0)</f>
        <v>2.1418676845513991</v>
      </c>
      <c r="D329">
        <f t="shared" si="5"/>
        <v>547489</v>
      </c>
    </row>
    <row r="330" spans="1:4">
      <c r="A330">
        <v>61</v>
      </c>
      <c r="B330">
        <f>[3]法师难度!$C59</f>
        <v>1252952</v>
      </c>
      <c r="C330">
        <f>VLOOKUP(A330,[3]怪物抗性与玩家穿透!$A$2:$Q$74,17,0)</f>
        <v>2.1418676845513991</v>
      </c>
      <c r="D330">
        <f t="shared" si="5"/>
        <v>584981</v>
      </c>
    </row>
    <row r="331" spans="1:4">
      <c r="A331">
        <v>62</v>
      </c>
      <c r="B331">
        <f>[3]法师难度!$C60</f>
        <v>1368639</v>
      </c>
      <c r="C331">
        <f>VLOOKUP(A331,[3]怪物抗性与玩家穿透!$A$2:$Q$74,17,0)</f>
        <v>2.181276068777926</v>
      </c>
      <c r="D331">
        <f t="shared" si="5"/>
        <v>627449</v>
      </c>
    </row>
    <row r="332" spans="1:4">
      <c r="A332">
        <v>62</v>
      </c>
      <c r="B332">
        <f>[3]法师难度!$C61</f>
        <v>1468346</v>
      </c>
      <c r="C332">
        <f>VLOOKUP(A332,[3]怪物抗性与玩家穿透!$A$2:$Q$74,17,0)</f>
        <v>2.181276068777926</v>
      </c>
      <c r="D332">
        <f t="shared" si="5"/>
        <v>673159</v>
      </c>
    </row>
    <row r="333" spans="1:4">
      <c r="A333">
        <v>63</v>
      </c>
      <c r="B333">
        <f>[3]法师难度!$C62</f>
        <v>1575317</v>
      </c>
      <c r="C333">
        <f>VLOOKUP(A333,[3]怪物抗性与玩家穿透!$A$2:$Q$74,17,0)</f>
        <v>2.2178756510713313</v>
      </c>
      <c r="D333">
        <f t="shared" si="5"/>
        <v>710282</v>
      </c>
    </row>
    <row r="334" spans="1:4">
      <c r="A334">
        <v>64</v>
      </c>
      <c r="B334">
        <f>[3]法师难度!$C63</f>
        <v>1730165</v>
      </c>
      <c r="C334">
        <f>VLOOKUP(A334,[3]怪物抗性与玩家穿透!$A$2:$Q$74,17,0)</f>
        <v>2.2518233660675429</v>
      </c>
      <c r="D334">
        <f t="shared" si="5"/>
        <v>768340</v>
      </c>
    </row>
    <row r="335" spans="1:4">
      <c r="A335">
        <v>65</v>
      </c>
      <c r="B335">
        <f>[3]法师难度!$C64</f>
        <v>1362296</v>
      </c>
      <c r="C335">
        <f>VLOOKUP(A335,[3]怪物抗性与玩家穿透!$A$2:$Q$74,17,0)</f>
        <v>2.2832698712947881</v>
      </c>
      <c r="D335">
        <f t="shared" si="5"/>
        <v>596643</v>
      </c>
    </row>
    <row r="336" spans="1:4">
      <c r="A336">
        <v>65</v>
      </c>
      <c r="B336">
        <f>[3]法师难度!$C65</f>
        <v>1476862</v>
      </c>
      <c r="C336">
        <f>VLOOKUP(A336,[3]怪物抗性与玩家穿透!$A$2:$Q$74,17,0)</f>
        <v>2.2832698712947881</v>
      </c>
      <c r="D336">
        <f t="shared" si="5"/>
        <v>646819</v>
      </c>
    </row>
    <row r="337" spans="1:4">
      <c r="A337">
        <v>66</v>
      </c>
      <c r="B337">
        <f>[3]法师难度!$C66</f>
        <v>1644742</v>
      </c>
      <c r="C337">
        <f>VLOOKUP(A337,[3]怪物抗性与玩家穿透!$A$2:$Q$74,17,0)</f>
        <v>2.312359285141266</v>
      </c>
      <c r="D337">
        <f t="shared" si="5"/>
        <v>711283</v>
      </c>
    </row>
    <row r="338" spans="1:4">
      <c r="A338">
        <v>66</v>
      </c>
      <c r="B338">
        <f>[3]法师难度!$C67</f>
        <v>1752674</v>
      </c>
      <c r="C338">
        <f>VLOOKUP(A338,[3]怪物抗性与玩家穿透!$A$2:$Q$74,17,0)</f>
        <v>2.312359285141266</v>
      </c>
      <c r="D338">
        <f t="shared" si="5"/>
        <v>757959</v>
      </c>
    </row>
    <row r="339" spans="1:4">
      <c r="A339">
        <v>66</v>
      </c>
      <c r="B339">
        <f>[3]法师难度!$C68</f>
        <v>1867689</v>
      </c>
      <c r="C339">
        <f>VLOOKUP(A339,[3]怪物抗性与玩家穿透!$A$2:$Q$74,17,0)</f>
        <v>2.312359285141266</v>
      </c>
      <c r="D339">
        <f t="shared" si="5"/>
        <v>807698</v>
      </c>
    </row>
    <row r="340" spans="1:4">
      <c r="A340">
        <v>67</v>
      </c>
      <c r="B340">
        <f>[3]法师难度!$C69</f>
        <v>2032867</v>
      </c>
      <c r="C340">
        <f>VLOOKUP(A340,[3]怪物抗性与玩家穿透!$A$2:$Q$74,17,0)</f>
        <v>2.3392290631667616</v>
      </c>
      <c r="D340">
        <f t="shared" si="5"/>
        <v>869033</v>
      </c>
    </row>
    <row r="341" spans="1:4">
      <c r="A341">
        <v>67</v>
      </c>
      <c r="B341">
        <f>[3]法师难度!$C70</f>
        <v>2175991</v>
      </c>
      <c r="C341">
        <f>VLOOKUP(A341,[3]怪物抗性与玩家穿透!$A$2:$Q$74,17,0)</f>
        <v>2.3392290631667616</v>
      </c>
      <c r="D341">
        <f t="shared" si="5"/>
        <v>930217</v>
      </c>
    </row>
    <row r="342" spans="1:4">
      <c r="A342">
        <v>68</v>
      </c>
      <c r="B342">
        <f>[3]法师难度!$C71</f>
        <v>2329191</v>
      </c>
      <c r="C342">
        <f>VLOOKUP(A342,[3]怪物抗性与玩家穿透!$A$2:$Q$74,17,0)</f>
        <v>2.3640099813994913</v>
      </c>
      <c r="D342">
        <f t="shared" si="5"/>
        <v>985271</v>
      </c>
    </row>
    <row r="343" spans="1:4">
      <c r="A343">
        <v>69</v>
      </c>
      <c r="B343">
        <f>[3]法师难度!$C72</f>
        <v>2550366</v>
      </c>
      <c r="C343">
        <f>VLOOKUP(A343,[3]怪物抗性与玩家穿透!$A$2:$Q$74,17,0)</f>
        <v>2.3868262014969699</v>
      </c>
      <c r="D343">
        <f t="shared" si="5"/>
        <v>1068518</v>
      </c>
    </row>
    <row r="344" spans="1:4">
      <c r="A344">
        <v>70</v>
      </c>
      <c r="B344">
        <f>[3]法师难度!$C73</f>
        <v>1929114</v>
      </c>
      <c r="C344">
        <f>VLOOKUP(A344,[3]怪物抗性与玩家穿透!$A$2:$Q$74,17,0)</f>
        <v>2.4077953976733797</v>
      </c>
      <c r="D344">
        <f t="shared" si="5"/>
        <v>801195</v>
      </c>
    </row>
    <row r="345" spans="1:4">
      <c r="A345">
        <v>70</v>
      </c>
      <c r="B345">
        <f>[3]法师难度!$C74</f>
        <v>2082039</v>
      </c>
      <c r="C345">
        <f>VLOOKUP(A345,[3]怪物抗性与玩家穿透!$A$2:$Q$74,17,0)</f>
        <v>2.4077953976733797</v>
      </c>
      <c r="D345">
        <f t="shared" si="5"/>
        <v>864708</v>
      </c>
    </row>
    <row r="346" spans="1:4">
      <c r="A346">
        <v>71</v>
      </c>
      <c r="B346">
        <f>[3]法师难度!$C75</f>
        <v>2304959</v>
      </c>
      <c r="C346">
        <f>VLOOKUP(A346,[3]怪物抗性与玩家穿透!$A$2:$Q$74,17,0)</f>
        <v>2.4242631086570161</v>
      </c>
      <c r="D346">
        <f t="shared" si="5"/>
        <v>950787</v>
      </c>
    </row>
    <row r="347" spans="1:4">
      <c r="A347">
        <v>71</v>
      </c>
      <c r="B347">
        <f>[3]法师难度!$C76</f>
        <v>2449369</v>
      </c>
      <c r="C347">
        <f>VLOOKUP(A347,[3]怪物抗性与玩家穿透!$A$2:$Q$74,17,0)</f>
        <v>2.4242631086570161</v>
      </c>
      <c r="D347">
        <f t="shared" si="5"/>
        <v>1010356</v>
      </c>
    </row>
    <row r="348" spans="1:4">
      <c r="A348">
        <v>71</v>
      </c>
      <c r="B348">
        <f>[3]法师难度!$C77</f>
        <v>2602826</v>
      </c>
      <c r="C348">
        <f>VLOOKUP(A348,[3]怪物抗性与玩家穿透!$A$2:$Q$74,17,0)</f>
        <v>2.4242631086570161</v>
      </c>
      <c r="D348">
        <f t="shared" si="5"/>
        <v>1073657</v>
      </c>
    </row>
    <row r="349" spans="1:4">
      <c r="A349">
        <v>72</v>
      </c>
      <c r="B349">
        <f>[3]法师难度!$C78</f>
        <v>2822495</v>
      </c>
      <c r="C349">
        <f>VLOOKUP(A349,[3]怪物抗性与玩家穿透!$A$2:$Q$74,17,0)</f>
        <v>2.4363487220326188</v>
      </c>
      <c r="D349">
        <f t="shared" si="5"/>
        <v>1158494</v>
      </c>
    </row>
    <row r="350" spans="1:4">
      <c r="A350">
        <v>72</v>
      </c>
      <c r="B350">
        <f>[3]法师难度!$C79</f>
        <v>3013906</v>
      </c>
      <c r="C350">
        <f>VLOOKUP(A350,[3]怪物抗性与玩家穿透!$A$2:$Q$74,17,0)</f>
        <v>2.4363487220326188</v>
      </c>
      <c r="D350">
        <f t="shared" si="5"/>
        <v>1237059</v>
      </c>
    </row>
    <row r="351" spans="1:4">
      <c r="A351">
        <v>73</v>
      </c>
      <c r="B351">
        <f>[3]法师难度!$C80</f>
        <v>3218299</v>
      </c>
      <c r="C351">
        <f>VLOOKUP(A351,[3]怪物抗性与玩家穿透!$A$2:$Q$74,17,0)</f>
        <v>2.4442269953962246</v>
      </c>
      <c r="D351">
        <f t="shared" si="5"/>
        <v>1316694</v>
      </c>
    </row>
    <row r="352" spans="1:4">
      <c r="A352">
        <v>74</v>
      </c>
      <c r="B352">
        <f>[3]法师难度!$C81</f>
        <v>3512544</v>
      </c>
      <c r="C352">
        <f>VLOOKUP(A352,[3]怪物抗性与玩家穿透!$A$2:$Q$74,17,0)</f>
        <v>2.4481193019639087</v>
      </c>
      <c r="D352">
        <f t="shared" si="5"/>
        <v>1434793</v>
      </c>
    </row>
    <row r="353" spans="1:4">
      <c r="A353">
        <v>75</v>
      </c>
      <c r="B353">
        <f>[3]法师难度!$C82</f>
        <v>2630954</v>
      </c>
      <c r="C353">
        <f>VLOOKUP(A353,[3]怪物抗性与玩家穿透!$A$2:$Q$74,17,0)</f>
        <v>2.4482840031770676</v>
      </c>
      <c r="D353">
        <f t="shared" si="5"/>
        <v>1074611</v>
      </c>
    </row>
    <row r="354" spans="1:4">
      <c r="A354">
        <v>75</v>
      </c>
      <c r="B354">
        <f>[3]法师难度!$C83</f>
        <v>2847373</v>
      </c>
      <c r="C354">
        <f>VLOOKUP(A354,[3]怪物抗性与玩家穿透!$A$2:$Q$74,17,0)</f>
        <v>2.4482840031770676</v>
      </c>
      <c r="D354">
        <f t="shared" si="5"/>
        <v>1163008</v>
      </c>
    </row>
    <row r="355" spans="1:4">
      <c r="A355">
        <v>76</v>
      </c>
      <c r="B355">
        <f>[3]法师难度!$C84</f>
        <v>3163874</v>
      </c>
      <c r="C355">
        <f>VLOOKUP(A355,[3]怪物抗性与玩家穿透!$A$2:$Q$74,17,0)</f>
        <v>2.4450065791656015</v>
      </c>
      <c r="D355">
        <f t="shared" si="5"/>
        <v>1294015</v>
      </c>
    </row>
    <row r="356" spans="1:4">
      <c r="A356">
        <v>76</v>
      </c>
      <c r="B356">
        <f>[3]法师难度!$C85</f>
        <v>3367942</v>
      </c>
      <c r="C356">
        <f>VLOOKUP(A356,[3]怪物抗性与玩家穿透!$A$2:$Q$74,17,0)</f>
        <v>2.4450065791656015</v>
      </c>
      <c r="D356">
        <f t="shared" si="5"/>
        <v>1377478</v>
      </c>
    </row>
    <row r="357" spans="1:4">
      <c r="A357">
        <v>76</v>
      </c>
      <c r="B357">
        <f>[3]法师难度!$C86</f>
        <v>3585173</v>
      </c>
      <c r="C357">
        <f>VLOOKUP(A357,[3]怪物抗性与玩家穿透!$A$2:$Q$74,17,0)</f>
        <v>2.4450065791656015</v>
      </c>
      <c r="D357">
        <f t="shared" si="5"/>
        <v>1466324</v>
      </c>
    </row>
    <row r="358" spans="1:4">
      <c r="A358">
        <v>77</v>
      </c>
      <c r="B358">
        <f>[3]法师难度!$C87</f>
        <v>3896763</v>
      </c>
      <c r="C358">
        <f>VLOOKUP(A358,[3]怪物抗性与玩家穿透!$A$2:$Q$74,17,0)</f>
        <v>2.438590059896411</v>
      </c>
      <c r="D358">
        <f t="shared" si="5"/>
        <v>1597957</v>
      </c>
    </row>
    <row r="359" spans="1:4">
      <c r="A359">
        <v>77</v>
      </c>
      <c r="B359">
        <f>[3]法师难度!$C88</f>
        <v>4167322</v>
      </c>
      <c r="C359">
        <f>VLOOKUP(A359,[3]怪物抗性与玩家穿透!$A$2:$Q$74,17,0)</f>
        <v>2.438590059896411</v>
      </c>
      <c r="D359">
        <f t="shared" si="5"/>
        <v>1708906</v>
      </c>
    </row>
    <row r="360" spans="1:4">
      <c r="A360">
        <v>78</v>
      </c>
      <c r="B360">
        <f>[3]法师难度!$C89</f>
        <v>4456667</v>
      </c>
      <c r="C360">
        <f>VLOOKUP(A360,[3]怪物抗性与玩家穿透!$A$2:$Q$74,17,0)</f>
        <v>2.4293461832281542</v>
      </c>
      <c r="D360">
        <f t="shared" si="5"/>
        <v>1834513</v>
      </c>
    </row>
    <row r="361" spans="1:4">
      <c r="A361">
        <v>79</v>
      </c>
      <c r="B361">
        <f>[3]法师难度!$C90</f>
        <v>4873949</v>
      </c>
      <c r="C361">
        <f>VLOOKUP(A361,[3]怪物抗性与玩家穿透!$A$2:$Q$74,17,0)</f>
        <v>2.4175875787732251</v>
      </c>
      <c r="D361">
        <f t="shared" si="5"/>
        <v>2016038</v>
      </c>
    </row>
    <row r="362" spans="1:4">
      <c r="A362">
        <v>80</v>
      </c>
      <c r="B362">
        <f>[3]法师难度!$C91</f>
        <v>3494224</v>
      </c>
      <c r="C362">
        <f>VLOOKUP(A362,[3]怪物抗性与玩家穿透!$A$2:$Q$74,17,0)</f>
        <v>2.4036211533087277</v>
      </c>
      <c r="D362">
        <f t="shared" si="5"/>
        <v>1453733</v>
      </c>
    </row>
    <row r="363" spans="1:4">
      <c r="A363">
        <v>80</v>
      </c>
      <c r="B363">
        <f>[3]法师难度!$C92</f>
        <v>3785601</v>
      </c>
      <c r="C363">
        <f>VLOOKUP(A363,[3]怪物抗性与玩家穿透!$A$2:$Q$74,17,0)</f>
        <v>2.4036211533087277</v>
      </c>
      <c r="D363">
        <f t="shared" si="5"/>
        <v>1574957</v>
      </c>
    </row>
    <row r="364" spans="1:4">
      <c r="A364">
        <v>81</v>
      </c>
      <c r="B364">
        <f>[3]法师难度!$C93</f>
        <v>4212244</v>
      </c>
      <c r="C364">
        <f>VLOOKUP(A364,[3]怪物抗性与玩家穿透!$A$2:$Q$74,17,0)</f>
        <v>2.3877427450961606</v>
      </c>
      <c r="D364">
        <f t="shared" si="5"/>
        <v>1764111</v>
      </c>
    </row>
    <row r="365" spans="1:4">
      <c r="A365">
        <v>81</v>
      </c>
      <c r="B365">
        <f>[3]法师难度!$C94</f>
        <v>4486842</v>
      </c>
      <c r="C365">
        <f>VLOOKUP(A365,[3]怪物抗性与玩家穿透!$A$2:$Q$74,17,0)</f>
        <v>2.3877427450961606</v>
      </c>
      <c r="D365">
        <f t="shared" si="5"/>
        <v>1879114</v>
      </c>
    </row>
    <row r="366" spans="1:4">
      <c r="A366">
        <v>81</v>
      </c>
      <c r="B366">
        <f>[3]法师难度!$C95</f>
        <v>4779341</v>
      </c>
      <c r="C366">
        <f>VLOOKUP(A366,[3]怪物抗性与玩家穿透!$A$2:$Q$74,17,0)</f>
        <v>2.3877427450961606</v>
      </c>
      <c r="D366">
        <f t="shared" si="5"/>
        <v>2001615</v>
      </c>
    </row>
    <row r="367" spans="1:4">
      <c r="A367">
        <v>82</v>
      </c>
      <c r="B367">
        <f>[3]法师难度!$C96</f>
        <v>5199213</v>
      </c>
      <c r="C367">
        <f>VLOOKUP(A367,[3]怪物抗性与玩家穿透!$A$2:$Q$74,17,0)</f>
        <v>2.370233026993366</v>
      </c>
      <c r="D367">
        <f t="shared" si="5"/>
        <v>2193545</v>
      </c>
    </row>
    <row r="368" spans="1:4">
      <c r="A368">
        <v>82</v>
      </c>
      <c r="B368">
        <f>[3]法师难度!$C97</f>
        <v>5563321</v>
      </c>
      <c r="C368">
        <f>VLOOKUP(A368,[3]怪物抗性与玩家穿透!$A$2:$Q$74,17,0)</f>
        <v>2.370233026993366</v>
      </c>
      <c r="D368">
        <f t="shared" si="5"/>
        <v>2347162</v>
      </c>
    </row>
    <row r="369" spans="1:4">
      <c r="A369">
        <v>83</v>
      </c>
      <c r="B369">
        <f>[3]法师难度!$C98</f>
        <v>5952927</v>
      </c>
      <c r="C369">
        <f>VLOOKUP(A369,[3]怪物抗性与玩家穿透!$A$2:$Q$74,17,0)</f>
        <v>2.3513545738377988</v>
      </c>
      <c r="D369">
        <f t="shared" si="5"/>
        <v>2531701</v>
      </c>
    </row>
    <row r="370" spans="1:4">
      <c r="A370">
        <v>84</v>
      </c>
      <c r="B370">
        <f>[3]法师难度!$C99</f>
        <v>6515172</v>
      </c>
      <c r="C370">
        <f>VLOOKUP(A370,[3]怪物抗性与玩家穿透!$A$2:$Q$74,17,0)</f>
        <v>2.3313499673920637</v>
      </c>
      <c r="D370">
        <f t="shared" si="5"/>
        <v>2794592</v>
      </c>
    </row>
    <row r="371" spans="1:4">
      <c r="A371">
        <v>85</v>
      </c>
      <c r="B371">
        <f>[3]法师难度!$C100</f>
        <v>4567864</v>
      </c>
      <c r="C371">
        <f>VLOOKUP(A371,[3]怪物抗性与玩家穿透!$A$2:$Q$74,17,0)</f>
        <v>2.3104407893519863</v>
      </c>
      <c r="D371">
        <f t="shared" si="5"/>
        <v>1977053</v>
      </c>
    </row>
    <row r="372" spans="1:4">
      <c r="A372">
        <v>85</v>
      </c>
      <c r="B372">
        <f>[3]法师难度!$C101</f>
        <v>4942840</v>
      </c>
      <c r="C372">
        <f>VLOOKUP(A372,[3]怪物抗性与玩家穿透!$A$2:$Q$74,17,0)</f>
        <v>2.3104407893519863</v>
      </c>
      <c r="D372">
        <f t="shared" si="5"/>
        <v>2139349</v>
      </c>
    </row>
    <row r="373" spans="1:4">
      <c r="A373">
        <v>86</v>
      </c>
      <c r="B373">
        <f>[3]法师难度!$C102</f>
        <v>5491122</v>
      </c>
      <c r="C373">
        <f>VLOOKUP(A373,[3]怪物抗性与玩家穿透!$A$2:$Q$74,17,0)</f>
        <v>2.3411468053605766</v>
      </c>
      <c r="D373">
        <f t="shared" si="5"/>
        <v>2345484</v>
      </c>
    </row>
    <row r="374" spans="1:4">
      <c r="A374">
        <v>86</v>
      </c>
      <c r="B374">
        <f>[3]法师难度!$C103</f>
        <v>5844728</v>
      </c>
      <c r="C374">
        <f>VLOOKUP(A374,[3]怪物抗性与玩家穿透!$A$2:$Q$74,17,0)</f>
        <v>2.3411468053605766</v>
      </c>
      <c r="D374">
        <f t="shared" si="5"/>
        <v>2496523</v>
      </c>
    </row>
    <row r="375" spans="1:4">
      <c r="A375">
        <v>86</v>
      </c>
      <c r="B375">
        <f>[3]法师难度!$C104</f>
        <v>6221105</v>
      </c>
      <c r="C375">
        <f>VLOOKUP(A375,[3]怪物抗性与玩家穿透!$A$2:$Q$74,17,0)</f>
        <v>2.3411468053605766</v>
      </c>
      <c r="D375">
        <f t="shared" si="5"/>
        <v>2657290</v>
      </c>
    </row>
    <row r="376" spans="1:4">
      <c r="A376">
        <v>87</v>
      </c>
      <c r="B376">
        <f>[3]法师难度!$C105</f>
        <v>6760910</v>
      </c>
      <c r="C376">
        <f>VLOOKUP(A376,[3]怪物抗性与玩家穿透!$A$2:$Q$74,17,0)</f>
        <v>2.3672942430651958</v>
      </c>
      <c r="D376">
        <f t="shared" si="5"/>
        <v>2855965</v>
      </c>
    </row>
    <row r="377" spans="1:4">
      <c r="A377">
        <v>87</v>
      </c>
      <c r="B377">
        <f>[3]法师难度!$C106</f>
        <v>7229723</v>
      </c>
      <c r="C377">
        <f>VLOOKUP(A377,[3]怪物抗性与玩家穿透!$A$2:$Q$74,17,0)</f>
        <v>2.3672942430651958</v>
      </c>
      <c r="D377">
        <f t="shared" si="5"/>
        <v>3054003</v>
      </c>
    </row>
    <row r="378" spans="1:4">
      <c r="A378">
        <v>88</v>
      </c>
      <c r="B378">
        <f>[3]法师难度!$C107</f>
        <v>7731045</v>
      </c>
      <c r="C378">
        <f>VLOOKUP(A378,[3]怪物抗性与玩家穿透!$A$2:$Q$74,17,0)</f>
        <v>2.3892125115563094</v>
      </c>
      <c r="D378">
        <f t="shared" si="5"/>
        <v>3235813</v>
      </c>
    </row>
    <row r="379" spans="1:4">
      <c r="A379">
        <v>89</v>
      </c>
      <c r="B379">
        <f>[3]法师难度!$C108</f>
        <v>8453960</v>
      </c>
      <c r="C379">
        <f>VLOOKUP(A379,[3]怪物抗性与玩家穿透!$A$2:$Q$74,17,0)</f>
        <v>2.4072269974445866</v>
      </c>
      <c r="D379">
        <f t="shared" si="5"/>
        <v>3511908</v>
      </c>
    </row>
    <row r="380" spans="1:4">
      <c r="A380">
        <v>90</v>
      </c>
      <c r="B380">
        <f>[3]法师难度!$C109</f>
        <v>5780783</v>
      </c>
      <c r="C380">
        <f>VLOOKUP(A380,[3]怪物抗性与玩家穿透!$A$2:$Q$74,17,0)</f>
        <v>2.421654651918431</v>
      </c>
      <c r="D380">
        <f t="shared" si="5"/>
        <v>2387121</v>
      </c>
    </row>
    <row r="381" spans="1:4">
      <c r="A381">
        <v>90</v>
      </c>
      <c r="B381">
        <f>[3]法师难度!$C110</f>
        <v>6253769</v>
      </c>
      <c r="C381">
        <f>VLOOKUP(A381,[3]怪物抗性与玩家穿透!$A$2:$Q$74,17,0)</f>
        <v>2.421654651918431</v>
      </c>
      <c r="D381">
        <f t="shared" si="5"/>
        <v>2582436</v>
      </c>
    </row>
    <row r="382" spans="1:4">
      <c r="A382">
        <v>91</v>
      </c>
      <c r="B382">
        <f>[3]法师难度!$C111</f>
        <v>6945156</v>
      </c>
      <c r="C382">
        <f>VLOOKUP(A382,[3]怪物抗性与玩家穿透!$A$2:$Q$74,17,0)</f>
        <v>2.4328006803577273</v>
      </c>
      <c r="D382">
        <f t="shared" si="5"/>
        <v>2854799</v>
      </c>
    </row>
    <row r="383" spans="1:4">
      <c r="A383">
        <v>91</v>
      </c>
      <c r="B383">
        <f>[3]法师难度!$C112</f>
        <v>7391244</v>
      </c>
      <c r="C383">
        <f>VLOOKUP(A383,[3]怪物抗性与玩家穿透!$A$2:$Q$74,17,0)</f>
        <v>2.4328006803577273</v>
      </c>
      <c r="D383">
        <f t="shared" si="5"/>
        <v>3038163</v>
      </c>
    </row>
    <row r="384" spans="1:4">
      <c r="A384">
        <v>91</v>
      </c>
      <c r="B384">
        <f>[3]法师难度!$C113</f>
        <v>7865985</v>
      </c>
      <c r="C384">
        <f>VLOOKUP(A384,[3]怪物抗性与玩家穿透!$A$2:$Q$74,17,0)</f>
        <v>2.4328006803577273</v>
      </c>
      <c r="D384">
        <f t="shared" si="5"/>
        <v>3233304</v>
      </c>
    </row>
    <row r="385" spans="1:4">
      <c r="A385">
        <v>92</v>
      </c>
      <c r="B385">
        <f>[3]法师难度!$C114</f>
        <v>8546741</v>
      </c>
      <c r="C385">
        <f>VLOOKUP(A385,[3]怪物抗性与玩家穿透!$A$2:$Q$74,17,0)</f>
        <v>2.4409561715232324</v>
      </c>
      <c r="D385">
        <f t="shared" si="5"/>
        <v>3501391</v>
      </c>
    </row>
    <row r="386" spans="1:4">
      <c r="A386">
        <v>92</v>
      </c>
      <c r="B386">
        <f>[3]法师难度!$C115</f>
        <v>9138154</v>
      </c>
      <c r="C386">
        <f>VLOOKUP(A386,[3]怪物抗性与玩家穿透!$A$2:$Q$74,17,0)</f>
        <v>2.4409561715232324</v>
      </c>
      <c r="D386">
        <f t="shared" si="5"/>
        <v>3743678</v>
      </c>
    </row>
    <row r="387" spans="1:4">
      <c r="A387">
        <v>93</v>
      </c>
      <c r="B387">
        <f>[3]法师难度!$C116</f>
        <v>9770491</v>
      </c>
      <c r="C387">
        <f>VLOOKUP(A387,[3]怪物抗性与玩家穿透!$A$2:$Q$74,17,0)</f>
        <v>2.4463965110860251</v>
      </c>
      <c r="D387">
        <f t="shared" ref="D387:D406" si="6">ROUND(B387/C387,0)</f>
        <v>3993830</v>
      </c>
    </row>
    <row r="388" spans="1:4">
      <c r="A388">
        <v>94</v>
      </c>
      <c r="B388">
        <f>[3]法师难度!$C117</f>
        <v>10682189</v>
      </c>
      <c r="C388">
        <f>VLOOKUP(A388,[3]怪物抗性与玩家穿透!$A$2:$Q$74,17,0)</f>
        <v>2.4493804369474916</v>
      </c>
      <c r="D388">
        <f t="shared" si="6"/>
        <v>4361180</v>
      </c>
    </row>
    <row r="389" spans="1:4">
      <c r="A389">
        <v>95</v>
      </c>
      <c r="B389">
        <f>[3]法师难度!$C118</f>
        <v>7236442</v>
      </c>
      <c r="C389">
        <f>VLOOKUP(A389,[3]怪物抗性与玩家穿透!$A$2:$Q$74,17,0)</f>
        <v>2.4501496091557176</v>
      </c>
      <c r="D389">
        <f t="shared" si="6"/>
        <v>2953469</v>
      </c>
    </row>
    <row r="390" spans="1:4">
      <c r="A390">
        <v>95</v>
      </c>
      <c r="B390">
        <f>[3]法师难度!$C119</f>
        <v>7817165</v>
      </c>
      <c r="C390">
        <f>VLOOKUP(A390,[3]怪物抗性与玩家穿透!$A$2:$Q$74,17,0)</f>
        <v>2.4501496091557176</v>
      </c>
      <c r="D390">
        <f t="shared" si="6"/>
        <v>3190485</v>
      </c>
    </row>
    <row r="391" spans="1:4">
      <c r="A391">
        <v>96</v>
      </c>
      <c r="B391">
        <f>[3]法师难度!$C120</f>
        <v>8664594</v>
      </c>
      <c r="C391">
        <f>VLOOKUP(A391,[3]怪物抗性与玩家穿透!$A$2:$Q$74,17,0)</f>
        <v>2.4489285835782573</v>
      </c>
      <c r="D391">
        <f t="shared" si="6"/>
        <v>3538116</v>
      </c>
    </row>
    <row r="392" spans="1:4">
      <c r="A392">
        <v>96</v>
      </c>
      <c r="B392">
        <f>[3]法师难度!$C121</f>
        <v>9212718</v>
      </c>
      <c r="C392">
        <f>VLOOKUP(A392,[3]怪物抗性与玩家穿透!$A$2:$Q$74,17,0)</f>
        <v>2.4489285835782573</v>
      </c>
      <c r="D392">
        <f t="shared" si="6"/>
        <v>3761938</v>
      </c>
    </row>
    <row r="393" spans="1:4">
      <c r="A393">
        <v>96</v>
      </c>
      <c r="B393">
        <f>[3]法师难度!$C122</f>
        <v>9795516</v>
      </c>
      <c r="C393">
        <f>VLOOKUP(A393,[3]怪物抗性与玩家穿透!$A$2:$Q$74,17,0)</f>
        <v>2.4489285835782573</v>
      </c>
      <c r="D393">
        <f t="shared" si="6"/>
        <v>3999919</v>
      </c>
    </row>
    <row r="394" spans="1:4">
      <c r="A394">
        <v>97</v>
      </c>
      <c r="B394">
        <f>[3]法师难度!$C123</f>
        <v>10630329</v>
      </c>
      <c r="C394">
        <f>VLOOKUP(A394,[3]怪物抗性与玩家穿透!$A$2:$Q$74,17,0)</f>
        <v>2.4459250946816788</v>
      </c>
      <c r="D394">
        <f t="shared" si="6"/>
        <v>4346138</v>
      </c>
    </row>
    <row r="395" spans="1:4">
      <c r="A395">
        <v>97</v>
      </c>
      <c r="B395">
        <f>[3]法师难度!$C124</f>
        <v>11356914</v>
      </c>
      <c r="C395">
        <f>VLOOKUP(A395,[3]怪物抗性与玩家穿透!$A$2:$Q$74,17,0)</f>
        <v>2.4459250946816788</v>
      </c>
      <c r="D395">
        <f t="shared" si="6"/>
        <v>4643198</v>
      </c>
    </row>
    <row r="396" spans="1:4">
      <c r="A396">
        <v>98</v>
      </c>
      <c r="B396">
        <f>[3]法师难度!$C125</f>
        <v>12133160</v>
      </c>
      <c r="C396">
        <f>VLOOKUP(A396,[3]怪物抗性与玩家穿透!$A$2:$Q$74,17,0)</f>
        <v>2.4413305680396125</v>
      </c>
      <c r="D396">
        <f t="shared" si="6"/>
        <v>4969896</v>
      </c>
    </row>
    <row r="397" spans="1:4">
      <c r="A397">
        <v>99</v>
      </c>
      <c r="B397">
        <f>[3]法师难度!$C126</f>
        <v>13251308</v>
      </c>
      <c r="C397">
        <f>VLOOKUP(A397,[3]怪物抗性与玩家穿透!$A$2:$Q$74,17,0)</f>
        <v>2.4353207970995125</v>
      </c>
      <c r="D397">
        <f t="shared" si="6"/>
        <v>5441299</v>
      </c>
    </row>
    <row r="398" spans="1:4">
      <c r="A398">
        <v>100</v>
      </c>
      <c r="B398">
        <f>[3]法师难度!$C127</f>
        <v>8990922</v>
      </c>
      <c r="C398">
        <f>VLOOKUP(A398,[3]怪物抗性与玩家穿透!$A$2:$Q$74,17,0)</f>
        <v>2.4280567310684522</v>
      </c>
      <c r="D398">
        <f t="shared" si="6"/>
        <v>3702929</v>
      </c>
    </row>
    <row r="399" spans="1:4">
      <c r="A399">
        <v>100</v>
      </c>
      <c r="B399">
        <f>[3]法师难度!$C128</f>
        <v>9712005</v>
      </c>
      <c r="C399">
        <f>VLOOKUP(A399,[3]怪物抗性与玩家穿透!$A$2:$Q$74,17,0)</f>
        <v>2.4280567310684522</v>
      </c>
      <c r="D399">
        <f t="shared" si="6"/>
        <v>3999909</v>
      </c>
    </row>
    <row r="400" spans="1:4">
      <c r="A400">
        <v>101</v>
      </c>
      <c r="B400">
        <f>[3]法师难度!$C129</f>
        <v>10764200</v>
      </c>
      <c r="C400">
        <f>VLOOKUP(A400,[3]怪物抗性与玩家穿透!$A$2:$Q$74,17,0)</f>
        <v>2.4353207970995125</v>
      </c>
      <c r="D400">
        <f t="shared" si="6"/>
        <v>4420034</v>
      </c>
    </row>
    <row r="401" spans="1:4">
      <c r="A401">
        <v>101</v>
      </c>
      <c r="B401">
        <f>[3]法师难度!$C130</f>
        <v>11444820</v>
      </c>
      <c r="C401">
        <f>VLOOKUP(A401,[3]怪物抗性与玩家穿透!$A$2:$Q$74,17,0)</f>
        <v>2.4353207970995125</v>
      </c>
      <c r="D401">
        <f t="shared" si="6"/>
        <v>4699512</v>
      </c>
    </row>
    <row r="402" spans="1:4">
      <c r="A402">
        <v>101</v>
      </c>
      <c r="B402">
        <f>[3]法师难度!$C131</f>
        <v>12168476</v>
      </c>
      <c r="C402">
        <f>VLOOKUP(A402,[3]怪物抗性与玩家穿透!$A$2:$Q$74,17,0)</f>
        <v>2.4353207970995125</v>
      </c>
      <c r="D402">
        <f t="shared" si="6"/>
        <v>4996662</v>
      </c>
    </row>
    <row r="403" spans="1:4">
      <c r="A403">
        <v>102</v>
      </c>
      <c r="B403">
        <f>[3]法师难度!$C132</f>
        <v>13205023</v>
      </c>
      <c r="C403">
        <f>VLOOKUP(A403,[3]怪物抗性与玩家穿透!$A$2:$Q$74,17,0)</f>
        <v>2.4280567310684522</v>
      </c>
      <c r="D403">
        <f t="shared" si="6"/>
        <v>5438515</v>
      </c>
    </row>
    <row r="404" spans="1:4">
      <c r="A404">
        <v>102</v>
      </c>
      <c r="B404">
        <f>[3]法师难度!$C133</f>
        <v>14107240</v>
      </c>
      <c r="C404">
        <f>VLOOKUP(A404,[3]怪物抗性与玩家穿透!$A$2:$Q$74,17,0)</f>
        <v>2.4280567310684522</v>
      </c>
      <c r="D404">
        <f t="shared" si="6"/>
        <v>5810095</v>
      </c>
    </row>
    <row r="405" spans="1:4">
      <c r="A405">
        <v>102</v>
      </c>
      <c r="B405">
        <f>[3]法师难度!$C134</f>
        <v>15071099</v>
      </c>
      <c r="C405">
        <f>VLOOKUP(A405,[3]怪物抗性与玩家穿透!$A$2:$Q$74,17,0)</f>
        <v>2.4280567310684522</v>
      </c>
      <c r="D405">
        <f t="shared" si="6"/>
        <v>6207062</v>
      </c>
    </row>
    <row r="406" spans="1:4">
      <c r="A406">
        <v>102</v>
      </c>
      <c r="B406">
        <f>[3]法师难度!$C135</f>
        <v>16459454</v>
      </c>
      <c r="C406">
        <f>VLOOKUP(A406,[3]怪物抗性与玩家穿透!$A$2:$Q$74,17,0)</f>
        <v>2.4280567310684522</v>
      </c>
      <c r="D406">
        <f t="shared" si="6"/>
        <v>6778859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monster.xml</vt:lpstr>
      <vt:lpstr>monster-客户端</vt:lpstr>
      <vt:lpstr>精英副本难度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2014-10-30T05:41:39Z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