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onster.xml" sheetId="1" r:id="rId1"/>
    <sheet name="monster-客户端" sheetId="2" r:id="rId2"/>
    <sheet name="Sheet3" sheetId="3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F7" i="1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6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A181" i="2"/>
  <c r="B181"/>
  <c r="C181"/>
  <c r="D181"/>
  <c r="E181"/>
  <c r="F181"/>
  <c r="G181"/>
  <c r="A182"/>
  <c r="B182"/>
  <c r="C182"/>
  <c r="D182"/>
  <c r="E182"/>
  <c r="F182"/>
  <c r="G182"/>
  <c r="A183"/>
  <c r="B183"/>
  <c r="C183"/>
  <c r="D183"/>
  <c r="E183"/>
  <c r="F183"/>
  <c r="G183"/>
  <c r="A184"/>
  <c r="B184"/>
  <c r="C184"/>
  <c r="D184"/>
  <c r="E184"/>
  <c r="F184"/>
  <c r="G184"/>
  <c r="A185"/>
  <c r="B185"/>
  <c r="C185"/>
  <c r="D185"/>
  <c r="E185"/>
  <c r="F185"/>
  <c r="G185"/>
  <c r="A186"/>
  <c r="B186"/>
  <c r="C186"/>
  <c r="D186"/>
  <c r="E186"/>
  <c r="F186"/>
  <c r="G186"/>
  <c r="A187"/>
  <c r="B187"/>
  <c r="C187"/>
  <c r="D187"/>
  <c r="E187"/>
  <c r="F187"/>
  <c r="G187"/>
  <c r="A188"/>
  <c r="B188"/>
  <c r="C188"/>
  <c r="D188"/>
  <c r="E188"/>
  <c r="F188"/>
  <c r="G188"/>
  <c r="A189"/>
  <c r="B189"/>
  <c r="C189"/>
  <c r="D189"/>
  <c r="E189"/>
  <c r="F189"/>
  <c r="G189"/>
  <c r="A190"/>
  <c r="B190"/>
  <c r="C190"/>
  <c r="D190"/>
  <c r="E190"/>
  <c r="F190"/>
  <c r="G190"/>
  <c r="A191"/>
  <c r="B191"/>
  <c r="C191"/>
  <c r="D191"/>
  <c r="E191"/>
  <c r="F191"/>
  <c r="G191"/>
  <c r="A192"/>
  <c r="B192"/>
  <c r="C192"/>
  <c r="D192"/>
  <c r="E192"/>
  <c r="F192"/>
  <c r="G192"/>
  <c r="A193"/>
  <c r="B193"/>
  <c r="C193"/>
  <c r="D193"/>
  <c r="E193"/>
  <c r="F193"/>
  <c r="G193"/>
  <c r="A194"/>
  <c r="B194"/>
  <c r="C194"/>
  <c r="D194"/>
  <c r="E194"/>
  <c r="F194"/>
  <c r="G194"/>
  <c r="A195"/>
  <c r="B195"/>
  <c r="C195"/>
  <c r="D195"/>
  <c r="E195"/>
  <c r="F195"/>
  <c r="G195"/>
  <c r="A196"/>
  <c r="B196"/>
  <c r="C196"/>
  <c r="D196"/>
  <c r="E196"/>
  <c r="F196"/>
  <c r="G196"/>
  <c r="A197"/>
  <c r="B197"/>
  <c r="C197"/>
  <c r="D197"/>
  <c r="E197"/>
  <c r="F197"/>
  <c r="G197"/>
  <c r="A198"/>
  <c r="B198"/>
  <c r="C198"/>
  <c r="D198"/>
  <c r="E198"/>
  <c r="F198"/>
  <c r="G198"/>
  <c r="A199"/>
  <c r="B199"/>
  <c r="C199"/>
  <c r="D199"/>
  <c r="E199"/>
  <c r="F199"/>
  <c r="G199"/>
  <c r="A200"/>
  <c r="B200"/>
  <c r="C200"/>
  <c r="D200"/>
  <c r="E200"/>
  <c r="F200"/>
  <c r="G200"/>
  <c r="A201"/>
  <c r="B201"/>
  <c r="C201"/>
  <c r="D201"/>
  <c r="E201"/>
  <c r="F201"/>
  <c r="G201"/>
  <c r="A202"/>
  <c r="B202"/>
  <c r="C202"/>
  <c r="D202"/>
  <c r="E202"/>
  <c r="F202"/>
  <c r="G202"/>
  <c r="A203"/>
  <c r="B203"/>
  <c r="C203"/>
  <c r="D203"/>
  <c r="E203"/>
  <c r="F203"/>
  <c r="G203"/>
  <c r="A204"/>
  <c r="B204"/>
  <c r="C204"/>
  <c r="D204"/>
  <c r="E204"/>
  <c r="F204"/>
  <c r="G204"/>
  <c r="A205"/>
  <c r="B205"/>
  <c r="C205"/>
  <c r="D205"/>
  <c r="E205"/>
  <c r="F205"/>
  <c r="G205"/>
  <c r="A206"/>
  <c r="B206"/>
  <c r="C206"/>
  <c r="D206"/>
  <c r="E206"/>
  <c r="F206"/>
  <c r="G206"/>
  <c r="A207"/>
  <c r="B207"/>
  <c r="C207"/>
  <c r="D207"/>
  <c r="E207"/>
  <c r="F207"/>
  <c r="G207"/>
  <c r="A208"/>
  <c r="B208"/>
  <c r="C208"/>
  <c r="D208"/>
  <c r="E208"/>
  <c r="F208"/>
  <c r="G208"/>
  <c r="A209"/>
  <c r="B209"/>
  <c r="C209"/>
  <c r="D209"/>
  <c r="E209"/>
  <c r="F209"/>
  <c r="G209"/>
  <c r="A210"/>
  <c r="B210"/>
  <c r="C210"/>
  <c r="D210"/>
  <c r="E210"/>
  <c r="F210"/>
  <c r="G210"/>
  <c r="A211"/>
  <c r="B211"/>
  <c r="C211"/>
  <c r="D211"/>
  <c r="E211"/>
  <c r="F211"/>
  <c r="G211"/>
  <c r="A212"/>
  <c r="B212"/>
  <c r="C212"/>
  <c r="D212"/>
  <c r="E212"/>
  <c r="F212"/>
  <c r="G212"/>
  <c r="A213"/>
  <c r="B213"/>
  <c r="C213"/>
  <c r="D213"/>
  <c r="E213"/>
  <c r="F213"/>
  <c r="G213"/>
  <c r="A214"/>
  <c r="B214"/>
  <c r="C214"/>
  <c r="D214"/>
  <c r="E214"/>
  <c r="F214"/>
  <c r="G214"/>
  <c r="A215"/>
  <c r="B215"/>
  <c r="C215"/>
  <c r="D215"/>
  <c r="E215"/>
  <c r="F215"/>
  <c r="G215"/>
  <c r="A216"/>
  <c r="B216"/>
  <c r="C216"/>
  <c r="D216"/>
  <c r="E216"/>
  <c r="F216"/>
  <c r="G216"/>
  <c r="A217"/>
  <c r="B217"/>
  <c r="C217"/>
  <c r="D217"/>
  <c r="E217"/>
  <c r="F217"/>
  <c r="G217"/>
  <c r="A218"/>
  <c r="B218"/>
  <c r="C218"/>
  <c r="D218"/>
  <c r="E218"/>
  <c r="F218"/>
  <c r="G218"/>
  <c r="A219"/>
  <c r="B219"/>
  <c r="C219"/>
  <c r="D219"/>
  <c r="E219"/>
  <c r="F219"/>
  <c r="G219"/>
  <c r="A220"/>
  <c r="B220"/>
  <c r="C220"/>
  <c r="D220"/>
  <c r="E220"/>
  <c r="F220"/>
  <c r="G220"/>
  <c r="A221"/>
  <c r="B221"/>
  <c r="C221"/>
  <c r="D221"/>
  <c r="E221"/>
  <c r="F221"/>
  <c r="G221"/>
  <c r="A222"/>
  <c r="B222"/>
  <c r="C222"/>
  <c r="D222"/>
  <c r="E222"/>
  <c r="F222"/>
  <c r="G222"/>
  <c r="A223"/>
  <c r="B223"/>
  <c r="C223"/>
  <c r="D223"/>
  <c r="E223"/>
  <c r="F223"/>
  <c r="G223"/>
  <c r="A224"/>
  <c r="B224"/>
  <c r="C224"/>
  <c r="D224"/>
  <c r="E224"/>
  <c r="F224"/>
  <c r="G224"/>
  <c r="A225"/>
  <c r="B225"/>
  <c r="C225"/>
  <c r="D225"/>
  <c r="E225"/>
  <c r="F225"/>
  <c r="G225"/>
  <c r="A226"/>
  <c r="B226"/>
  <c r="C226"/>
  <c r="D226"/>
  <c r="E226"/>
  <c r="F226"/>
  <c r="G226"/>
  <c r="A227"/>
  <c r="B227"/>
  <c r="C227"/>
  <c r="D227"/>
  <c r="E227"/>
  <c r="F227"/>
  <c r="G227"/>
  <c r="A228"/>
  <c r="B228"/>
  <c r="C228"/>
  <c r="D228"/>
  <c r="E228"/>
  <c r="F228"/>
  <c r="G228"/>
  <c r="A229"/>
  <c r="B229"/>
  <c r="C229"/>
  <c r="D229"/>
  <c r="E229"/>
  <c r="F229"/>
  <c r="G229"/>
  <c r="A230"/>
  <c r="B230"/>
  <c r="C230"/>
  <c r="D230"/>
  <c r="E230"/>
  <c r="F230"/>
  <c r="G230"/>
  <c r="A231"/>
  <c r="B231"/>
  <c r="C231"/>
  <c r="D231"/>
  <c r="E231"/>
  <c r="F231"/>
  <c r="G231"/>
  <c r="A232"/>
  <c r="B232"/>
  <c r="C232"/>
  <c r="D232"/>
  <c r="E232"/>
  <c r="F232"/>
  <c r="G232"/>
  <c r="A233"/>
  <c r="B233"/>
  <c r="C233"/>
  <c r="D233"/>
  <c r="E233"/>
  <c r="F233"/>
  <c r="G233"/>
  <c r="A234"/>
  <c r="B234"/>
  <c r="C234"/>
  <c r="D234"/>
  <c r="E234"/>
  <c r="F234"/>
  <c r="G234"/>
  <c r="A235"/>
  <c r="B235"/>
  <c r="C235"/>
  <c r="D235"/>
  <c r="E235"/>
  <c r="F235"/>
  <c r="G235"/>
  <c r="A236"/>
  <c r="B236"/>
  <c r="C236"/>
  <c r="D236"/>
  <c r="E236"/>
  <c r="F236"/>
  <c r="G236"/>
  <c r="A237"/>
  <c r="B237"/>
  <c r="C237"/>
  <c r="D237"/>
  <c r="E237"/>
  <c r="F237"/>
  <c r="G237"/>
  <c r="A238"/>
  <c r="B238"/>
  <c r="C238"/>
  <c r="D238"/>
  <c r="E238"/>
  <c r="F238"/>
  <c r="G238"/>
  <c r="A239"/>
  <c r="B239"/>
  <c r="C239"/>
  <c r="D239"/>
  <c r="E239"/>
  <c r="F239"/>
  <c r="G239"/>
  <c r="A240"/>
  <c r="B240"/>
  <c r="C240"/>
  <c r="D240"/>
  <c r="E240"/>
  <c r="F240"/>
  <c r="G240"/>
  <c r="A241"/>
  <c r="B241"/>
  <c r="C241"/>
  <c r="D241"/>
  <c r="E241"/>
  <c r="F241"/>
  <c r="G241"/>
  <c r="A242"/>
  <c r="B242"/>
  <c r="C242"/>
  <c r="D242"/>
  <c r="E242"/>
  <c r="F242"/>
  <c r="G242"/>
  <c r="A243"/>
  <c r="B243"/>
  <c r="C243"/>
  <c r="D243"/>
  <c r="E243"/>
  <c r="F243"/>
  <c r="G243"/>
  <c r="A244"/>
  <c r="B244"/>
  <c r="C244"/>
  <c r="D244"/>
  <c r="E244"/>
  <c r="F244"/>
  <c r="G244"/>
  <c r="A245"/>
  <c r="B245"/>
  <c r="C245"/>
  <c r="D245"/>
  <c r="E245"/>
  <c r="F245"/>
  <c r="G245"/>
  <c r="A246"/>
  <c r="B246"/>
  <c r="C246"/>
  <c r="D246"/>
  <c r="E246"/>
  <c r="F246"/>
  <c r="G246"/>
  <c r="A247"/>
  <c r="B247"/>
  <c r="C247"/>
  <c r="D247"/>
  <c r="E247"/>
  <c r="F247"/>
  <c r="G247"/>
  <c r="A248"/>
  <c r="B248"/>
  <c r="C248"/>
  <c r="D248"/>
  <c r="E248"/>
  <c r="F248"/>
  <c r="G248"/>
  <c r="A249"/>
  <c r="B249"/>
  <c r="C249"/>
  <c r="D249"/>
  <c r="E249"/>
  <c r="F249"/>
  <c r="G249"/>
  <c r="A250"/>
  <c r="B250"/>
  <c r="C250"/>
  <c r="D250"/>
  <c r="E250"/>
  <c r="F250"/>
  <c r="G250"/>
  <c r="A251"/>
  <c r="B251"/>
  <c r="C251"/>
  <c r="D251"/>
  <c r="E251"/>
  <c r="F251"/>
  <c r="G251"/>
  <c r="A252"/>
  <c r="B252"/>
  <c r="C252"/>
  <c r="D252"/>
  <c r="E252"/>
  <c r="F252"/>
  <c r="G252"/>
  <c r="A253"/>
  <c r="B253"/>
  <c r="C253"/>
  <c r="D253"/>
  <c r="E253"/>
  <c r="F253"/>
  <c r="G253"/>
  <c r="A254"/>
  <c r="B254"/>
  <c r="C254"/>
  <c r="D254"/>
  <c r="E254"/>
  <c r="F254"/>
  <c r="G254"/>
  <c r="A255"/>
  <c r="B255"/>
  <c r="C255"/>
  <c r="D255"/>
  <c r="E255"/>
  <c r="F255"/>
  <c r="G255"/>
  <c r="A256"/>
  <c r="B256"/>
  <c r="C256"/>
  <c r="D256"/>
  <c r="E256"/>
  <c r="F256"/>
  <c r="G256"/>
  <c r="A257"/>
  <c r="B257"/>
  <c r="C257"/>
  <c r="D257"/>
  <c r="E257"/>
  <c r="F257"/>
  <c r="G257"/>
  <c r="A258"/>
  <c r="B258"/>
  <c r="C258"/>
  <c r="D258"/>
  <c r="E258"/>
  <c r="F258"/>
  <c r="G258"/>
  <c r="A259"/>
  <c r="B259"/>
  <c r="C259"/>
  <c r="D259"/>
  <c r="E259"/>
  <c r="F259"/>
  <c r="G259"/>
  <c r="A260"/>
  <c r="B260"/>
  <c r="C260"/>
  <c r="D260"/>
  <c r="E260"/>
  <c r="F260"/>
  <c r="G260"/>
  <c r="A261"/>
  <c r="B261"/>
  <c r="C261"/>
  <c r="D261"/>
  <c r="E261"/>
  <c r="F261"/>
  <c r="G261"/>
  <c r="A262"/>
  <c r="B262"/>
  <c r="C262"/>
  <c r="D262"/>
  <c r="E262"/>
  <c r="F262"/>
  <c r="G262"/>
  <c r="D152"/>
  <c r="D153"/>
  <c r="M186" i="1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185"/>
  <c r="D4" i="2"/>
  <c r="D5"/>
  <c r="O187" i="1"/>
  <c r="O189"/>
  <c r="O191"/>
  <c r="O193"/>
  <c r="O195"/>
  <c r="O197"/>
  <c r="O199"/>
  <c r="O201"/>
  <c r="O203"/>
  <c r="O205"/>
  <c r="O207"/>
  <c r="O209"/>
  <c r="O211"/>
  <c r="O213"/>
  <c r="O215"/>
  <c r="O217"/>
  <c r="O219"/>
  <c r="O221"/>
  <c r="O223"/>
  <c r="O225"/>
  <c r="O227"/>
  <c r="O229"/>
  <c r="O231"/>
  <c r="O233"/>
  <c r="O235"/>
  <c r="O237"/>
  <c r="O239"/>
  <c r="O241"/>
  <c r="O243"/>
  <c r="O245"/>
  <c r="O247"/>
  <c r="O249"/>
  <c r="O251"/>
  <c r="O253"/>
  <c r="O255"/>
  <c r="O257"/>
  <c r="O259"/>
  <c r="O261"/>
  <c r="O263"/>
  <c r="O265"/>
  <c r="O185" l="1"/>
  <c r="A3" i="2" l="1"/>
  <c r="B3"/>
  <c r="C3"/>
  <c r="D3"/>
  <c r="E3"/>
  <c r="F3"/>
  <c r="G3"/>
  <c r="A4"/>
  <c r="B4"/>
  <c r="C4"/>
  <c r="E4"/>
  <c r="F4"/>
  <c r="G4"/>
  <c r="A5"/>
  <c r="B5"/>
  <c r="C5"/>
  <c r="E5"/>
  <c r="F5"/>
  <c r="G5"/>
  <c r="A6"/>
  <c r="B6"/>
  <c r="C6"/>
  <c r="D6"/>
  <c r="E6"/>
  <c r="F6"/>
  <c r="G6"/>
  <c r="A7"/>
  <c r="B7"/>
  <c r="C7"/>
  <c r="D7"/>
  <c r="E7"/>
  <c r="F7"/>
  <c r="G7"/>
  <c r="A8"/>
  <c r="B8"/>
  <c r="C8"/>
  <c r="D8"/>
  <c r="E8"/>
  <c r="F8"/>
  <c r="G8"/>
  <c r="A9"/>
  <c r="B9"/>
  <c r="C9"/>
  <c r="D9"/>
  <c r="E9"/>
  <c r="F9"/>
  <c r="G9"/>
  <c r="A10"/>
  <c r="B10"/>
  <c r="C10"/>
  <c r="D10"/>
  <c r="E10"/>
  <c r="F10"/>
  <c r="G10"/>
  <c r="A11"/>
  <c r="B11"/>
  <c r="C11"/>
  <c r="D11"/>
  <c r="E11"/>
  <c r="F11"/>
  <c r="G11"/>
  <c r="A12"/>
  <c r="B12"/>
  <c r="C12"/>
  <c r="D12"/>
  <c r="E12"/>
  <c r="F12"/>
  <c r="G12"/>
  <c r="A13"/>
  <c r="B13"/>
  <c r="C13"/>
  <c r="D13"/>
  <c r="E13"/>
  <c r="F13"/>
  <c r="G13"/>
  <c r="A14"/>
  <c r="B14"/>
  <c r="C14"/>
  <c r="D14"/>
  <c r="E14"/>
  <c r="F14"/>
  <c r="G14"/>
  <c r="A15"/>
  <c r="B15"/>
  <c r="C15"/>
  <c r="D15"/>
  <c r="E15"/>
  <c r="F15"/>
  <c r="G15"/>
  <c r="A16"/>
  <c r="B16"/>
  <c r="C16"/>
  <c r="D16"/>
  <c r="E16"/>
  <c r="F16"/>
  <c r="G16"/>
  <c r="A17"/>
  <c r="B17"/>
  <c r="C17"/>
  <c r="D17"/>
  <c r="E17"/>
  <c r="F17"/>
  <c r="G17"/>
  <c r="A18"/>
  <c r="B18"/>
  <c r="C18"/>
  <c r="D18"/>
  <c r="E18"/>
  <c r="F18"/>
  <c r="G18"/>
  <c r="A19"/>
  <c r="B19"/>
  <c r="C19"/>
  <c r="D19"/>
  <c r="E19"/>
  <c r="F19"/>
  <c r="G19"/>
  <c r="A20"/>
  <c r="B20"/>
  <c r="C20"/>
  <c r="D20"/>
  <c r="E20"/>
  <c r="F20"/>
  <c r="G20"/>
  <c r="A21"/>
  <c r="B21"/>
  <c r="C21"/>
  <c r="D21"/>
  <c r="E21"/>
  <c r="F21"/>
  <c r="G21"/>
  <c r="A22"/>
  <c r="B22"/>
  <c r="C22"/>
  <c r="D22"/>
  <c r="E22"/>
  <c r="F22"/>
  <c r="G22"/>
  <c r="A23"/>
  <c r="B23"/>
  <c r="C23"/>
  <c r="D23"/>
  <c r="E23"/>
  <c r="F23"/>
  <c r="G23"/>
  <c r="A24"/>
  <c r="B24"/>
  <c r="C24"/>
  <c r="D24"/>
  <c r="E24"/>
  <c r="F24"/>
  <c r="G24"/>
  <c r="A25"/>
  <c r="B25"/>
  <c r="C25"/>
  <c r="D25"/>
  <c r="E25"/>
  <c r="F25"/>
  <c r="G25"/>
  <c r="A26"/>
  <c r="B26"/>
  <c r="C26"/>
  <c r="D26"/>
  <c r="E26"/>
  <c r="F26"/>
  <c r="G26"/>
  <c r="A27"/>
  <c r="B27"/>
  <c r="C27"/>
  <c r="D27"/>
  <c r="E27"/>
  <c r="F27"/>
  <c r="G27"/>
  <c r="A28"/>
  <c r="B28"/>
  <c r="C28"/>
  <c r="D28"/>
  <c r="E28"/>
  <c r="F28"/>
  <c r="G28"/>
  <c r="A29"/>
  <c r="B29"/>
  <c r="C29"/>
  <c r="D29"/>
  <c r="E29"/>
  <c r="F29"/>
  <c r="G29"/>
  <c r="A30"/>
  <c r="B30"/>
  <c r="C30"/>
  <c r="D30"/>
  <c r="E30"/>
  <c r="F30"/>
  <c r="G30"/>
  <c r="A31"/>
  <c r="B31"/>
  <c r="C31"/>
  <c r="D31"/>
  <c r="E31"/>
  <c r="F31"/>
  <c r="G31"/>
  <c r="A32"/>
  <c r="B32"/>
  <c r="C32"/>
  <c r="D32"/>
  <c r="E32"/>
  <c r="F32"/>
  <c r="G32"/>
  <c r="A33"/>
  <c r="B33"/>
  <c r="C33"/>
  <c r="D33"/>
  <c r="E33"/>
  <c r="F33"/>
  <c r="G33"/>
  <c r="A34"/>
  <c r="B34"/>
  <c r="C34"/>
  <c r="D34"/>
  <c r="E34"/>
  <c r="F34"/>
  <c r="G34"/>
  <c r="A35"/>
  <c r="B35"/>
  <c r="C35"/>
  <c r="D35"/>
  <c r="E35"/>
  <c r="F35"/>
  <c r="G35"/>
  <c r="A36"/>
  <c r="B36"/>
  <c r="C36"/>
  <c r="D36"/>
  <c r="E36"/>
  <c r="F36"/>
  <c r="G36"/>
  <c r="A37"/>
  <c r="B37"/>
  <c r="C37"/>
  <c r="D37"/>
  <c r="E37"/>
  <c r="F37"/>
  <c r="G37"/>
  <c r="A38"/>
  <c r="B38"/>
  <c r="C38"/>
  <c r="D38"/>
  <c r="E38"/>
  <c r="F38"/>
  <c r="G38"/>
  <c r="A39"/>
  <c r="B39"/>
  <c r="C39"/>
  <c r="D39"/>
  <c r="E39"/>
  <c r="F39"/>
  <c r="G39"/>
  <c r="A40"/>
  <c r="B40"/>
  <c r="C40"/>
  <c r="D40"/>
  <c r="E40"/>
  <c r="F40"/>
  <c r="G40"/>
  <c r="A41"/>
  <c r="B41"/>
  <c r="C41"/>
  <c r="D41"/>
  <c r="E41"/>
  <c r="F41"/>
  <c r="G41"/>
  <c r="A42"/>
  <c r="B42"/>
  <c r="C42"/>
  <c r="D42"/>
  <c r="E42"/>
  <c r="F42"/>
  <c r="G42"/>
  <c r="A43"/>
  <c r="B43"/>
  <c r="C43"/>
  <c r="D43"/>
  <c r="E43"/>
  <c r="F43"/>
  <c r="G43"/>
  <c r="A44"/>
  <c r="B44"/>
  <c r="C44"/>
  <c r="D44"/>
  <c r="E44"/>
  <c r="F44"/>
  <c r="G44"/>
  <c r="A45"/>
  <c r="B45"/>
  <c r="C45"/>
  <c r="D45"/>
  <c r="E45"/>
  <c r="F45"/>
  <c r="G45"/>
  <c r="A46"/>
  <c r="B46"/>
  <c r="C46"/>
  <c r="D46"/>
  <c r="E46"/>
  <c r="F46"/>
  <c r="G46"/>
  <c r="A47"/>
  <c r="B47"/>
  <c r="C47"/>
  <c r="D47"/>
  <c r="E47"/>
  <c r="F47"/>
  <c r="G47"/>
  <c r="A48"/>
  <c r="B48"/>
  <c r="C48"/>
  <c r="D48"/>
  <c r="E48"/>
  <c r="F48"/>
  <c r="G48"/>
  <c r="A49"/>
  <c r="B49"/>
  <c r="C49"/>
  <c r="D49"/>
  <c r="E49"/>
  <c r="F49"/>
  <c r="G49"/>
  <c r="A50"/>
  <c r="B50"/>
  <c r="C50"/>
  <c r="D50"/>
  <c r="E50"/>
  <c r="F50"/>
  <c r="G50"/>
  <c r="A51"/>
  <c r="B51"/>
  <c r="C51"/>
  <c r="D51"/>
  <c r="E51"/>
  <c r="F51"/>
  <c r="G51"/>
  <c r="A52"/>
  <c r="B52"/>
  <c r="C52"/>
  <c r="D52"/>
  <c r="E52"/>
  <c r="F52"/>
  <c r="G52"/>
  <c r="A53"/>
  <c r="B53"/>
  <c r="C53"/>
  <c r="D53"/>
  <c r="E53"/>
  <c r="F53"/>
  <c r="G53"/>
  <c r="A54"/>
  <c r="B54"/>
  <c r="C54"/>
  <c r="D54"/>
  <c r="E54"/>
  <c r="F54"/>
  <c r="G54"/>
  <c r="A55"/>
  <c r="B55"/>
  <c r="C55"/>
  <c r="D55"/>
  <c r="E55"/>
  <c r="F55"/>
  <c r="G55"/>
  <c r="A56"/>
  <c r="B56"/>
  <c r="C56"/>
  <c r="D56"/>
  <c r="E56"/>
  <c r="F56"/>
  <c r="G56"/>
  <c r="A57"/>
  <c r="B57"/>
  <c r="C57"/>
  <c r="D57"/>
  <c r="E57"/>
  <c r="F57"/>
  <c r="G57"/>
  <c r="A58"/>
  <c r="B58"/>
  <c r="C58"/>
  <c r="D58"/>
  <c r="E58"/>
  <c r="F58"/>
  <c r="G58"/>
  <c r="A59"/>
  <c r="B59"/>
  <c r="C59"/>
  <c r="D59"/>
  <c r="E59"/>
  <c r="F59"/>
  <c r="G59"/>
  <c r="A60"/>
  <c r="B60"/>
  <c r="C60"/>
  <c r="D60"/>
  <c r="E60"/>
  <c r="F60"/>
  <c r="G60"/>
  <c r="A61"/>
  <c r="B61"/>
  <c r="C61"/>
  <c r="D61"/>
  <c r="E61"/>
  <c r="F61"/>
  <c r="G61"/>
  <c r="A62"/>
  <c r="B62"/>
  <c r="C62"/>
  <c r="D62"/>
  <c r="E62"/>
  <c r="F62"/>
  <c r="G62"/>
  <c r="A63"/>
  <c r="B63"/>
  <c r="C63"/>
  <c r="D63"/>
  <c r="E63"/>
  <c r="F63"/>
  <c r="G63"/>
  <c r="A64"/>
  <c r="B64"/>
  <c r="C64"/>
  <c r="D64"/>
  <c r="E64"/>
  <c r="F64"/>
  <c r="G64"/>
  <c r="A65"/>
  <c r="B65"/>
  <c r="C65"/>
  <c r="D65"/>
  <c r="E65"/>
  <c r="F65"/>
  <c r="G65"/>
  <c r="A66"/>
  <c r="B66"/>
  <c r="C66"/>
  <c r="D66"/>
  <c r="E66"/>
  <c r="F66"/>
  <c r="G66"/>
  <c r="A67"/>
  <c r="B67"/>
  <c r="C67"/>
  <c r="D67"/>
  <c r="E67"/>
  <c r="F67"/>
  <c r="G67"/>
  <c r="A68"/>
  <c r="B68"/>
  <c r="C68"/>
  <c r="D68"/>
  <c r="E68"/>
  <c r="F68"/>
  <c r="G68"/>
  <c r="A69"/>
  <c r="B69"/>
  <c r="C69"/>
  <c r="D69"/>
  <c r="E69"/>
  <c r="F69"/>
  <c r="G69"/>
  <c r="A70"/>
  <c r="B70"/>
  <c r="C70"/>
  <c r="D70"/>
  <c r="E70"/>
  <c r="F70"/>
  <c r="G70"/>
  <c r="A71"/>
  <c r="B71"/>
  <c r="C71"/>
  <c r="D71"/>
  <c r="E71"/>
  <c r="F71"/>
  <c r="G71"/>
  <c r="A72"/>
  <c r="B72"/>
  <c r="C72"/>
  <c r="D72"/>
  <c r="E72"/>
  <c r="F72"/>
  <c r="G72"/>
  <c r="A73"/>
  <c r="B73"/>
  <c r="C73"/>
  <c r="D73"/>
  <c r="E73"/>
  <c r="F73"/>
  <c r="G73"/>
  <c r="A74"/>
  <c r="B74"/>
  <c r="C74"/>
  <c r="D74"/>
  <c r="E74"/>
  <c r="F74"/>
  <c r="G74"/>
  <c r="A75"/>
  <c r="B75"/>
  <c r="C75"/>
  <c r="D75"/>
  <c r="E75"/>
  <c r="F75"/>
  <c r="G75"/>
  <c r="A76"/>
  <c r="B76"/>
  <c r="C76"/>
  <c r="D76"/>
  <c r="E76"/>
  <c r="F76"/>
  <c r="G76"/>
  <c r="A77"/>
  <c r="B77"/>
  <c r="C77"/>
  <c r="D77"/>
  <c r="E77"/>
  <c r="F77"/>
  <c r="G77"/>
  <c r="A78"/>
  <c r="B78"/>
  <c r="C78"/>
  <c r="D78"/>
  <c r="E78"/>
  <c r="F78"/>
  <c r="G78"/>
  <c r="A79"/>
  <c r="B79"/>
  <c r="C79"/>
  <c r="D79"/>
  <c r="E79"/>
  <c r="F79"/>
  <c r="G79"/>
  <c r="A80"/>
  <c r="B80"/>
  <c r="C80"/>
  <c r="D80"/>
  <c r="E80"/>
  <c r="F80"/>
  <c r="G80"/>
  <c r="A81"/>
  <c r="B81"/>
  <c r="C81"/>
  <c r="D81"/>
  <c r="E81"/>
  <c r="F81"/>
  <c r="G81"/>
  <c r="A82"/>
  <c r="B82"/>
  <c r="C82"/>
  <c r="D82"/>
  <c r="E82"/>
  <c r="F82"/>
  <c r="G82"/>
  <c r="A83"/>
  <c r="B83"/>
  <c r="C83"/>
  <c r="D83"/>
  <c r="E83"/>
  <c r="F83"/>
  <c r="G83"/>
  <c r="A84"/>
  <c r="B84"/>
  <c r="C84"/>
  <c r="D84"/>
  <c r="E84"/>
  <c r="F84"/>
  <c r="G84"/>
  <c r="A85"/>
  <c r="B85"/>
  <c r="C85"/>
  <c r="D85"/>
  <c r="E85"/>
  <c r="F85"/>
  <c r="G85"/>
  <c r="A86"/>
  <c r="B86"/>
  <c r="C86"/>
  <c r="D86"/>
  <c r="E86"/>
  <c r="F86"/>
  <c r="G86"/>
  <c r="A87"/>
  <c r="B87"/>
  <c r="C87"/>
  <c r="D87"/>
  <c r="E87"/>
  <c r="F87"/>
  <c r="G87"/>
  <c r="A88"/>
  <c r="B88"/>
  <c r="C88"/>
  <c r="D88"/>
  <c r="E88"/>
  <c r="F88"/>
  <c r="G88"/>
  <c r="A89"/>
  <c r="B89"/>
  <c r="C89"/>
  <c r="D89"/>
  <c r="E89"/>
  <c r="F89"/>
  <c r="G89"/>
  <c r="A90"/>
  <c r="B90"/>
  <c r="C90"/>
  <c r="D90"/>
  <c r="E90"/>
  <c r="F90"/>
  <c r="G90"/>
  <c r="A91"/>
  <c r="B91"/>
  <c r="C91"/>
  <c r="D91"/>
  <c r="E91"/>
  <c r="F91"/>
  <c r="G91"/>
  <c r="A92"/>
  <c r="B92"/>
  <c r="C92"/>
  <c r="D92"/>
  <c r="E92"/>
  <c r="F92"/>
  <c r="G92"/>
  <c r="A93"/>
  <c r="B93"/>
  <c r="C93"/>
  <c r="D93"/>
  <c r="E93"/>
  <c r="F93"/>
  <c r="G93"/>
  <c r="A94"/>
  <c r="B94"/>
  <c r="C94"/>
  <c r="D94"/>
  <c r="E94"/>
  <c r="F94"/>
  <c r="G94"/>
  <c r="A95"/>
  <c r="B95"/>
  <c r="C95"/>
  <c r="D95"/>
  <c r="E95"/>
  <c r="F95"/>
  <c r="G95"/>
  <c r="A96"/>
  <c r="B96"/>
  <c r="C96"/>
  <c r="D96"/>
  <c r="E96"/>
  <c r="F96"/>
  <c r="G96"/>
  <c r="A97"/>
  <c r="B97"/>
  <c r="C97"/>
  <c r="D97"/>
  <c r="E97"/>
  <c r="F97"/>
  <c r="G97"/>
  <c r="A98"/>
  <c r="B98"/>
  <c r="C98"/>
  <c r="D98"/>
  <c r="E98"/>
  <c r="F98"/>
  <c r="G98"/>
  <c r="A99"/>
  <c r="B99"/>
  <c r="C99"/>
  <c r="D99"/>
  <c r="E99"/>
  <c r="F99"/>
  <c r="G99"/>
  <c r="A100"/>
  <c r="B100"/>
  <c r="C100"/>
  <c r="D100"/>
  <c r="E100"/>
  <c r="F100"/>
  <c r="G100"/>
  <c r="A101"/>
  <c r="B101"/>
  <c r="C101"/>
  <c r="D101"/>
  <c r="E101"/>
  <c r="F101"/>
  <c r="G101"/>
  <c r="A102"/>
  <c r="B102"/>
  <c r="C102"/>
  <c r="D102"/>
  <c r="E102"/>
  <c r="F102"/>
  <c r="G102"/>
  <c r="A103"/>
  <c r="B103"/>
  <c r="C103"/>
  <c r="D103"/>
  <c r="E103"/>
  <c r="F103"/>
  <c r="G103"/>
  <c r="A104"/>
  <c r="B104"/>
  <c r="C104"/>
  <c r="D104"/>
  <c r="E104"/>
  <c r="F104"/>
  <c r="G104"/>
  <c r="A105"/>
  <c r="B105"/>
  <c r="C105"/>
  <c r="D105"/>
  <c r="E105"/>
  <c r="F105"/>
  <c r="G105"/>
  <c r="A106"/>
  <c r="B106"/>
  <c r="C106"/>
  <c r="D106"/>
  <c r="E106"/>
  <c r="F106"/>
  <c r="G106"/>
  <c r="A107"/>
  <c r="B107"/>
  <c r="C107"/>
  <c r="D107"/>
  <c r="E107"/>
  <c r="F107"/>
  <c r="G107"/>
  <c r="A108"/>
  <c r="B108"/>
  <c r="C108"/>
  <c r="D108"/>
  <c r="E108"/>
  <c r="F108"/>
  <c r="G108"/>
  <c r="A109"/>
  <c r="B109"/>
  <c r="C109"/>
  <c r="D109"/>
  <c r="E109"/>
  <c r="F109"/>
  <c r="G109"/>
  <c r="A110"/>
  <c r="B110"/>
  <c r="C110"/>
  <c r="D110"/>
  <c r="E110"/>
  <c r="F110"/>
  <c r="G110"/>
  <c r="A111"/>
  <c r="B111"/>
  <c r="C111"/>
  <c r="D111"/>
  <c r="E111"/>
  <c r="F111"/>
  <c r="G111"/>
  <c r="A112"/>
  <c r="B112"/>
  <c r="C112"/>
  <c r="D112"/>
  <c r="E112"/>
  <c r="F112"/>
  <c r="G112"/>
  <c r="A113"/>
  <c r="B113"/>
  <c r="C113"/>
  <c r="D113"/>
  <c r="E113"/>
  <c r="F113"/>
  <c r="G113"/>
  <c r="A114"/>
  <c r="B114"/>
  <c r="C114"/>
  <c r="D114"/>
  <c r="E114"/>
  <c r="F114"/>
  <c r="G114"/>
  <c r="A115"/>
  <c r="B115"/>
  <c r="C115"/>
  <c r="D115"/>
  <c r="E115"/>
  <c r="F115"/>
  <c r="G115"/>
  <c r="A116"/>
  <c r="B116"/>
  <c r="C116"/>
  <c r="D116"/>
  <c r="E116"/>
  <c r="F116"/>
  <c r="G116"/>
  <c r="A117"/>
  <c r="B117"/>
  <c r="C117"/>
  <c r="D117"/>
  <c r="E117"/>
  <c r="F117"/>
  <c r="G117"/>
  <c r="A118"/>
  <c r="B118"/>
  <c r="C118"/>
  <c r="D118"/>
  <c r="E118"/>
  <c r="F118"/>
  <c r="G118"/>
  <c r="A119"/>
  <c r="B119"/>
  <c r="C119"/>
  <c r="D119"/>
  <c r="E119"/>
  <c r="F119"/>
  <c r="G119"/>
  <c r="A120"/>
  <c r="B120"/>
  <c r="C120"/>
  <c r="D120"/>
  <c r="E120"/>
  <c r="F120"/>
  <c r="G120"/>
  <c r="A121"/>
  <c r="B121"/>
  <c r="C121"/>
  <c r="D121"/>
  <c r="E121"/>
  <c r="F121"/>
  <c r="G121"/>
  <c r="A122"/>
  <c r="B122"/>
  <c r="C122"/>
  <c r="D122"/>
  <c r="E122"/>
  <c r="F122"/>
  <c r="G122"/>
  <c r="A123"/>
  <c r="B123"/>
  <c r="C123"/>
  <c r="D123"/>
  <c r="E123"/>
  <c r="F123"/>
  <c r="G123"/>
  <c r="A124"/>
  <c r="B124"/>
  <c r="C124"/>
  <c r="D124"/>
  <c r="E124"/>
  <c r="F124"/>
  <c r="G124"/>
  <c r="A125"/>
  <c r="B125"/>
  <c r="C125"/>
  <c r="D125"/>
  <c r="E125"/>
  <c r="F125"/>
  <c r="G125"/>
  <c r="A126"/>
  <c r="B126"/>
  <c r="C126"/>
  <c r="D126"/>
  <c r="E126"/>
  <c r="F126"/>
  <c r="G126"/>
  <c r="A127"/>
  <c r="B127"/>
  <c r="C127"/>
  <c r="D127"/>
  <c r="E127"/>
  <c r="F127"/>
  <c r="G127"/>
  <c r="A128"/>
  <c r="B128"/>
  <c r="C128"/>
  <c r="D128"/>
  <c r="E128"/>
  <c r="F128"/>
  <c r="G128"/>
  <c r="A129"/>
  <c r="B129"/>
  <c r="C129"/>
  <c r="D129"/>
  <c r="E129"/>
  <c r="F129"/>
  <c r="G129"/>
  <c r="A130"/>
  <c r="B130"/>
  <c r="C130"/>
  <c r="D130"/>
  <c r="E130"/>
  <c r="F130"/>
  <c r="G130"/>
  <c r="A131"/>
  <c r="B131"/>
  <c r="C131"/>
  <c r="D131"/>
  <c r="E131"/>
  <c r="F131"/>
  <c r="G131"/>
  <c r="A132"/>
  <c r="B132"/>
  <c r="C132"/>
  <c r="D132"/>
  <c r="E132"/>
  <c r="F132"/>
  <c r="G132"/>
  <c r="A133"/>
  <c r="B133"/>
  <c r="C133"/>
  <c r="D133"/>
  <c r="E133"/>
  <c r="F133"/>
  <c r="G133"/>
  <c r="A134"/>
  <c r="B134"/>
  <c r="C134"/>
  <c r="D134"/>
  <c r="E134"/>
  <c r="F134"/>
  <c r="G134"/>
  <c r="A135"/>
  <c r="B135"/>
  <c r="C135"/>
  <c r="D135"/>
  <c r="E135"/>
  <c r="F135"/>
  <c r="G135"/>
  <c r="A136"/>
  <c r="B136"/>
  <c r="C136"/>
  <c r="D136"/>
  <c r="E136"/>
  <c r="F136"/>
  <c r="G136"/>
  <c r="A137"/>
  <c r="B137"/>
  <c r="C137"/>
  <c r="D137"/>
  <c r="E137"/>
  <c r="F137"/>
  <c r="G137"/>
  <c r="A138"/>
  <c r="B138"/>
  <c r="C138"/>
  <c r="D138"/>
  <c r="E138"/>
  <c r="F138"/>
  <c r="G138"/>
  <c r="A139"/>
  <c r="B139"/>
  <c r="C139"/>
  <c r="D139"/>
  <c r="E139"/>
  <c r="F139"/>
  <c r="G139"/>
  <c r="A140"/>
  <c r="B140"/>
  <c r="C140"/>
  <c r="D140"/>
  <c r="E140"/>
  <c r="F140"/>
  <c r="G140"/>
  <c r="A141"/>
  <c r="B141"/>
  <c r="C141"/>
  <c r="D141"/>
  <c r="E141"/>
  <c r="F141"/>
  <c r="G141"/>
  <c r="A142"/>
  <c r="B142"/>
  <c r="C142"/>
  <c r="D142"/>
  <c r="E142"/>
  <c r="F142"/>
  <c r="G142"/>
  <c r="A143"/>
  <c r="B143"/>
  <c r="C143"/>
  <c r="D143"/>
  <c r="E143"/>
  <c r="F143"/>
  <c r="G143"/>
  <c r="A144"/>
  <c r="B144"/>
  <c r="C144"/>
  <c r="D144"/>
  <c r="E144"/>
  <c r="F144"/>
  <c r="G144"/>
  <c r="A145"/>
  <c r="B145"/>
  <c r="C145"/>
  <c r="D145"/>
  <c r="E145"/>
  <c r="F145"/>
  <c r="G145"/>
  <c r="A146"/>
  <c r="B146"/>
  <c r="C146"/>
  <c r="D146"/>
  <c r="E146"/>
  <c r="F146"/>
  <c r="G146"/>
  <c r="A147"/>
  <c r="B147"/>
  <c r="C147"/>
  <c r="D147"/>
  <c r="E147"/>
  <c r="F147"/>
  <c r="G147"/>
  <c r="A148"/>
  <c r="B148"/>
  <c r="C148"/>
  <c r="D148"/>
  <c r="E148"/>
  <c r="F148"/>
  <c r="G148"/>
  <c r="A149"/>
  <c r="B149"/>
  <c r="C149"/>
  <c r="D149"/>
  <c r="E149"/>
  <c r="F149"/>
  <c r="G149"/>
  <c r="A150"/>
  <c r="B150"/>
  <c r="C150"/>
  <c r="D150"/>
  <c r="E150"/>
  <c r="F150"/>
  <c r="G150"/>
  <c r="A151"/>
  <c r="B151"/>
  <c r="C151"/>
  <c r="D151"/>
  <c r="E151"/>
  <c r="F151"/>
  <c r="G151"/>
  <c r="A152"/>
  <c r="B152"/>
  <c r="C152"/>
  <c r="E152"/>
  <c r="F152"/>
  <c r="G152"/>
  <c r="A153"/>
  <c r="B153"/>
  <c r="C153"/>
  <c r="E153"/>
  <c r="F153"/>
  <c r="G153"/>
  <c r="A154"/>
  <c r="B154"/>
  <c r="C154"/>
  <c r="D154"/>
  <c r="E154"/>
  <c r="F154"/>
  <c r="G154"/>
  <c r="A155"/>
  <c r="B155"/>
  <c r="C155"/>
  <c r="D155"/>
  <c r="E155"/>
  <c r="F155"/>
  <c r="G155"/>
  <c r="A156"/>
  <c r="B156"/>
  <c r="C156"/>
  <c r="D156"/>
  <c r="E156"/>
  <c r="F156"/>
  <c r="G156"/>
  <c r="A157"/>
  <c r="B157"/>
  <c r="C157"/>
  <c r="D157"/>
  <c r="E157"/>
  <c r="F157"/>
  <c r="G157"/>
  <c r="A158"/>
  <c r="B158"/>
  <c r="C158"/>
  <c r="D158"/>
  <c r="E158"/>
  <c r="F158"/>
  <c r="G158"/>
  <c r="A159"/>
  <c r="B159"/>
  <c r="C159"/>
  <c r="D159"/>
  <c r="E159"/>
  <c r="F159"/>
  <c r="G159"/>
  <c r="A160"/>
  <c r="B160"/>
  <c r="C160"/>
  <c r="D160"/>
  <c r="E160"/>
  <c r="F160"/>
  <c r="G160"/>
  <c r="A161"/>
  <c r="B161"/>
  <c r="C161"/>
  <c r="D161"/>
  <c r="E161"/>
  <c r="F161"/>
  <c r="G161"/>
  <c r="A162"/>
  <c r="B162"/>
  <c r="C162"/>
  <c r="D162"/>
  <c r="E162"/>
  <c r="F162"/>
  <c r="G162"/>
  <c r="A163"/>
  <c r="B163"/>
  <c r="C163"/>
  <c r="D163"/>
  <c r="E163"/>
  <c r="F163"/>
  <c r="G163"/>
  <c r="A164"/>
  <c r="B164"/>
  <c r="C164"/>
  <c r="D164"/>
  <c r="E164"/>
  <c r="F164"/>
  <c r="G164"/>
  <c r="A165"/>
  <c r="B165"/>
  <c r="C165"/>
  <c r="D165"/>
  <c r="E165"/>
  <c r="F165"/>
  <c r="G165"/>
  <c r="A166"/>
  <c r="B166"/>
  <c r="C166"/>
  <c r="D166"/>
  <c r="E166"/>
  <c r="F166"/>
  <c r="G166"/>
  <c r="A167"/>
  <c r="B167"/>
  <c r="C167"/>
  <c r="D167"/>
  <c r="E167"/>
  <c r="F167"/>
  <c r="G167"/>
  <c r="A168"/>
  <c r="B168"/>
  <c r="C168"/>
  <c r="D168"/>
  <c r="E168"/>
  <c r="F168"/>
  <c r="G168"/>
  <c r="A169"/>
  <c r="B169"/>
  <c r="C169"/>
  <c r="D169"/>
  <c r="E169"/>
  <c r="F169"/>
  <c r="G169"/>
  <c r="A170"/>
  <c r="B170"/>
  <c r="C170"/>
  <c r="D170"/>
  <c r="E170"/>
  <c r="F170"/>
  <c r="G170"/>
  <c r="A171"/>
  <c r="B171"/>
  <c r="C171"/>
  <c r="D171"/>
  <c r="E171"/>
  <c r="F171"/>
  <c r="G171"/>
  <c r="A172"/>
  <c r="B172"/>
  <c r="C172"/>
  <c r="D172"/>
  <c r="E172"/>
  <c r="F172"/>
  <c r="G172"/>
  <c r="A173"/>
  <c r="B173"/>
  <c r="C173"/>
  <c r="D173"/>
  <c r="E173"/>
  <c r="F173"/>
  <c r="G173"/>
  <c r="A174"/>
  <c r="B174"/>
  <c r="C174"/>
  <c r="D174"/>
  <c r="E174"/>
  <c r="F174"/>
  <c r="G174"/>
  <c r="A175"/>
  <c r="B175"/>
  <c r="C175"/>
  <c r="D175"/>
  <c r="E175"/>
  <c r="F175"/>
  <c r="G175"/>
  <c r="A176"/>
  <c r="B176"/>
  <c r="C176"/>
  <c r="D176"/>
  <c r="E176"/>
  <c r="F176"/>
  <c r="G176"/>
  <c r="A177"/>
  <c r="B177"/>
  <c r="C177"/>
  <c r="D177"/>
  <c r="E177"/>
  <c r="F177"/>
  <c r="G177"/>
  <c r="A178"/>
  <c r="B178"/>
  <c r="C178"/>
  <c r="D178"/>
  <c r="E178"/>
  <c r="F178"/>
  <c r="G178"/>
  <c r="A179"/>
  <c r="B179"/>
  <c r="C179"/>
  <c r="D179"/>
  <c r="E179"/>
  <c r="F179"/>
  <c r="G179"/>
  <c r="A180"/>
  <c r="B180"/>
  <c r="C180"/>
  <c r="D180"/>
  <c r="E180"/>
  <c r="F180"/>
  <c r="G180"/>
  <c r="G2" l="1"/>
  <c r="F2" l="1"/>
  <c r="E2"/>
  <c r="D2"/>
  <c r="C2"/>
  <c r="B2"/>
  <c r="A2"/>
</calcChain>
</file>

<file path=xl/sharedStrings.xml><?xml version="1.0" encoding="utf-8"?>
<sst xmlns="http://schemas.openxmlformats.org/spreadsheetml/2006/main" count="585" uniqueCount="452">
  <si>
    <t>id</t>
  </si>
  <si>
    <t>职业(profession)</t>
  </si>
  <si>
    <t>等级(level）</t>
  </si>
  <si>
    <t>名字(name)</t>
  </si>
  <si>
    <t>技能(skills)</t>
  </si>
  <si>
    <t>力量(strenght)</t>
  </si>
  <si>
    <t>敏捷(agility)</t>
  </si>
  <si>
    <t>智力(intellect)</t>
  </si>
  <si>
    <t>耐力(stamina)</t>
  </si>
  <si>
    <t>生命值(hp)</t>
  </si>
  <si>
    <t>魔法值(mp)</t>
  </si>
  <si>
    <t>最小伤害(minDmg)</t>
  </si>
  <si>
    <t>最大伤害(maxDmg)</t>
  </si>
  <si>
    <t>护甲(armor)</t>
  </si>
  <si>
    <t>物抗(phyDef)</t>
  </si>
  <si>
    <t>魔抗(magDef)</t>
  </si>
  <si>
    <t>暴击(critical)</t>
  </si>
  <si>
    <t>命中(hit)</t>
  </si>
  <si>
    <t>闪避(dodge)</t>
  </si>
  <si>
    <t>韧性(resilience)</t>
  </si>
  <si>
    <t>野猪</t>
  </si>
  <si>
    <t>狼</t>
  </si>
  <si>
    <t>迪菲亚盗贼</t>
  </si>
  <si>
    <t>怪物头像路径</t>
    <phoneticPr fontId="1" type="noConversion"/>
  </si>
  <si>
    <t>怪物类型</t>
    <phoneticPr fontId="1" type="noConversion"/>
  </si>
  <si>
    <t>No</t>
    <phoneticPr fontId="1" type="noConversion"/>
  </si>
  <si>
    <t>怪物头像ID</t>
    <phoneticPr fontId="1" type="noConversion"/>
  </si>
  <si>
    <t>逃跑回合数</t>
    <phoneticPr fontId="1" type="noConversion"/>
  </si>
  <si>
    <t>runRound</t>
    <phoneticPr fontId="1" type="noConversion"/>
  </si>
  <si>
    <t>data</t>
    <phoneticPr fontId="1" type="noConversion"/>
  </si>
  <si>
    <t xml:space="preserve"> </t>
    <phoneticPr fontId="1" type="noConversion"/>
  </si>
  <si>
    <t>回合回魔</t>
    <phoneticPr fontId="1" type="noConversion"/>
  </si>
  <si>
    <t>怪物头像路径</t>
    <phoneticPr fontId="1" type="noConversion"/>
  </si>
  <si>
    <t>是否为Boss</t>
    <phoneticPr fontId="1" type="noConversion"/>
  </si>
  <si>
    <t>id</t>
    <phoneticPr fontId="1" type="noConversion"/>
  </si>
  <si>
    <t>profession</t>
    <phoneticPr fontId="1" type="noConversion"/>
  </si>
  <si>
    <t>level</t>
    <phoneticPr fontId="1" type="noConversion"/>
  </si>
  <si>
    <t>name</t>
    <phoneticPr fontId="1" type="noConversion"/>
  </si>
  <si>
    <t>skills</t>
    <phoneticPr fontId="1" type="noConversion"/>
  </si>
  <si>
    <t>strenght</t>
    <phoneticPr fontId="1" type="noConversion"/>
  </si>
  <si>
    <t>agility</t>
    <phoneticPr fontId="1" type="noConversion"/>
  </si>
  <si>
    <t>intellect</t>
    <phoneticPr fontId="1" type="noConversion"/>
  </si>
  <si>
    <t>stamina</t>
    <phoneticPr fontId="1" type="noConversion"/>
  </si>
  <si>
    <t>hp</t>
    <phoneticPr fontId="1" type="noConversion"/>
  </si>
  <si>
    <t>mp</t>
    <phoneticPr fontId="1" type="noConversion"/>
  </si>
  <si>
    <t>minDmg</t>
    <phoneticPr fontId="1" type="noConversion"/>
  </si>
  <si>
    <t>maxDmg</t>
    <phoneticPr fontId="1" type="noConversion"/>
  </si>
  <si>
    <t>armor</t>
    <phoneticPr fontId="1" type="noConversion"/>
  </si>
  <si>
    <t>phyDef</t>
    <phoneticPr fontId="1" type="noConversion"/>
  </si>
  <si>
    <t>magDef</t>
    <phoneticPr fontId="1" type="noConversion"/>
  </si>
  <si>
    <t>critical</t>
    <phoneticPr fontId="1" type="noConversion"/>
  </si>
  <si>
    <t>hit</t>
    <phoneticPr fontId="1" type="noConversion"/>
  </si>
  <si>
    <t>dodge</t>
    <phoneticPr fontId="1" type="noConversion"/>
  </si>
  <si>
    <t>resilience</t>
    <phoneticPr fontId="1" type="noConversion"/>
  </si>
  <si>
    <t>recoverMp</t>
    <phoneticPr fontId="1" type="noConversion"/>
  </si>
  <si>
    <t>怒焰猎犬</t>
    <phoneticPr fontId="1" type="noConversion"/>
  </si>
  <si>
    <t>熔岩元素</t>
    <phoneticPr fontId="1" type="noConversion"/>
  </si>
  <si>
    <t>燃刃信徒</t>
    <phoneticPr fontId="1" type="noConversion"/>
  </si>
  <si>
    <t>骷髅矿工</t>
    <phoneticPr fontId="1" type="noConversion"/>
  </si>
  <si>
    <t>迪菲亚监工</t>
    <phoneticPr fontId="1" type="noConversion"/>
  </si>
  <si>
    <t>迪菲亚法师</t>
    <phoneticPr fontId="1" type="noConversion"/>
  </si>
  <si>
    <t>迪菲亚海盗</t>
    <phoneticPr fontId="1" type="noConversion"/>
  </si>
  <si>
    <t>变异破坏者</t>
    <phoneticPr fontId="1" type="noConversion"/>
  </si>
  <si>
    <t>大型软浆怪</t>
    <phoneticPr fontId="1" type="noConversion"/>
  </si>
  <si>
    <t>剧毒飞蛇</t>
    <phoneticPr fontId="1" type="noConversion"/>
  </si>
  <si>
    <t>尖牙德鲁伊</t>
    <phoneticPr fontId="1" type="noConversion"/>
  </si>
  <si>
    <t>狼之鬼灵</t>
    <phoneticPr fontId="1" type="noConversion"/>
  </si>
  <si>
    <t>怨骨掠夺者</t>
    <phoneticPr fontId="1" type="noConversion"/>
  </si>
  <si>
    <t>狂躁恶鬼</t>
    <phoneticPr fontId="1" type="noConversion"/>
  </si>
  <si>
    <t>鬼怪仆从</t>
    <phoneticPr fontId="1" type="noConversion"/>
  </si>
  <si>
    <t>腐根萨特</t>
    <phoneticPr fontId="1" type="noConversion"/>
  </si>
  <si>
    <t>盲光鱼人</t>
    <phoneticPr fontId="1" type="noConversion"/>
  </si>
  <si>
    <t>暮光劫掠者</t>
    <phoneticPr fontId="1" type="noConversion"/>
  </si>
  <si>
    <t>残忍的暴徒</t>
    <phoneticPr fontId="1" type="noConversion"/>
  </si>
  <si>
    <t>狡猾的盗贼</t>
    <phoneticPr fontId="1" type="noConversion"/>
  </si>
  <si>
    <t>河爪掠夺者</t>
    <phoneticPr fontId="1" type="noConversion"/>
  </si>
  <si>
    <t>狂怒炉渣</t>
    <phoneticPr fontId="1" type="noConversion"/>
  </si>
  <si>
    <t>麻风助手</t>
    <phoneticPr fontId="1" type="noConversion"/>
  </si>
  <si>
    <t>辐射水元素</t>
    <phoneticPr fontId="1" type="noConversion"/>
  </si>
  <si>
    <t>麻风机械师</t>
    <phoneticPr fontId="1" type="noConversion"/>
  </si>
  <si>
    <t>步行坦克</t>
    <phoneticPr fontId="1" type="noConversion"/>
  </si>
  <si>
    <t>沼泽蝙蝠</t>
    <phoneticPr fontId="1" type="noConversion"/>
  </si>
  <si>
    <t>野猪人勇士</t>
    <phoneticPr fontId="1" type="noConversion"/>
  </si>
  <si>
    <t>血色哨兵</t>
    <phoneticPr fontId="1" type="noConversion"/>
  </si>
  <si>
    <t>十字军战士</t>
    <phoneticPr fontId="1" type="noConversion"/>
  </si>
  <si>
    <t>血色修士</t>
    <phoneticPr fontId="1" type="noConversion"/>
  </si>
  <si>
    <t>血色百夫长</t>
    <phoneticPr fontId="1" type="noConversion"/>
  </si>
  <si>
    <t>碎骨战士</t>
    <phoneticPr fontId="1" type="noConversion"/>
  </si>
  <si>
    <t>碎骨骷髅</t>
    <phoneticPr fontId="1" type="noConversion"/>
  </si>
  <si>
    <t>亡首地卜师</t>
    <phoneticPr fontId="1" type="noConversion"/>
  </si>
  <si>
    <t>骷髅召唤者</t>
    <phoneticPr fontId="1" type="noConversion"/>
  </si>
  <si>
    <t>深岩虫</t>
  </si>
  <si>
    <t>腐烂萨特</t>
    <phoneticPr fontId="1" type="noConversion"/>
  </si>
  <si>
    <t>石窟潜伏者</t>
  </si>
  <si>
    <t>土灵碎岩者</t>
  </si>
  <si>
    <t>石头看守者</t>
  </si>
  <si>
    <t>宝库守卫者</t>
  </si>
  <si>
    <t>荒野小鬼</t>
    <phoneticPr fontId="1" type="noConversion"/>
  </si>
  <si>
    <t>戈多克蛮兵</t>
    <phoneticPr fontId="1" type="noConversion"/>
  </si>
  <si>
    <t>扭木守护者</t>
    <phoneticPr fontId="1" type="noConversion"/>
  </si>
  <si>
    <t>沙怒刽子手</t>
    <phoneticPr fontId="1" type="noConversion"/>
  </si>
  <si>
    <t>沙怒巫医</t>
    <phoneticPr fontId="1" type="noConversion"/>
  </si>
  <si>
    <t>复生的尸体</t>
    <phoneticPr fontId="1" type="noConversion"/>
  </si>
  <si>
    <t>黑暗召唤师</t>
    <phoneticPr fontId="1" type="noConversion"/>
  </si>
  <si>
    <t>无脑的骷髅</t>
    <phoneticPr fontId="1" type="noConversion"/>
  </si>
  <si>
    <t>鲜肉食尸鬼</t>
    <phoneticPr fontId="1" type="noConversion"/>
  </si>
  <si>
    <t>哀嚎的女妖</t>
    <phoneticPr fontId="1" type="noConversion"/>
  </si>
  <si>
    <t>石翼石像鬼</t>
    <phoneticPr fontId="1" type="noConversion"/>
  </si>
  <si>
    <t>噩梦雏龙</t>
    <phoneticPr fontId="1" type="noConversion"/>
  </si>
  <si>
    <t>噩梦龙族</t>
    <phoneticPr fontId="1" type="noConversion"/>
  </si>
  <si>
    <t>铁怒卫士</t>
    <phoneticPr fontId="1" type="noConversion"/>
  </si>
  <si>
    <t>黑暗卫兵</t>
    <phoneticPr fontId="1" type="noConversion"/>
  </si>
  <si>
    <t>战斗傀儡</t>
    <phoneticPr fontId="1" type="noConversion"/>
  </si>
  <si>
    <t>黑手精英</t>
    <phoneticPr fontId="1" type="noConversion"/>
  </si>
  <si>
    <t>黑手老兵</t>
    <phoneticPr fontId="1" type="noConversion"/>
  </si>
  <si>
    <t>血斧好战者</t>
    <phoneticPr fontId="1" type="noConversion"/>
  </si>
  <si>
    <t>狂爪龙人</t>
    <phoneticPr fontId="1" type="noConversion"/>
  </si>
  <si>
    <t>地狱火斥候</t>
    <phoneticPr fontId="1" type="noConversion"/>
  </si>
  <si>
    <t>残忍的军犬</t>
    <phoneticPr fontId="1" type="noConversion"/>
  </si>
  <si>
    <t>噬骨撕裂者</t>
    <phoneticPr fontId="1" type="noConversion"/>
  </si>
  <si>
    <t>噬骨毁灭者</t>
    <phoneticPr fontId="1" type="noConversion"/>
  </si>
  <si>
    <t>邪兽人新兵</t>
    <phoneticPr fontId="1" type="noConversion"/>
  </si>
  <si>
    <t>地狱火小鬼</t>
    <phoneticPr fontId="1" type="noConversion"/>
  </si>
  <si>
    <t>影月术士</t>
    <phoneticPr fontId="1" type="noConversion"/>
  </si>
  <si>
    <t>盘牙监工</t>
    <phoneticPr fontId="1" type="noConversion"/>
  </si>
  <si>
    <t>盘牙勇士</t>
    <phoneticPr fontId="1" type="noConversion"/>
  </si>
  <si>
    <t>盘牙观察者</t>
    <phoneticPr fontId="1" type="noConversion"/>
  </si>
  <si>
    <t>盘牙预言者</t>
    <phoneticPr fontId="1" type="noConversion"/>
  </si>
  <si>
    <t>暗血矛兵</t>
    <phoneticPr fontId="1" type="noConversion"/>
  </si>
  <si>
    <t>怒麟战士</t>
    <phoneticPr fontId="1" type="noConversion"/>
  </si>
  <si>
    <t>孢子漫游者</t>
    <phoneticPr fontId="1" type="noConversion"/>
  </si>
  <si>
    <t>沼泥巨人</t>
    <phoneticPr fontId="1" type="noConversion"/>
  </si>
  <si>
    <t>法力蛭</t>
    <phoneticPr fontId="1" type="noConversion"/>
  </si>
  <si>
    <t>奥术魔</t>
    <phoneticPr fontId="1" type="noConversion"/>
  </si>
  <si>
    <t>虚灵缚法者</t>
    <phoneticPr fontId="1" type="noConversion"/>
  </si>
  <si>
    <t>虚灵巫师</t>
    <phoneticPr fontId="1" type="noConversion"/>
  </si>
  <si>
    <t>复生的白骨</t>
    <phoneticPr fontId="1" type="noConversion"/>
  </si>
  <si>
    <t>暴怒的灵魂</t>
    <phoneticPr fontId="1" type="noConversion"/>
  </si>
  <si>
    <t>奥金尼守备官</t>
    <phoneticPr fontId="1" type="noConversion"/>
  </si>
  <si>
    <t>时空猎手</t>
    <phoneticPr fontId="1" type="noConversion"/>
  </si>
  <si>
    <t>安苏的子嗣</t>
    <phoneticPr fontId="1" type="noConversion"/>
  </si>
  <si>
    <t>塞泰克新兵</t>
    <phoneticPr fontId="1" type="noConversion"/>
  </si>
  <si>
    <t>盘牙战士</t>
    <phoneticPr fontId="1" type="noConversion"/>
  </si>
  <si>
    <t>残冠奴隶</t>
    <phoneticPr fontId="1" type="noConversion"/>
  </si>
  <si>
    <t>盘牙奴隶主</t>
    <phoneticPr fontId="1" type="noConversion"/>
  </si>
  <si>
    <t>潮汐涌动者</t>
    <phoneticPr fontId="1" type="noConversion"/>
  </si>
  <si>
    <t>虚空旅者</t>
    <phoneticPr fontId="1" type="noConversion"/>
  </si>
  <si>
    <t>密教信徒</t>
    <phoneticPr fontId="1" type="noConversion"/>
  </si>
  <si>
    <t>密教誓死者</t>
    <phoneticPr fontId="1" type="noConversion"/>
  </si>
  <si>
    <t>碎手血卫士</t>
    <phoneticPr fontId="1" type="noConversion"/>
  </si>
  <si>
    <t>碎手勇士</t>
    <phoneticPr fontId="1" type="noConversion"/>
  </si>
  <si>
    <t>影月寺僧</t>
    <phoneticPr fontId="1" type="noConversion"/>
  </si>
  <si>
    <t>碎手百夫长</t>
    <phoneticPr fontId="1" type="noConversion"/>
  </si>
  <si>
    <t>虚空怨灵</t>
    <phoneticPr fontId="1" type="noConversion"/>
  </si>
  <si>
    <t>寻日研究员</t>
    <phoneticPr fontId="1" type="noConversion"/>
  </si>
  <si>
    <t>大型魔花</t>
    <phoneticPr fontId="1" type="noConversion"/>
  </si>
  <si>
    <t>暗水鳄鱼</t>
    <phoneticPr fontId="1" type="noConversion"/>
  </si>
  <si>
    <t>永恒刺客</t>
    <phoneticPr fontId="1" type="noConversion"/>
  </si>
  <si>
    <t>裂隙守卫者</t>
    <phoneticPr fontId="1" type="noConversion"/>
  </si>
  <si>
    <t>多变恐魔</t>
    <phoneticPr fontId="1" type="noConversion"/>
  </si>
  <si>
    <t>相位捕猎者</t>
    <phoneticPr fontId="1" type="noConversion"/>
  </si>
  <si>
    <t>亮鳞浮龙</t>
    <phoneticPr fontId="1" type="noConversion"/>
  </si>
  <si>
    <t>炎刃守护者</t>
    <phoneticPr fontId="1" type="noConversion"/>
  </si>
  <si>
    <t>炎刃血骑士</t>
    <phoneticPr fontId="1" type="noConversion"/>
  </si>
  <si>
    <t>炎刃魔导师</t>
    <phoneticPr fontId="1" type="noConversion"/>
  </si>
  <si>
    <t>塔斯汀格</t>
  </si>
  <si>
    <t>范克里夫</t>
  </si>
  <si>
    <t>阿库迈尔</t>
    <phoneticPr fontId="1" type="noConversion"/>
  </si>
  <si>
    <t>霍格</t>
    <phoneticPr fontId="1" type="noConversion"/>
  </si>
  <si>
    <t>阿扎达斯</t>
    <phoneticPr fontId="1" type="noConversion"/>
  </si>
  <si>
    <t>戈多克大王</t>
    <phoneticPr fontId="1" type="noConversion"/>
  </si>
  <si>
    <t>安图苏尔</t>
    <phoneticPr fontId="1" type="noConversion"/>
  </si>
  <si>
    <t>索瑞森大帝</t>
    <phoneticPr fontId="1" type="noConversion"/>
  </si>
  <si>
    <t>夸格米拉</t>
    <phoneticPr fontId="1" type="noConversion"/>
  </si>
  <si>
    <t>黑色阔步者</t>
    <phoneticPr fontId="1" type="noConversion"/>
  </si>
  <si>
    <t>摩摩尔</t>
    <phoneticPr fontId="1" type="noConversion"/>
  </si>
  <si>
    <t>埃欧努斯</t>
    <phoneticPr fontId="1" type="noConversion"/>
  </si>
  <si>
    <t>凯尔萨斯</t>
    <phoneticPr fontId="1" type="noConversion"/>
  </si>
  <si>
    <t>monster/10002.png</t>
  </si>
  <si>
    <t>monster/10003.png</t>
  </si>
  <si>
    <t>monster/10004.png</t>
  </si>
  <si>
    <t>monster/10005.png</t>
  </si>
  <si>
    <t>monster/10006.png</t>
  </si>
  <si>
    <t>monster/10007.png</t>
  </si>
  <si>
    <t>monster/10008.png</t>
  </si>
  <si>
    <t>monster/10009.png</t>
  </si>
  <si>
    <t>monster/10010.png</t>
  </si>
  <si>
    <t>monster/10011.png</t>
  </si>
  <si>
    <t>monster/10012.png</t>
  </si>
  <si>
    <t>monster/10013.png</t>
  </si>
  <si>
    <t>monster/10014.png</t>
  </si>
  <si>
    <t>monster/10015.png</t>
  </si>
  <si>
    <t>monster/10016.png</t>
  </si>
  <si>
    <t>monster/10017.png</t>
  </si>
  <si>
    <t>monster/10018.png</t>
  </si>
  <si>
    <t>monster/10019.png</t>
  </si>
  <si>
    <t>monster/10020.png</t>
  </si>
  <si>
    <t>monster/10021.png</t>
  </si>
  <si>
    <t>monster/10022.png</t>
  </si>
  <si>
    <t>monster/10023.png</t>
  </si>
  <si>
    <t>monster/10024.png</t>
  </si>
  <si>
    <t>monster/10025.png</t>
  </si>
  <si>
    <t>monster/10026.png</t>
  </si>
  <si>
    <t>monster/10027.png</t>
  </si>
  <si>
    <t>monster/10028.png</t>
  </si>
  <si>
    <t>monster/10029.png</t>
  </si>
  <si>
    <t>monster/10030.png</t>
  </si>
  <si>
    <t>monster/10031.png</t>
  </si>
  <si>
    <t>monster/10032.png</t>
  </si>
  <si>
    <t>monster/10033.png</t>
  </si>
  <si>
    <t>monster/10034.png</t>
  </si>
  <si>
    <t>monster/10035.png</t>
  </si>
  <si>
    <t>monster/10036.png</t>
  </si>
  <si>
    <t>monster/10037.png</t>
  </si>
  <si>
    <t>monster/10038.png</t>
  </si>
  <si>
    <t>monster/10039.png</t>
  </si>
  <si>
    <t>monster/10040.png</t>
  </si>
  <si>
    <t>monster/10041.png</t>
  </si>
  <si>
    <t>monster/10042.png</t>
  </si>
  <si>
    <t>monster/10043.png</t>
  </si>
  <si>
    <t>monster/10044.png</t>
  </si>
  <si>
    <t>monster/10045.png</t>
  </si>
  <si>
    <t>monster/10046.png</t>
  </si>
  <si>
    <t>monster/10047.png</t>
  </si>
  <si>
    <t>monster/10048.png</t>
  </si>
  <si>
    <t>monster/10049.png</t>
  </si>
  <si>
    <t>monster/10050.png</t>
  </si>
  <si>
    <t>monster/10051.png</t>
  </si>
  <si>
    <t>monster/10052.png</t>
  </si>
  <si>
    <t>monster/10053.png</t>
  </si>
  <si>
    <t>monster/10054.png</t>
  </si>
  <si>
    <t>monster/10055.png</t>
  </si>
  <si>
    <t>monster/10056.png</t>
  </si>
  <si>
    <t>monster/10057.png</t>
  </si>
  <si>
    <t>monster/10058.png</t>
  </si>
  <si>
    <t>monster/10059.png</t>
  </si>
  <si>
    <t>monster/10060.png</t>
  </si>
  <si>
    <t>monster/10061.png</t>
  </si>
  <si>
    <t>monster/10062.png</t>
  </si>
  <si>
    <t>monster/10063.png</t>
  </si>
  <si>
    <t>monster/10064.png</t>
  </si>
  <si>
    <t>monster/10065.png</t>
  </si>
  <si>
    <t>monster/10066.png</t>
  </si>
  <si>
    <t>monster/10067.png</t>
  </si>
  <si>
    <t>monster/10068.png</t>
  </si>
  <si>
    <t>monster/10069.png</t>
  </si>
  <si>
    <t>monster/10070.png</t>
  </si>
  <si>
    <t>monster/10071.png</t>
  </si>
  <si>
    <t>monster/10072.png</t>
  </si>
  <si>
    <t>monster/10073.png</t>
  </si>
  <si>
    <t>monster/10074.png</t>
  </si>
  <si>
    <t>monster/10075.png</t>
  </si>
  <si>
    <t>monster/10076.png</t>
  </si>
  <si>
    <t>monster/10077.png</t>
  </si>
  <si>
    <t>monster/10078.png</t>
  </si>
  <si>
    <t>monster/10079.png</t>
  </si>
  <si>
    <t>monster/10080.png</t>
  </si>
  <si>
    <t>monster/10081.png</t>
  </si>
  <si>
    <t>monster/10082.png</t>
  </si>
  <si>
    <t>monster/10083.png</t>
  </si>
  <si>
    <t>monster/10084.png</t>
  </si>
  <si>
    <t>monster/10085.png</t>
  </si>
  <si>
    <t>monster/10086.png</t>
  </si>
  <si>
    <t>monster/10087.png</t>
  </si>
  <si>
    <t>monster/10088.png</t>
  </si>
  <si>
    <t>monster/10089.png</t>
  </si>
  <si>
    <t>monster/10090.png</t>
  </si>
  <si>
    <t>monster/10091.png</t>
  </si>
  <si>
    <t>monster/10092.png</t>
  </si>
  <si>
    <t>monster/10093.png</t>
  </si>
  <si>
    <t>monster/10094.png</t>
  </si>
  <si>
    <t>monster/10095.png</t>
  </si>
  <si>
    <t>monster/10096.png</t>
  </si>
  <si>
    <t>monster/10097.png</t>
  </si>
  <si>
    <t>monster/10098.png</t>
  </si>
  <si>
    <t>monster/10099.png</t>
  </si>
  <si>
    <t>monster/10100.png</t>
  </si>
  <si>
    <t>monster/10101.png</t>
  </si>
  <si>
    <t>monster/10102.png</t>
  </si>
  <si>
    <t>monster/10103.png</t>
  </si>
  <si>
    <t>monster/10104.png</t>
  </si>
  <si>
    <t>monster/10105.png</t>
  </si>
  <si>
    <t>monster/10106.png</t>
  </si>
  <si>
    <t>monster/10107.png</t>
  </si>
  <si>
    <t>monster/10108.png</t>
  </si>
  <si>
    <t>monster/10109.png</t>
  </si>
  <si>
    <t>monster/10110.png</t>
  </si>
  <si>
    <t>monster/10111.png</t>
  </si>
  <si>
    <t>No</t>
    <phoneticPr fontId="1" type="noConversion"/>
  </si>
  <si>
    <t>掉落经验</t>
    <phoneticPr fontId="1" type="noConversion"/>
  </si>
  <si>
    <t>掉落金币</t>
    <phoneticPr fontId="1" type="noConversion"/>
  </si>
  <si>
    <t>dropCoin</t>
    <phoneticPr fontId="1" type="noConversion"/>
  </si>
  <si>
    <t>dropExp</t>
    <phoneticPr fontId="1" type="noConversion"/>
  </si>
  <si>
    <t>维斯路登</t>
    <phoneticPr fontId="1" type="noConversion"/>
  </si>
  <si>
    <t>扭曲分裂者</t>
    <phoneticPr fontId="1" type="noConversion"/>
  </si>
  <si>
    <t>永恒龙人</t>
    <phoneticPr fontId="1" type="noConversion"/>
  </si>
  <si>
    <t>monster/10108.png</t>
    <phoneticPr fontId="1" type="noConversion"/>
  </si>
  <si>
    <t>monster/10036.png</t>
    <phoneticPr fontId="1" type="noConversion"/>
  </si>
  <si>
    <t>monster/10033.png</t>
    <phoneticPr fontId="1" type="noConversion"/>
  </si>
  <si>
    <t>monster/10104.png</t>
    <phoneticPr fontId="1" type="noConversion"/>
  </si>
  <si>
    <t>monster/10110.png</t>
    <phoneticPr fontId="1" type="noConversion"/>
  </si>
  <si>
    <t>monster/10001.png</t>
    <phoneticPr fontId="1" type="noConversion"/>
  </si>
  <si>
    <t>monster/10003.png</t>
    <phoneticPr fontId="1" type="noConversion"/>
  </si>
  <si>
    <t>monster/10011.png</t>
    <phoneticPr fontId="1" type="noConversion"/>
  </si>
  <si>
    <t>monster/10013.png</t>
    <phoneticPr fontId="1" type="noConversion"/>
  </si>
  <si>
    <t>monster/10015.png</t>
    <phoneticPr fontId="1" type="noConversion"/>
  </si>
  <si>
    <t>monster/10027.png</t>
    <phoneticPr fontId="1" type="noConversion"/>
  </si>
  <si>
    <t>monster/10029.png</t>
    <phoneticPr fontId="1" type="noConversion"/>
  </si>
  <si>
    <t>monster/10031.png</t>
    <phoneticPr fontId="1" type="noConversion"/>
  </si>
  <si>
    <t>monster/10003.png</t>
    <phoneticPr fontId="1" type="noConversion"/>
  </si>
  <si>
    <t>monster/10012.png</t>
    <phoneticPr fontId="1" type="noConversion"/>
  </si>
  <si>
    <t>monster/10012.png</t>
    <phoneticPr fontId="1" type="noConversion"/>
  </si>
  <si>
    <t>monster/10029.png</t>
    <phoneticPr fontId="1" type="noConversion"/>
  </si>
  <si>
    <t>UI/Program/HeroWarrior_Man_1.png</t>
    <phoneticPr fontId="1" type="noConversion"/>
  </si>
  <si>
    <t>UI/Program/HeroHunter_Man_1.png</t>
    <phoneticPr fontId="1" type="noConversion"/>
  </si>
  <si>
    <t>UI/Program/HeroMaster_Man_1.png</t>
    <phoneticPr fontId="1" type="noConversion"/>
  </si>
  <si>
    <t>UI/Program/HeroWarrior_Woman_1.png</t>
    <phoneticPr fontId="1" type="noConversion"/>
  </si>
  <si>
    <t>UI/Program/HeroMaster_Woman_1.png</t>
    <phoneticPr fontId="1" type="noConversion"/>
  </si>
  <si>
    <t>法拉克僵尸</t>
    <phoneticPr fontId="1" type="noConversion"/>
  </si>
  <si>
    <t>风投雇员</t>
    <phoneticPr fontId="1" type="noConversion"/>
  </si>
  <si>
    <t>深渊海巫</t>
    <phoneticPr fontId="1" type="noConversion"/>
  </si>
  <si>
    <t>沼泽卫兵</t>
    <phoneticPr fontId="1" type="noConversion"/>
  </si>
  <si>
    <t>沼泽地卜师</t>
    <phoneticPr fontId="1" type="noConversion"/>
  </si>
  <si>
    <t>死亡行者</t>
    <phoneticPr fontId="1" type="noConversion"/>
  </si>
  <si>
    <t>监狱防卫者</t>
    <phoneticPr fontId="1" type="noConversion"/>
  </si>
  <si>
    <t>监狱看守员</t>
    <phoneticPr fontId="1" type="noConversion"/>
  </si>
  <si>
    <t>诅咒半人马</t>
    <phoneticPr fontId="1" type="noConversion"/>
  </si>
  <si>
    <t>石岩卫士</t>
    <phoneticPr fontId="1" type="noConversion"/>
  </si>
  <si>
    <t>诅咒巨魔</t>
    <phoneticPr fontId="1" type="noConversion"/>
  </si>
  <si>
    <t>暗影猎手</t>
    <phoneticPr fontId="1" type="noConversion"/>
  </si>
  <si>
    <t>精灵怨灵</t>
    <phoneticPr fontId="1" type="noConversion"/>
  </si>
  <si>
    <t>恐怖奴隶主</t>
    <phoneticPr fontId="1" type="noConversion"/>
  </si>
  <si>
    <t>学院学员</t>
    <phoneticPr fontId="1" type="noConversion"/>
  </si>
  <si>
    <t>学院寺僧</t>
    <phoneticPr fontId="1" type="noConversion"/>
  </si>
  <si>
    <t>恶魔卫士</t>
    <phoneticPr fontId="1" type="noConversion"/>
  </si>
  <si>
    <t>灵魂祭司</t>
    <phoneticPr fontId="1" type="noConversion"/>
  </si>
  <si>
    <t>鸦人预言者</t>
    <phoneticPr fontId="1" type="noConversion"/>
  </si>
  <si>
    <t>鸦人卫士</t>
    <phoneticPr fontId="1" type="noConversion"/>
  </si>
  <si>
    <t>密教祭司</t>
    <phoneticPr fontId="1" type="noConversion"/>
  </si>
  <si>
    <t>城堡看守</t>
    <phoneticPr fontId="1" type="noConversion"/>
  </si>
  <si>
    <t>城堡猎犬</t>
    <phoneticPr fontId="1" type="noConversion"/>
  </si>
  <si>
    <t>城堡哨兵</t>
    <phoneticPr fontId="1" type="noConversion"/>
  </si>
  <si>
    <t>寻日工程师</t>
    <phoneticPr fontId="1" type="noConversion"/>
  </si>
  <si>
    <t>血卫斩杀者</t>
    <phoneticPr fontId="1" type="noConversion"/>
  </si>
  <si>
    <t>血卫百夫长</t>
    <phoneticPr fontId="1" type="noConversion"/>
  </si>
  <si>
    <t>植物学家</t>
    <phoneticPr fontId="1" type="noConversion"/>
  </si>
  <si>
    <t>血肉鞭笞者</t>
    <phoneticPr fontId="1" type="noConversion"/>
  </si>
  <si>
    <t>时光术士</t>
    <phoneticPr fontId="1" type="noConversion"/>
  </si>
  <si>
    <t>饥饿者</t>
    <phoneticPr fontId="1" type="noConversion"/>
  </si>
  <si>
    <t>永生者</t>
    <phoneticPr fontId="1" type="noConversion"/>
  </si>
  <si>
    <t>阿鲁高</t>
    <phoneticPr fontId="1" type="noConversion"/>
  </si>
  <si>
    <t>瑟玛普拉格</t>
    <phoneticPr fontId="1" type="noConversion"/>
  </si>
  <si>
    <t>贾格巴</t>
    <phoneticPr fontId="1" type="noConversion"/>
  </si>
  <si>
    <t>麦特怀恩</t>
    <phoneticPr fontId="1" type="noConversion"/>
  </si>
  <si>
    <t>亚门纳尔</t>
    <phoneticPr fontId="1" type="noConversion"/>
  </si>
  <si>
    <t>伊兰尼库斯</t>
    <phoneticPr fontId="1" type="noConversion"/>
  </si>
  <si>
    <t>瑟莱德丝</t>
    <phoneticPr fontId="1" type="noConversion"/>
  </si>
  <si>
    <t>瑞文戴尔</t>
    <phoneticPr fontId="1" type="noConversion"/>
  </si>
  <si>
    <t>黑暗院长</t>
    <phoneticPr fontId="1" type="noConversion"/>
  </si>
  <si>
    <t>达基萨斯</t>
    <phoneticPr fontId="1" type="noConversion"/>
  </si>
  <si>
    <t>克里丹</t>
    <phoneticPr fontId="1" type="noConversion"/>
  </si>
  <si>
    <t>节点亲王</t>
    <phoneticPr fontId="1" type="noConversion"/>
  </si>
  <si>
    <t>玛拉达尔</t>
    <phoneticPr fontId="1" type="noConversion"/>
  </si>
  <si>
    <t>乌鸦之神</t>
    <phoneticPr fontId="1" type="noConversion"/>
  </si>
  <si>
    <t>卡利瑟里斯</t>
    <phoneticPr fontId="1" type="noConversion"/>
  </si>
  <si>
    <t>帕萨雷恩</t>
    <phoneticPr fontId="1" type="noConversion"/>
  </si>
  <si>
    <t>斯克瑞斯</t>
    <phoneticPr fontId="1" type="noConversion"/>
  </si>
  <si>
    <t>卡加斯刃拳</t>
    <phoneticPr fontId="1" type="noConversion"/>
  </si>
  <si>
    <t>子车鸿德</t>
  </si>
  <si>
    <t>阴博涉</t>
  </si>
  <si>
    <t>庚明达</t>
  </si>
  <si>
    <t>令狐旭彬</t>
  </si>
  <si>
    <t>辉安国</t>
  </si>
  <si>
    <t>狄昂雄</t>
  </si>
  <si>
    <t>訾阳曦</t>
  </si>
  <si>
    <t>漆国兴</t>
  </si>
  <si>
    <t>剑旭尧</t>
  </si>
  <si>
    <t>枚元青</t>
  </si>
  <si>
    <t>星元恺</t>
  </si>
  <si>
    <t>秋承宣</t>
  </si>
  <si>
    <t>濯俊逸</t>
  </si>
  <si>
    <t>安奇逸</t>
  </si>
  <si>
    <t>尹君浩</t>
  </si>
  <si>
    <t>刁弘懿</t>
  </si>
  <si>
    <t>锺离骏伟</t>
  </si>
  <si>
    <t>袭浦和</t>
  </si>
  <si>
    <t>能高格</t>
  </si>
  <si>
    <t>阚信然</t>
  </si>
  <si>
    <t>太史开霁</t>
  </si>
  <si>
    <t>贲俊悟</t>
  </si>
  <si>
    <t>买文柏</t>
  </si>
  <si>
    <t>裘弘伟</t>
  </si>
  <si>
    <t>江晋鹏</t>
  </si>
  <si>
    <t>左丘建木</t>
  </si>
  <si>
    <t>司寇德华</t>
  </si>
  <si>
    <t>晁兴国</t>
  </si>
  <si>
    <t>柴永贞</t>
  </si>
  <si>
    <t>茂永昌</t>
  </si>
  <si>
    <t>郎英朗</t>
  </si>
  <si>
    <t>苦嘉石</t>
  </si>
  <si>
    <t>素志文</t>
  </si>
  <si>
    <t>奚运盛</t>
  </si>
  <si>
    <t>玄庆生</t>
  </si>
  <si>
    <t>愈德本</t>
  </si>
  <si>
    <t>春天翰</t>
  </si>
  <si>
    <t>巨长平</t>
  </si>
  <si>
    <t>颜欣悦</t>
  </si>
  <si>
    <t>荀文星</t>
  </si>
  <si>
    <t>巴鸿文</t>
  </si>
  <si>
    <t>洛安宜</t>
  </si>
  <si>
    <t>翟腾逸</t>
  </si>
  <si>
    <t>谷梁彦昌</t>
  </si>
  <si>
    <t>吉德容</t>
  </si>
  <si>
    <t>沙玉泽</t>
  </si>
  <si>
    <t>希睿德</t>
  </si>
  <si>
    <t>泰文曜</t>
  </si>
  <si>
    <t>闭雅昶</t>
  </si>
  <si>
    <t>喜睿思</t>
  </si>
  <si>
    <t>鲁嘉泽</t>
  </si>
  <si>
    <t>凤元正</t>
  </si>
  <si>
    <t>骆康复</t>
  </si>
  <si>
    <t>势德厚</t>
  </si>
  <si>
    <t>闵宏达</t>
  </si>
  <si>
    <t>邬宏博</t>
  </si>
  <si>
    <t>郸飞鸿</t>
  </si>
  <si>
    <t>后英卫</t>
  </si>
  <si>
    <t>栋永宁</t>
  </si>
  <si>
    <t>妫睿好</t>
  </si>
  <si>
    <t>衷星洲</t>
  </si>
  <si>
    <t>圣立群</t>
  </si>
  <si>
    <t>歧金鑫</t>
  </si>
  <si>
    <t>旗天赋</t>
  </si>
  <si>
    <t>少星泽</t>
  </si>
  <si>
    <t>豆良朋</t>
  </si>
  <si>
    <t>蚁华容</t>
  </si>
  <si>
    <t>淡博学</t>
  </si>
  <si>
    <t>建长运</t>
  </si>
  <si>
    <t>巧弘益</t>
  </si>
  <si>
    <t>盈振翱</t>
  </si>
  <si>
    <t>刁修雅</t>
  </si>
  <si>
    <t>沙鸿达</t>
  </si>
  <si>
    <t>谯睿好</t>
  </si>
  <si>
    <t>璩鸿才</t>
  </si>
  <si>
    <t>张良吉</t>
  </si>
  <si>
    <t>肥浩宕</t>
  </si>
  <si>
    <t>丛博学</t>
  </si>
  <si>
    <t>郦永昌</t>
  </si>
  <si>
    <t>田嘉悦</t>
  </si>
  <si>
    <t>封元忠</t>
  </si>
  <si>
    <t>图门运骏</t>
  </si>
  <si>
    <t>UI/Program/HeroHunter_Man_1.png</t>
    <phoneticPr fontId="1" type="noConversion"/>
  </si>
  <si>
    <t>UI/Program/HeroHunter_WOman_1.png</t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</si>
</sst>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zero\&#31574;&#21010;&#25968;&#25454;&#34920;\Resource_Product\trunk\&#31574;&#21010;&#25968;&#25454;&#34920;\&#25968;&#20540;&#35745;&#31639;\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挂机WOW数值总表"/>
    </sheetNames>
    <sheetDataSet>
      <sheetData sheetId="0" refreshError="1"/>
      <sheetData sheetId="1" refreshError="1"/>
      <sheetData sheetId="2" refreshError="1">
        <row r="20">
          <cell r="A20">
            <v>1</v>
          </cell>
          <cell r="G20">
            <v>10</v>
          </cell>
        </row>
        <row r="21">
          <cell r="A21">
            <v>2</v>
          </cell>
          <cell r="G21">
            <v>12</v>
          </cell>
        </row>
        <row r="22">
          <cell r="A22">
            <v>3</v>
          </cell>
          <cell r="G22">
            <v>14</v>
          </cell>
        </row>
        <row r="23">
          <cell r="A23">
            <v>4</v>
          </cell>
          <cell r="G23">
            <v>16</v>
          </cell>
        </row>
        <row r="24">
          <cell r="A24">
            <v>5</v>
          </cell>
          <cell r="G24">
            <v>18</v>
          </cell>
        </row>
        <row r="25">
          <cell r="A25">
            <v>6</v>
          </cell>
          <cell r="G25">
            <v>20</v>
          </cell>
        </row>
        <row r="26">
          <cell r="A26">
            <v>7</v>
          </cell>
          <cell r="G26">
            <v>22</v>
          </cell>
        </row>
        <row r="27">
          <cell r="A27">
            <v>8</v>
          </cell>
          <cell r="G27">
            <v>24</v>
          </cell>
        </row>
        <row r="28">
          <cell r="A28">
            <v>9</v>
          </cell>
          <cell r="G28">
            <v>28</v>
          </cell>
        </row>
        <row r="29">
          <cell r="A29">
            <v>10</v>
          </cell>
          <cell r="G29">
            <v>32</v>
          </cell>
        </row>
        <row r="30">
          <cell r="A30">
            <v>11</v>
          </cell>
          <cell r="G30">
            <v>36</v>
          </cell>
        </row>
        <row r="31">
          <cell r="A31">
            <v>12</v>
          </cell>
          <cell r="G31">
            <v>40</v>
          </cell>
        </row>
        <row r="32">
          <cell r="A32">
            <v>13</v>
          </cell>
          <cell r="G32">
            <v>44</v>
          </cell>
        </row>
        <row r="33">
          <cell r="A33">
            <v>14</v>
          </cell>
          <cell r="G33">
            <v>48</v>
          </cell>
        </row>
        <row r="34">
          <cell r="A34">
            <v>15</v>
          </cell>
          <cell r="G34">
            <v>52</v>
          </cell>
        </row>
        <row r="35">
          <cell r="A35">
            <v>16</v>
          </cell>
          <cell r="G35">
            <v>56</v>
          </cell>
        </row>
        <row r="36">
          <cell r="A36">
            <v>17</v>
          </cell>
          <cell r="G36">
            <v>60</v>
          </cell>
        </row>
        <row r="37">
          <cell r="A37">
            <v>18</v>
          </cell>
          <cell r="G37">
            <v>64</v>
          </cell>
        </row>
        <row r="38">
          <cell r="A38">
            <v>19</v>
          </cell>
          <cell r="G38">
            <v>68</v>
          </cell>
        </row>
        <row r="39">
          <cell r="A39">
            <v>20</v>
          </cell>
          <cell r="G39">
            <v>72</v>
          </cell>
        </row>
        <row r="40">
          <cell r="A40">
            <v>21</v>
          </cell>
          <cell r="G40">
            <v>78</v>
          </cell>
        </row>
        <row r="41">
          <cell r="A41">
            <v>22</v>
          </cell>
          <cell r="G41">
            <v>84</v>
          </cell>
        </row>
        <row r="42">
          <cell r="A42">
            <v>23</v>
          </cell>
          <cell r="G42">
            <v>90</v>
          </cell>
        </row>
        <row r="43">
          <cell r="A43">
            <v>24</v>
          </cell>
          <cell r="G43">
            <v>96</v>
          </cell>
        </row>
        <row r="44">
          <cell r="A44">
            <v>25</v>
          </cell>
          <cell r="G44">
            <v>102</v>
          </cell>
        </row>
        <row r="45">
          <cell r="A45">
            <v>26</v>
          </cell>
          <cell r="G45">
            <v>108</v>
          </cell>
        </row>
        <row r="46">
          <cell r="A46">
            <v>27</v>
          </cell>
          <cell r="G46">
            <v>114</v>
          </cell>
        </row>
        <row r="47">
          <cell r="A47">
            <v>28</v>
          </cell>
          <cell r="G47">
            <v>120</v>
          </cell>
        </row>
        <row r="48">
          <cell r="A48">
            <v>29</v>
          </cell>
          <cell r="G48">
            <v>126</v>
          </cell>
        </row>
        <row r="49">
          <cell r="A49">
            <v>30</v>
          </cell>
          <cell r="G49">
            <v>132</v>
          </cell>
        </row>
        <row r="50">
          <cell r="A50">
            <v>31</v>
          </cell>
          <cell r="G50">
            <v>138</v>
          </cell>
        </row>
        <row r="51">
          <cell r="A51">
            <v>32</v>
          </cell>
          <cell r="G51">
            <v>144</v>
          </cell>
        </row>
        <row r="52">
          <cell r="A52">
            <v>33</v>
          </cell>
          <cell r="G52">
            <v>150</v>
          </cell>
        </row>
        <row r="53">
          <cell r="A53">
            <v>34</v>
          </cell>
          <cell r="G53">
            <v>156</v>
          </cell>
        </row>
        <row r="54">
          <cell r="A54">
            <v>35</v>
          </cell>
          <cell r="G54">
            <v>162</v>
          </cell>
        </row>
        <row r="55">
          <cell r="A55">
            <v>36</v>
          </cell>
          <cell r="G55">
            <v>168</v>
          </cell>
        </row>
        <row r="56">
          <cell r="A56">
            <v>37</v>
          </cell>
          <cell r="G56">
            <v>174</v>
          </cell>
        </row>
        <row r="57">
          <cell r="A57">
            <v>38</v>
          </cell>
          <cell r="G57">
            <v>180</v>
          </cell>
        </row>
        <row r="58">
          <cell r="A58">
            <v>39</v>
          </cell>
          <cell r="G58">
            <v>186</v>
          </cell>
        </row>
        <row r="59">
          <cell r="A59">
            <v>40</v>
          </cell>
          <cell r="G59">
            <v>192</v>
          </cell>
        </row>
        <row r="60">
          <cell r="A60">
            <v>41</v>
          </cell>
          <cell r="G60">
            <v>200</v>
          </cell>
        </row>
        <row r="61">
          <cell r="A61">
            <v>42</v>
          </cell>
          <cell r="G61">
            <v>208</v>
          </cell>
        </row>
        <row r="62">
          <cell r="A62">
            <v>43</v>
          </cell>
          <cell r="G62">
            <v>216</v>
          </cell>
        </row>
        <row r="63">
          <cell r="A63">
            <v>44</v>
          </cell>
          <cell r="G63">
            <v>224</v>
          </cell>
        </row>
        <row r="64">
          <cell r="A64">
            <v>45</v>
          </cell>
          <cell r="G64">
            <v>232</v>
          </cell>
        </row>
        <row r="65">
          <cell r="A65">
            <v>46</v>
          </cell>
          <cell r="G65">
            <v>240</v>
          </cell>
        </row>
        <row r="66">
          <cell r="A66">
            <v>47</v>
          </cell>
          <cell r="G66">
            <v>248</v>
          </cell>
        </row>
        <row r="67">
          <cell r="A67">
            <v>48</v>
          </cell>
          <cell r="G67">
            <v>256</v>
          </cell>
        </row>
        <row r="68">
          <cell r="A68">
            <v>49</v>
          </cell>
          <cell r="G68">
            <v>264</v>
          </cell>
        </row>
        <row r="69">
          <cell r="A69">
            <v>50</v>
          </cell>
          <cell r="G69">
            <v>272</v>
          </cell>
        </row>
        <row r="70">
          <cell r="A70">
            <v>51</v>
          </cell>
          <cell r="G70">
            <v>280</v>
          </cell>
        </row>
        <row r="71">
          <cell r="A71">
            <v>52</v>
          </cell>
          <cell r="G71">
            <v>288</v>
          </cell>
        </row>
        <row r="72">
          <cell r="A72">
            <v>53</v>
          </cell>
          <cell r="G72">
            <v>296</v>
          </cell>
        </row>
        <row r="73">
          <cell r="A73">
            <v>54</v>
          </cell>
          <cell r="G73">
            <v>304</v>
          </cell>
        </row>
        <row r="74">
          <cell r="A74">
            <v>55</v>
          </cell>
          <cell r="G74">
            <v>312</v>
          </cell>
        </row>
        <row r="75">
          <cell r="A75">
            <v>56</v>
          </cell>
          <cell r="G75">
            <v>320</v>
          </cell>
        </row>
        <row r="76">
          <cell r="A76">
            <v>57</v>
          </cell>
          <cell r="G76">
            <v>328</v>
          </cell>
        </row>
        <row r="77">
          <cell r="A77">
            <v>58</v>
          </cell>
          <cell r="G77">
            <v>336</v>
          </cell>
        </row>
        <row r="78">
          <cell r="A78">
            <v>59</v>
          </cell>
          <cell r="G78">
            <v>344</v>
          </cell>
        </row>
        <row r="79">
          <cell r="A79">
            <v>60</v>
          </cell>
          <cell r="G79">
            <v>352</v>
          </cell>
        </row>
        <row r="80">
          <cell r="A80">
            <v>61</v>
          </cell>
          <cell r="G80">
            <v>362</v>
          </cell>
        </row>
        <row r="81">
          <cell r="A81">
            <v>62</v>
          </cell>
          <cell r="G81">
            <v>372</v>
          </cell>
        </row>
        <row r="82">
          <cell r="A82">
            <v>63</v>
          </cell>
          <cell r="G82">
            <v>382</v>
          </cell>
        </row>
        <row r="83">
          <cell r="A83">
            <v>64</v>
          </cell>
          <cell r="G83">
            <v>392</v>
          </cell>
        </row>
        <row r="84">
          <cell r="A84">
            <v>65</v>
          </cell>
          <cell r="G84">
            <v>402</v>
          </cell>
        </row>
        <row r="85">
          <cell r="A85">
            <v>66</v>
          </cell>
          <cell r="G85">
            <v>412</v>
          </cell>
        </row>
        <row r="86">
          <cell r="A86">
            <v>67</v>
          </cell>
          <cell r="G86">
            <v>422</v>
          </cell>
        </row>
        <row r="87">
          <cell r="A87">
            <v>68</v>
          </cell>
          <cell r="G87">
            <v>432</v>
          </cell>
        </row>
        <row r="88">
          <cell r="A88">
            <v>69</v>
          </cell>
          <cell r="G88">
            <v>442</v>
          </cell>
        </row>
        <row r="89">
          <cell r="A89">
            <v>70</v>
          </cell>
          <cell r="G89">
            <v>452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b.178.com/wow/cn/npc/122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266"/>
  <sheetViews>
    <sheetView tabSelected="1" topLeftCell="A241" workbookViewId="0">
      <selection activeCell="F6" sqref="F6:F266"/>
    </sheetView>
  </sheetViews>
  <sheetFormatPr defaultColWidth="9" defaultRowHeight="13.5"/>
  <cols>
    <col min="1" max="1" width="5.5" bestFit="1" customWidth="1"/>
    <col min="2" max="2" width="18" customWidth="1"/>
    <col min="3" max="3" width="13.5" customWidth="1"/>
    <col min="4" max="6" width="17" customWidth="1"/>
    <col min="7" max="7" width="13.625" customWidth="1"/>
    <col min="8" max="8" width="15.875" customWidth="1"/>
    <col min="9" max="9" width="14.75" customWidth="1"/>
    <col min="10" max="10" width="16.875" customWidth="1"/>
    <col min="11" max="11" width="14.75" customWidth="1"/>
    <col min="12" max="13" width="11.25" customWidth="1"/>
    <col min="14" max="15" width="17.75" customWidth="1"/>
    <col min="16" max="16" width="12.5" customWidth="1"/>
    <col min="17" max="18" width="13.625" customWidth="1"/>
    <col min="19" max="19" width="15.875" customWidth="1"/>
    <col min="20" max="20" width="10.25" customWidth="1"/>
    <col min="21" max="21" width="12.5" customWidth="1"/>
    <col min="22" max="23" width="18" customWidth="1"/>
    <col min="24" max="24" width="26.25" customWidth="1"/>
    <col min="25" max="25" width="20" customWidth="1"/>
    <col min="26" max="26" width="26.25" customWidth="1"/>
  </cols>
  <sheetData>
    <row r="1" spans="1:27">
      <c r="A1" t="s">
        <v>29</v>
      </c>
      <c r="B1" t="s">
        <v>30</v>
      </c>
    </row>
    <row r="2" spans="1:27">
      <c r="X2" t="s">
        <v>288</v>
      </c>
      <c r="Y2" t="s">
        <v>288</v>
      </c>
      <c r="Z2" t="s">
        <v>25</v>
      </c>
    </row>
    <row r="3" spans="1:27">
      <c r="A3" t="s">
        <v>0</v>
      </c>
      <c r="B3" t="s">
        <v>1</v>
      </c>
      <c r="C3" t="s">
        <v>2</v>
      </c>
      <c r="D3" t="s">
        <v>3</v>
      </c>
      <c r="E3" t="s">
        <v>289</v>
      </c>
      <c r="F3" t="s">
        <v>290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31</v>
      </c>
      <c r="X3" t="s">
        <v>32</v>
      </c>
      <c r="Y3" t="s">
        <v>33</v>
      </c>
      <c r="Z3" t="s">
        <v>26</v>
      </c>
      <c r="AA3" t="s">
        <v>27</v>
      </c>
    </row>
    <row r="4" spans="1:27">
      <c r="A4" t="s">
        <v>34</v>
      </c>
      <c r="B4" t="s">
        <v>35</v>
      </c>
      <c r="C4" t="s">
        <v>36</v>
      </c>
      <c r="D4" t="s">
        <v>37</v>
      </c>
      <c r="E4" t="s">
        <v>292</v>
      </c>
      <c r="F4" t="s">
        <v>291</v>
      </c>
      <c r="G4" t="s">
        <v>38</v>
      </c>
      <c r="H4" t="s">
        <v>39</v>
      </c>
      <c r="I4" t="s">
        <v>40</v>
      </c>
      <c r="J4" t="s">
        <v>41</v>
      </c>
      <c r="K4" t="s">
        <v>42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t="s">
        <v>49</v>
      </c>
      <c r="S4" t="s">
        <v>50</v>
      </c>
      <c r="T4" t="s">
        <v>51</v>
      </c>
      <c r="U4" t="s">
        <v>52</v>
      </c>
      <c r="V4" t="s">
        <v>53</v>
      </c>
      <c r="W4" t="s">
        <v>54</v>
      </c>
      <c r="AA4" t="s">
        <v>28</v>
      </c>
    </row>
    <row r="6" spans="1:27">
      <c r="A6">
        <v>1</v>
      </c>
      <c r="B6">
        <v>2001</v>
      </c>
      <c r="C6">
        <v>1</v>
      </c>
      <c r="D6" t="s">
        <v>20</v>
      </c>
      <c r="E6">
        <f>INDEX([1]用户升级!$G$20:$G$89,MATCH(C6,[1]用户升级!$A$20:$A$89,0))</f>
        <v>10</v>
      </c>
      <c r="F6">
        <f>E6*2</f>
        <v>20</v>
      </c>
      <c r="G6">
        <v>1001</v>
      </c>
      <c r="H6">
        <v>0</v>
      </c>
      <c r="I6">
        <v>0</v>
      </c>
      <c r="J6">
        <v>0</v>
      </c>
      <c r="K6">
        <v>0</v>
      </c>
      <c r="L6">
        <v>100</v>
      </c>
      <c r="M6">
        <v>0</v>
      </c>
      <c r="N6">
        <v>5</v>
      </c>
      <c r="O6">
        <v>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309</v>
      </c>
      <c r="Y6">
        <v>0</v>
      </c>
      <c r="Z6">
        <v>0</v>
      </c>
      <c r="AA6">
        <v>10</v>
      </c>
    </row>
    <row r="7" spans="1:27">
      <c r="A7">
        <v>2</v>
      </c>
      <c r="B7">
        <v>2001</v>
      </c>
      <c r="C7">
        <v>2</v>
      </c>
      <c r="D7" t="s">
        <v>21</v>
      </c>
      <c r="E7">
        <f>INDEX([1]用户升级!$G$20:$G$89,MATCH(C7,[1]用户升级!$A$20:$A$89,0))</f>
        <v>12</v>
      </c>
      <c r="F7">
        <f t="shared" ref="F7:F70" si="0">E7*2</f>
        <v>24</v>
      </c>
      <c r="G7">
        <v>1001</v>
      </c>
      <c r="H7">
        <v>0</v>
      </c>
      <c r="I7">
        <v>0</v>
      </c>
      <c r="J7">
        <v>0</v>
      </c>
      <c r="K7">
        <v>0</v>
      </c>
      <c r="L7">
        <v>108</v>
      </c>
      <c r="M7">
        <v>0</v>
      </c>
      <c r="N7">
        <v>6</v>
      </c>
      <c r="O7">
        <v>8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 t="s">
        <v>312</v>
      </c>
      <c r="Y7">
        <v>0</v>
      </c>
      <c r="Z7">
        <v>0</v>
      </c>
      <c r="AA7">
        <v>10</v>
      </c>
    </row>
    <row r="8" spans="1:27">
      <c r="A8">
        <v>3</v>
      </c>
      <c r="B8">
        <v>2001</v>
      </c>
      <c r="C8">
        <v>3</v>
      </c>
      <c r="D8" t="s">
        <v>22</v>
      </c>
      <c r="E8">
        <f>INDEX([1]用户升级!$G$20:$G$89,MATCH(C8,[1]用户升级!$A$20:$A$89,0))</f>
        <v>14</v>
      </c>
      <c r="F8">
        <f t="shared" si="0"/>
        <v>28</v>
      </c>
      <c r="G8">
        <v>1001</v>
      </c>
      <c r="H8">
        <v>0</v>
      </c>
      <c r="I8">
        <v>0</v>
      </c>
      <c r="J8">
        <v>0</v>
      </c>
      <c r="K8">
        <v>0</v>
      </c>
      <c r="L8">
        <v>112</v>
      </c>
      <c r="M8">
        <v>0</v>
      </c>
      <c r="N8">
        <v>7</v>
      </c>
      <c r="O8">
        <v>9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t="s">
        <v>310</v>
      </c>
      <c r="Y8">
        <v>0</v>
      </c>
      <c r="Z8">
        <v>0</v>
      </c>
      <c r="AA8">
        <v>10</v>
      </c>
    </row>
    <row r="9" spans="1:27">
      <c r="A9">
        <v>4</v>
      </c>
      <c r="B9">
        <v>2001</v>
      </c>
      <c r="C9">
        <v>4</v>
      </c>
      <c r="D9" t="s">
        <v>319</v>
      </c>
      <c r="E9">
        <f>INDEX([1]用户升级!$G$20:$G$89,MATCH(C9,[1]用户升级!$A$20:$A$89,0))</f>
        <v>16</v>
      </c>
      <c r="F9">
        <f t="shared" si="0"/>
        <v>32</v>
      </c>
      <c r="G9">
        <v>1001</v>
      </c>
      <c r="H9">
        <v>0</v>
      </c>
      <c r="I9">
        <v>0</v>
      </c>
      <c r="J9">
        <v>0</v>
      </c>
      <c r="K9">
        <v>0</v>
      </c>
      <c r="L9">
        <v>114</v>
      </c>
      <c r="M9">
        <v>0</v>
      </c>
      <c r="N9">
        <v>8</v>
      </c>
      <c r="O9">
        <v>10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t="s">
        <v>311</v>
      </c>
      <c r="Y9">
        <v>0</v>
      </c>
      <c r="Z9">
        <v>0</v>
      </c>
      <c r="AA9">
        <v>10</v>
      </c>
    </row>
    <row r="10" spans="1:27">
      <c r="A10">
        <v>5</v>
      </c>
      <c r="B10">
        <v>2001</v>
      </c>
      <c r="C10">
        <v>2</v>
      </c>
      <c r="D10" t="s">
        <v>55</v>
      </c>
      <c r="E10">
        <f>INDEX([1]用户升级!$G$20:$G$89,MATCH(C10,[1]用户升级!$A$20:$A$89,0))</f>
        <v>12</v>
      </c>
      <c r="F10">
        <f t="shared" si="0"/>
        <v>24</v>
      </c>
      <c r="G10">
        <v>1001</v>
      </c>
      <c r="H10">
        <v>0</v>
      </c>
      <c r="I10">
        <v>0</v>
      </c>
      <c r="J10">
        <v>0</v>
      </c>
      <c r="K10">
        <v>0</v>
      </c>
      <c r="L10">
        <v>120</v>
      </c>
      <c r="M10">
        <v>0</v>
      </c>
      <c r="N10">
        <v>10</v>
      </c>
      <c r="O10">
        <v>13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 t="s">
        <v>178</v>
      </c>
      <c r="Y10">
        <v>0</v>
      </c>
      <c r="Z10">
        <v>0</v>
      </c>
      <c r="AA10">
        <v>10</v>
      </c>
    </row>
    <row r="11" spans="1:27">
      <c r="A11">
        <v>6</v>
      </c>
      <c r="B11">
        <v>2001</v>
      </c>
      <c r="C11">
        <v>3</v>
      </c>
      <c r="D11" t="s">
        <v>56</v>
      </c>
      <c r="E11">
        <f>INDEX([1]用户升级!$G$20:$G$89,MATCH(C11,[1]用户升级!$A$20:$A$89,0))</f>
        <v>14</v>
      </c>
      <c r="F11">
        <f t="shared" si="0"/>
        <v>28</v>
      </c>
      <c r="G11">
        <v>1001</v>
      </c>
      <c r="H11">
        <v>0</v>
      </c>
      <c r="I11">
        <v>0</v>
      </c>
      <c r="J11">
        <v>0</v>
      </c>
      <c r="K11">
        <v>0</v>
      </c>
      <c r="L11">
        <v>136</v>
      </c>
      <c r="M11">
        <v>0</v>
      </c>
      <c r="N11">
        <v>13</v>
      </c>
      <c r="O11">
        <v>16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t="s">
        <v>179</v>
      </c>
      <c r="Y11">
        <v>0</v>
      </c>
      <c r="Z11">
        <v>0</v>
      </c>
      <c r="AA11">
        <v>10</v>
      </c>
    </row>
    <row r="12" spans="1:27">
      <c r="A12">
        <v>7</v>
      </c>
      <c r="B12">
        <v>2001</v>
      </c>
      <c r="C12">
        <v>4</v>
      </c>
      <c r="D12" t="s">
        <v>57</v>
      </c>
      <c r="E12">
        <f>INDEX([1]用户升级!$G$20:$G$89,MATCH(C12,[1]用户升级!$A$20:$A$89,0))</f>
        <v>16</v>
      </c>
      <c r="F12">
        <f t="shared" si="0"/>
        <v>32</v>
      </c>
      <c r="G12">
        <v>1001</v>
      </c>
      <c r="H12">
        <v>0</v>
      </c>
      <c r="I12">
        <v>0</v>
      </c>
      <c r="J12">
        <v>0</v>
      </c>
      <c r="K12">
        <v>0</v>
      </c>
      <c r="L12">
        <v>149</v>
      </c>
      <c r="M12">
        <v>0</v>
      </c>
      <c r="N12">
        <v>16</v>
      </c>
      <c r="O12">
        <v>19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t="s">
        <v>180</v>
      </c>
      <c r="Y12">
        <v>0</v>
      </c>
      <c r="Z12">
        <v>0</v>
      </c>
      <c r="AA12">
        <v>10</v>
      </c>
    </row>
    <row r="13" spans="1:27">
      <c r="A13">
        <v>8</v>
      </c>
      <c r="B13">
        <v>2001</v>
      </c>
      <c r="C13">
        <v>3</v>
      </c>
      <c r="D13" t="s">
        <v>58</v>
      </c>
      <c r="E13">
        <f>INDEX([1]用户升级!$G$20:$G$89,MATCH(C13,[1]用户升级!$A$20:$A$89,0))</f>
        <v>14</v>
      </c>
      <c r="F13">
        <f t="shared" si="0"/>
        <v>28</v>
      </c>
      <c r="G13">
        <v>1001</v>
      </c>
      <c r="H13">
        <v>0</v>
      </c>
      <c r="I13">
        <v>0</v>
      </c>
      <c r="J13">
        <v>0</v>
      </c>
      <c r="K13">
        <v>0</v>
      </c>
      <c r="L13">
        <v>143</v>
      </c>
      <c r="M13">
        <v>0</v>
      </c>
      <c r="N13">
        <v>18</v>
      </c>
      <c r="O13">
        <v>23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t="s">
        <v>181</v>
      </c>
      <c r="Y13">
        <v>0</v>
      </c>
      <c r="Z13">
        <v>0</v>
      </c>
      <c r="AA13">
        <v>10</v>
      </c>
    </row>
    <row r="14" spans="1:27">
      <c r="A14">
        <v>9</v>
      </c>
      <c r="B14">
        <v>2001</v>
      </c>
      <c r="C14">
        <v>4</v>
      </c>
      <c r="D14" t="s">
        <v>59</v>
      </c>
      <c r="E14">
        <f>INDEX([1]用户升级!$G$20:$G$89,MATCH(C14,[1]用户升级!$A$20:$A$89,0))</f>
        <v>16</v>
      </c>
      <c r="F14">
        <f t="shared" si="0"/>
        <v>32</v>
      </c>
      <c r="G14">
        <v>1001</v>
      </c>
      <c r="H14">
        <v>0</v>
      </c>
      <c r="I14">
        <v>0</v>
      </c>
      <c r="J14">
        <v>0</v>
      </c>
      <c r="K14">
        <v>0</v>
      </c>
      <c r="L14">
        <v>156</v>
      </c>
      <c r="M14">
        <v>0</v>
      </c>
      <c r="N14">
        <v>32</v>
      </c>
      <c r="O14">
        <v>39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 t="s">
        <v>182</v>
      </c>
      <c r="Y14">
        <v>0</v>
      </c>
      <c r="Z14">
        <v>0</v>
      </c>
      <c r="AA14">
        <v>10</v>
      </c>
    </row>
    <row r="15" spans="1:27">
      <c r="A15">
        <v>10</v>
      </c>
      <c r="B15">
        <v>2001</v>
      </c>
      <c r="C15">
        <v>5</v>
      </c>
      <c r="D15" t="s">
        <v>60</v>
      </c>
      <c r="E15">
        <f>INDEX([1]用户升级!$G$20:$G$89,MATCH(C15,[1]用户升级!$A$20:$A$89,0))</f>
        <v>18</v>
      </c>
      <c r="F15">
        <f t="shared" si="0"/>
        <v>36</v>
      </c>
      <c r="G15">
        <v>1001</v>
      </c>
      <c r="H15">
        <v>0</v>
      </c>
      <c r="I15">
        <v>0</v>
      </c>
      <c r="J15">
        <v>0</v>
      </c>
      <c r="K15">
        <v>0</v>
      </c>
      <c r="L15">
        <v>175</v>
      </c>
      <c r="M15">
        <v>0</v>
      </c>
      <c r="N15">
        <v>33</v>
      </c>
      <c r="O15">
        <v>41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 t="s">
        <v>183</v>
      </c>
      <c r="Y15">
        <v>0</v>
      </c>
      <c r="Z15">
        <v>0</v>
      </c>
      <c r="AA15">
        <v>10</v>
      </c>
    </row>
    <row r="16" spans="1:27">
      <c r="A16">
        <v>11</v>
      </c>
      <c r="B16">
        <v>2001</v>
      </c>
      <c r="C16">
        <v>6</v>
      </c>
      <c r="D16" t="s">
        <v>61</v>
      </c>
      <c r="E16">
        <f>INDEX([1]用户升级!$G$20:$G$89,MATCH(C16,[1]用户升级!$A$20:$A$89,0))</f>
        <v>20</v>
      </c>
      <c r="F16">
        <f t="shared" si="0"/>
        <v>40</v>
      </c>
      <c r="G16">
        <v>1001</v>
      </c>
      <c r="H16">
        <v>0</v>
      </c>
      <c r="I16">
        <v>0</v>
      </c>
      <c r="J16">
        <v>0</v>
      </c>
      <c r="K16">
        <v>0</v>
      </c>
      <c r="L16">
        <v>189</v>
      </c>
      <c r="M16">
        <v>0</v>
      </c>
      <c r="N16">
        <v>43</v>
      </c>
      <c r="O16">
        <v>52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 t="s">
        <v>184</v>
      </c>
      <c r="Y16">
        <v>0</v>
      </c>
      <c r="Z16">
        <v>0</v>
      </c>
      <c r="AA16">
        <v>10</v>
      </c>
    </row>
    <row r="17" spans="1:27">
      <c r="A17">
        <v>12</v>
      </c>
      <c r="B17">
        <v>2001</v>
      </c>
      <c r="C17">
        <v>5</v>
      </c>
      <c r="D17" t="s">
        <v>62</v>
      </c>
      <c r="E17">
        <f>INDEX([1]用户升级!$G$20:$G$89,MATCH(C17,[1]用户升级!$A$20:$A$89,0))</f>
        <v>18</v>
      </c>
      <c r="F17">
        <f t="shared" si="0"/>
        <v>36</v>
      </c>
      <c r="G17">
        <v>1001</v>
      </c>
      <c r="H17">
        <v>0</v>
      </c>
      <c r="I17">
        <v>0</v>
      </c>
      <c r="J17">
        <v>0</v>
      </c>
      <c r="K17">
        <v>0</v>
      </c>
      <c r="L17">
        <v>184</v>
      </c>
      <c r="M17">
        <v>0</v>
      </c>
      <c r="N17">
        <v>39</v>
      </c>
      <c r="O17">
        <v>47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185</v>
      </c>
      <c r="Y17">
        <v>0</v>
      </c>
      <c r="Z17">
        <v>0</v>
      </c>
      <c r="AA17">
        <v>10</v>
      </c>
    </row>
    <row r="18" spans="1:27">
      <c r="A18">
        <v>13</v>
      </c>
      <c r="B18">
        <v>2001</v>
      </c>
      <c r="C18">
        <v>6</v>
      </c>
      <c r="D18" t="s">
        <v>63</v>
      </c>
      <c r="E18">
        <f>INDEX([1]用户升级!$G$20:$G$89,MATCH(C18,[1]用户升级!$A$20:$A$89,0))</f>
        <v>20</v>
      </c>
      <c r="F18">
        <f t="shared" si="0"/>
        <v>40</v>
      </c>
      <c r="G18">
        <v>1001</v>
      </c>
      <c r="H18">
        <v>0</v>
      </c>
      <c r="I18">
        <v>0</v>
      </c>
      <c r="J18">
        <v>0</v>
      </c>
      <c r="K18">
        <v>0</v>
      </c>
      <c r="L18">
        <v>198</v>
      </c>
      <c r="M18">
        <v>0</v>
      </c>
      <c r="N18">
        <v>49</v>
      </c>
      <c r="O18">
        <v>61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 t="s">
        <v>186</v>
      </c>
      <c r="Y18">
        <v>0</v>
      </c>
      <c r="Z18">
        <v>0</v>
      </c>
      <c r="AA18">
        <v>10</v>
      </c>
    </row>
    <row r="19" spans="1:27">
      <c r="A19">
        <v>14</v>
      </c>
      <c r="B19">
        <v>2001</v>
      </c>
      <c r="C19">
        <v>7</v>
      </c>
      <c r="D19" t="s">
        <v>64</v>
      </c>
      <c r="E19">
        <f>INDEX([1]用户升级!$G$20:$G$89,MATCH(C19,[1]用户升级!$A$20:$A$89,0))</f>
        <v>22</v>
      </c>
      <c r="F19">
        <f t="shared" si="0"/>
        <v>44</v>
      </c>
      <c r="G19">
        <v>1001</v>
      </c>
      <c r="H19">
        <v>0</v>
      </c>
      <c r="I19">
        <v>0</v>
      </c>
      <c r="J19">
        <v>0</v>
      </c>
      <c r="K19">
        <v>0</v>
      </c>
      <c r="L19">
        <v>210</v>
      </c>
      <c r="M19">
        <v>0</v>
      </c>
      <c r="N19">
        <v>55</v>
      </c>
      <c r="O19">
        <v>67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t="s">
        <v>187</v>
      </c>
      <c r="Y19">
        <v>0</v>
      </c>
      <c r="Z19">
        <v>0</v>
      </c>
      <c r="AA19">
        <v>10</v>
      </c>
    </row>
    <row r="20" spans="1:27">
      <c r="A20">
        <v>15</v>
      </c>
      <c r="B20">
        <v>2001</v>
      </c>
      <c r="C20">
        <v>8</v>
      </c>
      <c r="D20" t="s">
        <v>65</v>
      </c>
      <c r="E20">
        <f>INDEX([1]用户升级!$G$20:$G$89,MATCH(C20,[1]用户升级!$A$20:$A$89,0))</f>
        <v>24</v>
      </c>
      <c r="F20">
        <f t="shared" si="0"/>
        <v>48</v>
      </c>
      <c r="G20">
        <v>1001</v>
      </c>
      <c r="H20">
        <v>0</v>
      </c>
      <c r="I20">
        <v>0</v>
      </c>
      <c r="J20">
        <v>0</v>
      </c>
      <c r="K20">
        <v>0</v>
      </c>
      <c r="L20">
        <v>238</v>
      </c>
      <c r="M20">
        <v>0</v>
      </c>
      <c r="N20">
        <v>67</v>
      </c>
      <c r="O20">
        <v>82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t="s">
        <v>188</v>
      </c>
      <c r="Y20">
        <v>0</v>
      </c>
      <c r="Z20">
        <v>0</v>
      </c>
      <c r="AA20">
        <v>10</v>
      </c>
    </row>
    <row r="21" spans="1:27">
      <c r="A21">
        <v>16</v>
      </c>
      <c r="B21">
        <v>2001</v>
      </c>
      <c r="C21">
        <v>7</v>
      </c>
      <c r="D21" t="s">
        <v>66</v>
      </c>
      <c r="E21">
        <f>INDEX([1]用户升级!$G$20:$G$89,MATCH(C21,[1]用户升级!$A$20:$A$89,0))</f>
        <v>22</v>
      </c>
      <c r="F21">
        <f t="shared" si="0"/>
        <v>44</v>
      </c>
      <c r="G21">
        <v>1001</v>
      </c>
      <c r="H21">
        <v>0</v>
      </c>
      <c r="I21">
        <v>0</v>
      </c>
      <c r="J21">
        <v>0</v>
      </c>
      <c r="K21">
        <v>0</v>
      </c>
      <c r="L21">
        <v>221</v>
      </c>
      <c r="M21">
        <v>0</v>
      </c>
      <c r="N21">
        <v>62</v>
      </c>
      <c r="O21">
        <v>75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t="s">
        <v>189</v>
      </c>
      <c r="Y21">
        <v>0</v>
      </c>
      <c r="Z21">
        <v>0</v>
      </c>
      <c r="AA21">
        <v>10</v>
      </c>
    </row>
    <row r="22" spans="1:27">
      <c r="A22">
        <v>17</v>
      </c>
      <c r="B22">
        <v>2001</v>
      </c>
      <c r="C22">
        <v>8</v>
      </c>
      <c r="D22" t="s">
        <v>67</v>
      </c>
      <c r="E22">
        <f>INDEX([1]用户升级!$G$20:$G$89,MATCH(C22,[1]用户升级!$A$20:$A$89,0))</f>
        <v>24</v>
      </c>
      <c r="F22">
        <f t="shared" si="0"/>
        <v>48</v>
      </c>
      <c r="G22">
        <v>1001</v>
      </c>
      <c r="H22">
        <v>0</v>
      </c>
      <c r="I22">
        <v>0</v>
      </c>
      <c r="J22">
        <v>0</v>
      </c>
      <c r="K22">
        <v>0</v>
      </c>
      <c r="L22">
        <v>250</v>
      </c>
      <c r="M22">
        <v>0</v>
      </c>
      <c r="N22">
        <v>75</v>
      </c>
      <c r="O22">
        <v>92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 t="s">
        <v>190</v>
      </c>
      <c r="Y22">
        <v>0</v>
      </c>
      <c r="Z22">
        <v>0</v>
      </c>
      <c r="AA22">
        <v>10</v>
      </c>
    </row>
    <row r="23" spans="1:27">
      <c r="A23">
        <v>18</v>
      </c>
      <c r="B23">
        <v>2001</v>
      </c>
      <c r="C23">
        <v>9</v>
      </c>
      <c r="D23" t="s">
        <v>68</v>
      </c>
      <c r="E23">
        <f>INDEX([1]用户升级!$G$20:$G$89,MATCH(C23,[1]用户升级!$A$20:$A$89,0))</f>
        <v>28</v>
      </c>
      <c r="F23">
        <f t="shared" si="0"/>
        <v>56</v>
      </c>
      <c r="G23">
        <v>1001</v>
      </c>
      <c r="H23">
        <v>0</v>
      </c>
      <c r="I23">
        <v>0</v>
      </c>
      <c r="J23">
        <v>0</v>
      </c>
      <c r="K23">
        <v>0</v>
      </c>
      <c r="L23">
        <v>304</v>
      </c>
      <c r="M23">
        <v>0</v>
      </c>
      <c r="N23">
        <v>83</v>
      </c>
      <c r="O23">
        <v>102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 t="s">
        <v>191</v>
      </c>
      <c r="Y23">
        <v>0</v>
      </c>
      <c r="Z23">
        <v>0</v>
      </c>
      <c r="AA23">
        <v>10</v>
      </c>
    </row>
    <row r="24" spans="1:27">
      <c r="A24">
        <v>19</v>
      </c>
      <c r="B24">
        <v>2001</v>
      </c>
      <c r="C24">
        <v>10</v>
      </c>
      <c r="D24" t="s">
        <v>69</v>
      </c>
      <c r="E24">
        <f>INDEX([1]用户升级!$G$20:$G$89,MATCH(C24,[1]用户升级!$A$20:$A$89,0))</f>
        <v>32</v>
      </c>
      <c r="F24">
        <f t="shared" si="0"/>
        <v>64</v>
      </c>
      <c r="G24">
        <v>1001</v>
      </c>
      <c r="H24">
        <v>0</v>
      </c>
      <c r="I24">
        <v>0</v>
      </c>
      <c r="J24">
        <v>0</v>
      </c>
      <c r="K24">
        <v>0</v>
      </c>
      <c r="L24">
        <v>344</v>
      </c>
      <c r="M24">
        <v>0</v>
      </c>
      <c r="N24">
        <v>103</v>
      </c>
      <c r="O24">
        <v>127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t="s">
        <v>192</v>
      </c>
      <c r="Y24">
        <v>0</v>
      </c>
      <c r="Z24">
        <v>0</v>
      </c>
      <c r="AA24">
        <v>10</v>
      </c>
    </row>
    <row r="25" spans="1:27">
      <c r="A25">
        <v>20</v>
      </c>
      <c r="B25">
        <v>2001</v>
      </c>
      <c r="C25">
        <v>9</v>
      </c>
      <c r="D25" t="s">
        <v>70</v>
      </c>
      <c r="E25">
        <f>INDEX([1]用户升级!$G$20:$G$89,MATCH(C25,[1]用户升级!$A$20:$A$89,0))</f>
        <v>28</v>
      </c>
      <c r="F25">
        <f t="shared" si="0"/>
        <v>56</v>
      </c>
      <c r="G25">
        <v>1001</v>
      </c>
      <c r="H25">
        <v>0</v>
      </c>
      <c r="I25">
        <v>0</v>
      </c>
      <c r="J25">
        <v>0</v>
      </c>
      <c r="K25">
        <v>0</v>
      </c>
      <c r="L25">
        <v>319</v>
      </c>
      <c r="M25">
        <v>0</v>
      </c>
      <c r="N25">
        <v>94</v>
      </c>
      <c r="O25">
        <v>115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">
        <v>193</v>
      </c>
      <c r="Y25">
        <v>0</v>
      </c>
      <c r="Z25">
        <v>0</v>
      </c>
      <c r="AA25">
        <v>10</v>
      </c>
    </row>
    <row r="26" spans="1:27">
      <c r="A26">
        <v>21</v>
      </c>
      <c r="B26">
        <v>2001</v>
      </c>
      <c r="C26">
        <v>10</v>
      </c>
      <c r="D26" t="s">
        <v>71</v>
      </c>
      <c r="E26">
        <f>INDEX([1]用户升级!$G$20:$G$89,MATCH(C26,[1]用户升级!$A$20:$A$89,0))</f>
        <v>32</v>
      </c>
      <c r="F26">
        <f t="shared" si="0"/>
        <v>64</v>
      </c>
      <c r="G26">
        <v>1001</v>
      </c>
      <c r="H26">
        <v>0</v>
      </c>
      <c r="I26">
        <v>0</v>
      </c>
      <c r="J26">
        <v>0</v>
      </c>
      <c r="K26">
        <v>0</v>
      </c>
      <c r="L26">
        <v>361</v>
      </c>
      <c r="M26">
        <v>0</v>
      </c>
      <c r="N26">
        <v>113</v>
      </c>
      <c r="O26">
        <v>138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t="s">
        <v>194</v>
      </c>
      <c r="Y26">
        <v>0</v>
      </c>
      <c r="Z26">
        <v>0</v>
      </c>
      <c r="AA26">
        <v>10</v>
      </c>
    </row>
    <row r="27" spans="1:27">
      <c r="A27">
        <v>22</v>
      </c>
      <c r="B27">
        <v>2001</v>
      </c>
      <c r="C27">
        <v>11</v>
      </c>
      <c r="D27" t="s">
        <v>72</v>
      </c>
      <c r="E27">
        <f>INDEX([1]用户升级!$G$20:$G$89,MATCH(C27,[1]用户升级!$A$20:$A$89,0))</f>
        <v>36</v>
      </c>
      <c r="F27">
        <f t="shared" si="0"/>
        <v>72</v>
      </c>
      <c r="G27">
        <v>1001</v>
      </c>
      <c r="H27">
        <v>0</v>
      </c>
      <c r="I27">
        <v>0</v>
      </c>
      <c r="J27">
        <v>0</v>
      </c>
      <c r="K27">
        <v>0</v>
      </c>
      <c r="L27">
        <v>416</v>
      </c>
      <c r="M27">
        <v>0</v>
      </c>
      <c r="N27">
        <v>122</v>
      </c>
      <c r="O27">
        <v>150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 t="s">
        <v>195</v>
      </c>
      <c r="Y27">
        <v>0</v>
      </c>
      <c r="Z27">
        <v>0</v>
      </c>
      <c r="AA27">
        <v>10</v>
      </c>
    </row>
    <row r="28" spans="1:27">
      <c r="A28">
        <v>23</v>
      </c>
      <c r="B28">
        <v>2001</v>
      </c>
      <c r="C28">
        <v>12</v>
      </c>
      <c r="D28" t="s">
        <v>320</v>
      </c>
      <c r="E28">
        <f>INDEX([1]用户升级!$G$20:$G$89,MATCH(C28,[1]用户升级!$A$20:$A$89,0))</f>
        <v>40</v>
      </c>
      <c r="F28">
        <f t="shared" si="0"/>
        <v>80</v>
      </c>
      <c r="G28">
        <v>1001</v>
      </c>
      <c r="H28">
        <v>0</v>
      </c>
      <c r="I28">
        <v>0</v>
      </c>
      <c r="J28">
        <v>0</v>
      </c>
      <c r="K28">
        <v>0</v>
      </c>
      <c r="L28">
        <v>476</v>
      </c>
      <c r="M28">
        <v>0</v>
      </c>
      <c r="N28">
        <v>145</v>
      </c>
      <c r="O28">
        <v>178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 t="s">
        <v>196</v>
      </c>
      <c r="Y28">
        <v>0</v>
      </c>
      <c r="Z28">
        <v>0</v>
      </c>
      <c r="AA28">
        <v>10</v>
      </c>
    </row>
    <row r="29" spans="1:27">
      <c r="A29">
        <v>24</v>
      </c>
      <c r="B29">
        <v>2001</v>
      </c>
      <c r="C29">
        <v>11</v>
      </c>
      <c r="D29" t="s">
        <v>73</v>
      </c>
      <c r="E29">
        <f>INDEX([1]用户升级!$G$20:$G$89,MATCH(C29,[1]用户升级!$A$20:$A$89,0))</f>
        <v>36</v>
      </c>
      <c r="F29">
        <f t="shared" si="0"/>
        <v>72</v>
      </c>
      <c r="G29">
        <v>1001</v>
      </c>
      <c r="H29">
        <v>0</v>
      </c>
      <c r="I29">
        <v>0</v>
      </c>
      <c r="J29">
        <v>0</v>
      </c>
      <c r="K29">
        <v>0</v>
      </c>
      <c r="L29">
        <v>437</v>
      </c>
      <c r="M29">
        <v>0</v>
      </c>
      <c r="N29">
        <v>135</v>
      </c>
      <c r="O29">
        <v>165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 t="s">
        <v>197</v>
      </c>
      <c r="Y29">
        <v>0</v>
      </c>
      <c r="Z29">
        <v>0</v>
      </c>
      <c r="AA29">
        <v>10</v>
      </c>
    </row>
    <row r="30" spans="1:27">
      <c r="A30">
        <v>25</v>
      </c>
      <c r="B30">
        <v>2001</v>
      </c>
      <c r="C30">
        <v>12</v>
      </c>
      <c r="D30" t="s">
        <v>74</v>
      </c>
      <c r="E30">
        <f>INDEX([1]用户升级!$G$20:$G$89,MATCH(C30,[1]用户升级!$A$20:$A$89,0))</f>
        <v>40</v>
      </c>
      <c r="F30">
        <f t="shared" si="0"/>
        <v>80</v>
      </c>
      <c r="G30">
        <v>1001</v>
      </c>
      <c r="H30">
        <v>0</v>
      </c>
      <c r="I30">
        <v>0</v>
      </c>
      <c r="J30">
        <v>0</v>
      </c>
      <c r="K30">
        <v>0</v>
      </c>
      <c r="L30">
        <v>500</v>
      </c>
      <c r="M30">
        <v>0</v>
      </c>
      <c r="N30">
        <v>157</v>
      </c>
      <c r="O30">
        <v>193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 t="s">
        <v>198</v>
      </c>
      <c r="Y30">
        <v>0</v>
      </c>
      <c r="Z30">
        <v>0</v>
      </c>
      <c r="AA30">
        <v>10</v>
      </c>
    </row>
    <row r="31" spans="1:27">
      <c r="A31">
        <v>26</v>
      </c>
      <c r="B31">
        <v>2001</v>
      </c>
      <c r="C31">
        <v>13</v>
      </c>
      <c r="D31" t="s">
        <v>75</v>
      </c>
      <c r="E31">
        <f>INDEX([1]用户升级!$G$20:$G$89,MATCH(C31,[1]用户升级!$A$20:$A$89,0))</f>
        <v>44</v>
      </c>
      <c r="F31">
        <f t="shared" si="0"/>
        <v>88</v>
      </c>
      <c r="G31">
        <v>1001</v>
      </c>
      <c r="H31">
        <v>0</v>
      </c>
      <c r="I31">
        <v>0</v>
      </c>
      <c r="J31">
        <v>0</v>
      </c>
      <c r="K31">
        <v>0</v>
      </c>
      <c r="L31">
        <v>544</v>
      </c>
      <c r="M31">
        <v>0</v>
      </c>
      <c r="N31">
        <v>170</v>
      </c>
      <c r="O31">
        <v>207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t="s">
        <v>199</v>
      </c>
      <c r="Y31">
        <v>0</v>
      </c>
      <c r="Z31">
        <v>0</v>
      </c>
      <c r="AA31">
        <v>10</v>
      </c>
    </row>
    <row r="32" spans="1:27">
      <c r="A32">
        <v>27</v>
      </c>
      <c r="B32">
        <v>2001</v>
      </c>
      <c r="C32">
        <v>14</v>
      </c>
      <c r="D32" t="s">
        <v>76</v>
      </c>
      <c r="E32">
        <f>INDEX([1]用户升级!$G$20:$G$89,MATCH(C32,[1]用户升级!$A$20:$A$89,0))</f>
        <v>48</v>
      </c>
      <c r="F32">
        <f t="shared" si="0"/>
        <v>96</v>
      </c>
      <c r="G32">
        <v>1001</v>
      </c>
      <c r="H32">
        <v>0</v>
      </c>
      <c r="I32">
        <v>0</v>
      </c>
      <c r="J32">
        <v>0</v>
      </c>
      <c r="K32">
        <v>0</v>
      </c>
      <c r="L32">
        <v>648</v>
      </c>
      <c r="M32">
        <v>0</v>
      </c>
      <c r="N32">
        <v>199</v>
      </c>
      <c r="O32">
        <v>244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 t="s">
        <v>200</v>
      </c>
      <c r="Y32">
        <v>0</v>
      </c>
      <c r="Z32">
        <v>0</v>
      </c>
      <c r="AA32">
        <v>10</v>
      </c>
    </row>
    <row r="33" spans="1:27">
      <c r="A33">
        <v>28</v>
      </c>
      <c r="B33">
        <v>2001</v>
      </c>
      <c r="C33">
        <v>13</v>
      </c>
      <c r="D33" t="s">
        <v>81</v>
      </c>
      <c r="E33">
        <f>INDEX([1]用户升级!$G$20:$G$89,MATCH(C33,[1]用户升级!$A$20:$A$89,0))</f>
        <v>44</v>
      </c>
      <c r="F33">
        <f t="shared" si="0"/>
        <v>88</v>
      </c>
      <c r="G33">
        <v>1001</v>
      </c>
      <c r="H33">
        <v>0</v>
      </c>
      <c r="I33">
        <v>0</v>
      </c>
      <c r="J33">
        <v>0</v>
      </c>
      <c r="K33">
        <v>0</v>
      </c>
      <c r="L33">
        <v>571</v>
      </c>
      <c r="M33">
        <v>0</v>
      </c>
      <c r="N33">
        <v>184</v>
      </c>
      <c r="O33">
        <v>226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 t="s">
        <v>201</v>
      </c>
      <c r="Y33">
        <v>0</v>
      </c>
      <c r="Z33">
        <v>0</v>
      </c>
      <c r="AA33">
        <v>10</v>
      </c>
    </row>
    <row r="34" spans="1:27">
      <c r="A34">
        <v>29</v>
      </c>
      <c r="B34">
        <v>2001</v>
      </c>
      <c r="C34">
        <v>14</v>
      </c>
      <c r="D34" t="s">
        <v>82</v>
      </c>
      <c r="E34">
        <f>INDEX([1]用户升级!$G$20:$G$89,MATCH(C34,[1]用户升级!$A$20:$A$89,0))</f>
        <v>48</v>
      </c>
      <c r="F34">
        <f t="shared" si="0"/>
        <v>96</v>
      </c>
      <c r="G34">
        <v>1001</v>
      </c>
      <c r="H34">
        <v>0</v>
      </c>
      <c r="I34">
        <v>0</v>
      </c>
      <c r="J34">
        <v>0</v>
      </c>
      <c r="K34">
        <v>0</v>
      </c>
      <c r="L34">
        <v>680</v>
      </c>
      <c r="M34">
        <v>0</v>
      </c>
      <c r="N34">
        <v>217</v>
      </c>
      <c r="O34">
        <v>265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 t="s">
        <v>202</v>
      </c>
      <c r="Y34">
        <v>0</v>
      </c>
      <c r="Z34">
        <v>0</v>
      </c>
      <c r="AA34">
        <v>10</v>
      </c>
    </row>
    <row r="35" spans="1:27">
      <c r="A35">
        <v>30</v>
      </c>
      <c r="B35">
        <v>2001</v>
      </c>
      <c r="C35">
        <v>15</v>
      </c>
      <c r="D35" t="s">
        <v>321</v>
      </c>
      <c r="E35">
        <f>INDEX([1]用户升级!$G$20:$G$89,MATCH(C35,[1]用户升级!$A$20:$A$89,0))</f>
        <v>52</v>
      </c>
      <c r="F35">
        <f t="shared" si="0"/>
        <v>104</v>
      </c>
      <c r="G35">
        <v>1001</v>
      </c>
      <c r="H35">
        <v>0</v>
      </c>
      <c r="I35">
        <v>0</v>
      </c>
      <c r="J35">
        <v>0</v>
      </c>
      <c r="K35">
        <v>0</v>
      </c>
      <c r="L35">
        <v>779</v>
      </c>
      <c r="M35">
        <v>0</v>
      </c>
      <c r="N35">
        <v>233</v>
      </c>
      <c r="O35">
        <v>285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 t="s">
        <v>203</v>
      </c>
      <c r="Y35">
        <v>0</v>
      </c>
      <c r="Z35">
        <v>0</v>
      </c>
      <c r="AA35">
        <v>10</v>
      </c>
    </row>
    <row r="36" spans="1:27">
      <c r="A36">
        <v>31</v>
      </c>
      <c r="B36">
        <v>2001</v>
      </c>
      <c r="C36">
        <v>16</v>
      </c>
      <c r="D36" t="s">
        <v>322</v>
      </c>
      <c r="E36">
        <f>INDEX([1]用户升级!$G$20:$G$89,MATCH(C36,[1]用户升级!$A$20:$A$89,0))</f>
        <v>56</v>
      </c>
      <c r="F36">
        <f t="shared" si="0"/>
        <v>112</v>
      </c>
      <c r="G36">
        <v>1001</v>
      </c>
      <c r="H36">
        <v>0</v>
      </c>
      <c r="I36">
        <v>0</v>
      </c>
      <c r="J36">
        <v>0</v>
      </c>
      <c r="K36">
        <v>0</v>
      </c>
      <c r="L36">
        <v>883</v>
      </c>
      <c r="M36">
        <v>0</v>
      </c>
      <c r="N36">
        <v>263</v>
      </c>
      <c r="O36">
        <v>321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 t="s">
        <v>204</v>
      </c>
      <c r="Y36">
        <v>0</v>
      </c>
      <c r="Z36">
        <v>0</v>
      </c>
      <c r="AA36">
        <v>10</v>
      </c>
    </row>
    <row r="37" spans="1:27">
      <c r="A37">
        <v>32</v>
      </c>
      <c r="B37">
        <v>2001</v>
      </c>
      <c r="C37">
        <v>15</v>
      </c>
      <c r="D37" t="s">
        <v>77</v>
      </c>
      <c r="E37">
        <f>INDEX([1]用户升级!$G$20:$G$89,MATCH(C37,[1]用户升级!$A$20:$A$89,0))</f>
        <v>52</v>
      </c>
      <c r="F37">
        <f t="shared" si="0"/>
        <v>104</v>
      </c>
      <c r="G37">
        <v>1001</v>
      </c>
      <c r="H37">
        <v>0</v>
      </c>
      <c r="I37">
        <v>0</v>
      </c>
      <c r="J37">
        <v>0</v>
      </c>
      <c r="K37">
        <v>0</v>
      </c>
      <c r="L37">
        <v>818</v>
      </c>
      <c r="M37">
        <v>0</v>
      </c>
      <c r="N37">
        <v>248</v>
      </c>
      <c r="O37">
        <v>303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 t="s">
        <v>205</v>
      </c>
      <c r="Y37">
        <v>0</v>
      </c>
      <c r="Z37">
        <v>0</v>
      </c>
      <c r="AA37">
        <v>10</v>
      </c>
    </row>
    <row r="38" spans="1:27">
      <c r="A38">
        <v>33</v>
      </c>
      <c r="B38">
        <v>2001</v>
      </c>
      <c r="C38">
        <v>16</v>
      </c>
      <c r="D38" t="s">
        <v>78</v>
      </c>
      <c r="E38">
        <f>INDEX([1]用户升级!$G$20:$G$89,MATCH(C38,[1]用户升级!$A$20:$A$89,0))</f>
        <v>56</v>
      </c>
      <c r="F38">
        <f t="shared" si="0"/>
        <v>112</v>
      </c>
      <c r="G38">
        <v>1001</v>
      </c>
      <c r="H38">
        <v>0</v>
      </c>
      <c r="I38">
        <v>0</v>
      </c>
      <c r="J38">
        <v>0</v>
      </c>
      <c r="K38">
        <v>0</v>
      </c>
      <c r="L38">
        <v>927</v>
      </c>
      <c r="M38">
        <v>0</v>
      </c>
      <c r="N38">
        <v>279</v>
      </c>
      <c r="O38">
        <v>341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 t="s">
        <v>206</v>
      </c>
      <c r="Y38">
        <v>0</v>
      </c>
      <c r="Z38">
        <v>0</v>
      </c>
      <c r="AA38">
        <v>10</v>
      </c>
    </row>
    <row r="39" spans="1:27">
      <c r="A39">
        <v>34</v>
      </c>
      <c r="B39">
        <v>2001</v>
      </c>
      <c r="C39">
        <v>17</v>
      </c>
      <c r="D39" t="s">
        <v>79</v>
      </c>
      <c r="E39">
        <f>INDEX([1]用户升级!$G$20:$G$89,MATCH(C39,[1]用户升级!$A$20:$A$89,0))</f>
        <v>60</v>
      </c>
      <c r="F39">
        <f t="shared" si="0"/>
        <v>120</v>
      </c>
      <c r="G39">
        <v>1001</v>
      </c>
      <c r="H39">
        <v>0</v>
      </c>
      <c r="I39">
        <v>0</v>
      </c>
      <c r="J39">
        <v>0</v>
      </c>
      <c r="K39">
        <v>0</v>
      </c>
      <c r="L39">
        <v>1050</v>
      </c>
      <c r="M39">
        <v>0</v>
      </c>
      <c r="N39">
        <v>294</v>
      </c>
      <c r="O39">
        <v>359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 t="s">
        <v>207</v>
      </c>
      <c r="Y39">
        <v>0</v>
      </c>
      <c r="Z39">
        <v>0</v>
      </c>
      <c r="AA39">
        <v>10</v>
      </c>
    </row>
    <row r="40" spans="1:27">
      <c r="A40">
        <v>35</v>
      </c>
      <c r="B40">
        <v>2001</v>
      </c>
      <c r="C40">
        <v>18</v>
      </c>
      <c r="D40" t="s">
        <v>80</v>
      </c>
      <c r="E40">
        <f>INDEX([1]用户升级!$G$20:$G$89,MATCH(C40,[1]用户升级!$A$20:$A$89,0))</f>
        <v>64</v>
      </c>
      <c r="F40">
        <f t="shared" si="0"/>
        <v>128</v>
      </c>
      <c r="G40">
        <v>1001</v>
      </c>
      <c r="H40">
        <v>0</v>
      </c>
      <c r="I40">
        <v>0</v>
      </c>
      <c r="J40">
        <v>0</v>
      </c>
      <c r="K40">
        <v>0</v>
      </c>
      <c r="L40">
        <v>1180</v>
      </c>
      <c r="M40">
        <v>0</v>
      </c>
      <c r="N40">
        <v>329</v>
      </c>
      <c r="O40">
        <v>402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 t="s">
        <v>208</v>
      </c>
      <c r="Y40">
        <v>0</v>
      </c>
      <c r="Z40">
        <v>0</v>
      </c>
      <c r="AA40">
        <v>10</v>
      </c>
    </row>
    <row r="41" spans="1:27">
      <c r="A41">
        <v>36</v>
      </c>
      <c r="B41">
        <v>2001</v>
      </c>
      <c r="C41">
        <v>17</v>
      </c>
      <c r="D41" t="s">
        <v>83</v>
      </c>
      <c r="E41">
        <f>INDEX([1]用户升级!$G$20:$G$89,MATCH(C41,[1]用户升级!$A$20:$A$89,0))</f>
        <v>60</v>
      </c>
      <c r="F41">
        <f t="shared" si="0"/>
        <v>120</v>
      </c>
      <c r="G41">
        <v>1001</v>
      </c>
      <c r="H41">
        <v>0</v>
      </c>
      <c r="I41">
        <v>0</v>
      </c>
      <c r="J41">
        <v>0</v>
      </c>
      <c r="K41">
        <v>0</v>
      </c>
      <c r="L41">
        <v>1103</v>
      </c>
      <c r="M41">
        <v>0</v>
      </c>
      <c r="N41">
        <v>311</v>
      </c>
      <c r="O41">
        <v>381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 t="s">
        <v>209</v>
      </c>
      <c r="Y41">
        <v>0</v>
      </c>
      <c r="Z41">
        <v>0</v>
      </c>
      <c r="AA41">
        <v>10</v>
      </c>
    </row>
    <row r="42" spans="1:27">
      <c r="A42">
        <v>37</v>
      </c>
      <c r="B42">
        <v>2001</v>
      </c>
      <c r="C42">
        <v>18</v>
      </c>
      <c r="D42" t="s">
        <v>84</v>
      </c>
      <c r="E42">
        <f>INDEX([1]用户升级!$G$20:$G$89,MATCH(C42,[1]用户升级!$A$20:$A$89,0))</f>
        <v>64</v>
      </c>
      <c r="F42">
        <f t="shared" si="0"/>
        <v>128</v>
      </c>
      <c r="G42">
        <v>1001</v>
      </c>
      <c r="H42">
        <v>0</v>
      </c>
      <c r="I42">
        <v>0</v>
      </c>
      <c r="J42">
        <v>0</v>
      </c>
      <c r="K42">
        <v>0</v>
      </c>
      <c r="L42">
        <v>1239</v>
      </c>
      <c r="M42">
        <v>0</v>
      </c>
      <c r="N42">
        <v>349</v>
      </c>
      <c r="O42">
        <v>427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 t="s">
        <v>210</v>
      </c>
      <c r="Y42">
        <v>0</v>
      </c>
      <c r="Z42">
        <v>0</v>
      </c>
      <c r="AA42">
        <v>10</v>
      </c>
    </row>
    <row r="43" spans="1:27">
      <c r="A43">
        <v>38</v>
      </c>
      <c r="B43">
        <v>2001</v>
      </c>
      <c r="C43">
        <v>19</v>
      </c>
      <c r="D43" t="s">
        <v>85</v>
      </c>
      <c r="E43">
        <f>INDEX([1]用户升级!$G$20:$G$89,MATCH(C43,[1]用户升级!$A$20:$A$89,0))</f>
        <v>68</v>
      </c>
      <c r="F43">
        <f t="shared" si="0"/>
        <v>136</v>
      </c>
      <c r="G43">
        <v>1001</v>
      </c>
      <c r="H43">
        <v>0</v>
      </c>
      <c r="I43">
        <v>0</v>
      </c>
      <c r="J43">
        <v>0</v>
      </c>
      <c r="K43">
        <v>0</v>
      </c>
      <c r="L43">
        <v>1386</v>
      </c>
      <c r="M43">
        <v>0</v>
      </c>
      <c r="N43">
        <v>368</v>
      </c>
      <c r="O43">
        <v>450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 t="s">
        <v>211</v>
      </c>
      <c r="Y43">
        <v>0</v>
      </c>
      <c r="Z43">
        <v>0</v>
      </c>
      <c r="AA43">
        <v>10</v>
      </c>
    </row>
    <row r="44" spans="1:27">
      <c r="A44">
        <v>39</v>
      </c>
      <c r="B44">
        <v>2001</v>
      </c>
      <c r="C44">
        <v>20</v>
      </c>
      <c r="D44" t="s">
        <v>86</v>
      </c>
      <c r="E44">
        <f>INDEX([1]用户升级!$G$20:$G$89,MATCH(C44,[1]用户升级!$A$20:$A$89,0))</f>
        <v>72</v>
      </c>
      <c r="F44">
        <f t="shared" si="0"/>
        <v>144</v>
      </c>
      <c r="G44">
        <v>1001</v>
      </c>
      <c r="H44">
        <v>0</v>
      </c>
      <c r="I44">
        <v>0</v>
      </c>
      <c r="J44">
        <v>0</v>
      </c>
      <c r="K44">
        <v>0</v>
      </c>
      <c r="L44">
        <v>1554</v>
      </c>
      <c r="M44">
        <v>0</v>
      </c>
      <c r="N44">
        <v>410</v>
      </c>
      <c r="O44">
        <v>501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 t="s">
        <v>212</v>
      </c>
      <c r="Y44">
        <v>0</v>
      </c>
      <c r="Z44">
        <v>0</v>
      </c>
      <c r="AA44">
        <v>10</v>
      </c>
    </row>
    <row r="45" spans="1:27">
      <c r="A45">
        <v>40</v>
      </c>
      <c r="B45">
        <v>2001</v>
      </c>
      <c r="C45">
        <v>19</v>
      </c>
      <c r="D45" t="s">
        <v>87</v>
      </c>
      <c r="E45">
        <f>INDEX([1]用户升级!$G$20:$G$89,MATCH(C45,[1]用户升级!$A$20:$A$89,0))</f>
        <v>68</v>
      </c>
      <c r="F45">
        <f t="shared" si="0"/>
        <v>136</v>
      </c>
      <c r="G45">
        <v>1001</v>
      </c>
      <c r="H45">
        <v>0</v>
      </c>
      <c r="I45">
        <v>0</v>
      </c>
      <c r="J45">
        <v>0</v>
      </c>
      <c r="K45">
        <v>0</v>
      </c>
      <c r="L45">
        <v>1455</v>
      </c>
      <c r="M45">
        <v>0</v>
      </c>
      <c r="N45">
        <v>390</v>
      </c>
      <c r="O45">
        <v>476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 t="s">
        <v>213</v>
      </c>
      <c r="Y45">
        <v>0</v>
      </c>
      <c r="Z45">
        <v>0</v>
      </c>
      <c r="AA45">
        <v>10</v>
      </c>
    </row>
    <row r="46" spans="1:27">
      <c r="A46">
        <v>41</v>
      </c>
      <c r="B46">
        <v>2001</v>
      </c>
      <c r="C46">
        <v>20</v>
      </c>
      <c r="D46" t="s">
        <v>88</v>
      </c>
      <c r="E46">
        <f>INDEX([1]用户升级!$G$20:$G$89,MATCH(C46,[1]用户升级!$A$20:$A$89,0))</f>
        <v>72</v>
      </c>
      <c r="F46">
        <f t="shared" si="0"/>
        <v>144</v>
      </c>
      <c r="G46">
        <v>1001</v>
      </c>
      <c r="H46">
        <v>0</v>
      </c>
      <c r="I46">
        <v>0</v>
      </c>
      <c r="J46">
        <v>0</v>
      </c>
      <c r="K46">
        <v>0</v>
      </c>
      <c r="L46">
        <v>1632</v>
      </c>
      <c r="M46">
        <v>0</v>
      </c>
      <c r="N46">
        <v>427</v>
      </c>
      <c r="O46">
        <v>523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 t="s">
        <v>214</v>
      </c>
      <c r="Y46">
        <v>0</v>
      </c>
      <c r="Z46">
        <v>0</v>
      </c>
      <c r="AA46">
        <v>10</v>
      </c>
    </row>
    <row r="47" spans="1:27">
      <c r="A47">
        <v>42</v>
      </c>
      <c r="B47">
        <v>2001</v>
      </c>
      <c r="C47">
        <v>21</v>
      </c>
      <c r="D47" t="s">
        <v>89</v>
      </c>
      <c r="E47">
        <f>INDEX([1]用户升级!$G$20:$G$89,MATCH(C47,[1]用户升级!$A$20:$A$89,0))</f>
        <v>78</v>
      </c>
      <c r="F47">
        <f t="shared" si="0"/>
        <v>156</v>
      </c>
      <c r="G47">
        <v>1001</v>
      </c>
      <c r="H47">
        <v>0</v>
      </c>
      <c r="I47">
        <v>0</v>
      </c>
      <c r="J47">
        <v>0</v>
      </c>
      <c r="K47">
        <v>0</v>
      </c>
      <c r="L47">
        <v>1826</v>
      </c>
      <c r="M47">
        <v>0</v>
      </c>
      <c r="N47">
        <v>445</v>
      </c>
      <c r="O47">
        <v>544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 t="s">
        <v>215</v>
      </c>
      <c r="Y47">
        <v>0</v>
      </c>
      <c r="Z47">
        <v>0</v>
      </c>
      <c r="AA47">
        <v>10</v>
      </c>
    </row>
    <row r="48" spans="1:27">
      <c r="A48">
        <v>43</v>
      </c>
      <c r="B48">
        <v>2001</v>
      </c>
      <c r="C48">
        <v>22</v>
      </c>
      <c r="D48" t="s">
        <v>90</v>
      </c>
      <c r="E48">
        <f>INDEX([1]用户升级!$G$20:$G$89,MATCH(C48,[1]用户升级!$A$20:$A$89,0))</f>
        <v>84</v>
      </c>
      <c r="F48">
        <f t="shared" si="0"/>
        <v>168</v>
      </c>
      <c r="G48">
        <v>1001</v>
      </c>
      <c r="H48">
        <v>0</v>
      </c>
      <c r="I48">
        <v>0</v>
      </c>
      <c r="J48">
        <v>0</v>
      </c>
      <c r="K48">
        <v>0</v>
      </c>
      <c r="L48">
        <v>2024</v>
      </c>
      <c r="M48">
        <v>0</v>
      </c>
      <c r="N48">
        <v>483</v>
      </c>
      <c r="O48">
        <v>590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 t="s">
        <v>216</v>
      </c>
      <c r="Y48">
        <v>0</v>
      </c>
      <c r="Z48">
        <v>0</v>
      </c>
      <c r="AA48">
        <v>10</v>
      </c>
    </row>
    <row r="49" spans="1:27">
      <c r="A49">
        <v>44</v>
      </c>
      <c r="B49">
        <v>2001</v>
      </c>
      <c r="C49">
        <v>21</v>
      </c>
      <c r="D49" t="s">
        <v>93</v>
      </c>
      <c r="E49">
        <f>INDEX([1]用户升级!$G$20:$G$89,MATCH(C49,[1]用户升级!$A$20:$A$89,0))</f>
        <v>78</v>
      </c>
      <c r="F49">
        <f t="shared" si="0"/>
        <v>156</v>
      </c>
      <c r="G49">
        <v>1001</v>
      </c>
      <c r="H49">
        <v>0</v>
      </c>
      <c r="I49">
        <v>0</v>
      </c>
      <c r="J49">
        <v>0</v>
      </c>
      <c r="K49">
        <v>0</v>
      </c>
      <c r="L49">
        <v>1917</v>
      </c>
      <c r="M49">
        <v>0</v>
      </c>
      <c r="N49">
        <v>464</v>
      </c>
      <c r="O49">
        <v>567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 t="s">
        <v>217</v>
      </c>
      <c r="Y49">
        <v>0</v>
      </c>
      <c r="Z49">
        <v>0</v>
      </c>
      <c r="AA49">
        <v>10</v>
      </c>
    </row>
    <row r="50" spans="1:27">
      <c r="A50">
        <v>45</v>
      </c>
      <c r="B50">
        <v>2001</v>
      </c>
      <c r="C50">
        <v>22</v>
      </c>
      <c r="D50" t="s">
        <v>94</v>
      </c>
      <c r="E50">
        <f>INDEX([1]用户升级!$G$20:$G$89,MATCH(C50,[1]用户升级!$A$20:$A$89,0))</f>
        <v>84</v>
      </c>
      <c r="F50">
        <f t="shared" si="0"/>
        <v>168</v>
      </c>
      <c r="G50">
        <v>1001</v>
      </c>
      <c r="H50">
        <v>0</v>
      </c>
      <c r="I50">
        <v>0</v>
      </c>
      <c r="J50">
        <v>0</v>
      </c>
      <c r="K50">
        <v>0</v>
      </c>
      <c r="L50">
        <v>2125</v>
      </c>
      <c r="M50">
        <v>0</v>
      </c>
      <c r="N50">
        <v>503</v>
      </c>
      <c r="O50">
        <v>615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 t="s">
        <v>218</v>
      </c>
      <c r="Y50">
        <v>0</v>
      </c>
      <c r="Z50">
        <v>0</v>
      </c>
      <c r="AA50">
        <v>10</v>
      </c>
    </row>
    <row r="51" spans="1:27">
      <c r="A51">
        <v>46</v>
      </c>
      <c r="B51">
        <v>2001</v>
      </c>
      <c r="C51">
        <v>23</v>
      </c>
      <c r="D51" t="s">
        <v>95</v>
      </c>
      <c r="E51">
        <f>INDEX([1]用户升级!$G$20:$G$89,MATCH(C51,[1]用户升级!$A$20:$A$89,0))</f>
        <v>90</v>
      </c>
      <c r="F51">
        <f t="shared" si="0"/>
        <v>180</v>
      </c>
      <c r="G51">
        <v>1001</v>
      </c>
      <c r="H51">
        <v>0</v>
      </c>
      <c r="I51">
        <v>0</v>
      </c>
      <c r="J51">
        <v>0</v>
      </c>
      <c r="K51">
        <v>0</v>
      </c>
      <c r="L51">
        <v>2346</v>
      </c>
      <c r="M51">
        <v>0</v>
      </c>
      <c r="N51">
        <v>522</v>
      </c>
      <c r="O51">
        <v>638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 t="s">
        <v>219</v>
      </c>
      <c r="Y51">
        <v>0</v>
      </c>
      <c r="Z51">
        <v>0</v>
      </c>
      <c r="AA51">
        <v>10</v>
      </c>
    </row>
    <row r="52" spans="1:27">
      <c r="A52">
        <v>47</v>
      </c>
      <c r="B52">
        <v>2001</v>
      </c>
      <c r="C52">
        <v>24</v>
      </c>
      <c r="D52" t="s">
        <v>96</v>
      </c>
      <c r="E52">
        <f>INDEX([1]用户升级!$G$20:$G$89,MATCH(C52,[1]用户升级!$A$20:$A$89,0))</f>
        <v>96</v>
      </c>
      <c r="F52">
        <f t="shared" si="0"/>
        <v>192</v>
      </c>
      <c r="G52">
        <v>1001</v>
      </c>
      <c r="H52">
        <v>0</v>
      </c>
      <c r="I52">
        <v>0</v>
      </c>
      <c r="J52">
        <v>0</v>
      </c>
      <c r="K52">
        <v>0</v>
      </c>
      <c r="L52">
        <v>2599</v>
      </c>
      <c r="M52">
        <v>0</v>
      </c>
      <c r="N52">
        <v>564</v>
      </c>
      <c r="O52">
        <v>689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 t="s">
        <v>220</v>
      </c>
      <c r="Y52">
        <v>0</v>
      </c>
      <c r="Z52">
        <v>0</v>
      </c>
      <c r="AA52">
        <v>10</v>
      </c>
    </row>
    <row r="53" spans="1:27">
      <c r="A53">
        <v>48</v>
      </c>
      <c r="B53">
        <v>2001</v>
      </c>
      <c r="C53">
        <v>23</v>
      </c>
      <c r="D53" t="s">
        <v>318</v>
      </c>
      <c r="E53">
        <f>INDEX([1]用户升级!$G$20:$G$89,MATCH(C53,[1]用户升级!$A$20:$A$89,0))</f>
        <v>90</v>
      </c>
      <c r="F53">
        <f t="shared" si="0"/>
        <v>180</v>
      </c>
      <c r="G53">
        <v>1001</v>
      </c>
      <c r="H53">
        <v>0</v>
      </c>
      <c r="I53">
        <v>0</v>
      </c>
      <c r="J53">
        <v>0</v>
      </c>
      <c r="K53">
        <v>0</v>
      </c>
      <c r="L53">
        <v>2463</v>
      </c>
      <c r="M53">
        <v>0</v>
      </c>
      <c r="N53">
        <v>544</v>
      </c>
      <c r="O53">
        <v>664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 t="s">
        <v>221</v>
      </c>
      <c r="Y53">
        <v>0</v>
      </c>
      <c r="Z53">
        <v>0</v>
      </c>
      <c r="AA53">
        <v>10</v>
      </c>
    </row>
    <row r="54" spans="1:27">
      <c r="A54">
        <v>49</v>
      </c>
      <c r="B54">
        <v>2001</v>
      </c>
      <c r="C54">
        <v>24</v>
      </c>
      <c r="D54" t="s">
        <v>100</v>
      </c>
      <c r="E54">
        <f>INDEX([1]用户升级!$G$20:$G$89,MATCH(C54,[1]用户升级!$A$20:$A$89,0))</f>
        <v>96</v>
      </c>
      <c r="F54">
        <f t="shared" si="0"/>
        <v>192</v>
      </c>
      <c r="G54">
        <v>1001</v>
      </c>
      <c r="H54">
        <v>0</v>
      </c>
      <c r="I54">
        <v>0</v>
      </c>
      <c r="J54">
        <v>0</v>
      </c>
      <c r="K54">
        <v>0</v>
      </c>
      <c r="L54">
        <v>2729</v>
      </c>
      <c r="M54">
        <v>0</v>
      </c>
      <c r="N54">
        <v>587</v>
      </c>
      <c r="O54">
        <v>717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 t="s">
        <v>222</v>
      </c>
      <c r="Y54">
        <v>0</v>
      </c>
      <c r="Z54">
        <v>0</v>
      </c>
      <c r="AA54">
        <v>10</v>
      </c>
    </row>
    <row r="55" spans="1:27">
      <c r="A55">
        <v>50</v>
      </c>
      <c r="B55">
        <v>2001</v>
      </c>
      <c r="C55">
        <v>25</v>
      </c>
      <c r="D55" t="s">
        <v>101</v>
      </c>
      <c r="E55">
        <f>INDEX([1]用户升级!$G$20:$G$89,MATCH(C55,[1]用户升级!$A$20:$A$89,0))</f>
        <v>102</v>
      </c>
      <c r="F55">
        <f t="shared" si="0"/>
        <v>204</v>
      </c>
      <c r="G55">
        <v>1001</v>
      </c>
      <c r="H55">
        <v>0</v>
      </c>
      <c r="I55">
        <v>0</v>
      </c>
      <c r="J55">
        <v>0</v>
      </c>
      <c r="K55">
        <v>0</v>
      </c>
      <c r="L55">
        <v>3000</v>
      </c>
      <c r="M55">
        <v>0</v>
      </c>
      <c r="N55">
        <v>610</v>
      </c>
      <c r="O55">
        <v>745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 t="s">
        <v>223</v>
      </c>
      <c r="Y55">
        <v>0</v>
      </c>
      <c r="Z55">
        <v>0</v>
      </c>
      <c r="AA55">
        <v>10</v>
      </c>
    </row>
    <row r="56" spans="1:27">
      <c r="A56">
        <v>51</v>
      </c>
      <c r="B56">
        <v>2001</v>
      </c>
      <c r="C56">
        <v>26</v>
      </c>
      <c r="D56" t="s">
        <v>329</v>
      </c>
      <c r="E56">
        <f>INDEX([1]用户升级!$G$20:$G$89,MATCH(C56,[1]用户升级!$A$20:$A$89,0))</f>
        <v>108</v>
      </c>
      <c r="F56">
        <f t="shared" si="0"/>
        <v>216</v>
      </c>
      <c r="G56">
        <v>1001</v>
      </c>
      <c r="H56">
        <v>0</v>
      </c>
      <c r="I56">
        <v>0</v>
      </c>
      <c r="J56">
        <v>0</v>
      </c>
      <c r="K56">
        <v>0</v>
      </c>
      <c r="L56">
        <v>3300</v>
      </c>
      <c r="M56">
        <v>0</v>
      </c>
      <c r="N56">
        <v>673</v>
      </c>
      <c r="O56">
        <v>823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 t="s">
        <v>224</v>
      </c>
      <c r="Y56">
        <v>0</v>
      </c>
      <c r="Z56">
        <v>0</v>
      </c>
      <c r="AA56">
        <v>10</v>
      </c>
    </row>
    <row r="57" spans="1:27">
      <c r="A57">
        <v>52</v>
      </c>
      <c r="B57">
        <v>2001</v>
      </c>
      <c r="C57">
        <v>25</v>
      </c>
      <c r="D57" t="s">
        <v>91</v>
      </c>
      <c r="E57">
        <f>INDEX([1]用户升级!$G$20:$G$89,MATCH(C57,[1]用户升级!$A$20:$A$89,0))</f>
        <v>102</v>
      </c>
      <c r="F57">
        <f t="shared" si="0"/>
        <v>204</v>
      </c>
      <c r="G57">
        <v>1001</v>
      </c>
      <c r="H57">
        <v>0</v>
      </c>
      <c r="I57">
        <v>0</v>
      </c>
      <c r="J57">
        <v>0</v>
      </c>
      <c r="K57">
        <v>0</v>
      </c>
      <c r="L57">
        <v>3150</v>
      </c>
      <c r="M57">
        <v>0</v>
      </c>
      <c r="N57">
        <v>642</v>
      </c>
      <c r="O57">
        <v>785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 t="s">
        <v>225</v>
      </c>
      <c r="Y57">
        <v>0</v>
      </c>
      <c r="Z57">
        <v>0</v>
      </c>
      <c r="AA57">
        <v>10</v>
      </c>
    </row>
    <row r="58" spans="1:27">
      <c r="A58">
        <v>53</v>
      </c>
      <c r="B58">
        <v>2001</v>
      </c>
      <c r="C58">
        <v>26</v>
      </c>
      <c r="D58" t="s">
        <v>92</v>
      </c>
      <c r="E58">
        <f>INDEX([1]用户升级!$G$20:$G$89,MATCH(C58,[1]用户升级!$A$20:$A$89,0))</f>
        <v>108</v>
      </c>
      <c r="F58">
        <f t="shared" si="0"/>
        <v>216</v>
      </c>
      <c r="G58">
        <v>1001</v>
      </c>
      <c r="H58">
        <v>0</v>
      </c>
      <c r="I58">
        <v>0</v>
      </c>
      <c r="J58">
        <v>0</v>
      </c>
      <c r="K58">
        <v>0</v>
      </c>
      <c r="L58">
        <v>3465</v>
      </c>
      <c r="M58">
        <v>0</v>
      </c>
      <c r="N58">
        <v>708</v>
      </c>
      <c r="O58">
        <v>866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 t="s">
        <v>226</v>
      </c>
      <c r="Y58">
        <v>0</v>
      </c>
      <c r="Z58">
        <v>0</v>
      </c>
      <c r="AA58">
        <v>10</v>
      </c>
    </row>
    <row r="59" spans="1:27">
      <c r="A59">
        <v>54</v>
      </c>
      <c r="B59">
        <v>2001</v>
      </c>
      <c r="C59">
        <v>27</v>
      </c>
      <c r="D59" t="s">
        <v>326</v>
      </c>
      <c r="E59">
        <f>INDEX([1]用户升级!$G$20:$G$89,MATCH(C59,[1]用户升级!$A$20:$A$89,0))</f>
        <v>114</v>
      </c>
      <c r="F59">
        <f t="shared" si="0"/>
        <v>228</v>
      </c>
      <c r="G59">
        <v>1001</v>
      </c>
      <c r="H59">
        <v>0</v>
      </c>
      <c r="I59">
        <v>0</v>
      </c>
      <c r="J59">
        <v>0</v>
      </c>
      <c r="K59">
        <v>0</v>
      </c>
      <c r="L59">
        <v>3775</v>
      </c>
      <c r="M59">
        <v>0</v>
      </c>
      <c r="N59">
        <v>743</v>
      </c>
      <c r="O59">
        <v>909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 t="s">
        <v>227</v>
      </c>
      <c r="Y59">
        <v>0</v>
      </c>
      <c r="Z59">
        <v>0</v>
      </c>
      <c r="AA59">
        <v>10</v>
      </c>
    </row>
    <row r="60" spans="1:27">
      <c r="A60">
        <v>55</v>
      </c>
      <c r="B60">
        <v>2001</v>
      </c>
      <c r="C60">
        <v>28</v>
      </c>
      <c r="D60" t="s">
        <v>327</v>
      </c>
      <c r="E60">
        <f>INDEX([1]用户升级!$G$20:$G$89,MATCH(C60,[1]用户升级!$A$20:$A$89,0))</f>
        <v>120</v>
      </c>
      <c r="F60">
        <f t="shared" si="0"/>
        <v>240</v>
      </c>
      <c r="G60">
        <v>1001</v>
      </c>
      <c r="H60">
        <v>0</v>
      </c>
      <c r="I60">
        <v>0</v>
      </c>
      <c r="J60">
        <v>0</v>
      </c>
      <c r="K60">
        <v>0</v>
      </c>
      <c r="L60">
        <v>4125</v>
      </c>
      <c r="M60">
        <v>0</v>
      </c>
      <c r="N60">
        <v>819</v>
      </c>
      <c r="O60">
        <v>1001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 t="s">
        <v>228</v>
      </c>
      <c r="Y60">
        <v>0</v>
      </c>
      <c r="Z60">
        <v>0</v>
      </c>
      <c r="AA60">
        <v>10</v>
      </c>
    </row>
    <row r="61" spans="1:27">
      <c r="A61">
        <v>56</v>
      </c>
      <c r="B61">
        <v>2001</v>
      </c>
      <c r="C61">
        <v>27</v>
      </c>
      <c r="D61" t="s">
        <v>328</v>
      </c>
      <c r="E61">
        <f>INDEX([1]用户升级!$G$20:$G$89,MATCH(C61,[1]用户升级!$A$20:$A$89,0))</f>
        <v>114</v>
      </c>
      <c r="F61">
        <f t="shared" si="0"/>
        <v>228</v>
      </c>
      <c r="G61">
        <v>1001</v>
      </c>
      <c r="H61">
        <v>0</v>
      </c>
      <c r="I61">
        <v>0</v>
      </c>
      <c r="J61">
        <v>0</v>
      </c>
      <c r="K61">
        <v>0</v>
      </c>
      <c r="L61">
        <v>3964</v>
      </c>
      <c r="M61">
        <v>0</v>
      </c>
      <c r="N61">
        <v>781</v>
      </c>
      <c r="O61">
        <v>955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 t="s">
        <v>229</v>
      </c>
      <c r="Y61">
        <v>0</v>
      </c>
      <c r="Z61">
        <v>0</v>
      </c>
      <c r="AA61">
        <v>10</v>
      </c>
    </row>
    <row r="62" spans="1:27">
      <c r="A62">
        <v>57</v>
      </c>
      <c r="B62">
        <v>2001</v>
      </c>
      <c r="C62">
        <v>28</v>
      </c>
      <c r="D62" t="s">
        <v>323</v>
      </c>
      <c r="E62">
        <f>INDEX([1]用户升级!$G$20:$G$89,MATCH(C62,[1]用户升级!$A$20:$A$89,0))</f>
        <v>120</v>
      </c>
      <c r="F62">
        <f t="shared" si="0"/>
        <v>240</v>
      </c>
      <c r="G62">
        <v>1001</v>
      </c>
      <c r="H62">
        <v>0</v>
      </c>
      <c r="I62">
        <v>0</v>
      </c>
      <c r="J62">
        <v>0</v>
      </c>
      <c r="K62">
        <v>0</v>
      </c>
      <c r="L62">
        <v>4331</v>
      </c>
      <c r="M62">
        <v>0</v>
      </c>
      <c r="N62">
        <v>861</v>
      </c>
      <c r="O62">
        <v>1052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 t="s">
        <v>230</v>
      </c>
      <c r="Y62">
        <v>0</v>
      </c>
      <c r="Z62">
        <v>0</v>
      </c>
      <c r="AA62">
        <v>10</v>
      </c>
    </row>
    <row r="63" spans="1:27">
      <c r="A63">
        <v>58</v>
      </c>
      <c r="B63">
        <v>2001</v>
      </c>
      <c r="C63">
        <v>29</v>
      </c>
      <c r="D63" t="s">
        <v>108</v>
      </c>
      <c r="E63">
        <f>INDEX([1]用户升级!$G$20:$G$89,MATCH(C63,[1]用户升级!$A$20:$A$89,0))</f>
        <v>126</v>
      </c>
      <c r="F63">
        <f t="shared" si="0"/>
        <v>252</v>
      </c>
      <c r="G63">
        <v>1001</v>
      </c>
      <c r="H63">
        <v>0</v>
      </c>
      <c r="I63">
        <v>0</v>
      </c>
      <c r="J63">
        <v>0</v>
      </c>
      <c r="K63">
        <v>0</v>
      </c>
      <c r="L63">
        <v>4493</v>
      </c>
      <c r="M63">
        <v>0</v>
      </c>
      <c r="N63">
        <v>901</v>
      </c>
      <c r="O63">
        <v>1102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 t="s">
        <v>231</v>
      </c>
      <c r="Y63">
        <v>0</v>
      </c>
      <c r="Z63">
        <v>0</v>
      </c>
      <c r="AA63">
        <v>10</v>
      </c>
    </row>
    <row r="64" spans="1:27">
      <c r="A64">
        <v>59</v>
      </c>
      <c r="B64">
        <v>2001</v>
      </c>
      <c r="C64">
        <v>30</v>
      </c>
      <c r="D64" t="s">
        <v>109</v>
      </c>
      <c r="E64">
        <f>INDEX([1]用户升级!$G$20:$G$89,MATCH(C64,[1]用户升级!$A$20:$A$89,0))</f>
        <v>132</v>
      </c>
      <c r="F64">
        <f t="shared" si="0"/>
        <v>264</v>
      </c>
      <c r="G64">
        <v>1001</v>
      </c>
      <c r="H64">
        <v>0</v>
      </c>
      <c r="I64">
        <v>0</v>
      </c>
      <c r="J64">
        <v>0</v>
      </c>
      <c r="K64">
        <v>0</v>
      </c>
      <c r="L64">
        <v>5109</v>
      </c>
      <c r="M64">
        <v>0</v>
      </c>
      <c r="N64">
        <v>993</v>
      </c>
      <c r="O64">
        <v>1214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t="s">
        <v>232</v>
      </c>
      <c r="Y64">
        <v>0</v>
      </c>
      <c r="Z64">
        <v>0</v>
      </c>
      <c r="AA64">
        <v>10</v>
      </c>
    </row>
    <row r="65" spans="1:27">
      <c r="A65">
        <v>60</v>
      </c>
      <c r="B65">
        <v>2001</v>
      </c>
      <c r="C65">
        <v>29</v>
      </c>
      <c r="D65" t="s">
        <v>97</v>
      </c>
      <c r="E65">
        <f>INDEX([1]用户升级!$G$20:$G$89,MATCH(C65,[1]用户升级!$A$20:$A$89,0))</f>
        <v>126</v>
      </c>
      <c r="F65">
        <f t="shared" si="0"/>
        <v>252</v>
      </c>
      <c r="G65">
        <v>1001</v>
      </c>
      <c r="H65">
        <v>0</v>
      </c>
      <c r="I65">
        <v>0</v>
      </c>
      <c r="J65">
        <v>0</v>
      </c>
      <c r="K65">
        <v>0</v>
      </c>
      <c r="L65">
        <v>4718</v>
      </c>
      <c r="M65">
        <v>0</v>
      </c>
      <c r="N65">
        <v>947</v>
      </c>
      <c r="O65">
        <v>1158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 t="s">
        <v>233</v>
      </c>
      <c r="Y65">
        <v>0</v>
      </c>
      <c r="Z65">
        <v>0</v>
      </c>
      <c r="AA65">
        <v>10</v>
      </c>
    </row>
    <row r="66" spans="1:27">
      <c r="A66">
        <v>61</v>
      </c>
      <c r="B66">
        <v>2001</v>
      </c>
      <c r="C66">
        <v>30</v>
      </c>
      <c r="D66" t="s">
        <v>330</v>
      </c>
      <c r="E66">
        <f>INDEX([1]用户升级!$G$20:$G$89,MATCH(C66,[1]用户升级!$A$20:$A$89,0))</f>
        <v>132</v>
      </c>
      <c r="F66">
        <f t="shared" si="0"/>
        <v>264</v>
      </c>
      <c r="G66">
        <v>1001</v>
      </c>
      <c r="H66">
        <v>0</v>
      </c>
      <c r="I66">
        <v>0</v>
      </c>
      <c r="J66">
        <v>0</v>
      </c>
      <c r="K66">
        <v>0</v>
      </c>
      <c r="L66">
        <v>5364</v>
      </c>
      <c r="M66">
        <v>0</v>
      </c>
      <c r="N66">
        <v>1016</v>
      </c>
      <c r="O66">
        <v>1242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 t="s">
        <v>234</v>
      </c>
      <c r="Y66">
        <v>0</v>
      </c>
      <c r="Z66">
        <v>0</v>
      </c>
      <c r="AA66">
        <v>10</v>
      </c>
    </row>
    <row r="67" spans="1:27">
      <c r="A67">
        <v>62</v>
      </c>
      <c r="B67">
        <v>2001</v>
      </c>
      <c r="C67">
        <v>31</v>
      </c>
      <c r="D67" t="s">
        <v>98</v>
      </c>
      <c r="E67">
        <f>INDEX([1]用户升级!$G$20:$G$89,MATCH(C67,[1]用户升级!$A$20:$A$89,0))</f>
        <v>138</v>
      </c>
      <c r="F67">
        <f t="shared" si="0"/>
        <v>276</v>
      </c>
      <c r="G67">
        <v>1001</v>
      </c>
      <c r="H67">
        <v>0</v>
      </c>
      <c r="I67">
        <v>0</v>
      </c>
      <c r="J67">
        <v>0</v>
      </c>
      <c r="K67">
        <v>0</v>
      </c>
      <c r="L67">
        <v>5778</v>
      </c>
      <c r="M67">
        <v>0</v>
      </c>
      <c r="N67">
        <v>1039</v>
      </c>
      <c r="O67">
        <v>1270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 t="s">
        <v>235</v>
      </c>
      <c r="Y67">
        <v>0</v>
      </c>
      <c r="Z67">
        <v>0</v>
      </c>
      <c r="AA67">
        <v>10</v>
      </c>
    </row>
    <row r="68" spans="1:27">
      <c r="A68">
        <v>63</v>
      </c>
      <c r="B68">
        <v>2001</v>
      </c>
      <c r="C68">
        <v>32</v>
      </c>
      <c r="D68" t="s">
        <v>99</v>
      </c>
      <c r="E68">
        <f>INDEX([1]用户升级!$G$20:$G$89,MATCH(C68,[1]用户升级!$A$20:$A$89,0))</f>
        <v>144</v>
      </c>
      <c r="F68">
        <f t="shared" si="0"/>
        <v>288</v>
      </c>
      <c r="G68">
        <v>1001</v>
      </c>
      <c r="H68">
        <v>0</v>
      </c>
      <c r="I68">
        <v>0</v>
      </c>
      <c r="J68">
        <v>0</v>
      </c>
      <c r="K68">
        <v>0</v>
      </c>
      <c r="L68">
        <v>6264</v>
      </c>
      <c r="M68">
        <v>0</v>
      </c>
      <c r="N68">
        <v>1109</v>
      </c>
      <c r="O68">
        <v>1356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 t="s">
        <v>236</v>
      </c>
      <c r="Y68">
        <v>0</v>
      </c>
      <c r="Z68">
        <v>0</v>
      </c>
      <c r="AA68">
        <v>10</v>
      </c>
    </row>
    <row r="69" spans="1:27">
      <c r="A69">
        <v>64</v>
      </c>
      <c r="B69">
        <v>2001</v>
      </c>
      <c r="C69">
        <v>31</v>
      </c>
      <c r="D69" t="s">
        <v>110</v>
      </c>
      <c r="E69">
        <f>INDEX([1]用户升级!$G$20:$G$89,MATCH(C69,[1]用户升级!$A$20:$A$89,0))</f>
        <v>138</v>
      </c>
      <c r="F69">
        <f t="shared" si="0"/>
        <v>276</v>
      </c>
      <c r="G69">
        <v>1001</v>
      </c>
      <c r="H69">
        <v>0</v>
      </c>
      <c r="I69">
        <v>0</v>
      </c>
      <c r="J69">
        <v>0</v>
      </c>
      <c r="K69">
        <v>0</v>
      </c>
      <c r="L69">
        <v>6067</v>
      </c>
      <c r="M69">
        <v>0</v>
      </c>
      <c r="N69">
        <v>1074</v>
      </c>
      <c r="O69">
        <v>1313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 t="s">
        <v>237</v>
      </c>
      <c r="Y69">
        <v>0</v>
      </c>
      <c r="Z69">
        <v>0</v>
      </c>
      <c r="AA69">
        <v>10</v>
      </c>
    </row>
    <row r="70" spans="1:27">
      <c r="A70">
        <v>65</v>
      </c>
      <c r="B70">
        <v>2001</v>
      </c>
      <c r="C70">
        <v>32</v>
      </c>
      <c r="D70" t="s">
        <v>111</v>
      </c>
      <c r="E70">
        <f>INDEX([1]用户升级!$G$20:$G$89,MATCH(C70,[1]用户升级!$A$20:$A$89,0))</f>
        <v>144</v>
      </c>
      <c r="F70">
        <f t="shared" si="0"/>
        <v>288</v>
      </c>
      <c r="G70">
        <v>1001</v>
      </c>
      <c r="H70">
        <v>0</v>
      </c>
      <c r="I70">
        <v>0</v>
      </c>
      <c r="J70">
        <v>0</v>
      </c>
      <c r="K70">
        <v>0</v>
      </c>
      <c r="L70">
        <v>6577</v>
      </c>
      <c r="M70">
        <v>0</v>
      </c>
      <c r="N70">
        <v>1147</v>
      </c>
      <c r="O70">
        <v>1402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 t="s">
        <v>238</v>
      </c>
      <c r="Y70">
        <v>0</v>
      </c>
      <c r="Z70">
        <v>0</v>
      </c>
      <c r="AA70">
        <v>10</v>
      </c>
    </row>
    <row r="71" spans="1:27">
      <c r="A71">
        <v>66</v>
      </c>
      <c r="B71">
        <v>2001</v>
      </c>
      <c r="C71">
        <v>33</v>
      </c>
      <c r="D71" t="s">
        <v>331</v>
      </c>
      <c r="E71">
        <f>INDEX([1]用户升级!$G$20:$G$89,MATCH(C71,[1]用户升级!$A$20:$A$89,0))</f>
        <v>150</v>
      </c>
      <c r="F71">
        <f t="shared" ref="F71:F134" si="1">E71*2</f>
        <v>300</v>
      </c>
      <c r="G71">
        <v>1001</v>
      </c>
      <c r="H71">
        <v>0</v>
      </c>
      <c r="I71">
        <v>0</v>
      </c>
      <c r="J71">
        <v>0</v>
      </c>
      <c r="K71">
        <v>0</v>
      </c>
      <c r="L71">
        <v>6790</v>
      </c>
      <c r="M71">
        <v>0</v>
      </c>
      <c r="N71">
        <v>1185</v>
      </c>
      <c r="O71">
        <v>1448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 t="s">
        <v>239</v>
      </c>
      <c r="Y71">
        <v>0</v>
      </c>
      <c r="Z71">
        <v>0</v>
      </c>
      <c r="AA71">
        <v>10</v>
      </c>
    </row>
    <row r="72" spans="1:27">
      <c r="A72">
        <v>67</v>
      </c>
      <c r="B72">
        <v>2001</v>
      </c>
      <c r="C72">
        <v>34</v>
      </c>
      <c r="D72" t="s">
        <v>112</v>
      </c>
      <c r="E72">
        <f>INDEX([1]用户升级!$G$20:$G$89,MATCH(C72,[1]用户升级!$A$20:$A$89,0))</f>
        <v>156</v>
      </c>
      <c r="F72">
        <f t="shared" si="1"/>
        <v>312</v>
      </c>
      <c r="G72">
        <v>1001</v>
      </c>
      <c r="H72">
        <v>0</v>
      </c>
      <c r="I72">
        <v>0</v>
      </c>
      <c r="J72">
        <v>0</v>
      </c>
      <c r="K72">
        <v>0</v>
      </c>
      <c r="L72">
        <v>7432</v>
      </c>
      <c r="M72">
        <v>0</v>
      </c>
      <c r="N72">
        <v>1266</v>
      </c>
      <c r="O72">
        <v>1547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 t="s">
        <v>240</v>
      </c>
      <c r="Y72">
        <v>0</v>
      </c>
      <c r="Z72">
        <v>0</v>
      </c>
      <c r="AA72">
        <v>10</v>
      </c>
    </row>
    <row r="73" spans="1:27">
      <c r="A73">
        <v>68</v>
      </c>
      <c r="B73">
        <v>2001</v>
      </c>
      <c r="C73">
        <v>33</v>
      </c>
      <c r="D73" t="s">
        <v>104</v>
      </c>
      <c r="E73">
        <f>INDEX([1]用户升级!$G$20:$G$89,MATCH(C73,[1]用户升级!$A$20:$A$89,0))</f>
        <v>150</v>
      </c>
      <c r="F73">
        <f t="shared" si="1"/>
        <v>300</v>
      </c>
      <c r="G73">
        <v>1001</v>
      </c>
      <c r="H73">
        <v>0</v>
      </c>
      <c r="I73">
        <v>0</v>
      </c>
      <c r="J73">
        <v>0</v>
      </c>
      <c r="K73">
        <v>0</v>
      </c>
      <c r="L73">
        <v>7062</v>
      </c>
      <c r="M73">
        <v>0</v>
      </c>
      <c r="N73">
        <v>1225</v>
      </c>
      <c r="O73">
        <v>1498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 t="s">
        <v>241</v>
      </c>
      <c r="Y73">
        <v>0</v>
      </c>
      <c r="Z73">
        <v>0</v>
      </c>
      <c r="AA73">
        <v>10</v>
      </c>
    </row>
    <row r="74" spans="1:27">
      <c r="A74">
        <v>69</v>
      </c>
      <c r="B74">
        <v>2001</v>
      </c>
      <c r="C74">
        <v>34</v>
      </c>
      <c r="D74" t="s">
        <v>105</v>
      </c>
      <c r="E74">
        <f>INDEX([1]用户升级!$G$20:$G$89,MATCH(C74,[1]用户升级!$A$20:$A$89,0))</f>
        <v>156</v>
      </c>
      <c r="F74">
        <f t="shared" si="1"/>
        <v>312</v>
      </c>
      <c r="G74">
        <v>1001</v>
      </c>
      <c r="H74">
        <v>0</v>
      </c>
      <c r="I74">
        <v>0</v>
      </c>
      <c r="J74">
        <v>0</v>
      </c>
      <c r="K74">
        <v>0</v>
      </c>
      <c r="L74">
        <v>7729</v>
      </c>
      <c r="M74">
        <v>0</v>
      </c>
      <c r="N74">
        <v>1309</v>
      </c>
      <c r="O74">
        <v>1600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 t="s">
        <v>242</v>
      </c>
      <c r="Y74">
        <v>0</v>
      </c>
      <c r="Z74">
        <v>0</v>
      </c>
      <c r="AA74">
        <v>10</v>
      </c>
    </row>
    <row r="75" spans="1:27">
      <c r="A75">
        <v>70</v>
      </c>
      <c r="B75">
        <v>2001</v>
      </c>
      <c r="C75">
        <v>35</v>
      </c>
      <c r="D75" t="s">
        <v>106</v>
      </c>
      <c r="E75">
        <f>INDEX([1]用户升级!$G$20:$G$89,MATCH(C75,[1]用户升级!$A$20:$A$89,0))</f>
        <v>162</v>
      </c>
      <c r="F75">
        <f t="shared" si="1"/>
        <v>324</v>
      </c>
      <c r="G75">
        <v>1001</v>
      </c>
      <c r="H75">
        <v>0</v>
      </c>
      <c r="I75">
        <v>0</v>
      </c>
      <c r="J75">
        <v>0</v>
      </c>
      <c r="K75">
        <v>0</v>
      </c>
      <c r="L75">
        <v>8040</v>
      </c>
      <c r="M75">
        <v>0</v>
      </c>
      <c r="N75">
        <v>1352</v>
      </c>
      <c r="O75">
        <v>1653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 t="s">
        <v>243</v>
      </c>
      <c r="Y75">
        <v>0</v>
      </c>
      <c r="Z75">
        <v>0</v>
      </c>
      <c r="AA75">
        <v>10</v>
      </c>
    </row>
    <row r="76" spans="1:27">
      <c r="A76">
        <v>71</v>
      </c>
      <c r="B76">
        <v>2001</v>
      </c>
      <c r="C76">
        <v>36</v>
      </c>
      <c r="D76" t="s">
        <v>107</v>
      </c>
      <c r="E76">
        <f>INDEX([1]用户升级!$G$20:$G$89,MATCH(C76,[1]用户升级!$A$20:$A$89,0))</f>
        <v>168</v>
      </c>
      <c r="F76">
        <f t="shared" si="1"/>
        <v>336</v>
      </c>
      <c r="G76">
        <v>1001</v>
      </c>
      <c r="H76">
        <v>0</v>
      </c>
      <c r="I76">
        <v>0</v>
      </c>
      <c r="J76">
        <v>0</v>
      </c>
      <c r="K76">
        <v>0</v>
      </c>
      <c r="L76">
        <v>8848</v>
      </c>
      <c r="M76">
        <v>0</v>
      </c>
      <c r="N76">
        <v>1428</v>
      </c>
      <c r="O76">
        <v>1745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 t="s">
        <v>244</v>
      </c>
      <c r="Y76">
        <v>0</v>
      </c>
      <c r="Z76">
        <v>0</v>
      </c>
      <c r="AA76">
        <v>10</v>
      </c>
    </row>
    <row r="77" spans="1:27">
      <c r="A77">
        <v>72</v>
      </c>
      <c r="B77">
        <v>2001</v>
      </c>
      <c r="C77">
        <v>35</v>
      </c>
      <c r="D77" t="s">
        <v>102</v>
      </c>
      <c r="E77">
        <f>INDEX([1]用户升级!$G$20:$G$89,MATCH(C77,[1]用户升级!$A$20:$A$89,0))</f>
        <v>162</v>
      </c>
      <c r="F77">
        <f t="shared" si="1"/>
        <v>324</v>
      </c>
      <c r="G77">
        <v>1001</v>
      </c>
      <c r="H77">
        <v>0</v>
      </c>
      <c r="I77">
        <v>0</v>
      </c>
      <c r="J77">
        <v>0</v>
      </c>
      <c r="K77">
        <v>0</v>
      </c>
      <c r="L77">
        <v>8442</v>
      </c>
      <c r="M77">
        <v>0</v>
      </c>
      <c r="N77">
        <v>1390</v>
      </c>
      <c r="O77">
        <v>1699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 t="s">
        <v>245</v>
      </c>
      <c r="Y77">
        <v>0</v>
      </c>
      <c r="Z77">
        <v>0</v>
      </c>
      <c r="AA77">
        <v>10</v>
      </c>
    </row>
    <row r="78" spans="1:27">
      <c r="A78">
        <v>73</v>
      </c>
      <c r="B78">
        <v>2001</v>
      </c>
      <c r="C78">
        <v>36</v>
      </c>
      <c r="D78" t="s">
        <v>332</v>
      </c>
      <c r="E78">
        <f>INDEX([1]用户升级!$G$20:$G$89,MATCH(C78,[1]用户升级!$A$20:$A$89,0))</f>
        <v>168</v>
      </c>
      <c r="F78">
        <f t="shared" si="1"/>
        <v>336</v>
      </c>
      <c r="G78">
        <v>1001</v>
      </c>
      <c r="H78">
        <v>0</v>
      </c>
      <c r="I78">
        <v>0</v>
      </c>
      <c r="J78">
        <v>0</v>
      </c>
      <c r="K78">
        <v>0</v>
      </c>
      <c r="L78">
        <v>9290</v>
      </c>
      <c r="M78">
        <v>0</v>
      </c>
      <c r="N78">
        <v>1468</v>
      </c>
      <c r="O78">
        <v>1795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 t="s">
        <v>246</v>
      </c>
      <c r="Y78">
        <v>0</v>
      </c>
      <c r="Z78">
        <v>0</v>
      </c>
      <c r="AA78">
        <v>10</v>
      </c>
    </row>
    <row r="79" spans="1:27">
      <c r="A79">
        <v>74</v>
      </c>
      <c r="B79">
        <v>2001</v>
      </c>
      <c r="C79">
        <v>37</v>
      </c>
      <c r="D79" t="s">
        <v>103</v>
      </c>
      <c r="E79">
        <f>INDEX([1]用户升级!$G$20:$G$89,MATCH(C79,[1]用户升级!$A$20:$A$89,0))</f>
        <v>174</v>
      </c>
      <c r="F79">
        <f t="shared" si="1"/>
        <v>348</v>
      </c>
      <c r="G79">
        <v>1001</v>
      </c>
      <c r="H79">
        <v>0</v>
      </c>
      <c r="I79">
        <v>0</v>
      </c>
      <c r="J79">
        <v>0</v>
      </c>
      <c r="K79">
        <v>0</v>
      </c>
      <c r="L79">
        <v>9910</v>
      </c>
      <c r="M79">
        <v>0</v>
      </c>
      <c r="N79">
        <v>1507</v>
      </c>
      <c r="O79">
        <v>1843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 t="s">
        <v>247</v>
      </c>
      <c r="Y79">
        <v>0</v>
      </c>
      <c r="Z79">
        <v>0</v>
      </c>
      <c r="AA79">
        <v>10</v>
      </c>
    </row>
    <row r="80" spans="1:27">
      <c r="A80">
        <v>75</v>
      </c>
      <c r="B80">
        <v>2001</v>
      </c>
      <c r="C80">
        <v>38</v>
      </c>
      <c r="D80" t="s">
        <v>333</v>
      </c>
      <c r="E80">
        <f>INDEX([1]用户升级!$G$20:$G$89,MATCH(C80,[1]用户升级!$A$20:$A$89,0))</f>
        <v>180</v>
      </c>
      <c r="F80">
        <f t="shared" si="1"/>
        <v>360</v>
      </c>
      <c r="G80">
        <v>1001</v>
      </c>
      <c r="H80">
        <v>0</v>
      </c>
      <c r="I80">
        <v>0</v>
      </c>
      <c r="J80">
        <v>0</v>
      </c>
      <c r="K80">
        <v>0</v>
      </c>
      <c r="L80">
        <v>10703</v>
      </c>
      <c r="M80">
        <v>0</v>
      </c>
      <c r="N80">
        <v>1591</v>
      </c>
      <c r="O80">
        <v>1945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 t="s">
        <v>248</v>
      </c>
      <c r="Y80">
        <v>0</v>
      </c>
      <c r="Z80">
        <v>0</v>
      </c>
      <c r="AA80">
        <v>10</v>
      </c>
    </row>
    <row r="81" spans="1:27">
      <c r="A81">
        <v>76</v>
      </c>
      <c r="B81">
        <v>2001</v>
      </c>
      <c r="C81">
        <v>37</v>
      </c>
      <c r="D81" t="s">
        <v>113</v>
      </c>
      <c r="E81">
        <f>INDEX([1]用户升级!$G$20:$G$89,MATCH(C81,[1]用户升级!$A$20:$A$89,0))</f>
        <v>174</v>
      </c>
      <c r="F81">
        <f t="shared" si="1"/>
        <v>348</v>
      </c>
      <c r="G81">
        <v>1001</v>
      </c>
      <c r="H81">
        <v>0</v>
      </c>
      <c r="I81">
        <v>0</v>
      </c>
      <c r="J81">
        <v>0</v>
      </c>
      <c r="K81">
        <v>0</v>
      </c>
      <c r="L81">
        <v>10406</v>
      </c>
      <c r="M81">
        <v>0</v>
      </c>
      <c r="N81">
        <v>1549</v>
      </c>
      <c r="O81">
        <v>1894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 t="s">
        <v>249</v>
      </c>
      <c r="Y81">
        <v>0</v>
      </c>
      <c r="Z81">
        <v>0</v>
      </c>
      <c r="AA81">
        <v>10</v>
      </c>
    </row>
    <row r="82" spans="1:27">
      <c r="A82">
        <v>77</v>
      </c>
      <c r="B82">
        <v>2001</v>
      </c>
      <c r="C82">
        <v>38</v>
      </c>
      <c r="D82" t="s">
        <v>114</v>
      </c>
      <c r="E82">
        <f>INDEX([1]用户升级!$G$20:$G$89,MATCH(C82,[1]用户升级!$A$20:$A$89,0))</f>
        <v>180</v>
      </c>
      <c r="F82">
        <f t="shared" si="1"/>
        <v>360</v>
      </c>
      <c r="G82">
        <v>1001</v>
      </c>
      <c r="H82">
        <v>0</v>
      </c>
      <c r="I82">
        <v>0</v>
      </c>
      <c r="J82">
        <v>0</v>
      </c>
      <c r="K82">
        <v>0</v>
      </c>
      <c r="L82">
        <v>11238</v>
      </c>
      <c r="M82">
        <v>0</v>
      </c>
      <c r="N82">
        <v>1636</v>
      </c>
      <c r="O82">
        <v>1999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 t="s">
        <v>250</v>
      </c>
      <c r="Y82">
        <v>0</v>
      </c>
      <c r="Z82">
        <v>0</v>
      </c>
      <c r="AA82">
        <v>10</v>
      </c>
    </row>
    <row r="83" spans="1:27">
      <c r="A83">
        <v>78</v>
      </c>
      <c r="B83">
        <v>2001</v>
      </c>
      <c r="C83">
        <v>39</v>
      </c>
      <c r="D83" t="s">
        <v>115</v>
      </c>
      <c r="E83">
        <f>INDEX([1]用户升级!$G$20:$G$89,MATCH(C83,[1]用户升级!$A$20:$A$89,0))</f>
        <v>186</v>
      </c>
      <c r="F83">
        <f t="shared" si="1"/>
        <v>372</v>
      </c>
      <c r="G83">
        <v>1001</v>
      </c>
      <c r="H83">
        <v>0</v>
      </c>
      <c r="I83">
        <v>0</v>
      </c>
      <c r="J83">
        <v>0</v>
      </c>
      <c r="K83">
        <v>0</v>
      </c>
      <c r="L83">
        <v>11559</v>
      </c>
      <c r="M83">
        <v>0</v>
      </c>
      <c r="N83">
        <v>1680</v>
      </c>
      <c r="O83">
        <v>2054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 t="s">
        <v>251</v>
      </c>
      <c r="Y83">
        <v>0</v>
      </c>
      <c r="Z83">
        <v>0</v>
      </c>
      <c r="AA83">
        <v>10</v>
      </c>
    </row>
    <row r="84" spans="1:27">
      <c r="A84">
        <v>79</v>
      </c>
      <c r="B84">
        <v>2001</v>
      </c>
      <c r="C84">
        <v>40</v>
      </c>
      <c r="D84" t="s">
        <v>116</v>
      </c>
      <c r="E84">
        <f>INDEX([1]用户升级!$G$20:$G$89,MATCH(C84,[1]用户升级!$A$20:$A$89,0))</f>
        <v>192</v>
      </c>
      <c r="F84">
        <f t="shared" si="1"/>
        <v>384</v>
      </c>
      <c r="G84">
        <v>1001</v>
      </c>
      <c r="H84">
        <v>0</v>
      </c>
      <c r="I84">
        <v>0</v>
      </c>
      <c r="J84">
        <v>0</v>
      </c>
      <c r="K84">
        <v>0</v>
      </c>
      <c r="L84">
        <v>12484</v>
      </c>
      <c r="M84">
        <v>0</v>
      </c>
      <c r="N84">
        <v>1773</v>
      </c>
      <c r="O84">
        <v>2168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 t="s">
        <v>252</v>
      </c>
      <c r="Y84">
        <v>0</v>
      </c>
      <c r="Z84">
        <v>0</v>
      </c>
      <c r="AA84">
        <v>10</v>
      </c>
    </row>
    <row r="85" spans="1:27">
      <c r="A85">
        <v>80</v>
      </c>
      <c r="B85">
        <v>2001</v>
      </c>
      <c r="C85">
        <v>39</v>
      </c>
      <c r="D85" t="s">
        <v>117</v>
      </c>
      <c r="E85">
        <f>INDEX([1]用户升级!$G$20:$G$89,MATCH(C85,[1]用户升级!$A$20:$A$89,0))</f>
        <v>186</v>
      </c>
      <c r="F85">
        <f t="shared" si="1"/>
        <v>372</v>
      </c>
      <c r="G85">
        <v>1001</v>
      </c>
      <c r="H85">
        <v>0</v>
      </c>
      <c r="I85">
        <v>0</v>
      </c>
      <c r="J85">
        <v>0</v>
      </c>
      <c r="K85">
        <v>0</v>
      </c>
      <c r="L85">
        <v>12137</v>
      </c>
      <c r="M85">
        <v>0</v>
      </c>
      <c r="N85">
        <v>1728</v>
      </c>
      <c r="O85">
        <v>2112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 t="s">
        <v>253</v>
      </c>
      <c r="Y85">
        <v>0</v>
      </c>
      <c r="Z85">
        <v>0</v>
      </c>
      <c r="AA85">
        <v>10</v>
      </c>
    </row>
    <row r="86" spans="1:27">
      <c r="A86">
        <v>81</v>
      </c>
      <c r="B86">
        <v>2001</v>
      </c>
      <c r="C86">
        <v>40</v>
      </c>
      <c r="D86" t="s">
        <v>118</v>
      </c>
      <c r="E86">
        <f>INDEX([1]用户升级!$G$20:$G$89,MATCH(C86,[1]用户升级!$A$20:$A$89,0))</f>
        <v>192</v>
      </c>
      <c r="F86">
        <f t="shared" si="1"/>
        <v>384</v>
      </c>
      <c r="G86">
        <v>1001</v>
      </c>
      <c r="H86">
        <v>0</v>
      </c>
      <c r="I86">
        <v>0</v>
      </c>
      <c r="J86">
        <v>0</v>
      </c>
      <c r="K86">
        <v>0</v>
      </c>
      <c r="L86">
        <v>13108</v>
      </c>
      <c r="M86">
        <v>0</v>
      </c>
      <c r="N86">
        <v>1822</v>
      </c>
      <c r="O86">
        <v>2227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 t="s">
        <v>254</v>
      </c>
      <c r="Y86">
        <v>0</v>
      </c>
      <c r="Z86">
        <v>0</v>
      </c>
      <c r="AA86">
        <v>10</v>
      </c>
    </row>
    <row r="87" spans="1:27">
      <c r="A87">
        <v>82</v>
      </c>
      <c r="B87">
        <v>2001</v>
      </c>
      <c r="C87">
        <v>41</v>
      </c>
      <c r="D87" t="s">
        <v>119</v>
      </c>
      <c r="E87">
        <f>INDEX([1]用户升级!$G$20:$G$89,MATCH(C87,[1]用户升级!$A$20:$A$89,0))</f>
        <v>200</v>
      </c>
      <c r="F87">
        <f t="shared" si="1"/>
        <v>400</v>
      </c>
      <c r="G87">
        <v>1001</v>
      </c>
      <c r="H87">
        <v>0</v>
      </c>
      <c r="I87">
        <v>0</v>
      </c>
      <c r="J87">
        <v>0</v>
      </c>
      <c r="K87">
        <v>0</v>
      </c>
      <c r="L87">
        <v>13857</v>
      </c>
      <c r="M87">
        <v>0</v>
      </c>
      <c r="N87">
        <v>1871</v>
      </c>
      <c r="O87">
        <v>2286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 t="s">
        <v>255</v>
      </c>
      <c r="Y87">
        <v>0</v>
      </c>
      <c r="Z87">
        <v>0</v>
      </c>
      <c r="AA87">
        <v>10</v>
      </c>
    </row>
    <row r="88" spans="1:27">
      <c r="A88">
        <v>83</v>
      </c>
      <c r="B88">
        <v>2001</v>
      </c>
      <c r="C88">
        <v>42</v>
      </c>
      <c r="D88" t="s">
        <v>120</v>
      </c>
      <c r="E88">
        <f>INDEX([1]用户升级!$G$20:$G$89,MATCH(C88,[1]用户升级!$A$20:$A$89,0))</f>
        <v>208</v>
      </c>
      <c r="F88">
        <f t="shared" si="1"/>
        <v>416</v>
      </c>
      <c r="G88">
        <v>1001</v>
      </c>
      <c r="H88">
        <v>0</v>
      </c>
      <c r="I88">
        <v>0</v>
      </c>
      <c r="J88">
        <v>0</v>
      </c>
      <c r="K88">
        <v>0</v>
      </c>
      <c r="L88">
        <v>14966</v>
      </c>
      <c r="M88">
        <v>0</v>
      </c>
      <c r="N88">
        <v>1973</v>
      </c>
      <c r="O88">
        <v>2412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 t="s">
        <v>256</v>
      </c>
      <c r="Y88">
        <v>0</v>
      </c>
      <c r="Z88">
        <v>0</v>
      </c>
      <c r="AA88">
        <v>10</v>
      </c>
    </row>
    <row r="89" spans="1:27">
      <c r="A89">
        <v>84</v>
      </c>
      <c r="B89">
        <v>2001</v>
      </c>
      <c r="C89">
        <v>41</v>
      </c>
      <c r="D89" t="s">
        <v>121</v>
      </c>
      <c r="E89">
        <f>INDEX([1]用户升级!$G$20:$G$89,MATCH(C89,[1]用户升级!$A$20:$A$89,0))</f>
        <v>200</v>
      </c>
      <c r="F89">
        <f t="shared" si="1"/>
        <v>400</v>
      </c>
      <c r="G89">
        <v>1001</v>
      </c>
      <c r="H89">
        <v>0</v>
      </c>
      <c r="I89">
        <v>0</v>
      </c>
      <c r="J89">
        <v>0</v>
      </c>
      <c r="K89">
        <v>0</v>
      </c>
      <c r="L89">
        <v>14550</v>
      </c>
      <c r="M89">
        <v>0</v>
      </c>
      <c r="N89">
        <v>1922</v>
      </c>
      <c r="O89">
        <v>2349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 t="s">
        <v>257</v>
      </c>
      <c r="Y89">
        <v>0</v>
      </c>
      <c r="Z89">
        <v>0</v>
      </c>
      <c r="AA89">
        <v>10</v>
      </c>
    </row>
    <row r="90" spans="1:27">
      <c r="A90">
        <v>85</v>
      </c>
      <c r="B90">
        <v>2001</v>
      </c>
      <c r="C90">
        <v>42</v>
      </c>
      <c r="D90" t="s">
        <v>122</v>
      </c>
      <c r="E90">
        <f>INDEX([1]用户升级!$G$20:$G$89,MATCH(C90,[1]用户升级!$A$20:$A$89,0))</f>
        <v>208</v>
      </c>
      <c r="F90">
        <f t="shared" si="1"/>
        <v>416</v>
      </c>
      <c r="G90">
        <v>1001</v>
      </c>
      <c r="H90">
        <v>0</v>
      </c>
      <c r="I90">
        <v>0</v>
      </c>
      <c r="J90">
        <v>0</v>
      </c>
      <c r="K90">
        <v>0</v>
      </c>
      <c r="L90">
        <v>15714</v>
      </c>
      <c r="M90">
        <v>0</v>
      </c>
      <c r="N90">
        <v>2027</v>
      </c>
      <c r="O90">
        <v>2478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 t="s">
        <v>258</v>
      </c>
      <c r="Y90">
        <v>0</v>
      </c>
      <c r="Z90">
        <v>0</v>
      </c>
      <c r="AA90">
        <v>10</v>
      </c>
    </row>
    <row r="91" spans="1:27">
      <c r="A91">
        <v>86</v>
      </c>
      <c r="B91">
        <v>2001</v>
      </c>
      <c r="C91">
        <v>43</v>
      </c>
      <c r="D91" t="s">
        <v>123</v>
      </c>
      <c r="E91">
        <f>INDEX([1]用户升级!$G$20:$G$89,MATCH(C91,[1]用户升级!$A$20:$A$89,0))</f>
        <v>216</v>
      </c>
      <c r="F91">
        <f t="shared" si="1"/>
        <v>432</v>
      </c>
      <c r="G91">
        <v>1001</v>
      </c>
      <c r="H91">
        <v>0</v>
      </c>
      <c r="I91">
        <v>0</v>
      </c>
      <c r="J91">
        <v>0</v>
      </c>
      <c r="K91">
        <v>0</v>
      </c>
      <c r="L91">
        <v>16163</v>
      </c>
      <c r="M91">
        <v>0</v>
      </c>
      <c r="N91">
        <v>2081</v>
      </c>
      <c r="O91">
        <v>2544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t="s">
        <v>259</v>
      </c>
      <c r="Y91">
        <v>0</v>
      </c>
      <c r="Z91">
        <v>0</v>
      </c>
      <c r="AA91">
        <v>10</v>
      </c>
    </row>
    <row r="92" spans="1:27">
      <c r="A92">
        <v>87</v>
      </c>
      <c r="B92">
        <v>2001</v>
      </c>
      <c r="C92">
        <v>44</v>
      </c>
      <c r="D92" t="s">
        <v>334</v>
      </c>
      <c r="E92">
        <f>INDEX([1]用户升级!$G$20:$G$89,MATCH(C92,[1]用户升级!$A$20:$A$89,0))</f>
        <v>224</v>
      </c>
      <c r="F92">
        <f t="shared" si="1"/>
        <v>448</v>
      </c>
      <c r="G92">
        <v>1001</v>
      </c>
      <c r="H92">
        <v>0</v>
      </c>
      <c r="I92">
        <v>0</v>
      </c>
      <c r="J92">
        <v>0</v>
      </c>
      <c r="K92">
        <v>0</v>
      </c>
      <c r="L92">
        <v>17456</v>
      </c>
      <c r="M92">
        <v>0</v>
      </c>
      <c r="N92">
        <v>2196</v>
      </c>
      <c r="O92">
        <v>2684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t="s">
        <v>260</v>
      </c>
      <c r="Y92">
        <v>0</v>
      </c>
      <c r="Z92">
        <v>0</v>
      </c>
      <c r="AA92">
        <v>10</v>
      </c>
    </row>
    <row r="93" spans="1:27">
      <c r="A93">
        <v>88</v>
      </c>
      <c r="B93">
        <v>2001</v>
      </c>
      <c r="C93">
        <v>43</v>
      </c>
      <c r="D93" t="s">
        <v>124</v>
      </c>
      <c r="E93">
        <f>INDEX([1]用户升级!$G$20:$G$89,MATCH(C93,[1]用户升级!$A$20:$A$89,0))</f>
        <v>216</v>
      </c>
      <c r="F93">
        <f t="shared" si="1"/>
        <v>432</v>
      </c>
      <c r="G93">
        <v>1001</v>
      </c>
      <c r="H93">
        <v>0</v>
      </c>
      <c r="I93">
        <v>0</v>
      </c>
      <c r="J93">
        <v>0</v>
      </c>
      <c r="K93">
        <v>0</v>
      </c>
      <c r="L93">
        <v>16971</v>
      </c>
      <c r="M93">
        <v>0</v>
      </c>
      <c r="N93">
        <v>2139</v>
      </c>
      <c r="O93">
        <v>2615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t="s">
        <v>261</v>
      </c>
      <c r="Y93">
        <v>0</v>
      </c>
      <c r="Z93">
        <v>0</v>
      </c>
      <c r="AA93">
        <v>10</v>
      </c>
    </row>
    <row r="94" spans="1:27">
      <c r="A94">
        <v>89</v>
      </c>
      <c r="B94">
        <v>2001</v>
      </c>
      <c r="C94">
        <v>44</v>
      </c>
      <c r="D94" t="s">
        <v>125</v>
      </c>
      <c r="E94">
        <f>INDEX([1]用户升级!$G$20:$G$89,MATCH(C94,[1]用户升级!$A$20:$A$89,0))</f>
        <v>224</v>
      </c>
      <c r="F94">
        <f t="shared" si="1"/>
        <v>448</v>
      </c>
      <c r="G94">
        <v>1001</v>
      </c>
      <c r="H94">
        <v>0</v>
      </c>
      <c r="I94">
        <v>0</v>
      </c>
      <c r="J94">
        <v>0</v>
      </c>
      <c r="K94">
        <v>0</v>
      </c>
      <c r="L94">
        <v>18329</v>
      </c>
      <c r="M94">
        <v>0</v>
      </c>
      <c r="N94">
        <v>2257</v>
      </c>
      <c r="O94">
        <v>2758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t="s">
        <v>262</v>
      </c>
      <c r="Y94">
        <v>0</v>
      </c>
      <c r="Z94">
        <v>0</v>
      </c>
      <c r="AA94">
        <v>10</v>
      </c>
    </row>
    <row r="95" spans="1:27">
      <c r="A95">
        <v>90</v>
      </c>
      <c r="B95">
        <v>2001</v>
      </c>
      <c r="C95">
        <v>45</v>
      </c>
      <c r="D95" t="s">
        <v>126</v>
      </c>
      <c r="E95">
        <f>INDEX([1]用户升级!$G$20:$G$89,MATCH(C95,[1]用户升级!$A$20:$A$89,0))</f>
        <v>232</v>
      </c>
      <c r="F95">
        <f t="shared" si="1"/>
        <v>464</v>
      </c>
      <c r="G95">
        <v>1001</v>
      </c>
      <c r="H95">
        <v>0</v>
      </c>
      <c r="I95">
        <v>0</v>
      </c>
      <c r="J95">
        <v>0</v>
      </c>
      <c r="K95">
        <v>0</v>
      </c>
      <c r="L95">
        <v>19376</v>
      </c>
      <c r="M95">
        <v>0</v>
      </c>
      <c r="N95">
        <v>2316</v>
      </c>
      <c r="O95">
        <v>2831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t="s">
        <v>263</v>
      </c>
      <c r="Y95">
        <v>0</v>
      </c>
      <c r="Z95">
        <v>0</v>
      </c>
      <c r="AA95">
        <v>10</v>
      </c>
    </row>
    <row r="96" spans="1:27">
      <c r="A96">
        <v>91</v>
      </c>
      <c r="B96">
        <v>2001</v>
      </c>
      <c r="C96">
        <v>46</v>
      </c>
      <c r="D96" t="s">
        <v>127</v>
      </c>
      <c r="E96">
        <f>INDEX([1]用户升级!$G$20:$G$89,MATCH(C96,[1]用户升级!$A$20:$A$89,0))</f>
        <v>240</v>
      </c>
      <c r="F96">
        <f t="shared" si="1"/>
        <v>480</v>
      </c>
      <c r="G96">
        <v>1001</v>
      </c>
      <c r="H96">
        <v>0</v>
      </c>
      <c r="I96">
        <v>0</v>
      </c>
      <c r="J96">
        <v>0</v>
      </c>
      <c r="K96">
        <v>0</v>
      </c>
      <c r="L96">
        <v>20732</v>
      </c>
      <c r="M96">
        <v>0</v>
      </c>
      <c r="N96">
        <v>2423</v>
      </c>
      <c r="O96">
        <v>2961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t="s">
        <v>264</v>
      </c>
      <c r="Y96">
        <v>0</v>
      </c>
      <c r="Z96">
        <v>0</v>
      </c>
      <c r="AA96">
        <v>10</v>
      </c>
    </row>
    <row r="97" spans="1:27">
      <c r="A97">
        <v>92</v>
      </c>
      <c r="B97">
        <v>2001</v>
      </c>
      <c r="C97">
        <v>45</v>
      </c>
      <c r="D97" t="s">
        <v>128</v>
      </c>
      <c r="E97">
        <f>INDEX([1]用户升级!$G$20:$G$89,MATCH(C97,[1]用户升级!$A$20:$A$89,0))</f>
        <v>232</v>
      </c>
      <c r="F97">
        <f t="shared" si="1"/>
        <v>464</v>
      </c>
      <c r="G97">
        <v>1001</v>
      </c>
      <c r="H97">
        <v>0</v>
      </c>
      <c r="I97">
        <v>0</v>
      </c>
      <c r="J97">
        <v>0</v>
      </c>
      <c r="K97">
        <v>0</v>
      </c>
      <c r="L97">
        <v>20345</v>
      </c>
      <c r="M97">
        <v>0</v>
      </c>
      <c r="N97">
        <v>2370</v>
      </c>
      <c r="O97">
        <v>2897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 t="s">
        <v>265</v>
      </c>
      <c r="Y97">
        <v>0</v>
      </c>
      <c r="Z97">
        <v>0</v>
      </c>
      <c r="AA97">
        <v>10</v>
      </c>
    </row>
    <row r="98" spans="1:27">
      <c r="A98">
        <v>93</v>
      </c>
      <c r="B98">
        <v>2001</v>
      </c>
      <c r="C98">
        <v>46</v>
      </c>
      <c r="D98" t="s">
        <v>129</v>
      </c>
      <c r="E98">
        <f>INDEX([1]用户升级!$G$20:$G$89,MATCH(C98,[1]用户升级!$A$20:$A$89,0))</f>
        <v>240</v>
      </c>
      <c r="F98">
        <f t="shared" si="1"/>
        <v>480</v>
      </c>
      <c r="G98">
        <v>1001</v>
      </c>
      <c r="H98">
        <v>0</v>
      </c>
      <c r="I98">
        <v>0</v>
      </c>
      <c r="J98">
        <v>0</v>
      </c>
      <c r="K98">
        <v>0</v>
      </c>
      <c r="L98">
        <v>21769</v>
      </c>
      <c r="M98">
        <v>0</v>
      </c>
      <c r="N98">
        <v>2479</v>
      </c>
      <c r="O98">
        <v>3031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t="s">
        <v>266</v>
      </c>
      <c r="Y98">
        <v>0</v>
      </c>
      <c r="Z98">
        <v>0</v>
      </c>
      <c r="AA98">
        <v>10</v>
      </c>
    </row>
    <row r="99" spans="1:27">
      <c r="A99">
        <v>94</v>
      </c>
      <c r="B99">
        <v>2001</v>
      </c>
      <c r="C99">
        <v>47</v>
      </c>
      <c r="D99" t="s">
        <v>130</v>
      </c>
      <c r="E99">
        <f>INDEX([1]用户升级!$G$20:$G$89,MATCH(C99,[1]用户升级!$A$20:$A$89,0))</f>
        <v>248</v>
      </c>
      <c r="F99">
        <f t="shared" si="1"/>
        <v>496</v>
      </c>
      <c r="G99">
        <v>1001</v>
      </c>
      <c r="H99">
        <v>0</v>
      </c>
      <c r="I99">
        <v>0</v>
      </c>
      <c r="J99">
        <v>0</v>
      </c>
      <c r="K99">
        <v>0</v>
      </c>
      <c r="L99">
        <v>22183</v>
      </c>
      <c r="M99">
        <v>0</v>
      </c>
      <c r="N99">
        <v>2535</v>
      </c>
      <c r="O99">
        <v>3098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 t="s">
        <v>267</v>
      </c>
      <c r="Y99">
        <v>0</v>
      </c>
      <c r="Z99">
        <v>0</v>
      </c>
      <c r="AA99">
        <v>10</v>
      </c>
    </row>
    <row r="100" spans="1:27">
      <c r="A100">
        <v>95</v>
      </c>
      <c r="B100">
        <v>2001</v>
      </c>
      <c r="C100">
        <v>48</v>
      </c>
      <c r="D100" t="s">
        <v>131</v>
      </c>
      <c r="E100">
        <f>INDEX([1]用户升级!$G$20:$G$89,MATCH(C100,[1]用户升级!$A$20:$A$89,0))</f>
        <v>256</v>
      </c>
      <c r="F100">
        <f t="shared" si="1"/>
        <v>512</v>
      </c>
      <c r="G100">
        <v>1001</v>
      </c>
      <c r="H100">
        <v>0</v>
      </c>
      <c r="I100">
        <v>0</v>
      </c>
      <c r="J100">
        <v>0</v>
      </c>
      <c r="K100">
        <v>0</v>
      </c>
      <c r="L100">
        <v>23736</v>
      </c>
      <c r="M100">
        <v>0</v>
      </c>
      <c r="N100">
        <v>2651</v>
      </c>
      <c r="O100">
        <v>3240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 t="s">
        <v>268</v>
      </c>
      <c r="Y100">
        <v>0</v>
      </c>
      <c r="Z100">
        <v>0</v>
      </c>
      <c r="AA100">
        <v>10</v>
      </c>
    </row>
    <row r="101" spans="1:27">
      <c r="A101">
        <v>96</v>
      </c>
      <c r="B101">
        <v>2001</v>
      </c>
      <c r="C101">
        <v>47</v>
      </c>
      <c r="D101" t="s">
        <v>132</v>
      </c>
      <c r="E101">
        <f>INDEX([1]用户升级!$G$20:$G$89,MATCH(C101,[1]用户升级!$A$20:$A$89,0))</f>
        <v>248</v>
      </c>
      <c r="F101">
        <f t="shared" si="1"/>
        <v>496</v>
      </c>
      <c r="G101">
        <v>1001</v>
      </c>
      <c r="H101">
        <v>0</v>
      </c>
      <c r="I101">
        <v>0</v>
      </c>
      <c r="J101">
        <v>0</v>
      </c>
      <c r="K101">
        <v>0</v>
      </c>
      <c r="L101">
        <v>23292</v>
      </c>
      <c r="M101">
        <v>0</v>
      </c>
      <c r="N101">
        <v>2593</v>
      </c>
      <c r="O101">
        <v>3169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 t="s">
        <v>269</v>
      </c>
      <c r="Y101">
        <v>0</v>
      </c>
      <c r="Z101">
        <v>0</v>
      </c>
      <c r="AA101">
        <v>10</v>
      </c>
    </row>
    <row r="102" spans="1:27">
      <c r="A102">
        <v>97</v>
      </c>
      <c r="B102">
        <v>2001</v>
      </c>
      <c r="C102">
        <v>48</v>
      </c>
      <c r="D102" t="s">
        <v>133</v>
      </c>
      <c r="E102">
        <f>INDEX([1]用户升级!$G$20:$G$89,MATCH(C102,[1]用户升级!$A$20:$A$89,0))</f>
        <v>256</v>
      </c>
      <c r="F102">
        <f t="shared" si="1"/>
        <v>512</v>
      </c>
      <c r="G102">
        <v>1001</v>
      </c>
      <c r="H102">
        <v>0</v>
      </c>
      <c r="I102">
        <v>0</v>
      </c>
      <c r="J102">
        <v>0</v>
      </c>
      <c r="K102">
        <v>0</v>
      </c>
      <c r="L102">
        <v>24923</v>
      </c>
      <c r="M102">
        <v>0</v>
      </c>
      <c r="N102">
        <v>2713</v>
      </c>
      <c r="O102">
        <v>3316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 t="s">
        <v>270</v>
      </c>
      <c r="Y102">
        <v>0</v>
      </c>
      <c r="Z102">
        <v>0</v>
      </c>
      <c r="AA102">
        <v>10</v>
      </c>
    </row>
    <row r="103" spans="1:27">
      <c r="A103">
        <v>98</v>
      </c>
      <c r="B103">
        <v>2001</v>
      </c>
      <c r="C103">
        <v>49</v>
      </c>
      <c r="D103" t="s">
        <v>134</v>
      </c>
      <c r="E103">
        <f>INDEX([1]用户升级!$G$20:$G$89,MATCH(C103,[1]用户升级!$A$20:$A$89,0))</f>
        <v>264</v>
      </c>
      <c r="F103">
        <f t="shared" si="1"/>
        <v>528</v>
      </c>
      <c r="G103">
        <v>1001</v>
      </c>
      <c r="H103">
        <v>0</v>
      </c>
      <c r="I103">
        <v>0</v>
      </c>
      <c r="J103">
        <v>0</v>
      </c>
      <c r="K103">
        <v>0</v>
      </c>
      <c r="L103">
        <v>26110</v>
      </c>
      <c r="M103">
        <v>0</v>
      </c>
      <c r="N103">
        <v>2774</v>
      </c>
      <c r="O103">
        <v>3390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 t="s">
        <v>271</v>
      </c>
      <c r="Y103">
        <v>0</v>
      </c>
      <c r="Z103">
        <v>0</v>
      </c>
      <c r="AA103">
        <v>10</v>
      </c>
    </row>
    <row r="104" spans="1:27">
      <c r="A104">
        <v>99</v>
      </c>
      <c r="B104">
        <v>2001</v>
      </c>
      <c r="C104">
        <v>50</v>
      </c>
      <c r="D104" t="s">
        <v>135</v>
      </c>
      <c r="E104">
        <f>INDEX([1]用户升级!$G$20:$G$89,MATCH(C104,[1]用户升级!$A$20:$A$89,0))</f>
        <v>272</v>
      </c>
      <c r="F104">
        <f t="shared" si="1"/>
        <v>544</v>
      </c>
      <c r="G104">
        <v>1001</v>
      </c>
      <c r="H104">
        <v>0</v>
      </c>
      <c r="I104">
        <v>0</v>
      </c>
      <c r="J104">
        <v>0</v>
      </c>
      <c r="K104">
        <v>0</v>
      </c>
      <c r="L104">
        <v>27677</v>
      </c>
      <c r="M104">
        <v>0</v>
      </c>
      <c r="N104">
        <v>2901</v>
      </c>
      <c r="O104">
        <v>3545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 t="s">
        <v>272</v>
      </c>
      <c r="Y104">
        <v>0</v>
      </c>
      <c r="Z104">
        <v>0</v>
      </c>
      <c r="AA104">
        <v>10</v>
      </c>
    </row>
    <row r="105" spans="1:27">
      <c r="A105">
        <v>100</v>
      </c>
      <c r="B105">
        <v>2001</v>
      </c>
      <c r="C105">
        <v>49</v>
      </c>
      <c r="D105" t="s">
        <v>136</v>
      </c>
      <c r="E105">
        <f>INDEX([1]用户升级!$G$20:$G$89,MATCH(C105,[1]用户升级!$A$20:$A$89,0))</f>
        <v>264</v>
      </c>
      <c r="F105">
        <f t="shared" si="1"/>
        <v>528</v>
      </c>
      <c r="G105">
        <v>1001</v>
      </c>
      <c r="H105">
        <v>0</v>
      </c>
      <c r="I105">
        <v>0</v>
      </c>
      <c r="J105">
        <v>0</v>
      </c>
      <c r="K105">
        <v>0</v>
      </c>
      <c r="L105">
        <v>27416</v>
      </c>
      <c r="M105">
        <v>0</v>
      </c>
      <c r="N105">
        <v>2837</v>
      </c>
      <c r="O105">
        <v>3468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 t="s">
        <v>273</v>
      </c>
      <c r="Y105">
        <v>0</v>
      </c>
      <c r="Z105">
        <v>0</v>
      </c>
      <c r="AA105">
        <v>10</v>
      </c>
    </row>
    <row r="106" spans="1:27">
      <c r="A106">
        <v>101</v>
      </c>
      <c r="B106">
        <v>2001</v>
      </c>
      <c r="C106">
        <v>50</v>
      </c>
      <c r="D106" t="s">
        <v>137</v>
      </c>
      <c r="E106">
        <f>INDEX([1]用户升级!$G$20:$G$89,MATCH(C106,[1]用户升级!$A$20:$A$89,0))</f>
        <v>272</v>
      </c>
      <c r="F106">
        <f t="shared" si="1"/>
        <v>544</v>
      </c>
      <c r="G106">
        <v>1001</v>
      </c>
      <c r="H106">
        <v>0</v>
      </c>
      <c r="I106">
        <v>0</v>
      </c>
      <c r="J106">
        <v>0</v>
      </c>
      <c r="K106">
        <v>0</v>
      </c>
      <c r="L106">
        <v>29061</v>
      </c>
      <c r="M106">
        <v>0</v>
      </c>
      <c r="N106">
        <v>2938</v>
      </c>
      <c r="O106">
        <v>3592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 t="s">
        <v>274</v>
      </c>
      <c r="Y106">
        <v>0</v>
      </c>
      <c r="Z106">
        <v>0</v>
      </c>
      <c r="AA106">
        <v>10</v>
      </c>
    </row>
    <row r="107" spans="1:27">
      <c r="A107">
        <v>102</v>
      </c>
      <c r="B107">
        <v>2001</v>
      </c>
      <c r="C107">
        <v>51</v>
      </c>
      <c r="D107" t="s">
        <v>138</v>
      </c>
      <c r="E107">
        <f>INDEX([1]用户升级!$G$20:$G$89,MATCH(C107,[1]用户升级!$A$20:$A$89,0))</f>
        <v>280</v>
      </c>
      <c r="F107">
        <f t="shared" si="1"/>
        <v>560</v>
      </c>
      <c r="G107">
        <v>1001</v>
      </c>
      <c r="H107">
        <v>0</v>
      </c>
      <c r="I107">
        <v>0</v>
      </c>
      <c r="J107">
        <v>0</v>
      </c>
      <c r="K107">
        <v>0</v>
      </c>
      <c r="L107">
        <v>29338</v>
      </c>
      <c r="M107">
        <v>0</v>
      </c>
      <c r="N107">
        <v>2976</v>
      </c>
      <c r="O107">
        <v>3638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 t="s">
        <v>275</v>
      </c>
      <c r="Y107">
        <v>0</v>
      </c>
      <c r="Z107">
        <v>0</v>
      </c>
      <c r="AA107">
        <v>10</v>
      </c>
    </row>
    <row r="108" spans="1:27">
      <c r="A108">
        <v>103</v>
      </c>
      <c r="B108">
        <v>2001</v>
      </c>
      <c r="C108">
        <v>52</v>
      </c>
      <c r="D108" t="s">
        <v>335</v>
      </c>
      <c r="E108">
        <f>INDEX([1]用户升级!$G$20:$G$89,MATCH(C108,[1]用户升级!$A$20:$A$89,0))</f>
        <v>288</v>
      </c>
      <c r="F108">
        <f t="shared" si="1"/>
        <v>576</v>
      </c>
      <c r="G108">
        <v>1001</v>
      </c>
      <c r="H108">
        <v>0</v>
      </c>
      <c r="I108">
        <v>0</v>
      </c>
      <c r="J108">
        <v>0</v>
      </c>
      <c r="K108">
        <v>0</v>
      </c>
      <c r="L108">
        <v>31098</v>
      </c>
      <c r="M108">
        <v>0</v>
      </c>
      <c r="N108">
        <v>3053</v>
      </c>
      <c r="O108">
        <v>3732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 t="s">
        <v>276</v>
      </c>
      <c r="Y108">
        <v>0</v>
      </c>
      <c r="Z108">
        <v>0</v>
      </c>
      <c r="AA108">
        <v>10</v>
      </c>
    </row>
    <row r="109" spans="1:27">
      <c r="A109">
        <v>104</v>
      </c>
      <c r="B109">
        <v>2001</v>
      </c>
      <c r="C109">
        <v>51</v>
      </c>
      <c r="D109" t="s">
        <v>340</v>
      </c>
      <c r="E109">
        <f>INDEX([1]用户升级!$G$20:$G$89,MATCH(C109,[1]用户升级!$A$20:$A$89,0))</f>
        <v>280</v>
      </c>
      <c r="F109">
        <f t="shared" si="1"/>
        <v>560</v>
      </c>
      <c r="G109">
        <v>1001</v>
      </c>
      <c r="H109">
        <v>0</v>
      </c>
      <c r="I109">
        <v>0</v>
      </c>
      <c r="J109">
        <v>0</v>
      </c>
      <c r="K109">
        <v>0</v>
      </c>
      <c r="L109">
        <v>30805</v>
      </c>
      <c r="M109">
        <v>0</v>
      </c>
      <c r="N109">
        <v>3015</v>
      </c>
      <c r="O109">
        <v>3686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 t="s">
        <v>277</v>
      </c>
      <c r="Y109">
        <v>0</v>
      </c>
      <c r="Z109">
        <v>0</v>
      </c>
      <c r="AA109">
        <v>10</v>
      </c>
    </row>
    <row r="110" spans="1:27">
      <c r="A110">
        <v>105</v>
      </c>
      <c r="B110">
        <v>2001</v>
      </c>
      <c r="C110">
        <v>52</v>
      </c>
      <c r="D110" t="s">
        <v>339</v>
      </c>
      <c r="E110">
        <f>INDEX([1]用户升级!$G$20:$G$89,MATCH(C110,[1]用户升级!$A$20:$A$89,0))</f>
        <v>288</v>
      </c>
      <c r="F110">
        <f t="shared" si="1"/>
        <v>576</v>
      </c>
      <c r="G110">
        <v>1001</v>
      </c>
      <c r="H110">
        <v>0</v>
      </c>
      <c r="I110">
        <v>0</v>
      </c>
      <c r="J110">
        <v>0</v>
      </c>
      <c r="K110">
        <v>0</v>
      </c>
      <c r="L110">
        <v>32653</v>
      </c>
      <c r="M110">
        <v>0</v>
      </c>
      <c r="N110">
        <v>3094</v>
      </c>
      <c r="O110">
        <v>3781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 t="s">
        <v>278</v>
      </c>
      <c r="Y110">
        <v>0</v>
      </c>
      <c r="Z110">
        <v>0</v>
      </c>
      <c r="AA110">
        <v>10</v>
      </c>
    </row>
    <row r="111" spans="1:27">
      <c r="A111">
        <v>106</v>
      </c>
      <c r="B111">
        <v>2001</v>
      </c>
      <c r="C111">
        <v>53</v>
      </c>
      <c r="D111" t="s">
        <v>341</v>
      </c>
      <c r="E111">
        <f>INDEX([1]用户升级!$G$20:$G$89,MATCH(C111,[1]用户升级!$A$20:$A$89,0))</f>
        <v>296</v>
      </c>
      <c r="F111">
        <f t="shared" si="1"/>
        <v>592</v>
      </c>
      <c r="G111">
        <v>1001</v>
      </c>
      <c r="H111">
        <v>0</v>
      </c>
      <c r="I111">
        <v>0</v>
      </c>
      <c r="J111">
        <v>0</v>
      </c>
      <c r="K111">
        <v>0</v>
      </c>
      <c r="L111">
        <v>34208</v>
      </c>
      <c r="M111">
        <v>0</v>
      </c>
      <c r="N111">
        <v>3133</v>
      </c>
      <c r="O111">
        <v>3829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 t="s">
        <v>279</v>
      </c>
      <c r="Y111">
        <v>0</v>
      </c>
      <c r="Z111">
        <v>0</v>
      </c>
      <c r="AA111">
        <v>10</v>
      </c>
    </row>
    <row r="112" spans="1:27">
      <c r="A112">
        <v>107</v>
      </c>
      <c r="B112">
        <v>2001</v>
      </c>
      <c r="C112">
        <v>54</v>
      </c>
      <c r="D112" t="s">
        <v>295</v>
      </c>
      <c r="E112">
        <f>INDEX([1]用户升级!$G$20:$G$89,MATCH(C112,[1]用户升级!$A$20:$A$89,0))</f>
        <v>304</v>
      </c>
      <c r="F112">
        <f t="shared" si="1"/>
        <v>608</v>
      </c>
      <c r="G112">
        <v>1001</v>
      </c>
      <c r="H112">
        <v>0</v>
      </c>
      <c r="I112">
        <v>0</v>
      </c>
      <c r="J112">
        <v>0</v>
      </c>
      <c r="K112">
        <v>0</v>
      </c>
      <c r="L112">
        <v>36260</v>
      </c>
      <c r="M112">
        <v>0</v>
      </c>
      <c r="N112">
        <v>3214</v>
      </c>
      <c r="O112">
        <v>3928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 t="s">
        <v>280</v>
      </c>
      <c r="Y112">
        <v>0</v>
      </c>
      <c r="Z112">
        <v>0</v>
      </c>
      <c r="AA112">
        <v>10</v>
      </c>
    </row>
    <row r="113" spans="1:27">
      <c r="A113">
        <v>108</v>
      </c>
      <c r="B113">
        <v>2001</v>
      </c>
      <c r="C113">
        <v>53</v>
      </c>
      <c r="D113" t="s">
        <v>140</v>
      </c>
      <c r="E113">
        <f>INDEX([1]用户升级!$G$20:$G$89,MATCH(C113,[1]用户升级!$A$20:$A$89,0))</f>
        <v>296</v>
      </c>
      <c r="F113">
        <f t="shared" si="1"/>
        <v>592</v>
      </c>
      <c r="G113">
        <v>1001</v>
      </c>
      <c r="H113">
        <v>0</v>
      </c>
      <c r="I113">
        <v>0</v>
      </c>
      <c r="J113">
        <v>0</v>
      </c>
      <c r="K113">
        <v>0</v>
      </c>
      <c r="L113">
        <v>35918</v>
      </c>
      <c r="M113">
        <v>0</v>
      </c>
      <c r="N113">
        <v>3173</v>
      </c>
      <c r="O113">
        <v>3879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 t="s">
        <v>281</v>
      </c>
      <c r="Y113">
        <v>0</v>
      </c>
      <c r="Z113">
        <v>0</v>
      </c>
      <c r="AA113">
        <v>10</v>
      </c>
    </row>
    <row r="114" spans="1:27">
      <c r="A114">
        <v>109</v>
      </c>
      <c r="B114">
        <v>2001</v>
      </c>
      <c r="C114">
        <v>54</v>
      </c>
      <c r="D114" t="s">
        <v>336</v>
      </c>
      <c r="E114">
        <f>INDEX([1]用户升级!$G$20:$G$89,MATCH(C114,[1]用户升级!$A$20:$A$89,0))</f>
        <v>304</v>
      </c>
      <c r="F114">
        <f t="shared" si="1"/>
        <v>608</v>
      </c>
      <c r="G114">
        <v>1001</v>
      </c>
      <c r="H114">
        <v>0</v>
      </c>
      <c r="I114">
        <v>0</v>
      </c>
      <c r="J114">
        <v>0</v>
      </c>
      <c r="K114">
        <v>0</v>
      </c>
      <c r="L114">
        <v>38073</v>
      </c>
      <c r="M114">
        <v>0</v>
      </c>
      <c r="N114">
        <v>3256</v>
      </c>
      <c r="O114">
        <v>3979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 t="s">
        <v>282</v>
      </c>
      <c r="Y114">
        <v>0</v>
      </c>
      <c r="Z114">
        <v>0</v>
      </c>
      <c r="AA114">
        <v>10</v>
      </c>
    </row>
    <row r="115" spans="1:27">
      <c r="A115">
        <v>110</v>
      </c>
      <c r="B115">
        <v>2001</v>
      </c>
      <c r="C115">
        <v>55</v>
      </c>
      <c r="D115" t="s">
        <v>337</v>
      </c>
      <c r="E115">
        <f>INDEX([1]用户升级!$G$20:$G$89,MATCH(C115,[1]用户升级!$A$20:$A$89,0))</f>
        <v>312</v>
      </c>
      <c r="F115">
        <f t="shared" si="1"/>
        <v>624</v>
      </c>
      <c r="G115">
        <v>1001</v>
      </c>
      <c r="H115">
        <v>0</v>
      </c>
      <c r="I115">
        <v>0</v>
      </c>
      <c r="J115">
        <v>0</v>
      </c>
      <c r="K115">
        <v>0</v>
      </c>
      <c r="L115">
        <v>38436</v>
      </c>
      <c r="M115">
        <v>0</v>
      </c>
      <c r="N115">
        <v>3298</v>
      </c>
      <c r="O115">
        <v>4030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t="s">
        <v>283</v>
      </c>
      <c r="Y115">
        <v>0</v>
      </c>
      <c r="Z115">
        <v>0</v>
      </c>
      <c r="AA115">
        <v>10</v>
      </c>
    </row>
    <row r="116" spans="1:27">
      <c r="A116">
        <v>111</v>
      </c>
      <c r="B116">
        <v>2001</v>
      </c>
      <c r="C116">
        <v>56</v>
      </c>
      <c r="D116" t="s">
        <v>141</v>
      </c>
      <c r="E116">
        <f>INDEX([1]用户升级!$G$20:$G$89,MATCH(C116,[1]用户升级!$A$20:$A$89,0))</f>
        <v>320</v>
      </c>
      <c r="F116">
        <f t="shared" si="1"/>
        <v>640</v>
      </c>
      <c r="G116">
        <v>1001</v>
      </c>
      <c r="H116">
        <v>0</v>
      </c>
      <c r="I116">
        <v>0</v>
      </c>
      <c r="J116">
        <v>0</v>
      </c>
      <c r="K116">
        <v>0</v>
      </c>
      <c r="L116">
        <v>40742</v>
      </c>
      <c r="M116">
        <v>0</v>
      </c>
      <c r="N116">
        <v>3504</v>
      </c>
      <c r="O116">
        <v>4283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t="s">
        <v>284</v>
      </c>
      <c r="Y116">
        <v>0</v>
      </c>
      <c r="Z116">
        <v>0</v>
      </c>
      <c r="AA116">
        <v>10</v>
      </c>
    </row>
    <row r="117" spans="1:27">
      <c r="A117">
        <v>112</v>
      </c>
      <c r="B117">
        <v>2001</v>
      </c>
      <c r="C117">
        <v>55</v>
      </c>
      <c r="D117" t="s">
        <v>146</v>
      </c>
      <c r="E117">
        <f>INDEX([1]用户升级!$G$20:$G$89,MATCH(C117,[1]用户升级!$A$20:$A$89,0))</f>
        <v>312</v>
      </c>
      <c r="F117">
        <f t="shared" si="1"/>
        <v>624</v>
      </c>
      <c r="G117">
        <v>1001</v>
      </c>
      <c r="H117">
        <v>0</v>
      </c>
      <c r="I117">
        <v>0</v>
      </c>
      <c r="J117">
        <v>0</v>
      </c>
      <c r="K117">
        <v>0</v>
      </c>
      <c r="L117">
        <v>40358</v>
      </c>
      <c r="M117">
        <v>0</v>
      </c>
      <c r="N117">
        <v>3402</v>
      </c>
      <c r="O117">
        <v>4158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t="s">
        <v>285</v>
      </c>
      <c r="Y117">
        <v>0</v>
      </c>
      <c r="Z117">
        <v>0</v>
      </c>
      <c r="AA117">
        <v>10</v>
      </c>
    </row>
    <row r="118" spans="1:27">
      <c r="A118">
        <v>113</v>
      </c>
      <c r="B118">
        <v>2001</v>
      </c>
      <c r="C118">
        <v>56</v>
      </c>
      <c r="D118" t="s">
        <v>147</v>
      </c>
      <c r="E118">
        <f>INDEX([1]用户升级!$G$20:$G$89,MATCH(C118,[1]用户升级!$A$20:$A$89,0))</f>
        <v>320</v>
      </c>
      <c r="F118">
        <f t="shared" si="1"/>
        <v>640</v>
      </c>
      <c r="G118">
        <v>1001</v>
      </c>
      <c r="H118">
        <v>0</v>
      </c>
      <c r="I118">
        <v>0</v>
      </c>
      <c r="J118">
        <v>0</v>
      </c>
      <c r="K118">
        <v>0</v>
      </c>
      <c r="L118">
        <v>42779</v>
      </c>
      <c r="M118">
        <v>0</v>
      </c>
      <c r="N118">
        <v>3613</v>
      </c>
      <c r="O118">
        <v>4417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t="s">
        <v>286</v>
      </c>
      <c r="Y118">
        <v>0</v>
      </c>
      <c r="Z118">
        <v>0</v>
      </c>
      <c r="AA118">
        <v>10</v>
      </c>
    </row>
    <row r="119" spans="1:27">
      <c r="A119">
        <v>114</v>
      </c>
      <c r="B119">
        <v>2001</v>
      </c>
      <c r="C119">
        <v>57</v>
      </c>
      <c r="D119" t="s">
        <v>148</v>
      </c>
      <c r="E119">
        <f>INDEX([1]用户升级!$G$20:$G$89,MATCH(C119,[1]用户升级!$A$20:$A$89,0))</f>
        <v>328</v>
      </c>
      <c r="F119">
        <f t="shared" si="1"/>
        <v>656</v>
      </c>
      <c r="G119">
        <v>1001</v>
      </c>
      <c r="H119">
        <v>0</v>
      </c>
      <c r="I119">
        <v>0</v>
      </c>
      <c r="J119">
        <v>0</v>
      </c>
      <c r="K119">
        <v>0</v>
      </c>
      <c r="L119">
        <v>44816</v>
      </c>
      <c r="M119">
        <v>0</v>
      </c>
      <c r="N119">
        <v>3723</v>
      </c>
      <c r="O119">
        <v>4550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t="s">
        <v>287</v>
      </c>
      <c r="Y119">
        <v>0</v>
      </c>
      <c r="Z119">
        <v>0</v>
      </c>
      <c r="AA119">
        <v>10</v>
      </c>
    </row>
    <row r="120" spans="1:27">
      <c r="A120">
        <v>115</v>
      </c>
      <c r="B120">
        <v>2001</v>
      </c>
      <c r="C120">
        <v>58</v>
      </c>
      <c r="D120" t="s">
        <v>338</v>
      </c>
      <c r="E120">
        <f>INDEX([1]用户升级!$G$20:$G$89,MATCH(C120,[1]用户升级!$A$20:$A$89,0))</f>
        <v>336</v>
      </c>
      <c r="F120">
        <f t="shared" si="1"/>
        <v>672</v>
      </c>
      <c r="G120">
        <v>1001</v>
      </c>
      <c r="H120">
        <v>0</v>
      </c>
      <c r="I120">
        <v>0</v>
      </c>
      <c r="J120">
        <v>0</v>
      </c>
      <c r="K120">
        <v>0</v>
      </c>
      <c r="L120">
        <v>47505</v>
      </c>
      <c r="M120">
        <v>0</v>
      </c>
      <c r="N120">
        <v>3955</v>
      </c>
      <c r="O120">
        <v>4834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t="s">
        <v>300</v>
      </c>
      <c r="Y120">
        <v>0</v>
      </c>
      <c r="Z120">
        <v>0</v>
      </c>
      <c r="AA120">
        <v>10</v>
      </c>
    </row>
    <row r="121" spans="1:27">
      <c r="A121">
        <v>116</v>
      </c>
      <c r="B121">
        <v>2001</v>
      </c>
      <c r="C121">
        <v>57</v>
      </c>
      <c r="D121" t="s">
        <v>142</v>
      </c>
      <c r="E121">
        <f>INDEX([1]用户升级!$G$20:$G$89,MATCH(C121,[1]用户升级!$A$20:$A$89,0))</f>
        <v>328</v>
      </c>
      <c r="F121">
        <f t="shared" si="1"/>
        <v>656</v>
      </c>
      <c r="G121">
        <v>1001</v>
      </c>
      <c r="H121">
        <v>0</v>
      </c>
      <c r="I121">
        <v>0</v>
      </c>
      <c r="J121">
        <v>0</v>
      </c>
      <c r="K121">
        <v>0</v>
      </c>
      <c r="L121">
        <v>47057</v>
      </c>
      <c r="M121">
        <v>0</v>
      </c>
      <c r="N121">
        <v>3839</v>
      </c>
      <c r="O121">
        <v>4692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t="s">
        <v>285</v>
      </c>
      <c r="Y121">
        <v>0</v>
      </c>
      <c r="Z121">
        <v>0</v>
      </c>
      <c r="AA121">
        <v>10</v>
      </c>
    </row>
    <row r="122" spans="1:27">
      <c r="A122">
        <v>117</v>
      </c>
      <c r="B122">
        <v>2001</v>
      </c>
      <c r="C122">
        <v>58</v>
      </c>
      <c r="D122" t="s">
        <v>143</v>
      </c>
      <c r="E122">
        <f>INDEX([1]用户升级!$G$20:$G$89,MATCH(C122,[1]用户升级!$A$20:$A$89,0))</f>
        <v>336</v>
      </c>
      <c r="F122">
        <f t="shared" si="1"/>
        <v>672</v>
      </c>
      <c r="G122">
        <v>1001</v>
      </c>
      <c r="H122">
        <v>0</v>
      </c>
      <c r="I122">
        <v>0</v>
      </c>
      <c r="J122">
        <v>0</v>
      </c>
      <c r="K122">
        <v>0</v>
      </c>
      <c r="L122">
        <v>49880</v>
      </c>
      <c r="M122">
        <v>0</v>
      </c>
      <c r="N122">
        <v>4079</v>
      </c>
      <c r="O122">
        <v>4986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 t="s">
        <v>284</v>
      </c>
      <c r="Y122">
        <v>0</v>
      </c>
      <c r="Z122">
        <v>0</v>
      </c>
      <c r="AA122">
        <v>10</v>
      </c>
    </row>
    <row r="123" spans="1:27">
      <c r="A123">
        <v>118</v>
      </c>
      <c r="B123">
        <v>2001</v>
      </c>
      <c r="C123">
        <v>59</v>
      </c>
      <c r="D123" t="s">
        <v>144</v>
      </c>
      <c r="E123">
        <f>INDEX([1]用户升级!$G$20:$G$89,MATCH(C123,[1]用户升级!$A$20:$A$89,0))</f>
        <v>344</v>
      </c>
      <c r="F123">
        <f t="shared" si="1"/>
        <v>688</v>
      </c>
      <c r="G123">
        <v>1001</v>
      </c>
      <c r="H123">
        <v>0</v>
      </c>
      <c r="I123">
        <v>0</v>
      </c>
      <c r="J123">
        <v>0</v>
      </c>
      <c r="K123">
        <v>0</v>
      </c>
      <c r="L123">
        <v>50355</v>
      </c>
      <c r="M123">
        <v>0</v>
      </c>
      <c r="N123">
        <v>4203</v>
      </c>
      <c r="O123">
        <v>5138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 t="s">
        <v>283</v>
      </c>
      <c r="Y123">
        <v>0</v>
      </c>
      <c r="Z123">
        <v>0</v>
      </c>
      <c r="AA123">
        <v>10</v>
      </c>
    </row>
    <row r="124" spans="1:27">
      <c r="A124">
        <v>119</v>
      </c>
      <c r="B124">
        <v>2001</v>
      </c>
      <c r="C124">
        <v>60</v>
      </c>
      <c r="D124" t="s">
        <v>145</v>
      </c>
      <c r="E124">
        <f>INDEX([1]用户升级!$G$20:$G$89,MATCH(C124,[1]用户升级!$A$20:$A$89,0))</f>
        <v>352</v>
      </c>
      <c r="F124">
        <f t="shared" si="1"/>
        <v>704</v>
      </c>
      <c r="G124">
        <v>1001</v>
      </c>
      <c r="H124">
        <v>0</v>
      </c>
      <c r="I124">
        <v>0</v>
      </c>
      <c r="J124">
        <v>0</v>
      </c>
      <c r="K124">
        <v>0</v>
      </c>
      <c r="L124">
        <v>53376</v>
      </c>
      <c r="M124">
        <v>0</v>
      </c>
      <c r="N124">
        <v>4465</v>
      </c>
      <c r="O124">
        <v>5458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 t="s">
        <v>282</v>
      </c>
      <c r="Y124">
        <v>0</v>
      </c>
      <c r="Z124">
        <v>0</v>
      </c>
      <c r="AA124">
        <v>10</v>
      </c>
    </row>
    <row r="125" spans="1:27">
      <c r="A125">
        <v>120</v>
      </c>
      <c r="B125">
        <v>2001</v>
      </c>
      <c r="C125">
        <v>59</v>
      </c>
      <c r="D125" t="s">
        <v>153</v>
      </c>
      <c r="E125">
        <f>INDEX([1]用户升级!$G$20:$G$89,MATCH(C125,[1]用户升级!$A$20:$A$89,0))</f>
        <v>344</v>
      </c>
      <c r="F125">
        <f t="shared" si="1"/>
        <v>688</v>
      </c>
      <c r="G125">
        <v>1001</v>
      </c>
      <c r="H125">
        <v>0</v>
      </c>
      <c r="I125">
        <v>0</v>
      </c>
      <c r="J125">
        <v>0</v>
      </c>
      <c r="K125">
        <v>0</v>
      </c>
      <c r="L125">
        <v>52873</v>
      </c>
      <c r="M125">
        <v>0</v>
      </c>
      <c r="N125">
        <v>4334</v>
      </c>
      <c r="O125">
        <v>5298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 t="s">
        <v>281</v>
      </c>
      <c r="Y125">
        <v>0</v>
      </c>
      <c r="Z125">
        <v>0</v>
      </c>
      <c r="AA125">
        <v>10</v>
      </c>
    </row>
    <row r="126" spans="1:27">
      <c r="A126">
        <v>121</v>
      </c>
      <c r="B126">
        <v>2001</v>
      </c>
      <c r="C126">
        <v>60</v>
      </c>
      <c r="D126" t="s">
        <v>342</v>
      </c>
      <c r="E126">
        <f>INDEX([1]用户升级!$G$20:$G$89,MATCH(C126,[1]用户升级!$A$20:$A$89,0))</f>
        <v>352</v>
      </c>
      <c r="F126">
        <f t="shared" si="1"/>
        <v>704</v>
      </c>
      <c r="G126">
        <v>1001</v>
      </c>
      <c r="H126">
        <v>0</v>
      </c>
      <c r="I126">
        <v>0</v>
      </c>
      <c r="J126">
        <v>0</v>
      </c>
      <c r="K126">
        <v>0</v>
      </c>
      <c r="L126">
        <v>56045</v>
      </c>
      <c r="M126">
        <v>0</v>
      </c>
      <c r="N126">
        <v>4600</v>
      </c>
      <c r="O126">
        <v>5623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t="s">
        <v>280</v>
      </c>
      <c r="Y126">
        <v>0</v>
      </c>
      <c r="Z126">
        <v>0</v>
      </c>
      <c r="AA126">
        <v>10</v>
      </c>
    </row>
    <row r="127" spans="1:27">
      <c r="A127">
        <v>122</v>
      </c>
      <c r="B127">
        <v>2001</v>
      </c>
      <c r="C127">
        <v>61</v>
      </c>
      <c r="D127" t="s">
        <v>343</v>
      </c>
      <c r="E127">
        <f>INDEX([1]用户升级!$G$20:$G$89,MATCH(C127,[1]用户升级!$A$20:$A$89,0))</f>
        <v>362</v>
      </c>
      <c r="F127">
        <f t="shared" si="1"/>
        <v>724</v>
      </c>
      <c r="G127">
        <v>1001</v>
      </c>
      <c r="H127">
        <v>0</v>
      </c>
      <c r="I127">
        <v>0</v>
      </c>
      <c r="J127">
        <v>0</v>
      </c>
      <c r="K127">
        <v>0</v>
      </c>
      <c r="L127">
        <v>58714</v>
      </c>
      <c r="M127">
        <v>0</v>
      </c>
      <c r="N127">
        <v>4735</v>
      </c>
      <c r="O127">
        <v>5788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 t="s">
        <v>279</v>
      </c>
      <c r="Y127">
        <v>0</v>
      </c>
      <c r="Z127">
        <v>0</v>
      </c>
      <c r="AA127">
        <v>10</v>
      </c>
    </row>
    <row r="128" spans="1:27">
      <c r="A128">
        <v>123</v>
      </c>
      <c r="B128">
        <v>2001</v>
      </c>
      <c r="C128">
        <v>62</v>
      </c>
      <c r="D128" t="s">
        <v>344</v>
      </c>
      <c r="E128">
        <f>INDEX([1]用户升级!$G$20:$G$89,MATCH(C128,[1]用户升级!$A$20:$A$89,0))</f>
        <v>372</v>
      </c>
      <c r="F128">
        <f t="shared" si="1"/>
        <v>744</v>
      </c>
      <c r="G128">
        <v>1001</v>
      </c>
      <c r="H128">
        <v>0</v>
      </c>
      <c r="I128">
        <v>0</v>
      </c>
      <c r="J128">
        <v>0</v>
      </c>
      <c r="K128">
        <v>0</v>
      </c>
      <c r="L128">
        <v>61650</v>
      </c>
      <c r="M128">
        <v>0</v>
      </c>
      <c r="N128">
        <v>5020</v>
      </c>
      <c r="O128">
        <v>6136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 t="s">
        <v>278</v>
      </c>
      <c r="Y128">
        <v>0</v>
      </c>
      <c r="Z128">
        <v>0</v>
      </c>
      <c r="AA128">
        <v>10</v>
      </c>
    </row>
    <row r="129" spans="1:27">
      <c r="A129">
        <v>124</v>
      </c>
      <c r="B129">
        <v>2001</v>
      </c>
      <c r="C129">
        <v>61</v>
      </c>
      <c r="D129" t="s">
        <v>345</v>
      </c>
      <c r="E129">
        <f>INDEX([1]用户升级!$G$20:$G$89,MATCH(C129,[1]用户升级!$A$20:$A$89,0))</f>
        <v>362</v>
      </c>
      <c r="F129">
        <f t="shared" si="1"/>
        <v>724</v>
      </c>
      <c r="G129">
        <v>1001</v>
      </c>
      <c r="H129">
        <v>0</v>
      </c>
      <c r="I129">
        <v>0</v>
      </c>
      <c r="J129">
        <v>0</v>
      </c>
      <c r="K129">
        <v>0</v>
      </c>
      <c r="L129">
        <v>61650</v>
      </c>
      <c r="M129">
        <v>0</v>
      </c>
      <c r="N129">
        <v>4878</v>
      </c>
      <c r="O129">
        <v>5963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 t="s">
        <v>277</v>
      </c>
      <c r="Y129">
        <v>0</v>
      </c>
      <c r="Z129">
        <v>0</v>
      </c>
      <c r="AA129">
        <v>10</v>
      </c>
    </row>
    <row r="130" spans="1:27">
      <c r="A130">
        <v>125</v>
      </c>
      <c r="B130">
        <v>2001</v>
      </c>
      <c r="C130">
        <v>62</v>
      </c>
      <c r="D130" t="s">
        <v>154</v>
      </c>
      <c r="E130">
        <f>INDEX([1]用户升级!$G$20:$G$89,MATCH(C130,[1]用户升级!$A$20:$A$89,0))</f>
        <v>372</v>
      </c>
      <c r="F130">
        <f t="shared" si="1"/>
        <v>744</v>
      </c>
      <c r="G130">
        <v>1001</v>
      </c>
      <c r="H130">
        <v>0</v>
      </c>
      <c r="I130">
        <v>0</v>
      </c>
      <c r="J130">
        <v>0</v>
      </c>
      <c r="K130">
        <v>0</v>
      </c>
      <c r="L130">
        <v>64733</v>
      </c>
      <c r="M130">
        <v>0</v>
      </c>
      <c r="N130">
        <v>5173</v>
      </c>
      <c r="O130">
        <v>6322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 t="s">
        <v>276</v>
      </c>
      <c r="Y130">
        <v>0</v>
      </c>
      <c r="Z130">
        <v>0</v>
      </c>
      <c r="AA130">
        <v>10</v>
      </c>
    </row>
    <row r="131" spans="1:27">
      <c r="A131">
        <v>126</v>
      </c>
      <c r="B131">
        <v>2001</v>
      </c>
      <c r="C131">
        <v>63</v>
      </c>
      <c r="D131" t="s">
        <v>346</v>
      </c>
      <c r="E131">
        <f>INDEX([1]用户升级!$G$20:$G$89,MATCH(C131,[1]用户升级!$A$20:$A$89,0))</f>
        <v>382</v>
      </c>
      <c r="F131">
        <f t="shared" si="1"/>
        <v>764</v>
      </c>
      <c r="G131">
        <v>1001</v>
      </c>
      <c r="H131">
        <v>0</v>
      </c>
      <c r="I131">
        <v>0</v>
      </c>
      <c r="J131">
        <v>0</v>
      </c>
      <c r="K131">
        <v>0</v>
      </c>
      <c r="L131">
        <v>64733</v>
      </c>
      <c r="M131">
        <v>0</v>
      </c>
      <c r="N131">
        <v>5324</v>
      </c>
      <c r="O131">
        <v>6507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 t="s">
        <v>275</v>
      </c>
      <c r="Y131">
        <v>0</v>
      </c>
      <c r="Z131">
        <v>0</v>
      </c>
      <c r="AA131">
        <v>10</v>
      </c>
    </row>
    <row r="132" spans="1:27">
      <c r="A132">
        <v>127</v>
      </c>
      <c r="B132">
        <v>2001</v>
      </c>
      <c r="C132">
        <v>64</v>
      </c>
      <c r="D132" t="s">
        <v>155</v>
      </c>
      <c r="E132">
        <f>INDEX([1]用户升级!$G$20:$G$89,MATCH(C132,[1]用户升级!$A$20:$A$89,0))</f>
        <v>392</v>
      </c>
      <c r="F132">
        <f t="shared" si="1"/>
        <v>784</v>
      </c>
      <c r="G132">
        <v>1001</v>
      </c>
      <c r="H132">
        <v>0</v>
      </c>
      <c r="I132">
        <v>0</v>
      </c>
      <c r="J132">
        <v>0</v>
      </c>
      <c r="K132">
        <v>0</v>
      </c>
      <c r="L132">
        <v>67970</v>
      </c>
      <c r="M132">
        <v>0</v>
      </c>
      <c r="N132">
        <v>5645</v>
      </c>
      <c r="O132">
        <v>6900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 t="s">
        <v>274</v>
      </c>
      <c r="Y132">
        <v>0</v>
      </c>
      <c r="Z132">
        <v>0</v>
      </c>
      <c r="AA132">
        <v>10</v>
      </c>
    </row>
    <row r="133" spans="1:27">
      <c r="A133">
        <v>128</v>
      </c>
      <c r="B133">
        <v>2001</v>
      </c>
      <c r="C133">
        <v>63</v>
      </c>
      <c r="D133" t="s">
        <v>159</v>
      </c>
      <c r="E133">
        <f>INDEX([1]用户升级!$G$20:$G$89,MATCH(C133,[1]用户升级!$A$20:$A$89,0))</f>
        <v>382</v>
      </c>
      <c r="F133">
        <f t="shared" si="1"/>
        <v>764</v>
      </c>
      <c r="G133">
        <v>1001</v>
      </c>
      <c r="H133">
        <v>0</v>
      </c>
      <c r="I133">
        <v>0</v>
      </c>
      <c r="J133">
        <v>0</v>
      </c>
      <c r="K133">
        <v>0</v>
      </c>
      <c r="L133">
        <v>67970</v>
      </c>
      <c r="M133">
        <v>0</v>
      </c>
      <c r="N133">
        <v>5485</v>
      </c>
      <c r="O133">
        <v>6703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 t="s">
        <v>273</v>
      </c>
      <c r="Y133">
        <v>0</v>
      </c>
      <c r="Z133">
        <v>0</v>
      </c>
      <c r="AA133">
        <v>10</v>
      </c>
    </row>
    <row r="134" spans="1:27">
      <c r="A134">
        <v>129</v>
      </c>
      <c r="B134">
        <v>2001</v>
      </c>
      <c r="C134">
        <v>64</v>
      </c>
      <c r="D134" t="s">
        <v>324</v>
      </c>
      <c r="E134">
        <f>INDEX([1]用户升级!$G$20:$G$89,MATCH(C134,[1]用户升级!$A$20:$A$89,0))</f>
        <v>392</v>
      </c>
      <c r="F134">
        <f t="shared" si="1"/>
        <v>784</v>
      </c>
      <c r="G134">
        <v>1001</v>
      </c>
      <c r="H134">
        <v>0</v>
      </c>
      <c r="I134">
        <v>0</v>
      </c>
      <c r="J134">
        <v>0</v>
      </c>
      <c r="K134">
        <v>0</v>
      </c>
      <c r="L134">
        <v>71369</v>
      </c>
      <c r="M134">
        <v>0</v>
      </c>
      <c r="N134">
        <v>5817</v>
      </c>
      <c r="O134">
        <v>7109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 t="s">
        <v>272</v>
      </c>
      <c r="Y134">
        <v>0</v>
      </c>
      <c r="Z134">
        <v>0</v>
      </c>
      <c r="AA134">
        <v>10</v>
      </c>
    </row>
    <row r="135" spans="1:27">
      <c r="A135">
        <v>130</v>
      </c>
      <c r="B135">
        <v>2001</v>
      </c>
      <c r="C135">
        <v>65</v>
      </c>
      <c r="D135" t="s">
        <v>325</v>
      </c>
      <c r="E135">
        <f>INDEX([1]用户升级!$G$20:$G$89,MATCH(C135,[1]用户升级!$A$20:$A$89,0))</f>
        <v>402</v>
      </c>
      <c r="F135">
        <f t="shared" ref="F135:F198" si="2">E135*2</f>
        <v>804</v>
      </c>
      <c r="G135">
        <v>1001</v>
      </c>
      <c r="H135">
        <v>0</v>
      </c>
      <c r="I135">
        <v>0</v>
      </c>
      <c r="J135">
        <v>0</v>
      </c>
      <c r="K135">
        <v>0</v>
      </c>
      <c r="L135">
        <v>74767</v>
      </c>
      <c r="M135">
        <v>0</v>
      </c>
      <c r="N135">
        <v>5987</v>
      </c>
      <c r="O135">
        <v>7317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 t="s">
        <v>271</v>
      </c>
      <c r="Y135">
        <v>0</v>
      </c>
      <c r="Z135">
        <v>0</v>
      </c>
      <c r="AA135">
        <v>10</v>
      </c>
    </row>
    <row r="136" spans="1:27">
      <c r="A136">
        <v>131</v>
      </c>
      <c r="B136">
        <v>2001</v>
      </c>
      <c r="C136">
        <v>66</v>
      </c>
      <c r="D136" t="s">
        <v>160</v>
      </c>
      <c r="E136">
        <f>INDEX([1]用户升级!$G$20:$G$89,MATCH(C136,[1]用户升级!$A$20:$A$89,0))</f>
        <v>412</v>
      </c>
      <c r="F136">
        <f t="shared" si="2"/>
        <v>824</v>
      </c>
      <c r="G136">
        <v>1001</v>
      </c>
      <c r="H136">
        <v>0</v>
      </c>
      <c r="I136">
        <v>0</v>
      </c>
      <c r="J136">
        <v>0</v>
      </c>
      <c r="K136">
        <v>0</v>
      </c>
      <c r="L136">
        <v>77758</v>
      </c>
      <c r="M136">
        <v>0</v>
      </c>
      <c r="N136">
        <v>6211</v>
      </c>
      <c r="O136">
        <v>7591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 t="s">
        <v>270</v>
      </c>
      <c r="Y136">
        <v>0</v>
      </c>
      <c r="Z136">
        <v>0</v>
      </c>
      <c r="AA136">
        <v>10</v>
      </c>
    </row>
    <row r="137" spans="1:27">
      <c r="A137">
        <v>132</v>
      </c>
      <c r="B137">
        <v>2001</v>
      </c>
      <c r="C137">
        <v>65</v>
      </c>
      <c r="D137" t="s">
        <v>149</v>
      </c>
      <c r="E137">
        <f>INDEX([1]用户升级!$G$20:$G$89,MATCH(C137,[1]用户升级!$A$20:$A$89,0))</f>
        <v>402</v>
      </c>
      <c r="F137">
        <f t="shared" si="2"/>
        <v>804</v>
      </c>
      <c r="G137">
        <v>1001</v>
      </c>
      <c r="H137">
        <v>0</v>
      </c>
      <c r="I137">
        <v>0</v>
      </c>
      <c r="J137">
        <v>0</v>
      </c>
      <c r="K137">
        <v>0</v>
      </c>
      <c r="L137">
        <v>78505</v>
      </c>
      <c r="M137">
        <v>0</v>
      </c>
      <c r="N137">
        <v>6099</v>
      </c>
      <c r="O137">
        <v>7454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 t="s">
        <v>269</v>
      </c>
      <c r="Y137">
        <v>0</v>
      </c>
      <c r="Z137">
        <v>0</v>
      </c>
      <c r="AA137">
        <v>10</v>
      </c>
    </row>
    <row r="138" spans="1:27">
      <c r="A138">
        <v>133</v>
      </c>
      <c r="B138">
        <v>2001</v>
      </c>
      <c r="C138">
        <v>66</v>
      </c>
      <c r="D138" t="s">
        <v>150</v>
      </c>
      <c r="E138">
        <f>INDEX([1]用户升级!$G$20:$G$89,MATCH(C138,[1]用户升级!$A$20:$A$89,0))</f>
        <v>412</v>
      </c>
      <c r="F138">
        <f t="shared" si="2"/>
        <v>824</v>
      </c>
      <c r="G138">
        <v>1001</v>
      </c>
      <c r="H138">
        <v>0</v>
      </c>
      <c r="I138">
        <v>0</v>
      </c>
      <c r="J138">
        <v>0</v>
      </c>
      <c r="K138">
        <v>0</v>
      </c>
      <c r="L138">
        <v>81646</v>
      </c>
      <c r="M138">
        <v>0</v>
      </c>
      <c r="N138">
        <v>6328</v>
      </c>
      <c r="O138">
        <v>7735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 t="s">
        <v>268</v>
      </c>
      <c r="Y138">
        <v>0</v>
      </c>
      <c r="Z138">
        <v>0</v>
      </c>
      <c r="AA138">
        <v>10</v>
      </c>
    </row>
    <row r="139" spans="1:27">
      <c r="A139">
        <v>134</v>
      </c>
      <c r="B139">
        <v>2001</v>
      </c>
      <c r="C139">
        <v>67</v>
      </c>
      <c r="D139" t="s">
        <v>151</v>
      </c>
      <c r="E139">
        <f>INDEX([1]用户升级!$G$20:$G$89,MATCH(C139,[1]用户升级!$A$20:$A$89,0))</f>
        <v>422</v>
      </c>
      <c r="F139">
        <f t="shared" si="2"/>
        <v>844</v>
      </c>
      <c r="G139">
        <v>1001</v>
      </c>
      <c r="H139">
        <v>0</v>
      </c>
      <c r="I139">
        <v>0</v>
      </c>
      <c r="J139">
        <v>0</v>
      </c>
      <c r="K139">
        <v>0</v>
      </c>
      <c r="L139">
        <v>80868</v>
      </c>
      <c r="M139">
        <v>0</v>
      </c>
      <c r="N139">
        <v>6444</v>
      </c>
      <c r="O139">
        <v>7877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 t="s">
        <v>267</v>
      </c>
      <c r="Y139">
        <v>0</v>
      </c>
      <c r="Z139">
        <v>0</v>
      </c>
      <c r="AA139">
        <v>10</v>
      </c>
    </row>
    <row r="140" spans="1:27">
      <c r="A140">
        <v>135</v>
      </c>
      <c r="B140">
        <v>2001</v>
      </c>
      <c r="C140">
        <v>68</v>
      </c>
      <c r="D140" t="s">
        <v>152</v>
      </c>
      <c r="E140">
        <f>INDEX([1]用户升级!$G$20:$G$89,MATCH(C140,[1]用户升级!$A$20:$A$89,0))</f>
        <v>432</v>
      </c>
      <c r="F140">
        <f t="shared" si="2"/>
        <v>864</v>
      </c>
      <c r="G140">
        <v>1001</v>
      </c>
      <c r="H140">
        <v>0</v>
      </c>
      <c r="I140">
        <v>0</v>
      </c>
      <c r="J140">
        <v>0</v>
      </c>
      <c r="K140">
        <v>0</v>
      </c>
      <c r="L140">
        <v>84103</v>
      </c>
      <c r="M140">
        <v>0</v>
      </c>
      <c r="N140">
        <v>6687</v>
      </c>
      <c r="O140">
        <v>8174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 t="s">
        <v>266</v>
      </c>
      <c r="Y140">
        <v>0</v>
      </c>
      <c r="Z140">
        <v>0</v>
      </c>
      <c r="AA140">
        <v>10</v>
      </c>
    </row>
    <row r="141" spans="1:27">
      <c r="A141">
        <v>136</v>
      </c>
      <c r="B141">
        <v>2001</v>
      </c>
      <c r="C141">
        <v>67</v>
      </c>
      <c r="D141" t="s">
        <v>156</v>
      </c>
      <c r="E141">
        <f>INDEX([1]用户升级!$G$20:$G$89,MATCH(C141,[1]用户升级!$A$20:$A$89,0))</f>
        <v>422</v>
      </c>
      <c r="F141">
        <f t="shared" si="2"/>
        <v>844</v>
      </c>
      <c r="G141">
        <v>1001</v>
      </c>
      <c r="H141">
        <v>0</v>
      </c>
      <c r="I141">
        <v>0</v>
      </c>
      <c r="J141">
        <v>0</v>
      </c>
      <c r="K141">
        <v>0</v>
      </c>
      <c r="L141">
        <v>84911</v>
      </c>
      <c r="M141">
        <v>0</v>
      </c>
      <c r="N141">
        <v>6566</v>
      </c>
      <c r="O141">
        <v>8025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 t="s">
        <v>265</v>
      </c>
      <c r="Y141">
        <v>0</v>
      </c>
      <c r="Z141">
        <v>0</v>
      </c>
      <c r="AA141">
        <v>10</v>
      </c>
    </row>
    <row r="142" spans="1:27">
      <c r="A142">
        <v>137</v>
      </c>
      <c r="B142">
        <v>2001</v>
      </c>
      <c r="C142">
        <v>68</v>
      </c>
      <c r="D142" t="s">
        <v>157</v>
      </c>
      <c r="E142">
        <f>INDEX([1]用户升级!$G$20:$G$89,MATCH(C142,[1]用户升级!$A$20:$A$89,0))</f>
        <v>432</v>
      </c>
      <c r="F142">
        <f t="shared" si="2"/>
        <v>864</v>
      </c>
      <c r="G142">
        <v>1001</v>
      </c>
      <c r="H142">
        <v>0</v>
      </c>
      <c r="I142">
        <v>0</v>
      </c>
      <c r="J142">
        <v>0</v>
      </c>
      <c r="K142">
        <v>0</v>
      </c>
      <c r="L142">
        <v>88308</v>
      </c>
      <c r="M142">
        <v>0</v>
      </c>
      <c r="N142">
        <v>6813</v>
      </c>
      <c r="O142">
        <v>8327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 t="s">
        <v>264</v>
      </c>
      <c r="Y142">
        <v>0</v>
      </c>
      <c r="Z142">
        <v>0</v>
      </c>
      <c r="AA142">
        <v>10</v>
      </c>
    </row>
    <row r="143" spans="1:27">
      <c r="A143">
        <v>138</v>
      </c>
      <c r="B143">
        <v>2001</v>
      </c>
      <c r="C143">
        <v>69</v>
      </c>
      <c r="D143" t="s">
        <v>347</v>
      </c>
      <c r="E143">
        <f>INDEX([1]用户升级!$G$20:$G$89,MATCH(C143,[1]用户升级!$A$20:$A$89,0))</f>
        <v>442</v>
      </c>
      <c r="F143">
        <f t="shared" si="2"/>
        <v>884</v>
      </c>
      <c r="G143">
        <v>1001</v>
      </c>
      <c r="H143">
        <v>0</v>
      </c>
      <c r="I143">
        <v>0</v>
      </c>
      <c r="J143">
        <v>0</v>
      </c>
      <c r="K143">
        <v>0</v>
      </c>
      <c r="L143">
        <v>92513</v>
      </c>
      <c r="M143">
        <v>0</v>
      </c>
      <c r="N143">
        <v>6939</v>
      </c>
      <c r="O143">
        <v>8481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 t="s">
        <v>263</v>
      </c>
      <c r="Y143">
        <v>0</v>
      </c>
      <c r="Z143">
        <v>0</v>
      </c>
      <c r="AA143">
        <v>10</v>
      </c>
    </row>
    <row r="144" spans="1:27">
      <c r="A144">
        <v>139</v>
      </c>
      <c r="B144">
        <v>2001</v>
      </c>
      <c r="C144">
        <v>70</v>
      </c>
      <c r="D144" t="s">
        <v>158</v>
      </c>
      <c r="E144">
        <f>INDEX([1]用户升级!$G$20:$G$89,MATCH(C144,[1]用户升级!$A$20:$A$89,0))</f>
        <v>452</v>
      </c>
      <c r="F144">
        <f t="shared" si="2"/>
        <v>904</v>
      </c>
      <c r="G144">
        <v>1001</v>
      </c>
      <c r="H144">
        <v>0</v>
      </c>
      <c r="I144">
        <v>0</v>
      </c>
      <c r="J144">
        <v>0</v>
      </c>
      <c r="K144">
        <v>0</v>
      </c>
      <c r="L144">
        <v>96214</v>
      </c>
      <c r="M144">
        <v>0</v>
      </c>
      <c r="N144">
        <v>7199</v>
      </c>
      <c r="O144">
        <v>8799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 t="s">
        <v>262</v>
      </c>
      <c r="Y144">
        <v>0</v>
      </c>
      <c r="Z144">
        <v>0</v>
      </c>
      <c r="AA144">
        <v>10</v>
      </c>
    </row>
    <row r="145" spans="1:27">
      <c r="A145">
        <v>140</v>
      </c>
      <c r="B145">
        <v>2001</v>
      </c>
      <c r="C145">
        <v>69</v>
      </c>
      <c r="D145" t="s">
        <v>161</v>
      </c>
      <c r="E145">
        <f>INDEX([1]用户升级!$G$20:$G$89,MATCH(C145,[1]用户升级!$A$20:$A$89,0))</f>
        <v>442</v>
      </c>
      <c r="F145">
        <f t="shared" si="2"/>
        <v>884</v>
      </c>
      <c r="G145">
        <v>1001</v>
      </c>
      <c r="H145">
        <v>0</v>
      </c>
      <c r="I145">
        <v>0</v>
      </c>
      <c r="J145">
        <v>0</v>
      </c>
      <c r="K145">
        <v>0</v>
      </c>
      <c r="L145">
        <v>97139</v>
      </c>
      <c r="M145">
        <v>0</v>
      </c>
      <c r="N145">
        <v>7460</v>
      </c>
      <c r="O145">
        <v>9117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 t="s">
        <v>261</v>
      </c>
      <c r="Y145">
        <v>0</v>
      </c>
      <c r="Z145">
        <v>0</v>
      </c>
      <c r="AA145">
        <v>10</v>
      </c>
    </row>
    <row r="146" spans="1:27">
      <c r="A146">
        <v>141</v>
      </c>
      <c r="B146">
        <v>2001</v>
      </c>
      <c r="C146">
        <v>70</v>
      </c>
      <c r="D146" t="s">
        <v>162</v>
      </c>
      <c r="E146">
        <f>INDEX([1]用户升级!$G$20:$G$89,MATCH(C146,[1]用户升级!$A$20:$A$89,0))</f>
        <v>452</v>
      </c>
      <c r="F146">
        <f t="shared" si="2"/>
        <v>904</v>
      </c>
      <c r="G146">
        <v>1001</v>
      </c>
      <c r="H146">
        <v>0</v>
      </c>
      <c r="I146">
        <v>0</v>
      </c>
      <c r="J146">
        <v>0</v>
      </c>
      <c r="K146">
        <v>0</v>
      </c>
      <c r="L146">
        <v>101025</v>
      </c>
      <c r="M146">
        <v>0</v>
      </c>
      <c r="N146">
        <v>7720</v>
      </c>
      <c r="O146">
        <v>9436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 t="s">
        <v>260</v>
      </c>
      <c r="Y146">
        <v>0</v>
      </c>
      <c r="Z146">
        <v>0</v>
      </c>
      <c r="AA146">
        <v>10</v>
      </c>
    </row>
    <row r="147" spans="1:27">
      <c r="A147">
        <v>142</v>
      </c>
      <c r="B147">
        <v>2001</v>
      </c>
      <c r="C147">
        <v>71</v>
      </c>
      <c r="D147" t="s">
        <v>163</v>
      </c>
      <c r="E147">
        <v>462</v>
      </c>
      <c r="F147">
        <f t="shared" si="2"/>
        <v>924</v>
      </c>
      <c r="G147">
        <v>1001</v>
      </c>
      <c r="H147">
        <v>0</v>
      </c>
      <c r="I147">
        <v>0</v>
      </c>
      <c r="J147">
        <v>0</v>
      </c>
      <c r="K147">
        <v>0</v>
      </c>
      <c r="L147">
        <v>104873</v>
      </c>
      <c r="M147">
        <v>0</v>
      </c>
      <c r="N147">
        <v>7981</v>
      </c>
      <c r="O147">
        <v>9754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 t="s">
        <v>259</v>
      </c>
      <c r="Y147">
        <v>0</v>
      </c>
      <c r="Z147">
        <v>0</v>
      </c>
      <c r="AA147">
        <v>10</v>
      </c>
    </row>
    <row r="148" spans="1:27">
      <c r="A148">
        <v>143</v>
      </c>
      <c r="B148">
        <v>2001</v>
      </c>
      <c r="C148">
        <v>72</v>
      </c>
      <c r="D148" t="s">
        <v>164</v>
      </c>
      <c r="E148">
        <v>472</v>
      </c>
      <c r="F148">
        <f t="shared" si="2"/>
        <v>944</v>
      </c>
      <c r="G148">
        <v>1001</v>
      </c>
      <c r="H148">
        <v>0</v>
      </c>
      <c r="I148">
        <v>0</v>
      </c>
      <c r="J148">
        <v>0</v>
      </c>
      <c r="K148">
        <v>0</v>
      </c>
      <c r="L148">
        <v>109068</v>
      </c>
      <c r="M148">
        <v>0</v>
      </c>
      <c r="N148">
        <v>8241</v>
      </c>
      <c r="O148">
        <v>10073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 t="s">
        <v>258</v>
      </c>
      <c r="Y148">
        <v>0</v>
      </c>
      <c r="Z148">
        <v>0</v>
      </c>
      <c r="AA148">
        <v>10</v>
      </c>
    </row>
    <row r="149" spans="1:27">
      <c r="A149">
        <v>1001</v>
      </c>
      <c r="B149">
        <v>2001</v>
      </c>
      <c r="C149">
        <v>3</v>
      </c>
      <c r="D149" t="s">
        <v>165</v>
      </c>
      <c r="E149">
        <v>70</v>
      </c>
      <c r="F149">
        <f t="shared" si="2"/>
        <v>140</v>
      </c>
      <c r="G149">
        <v>1001</v>
      </c>
      <c r="H149">
        <v>0</v>
      </c>
      <c r="I149">
        <v>0</v>
      </c>
      <c r="J149">
        <v>0</v>
      </c>
      <c r="K149">
        <v>0</v>
      </c>
      <c r="L149">
        <v>204</v>
      </c>
      <c r="M149">
        <v>0</v>
      </c>
      <c r="N149">
        <v>10</v>
      </c>
      <c r="O149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 t="s">
        <v>301</v>
      </c>
      <c r="Y149">
        <v>1</v>
      </c>
      <c r="Z149">
        <v>0</v>
      </c>
      <c r="AA149">
        <v>30</v>
      </c>
    </row>
    <row r="150" spans="1:27">
      <c r="A150">
        <v>1002</v>
      </c>
      <c r="B150">
        <v>2001</v>
      </c>
      <c r="C150">
        <v>4</v>
      </c>
      <c r="D150" t="s">
        <v>348</v>
      </c>
      <c r="E150">
        <v>90</v>
      </c>
      <c r="F150">
        <f t="shared" si="2"/>
        <v>180</v>
      </c>
      <c r="G150">
        <v>1001</v>
      </c>
      <c r="H150">
        <v>0</v>
      </c>
      <c r="I150">
        <v>0</v>
      </c>
      <c r="J150">
        <v>0</v>
      </c>
      <c r="K150">
        <v>0</v>
      </c>
      <c r="L150">
        <v>269</v>
      </c>
      <c r="M150">
        <v>0</v>
      </c>
      <c r="N150">
        <v>31</v>
      </c>
      <c r="O150">
        <v>37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 t="s">
        <v>302</v>
      </c>
      <c r="Y150">
        <v>1</v>
      </c>
      <c r="Z150">
        <v>0</v>
      </c>
      <c r="AA150">
        <v>30</v>
      </c>
    </row>
    <row r="151" spans="1:27">
      <c r="A151">
        <v>1003</v>
      </c>
      <c r="B151">
        <v>2001</v>
      </c>
      <c r="C151">
        <v>6</v>
      </c>
      <c r="D151" t="s">
        <v>166</v>
      </c>
      <c r="E151">
        <v>110</v>
      </c>
      <c r="F151">
        <f t="shared" si="2"/>
        <v>220</v>
      </c>
      <c r="G151">
        <v>1001</v>
      </c>
      <c r="H151">
        <v>0</v>
      </c>
      <c r="I151">
        <v>0</v>
      </c>
      <c r="J151">
        <v>0</v>
      </c>
      <c r="K151">
        <v>0</v>
      </c>
      <c r="L151">
        <v>396</v>
      </c>
      <c r="M151">
        <v>0</v>
      </c>
      <c r="N151">
        <v>72</v>
      </c>
      <c r="O151">
        <v>89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 t="s">
        <v>181</v>
      </c>
      <c r="Y151">
        <v>1</v>
      </c>
      <c r="Z151">
        <v>0</v>
      </c>
      <c r="AA151">
        <v>30</v>
      </c>
    </row>
    <row r="152" spans="1:27">
      <c r="A152">
        <v>1004</v>
      </c>
      <c r="B152">
        <v>2001</v>
      </c>
      <c r="C152">
        <v>8</v>
      </c>
      <c r="D152" t="s">
        <v>349</v>
      </c>
      <c r="E152">
        <v>130</v>
      </c>
      <c r="F152">
        <f t="shared" si="2"/>
        <v>260</v>
      </c>
      <c r="G152">
        <v>1001</v>
      </c>
      <c r="H152">
        <v>0</v>
      </c>
      <c r="I152">
        <v>0</v>
      </c>
      <c r="J152">
        <v>0</v>
      </c>
      <c r="K152">
        <v>0</v>
      </c>
      <c r="L152">
        <v>612</v>
      </c>
      <c r="M152">
        <v>0</v>
      </c>
      <c r="N152">
        <v>117</v>
      </c>
      <c r="O152">
        <v>143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 t="s">
        <v>183</v>
      </c>
      <c r="Y152">
        <v>1</v>
      </c>
      <c r="Z152">
        <v>0</v>
      </c>
      <c r="AA152">
        <v>30</v>
      </c>
    </row>
    <row r="153" spans="1:27">
      <c r="A153">
        <v>1005</v>
      </c>
      <c r="B153">
        <v>2001</v>
      </c>
      <c r="C153">
        <v>10</v>
      </c>
      <c r="D153" t="s">
        <v>350</v>
      </c>
      <c r="E153">
        <v>150</v>
      </c>
      <c r="F153">
        <f t="shared" si="2"/>
        <v>300</v>
      </c>
      <c r="G153">
        <v>1001</v>
      </c>
      <c r="H153">
        <v>0</v>
      </c>
      <c r="I153">
        <v>0</v>
      </c>
      <c r="J153">
        <v>0</v>
      </c>
      <c r="K153">
        <v>0</v>
      </c>
      <c r="L153">
        <v>928</v>
      </c>
      <c r="M153">
        <v>0</v>
      </c>
      <c r="N153">
        <v>184</v>
      </c>
      <c r="O153">
        <v>226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t="s">
        <v>185</v>
      </c>
      <c r="Y153">
        <v>1</v>
      </c>
      <c r="Z153">
        <v>0</v>
      </c>
      <c r="AA153">
        <v>30</v>
      </c>
    </row>
    <row r="154" spans="1:27">
      <c r="A154">
        <v>1006</v>
      </c>
      <c r="B154">
        <v>2001</v>
      </c>
      <c r="C154">
        <v>12</v>
      </c>
      <c r="D154" t="s">
        <v>167</v>
      </c>
      <c r="E154">
        <v>170</v>
      </c>
      <c r="F154">
        <f t="shared" si="2"/>
        <v>340</v>
      </c>
      <c r="G154">
        <v>1001</v>
      </c>
      <c r="H154">
        <v>0</v>
      </c>
      <c r="I154">
        <v>0</v>
      </c>
      <c r="J154">
        <v>0</v>
      </c>
      <c r="K154">
        <v>0</v>
      </c>
      <c r="L154">
        <v>1428</v>
      </c>
      <c r="M154">
        <v>0</v>
      </c>
      <c r="N154">
        <v>268</v>
      </c>
      <c r="O154">
        <v>328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 t="s">
        <v>298</v>
      </c>
      <c r="Y154">
        <v>1</v>
      </c>
      <c r="Z154">
        <v>0</v>
      </c>
      <c r="AA154">
        <v>30</v>
      </c>
    </row>
    <row r="155" spans="1:27">
      <c r="A155">
        <v>1007</v>
      </c>
      <c r="B155">
        <v>2001</v>
      </c>
      <c r="C155">
        <v>14</v>
      </c>
      <c r="D155" t="s">
        <v>168</v>
      </c>
      <c r="E155">
        <v>190</v>
      </c>
      <c r="F155">
        <f t="shared" si="2"/>
        <v>380</v>
      </c>
      <c r="G155">
        <v>1001</v>
      </c>
      <c r="H155">
        <v>0</v>
      </c>
      <c r="I155">
        <v>0</v>
      </c>
      <c r="J155">
        <v>0</v>
      </c>
      <c r="K155">
        <v>0</v>
      </c>
      <c r="L155">
        <v>2138</v>
      </c>
      <c r="M155">
        <v>0</v>
      </c>
      <c r="N155">
        <v>383</v>
      </c>
      <c r="O155">
        <v>468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 t="s">
        <v>303</v>
      </c>
      <c r="Y155">
        <v>1</v>
      </c>
      <c r="Z155">
        <v>0</v>
      </c>
      <c r="AA155">
        <v>30</v>
      </c>
    </row>
    <row r="156" spans="1:27">
      <c r="A156">
        <v>1008</v>
      </c>
      <c r="B156">
        <v>2001</v>
      </c>
      <c r="C156">
        <v>16</v>
      </c>
      <c r="D156" t="s">
        <v>352</v>
      </c>
      <c r="E156">
        <v>210</v>
      </c>
      <c r="F156">
        <f t="shared" si="2"/>
        <v>420</v>
      </c>
      <c r="G156">
        <v>1001</v>
      </c>
      <c r="H156">
        <v>0</v>
      </c>
      <c r="I156">
        <v>0</v>
      </c>
      <c r="J156">
        <v>0</v>
      </c>
      <c r="K156">
        <v>0</v>
      </c>
      <c r="L156">
        <v>3180</v>
      </c>
      <c r="M156">
        <v>0</v>
      </c>
      <c r="N156">
        <v>526</v>
      </c>
      <c r="O156">
        <v>643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 t="s">
        <v>297</v>
      </c>
      <c r="Y156">
        <v>1</v>
      </c>
      <c r="Z156">
        <v>0</v>
      </c>
      <c r="AA156">
        <v>30</v>
      </c>
    </row>
    <row r="157" spans="1:27">
      <c r="A157">
        <v>1009</v>
      </c>
      <c r="B157">
        <v>2001</v>
      </c>
      <c r="C157">
        <v>18</v>
      </c>
      <c r="D157" t="s">
        <v>351</v>
      </c>
      <c r="E157">
        <v>230</v>
      </c>
      <c r="F157">
        <f t="shared" si="2"/>
        <v>460</v>
      </c>
      <c r="G157">
        <v>1001</v>
      </c>
      <c r="H157">
        <v>0</v>
      </c>
      <c r="I157">
        <v>0</v>
      </c>
      <c r="J157">
        <v>0</v>
      </c>
      <c r="K157">
        <v>0</v>
      </c>
      <c r="L157">
        <v>4602</v>
      </c>
      <c r="M157">
        <v>0</v>
      </c>
      <c r="N157">
        <v>692</v>
      </c>
      <c r="O157">
        <v>846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 t="s">
        <v>304</v>
      </c>
      <c r="Y157">
        <v>1</v>
      </c>
      <c r="Z157">
        <v>0</v>
      </c>
      <c r="AA157">
        <v>30</v>
      </c>
    </row>
    <row r="158" spans="1:27">
      <c r="A158">
        <v>1010</v>
      </c>
      <c r="B158">
        <v>2001</v>
      </c>
      <c r="C158">
        <v>20</v>
      </c>
      <c r="D158" t="s">
        <v>353</v>
      </c>
      <c r="E158">
        <v>250</v>
      </c>
      <c r="F158">
        <f t="shared" si="2"/>
        <v>500</v>
      </c>
      <c r="G158">
        <v>1001</v>
      </c>
      <c r="H158">
        <v>0</v>
      </c>
      <c r="I158">
        <v>0</v>
      </c>
      <c r="J158">
        <v>0</v>
      </c>
      <c r="K158">
        <v>0</v>
      </c>
      <c r="L158">
        <v>6526</v>
      </c>
      <c r="M158">
        <v>0</v>
      </c>
      <c r="N158">
        <v>899</v>
      </c>
      <c r="O158">
        <v>1098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 t="s">
        <v>305</v>
      </c>
      <c r="Y158">
        <v>1</v>
      </c>
      <c r="Z158">
        <v>0</v>
      </c>
      <c r="AA158">
        <v>30</v>
      </c>
    </row>
    <row r="159" spans="1:27">
      <c r="A159">
        <v>1011</v>
      </c>
      <c r="B159">
        <v>2001</v>
      </c>
      <c r="C159">
        <v>22</v>
      </c>
      <c r="D159" t="s">
        <v>354</v>
      </c>
      <c r="E159">
        <v>280</v>
      </c>
      <c r="F159">
        <f t="shared" si="2"/>
        <v>560</v>
      </c>
      <c r="G159">
        <v>1001</v>
      </c>
      <c r="H159">
        <v>0</v>
      </c>
      <c r="I159">
        <v>0</v>
      </c>
      <c r="J159">
        <v>0</v>
      </c>
      <c r="K159">
        <v>0</v>
      </c>
      <c r="L159">
        <v>9108</v>
      </c>
      <c r="M159">
        <v>0</v>
      </c>
      <c r="N159">
        <v>1111</v>
      </c>
      <c r="O159">
        <v>1357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 t="s">
        <v>193</v>
      </c>
      <c r="Y159">
        <v>1</v>
      </c>
      <c r="Z159">
        <v>0</v>
      </c>
      <c r="AA159">
        <v>30</v>
      </c>
    </row>
    <row r="160" spans="1:27">
      <c r="A160">
        <v>1012</v>
      </c>
      <c r="B160">
        <v>2001</v>
      </c>
      <c r="C160">
        <v>24</v>
      </c>
      <c r="D160" t="s">
        <v>169</v>
      </c>
      <c r="E160">
        <v>310</v>
      </c>
      <c r="F160">
        <f t="shared" si="2"/>
        <v>620</v>
      </c>
      <c r="G160">
        <v>1001</v>
      </c>
      <c r="H160">
        <v>0</v>
      </c>
      <c r="I160">
        <v>0</v>
      </c>
      <c r="J160">
        <v>0</v>
      </c>
      <c r="K160">
        <v>0</v>
      </c>
      <c r="L160">
        <v>12475</v>
      </c>
      <c r="M160">
        <v>0</v>
      </c>
      <c r="N160">
        <v>1364</v>
      </c>
      <c r="O160">
        <v>1668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 t="s">
        <v>195</v>
      </c>
      <c r="Y160">
        <v>1</v>
      </c>
      <c r="Z160">
        <v>0</v>
      </c>
      <c r="AA160">
        <v>30</v>
      </c>
    </row>
    <row r="161" spans="1:27">
      <c r="A161">
        <v>1013</v>
      </c>
      <c r="B161">
        <v>2001</v>
      </c>
      <c r="C161">
        <v>26</v>
      </c>
      <c r="D161" t="s">
        <v>171</v>
      </c>
      <c r="E161">
        <v>340</v>
      </c>
      <c r="F161">
        <f t="shared" si="2"/>
        <v>680</v>
      </c>
      <c r="G161">
        <v>1001</v>
      </c>
      <c r="H161">
        <v>0</v>
      </c>
      <c r="I161">
        <v>0</v>
      </c>
      <c r="J161">
        <v>0</v>
      </c>
      <c r="K161">
        <v>0</v>
      </c>
      <c r="L161">
        <v>16830</v>
      </c>
      <c r="M161">
        <v>0</v>
      </c>
      <c r="N161">
        <v>1642</v>
      </c>
      <c r="O161">
        <v>2008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 t="s">
        <v>197</v>
      </c>
      <c r="Y161">
        <v>1</v>
      </c>
      <c r="Z161">
        <v>0</v>
      </c>
      <c r="AA161">
        <v>30</v>
      </c>
    </row>
    <row r="162" spans="1:27">
      <c r="A162">
        <v>1014</v>
      </c>
      <c r="B162">
        <v>2001</v>
      </c>
      <c r="C162">
        <v>28</v>
      </c>
      <c r="D162" t="s">
        <v>356</v>
      </c>
      <c r="E162">
        <v>370</v>
      </c>
      <c r="F162">
        <f t="shared" si="2"/>
        <v>740</v>
      </c>
      <c r="G162">
        <v>1001</v>
      </c>
      <c r="H162">
        <v>0</v>
      </c>
      <c r="I162">
        <v>0</v>
      </c>
      <c r="J162">
        <v>0</v>
      </c>
      <c r="K162">
        <v>0</v>
      </c>
      <c r="L162">
        <v>22275</v>
      </c>
      <c r="M162">
        <v>0</v>
      </c>
      <c r="N162">
        <v>1939</v>
      </c>
      <c r="O162">
        <v>2371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 t="s">
        <v>199</v>
      </c>
      <c r="Y162">
        <v>1</v>
      </c>
      <c r="Z162">
        <v>0</v>
      </c>
      <c r="AA162">
        <v>30</v>
      </c>
    </row>
    <row r="163" spans="1:27">
      <c r="A163">
        <v>1015</v>
      </c>
      <c r="B163">
        <v>2001</v>
      </c>
      <c r="C163">
        <v>30</v>
      </c>
      <c r="D163" t="s">
        <v>355</v>
      </c>
      <c r="E163">
        <v>400</v>
      </c>
      <c r="F163">
        <f t="shared" si="2"/>
        <v>800</v>
      </c>
      <c r="G163">
        <v>1001</v>
      </c>
      <c r="H163">
        <v>0</v>
      </c>
      <c r="I163">
        <v>0</v>
      </c>
      <c r="J163">
        <v>0</v>
      </c>
      <c r="K163">
        <v>0</v>
      </c>
      <c r="L163">
        <v>29121</v>
      </c>
      <c r="M163">
        <v>0</v>
      </c>
      <c r="N163">
        <v>2278</v>
      </c>
      <c r="O163">
        <v>2785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 t="s">
        <v>201</v>
      </c>
      <c r="Y163">
        <v>1</v>
      </c>
      <c r="Z163">
        <v>0</v>
      </c>
      <c r="AA163">
        <v>30</v>
      </c>
    </row>
    <row r="164" spans="1:27">
      <c r="A164">
        <v>1016</v>
      </c>
      <c r="B164">
        <v>2001</v>
      </c>
      <c r="C164">
        <v>32</v>
      </c>
      <c r="D164" t="s">
        <v>170</v>
      </c>
      <c r="E164">
        <v>430</v>
      </c>
      <c r="F164">
        <f t="shared" si="2"/>
        <v>860</v>
      </c>
      <c r="G164">
        <v>1001</v>
      </c>
      <c r="H164">
        <v>0</v>
      </c>
      <c r="I164">
        <v>0</v>
      </c>
      <c r="J164">
        <v>0</v>
      </c>
      <c r="K164">
        <v>0</v>
      </c>
      <c r="L164">
        <v>37584</v>
      </c>
      <c r="M164">
        <v>0</v>
      </c>
      <c r="N164">
        <v>2605</v>
      </c>
      <c r="O164">
        <v>3184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 t="s">
        <v>296</v>
      </c>
      <c r="Y164">
        <v>1</v>
      </c>
      <c r="Z164">
        <v>0</v>
      </c>
      <c r="AA164">
        <v>30</v>
      </c>
    </row>
    <row r="165" spans="1:27">
      <c r="A165">
        <v>1017</v>
      </c>
      <c r="B165">
        <v>2001</v>
      </c>
      <c r="C165">
        <v>34</v>
      </c>
      <c r="D165" t="s">
        <v>172</v>
      </c>
      <c r="E165">
        <v>460</v>
      </c>
      <c r="F165">
        <f t="shared" si="2"/>
        <v>920</v>
      </c>
      <c r="G165">
        <v>1001</v>
      </c>
      <c r="H165">
        <v>0</v>
      </c>
      <c r="I165">
        <v>0</v>
      </c>
      <c r="J165">
        <v>0</v>
      </c>
      <c r="K165">
        <v>0</v>
      </c>
      <c r="L165">
        <v>47980</v>
      </c>
      <c r="M165">
        <v>0</v>
      </c>
      <c r="N165">
        <v>3036</v>
      </c>
      <c r="O165">
        <v>3710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 t="s">
        <v>306</v>
      </c>
      <c r="Y165">
        <v>1</v>
      </c>
      <c r="Z165">
        <v>0</v>
      </c>
      <c r="AA165">
        <v>30</v>
      </c>
    </row>
    <row r="166" spans="1:27">
      <c r="A166">
        <v>1018</v>
      </c>
      <c r="B166">
        <v>2001</v>
      </c>
      <c r="C166">
        <v>36</v>
      </c>
      <c r="D166" t="s">
        <v>357</v>
      </c>
      <c r="E166">
        <v>490</v>
      </c>
      <c r="F166">
        <f t="shared" si="2"/>
        <v>980</v>
      </c>
      <c r="G166">
        <v>1001</v>
      </c>
      <c r="H166">
        <v>0</v>
      </c>
      <c r="I166">
        <v>0</v>
      </c>
      <c r="J166">
        <v>0</v>
      </c>
      <c r="K166">
        <v>0</v>
      </c>
      <c r="L166">
        <v>60482</v>
      </c>
      <c r="M166">
        <v>0</v>
      </c>
      <c r="N166">
        <v>3478</v>
      </c>
      <c r="O166">
        <v>4252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 t="s">
        <v>307</v>
      </c>
      <c r="Y166">
        <v>1</v>
      </c>
      <c r="Z166">
        <v>0</v>
      </c>
      <c r="AA166">
        <v>30</v>
      </c>
    </row>
    <row r="167" spans="1:27">
      <c r="A167">
        <v>1019</v>
      </c>
      <c r="B167">
        <v>2001</v>
      </c>
      <c r="C167">
        <v>38</v>
      </c>
      <c r="D167" t="s">
        <v>358</v>
      </c>
      <c r="E167">
        <v>520</v>
      </c>
      <c r="F167">
        <f t="shared" si="2"/>
        <v>1040</v>
      </c>
      <c r="G167">
        <v>1001</v>
      </c>
      <c r="H167">
        <v>0</v>
      </c>
      <c r="I167">
        <v>0</v>
      </c>
      <c r="J167">
        <v>0</v>
      </c>
      <c r="K167">
        <v>0</v>
      </c>
      <c r="L167">
        <v>80080</v>
      </c>
      <c r="M167">
        <v>0</v>
      </c>
      <c r="N167">
        <v>3917</v>
      </c>
      <c r="O167">
        <v>4788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t="s">
        <v>299</v>
      </c>
      <c r="Y167">
        <v>1</v>
      </c>
      <c r="Z167">
        <v>0</v>
      </c>
      <c r="AA167">
        <v>30</v>
      </c>
    </row>
    <row r="168" spans="1:27">
      <c r="A168">
        <v>1020</v>
      </c>
      <c r="B168">
        <v>2001</v>
      </c>
      <c r="C168">
        <v>40</v>
      </c>
      <c r="D168" t="s">
        <v>359</v>
      </c>
      <c r="E168">
        <v>550</v>
      </c>
      <c r="F168">
        <f t="shared" si="2"/>
        <v>1100</v>
      </c>
      <c r="G168">
        <v>1001</v>
      </c>
      <c r="H168">
        <v>0</v>
      </c>
      <c r="I168">
        <v>0</v>
      </c>
      <c r="J168">
        <v>0</v>
      </c>
      <c r="K168">
        <v>0</v>
      </c>
      <c r="L168">
        <v>98329</v>
      </c>
      <c r="M168">
        <v>0</v>
      </c>
      <c r="N168">
        <v>4411</v>
      </c>
      <c r="O168">
        <v>5392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 t="s">
        <v>308</v>
      </c>
      <c r="Y168">
        <v>1</v>
      </c>
      <c r="Z168">
        <v>0</v>
      </c>
      <c r="AA168">
        <v>30</v>
      </c>
    </row>
    <row r="169" spans="1:27">
      <c r="A169">
        <v>1021</v>
      </c>
      <c r="B169">
        <v>2001</v>
      </c>
      <c r="C169">
        <v>42</v>
      </c>
      <c r="D169" t="s">
        <v>293</v>
      </c>
      <c r="E169">
        <v>590</v>
      </c>
      <c r="F169">
        <f t="shared" si="2"/>
        <v>1180</v>
      </c>
      <c r="G169">
        <v>1001</v>
      </c>
      <c r="H169">
        <v>0</v>
      </c>
      <c r="I169">
        <v>0</v>
      </c>
      <c r="J169">
        <v>0</v>
      </c>
      <c r="K169">
        <v>0</v>
      </c>
      <c r="L169">
        <v>118550</v>
      </c>
      <c r="M169">
        <v>0</v>
      </c>
      <c r="N169">
        <v>4905</v>
      </c>
      <c r="O169">
        <v>5996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 t="s">
        <v>298</v>
      </c>
      <c r="Y169">
        <v>1</v>
      </c>
      <c r="Z169">
        <v>0</v>
      </c>
      <c r="AA169">
        <v>30</v>
      </c>
    </row>
    <row r="170" spans="1:27">
      <c r="A170">
        <v>1022</v>
      </c>
      <c r="B170">
        <v>2001</v>
      </c>
      <c r="C170">
        <v>44</v>
      </c>
      <c r="D170" t="s">
        <v>360</v>
      </c>
      <c r="E170">
        <v>630</v>
      </c>
      <c r="F170">
        <f t="shared" si="2"/>
        <v>1260</v>
      </c>
      <c r="G170">
        <v>1001</v>
      </c>
      <c r="H170">
        <v>0</v>
      </c>
      <c r="I170">
        <v>0</v>
      </c>
      <c r="J170">
        <v>0</v>
      </c>
      <c r="K170">
        <v>0</v>
      </c>
      <c r="L170">
        <v>142087</v>
      </c>
      <c r="M170">
        <v>0</v>
      </c>
      <c r="N170">
        <v>5454</v>
      </c>
      <c r="O170">
        <v>6666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 t="s">
        <v>211</v>
      </c>
      <c r="Y170">
        <v>1</v>
      </c>
      <c r="Z170">
        <v>0</v>
      </c>
      <c r="AA170">
        <v>30</v>
      </c>
    </row>
    <row r="171" spans="1:27">
      <c r="A171">
        <v>1023</v>
      </c>
      <c r="B171">
        <v>2001</v>
      </c>
      <c r="C171">
        <v>46</v>
      </c>
      <c r="D171" t="s">
        <v>173</v>
      </c>
      <c r="E171">
        <v>670</v>
      </c>
      <c r="F171">
        <f t="shared" si="2"/>
        <v>1340</v>
      </c>
      <c r="G171">
        <v>1001</v>
      </c>
      <c r="H171">
        <v>0</v>
      </c>
      <c r="I171">
        <v>0</v>
      </c>
      <c r="J171">
        <v>0</v>
      </c>
      <c r="K171">
        <v>0</v>
      </c>
      <c r="L171">
        <v>168820</v>
      </c>
      <c r="M171">
        <v>0</v>
      </c>
      <c r="N171">
        <v>6092</v>
      </c>
      <c r="O171">
        <v>7446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 t="s">
        <v>213</v>
      </c>
      <c r="Y171">
        <v>1</v>
      </c>
      <c r="Z171">
        <v>0</v>
      </c>
      <c r="AA171">
        <v>30</v>
      </c>
    </row>
    <row r="172" spans="1:27">
      <c r="A172">
        <v>1024</v>
      </c>
      <c r="B172">
        <v>2001</v>
      </c>
      <c r="C172">
        <v>48</v>
      </c>
      <c r="D172" t="s">
        <v>174</v>
      </c>
      <c r="E172">
        <v>710</v>
      </c>
      <c r="F172">
        <f t="shared" si="2"/>
        <v>1420</v>
      </c>
      <c r="G172">
        <v>1001</v>
      </c>
      <c r="H172">
        <v>0</v>
      </c>
      <c r="I172">
        <v>0</v>
      </c>
      <c r="J172">
        <v>0</v>
      </c>
      <c r="K172">
        <v>0</v>
      </c>
      <c r="L172">
        <v>196913</v>
      </c>
      <c r="M172">
        <v>0</v>
      </c>
      <c r="N172">
        <v>6835</v>
      </c>
      <c r="O172">
        <v>8353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 t="s">
        <v>215</v>
      </c>
      <c r="Y172">
        <v>1</v>
      </c>
      <c r="Z172">
        <v>0</v>
      </c>
      <c r="AA172">
        <v>30</v>
      </c>
    </row>
    <row r="173" spans="1:27">
      <c r="A173">
        <v>1025</v>
      </c>
      <c r="B173">
        <v>2001</v>
      </c>
      <c r="C173">
        <v>50</v>
      </c>
      <c r="D173" t="s">
        <v>361</v>
      </c>
      <c r="E173">
        <v>750</v>
      </c>
      <c r="F173">
        <f t="shared" si="2"/>
        <v>1500</v>
      </c>
      <c r="G173">
        <v>1001</v>
      </c>
      <c r="H173">
        <v>0</v>
      </c>
      <c r="I173">
        <v>0</v>
      </c>
      <c r="J173">
        <v>0</v>
      </c>
      <c r="K173">
        <v>0</v>
      </c>
      <c r="L173">
        <v>229580</v>
      </c>
      <c r="M173">
        <v>0</v>
      </c>
      <c r="N173">
        <v>7666</v>
      </c>
      <c r="O173">
        <v>9370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 t="s">
        <v>217</v>
      </c>
      <c r="Y173">
        <v>1</v>
      </c>
      <c r="Z173">
        <v>0</v>
      </c>
      <c r="AA173">
        <v>30</v>
      </c>
    </row>
    <row r="174" spans="1:27">
      <c r="A174">
        <v>1026</v>
      </c>
      <c r="B174">
        <v>2001</v>
      </c>
      <c r="C174">
        <v>52</v>
      </c>
      <c r="D174" t="s">
        <v>362</v>
      </c>
      <c r="E174">
        <v>790</v>
      </c>
      <c r="F174">
        <f t="shared" si="2"/>
        <v>1580</v>
      </c>
      <c r="G174">
        <v>1001</v>
      </c>
      <c r="H174">
        <v>0</v>
      </c>
      <c r="I174">
        <v>0</v>
      </c>
      <c r="J174">
        <v>0</v>
      </c>
      <c r="K174">
        <v>0</v>
      </c>
      <c r="L174">
        <v>257232</v>
      </c>
      <c r="M174">
        <v>0</v>
      </c>
      <c r="N174">
        <v>8287</v>
      </c>
      <c r="O174">
        <v>10129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t="s">
        <v>219</v>
      </c>
      <c r="Y174">
        <v>1</v>
      </c>
      <c r="Z174">
        <v>0</v>
      </c>
      <c r="AA174">
        <v>30</v>
      </c>
    </row>
    <row r="175" spans="1:27">
      <c r="A175">
        <v>1027</v>
      </c>
      <c r="B175">
        <v>2001</v>
      </c>
      <c r="C175">
        <v>54</v>
      </c>
      <c r="D175" t="s">
        <v>139</v>
      </c>
      <c r="E175">
        <v>830</v>
      </c>
      <c r="F175">
        <f t="shared" si="2"/>
        <v>1660</v>
      </c>
      <c r="G175">
        <v>1001</v>
      </c>
      <c r="H175">
        <v>0</v>
      </c>
      <c r="I175">
        <v>0</v>
      </c>
      <c r="J175">
        <v>0</v>
      </c>
      <c r="K175">
        <v>0</v>
      </c>
      <c r="L175">
        <v>287322</v>
      </c>
      <c r="M175">
        <v>0</v>
      </c>
      <c r="N175">
        <v>8958</v>
      </c>
      <c r="O175">
        <v>10949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 t="s">
        <v>221</v>
      </c>
      <c r="Y175">
        <v>1</v>
      </c>
      <c r="Z175">
        <v>0</v>
      </c>
      <c r="AA175">
        <v>30</v>
      </c>
    </row>
    <row r="176" spans="1:27">
      <c r="A176">
        <v>1028</v>
      </c>
      <c r="B176">
        <v>2001</v>
      </c>
      <c r="C176">
        <v>56</v>
      </c>
      <c r="D176" t="s">
        <v>363</v>
      </c>
      <c r="E176">
        <v>870</v>
      </c>
      <c r="F176">
        <f t="shared" si="2"/>
        <v>1740</v>
      </c>
      <c r="G176">
        <v>1001</v>
      </c>
      <c r="H176">
        <v>0</v>
      </c>
      <c r="I176">
        <v>0</v>
      </c>
      <c r="J176">
        <v>0</v>
      </c>
      <c r="K176">
        <v>0</v>
      </c>
      <c r="L176">
        <v>331383</v>
      </c>
      <c r="M176">
        <v>0</v>
      </c>
      <c r="N176">
        <v>9729</v>
      </c>
      <c r="O176">
        <v>11891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 t="s">
        <v>223</v>
      </c>
      <c r="Y176">
        <v>1</v>
      </c>
      <c r="Z176">
        <v>0</v>
      </c>
      <c r="AA176">
        <v>30</v>
      </c>
    </row>
    <row r="177" spans="1:27">
      <c r="A177">
        <v>1029</v>
      </c>
      <c r="B177">
        <v>2001</v>
      </c>
      <c r="C177">
        <v>58</v>
      </c>
      <c r="D177" t="s">
        <v>175</v>
      </c>
      <c r="E177">
        <v>910</v>
      </c>
      <c r="F177">
        <f t="shared" si="2"/>
        <v>1820</v>
      </c>
      <c r="G177">
        <v>1001</v>
      </c>
      <c r="H177">
        <v>0</v>
      </c>
      <c r="I177">
        <v>0</v>
      </c>
      <c r="J177">
        <v>0</v>
      </c>
      <c r="K177">
        <v>0</v>
      </c>
      <c r="L177">
        <v>394754</v>
      </c>
      <c r="M177">
        <v>0</v>
      </c>
      <c r="N177">
        <v>10615</v>
      </c>
      <c r="O177">
        <v>12973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 t="s">
        <v>225</v>
      </c>
      <c r="Y177">
        <v>1</v>
      </c>
      <c r="Z177">
        <v>0</v>
      </c>
      <c r="AA177">
        <v>30</v>
      </c>
    </row>
    <row r="178" spans="1:27">
      <c r="A178">
        <v>1030</v>
      </c>
      <c r="B178">
        <v>2001</v>
      </c>
      <c r="C178">
        <v>60</v>
      </c>
      <c r="D178" t="s">
        <v>364</v>
      </c>
      <c r="E178">
        <v>960</v>
      </c>
      <c r="F178">
        <f t="shared" si="2"/>
        <v>1920</v>
      </c>
      <c r="G178">
        <v>1001</v>
      </c>
      <c r="H178">
        <v>0</v>
      </c>
      <c r="I178">
        <v>0</v>
      </c>
      <c r="J178">
        <v>0</v>
      </c>
      <c r="K178">
        <v>0</v>
      </c>
      <c r="L178">
        <v>469177</v>
      </c>
      <c r="M178">
        <v>0</v>
      </c>
      <c r="N178">
        <v>11583</v>
      </c>
      <c r="O178">
        <v>14157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 t="s">
        <v>227</v>
      </c>
      <c r="Y178">
        <v>1</v>
      </c>
      <c r="Z178">
        <v>0</v>
      </c>
      <c r="AA178">
        <v>30</v>
      </c>
    </row>
    <row r="179" spans="1:27">
      <c r="A179">
        <v>1031</v>
      </c>
      <c r="B179">
        <v>2001</v>
      </c>
      <c r="C179">
        <v>62</v>
      </c>
      <c r="D179" t="s">
        <v>365</v>
      </c>
      <c r="E179">
        <v>1010</v>
      </c>
      <c r="F179">
        <f t="shared" si="2"/>
        <v>2020</v>
      </c>
      <c r="G179">
        <v>1001</v>
      </c>
      <c r="H179">
        <v>0</v>
      </c>
      <c r="I179">
        <v>0</v>
      </c>
      <c r="J179">
        <v>0</v>
      </c>
      <c r="K179">
        <v>0</v>
      </c>
      <c r="L179">
        <v>553308</v>
      </c>
      <c r="M179">
        <v>0</v>
      </c>
      <c r="N179">
        <v>13134</v>
      </c>
      <c r="O179">
        <v>16052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 t="s">
        <v>229</v>
      </c>
      <c r="Y179">
        <v>1</v>
      </c>
      <c r="Z179">
        <v>0</v>
      </c>
      <c r="AA179">
        <v>30</v>
      </c>
    </row>
    <row r="180" spans="1:27">
      <c r="A180">
        <v>1032</v>
      </c>
      <c r="B180">
        <v>2001</v>
      </c>
      <c r="C180">
        <v>64</v>
      </c>
      <c r="D180" t="s">
        <v>294</v>
      </c>
      <c r="E180">
        <v>1060</v>
      </c>
      <c r="F180">
        <f t="shared" si="2"/>
        <v>2120</v>
      </c>
      <c r="G180">
        <v>1001</v>
      </c>
      <c r="H180">
        <v>0</v>
      </c>
      <c r="I180">
        <v>0</v>
      </c>
      <c r="J180">
        <v>0</v>
      </c>
      <c r="K180">
        <v>0</v>
      </c>
      <c r="L180">
        <v>651292</v>
      </c>
      <c r="M180">
        <v>0</v>
      </c>
      <c r="N180">
        <v>14889</v>
      </c>
      <c r="O180">
        <v>18197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 t="s">
        <v>231</v>
      </c>
      <c r="Y180">
        <v>1</v>
      </c>
      <c r="Z180">
        <v>0</v>
      </c>
      <c r="AA180">
        <v>30</v>
      </c>
    </row>
    <row r="181" spans="1:27">
      <c r="A181">
        <v>1033</v>
      </c>
      <c r="B181">
        <v>2001</v>
      </c>
      <c r="C181">
        <v>66</v>
      </c>
      <c r="D181" t="s">
        <v>366</v>
      </c>
      <c r="E181">
        <v>1110</v>
      </c>
      <c r="F181">
        <f t="shared" si="2"/>
        <v>2220</v>
      </c>
      <c r="G181">
        <v>1001</v>
      </c>
      <c r="H181">
        <v>0</v>
      </c>
      <c r="I181">
        <v>0</v>
      </c>
      <c r="J181">
        <v>0</v>
      </c>
      <c r="K181">
        <v>0</v>
      </c>
      <c r="L181">
        <v>747814</v>
      </c>
      <c r="M181">
        <v>0</v>
      </c>
      <c r="N181">
        <v>16147</v>
      </c>
      <c r="O181">
        <v>19735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 t="s">
        <v>233</v>
      </c>
      <c r="Y181">
        <v>1</v>
      </c>
      <c r="Z181">
        <v>0</v>
      </c>
      <c r="AA181">
        <v>30</v>
      </c>
    </row>
    <row r="182" spans="1:27">
      <c r="A182">
        <v>1034</v>
      </c>
      <c r="B182">
        <v>2001</v>
      </c>
      <c r="C182">
        <v>68</v>
      </c>
      <c r="D182" t="s">
        <v>367</v>
      </c>
      <c r="E182">
        <v>1160</v>
      </c>
      <c r="F182">
        <f t="shared" si="2"/>
        <v>2320</v>
      </c>
      <c r="G182">
        <v>1001</v>
      </c>
      <c r="H182">
        <v>0</v>
      </c>
      <c r="I182">
        <v>0</v>
      </c>
      <c r="J182">
        <v>0</v>
      </c>
      <c r="K182">
        <v>0</v>
      </c>
      <c r="L182">
        <v>837684</v>
      </c>
      <c r="M182">
        <v>0</v>
      </c>
      <c r="N182">
        <v>16746</v>
      </c>
      <c r="O182">
        <v>20468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 t="s">
        <v>235</v>
      </c>
      <c r="Y182">
        <v>1</v>
      </c>
      <c r="Z182">
        <v>0</v>
      </c>
      <c r="AA182">
        <v>30</v>
      </c>
    </row>
    <row r="183" spans="1:27">
      <c r="A183">
        <v>1035</v>
      </c>
      <c r="B183">
        <v>2001</v>
      </c>
      <c r="C183">
        <v>70</v>
      </c>
      <c r="D183" t="s">
        <v>176</v>
      </c>
      <c r="E183">
        <v>1210</v>
      </c>
      <c r="F183">
        <f t="shared" si="2"/>
        <v>2420</v>
      </c>
      <c r="G183">
        <v>1001</v>
      </c>
      <c r="H183">
        <v>0</v>
      </c>
      <c r="I183">
        <v>0</v>
      </c>
      <c r="J183">
        <v>0</v>
      </c>
      <c r="K183">
        <v>0</v>
      </c>
      <c r="L183">
        <v>936966</v>
      </c>
      <c r="M183">
        <v>0</v>
      </c>
      <c r="N183">
        <v>17369</v>
      </c>
      <c r="O183">
        <v>21228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 t="s">
        <v>237</v>
      </c>
      <c r="Y183">
        <v>1</v>
      </c>
      <c r="Z183">
        <v>0</v>
      </c>
      <c r="AA183">
        <v>30</v>
      </c>
    </row>
    <row r="184" spans="1:27">
      <c r="A184">
        <v>1036</v>
      </c>
      <c r="B184">
        <v>2001</v>
      </c>
      <c r="C184">
        <v>72</v>
      </c>
      <c r="D184" t="s">
        <v>177</v>
      </c>
      <c r="E184">
        <v>1260</v>
      </c>
      <c r="F184">
        <f t="shared" si="2"/>
        <v>2520</v>
      </c>
      <c r="G184">
        <v>1001</v>
      </c>
      <c r="H184">
        <v>0</v>
      </c>
      <c r="I184">
        <v>0</v>
      </c>
      <c r="J184">
        <v>0</v>
      </c>
      <c r="K184">
        <v>0</v>
      </c>
      <c r="L184">
        <v>1157820</v>
      </c>
      <c r="M184">
        <v>0</v>
      </c>
      <c r="N184">
        <v>17992</v>
      </c>
      <c r="O184">
        <v>21991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 t="s">
        <v>239</v>
      </c>
      <c r="Y184">
        <v>1</v>
      </c>
      <c r="Z184">
        <v>0</v>
      </c>
      <c r="AA184">
        <v>30</v>
      </c>
    </row>
    <row r="185" spans="1:27">
      <c r="A185">
        <v>9000</v>
      </c>
      <c r="B185">
        <v>2003</v>
      </c>
      <c r="C185">
        <v>10</v>
      </c>
      <c r="D185" t="s">
        <v>368</v>
      </c>
      <c r="E185">
        <v>0</v>
      </c>
      <c r="F185">
        <f t="shared" si="2"/>
        <v>0</v>
      </c>
      <c r="G185">
        <v>1001</v>
      </c>
      <c r="H185">
        <v>72</v>
      </c>
      <c r="I185">
        <v>72</v>
      </c>
      <c r="J185">
        <v>72</v>
      </c>
      <c r="K185">
        <v>81</v>
      </c>
      <c r="L185">
        <v>0</v>
      </c>
      <c r="M185">
        <f>ROUND(H185*1.6+I185*2+J185*2.3+K185,0)</f>
        <v>506</v>
      </c>
      <c r="N185">
        <v>0</v>
      </c>
      <c r="O185">
        <f>N217*2</f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 t="s">
        <v>315</v>
      </c>
      <c r="Y185">
        <v>0</v>
      </c>
      <c r="Z185">
        <v>0</v>
      </c>
      <c r="AA185">
        <v>30</v>
      </c>
    </row>
    <row r="186" spans="1:27">
      <c r="A186">
        <v>9001</v>
      </c>
      <c r="B186">
        <v>2001</v>
      </c>
      <c r="C186">
        <v>10</v>
      </c>
      <c r="D186" t="s">
        <v>369</v>
      </c>
      <c r="E186">
        <v>0</v>
      </c>
      <c r="F186">
        <f t="shared" si="2"/>
        <v>0</v>
      </c>
      <c r="G186">
        <v>1001</v>
      </c>
      <c r="H186">
        <v>75</v>
      </c>
      <c r="I186">
        <v>75</v>
      </c>
      <c r="J186">
        <v>75</v>
      </c>
      <c r="K186">
        <v>86</v>
      </c>
      <c r="L186">
        <v>0</v>
      </c>
      <c r="M186">
        <f t="shared" ref="M186:M249" si="3">ROUND(H186*1.6+I186*2+J186*2.3+K186,0)</f>
        <v>529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 t="s">
        <v>313</v>
      </c>
      <c r="Y186">
        <v>0</v>
      </c>
      <c r="Z186">
        <v>0</v>
      </c>
      <c r="AA186">
        <v>30</v>
      </c>
    </row>
    <row r="187" spans="1:27">
      <c r="A187">
        <v>9002</v>
      </c>
      <c r="B187">
        <v>2002</v>
      </c>
      <c r="C187">
        <v>10</v>
      </c>
      <c r="D187" t="s">
        <v>370</v>
      </c>
      <c r="E187">
        <v>0</v>
      </c>
      <c r="F187">
        <f t="shared" si="2"/>
        <v>0</v>
      </c>
      <c r="G187">
        <v>1001</v>
      </c>
      <c r="H187">
        <v>78</v>
      </c>
      <c r="I187">
        <v>78</v>
      </c>
      <c r="J187">
        <v>78</v>
      </c>
      <c r="K187">
        <v>91</v>
      </c>
      <c r="L187">
        <v>0</v>
      </c>
      <c r="M187">
        <f t="shared" si="3"/>
        <v>551</v>
      </c>
      <c r="N187">
        <v>0</v>
      </c>
      <c r="O187">
        <f>N219*2</f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 t="s">
        <v>450</v>
      </c>
      <c r="Y187">
        <v>0</v>
      </c>
      <c r="Z187">
        <v>0</v>
      </c>
      <c r="AA187">
        <v>30</v>
      </c>
    </row>
    <row r="188" spans="1:27">
      <c r="A188">
        <v>9003</v>
      </c>
      <c r="B188">
        <v>2003</v>
      </c>
      <c r="C188">
        <v>10</v>
      </c>
      <c r="D188" t="s">
        <v>371</v>
      </c>
      <c r="E188">
        <v>0</v>
      </c>
      <c r="F188">
        <f t="shared" si="2"/>
        <v>0</v>
      </c>
      <c r="G188">
        <v>1001</v>
      </c>
      <c r="H188">
        <v>81</v>
      </c>
      <c r="I188">
        <v>81</v>
      </c>
      <c r="J188">
        <v>81</v>
      </c>
      <c r="K188">
        <v>96</v>
      </c>
      <c r="L188">
        <v>0</v>
      </c>
      <c r="M188">
        <f t="shared" si="3"/>
        <v>574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 t="s">
        <v>317</v>
      </c>
      <c r="Y188">
        <v>0</v>
      </c>
      <c r="Z188">
        <v>0</v>
      </c>
      <c r="AA188">
        <v>30</v>
      </c>
    </row>
    <row r="189" spans="1:27">
      <c r="A189">
        <v>9004</v>
      </c>
      <c r="B189">
        <v>2001</v>
      </c>
      <c r="C189">
        <v>10</v>
      </c>
      <c r="D189" t="s">
        <v>372</v>
      </c>
      <c r="E189">
        <v>0</v>
      </c>
      <c r="F189">
        <f t="shared" si="2"/>
        <v>0</v>
      </c>
      <c r="G189">
        <v>1001</v>
      </c>
      <c r="H189">
        <v>84</v>
      </c>
      <c r="I189">
        <v>84</v>
      </c>
      <c r="J189">
        <v>84</v>
      </c>
      <c r="K189">
        <v>101</v>
      </c>
      <c r="L189">
        <v>0</v>
      </c>
      <c r="M189">
        <f t="shared" si="3"/>
        <v>597</v>
      </c>
      <c r="N189">
        <v>0</v>
      </c>
      <c r="O189">
        <f>N221*2</f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 t="s">
        <v>316</v>
      </c>
      <c r="Y189">
        <v>0</v>
      </c>
      <c r="Z189">
        <v>0</v>
      </c>
      <c r="AA189">
        <v>30</v>
      </c>
    </row>
    <row r="190" spans="1:27">
      <c r="A190">
        <v>9005</v>
      </c>
      <c r="B190">
        <v>2002</v>
      </c>
      <c r="C190">
        <v>11</v>
      </c>
      <c r="D190" t="s">
        <v>373</v>
      </c>
      <c r="E190">
        <v>0</v>
      </c>
      <c r="F190">
        <f t="shared" si="2"/>
        <v>0</v>
      </c>
      <c r="G190">
        <v>1001</v>
      </c>
      <c r="H190">
        <v>87</v>
      </c>
      <c r="I190">
        <v>87</v>
      </c>
      <c r="J190">
        <v>87</v>
      </c>
      <c r="K190">
        <v>106</v>
      </c>
      <c r="L190">
        <v>0</v>
      </c>
      <c r="M190">
        <f t="shared" si="3"/>
        <v>619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 t="s">
        <v>451</v>
      </c>
      <c r="Y190">
        <v>0</v>
      </c>
      <c r="Z190">
        <v>0</v>
      </c>
      <c r="AA190">
        <v>30</v>
      </c>
    </row>
    <row r="191" spans="1:27">
      <c r="A191">
        <v>9006</v>
      </c>
      <c r="B191">
        <v>2003</v>
      </c>
      <c r="C191">
        <v>11</v>
      </c>
      <c r="D191" t="s">
        <v>374</v>
      </c>
      <c r="E191">
        <v>0</v>
      </c>
      <c r="F191">
        <f t="shared" si="2"/>
        <v>0</v>
      </c>
      <c r="G191">
        <v>1001</v>
      </c>
      <c r="H191">
        <v>90</v>
      </c>
      <c r="I191">
        <v>90</v>
      </c>
      <c r="J191">
        <v>90</v>
      </c>
      <c r="K191">
        <v>111</v>
      </c>
      <c r="L191">
        <v>0</v>
      </c>
      <c r="M191">
        <f t="shared" si="3"/>
        <v>642</v>
      </c>
      <c r="N191">
        <v>0</v>
      </c>
      <c r="O191">
        <f>N223*2</f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 t="s">
        <v>315</v>
      </c>
      <c r="Y191">
        <v>0</v>
      </c>
      <c r="Z191">
        <v>0</v>
      </c>
      <c r="AA191">
        <v>30</v>
      </c>
    </row>
    <row r="192" spans="1:27">
      <c r="A192">
        <v>9007</v>
      </c>
      <c r="B192">
        <v>2001</v>
      </c>
      <c r="C192">
        <v>11</v>
      </c>
      <c r="D192" t="s">
        <v>375</v>
      </c>
      <c r="E192">
        <v>0</v>
      </c>
      <c r="F192">
        <f t="shared" si="2"/>
        <v>0</v>
      </c>
      <c r="G192">
        <v>1001</v>
      </c>
      <c r="H192">
        <v>93</v>
      </c>
      <c r="I192">
        <v>93</v>
      </c>
      <c r="J192">
        <v>93</v>
      </c>
      <c r="K192">
        <v>116</v>
      </c>
      <c r="L192">
        <v>0</v>
      </c>
      <c r="M192">
        <f t="shared" si="3"/>
        <v>665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t="s">
        <v>313</v>
      </c>
      <c r="Y192">
        <v>0</v>
      </c>
      <c r="Z192">
        <v>0</v>
      </c>
      <c r="AA192">
        <v>30</v>
      </c>
    </row>
    <row r="193" spans="1:27">
      <c r="A193">
        <v>9008</v>
      </c>
      <c r="B193">
        <v>2002</v>
      </c>
      <c r="C193">
        <v>11</v>
      </c>
      <c r="D193" t="s">
        <v>376</v>
      </c>
      <c r="E193">
        <v>0</v>
      </c>
      <c r="F193">
        <f t="shared" si="2"/>
        <v>0</v>
      </c>
      <c r="G193">
        <v>1001</v>
      </c>
      <c r="H193">
        <v>96</v>
      </c>
      <c r="I193">
        <v>96</v>
      </c>
      <c r="J193">
        <v>96</v>
      </c>
      <c r="K193">
        <v>121</v>
      </c>
      <c r="L193">
        <v>0</v>
      </c>
      <c r="M193">
        <f t="shared" si="3"/>
        <v>687</v>
      </c>
      <c r="N193">
        <v>0</v>
      </c>
      <c r="O193">
        <f>N225*2</f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 t="s">
        <v>314</v>
      </c>
      <c r="Y193">
        <v>0</v>
      </c>
      <c r="Z193">
        <v>0</v>
      </c>
      <c r="AA193">
        <v>30</v>
      </c>
    </row>
    <row r="194" spans="1:27">
      <c r="A194">
        <v>9009</v>
      </c>
      <c r="B194">
        <v>2003</v>
      </c>
      <c r="C194">
        <v>11</v>
      </c>
      <c r="D194" t="s">
        <v>377</v>
      </c>
      <c r="E194">
        <v>0</v>
      </c>
      <c r="F194">
        <f t="shared" si="2"/>
        <v>0</v>
      </c>
      <c r="G194">
        <v>1001</v>
      </c>
      <c r="H194">
        <v>99</v>
      </c>
      <c r="I194">
        <v>99</v>
      </c>
      <c r="J194">
        <v>99</v>
      </c>
      <c r="K194">
        <v>126</v>
      </c>
      <c r="L194">
        <v>0</v>
      </c>
      <c r="M194">
        <f t="shared" si="3"/>
        <v>710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 t="s">
        <v>317</v>
      </c>
      <c r="Y194">
        <v>0</v>
      </c>
      <c r="Z194">
        <v>0</v>
      </c>
      <c r="AA194">
        <v>30</v>
      </c>
    </row>
    <row r="195" spans="1:27">
      <c r="A195">
        <v>9010</v>
      </c>
      <c r="B195">
        <v>2001</v>
      </c>
      <c r="C195">
        <v>12</v>
      </c>
      <c r="D195" t="s">
        <v>378</v>
      </c>
      <c r="E195">
        <v>0</v>
      </c>
      <c r="F195">
        <f t="shared" si="2"/>
        <v>0</v>
      </c>
      <c r="G195">
        <v>1001</v>
      </c>
      <c r="H195">
        <v>102</v>
      </c>
      <c r="I195">
        <v>102</v>
      </c>
      <c r="J195">
        <v>102</v>
      </c>
      <c r="K195">
        <v>131</v>
      </c>
      <c r="L195">
        <v>0</v>
      </c>
      <c r="M195">
        <f t="shared" si="3"/>
        <v>733</v>
      </c>
      <c r="N195">
        <v>0</v>
      </c>
      <c r="O195">
        <f>N227*2</f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 t="s">
        <v>316</v>
      </c>
      <c r="Y195">
        <v>0</v>
      </c>
      <c r="Z195">
        <v>0</v>
      </c>
      <c r="AA195">
        <v>30</v>
      </c>
    </row>
    <row r="196" spans="1:27">
      <c r="A196">
        <v>9011</v>
      </c>
      <c r="B196">
        <v>2002</v>
      </c>
      <c r="C196">
        <v>12</v>
      </c>
      <c r="D196" t="s">
        <v>379</v>
      </c>
      <c r="E196">
        <v>0</v>
      </c>
      <c r="F196">
        <f t="shared" si="2"/>
        <v>0</v>
      </c>
      <c r="G196">
        <v>1001</v>
      </c>
      <c r="H196">
        <v>105</v>
      </c>
      <c r="I196">
        <v>105</v>
      </c>
      <c r="J196">
        <v>105</v>
      </c>
      <c r="K196">
        <v>136</v>
      </c>
      <c r="L196">
        <v>0</v>
      </c>
      <c r="M196">
        <f t="shared" si="3"/>
        <v>756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 t="s">
        <v>451</v>
      </c>
      <c r="Y196">
        <v>0</v>
      </c>
      <c r="Z196">
        <v>0</v>
      </c>
      <c r="AA196">
        <v>30</v>
      </c>
    </row>
    <row r="197" spans="1:27">
      <c r="A197">
        <v>9012</v>
      </c>
      <c r="B197">
        <v>2003</v>
      </c>
      <c r="C197">
        <v>12</v>
      </c>
      <c r="D197" t="s">
        <v>380</v>
      </c>
      <c r="E197">
        <v>0</v>
      </c>
      <c r="F197">
        <f t="shared" si="2"/>
        <v>0</v>
      </c>
      <c r="G197">
        <v>1001</v>
      </c>
      <c r="H197">
        <v>108</v>
      </c>
      <c r="I197">
        <v>108</v>
      </c>
      <c r="J197">
        <v>108</v>
      </c>
      <c r="K197">
        <v>141</v>
      </c>
      <c r="L197">
        <v>0</v>
      </c>
      <c r="M197">
        <f t="shared" si="3"/>
        <v>778</v>
      </c>
      <c r="N197">
        <v>0</v>
      </c>
      <c r="O197">
        <f>N229*2</f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 t="s">
        <v>315</v>
      </c>
      <c r="Y197">
        <v>0</v>
      </c>
      <c r="Z197">
        <v>0</v>
      </c>
      <c r="AA197">
        <v>30</v>
      </c>
    </row>
    <row r="198" spans="1:27">
      <c r="A198">
        <v>9013</v>
      </c>
      <c r="B198">
        <v>2001</v>
      </c>
      <c r="C198">
        <v>12</v>
      </c>
      <c r="D198" t="s">
        <v>381</v>
      </c>
      <c r="E198">
        <v>0</v>
      </c>
      <c r="F198">
        <f t="shared" si="2"/>
        <v>0</v>
      </c>
      <c r="G198">
        <v>1001</v>
      </c>
      <c r="H198">
        <v>111</v>
      </c>
      <c r="I198">
        <v>111</v>
      </c>
      <c r="J198">
        <v>111</v>
      </c>
      <c r="K198">
        <v>146</v>
      </c>
      <c r="L198">
        <v>0</v>
      </c>
      <c r="M198">
        <f t="shared" si="3"/>
        <v>801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 t="s">
        <v>313</v>
      </c>
      <c r="Y198">
        <v>0</v>
      </c>
      <c r="Z198">
        <v>0</v>
      </c>
      <c r="AA198">
        <v>30</v>
      </c>
    </row>
    <row r="199" spans="1:27">
      <c r="A199">
        <v>9014</v>
      </c>
      <c r="B199">
        <v>2002</v>
      </c>
      <c r="C199">
        <v>12</v>
      </c>
      <c r="D199" t="s">
        <v>382</v>
      </c>
      <c r="E199">
        <v>0</v>
      </c>
      <c r="F199">
        <f t="shared" ref="F199:F262" si="4">E199*2</f>
        <v>0</v>
      </c>
      <c r="G199">
        <v>1001</v>
      </c>
      <c r="H199">
        <v>114</v>
      </c>
      <c r="I199">
        <v>114</v>
      </c>
      <c r="J199">
        <v>114</v>
      </c>
      <c r="K199">
        <v>151</v>
      </c>
      <c r="L199">
        <v>0</v>
      </c>
      <c r="M199">
        <f t="shared" si="3"/>
        <v>824</v>
      </c>
      <c r="N199">
        <v>0</v>
      </c>
      <c r="O199">
        <f>N231*2</f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 t="s">
        <v>314</v>
      </c>
      <c r="Y199">
        <v>0</v>
      </c>
      <c r="Z199">
        <v>0</v>
      </c>
      <c r="AA199">
        <v>30</v>
      </c>
    </row>
    <row r="200" spans="1:27">
      <c r="A200">
        <v>9015</v>
      </c>
      <c r="B200">
        <v>2003</v>
      </c>
      <c r="C200">
        <v>13</v>
      </c>
      <c r="D200" t="s">
        <v>383</v>
      </c>
      <c r="E200">
        <v>0</v>
      </c>
      <c r="F200">
        <f t="shared" si="4"/>
        <v>0</v>
      </c>
      <c r="G200">
        <v>1001</v>
      </c>
      <c r="H200">
        <v>117</v>
      </c>
      <c r="I200">
        <v>117</v>
      </c>
      <c r="J200">
        <v>117</v>
      </c>
      <c r="K200">
        <v>156</v>
      </c>
      <c r="L200">
        <v>0</v>
      </c>
      <c r="M200">
        <f t="shared" si="3"/>
        <v>846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 t="s">
        <v>317</v>
      </c>
      <c r="Y200">
        <v>0</v>
      </c>
      <c r="Z200">
        <v>0</v>
      </c>
      <c r="AA200">
        <v>30</v>
      </c>
    </row>
    <row r="201" spans="1:27">
      <c r="A201">
        <v>9016</v>
      </c>
      <c r="B201">
        <v>2001</v>
      </c>
      <c r="C201">
        <v>13</v>
      </c>
      <c r="D201" t="s">
        <v>384</v>
      </c>
      <c r="E201">
        <v>0</v>
      </c>
      <c r="F201">
        <f t="shared" si="4"/>
        <v>0</v>
      </c>
      <c r="G201">
        <v>1001</v>
      </c>
      <c r="H201">
        <v>120</v>
      </c>
      <c r="I201">
        <v>120</v>
      </c>
      <c r="J201">
        <v>120</v>
      </c>
      <c r="K201">
        <v>161</v>
      </c>
      <c r="L201">
        <v>0</v>
      </c>
      <c r="M201">
        <f t="shared" si="3"/>
        <v>869</v>
      </c>
      <c r="N201">
        <v>0</v>
      </c>
      <c r="O201">
        <f>N233*2</f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 t="s">
        <v>316</v>
      </c>
      <c r="Y201">
        <v>0</v>
      </c>
      <c r="Z201">
        <v>0</v>
      </c>
      <c r="AA201">
        <v>30</v>
      </c>
    </row>
    <row r="202" spans="1:27">
      <c r="A202">
        <v>9017</v>
      </c>
      <c r="B202">
        <v>2002</v>
      </c>
      <c r="C202">
        <v>13</v>
      </c>
      <c r="D202" t="s">
        <v>385</v>
      </c>
      <c r="E202">
        <v>0</v>
      </c>
      <c r="F202">
        <f t="shared" si="4"/>
        <v>0</v>
      </c>
      <c r="G202">
        <v>1001</v>
      </c>
      <c r="H202">
        <v>123</v>
      </c>
      <c r="I202">
        <v>123</v>
      </c>
      <c r="J202">
        <v>123</v>
      </c>
      <c r="K202">
        <v>166</v>
      </c>
      <c r="L202">
        <v>0</v>
      </c>
      <c r="M202">
        <f t="shared" si="3"/>
        <v>892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 t="s">
        <v>451</v>
      </c>
      <c r="Y202">
        <v>0</v>
      </c>
      <c r="Z202">
        <v>0</v>
      </c>
      <c r="AA202">
        <v>30</v>
      </c>
    </row>
    <row r="203" spans="1:27">
      <c r="A203">
        <v>9018</v>
      </c>
      <c r="B203">
        <v>2003</v>
      </c>
      <c r="C203">
        <v>13</v>
      </c>
      <c r="D203" t="s">
        <v>386</v>
      </c>
      <c r="E203">
        <v>0</v>
      </c>
      <c r="F203">
        <f t="shared" si="4"/>
        <v>0</v>
      </c>
      <c r="G203">
        <v>1001</v>
      </c>
      <c r="H203">
        <v>126</v>
      </c>
      <c r="I203">
        <v>126</v>
      </c>
      <c r="J203">
        <v>126</v>
      </c>
      <c r="K203">
        <v>171</v>
      </c>
      <c r="L203">
        <v>0</v>
      </c>
      <c r="M203">
        <f t="shared" si="3"/>
        <v>914</v>
      </c>
      <c r="N203">
        <v>0</v>
      </c>
      <c r="O203">
        <f>N235*2</f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 t="s">
        <v>315</v>
      </c>
      <c r="Y203">
        <v>0</v>
      </c>
      <c r="Z203">
        <v>0</v>
      </c>
      <c r="AA203">
        <v>30</v>
      </c>
    </row>
    <row r="204" spans="1:27">
      <c r="A204">
        <v>9019</v>
      </c>
      <c r="B204">
        <v>2001</v>
      </c>
      <c r="C204">
        <v>13</v>
      </c>
      <c r="D204" t="s">
        <v>387</v>
      </c>
      <c r="E204">
        <v>0</v>
      </c>
      <c r="F204">
        <f t="shared" si="4"/>
        <v>0</v>
      </c>
      <c r="G204">
        <v>1001</v>
      </c>
      <c r="H204">
        <v>129</v>
      </c>
      <c r="I204">
        <v>129</v>
      </c>
      <c r="J204">
        <v>129</v>
      </c>
      <c r="K204">
        <v>176</v>
      </c>
      <c r="L204">
        <v>0</v>
      </c>
      <c r="M204">
        <f t="shared" si="3"/>
        <v>937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 t="s">
        <v>313</v>
      </c>
      <c r="Y204">
        <v>0</v>
      </c>
      <c r="Z204">
        <v>0</v>
      </c>
      <c r="AA204">
        <v>30</v>
      </c>
    </row>
    <row r="205" spans="1:27">
      <c r="A205">
        <v>9020</v>
      </c>
      <c r="B205">
        <v>2002</v>
      </c>
      <c r="C205">
        <v>14</v>
      </c>
      <c r="D205" t="s">
        <v>388</v>
      </c>
      <c r="E205">
        <v>0</v>
      </c>
      <c r="F205">
        <f t="shared" si="4"/>
        <v>0</v>
      </c>
      <c r="G205">
        <v>1001</v>
      </c>
      <c r="H205">
        <v>132</v>
      </c>
      <c r="I205">
        <v>132</v>
      </c>
      <c r="J205">
        <v>132</v>
      </c>
      <c r="K205">
        <v>181</v>
      </c>
      <c r="L205">
        <v>0</v>
      </c>
      <c r="M205">
        <f t="shared" si="3"/>
        <v>960</v>
      </c>
      <c r="N205">
        <v>0</v>
      </c>
      <c r="O205">
        <f>N237*2</f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 t="s">
        <v>314</v>
      </c>
      <c r="Y205">
        <v>0</v>
      </c>
      <c r="Z205">
        <v>0</v>
      </c>
      <c r="AA205">
        <v>30</v>
      </c>
    </row>
    <row r="206" spans="1:27">
      <c r="A206">
        <v>9021</v>
      </c>
      <c r="B206">
        <v>2003</v>
      </c>
      <c r="C206">
        <v>14</v>
      </c>
      <c r="D206" t="s">
        <v>389</v>
      </c>
      <c r="E206">
        <v>0</v>
      </c>
      <c r="F206">
        <f t="shared" si="4"/>
        <v>0</v>
      </c>
      <c r="G206">
        <v>1001</v>
      </c>
      <c r="H206">
        <v>135</v>
      </c>
      <c r="I206">
        <v>135</v>
      </c>
      <c r="J206">
        <v>135</v>
      </c>
      <c r="K206">
        <v>186</v>
      </c>
      <c r="L206">
        <v>0</v>
      </c>
      <c r="M206">
        <f t="shared" si="3"/>
        <v>983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 t="s">
        <v>317</v>
      </c>
      <c r="Y206">
        <v>0</v>
      </c>
      <c r="Z206">
        <v>0</v>
      </c>
      <c r="AA206">
        <v>30</v>
      </c>
    </row>
    <row r="207" spans="1:27">
      <c r="A207">
        <v>9022</v>
      </c>
      <c r="B207">
        <v>2001</v>
      </c>
      <c r="C207">
        <v>14</v>
      </c>
      <c r="D207" t="s">
        <v>390</v>
      </c>
      <c r="E207">
        <v>0</v>
      </c>
      <c r="F207">
        <f t="shared" si="4"/>
        <v>0</v>
      </c>
      <c r="G207">
        <v>1001</v>
      </c>
      <c r="H207">
        <v>138</v>
      </c>
      <c r="I207">
        <v>138</v>
      </c>
      <c r="J207">
        <v>138</v>
      </c>
      <c r="K207">
        <v>191</v>
      </c>
      <c r="L207">
        <v>0</v>
      </c>
      <c r="M207">
        <f t="shared" si="3"/>
        <v>1005</v>
      </c>
      <c r="N207">
        <v>0</v>
      </c>
      <c r="O207">
        <f>N239*2</f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 t="s">
        <v>316</v>
      </c>
      <c r="Y207">
        <v>0</v>
      </c>
      <c r="Z207">
        <v>0</v>
      </c>
      <c r="AA207">
        <v>30</v>
      </c>
    </row>
    <row r="208" spans="1:27">
      <c r="A208">
        <v>9023</v>
      </c>
      <c r="B208">
        <v>2002</v>
      </c>
      <c r="C208">
        <v>14</v>
      </c>
      <c r="D208" t="s">
        <v>391</v>
      </c>
      <c r="E208">
        <v>0</v>
      </c>
      <c r="F208">
        <f t="shared" si="4"/>
        <v>0</v>
      </c>
      <c r="G208">
        <v>1001</v>
      </c>
      <c r="H208">
        <v>141</v>
      </c>
      <c r="I208">
        <v>141</v>
      </c>
      <c r="J208">
        <v>141</v>
      </c>
      <c r="K208">
        <v>196</v>
      </c>
      <c r="L208">
        <v>0</v>
      </c>
      <c r="M208">
        <f t="shared" si="3"/>
        <v>1028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 t="s">
        <v>451</v>
      </c>
      <c r="Y208">
        <v>0</v>
      </c>
      <c r="Z208">
        <v>0</v>
      </c>
      <c r="AA208">
        <v>30</v>
      </c>
    </row>
    <row r="209" spans="1:27">
      <c r="A209">
        <v>9024</v>
      </c>
      <c r="B209">
        <v>2003</v>
      </c>
      <c r="C209">
        <v>14</v>
      </c>
      <c r="D209" t="s">
        <v>392</v>
      </c>
      <c r="E209">
        <v>0</v>
      </c>
      <c r="F209">
        <f t="shared" si="4"/>
        <v>0</v>
      </c>
      <c r="G209">
        <v>1001</v>
      </c>
      <c r="H209">
        <v>144</v>
      </c>
      <c r="I209">
        <v>144</v>
      </c>
      <c r="J209">
        <v>144</v>
      </c>
      <c r="K209">
        <v>201</v>
      </c>
      <c r="L209">
        <v>0</v>
      </c>
      <c r="M209">
        <f t="shared" si="3"/>
        <v>1051</v>
      </c>
      <c r="N209">
        <v>0</v>
      </c>
      <c r="O209">
        <f>N241*2</f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 t="s">
        <v>315</v>
      </c>
      <c r="Y209">
        <v>0</v>
      </c>
      <c r="Z209">
        <v>0</v>
      </c>
      <c r="AA209">
        <v>30</v>
      </c>
    </row>
    <row r="210" spans="1:27">
      <c r="A210">
        <v>9025</v>
      </c>
      <c r="B210">
        <v>2001</v>
      </c>
      <c r="C210">
        <v>15</v>
      </c>
      <c r="D210" t="s">
        <v>393</v>
      </c>
      <c r="E210">
        <v>0</v>
      </c>
      <c r="F210">
        <f t="shared" si="4"/>
        <v>0</v>
      </c>
      <c r="G210">
        <v>1001</v>
      </c>
      <c r="H210">
        <v>147</v>
      </c>
      <c r="I210">
        <v>147</v>
      </c>
      <c r="J210">
        <v>147</v>
      </c>
      <c r="K210">
        <v>206</v>
      </c>
      <c r="L210">
        <v>0</v>
      </c>
      <c r="M210">
        <f t="shared" si="3"/>
        <v>1073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 t="s">
        <v>313</v>
      </c>
      <c r="Y210">
        <v>0</v>
      </c>
      <c r="Z210">
        <v>0</v>
      </c>
      <c r="AA210">
        <v>30</v>
      </c>
    </row>
    <row r="211" spans="1:27">
      <c r="A211">
        <v>9026</v>
      </c>
      <c r="B211">
        <v>2002</v>
      </c>
      <c r="C211">
        <v>15</v>
      </c>
      <c r="D211" t="s">
        <v>394</v>
      </c>
      <c r="E211">
        <v>0</v>
      </c>
      <c r="F211">
        <f t="shared" si="4"/>
        <v>0</v>
      </c>
      <c r="G211">
        <v>1001</v>
      </c>
      <c r="H211">
        <v>150</v>
      </c>
      <c r="I211">
        <v>150</v>
      </c>
      <c r="J211">
        <v>150</v>
      </c>
      <c r="K211">
        <v>211</v>
      </c>
      <c r="L211">
        <v>0</v>
      </c>
      <c r="M211">
        <f t="shared" si="3"/>
        <v>1096</v>
      </c>
      <c r="N211">
        <v>0</v>
      </c>
      <c r="O211">
        <f>N243*2</f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 t="s">
        <v>314</v>
      </c>
      <c r="Y211">
        <v>0</v>
      </c>
      <c r="Z211">
        <v>0</v>
      </c>
      <c r="AA211">
        <v>30</v>
      </c>
    </row>
    <row r="212" spans="1:27">
      <c r="A212">
        <v>9027</v>
      </c>
      <c r="B212">
        <v>2003</v>
      </c>
      <c r="C212">
        <v>15</v>
      </c>
      <c r="D212" t="s">
        <v>395</v>
      </c>
      <c r="E212">
        <v>0</v>
      </c>
      <c r="F212">
        <f t="shared" si="4"/>
        <v>0</v>
      </c>
      <c r="G212">
        <v>1001</v>
      </c>
      <c r="H212">
        <v>153</v>
      </c>
      <c r="I212">
        <v>153</v>
      </c>
      <c r="J212">
        <v>153</v>
      </c>
      <c r="K212">
        <v>216</v>
      </c>
      <c r="L212">
        <v>0</v>
      </c>
      <c r="M212">
        <f t="shared" si="3"/>
        <v>1119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 t="s">
        <v>317</v>
      </c>
      <c r="Y212">
        <v>0</v>
      </c>
      <c r="Z212">
        <v>0</v>
      </c>
      <c r="AA212">
        <v>30</v>
      </c>
    </row>
    <row r="213" spans="1:27">
      <c r="A213">
        <v>9028</v>
      </c>
      <c r="B213">
        <v>2001</v>
      </c>
      <c r="C213">
        <v>15</v>
      </c>
      <c r="D213" t="s">
        <v>396</v>
      </c>
      <c r="E213">
        <v>0</v>
      </c>
      <c r="F213">
        <f t="shared" si="4"/>
        <v>0</v>
      </c>
      <c r="G213">
        <v>1001</v>
      </c>
      <c r="H213">
        <v>156</v>
      </c>
      <c r="I213">
        <v>156</v>
      </c>
      <c r="J213">
        <v>156</v>
      </c>
      <c r="K213">
        <v>221</v>
      </c>
      <c r="L213">
        <v>0</v>
      </c>
      <c r="M213">
        <f t="shared" si="3"/>
        <v>1141</v>
      </c>
      <c r="N213">
        <v>0</v>
      </c>
      <c r="O213">
        <f>N245*2</f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 t="s">
        <v>316</v>
      </c>
      <c r="Y213">
        <v>0</v>
      </c>
      <c r="Z213">
        <v>0</v>
      </c>
      <c r="AA213">
        <v>30</v>
      </c>
    </row>
    <row r="214" spans="1:27">
      <c r="A214">
        <v>9029</v>
      </c>
      <c r="B214">
        <v>2002</v>
      </c>
      <c r="C214">
        <v>15</v>
      </c>
      <c r="D214" t="s">
        <v>397</v>
      </c>
      <c r="E214">
        <v>0</v>
      </c>
      <c r="F214">
        <f t="shared" si="4"/>
        <v>0</v>
      </c>
      <c r="G214">
        <v>1001</v>
      </c>
      <c r="H214">
        <v>159</v>
      </c>
      <c r="I214">
        <v>159</v>
      </c>
      <c r="J214">
        <v>159</v>
      </c>
      <c r="K214">
        <v>226</v>
      </c>
      <c r="L214">
        <v>0</v>
      </c>
      <c r="M214">
        <f t="shared" si="3"/>
        <v>1164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 t="s">
        <v>451</v>
      </c>
      <c r="Y214">
        <v>0</v>
      </c>
      <c r="Z214">
        <v>0</v>
      </c>
      <c r="AA214">
        <v>30</v>
      </c>
    </row>
    <row r="215" spans="1:27">
      <c r="A215">
        <v>9030</v>
      </c>
      <c r="B215">
        <v>2003</v>
      </c>
      <c r="C215">
        <v>16</v>
      </c>
      <c r="D215" t="s">
        <v>398</v>
      </c>
      <c r="E215">
        <v>0</v>
      </c>
      <c r="F215">
        <f t="shared" si="4"/>
        <v>0</v>
      </c>
      <c r="G215">
        <v>1001</v>
      </c>
      <c r="H215">
        <v>162</v>
      </c>
      <c r="I215">
        <v>162</v>
      </c>
      <c r="J215">
        <v>162</v>
      </c>
      <c r="K215">
        <v>231</v>
      </c>
      <c r="L215">
        <v>0</v>
      </c>
      <c r="M215">
        <f t="shared" si="3"/>
        <v>1187</v>
      </c>
      <c r="N215">
        <v>0</v>
      </c>
      <c r="O215">
        <f>N247*2</f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 t="s">
        <v>315</v>
      </c>
      <c r="Y215">
        <v>0</v>
      </c>
      <c r="Z215">
        <v>0</v>
      </c>
      <c r="AA215">
        <v>30</v>
      </c>
    </row>
    <row r="216" spans="1:27">
      <c r="A216">
        <v>9031</v>
      </c>
      <c r="B216">
        <v>2001</v>
      </c>
      <c r="C216">
        <v>16</v>
      </c>
      <c r="D216" t="s">
        <v>399</v>
      </c>
      <c r="E216">
        <v>0</v>
      </c>
      <c r="F216">
        <f t="shared" si="4"/>
        <v>0</v>
      </c>
      <c r="G216">
        <v>1001</v>
      </c>
      <c r="H216">
        <v>165</v>
      </c>
      <c r="I216">
        <v>165</v>
      </c>
      <c r="J216">
        <v>165</v>
      </c>
      <c r="K216">
        <v>236</v>
      </c>
      <c r="L216">
        <v>0</v>
      </c>
      <c r="M216">
        <f t="shared" si="3"/>
        <v>1210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t="s">
        <v>313</v>
      </c>
      <c r="Y216">
        <v>0</v>
      </c>
      <c r="Z216">
        <v>0</v>
      </c>
      <c r="AA216">
        <v>30</v>
      </c>
    </row>
    <row r="217" spans="1:27">
      <c r="A217">
        <v>9032</v>
      </c>
      <c r="B217">
        <v>2002</v>
      </c>
      <c r="C217">
        <v>16</v>
      </c>
      <c r="D217" t="s">
        <v>400</v>
      </c>
      <c r="E217">
        <v>0</v>
      </c>
      <c r="F217">
        <f t="shared" si="4"/>
        <v>0</v>
      </c>
      <c r="G217">
        <v>1001</v>
      </c>
      <c r="H217">
        <v>168</v>
      </c>
      <c r="I217">
        <v>168</v>
      </c>
      <c r="J217">
        <v>168</v>
      </c>
      <c r="K217">
        <v>241</v>
      </c>
      <c r="L217">
        <v>0</v>
      </c>
      <c r="M217">
        <f t="shared" si="3"/>
        <v>1232</v>
      </c>
      <c r="N217">
        <v>0</v>
      </c>
      <c r="O217">
        <f>N249*2</f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 t="s">
        <v>314</v>
      </c>
      <c r="Y217">
        <v>0</v>
      </c>
      <c r="Z217">
        <v>0</v>
      </c>
      <c r="AA217">
        <v>30</v>
      </c>
    </row>
    <row r="218" spans="1:27">
      <c r="A218">
        <v>9033</v>
      </c>
      <c r="B218">
        <v>2003</v>
      </c>
      <c r="C218">
        <v>16</v>
      </c>
      <c r="D218" t="s">
        <v>401</v>
      </c>
      <c r="E218">
        <v>0</v>
      </c>
      <c r="F218">
        <f t="shared" si="4"/>
        <v>0</v>
      </c>
      <c r="G218">
        <v>1001</v>
      </c>
      <c r="H218">
        <v>171</v>
      </c>
      <c r="I218">
        <v>171</v>
      </c>
      <c r="J218">
        <v>171</v>
      </c>
      <c r="K218">
        <v>246</v>
      </c>
      <c r="L218">
        <v>0</v>
      </c>
      <c r="M218">
        <f t="shared" si="3"/>
        <v>1255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 t="s">
        <v>317</v>
      </c>
      <c r="Y218">
        <v>0</v>
      </c>
      <c r="Z218">
        <v>0</v>
      </c>
      <c r="AA218">
        <v>30</v>
      </c>
    </row>
    <row r="219" spans="1:27">
      <c r="A219">
        <v>9034</v>
      </c>
      <c r="B219">
        <v>2001</v>
      </c>
      <c r="C219">
        <v>16</v>
      </c>
      <c r="D219" t="s">
        <v>402</v>
      </c>
      <c r="E219">
        <v>0</v>
      </c>
      <c r="F219">
        <f t="shared" si="4"/>
        <v>0</v>
      </c>
      <c r="G219">
        <v>1001</v>
      </c>
      <c r="H219">
        <v>174</v>
      </c>
      <c r="I219">
        <v>174</v>
      </c>
      <c r="J219">
        <v>174</v>
      </c>
      <c r="K219">
        <v>251</v>
      </c>
      <c r="L219">
        <v>0</v>
      </c>
      <c r="M219">
        <f t="shared" si="3"/>
        <v>1278</v>
      </c>
      <c r="N219">
        <v>0</v>
      </c>
      <c r="O219">
        <f>N251*2</f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 t="s">
        <v>316</v>
      </c>
      <c r="Y219">
        <v>0</v>
      </c>
      <c r="Z219">
        <v>0</v>
      </c>
      <c r="AA219">
        <v>30</v>
      </c>
    </row>
    <row r="220" spans="1:27">
      <c r="A220">
        <v>9035</v>
      </c>
      <c r="B220">
        <v>2002</v>
      </c>
      <c r="C220">
        <v>17</v>
      </c>
      <c r="D220" t="s">
        <v>403</v>
      </c>
      <c r="E220">
        <v>0</v>
      </c>
      <c r="F220">
        <f t="shared" si="4"/>
        <v>0</v>
      </c>
      <c r="G220">
        <v>1001</v>
      </c>
      <c r="H220">
        <v>177</v>
      </c>
      <c r="I220">
        <v>177</v>
      </c>
      <c r="J220">
        <v>177</v>
      </c>
      <c r="K220">
        <v>256</v>
      </c>
      <c r="L220">
        <v>0</v>
      </c>
      <c r="M220">
        <f t="shared" si="3"/>
        <v>1300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 t="s">
        <v>451</v>
      </c>
      <c r="Y220">
        <v>0</v>
      </c>
      <c r="Z220">
        <v>0</v>
      </c>
      <c r="AA220">
        <v>30</v>
      </c>
    </row>
    <row r="221" spans="1:27">
      <c r="A221">
        <v>9036</v>
      </c>
      <c r="B221">
        <v>2003</v>
      </c>
      <c r="C221">
        <v>17</v>
      </c>
      <c r="D221" t="s">
        <v>404</v>
      </c>
      <c r="E221">
        <v>0</v>
      </c>
      <c r="F221">
        <f t="shared" si="4"/>
        <v>0</v>
      </c>
      <c r="G221">
        <v>1001</v>
      </c>
      <c r="H221">
        <v>180</v>
      </c>
      <c r="I221">
        <v>180</v>
      </c>
      <c r="J221">
        <v>180</v>
      </c>
      <c r="K221">
        <v>261</v>
      </c>
      <c r="L221">
        <v>0</v>
      </c>
      <c r="M221">
        <f t="shared" si="3"/>
        <v>1323</v>
      </c>
      <c r="N221">
        <v>0</v>
      </c>
      <c r="O221">
        <f>N253*2</f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 t="s">
        <v>315</v>
      </c>
      <c r="Y221">
        <v>0</v>
      </c>
      <c r="Z221">
        <v>0</v>
      </c>
      <c r="AA221">
        <v>30</v>
      </c>
    </row>
    <row r="222" spans="1:27">
      <c r="A222">
        <v>9037</v>
      </c>
      <c r="B222">
        <v>2001</v>
      </c>
      <c r="C222">
        <v>17</v>
      </c>
      <c r="D222" t="s">
        <v>405</v>
      </c>
      <c r="E222">
        <v>0</v>
      </c>
      <c r="F222">
        <f t="shared" si="4"/>
        <v>0</v>
      </c>
      <c r="G222">
        <v>1001</v>
      </c>
      <c r="H222">
        <v>183</v>
      </c>
      <c r="I222">
        <v>183</v>
      </c>
      <c r="J222">
        <v>183</v>
      </c>
      <c r="K222">
        <v>266</v>
      </c>
      <c r="L222">
        <v>0</v>
      </c>
      <c r="M222">
        <f t="shared" si="3"/>
        <v>1346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 t="s">
        <v>313</v>
      </c>
      <c r="Y222">
        <v>0</v>
      </c>
      <c r="Z222">
        <v>0</v>
      </c>
      <c r="AA222">
        <v>30</v>
      </c>
    </row>
    <row r="223" spans="1:27">
      <c r="A223">
        <v>9038</v>
      </c>
      <c r="B223">
        <v>2002</v>
      </c>
      <c r="C223">
        <v>17</v>
      </c>
      <c r="D223" t="s">
        <v>406</v>
      </c>
      <c r="E223">
        <v>0</v>
      </c>
      <c r="F223">
        <f t="shared" si="4"/>
        <v>0</v>
      </c>
      <c r="G223">
        <v>1001</v>
      </c>
      <c r="H223">
        <v>186</v>
      </c>
      <c r="I223">
        <v>186</v>
      </c>
      <c r="J223">
        <v>186</v>
      </c>
      <c r="K223">
        <v>271</v>
      </c>
      <c r="L223">
        <v>0</v>
      </c>
      <c r="M223">
        <f t="shared" si="3"/>
        <v>1368</v>
      </c>
      <c r="N223">
        <v>0</v>
      </c>
      <c r="O223">
        <f>N255*2</f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 t="s">
        <v>314</v>
      </c>
      <c r="Y223">
        <v>0</v>
      </c>
      <c r="Z223">
        <v>0</v>
      </c>
      <c r="AA223">
        <v>30</v>
      </c>
    </row>
    <row r="224" spans="1:27">
      <c r="A224">
        <v>9039</v>
      </c>
      <c r="B224">
        <v>2003</v>
      </c>
      <c r="C224">
        <v>17</v>
      </c>
      <c r="D224" t="s">
        <v>407</v>
      </c>
      <c r="E224">
        <v>0</v>
      </c>
      <c r="F224">
        <f t="shared" si="4"/>
        <v>0</v>
      </c>
      <c r="G224">
        <v>1001</v>
      </c>
      <c r="H224">
        <v>189</v>
      </c>
      <c r="I224">
        <v>189</v>
      </c>
      <c r="J224">
        <v>189</v>
      </c>
      <c r="K224">
        <v>276</v>
      </c>
      <c r="L224">
        <v>0</v>
      </c>
      <c r="M224">
        <f t="shared" si="3"/>
        <v>1391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 t="s">
        <v>317</v>
      </c>
      <c r="Y224">
        <v>0</v>
      </c>
      <c r="Z224">
        <v>0</v>
      </c>
      <c r="AA224">
        <v>30</v>
      </c>
    </row>
    <row r="225" spans="1:27">
      <c r="A225">
        <v>9040</v>
      </c>
      <c r="B225">
        <v>2001</v>
      </c>
      <c r="C225">
        <v>18</v>
      </c>
      <c r="D225" t="s">
        <v>408</v>
      </c>
      <c r="E225">
        <v>0</v>
      </c>
      <c r="F225">
        <f t="shared" si="4"/>
        <v>0</v>
      </c>
      <c r="G225">
        <v>1001</v>
      </c>
      <c r="H225">
        <v>192</v>
      </c>
      <c r="I225">
        <v>192</v>
      </c>
      <c r="J225">
        <v>192</v>
      </c>
      <c r="K225">
        <v>281</v>
      </c>
      <c r="L225">
        <v>0</v>
      </c>
      <c r="M225">
        <f t="shared" si="3"/>
        <v>1414</v>
      </c>
      <c r="N225">
        <v>0</v>
      </c>
      <c r="O225">
        <f>N257*2</f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 t="s">
        <v>316</v>
      </c>
      <c r="Y225">
        <v>0</v>
      </c>
      <c r="Z225">
        <v>0</v>
      </c>
      <c r="AA225">
        <v>30</v>
      </c>
    </row>
    <row r="226" spans="1:27">
      <c r="A226">
        <v>9041</v>
      </c>
      <c r="B226">
        <v>2002</v>
      </c>
      <c r="C226">
        <v>18</v>
      </c>
      <c r="D226" t="s">
        <v>409</v>
      </c>
      <c r="E226">
        <v>0</v>
      </c>
      <c r="F226">
        <f t="shared" si="4"/>
        <v>0</v>
      </c>
      <c r="G226">
        <v>1001</v>
      </c>
      <c r="H226">
        <v>195</v>
      </c>
      <c r="I226">
        <v>195</v>
      </c>
      <c r="J226">
        <v>195</v>
      </c>
      <c r="K226">
        <v>286</v>
      </c>
      <c r="L226">
        <v>0</v>
      </c>
      <c r="M226">
        <f t="shared" si="3"/>
        <v>1437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 t="s">
        <v>451</v>
      </c>
      <c r="Y226">
        <v>0</v>
      </c>
      <c r="Z226">
        <v>0</v>
      </c>
      <c r="AA226">
        <v>30</v>
      </c>
    </row>
    <row r="227" spans="1:27">
      <c r="A227">
        <v>9042</v>
      </c>
      <c r="B227">
        <v>2003</v>
      </c>
      <c r="C227">
        <v>18</v>
      </c>
      <c r="D227" t="s">
        <v>410</v>
      </c>
      <c r="E227">
        <v>0</v>
      </c>
      <c r="F227">
        <f t="shared" si="4"/>
        <v>0</v>
      </c>
      <c r="G227">
        <v>1001</v>
      </c>
      <c r="H227">
        <v>198</v>
      </c>
      <c r="I227">
        <v>198</v>
      </c>
      <c r="J227">
        <v>198</v>
      </c>
      <c r="K227">
        <v>291</v>
      </c>
      <c r="L227">
        <v>0</v>
      </c>
      <c r="M227">
        <f t="shared" si="3"/>
        <v>1459</v>
      </c>
      <c r="N227">
        <v>0</v>
      </c>
      <c r="O227">
        <f>N259*2</f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 t="s">
        <v>315</v>
      </c>
      <c r="Y227">
        <v>0</v>
      </c>
      <c r="Z227">
        <v>0</v>
      </c>
      <c r="AA227">
        <v>30</v>
      </c>
    </row>
    <row r="228" spans="1:27">
      <c r="A228">
        <v>9043</v>
      </c>
      <c r="B228">
        <v>2001</v>
      </c>
      <c r="C228">
        <v>18</v>
      </c>
      <c r="D228" t="s">
        <v>411</v>
      </c>
      <c r="E228">
        <v>0</v>
      </c>
      <c r="F228">
        <f t="shared" si="4"/>
        <v>0</v>
      </c>
      <c r="G228">
        <v>1001</v>
      </c>
      <c r="H228">
        <v>201</v>
      </c>
      <c r="I228">
        <v>201</v>
      </c>
      <c r="J228">
        <v>201</v>
      </c>
      <c r="K228">
        <v>296</v>
      </c>
      <c r="L228">
        <v>0</v>
      </c>
      <c r="M228">
        <f t="shared" si="3"/>
        <v>1482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 t="s">
        <v>313</v>
      </c>
      <c r="Y228">
        <v>0</v>
      </c>
      <c r="Z228">
        <v>0</v>
      </c>
      <c r="AA228">
        <v>30</v>
      </c>
    </row>
    <row r="229" spans="1:27">
      <c r="A229">
        <v>9044</v>
      </c>
      <c r="B229">
        <v>2002</v>
      </c>
      <c r="C229">
        <v>18</v>
      </c>
      <c r="D229" t="s">
        <v>412</v>
      </c>
      <c r="E229">
        <v>0</v>
      </c>
      <c r="F229">
        <f t="shared" si="4"/>
        <v>0</v>
      </c>
      <c r="G229">
        <v>1001</v>
      </c>
      <c r="H229">
        <v>204</v>
      </c>
      <c r="I229">
        <v>204</v>
      </c>
      <c r="J229">
        <v>204</v>
      </c>
      <c r="K229">
        <v>301</v>
      </c>
      <c r="L229">
        <v>0</v>
      </c>
      <c r="M229">
        <f t="shared" si="3"/>
        <v>1505</v>
      </c>
      <c r="N229">
        <v>0</v>
      </c>
      <c r="O229">
        <f>N261*2</f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 t="s">
        <v>314</v>
      </c>
      <c r="Y229">
        <v>0</v>
      </c>
      <c r="Z229">
        <v>0</v>
      </c>
      <c r="AA229">
        <v>30</v>
      </c>
    </row>
    <row r="230" spans="1:27">
      <c r="A230">
        <v>9045</v>
      </c>
      <c r="B230">
        <v>2003</v>
      </c>
      <c r="C230">
        <v>19</v>
      </c>
      <c r="D230" t="s">
        <v>413</v>
      </c>
      <c r="E230">
        <v>0</v>
      </c>
      <c r="F230">
        <f t="shared" si="4"/>
        <v>0</v>
      </c>
      <c r="G230">
        <v>1001</v>
      </c>
      <c r="H230">
        <v>207</v>
      </c>
      <c r="I230">
        <v>207</v>
      </c>
      <c r="J230">
        <v>207</v>
      </c>
      <c r="K230">
        <v>306</v>
      </c>
      <c r="L230">
        <v>0</v>
      </c>
      <c r="M230">
        <f t="shared" si="3"/>
        <v>1527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 t="s">
        <v>317</v>
      </c>
      <c r="Y230">
        <v>0</v>
      </c>
      <c r="Z230">
        <v>0</v>
      </c>
      <c r="AA230">
        <v>30</v>
      </c>
    </row>
    <row r="231" spans="1:27">
      <c r="A231">
        <v>9046</v>
      </c>
      <c r="B231">
        <v>2001</v>
      </c>
      <c r="C231">
        <v>19</v>
      </c>
      <c r="D231" t="s">
        <v>414</v>
      </c>
      <c r="E231">
        <v>0</v>
      </c>
      <c r="F231">
        <f t="shared" si="4"/>
        <v>0</v>
      </c>
      <c r="G231">
        <v>1001</v>
      </c>
      <c r="H231">
        <v>210</v>
      </c>
      <c r="I231">
        <v>210</v>
      </c>
      <c r="J231">
        <v>210</v>
      </c>
      <c r="K231">
        <v>311</v>
      </c>
      <c r="L231">
        <v>0</v>
      </c>
      <c r="M231">
        <f t="shared" si="3"/>
        <v>1550</v>
      </c>
      <c r="N231">
        <v>0</v>
      </c>
      <c r="O231">
        <f>N263*2</f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 t="s">
        <v>316</v>
      </c>
      <c r="Y231">
        <v>0</v>
      </c>
      <c r="Z231">
        <v>0</v>
      </c>
      <c r="AA231">
        <v>30</v>
      </c>
    </row>
    <row r="232" spans="1:27">
      <c r="A232">
        <v>9047</v>
      </c>
      <c r="B232">
        <v>2002</v>
      </c>
      <c r="C232">
        <v>19</v>
      </c>
      <c r="D232" t="s">
        <v>415</v>
      </c>
      <c r="E232">
        <v>0</v>
      </c>
      <c r="F232">
        <f t="shared" si="4"/>
        <v>0</v>
      </c>
      <c r="G232">
        <v>1001</v>
      </c>
      <c r="H232">
        <v>213</v>
      </c>
      <c r="I232">
        <v>213</v>
      </c>
      <c r="J232">
        <v>213</v>
      </c>
      <c r="K232">
        <v>316</v>
      </c>
      <c r="L232">
        <v>0</v>
      </c>
      <c r="M232">
        <f t="shared" si="3"/>
        <v>1573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 t="s">
        <v>451</v>
      </c>
      <c r="Y232">
        <v>0</v>
      </c>
      <c r="Z232">
        <v>0</v>
      </c>
      <c r="AA232">
        <v>30</v>
      </c>
    </row>
    <row r="233" spans="1:27">
      <c r="A233">
        <v>9048</v>
      </c>
      <c r="B233">
        <v>2003</v>
      </c>
      <c r="C233">
        <v>19</v>
      </c>
      <c r="D233" t="s">
        <v>416</v>
      </c>
      <c r="E233">
        <v>0</v>
      </c>
      <c r="F233">
        <f t="shared" si="4"/>
        <v>0</v>
      </c>
      <c r="G233">
        <v>1001</v>
      </c>
      <c r="H233">
        <v>216</v>
      </c>
      <c r="I233">
        <v>216</v>
      </c>
      <c r="J233">
        <v>216</v>
      </c>
      <c r="K233">
        <v>321</v>
      </c>
      <c r="L233">
        <v>0</v>
      </c>
      <c r="M233">
        <f t="shared" si="3"/>
        <v>1595</v>
      </c>
      <c r="N233">
        <v>0</v>
      </c>
      <c r="O233">
        <f>N265*2</f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 t="s">
        <v>315</v>
      </c>
      <c r="Y233">
        <v>0</v>
      </c>
      <c r="Z233">
        <v>0</v>
      </c>
      <c r="AA233">
        <v>30</v>
      </c>
    </row>
    <row r="234" spans="1:27">
      <c r="A234">
        <v>9049</v>
      </c>
      <c r="B234">
        <v>2001</v>
      </c>
      <c r="C234">
        <v>19</v>
      </c>
      <c r="D234" t="s">
        <v>417</v>
      </c>
      <c r="E234">
        <v>0</v>
      </c>
      <c r="F234">
        <f t="shared" si="4"/>
        <v>0</v>
      </c>
      <c r="G234">
        <v>1001</v>
      </c>
      <c r="H234">
        <v>219</v>
      </c>
      <c r="I234">
        <v>219</v>
      </c>
      <c r="J234">
        <v>219</v>
      </c>
      <c r="K234">
        <v>326</v>
      </c>
      <c r="L234">
        <v>0</v>
      </c>
      <c r="M234">
        <f t="shared" si="3"/>
        <v>1618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 t="s">
        <v>313</v>
      </c>
      <c r="Y234">
        <v>0</v>
      </c>
      <c r="Z234">
        <v>0</v>
      </c>
      <c r="AA234">
        <v>30</v>
      </c>
    </row>
    <row r="235" spans="1:27">
      <c r="A235">
        <v>9050</v>
      </c>
      <c r="B235">
        <v>2002</v>
      </c>
      <c r="C235">
        <v>20</v>
      </c>
      <c r="D235" t="s">
        <v>418</v>
      </c>
      <c r="E235">
        <v>0</v>
      </c>
      <c r="F235">
        <f t="shared" si="4"/>
        <v>0</v>
      </c>
      <c r="G235">
        <v>1001</v>
      </c>
      <c r="H235">
        <v>222</v>
      </c>
      <c r="I235">
        <v>222</v>
      </c>
      <c r="J235">
        <v>222</v>
      </c>
      <c r="K235">
        <v>331</v>
      </c>
      <c r="L235">
        <v>0</v>
      </c>
      <c r="M235">
        <f t="shared" si="3"/>
        <v>1641</v>
      </c>
      <c r="N235">
        <v>0</v>
      </c>
      <c r="O235">
        <f>N267*2</f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 t="s">
        <v>314</v>
      </c>
      <c r="Y235">
        <v>0</v>
      </c>
      <c r="Z235">
        <v>0</v>
      </c>
      <c r="AA235">
        <v>30</v>
      </c>
    </row>
    <row r="236" spans="1:27">
      <c r="A236">
        <v>9051</v>
      </c>
      <c r="B236">
        <v>2003</v>
      </c>
      <c r="C236">
        <v>20</v>
      </c>
      <c r="D236" t="s">
        <v>419</v>
      </c>
      <c r="E236">
        <v>0</v>
      </c>
      <c r="F236">
        <f t="shared" si="4"/>
        <v>0</v>
      </c>
      <c r="G236">
        <v>1001</v>
      </c>
      <c r="H236">
        <v>225</v>
      </c>
      <c r="I236">
        <v>225</v>
      </c>
      <c r="J236">
        <v>225</v>
      </c>
      <c r="K236">
        <v>336</v>
      </c>
      <c r="L236">
        <v>0</v>
      </c>
      <c r="M236">
        <f t="shared" si="3"/>
        <v>1664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 t="s">
        <v>317</v>
      </c>
      <c r="Y236">
        <v>0</v>
      </c>
      <c r="Z236">
        <v>0</v>
      </c>
      <c r="AA236">
        <v>30</v>
      </c>
    </row>
    <row r="237" spans="1:27">
      <c r="A237">
        <v>9052</v>
      </c>
      <c r="B237">
        <v>2001</v>
      </c>
      <c r="C237">
        <v>20</v>
      </c>
      <c r="D237" t="s">
        <v>420</v>
      </c>
      <c r="E237">
        <v>0</v>
      </c>
      <c r="F237">
        <f t="shared" si="4"/>
        <v>0</v>
      </c>
      <c r="G237">
        <v>1001</v>
      </c>
      <c r="H237">
        <v>228</v>
      </c>
      <c r="I237">
        <v>228</v>
      </c>
      <c r="J237">
        <v>228</v>
      </c>
      <c r="K237">
        <v>341</v>
      </c>
      <c r="L237">
        <v>0</v>
      </c>
      <c r="M237">
        <f t="shared" si="3"/>
        <v>1686</v>
      </c>
      <c r="N237">
        <v>0</v>
      </c>
      <c r="O237">
        <f>N269*2</f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 t="s">
        <v>316</v>
      </c>
      <c r="Y237">
        <v>0</v>
      </c>
      <c r="Z237">
        <v>0</v>
      </c>
      <c r="AA237">
        <v>30</v>
      </c>
    </row>
    <row r="238" spans="1:27">
      <c r="A238">
        <v>9053</v>
      </c>
      <c r="B238">
        <v>2002</v>
      </c>
      <c r="C238">
        <v>20</v>
      </c>
      <c r="D238" t="s">
        <v>421</v>
      </c>
      <c r="E238">
        <v>0</v>
      </c>
      <c r="F238">
        <f t="shared" si="4"/>
        <v>0</v>
      </c>
      <c r="G238">
        <v>1001</v>
      </c>
      <c r="H238">
        <v>231</v>
      </c>
      <c r="I238">
        <v>231</v>
      </c>
      <c r="J238">
        <v>231</v>
      </c>
      <c r="K238">
        <v>346</v>
      </c>
      <c r="L238">
        <v>0</v>
      </c>
      <c r="M238">
        <f t="shared" si="3"/>
        <v>1709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 t="s">
        <v>451</v>
      </c>
      <c r="Y238">
        <v>0</v>
      </c>
      <c r="Z238">
        <v>0</v>
      </c>
      <c r="AA238">
        <v>30</v>
      </c>
    </row>
    <row r="239" spans="1:27">
      <c r="A239">
        <v>9054</v>
      </c>
      <c r="B239">
        <v>2003</v>
      </c>
      <c r="C239">
        <v>20</v>
      </c>
      <c r="D239" t="s">
        <v>422</v>
      </c>
      <c r="E239">
        <v>0</v>
      </c>
      <c r="F239">
        <f t="shared" si="4"/>
        <v>0</v>
      </c>
      <c r="G239">
        <v>1001</v>
      </c>
      <c r="H239">
        <v>234</v>
      </c>
      <c r="I239">
        <v>234</v>
      </c>
      <c r="J239">
        <v>234</v>
      </c>
      <c r="K239">
        <v>351</v>
      </c>
      <c r="L239">
        <v>0</v>
      </c>
      <c r="M239">
        <f t="shared" si="3"/>
        <v>1732</v>
      </c>
      <c r="N239">
        <v>0</v>
      </c>
      <c r="O239">
        <f>N271*2</f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 t="s">
        <v>315</v>
      </c>
      <c r="Y239">
        <v>0</v>
      </c>
      <c r="Z239">
        <v>0</v>
      </c>
      <c r="AA239">
        <v>30</v>
      </c>
    </row>
    <row r="240" spans="1:27">
      <c r="A240">
        <v>9055</v>
      </c>
      <c r="B240">
        <v>2001</v>
      </c>
      <c r="C240">
        <v>21</v>
      </c>
      <c r="D240" t="s">
        <v>423</v>
      </c>
      <c r="E240">
        <v>0</v>
      </c>
      <c r="F240">
        <f t="shared" si="4"/>
        <v>0</v>
      </c>
      <c r="G240">
        <v>1001</v>
      </c>
      <c r="H240">
        <v>237</v>
      </c>
      <c r="I240">
        <v>237</v>
      </c>
      <c r="J240">
        <v>237</v>
      </c>
      <c r="K240">
        <v>356</v>
      </c>
      <c r="L240">
        <v>0</v>
      </c>
      <c r="M240">
        <f t="shared" si="3"/>
        <v>1754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 t="s">
        <v>313</v>
      </c>
      <c r="Y240">
        <v>0</v>
      </c>
      <c r="Z240">
        <v>0</v>
      </c>
      <c r="AA240">
        <v>30</v>
      </c>
    </row>
    <row r="241" spans="1:27">
      <c r="A241">
        <v>9056</v>
      </c>
      <c r="B241">
        <v>2002</v>
      </c>
      <c r="C241">
        <v>21</v>
      </c>
      <c r="D241" t="s">
        <v>424</v>
      </c>
      <c r="E241">
        <v>0</v>
      </c>
      <c r="F241">
        <f t="shared" si="4"/>
        <v>0</v>
      </c>
      <c r="G241">
        <v>1001</v>
      </c>
      <c r="H241">
        <v>240</v>
      </c>
      <c r="I241">
        <v>240</v>
      </c>
      <c r="J241">
        <v>240</v>
      </c>
      <c r="K241">
        <v>361</v>
      </c>
      <c r="L241">
        <v>0</v>
      </c>
      <c r="M241">
        <f t="shared" si="3"/>
        <v>1777</v>
      </c>
      <c r="N241">
        <v>0</v>
      </c>
      <c r="O241">
        <f>N273*2</f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 t="s">
        <v>314</v>
      </c>
      <c r="Y241">
        <v>0</v>
      </c>
      <c r="Z241">
        <v>0</v>
      </c>
      <c r="AA241">
        <v>30</v>
      </c>
    </row>
    <row r="242" spans="1:27">
      <c r="A242">
        <v>9057</v>
      </c>
      <c r="B242">
        <v>2003</v>
      </c>
      <c r="C242">
        <v>21</v>
      </c>
      <c r="D242" t="s">
        <v>425</v>
      </c>
      <c r="E242">
        <v>0</v>
      </c>
      <c r="F242">
        <f t="shared" si="4"/>
        <v>0</v>
      </c>
      <c r="G242">
        <v>1001</v>
      </c>
      <c r="H242">
        <v>243</v>
      </c>
      <c r="I242">
        <v>243</v>
      </c>
      <c r="J242">
        <v>243</v>
      </c>
      <c r="K242">
        <v>366</v>
      </c>
      <c r="L242">
        <v>0</v>
      </c>
      <c r="M242">
        <f t="shared" si="3"/>
        <v>1800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 t="s">
        <v>317</v>
      </c>
      <c r="Y242">
        <v>0</v>
      </c>
      <c r="Z242">
        <v>0</v>
      </c>
      <c r="AA242">
        <v>30</v>
      </c>
    </row>
    <row r="243" spans="1:27">
      <c r="A243">
        <v>9058</v>
      </c>
      <c r="B243">
        <v>2001</v>
      </c>
      <c r="C243">
        <v>21</v>
      </c>
      <c r="D243" t="s">
        <v>426</v>
      </c>
      <c r="E243">
        <v>0</v>
      </c>
      <c r="F243">
        <f t="shared" si="4"/>
        <v>0</v>
      </c>
      <c r="G243">
        <v>1001</v>
      </c>
      <c r="H243">
        <v>246</v>
      </c>
      <c r="I243">
        <v>246</v>
      </c>
      <c r="J243">
        <v>246</v>
      </c>
      <c r="K243">
        <v>371</v>
      </c>
      <c r="L243">
        <v>0</v>
      </c>
      <c r="M243">
        <f t="shared" si="3"/>
        <v>1822</v>
      </c>
      <c r="N243">
        <v>0</v>
      </c>
      <c r="O243">
        <f>N275*2</f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 t="s">
        <v>316</v>
      </c>
      <c r="Y243">
        <v>0</v>
      </c>
      <c r="Z243">
        <v>0</v>
      </c>
      <c r="AA243">
        <v>30</v>
      </c>
    </row>
    <row r="244" spans="1:27">
      <c r="A244">
        <v>9059</v>
      </c>
      <c r="B244">
        <v>2002</v>
      </c>
      <c r="C244">
        <v>21</v>
      </c>
      <c r="D244" t="s">
        <v>427</v>
      </c>
      <c r="E244">
        <v>0</v>
      </c>
      <c r="F244">
        <f t="shared" si="4"/>
        <v>0</v>
      </c>
      <c r="G244">
        <v>1001</v>
      </c>
      <c r="H244">
        <v>249</v>
      </c>
      <c r="I244">
        <v>249</v>
      </c>
      <c r="J244">
        <v>249</v>
      </c>
      <c r="K244">
        <v>376</v>
      </c>
      <c r="L244">
        <v>0</v>
      </c>
      <c r="M244">
        <f t="shared" si="3"/>
        <v>1845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 t="s">
        <v>451</v>
      </c>
      <c r="Y244">
        <v>0</v>
      </c>
      <c r="Z244">
        <v>0</v>
      </c>
      <c r="AA244">
        <v>30</v>
      </c>
    </row>
    <row r="245" spans="1:27">
      <c r="A245">
        <v>9060</v>
      </c>
      <c r="B245">
        <v>2003</v>
      </c>
      <c r="C245">
        <v>22</v>
      </c>
      <c r="D245" t="s">
        <v>428</v>
      </c>
      <c r="E245">
        <v>0</v>
      </c>
      <c r="F245">
        <f t="shared" si="4"/>
        <v>0</v>
      </c>
      <c r="G245">
        <v>1001</v>
      </c>
      <c r="H245">
        <v>252</v>
      </c>
      <c r="I245">
        <v>252</v>
      </c>
      <c r="J245">
        <v>252</v>
      </c>
      <c r="K245">
        <v>381</v>
      </c>
      <c r="L245">
        <v>0</v>
      </c>
      <c r="M245">
        <f t="shared" si="3"/>
        <v>1868</v>
      </c>
      <c r="N245">
        <v>0</v>
      </c>
      <c r="O245">
        <f>N277*2</f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 t="s">
        <v>315</v>
      </c>
      <c r="Y245">
        <v>0</v>
      </c>
      <c r="Z245">
        <v>0</v>
      </c>
      <c r="AA245">
        <v>30</v>
      </c>
    </row>
    <row r="246" spans="1:27">
      <c r="A246">
        <v>9061</v>
      </c>
      <c r="B246">
        <v>2001</v>
      </c>
      <c r="C246">
        <v>22</v>
      </c>
      <c r="D246" t="s">
        <v>429</v>
      </c>
      <c r="E246">
        <v>0</v>
      </c>
      <c r="F246">
        <f t="shared" si="4"/>
        <v>0</v>
      </c>
      <c r="G246">
        <v>1001</v>
      </c>
      <c r="H246">
        <v>255</v>
      </c>
      <c r="I246">
        <v>255</v>
      </c>
      <c r="J246">
        <v>255</v>
      </c>
      <c r="K246">
        <v>386</v>
      </c>
      <c r="L246">
        <v>0</v>
      </c>
      <c r="M246">
        <f t="shared" si="3"/>
        <v>1891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 t="s">
        <v>313</v>
      </c>
      <c r="Y246">
        <v>0</v>
      </c>
      <c r="Z246">
        <v>0</v>
      </c>
      <c r="AA246">
        <v>30</v>
      </c>
    </row>
    <row r="247" spans="1:27">
      <c r="A247">
        <v>9062</v>
      </c>
      <c r="B247">
        <v>2002</v>
      </c>
      <c r="C247">
        <v>22</v>
      </c>
      <c r="D247" t="s">
        <v>430</v>
      </c>
      <c r="E247">
        <v>0</v>
      </c>
      <c r="F247">
        <f t="shared" si="4"/>
        <v>0</v>
      </c>
      <c r="G247">
        <v>1001</v>
      </c>
      <c r="H247">
        <v>258</v>
      </c>
      <c r="I247">
        <v>258</v>
      </c>
      <c r="J247">
        <v>258</v>
      </c>
      <c r="K247">
        <v>391</v>
      </c>
      <c r="L247">
        <v>0</v>
      </c>
      <c r="M247">
        <f t="shared" si="3"/>
        <v>1913</v>
      </c>
      <c r="N247">
        <v>0</v>
      </c>
      <c r="O247">
        <f>N279*2</f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 t="s">
        <v>314</v>
      </c>
      <c r="Y247">
        <v>0</v>
      </c>
      <c r="Z247">
        <v>0</v>
      </c>
      <c r="AA247">
        <v>30</v>
      </c>
    </row>
    <row r="248" spans="1:27">
      <c r="A248">
        <v>9063</v>
      </c>
      <c r="B248">
        <v>2003</v>
      </c>
      <c r="C248">
        <v>22</v>
      </c>
      <c r="D248" t="s">
        <v>431</v>
      </c>
      <c r="E248">
        <v>0</v>
      </c>
      <c r="F248">
        <f t="shared" si="4"/>
        <v>0</v>
      </c>
      <c r="G248">
        <v>1001</v>
      </c>
      <c r="H248">
        <v>261</v>
      </c>
      <c r="I248">
        <v>261</v>
      </c>
      <c r="J248">
        <v>261</v>
      </c>
      <c r="K248">
        <v>396</v>
      </c>
      <c r="L248">
        <v>0</v>
      </c>
      <c r="M248">
        <f t="shared" si="3"/>
        <v>1936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 t="s">
        <v>317</v>
      </c>
      <c r="Y248">
        <v>0</v>
      </c>
      <c r="Z248">
        <v>0</v>
      </c>
      <c r="AA248">
        <v>30</v>
      </c>
    </row>
    <row r="249" spans="1:27">
      <c r="A249">
        <v>9064</v>
      </c>
      <c r="B249">
        <v>2001</v>
      </c>
      <c r="C249">
        <v>22</v>
      </c>
      <c r="D249" t="s">
        <v>432</v>
      </c>
      <c r="E249">
        <v>0</v>
      </c>
      <c r="F249">
        <f t="shared" si="4"/>
        <v>0</v>
      </c>
      <c r="G249">
        <v>1001</v>
      </c>
      <c r="H249">
        <v>264</v>
      </c>
      <c r="I249">
        <v>264</v>
      </c>
      <c r="J249">
        <v>264</v>
      </c>
      <c r="K249">
        <v>401</v>
      </c>
      <c r="L249">
        <v>0</v>
      </c>
      <c r="M249">
        <f t="shared" si="3"/>
        <v>1959</v>
      </c>
      <c r="N249">
        <v>0</v>
      </c>
      <c r="O249">
        <f>N281*2</f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 t="s">
        <v>316</v>
      </c>
      <c r="Y249">
        <v>0</v>
      </c>
      <c r="Z249">
        <v>0</v>
      </c>
      <c r="AA249">
        <v>30</v>
      </c>
    </row>
    <row r="250" spans="1:27">
      <c r="A250">
        <v>9065</v>
      </c>
      <c r="B250">
        <v>2002</v>
      </c>
      <c r="C250">
        <v>23</v>
      </c>
      <c r="D250" t="s">
        <v>433</v>
      </c>
      <c r="E250">
        <v>0</v>
      </c>
      <c r="F250">
        <f t="shared" si="4"/>
        <v>0</v>
      </c>
      <c r="G250">
        <v>1001</v>
      </c>
      <c r="H250">
        <v>267</v>
      </c>
      <c r="I250">
        <v>267</v>
      </c>
      <c r="J250">
        <v>267</v>
      </c>
      <c r="K250">
        <v>406</v>
      </c>
      <c r="L250">
        <v>0</v>
      </c>
      <c r="M250">
        <f t="shared" ref="M250:M266" si="5">ROUND(H250*1.6+I250*2+J250*2.3+K250,0)</f>
        <v>1981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 t="s">
        <v>451</v>
      </c>
      <c r="Y250">
        <v>0</v>
      </c>
      <c r="Z250">
        <v>0</v>
      </c>
      <c r="AA250">
        <v>30</v>
      </c>
    </row>
    <row r="251" spans="1:27">
      <c r="A251">
        <v>9066</v>
      </c>
      <c r="B251">
        <v>2003</v>
      </c>
      <c r="C251">
        <v>23</v>
      </c>
      <c r="D251" t="s">
        <v>434</v>
      </c>
      <c r="E251">
        <v>0</v>
      </c>
      <c r="F251">
        <f t="shared" si="4"/>
        <v>0</v>
      </c>
      <c r="G251">
        <v>1001</v>
      </c>
      <c r="H251">
        <v>270</v>
      </c>
      <c r="I251">
        <v>270</v>
      </c>
      <c r="J251">
        <v>270</v>
      </c>
      <c r="K251">
        <v>411</v>
      </c>
      <c r="L251">
        <v>0</v>
      </c>
      <c r="M251">
        <f t="shared" si="5"/>
        <v>2004</v>
      </c>
      <c r="N251">
        <v>0</v>
      </c>
      <c r="O251">
        <f>N283*2</f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 t="s">
        <v>315</v>
      </c>
      <c r="Y251">
        <v>0</v>
      </c>
      <c r="Z251">
        <v>0</v>
      </c>
      <c r="AA251">
        <v>30</v>
      </c>
    </row>
    <row r="252" spans="1:27">
      <c r="A252">
        <v>9067</v>
      </c>
      <c r="B252">
        <v>2001</v>
      </c>
      <c r="C252">
        <v>23</v>
      </c>
      <c r="D252" t="s">
        <v>435</v>
      </c>
      <c r="E252">
        <v>0</v>
      </c>
      <c r="F252">
        <f t="shared" si="4"/>
        <v>0</v>
      </c>
      <c r="G252">
        <v>1001</v>
      </c>
      <c r="H252">
        <v>273</v>
      </c>
      <c r="I252">
        <v>273</v>
      </c>
      <c r="J252">
        <v>273</v>
      </c>
      <c r="K252">
        <v>416</v>
      </c>
      <c r="L252">
        <v>0</v>
      </c>
      <c r="M252">
        <f t="shared" si="5"/>
        <v>2027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 t="s">
        <v>313</v>
      </c>
      <c r="Y252">
        <v>0</v>
      </c>
      <c r="Z252">
        <v>0</v>
      </c>
      <c r="AA252">
        <v>30</v>
      </c>
    </row>
    <row r="253" spans="1:27">
      <c r="A253">
        <v>9068</v>
      </c>
      <c r="B253">
        <v>2002</v>
      </c>
      <c r="C253">
        <v>23</v>
      </c>
      <c r="D253" t="s">
        <v>436</v>
      </c>
      <c r="E253">
        <v>0</v>
      </c>
      <c r="F253">
        <f t="shared" si="4"/>
        <v>0</v>
      </c>
      <c r="G253">
        <v>1001</v>
      </c>
      <c r="H253">
        <v>276</v>
      </c>
      <c r="I253">
        <v>276</v>
      </c>
      <c r="J253">
        <v>276</v>
      </c>
      <c r="K253">
        <v>421</v>
      </c>
      <c r="L253">
        <v>0</v>
      </c>
      <c r="M253">
        <f t="shared" si="5"/>
        <v>2049</v>
      </c>
      <c r="N253">
        <v>0</v>
      </c>
      <c r="O253">
        <f>N285*2</f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 t="s">
        <v>314</v>
      </c>
      <c r="Y253">
        <v>0</v>
      </c>
      <c r="Z253">
        <v>0</v>
      </c>
      <c r="AA253">
        <v>30</v>
      </c>
    </row>
    <row r="254" spans="1:27">
      <c r="A254">
        <v>9069</v>
      </c>
      <c r="B254">
        <v>2003</v>
      </c>
      <c r="C254">
        <v>23</v>
      </c>
      <c r="D254" t="s">
        <v>437</v>
      </c>
      <c r="E254">
        <v>0</v>
      </c>
      <c r="F254">
        <f t="shared" si="4"/>
        <v>0</v>
      </c>
      <c r="G254">
        <v>1001</v>
      </c>
      <c r="H254">
        <v>279</v>
      </c>
      <c r="I254">
        <v>279</v>
      </c>
      <c r="J254">
        <v>279</v>
      </c>
      <c r="K254">
        <v>426</v>
      </c>
      <c r="L254">
        <v>0</v>
      </c>
      <c r="M254">
        <f t="shared" si="5"/>
        <v>2072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 t="s">
        <v>317</v>
      </c>
      <c r="Y254">
        <v>0</v>
      </c>
      <c r="Z254">
        <v>0</v>
      </c>
      <c r="AA254">
        <v>30</v>
      </c>
    </row>
    <row r="255" spans="1:27">
      <c r="A255">
        <v>9070</v>
      </c>
      <c r="B255">
        <v>2001</v>
      </c>
      <c r="C255">
        <v>23</v>
      </c>
      <c r="D255" t="s">
        <v>438</v>
      </c>
      <c r="E255">
        <v>0</v>
      </c>
      <c r="F255">
        <f t="shared" si="4"/>
        <v>0</v>
      </c>
      <c r="G255">
        <v>1001</v>
      </c>
      <c r="H255">
        <v>282</v>
      </c>
      <c r="I255">
        <v>282</v>
      </c>
      <c r="J255">
        <v>282</v>
      </c>
      <c r="K255">
        <v>431</v>
      </c>
      <c r="L255">
        <v>0</v>
      </c>
      <c r="M255">
        <f t="shared" si="5"/>
        <v>2095</v>
      </c>
      <c r="N255">
        <v>0</v>
      </c>
      <c r="O255">
        <f>N287*2</f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 t="s">
        <v>316</v>
      </c>
      <c r="Y255">
        <v>0</v>
      </c>
      <c r="Z255">
        <v>0</v>
      </c>
      <c r="AA255">
        <v>30</v>
      </c>
    </row>
    <row r="256" spans="1:27">
      <c r="A256">
        <v>9071</v>
      </c>
      <c r="B256">
        <v>2001</v>
      </c>
      <c r="C256">
        <v>25</v>
      </c>
      <c r="D256" t="s">
        <v>439</v>
      </c>
      <c r="E256">
        <v>0</v>
      </c>
      <c r="F256">
        <f t="shared" si="4"/>
        <v>0</v>
      </c>
      <c r="G256">
        <v>1001</v>
      </c>
      <c r="H256">
        <v>285</v>
      </c>
      <c r="I256">
        <v>285</v>
      </c>
      <c r="J256">
        <v>285</v>
      </c>
      <c r="K256">
        <v>436</v>
      </c>
      <c r="L256">
        <v>0</v>
      </c>
      <c r="M256">
        <f t="shared" si="5"/>
        <v>2118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 t="s">
        <v>451</v>
      </c>
      <c r="Y256">
        <v>0</v>
      </c>
      <c r="Z256">
        <v>0</v>
      </c>
      <c r="AA256">
        <v>30</v>
      </c>
    </row>
    <row r="257" spans="1:27">
      <c r="A257">
        <v>9072</v>
      </c>
      <c r="B257">
        <v>2003</v>
      </c>
      <c r="C257">
        <v>25</v>
      </c>
      <c r="D257" t="s">
        <v>440</v>
      </c>
      <c r="E257">
        <v>0</v>
      </c>
      <c r="F257">
        <f t="shared" si="4"/>
        <v>0</v>
      </c>
      <c r="G257">
        <v>1001</v>
      </c>
      <c r="H257">
        <v>288</v>
      </c>
      <c r="I257">
        <v>288</v>
      </c>
      <c r="J257">
        <v>288</v>
      </c>
      <c r="K257">
        <v>441</v>
      </c>
      <c r="L257">
        <v>0</v>
      </c>
      <c r="M257">
        <f t="shared" si="5"/>
        <v>2140</v>
      </c>
      <c r="N257">
        <v>0</v>
      </c>
      <c r="O257">
        <f>N289*2</f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 t="s">
        <v>315</v>
      </c>
      <c r="Y257">
        <v>0</v>
      </c>
      <c r="Z257">
        <v>0</v>
      </c>
      <c r="AA257">
        <v>30</v>
      </c>
    </row>
    <row r="258" spans="1:27">
      <c r="A258">
        <v>9073</v>
      </c>
      <c r="B258">
        <v>2003</v>
      </c>
      <c r="C258">
        <v>24</v>
      </c>
      <c r="D258" t="s">
        <v>441</v>
      </c>
      <c r="E258">
        <v>0</v>
      </c>
      <c r="F258">
        <f t="shared" si="4"/>
        <v>0</v>
      </c>
      <c r="G258">
        <v>1001</v>
      </c>
      <c r="H258">
        <v>291</v>
      </c>
      <c r="I258">
        <v>291</v>
      </c>
      <c r="J258">
        <v>291</v>
      </c>
      <c r="K258">
        <v>446</v>
      </c>
      <c r="L258">
        <v>0</v>
      </c>
      <c r="M258">
        <f t="shared" si="5"/>
        <v>2163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 t="s">
        <v>313</v>
      </c>
      <c r="Y258">
        <v>0</v>
      </c>
      <c r="Z258">
        <v>0</v>
      </c>
      <c r="AA258">
        <v>30</v>
      </c>
    </row>
    <row r="259" spans="1:27">
      <c r="A259">
        <v>9074</v>
      </c>
      <c r="B259">
        <v>2002</v>
      </c>
      <c r="C259">
        <v>25</v>
      </c>
      <c r="D259" t="s">
        <v>442</v>
      </c>
      <c r="E259">
        <v>0</v>
      </c>
      <c r="F259">
        <f t="shared" si="4"/>
        <v>0</v>
      </c>
      <c r="G259">
        <v>1001</v>
      </c>
      <c r="H259">
        <v>294</v>
      </c>
      <c r="I259">
        <v>294</v>
      </c>
      <c r="J259">
        <v>294</v>
      </c>
      <c r="K259">
        <v>451</v>
      </c>
      <c r="L259">
        <v>0</v>
      </c>
      <c r="M259">
        <f t="shared" si="5"/>
        <v>2186</v>
      </c>
      <c r="N259">
        <v>0</v>
      </c>
      <c r="O259">
        <f>N291*2</f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 t="s">
        <v>314</v>
      </c>
      <c r="Y259">
        <v>0</v>
      </c>
      <c r="Z259">
        <v>0</v>
      </c>
      <c r="AA259">
        <v>30</v>
      </c>
    </row>
    <row r="260" spans="1:27">
      <c r="A260">
        <v>9075</v>
      </c>
      <c r="B260">
        <v>2001</v>
      </c>
      <c r="C260">
        <v>27</v>
      </c>
      <c r="D260" t="s">
        <v>443</v>
      </c>
      <c r="E260">
        <v>0</v>
      </c>
      <c r="F260">
        <f t="shared" si="4"/>
        <v>0</v>
      </c>
      <c r="G260">
        <v>1001</v>
      </c>
      <c r="H260">
        <v>297</v>
      </c>
      <c r="I260">
        <v>297</v>
      </c>
      <c r="J260">
        <v>297</v>
      </c>
      <c r="K260">
        <v>456</v>
      </c>
      <c r="L260">
        <v>0</v>
      </c>
      <c r="M260">
        <f t="shared" si="5"/>
        <v>2208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 t="s">
        <v>317</v>
      </c>
      <c r="Y260">
        <v>0</v>
      </c>
      <c r="Z260">
        <v>0</v>
      </c>
      <c r="AA260">
        <v>30</v>
      </c>
    </row>
    <row r="261" spans="1:27">
      <c r="A261">
        <v>9076</v>
      </c>
      <c r="B261">
        <v>2003</v>
      </c>
      <c r="C261">
        <v>28</v>
      </c>
      <c r="D261" t="s">
        <v>444</v>
      </c>
      <c r="E261">
        <v>0</v>
      </c>
      <c r="F261">
        <f t="shared" si="4"/>
        <v>0</v>
      </c>
      <c r="G261">
        <v>1001</v>
      </c>
      <c r="H261">
        <v>300</v>
      </c>
      <c r="I261">
        <v>300</v>
      </c>
      <c r="J261">
        <v>300</v>
      </c>
      <c r="K261">
        <v>461</v>
      </c>
      <c r="L261">
        <v>0</v>
      </c>
      <c r="M261">
        <f t="shared" si="5"/>
        <v>2231</v>
      </c>
      <c r="N261">
        <v>0</v>
      </c>
      <c r="O261">
        <f>N293*2</f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 t="s">
        <v>316</v>
      </c>
      <c r="Y261">
        <v>0</v>
      </c>
      <c r="Z261">
        <v>0</v>
      </c>
      <c r="AA261">
        <v>30</v>
      </c>
    </row>
    <row r="262" spans="1:27">
      <c r="A262">
        <v>9077</v>
      </c>
      <c r="B262">
        <v>2002</v>
      </c>
      <c r="C262">
        <v>28</v>
      </c>
      <c r="D262" t="s">
        <v>445</v>
      </c>
      <c r="E262">
        <v>0</v>
      </c>
      <c r="F262">
        <f t="shared" si="4"/>
        <v>0</v>
      </c>
      <c r="G262">
        <v>1001</v>
      </c>
      <c r="H262">
        <v>303</v>
      </c>
      <c r="I262">
        <v>303</v>
      </c>
      <c r="J262">
        <v>303</v>
      </c>
      <c r="K262">
        <v>466</v>
      </c>
      <c r="L262">
        <v>0</v>
      </c>
      <c r="M262">
        <f t="shared" si="5"/>
        <v>2254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 t="s">
        <v>451</v>
      </c>
      <c r="Y262">
        <v>0</v>
      </c>
      <c r="Z262">
        <v>0</v>
      </c>
      <c r="AA262">
        <v>30</v>
      </c>
    </row>
    <row r="263" spans="1:27">
      <c r="A263">
        <v>9078</v>
      </c>
      <c r="B263">
        <v>2003</v>
      </c>
      <c r="C263">
        <v>29</v>
      </c>
      <c r="D263" t="s">
        <v>446</v>
      </c>
      <c r="E263">
        <v>0</v>
      </c>
      <c r="F263">
        <f t="shared" ref="F263:F266" si="6">E263*2</f>
        <v>0</v>
      </c>
      <c r="G263">
        <v>1001</v>
      </c>
      <c r="H263">
        <v>306</v>
      </c>
      <c r="I263">
        <v>306</v>
      </c>
      <c r="J263">
        <v>306</v>
      </c>
      <c r="K263">
        <v>471</v>
      </c>
      <c r="L263">
        <v>0</v>
      </c>
      <c r="M263">
        <f t="shared" si="5"/>
        <v>2276</v>
      </c>
      <c r="N263">
        <v>0</v>
      </c>
      <c r="O263">
        <f>N295*2</f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 t="s">
        <v>315</v>
      </c>
      <c r="Y263">
        <v>0</v>
      </c>
      <c r="Z263">
        <v>0</v>
      </c>
      <c r="AA263">
        <v>30</v>
      </c>
    </row>
    <row r="264" spans="1:27">
      <c r="A264">
        <v>9079</v>
      </c>
      <c r="B264">
        <v>2001</v>
      </c>
      <c r="C264">
        <v>32</v>
      </c>
      <c r="D264" t="s">
        <v>447</v>
      </c>
      <c r="E264">
        <v>0</v>
      </c>
      <c r="F264">
        <f t="shared" si="6"/>
        <v>0</v>
      </c>
      <c r="G264">
        <v>1001</v>
      </c>
      <c r="H264">
        <v>309</v>
      </c>
      <c r="I264">
        <v>309</v>
      </c>
      <c r="J264">
        <v>309</v>
      </c>
      <c r="K264">
        <v>476</v>
      </c>
      <c r="L264">
        <v>0</v>
      </c>
      <c r="M264">
        <f t="shared" si="5"/>
        <v>2299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 t="s">
        <v>313</v>
      </c>
      <c r="Y264">
        <v>0</v>
      </c>
      <c r="Z264">
        <v>0</v>
      </c>
      <c r="AA264">
        <v>30</v>
      </c>
    </row>
    <row r="265" spans="1:27">
      <c r="A265">
        <v>9080</v>
      </c>
      <c r="B265">
        <v>2001</v>
      </c>
      <c r="C265">
        <v>31</v>
      </c>
      <c r="D265" t="s">
        <v>448</v>
      </c>
      <c r="E265">
        <v>0</v>
      </c>
      <c r="F265">
        <f t="shared" si="6"/>
        <v>0</v>
      </c>
      <c r="G265">
        <v>1001</v>
      </c>
      <c r="H265">
        <v>312</v>
      </c>
      <c r="I265">
        <v>312</v>
      </c>
      <c r="J265">
        <v>312</v>
      </c>
      <c r="K265">
        <v>481</v>
      </c>
      <c r="L265">
        <v>0</v>
      </c>
      <c r="M265">
        <f t="shared" si="5"/>
        <v>2322</v>
      </c>
      <c r="N265">
        <v>0</v>
      </c>
      <c r="O265">
        <f>N297*2</f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 t="s">
        <v>314</v>
      </c>
      <c r="Y265">
        <v>0</v>
      </c>
      <c r="Z265">
        <v>0</v>
      </c>
      <c r="AA265">
        <v>30</v>
      </c>
    </row>
    <row r="266" spans="1:27">
      <c r="A266">
        <v>9081</v>
      </c>
      <c r="B266">
        <v>2002</v>
      </c>
      <c r="C266">
        <v>32</v>
      </c>
      <c r="D266" t="s">
        <v>449</v>
      </c>
      <c r="E266">
        <v>0</v>
      </c>
      <c r="F266">
        <f t="shared" si="6"/>
        <v>0</v>
      </c>
      <c r="G266">
        <v>1001</v>
      </c>
      <c r="H266">
        <v>315</v>
      </c>
      <c r="I266">
        <v>315</v>
      </c>
      <c r="J266">
        <v>315</v>
      </c>
      <c r="K266">
        <v>486</v>
      </c>
      <c r="L266">
        <v>0</v>
      </c>
      <c r="M266">
        <f t="shared" si="5"/>
        <v>2345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 t="s">
        <v>317</v>
      </c>
      <c r="Y266">
        <v>0</v>
      </c>
      <c r="Z266">
        <v>0</v>
      </c>
      <c r="AA266">
        <v>30</v>
      </c>
    </row>
  </sheetData>
  <phoneticPr fontId="1" type="noConversion"/>
  <hyperlinks>
    <hyperlink ref="D162" r:id="rId1" display="http://db.178.com/wow/cn/npc/12201.html"/>
  </hyperlinks>
  <pageMargins left="0.69930555555555596" right="0.69930555555555596" top="0.75" bottom="0.75" header="0.3" footer="0.3"/>
  <pageSetup paperSize="9" orientation="portrait" horizontalDpi="200" verticalDpi="30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62"/>
  <sheetViews>
    <sheetView topLeftCell="A41" workbookViewId="0">
      <selection activeCell="A145" sqref="A145:XFD208"/>
    </sheetView>
  </sheetViews>
  <sheetFormatPr defaultColWidth="9" defaultRowHeight="13.5"/>
  <cols>
    <col min="4" max="4" width="17.25" bestFit="1" customWidth="1"/>
    <col min="5" max="5" width="13.625" bestFit="1" customWidth="1"/>
    <col min="6" max="6" width="36.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s="1" t="s">
        <v>24</v>
      </c>
    </row>
    <row r="2" spans="1:7">
      <c r="A2">
        <f>monster.xml!A6</f>
        <v>1</v>
      </c>
      <c r="B2">
        <f>monster.xml!B6</f>
        <v>2001</v>
      </c>
      <c r="C2">
        <f>monster.xml!C6</f>
        <v>1</v>
      </c>
      <c r="D2" t="str">
        <f>monster.xml!D6</f>
        <v>野猪</v>
      </c>
      <c r="E2">
        <f>monster.xml!G6</f>
        <v>1001</v>
      </c>
      <c r="F2" t="str">
        <f>monster.xml!X6</f>
        <v>monster/10003.png</v>
      </c>
      <c r="G2">
        <f>monster.xml!Y6</f>
        <v>0</v>
      </c>
    </row>
    <row r="3" spans="1:7">
      <c r="A3">
        <f>monster.xml!A7</f>
        <v>2</v>
      </c>
      <c r="B3">
        <f>monster.xml!B7</f>
        <v>2001</v>
      </c>
      <c r="C3">
        <f>monster.xml!C7</f>
        <v>2</v>
      </c>
      <c r="D3" t="str">
        <f>monster.xml!D7</f>
        <v>狼</v>
      </c>
      <c r="E3">
        <f>monster.xml!G7</f>
        <v>1001</v>
      </c>
      <c r="F3" t="str">
        <f>monster.xml!X7</f>
        <v>monster/10029.png</v>
      </c>
      <c r="G3">
        <f>monster.xml!Y7</f>
        <v>0</v>
      </c>
    </row>
    <row r="4" spans="1:7">
      <c r="A4">
        <f>monster.xml!A8</f>
        <v>3</v>
      </c>
      <c r="B4">
        <f>monster.xml!B8</f>
        <v>2001</v>
      </c>
      <c r="C4">
        <f>monster.xml!C8</f>
        <v>3</v>
      </c>
      <c r="D4" t="str">
        <f>monster.xml!D8</f>
        <v>迪菲亚盗贼</v>
      </c>
      <c r="E4">
        <f>monster.xml!G8</f>
        <v>1001</v>
      </c>
      <c r="F4" t="str">
        <f>monster.xml!X8</f>
        <v>monster/10012.png</v>
      </c>
      <c r="G4">
        <f>monster.xml!Y8</f>
        <v>0</v>
      </c>
    </row>
    <row r="5" spans="1:7">
      <c r="A5">
        <f>monster.xml!A9</f>
        <v>4</v>
      </c>
      <c r="B5">
        <f>monster.xml!B9</f>
        <v>2001</v>
      </c>
      <c r="C5">
        <f>monster.xml!C9</f>
        <v>4</v>
      </c>
      <c r="D5" t="str">
        <f>monster.xml!D9</f>
        <v>风投雇员</v>
      </c>
      <c r="E5">
        <f>monster.xml!G9</f>
        <v>1001</v>
      </c>
      <c r="F5" t="str">
        <f>monster.xml!X9</f>
        <v>monster/10012.png</v>
      </c>
      <c r="G5">
        <f>monster.xml!Y9</f>
        <v>0</v>
      </c>
    </row>
    <row r="6" spans="1:7">
      <c r="A6">
        <f>monster.xml!A10</f>
        <v>5</v>
      </c>
      <c r="B6">
        <f>monster.xml!B10</f>
        <v>2001</v>
      </c>
      <c r="C6">
        <f>monster.xml!C10</f>
        <v>2</v>
      </c>
      <c r="D6" t="str">
        <f>monster.xml!D10</f>
        <v>怒焰猎犬</v>
      </c>
      <c r="E6">
        <f>monster.xml!G10</f>
        <v>1001</v>
      </c>
      <c r="F6" t="str">
        <f>monster.xml!X10</f>
        <v>monster/10002.png</v>
      </c>
      <c r="G6">
        <f>monster.xml!Y10</f>
        <v>0</v>
      </c>
    </row>
    <row r="7" spans="1:7">
      <c r="A7">
        <f>monster.xml!A11</f>
        <v>6</v>
      </c>
      <c r="B7">
        <f>monster.xml!B11</f>
        <v>2001</v>
      </c>
      <c r="C7">
        <f>monster.xml!C11</f>
        <v>3</v>
      </c>
      <c r="D7" t="str">
        <f>monster.xml!D11</f>
        <v>熔岩元素</v>
      </c>
      <c r="E7">
        <f>monster.xml!G11</f>
        <v>1001</v>
      </c>
      <c r="F7" t="str">
        <f>monster.xml!X11</f>
        <v>monster/10003.png</v>
      </c>
      <c r="G7">
        <f>monster.xml!Y11</f>
        <v>0</v>
      </c>
    </row>
    <row r="8" spans="1:7">
      <c r="A8">
        <f>monster.xml!A12</f>
        <v>7</v>
      </c>
      <c r="B8">
        <f>monster.xml!B12</f>
        <v>2001</v>
      </c>
      <c r="C8">
        <f>monster.xml!C12</f>
        <v>4</v>
      </c>
      <c r="D8" t="str">
        <f>monster.xml!D12</f>
        <v>燃刃信徒</v>
      </c>
      <c r="E8">
        <f>monster.xml!G12</f>
        <v>1001</v>
      </c>
      <c r="F8" t="str">
        <f>monster.xml!X12</f>
        <v>monster/10004.png</v>
      </c>
      <c r="G8">
        <f>monster.xml!Y12</f>
        <v>0</v>
      </c>
    </row>
    <row r="9" spans="1:7">
      <c r="A9">
        <f>monster.xml!A13</f>
        <v>8</v>
      </c>
      <c r="B9">
        <f>monster.xml!B13</f>
        <v>2001</v>
      </c>
      <c r="C9">
        <f>monster.xml!C13</f>
        <v>3</v>
      </c>
      <c r="D9" t="str">
        <f>monster.xml!D13</f>
        <v>骷髅矿工</v>
      </c>
      <c r="E9">
        <f>monster.xml!G13</f>
        <v>1001</v>
      </c>
      <c r="F9" t="str">
        <f>monster.xml!X13</f>
        <v>monster/10005.png</v>
      </c>
      <c r="G9">
        <f>monster.xml!Y13</f>
        <v>0</v>
      </c>
    </row>
    <row r="10" spans="1:7">
      <c r="A10">
        <f>monster.xml!A14</f>
        <v>9</v>
      </c>
      <c r="B10">
        <f>monster.xml!B14</f>
        <v>2001</v>
      </c>
      <c r="C10">
        <f>monster.xml!C14</f>
        <v>4</v>
      </c>
      <c r="D10" t="str">
        <f>monster.xml!D14</f>
        <v>迪菲亚监工</v>
      </c>
      <c r="E10">
        <f>monster.xml!G14</f>
        <v>1001</v>
      </c>
      <c r="F10" t="str">
        <f>monster.xml!X14</f>
        <v>monster/10006.png</v>
      </c>
      <c r="G10">
        <f>monster.xml!Y14</f>
        <v>0</v>
      </c>
    </row>
    <row r="11" spans="1:7">
      <c r="A11">
        <f>monster.xml!A15</f>
        <v>10</v>
      </c>
      <c r="B11">
        <f>monster.xml!B15</f>
        <v>2001</v>
      </c>
      <c r="C11">
        <f>monster.xml!C15</f>
        <v>5</v>
      </c>
      <c r="D11" t="str">
        <f>monster.xml!D15</f>
        <v>迪菲亚法师</v>
      </c>
      <c r="E11">
        <f>monster.xml!G15</f>
        <v>1001</v>
      </c>
      <c r="F11" t="str">
        <f>monster.xml!X15</f>
        <v>monster/10007.png</v>
      </c>
      <c r="G11">
        <f>monster.xml!Y15</f>
        <v>0</v>
      </c>
    </row>
    <row r="12" spans="1:7">
      <c r="A12">
        <f>monster.xml!A16</f>
        <v>11</v>
      </c>
      <c r="B12">
        <f>monster.xml!B16</f>
        <v>2001</v>
      </c>
      <c r="C12">
        <f>monster.xml!C16</f>
        <v>6</v>
      </c>
      <c r="D12" t="str">
        <f>monster.xml!D16</f>
        <v>迪菲亚海盗</v>
      </c>
      <c r="E12">
        <f>monster.xml!G16</f>
        <v>1001</v>
      </c>
      <c r="F12" t="str">
        <f>monster.xml!X16</f>
        <v>monster/10008.png</v>
      </c>
      <c r="G12">
        <f>monster.xml!Y16</f>
        <v>0</v>
      </c>
    </row>
    <row r="13" spans="1:7">
      <c r="A13">
        <f>monster.xml!A17</f>
        <v>12</v>
      </c>
      <c r="B13">
        <f>monster.xml!B17</f>
        <v>2001</v>
      </c>
      <c r="C13">
        <f>monster.xml!C17</f>
        <v>5</v>
      </c>
      <c r="D13" t="str">
        <f>monster.xml!D17</f>
        <v>变异破坏者</v>
      </c>
      <c r="E13">
        <f>monster.xml!G17</f>
        <v>1001</v>
      </c>
      <c r="F13" t="str">
        <f>monster.xml!X17</f>
        <v>monster/10009.png</v>
      </c>
      <c r="G13">
        <f>monster.xml!Y17</f>
        <v>0</v>
      </c>
    </row>
    <row r="14" spans="1:7">
      <c r="A14">
        <f>monster.xml!A18</f>
        <v>13</v>
      </c>
      <c r="B14">
        <f>monster.xml!B18</f>
        <v>2001</v>
      </c>
      <c r="C14">
        <f>monster.xml!C18</f>
        <v>6</v>
      </c>
      <c r="D14" t="str">
        <f>monster.xml!D18</f>
        <v>大型软浆怪</v>
      </c>
      <c r="E14">
        <f>monster.xml!G18</f>
        <v>1001</v>
      </c>
      <c r="F14" t="str">
        <f>monster.xml!X18</f>
        <v>monster/10010.png</v>
      </c>
      <c r="G14">
        <f>monster.xml!Y18</f>
        <v>0</v>
      </c>
    </row>
    <row r="15" spans="1:7">
      <c r="A15">
        <f>monster.xml!A19</f>
        <v>14</v>
      </c>
      <c r="B15">
        <f>monster.xml!B19</f>
        <v>2001</v>
      </c>
      <c r="C15">
        <f>monster.xml!C19</f>
        <v>7</v>
      </c>
      <c r="D15" t="str">
        <f>monster.xml!D19</f>
        <v>剧毒飞蛇</v>
      </c>
      <c r="E15">
        <f>monster.xml!G19</f>
        <v>1001</v>
      </c>
      <c r="F15" t="str">
        <f>monster.xml!X19</f>
        <v>monster/10011.png</v>
      </c>
      <c r="G15">
        <f>monster.xml!Y19</f>
        <v>0</v>
      </c>
    </row>
    <row r="16" spans="1:7">
      <c r="A16">
        <f>monster.xml!A20</f>
        <v>15</v>
      </c>
      <c r="B16">
        <f>monster.xml!B20</f>
        <v>2001</v>
      </c>
      <c r="C16">
        <f>monster.xml!C20</f>
        <v>8</v>
      </c>
      <c r="D16" t="str">
        <f>monster.xml!D20</f>
        <v>尖牙德鲁伊</v>
      </c>
      <c r="E16">
        <f>monster.xml!G20</f>
        <v>1001</v>
      </c>
      <c r="F16" t="str">
        <f>monster.xml!X20</f>
        <v>monster/10012.png</v>
      </c>
      <c r="G16">
        <f>monster.xml!Y20</f>
        <v>0</v>
      </c>
    </row>
    <row r="17" spans="1:7">
      <c r="A17">
        <f>monster.xml!A21</f>
        <v>16</v>
      </c>
      <c r="B17">
        <f>monster.xml!B21</f>
        <v>2001</v>
      </c>
      <c r="C17">
        <f>monster.xml!C21</f>
        <v>7</v>
      </c>
      <c r="D17" t="str">
        <f>monster.xml!D21</f>
        <v>狼之鬼灵</v>
      </c>
      <c r="E17">
        <f>monster.xml!G21</f>
        <v>1001</v>
      </c>
      <c r="F17" t="str">
        <f>monster.xml!X21</f>
        <v>monster/10013.png</v>
      </c>
      <c r="G17">
        <f>monster.xml!Y21</f>
        <v>0</v>
      </c>
    </row>
    <row r="18" spans="1:7">
      <c r="A18">
        <f>monster.xml!A22</f>
        <v>17</v>
      </c>
      <c r="B18">
        <f>monster.xml!B22</f>
        <v>2001</v>
      </c>
      <c r="C18">
        <f>monster.xml!C22</f>
        <v>8</v>
      </c>
      <c r="D18" t="str">
        <f>monster.xml!D22</f>
        <v>怨骨掠夺者</v>
      </c>
      <c r="E18">
        <f>monster.xml!G22</f>
        <v>1001</v>
      </c>
      <c r="F18" t="str">
        <f>monster.xml!X22</f>
        <v>monster/10014.png</v>
      </c>
      <c r="G18">
        <f>monster.xml!Y22</f>
        <v>0</v>
      </c>
    </row>
    <row r="19" spans="1:7">
      <c r="A19">
        <f>monster.xml!A23</f>
        <v>18</v>
      </c>
      <c r="B19">
        <f>monster.xml!B23</f>
        <v>2001</v>
      </c>
      <c r="C19">
        <f>monster.xml!C23</f>
        <v>9</v>
      </c>
      <c r="D19" t="str">
        <f>monster.xml!D23</f>
        <v>狂躁恶鬼</v>
      </c>
      <c r="E19">
        <f>monster.xml!G23</f>
        <v>1001</v>
      </c>
      <c r="F19" t="str">
        <f>monster.xml!X23</f>
        <v>monster/10015.png</v>
      </c>
      <c r="G19">
        <f>monster.xml!Y23</f>
        <v>0</v>
      </c>
    </row>
    <row r="20" spans="1:7">
      <c r="A20">
        <f>monster.xml!A24</f>
        <v>19</v>
      </c>
      <c r="B20">
        <f>monster.xml!B24</f>
        <v>2001</v>
      </c>
      <c r="C20">
        <f>monster.xml!C24</f>
        <v>10</v>
      </c>
      <c r="D20" t="str">
        <f>monster.xml!D24</f>
        <v>鬼怪仆从</v>
      </c>
      <c r="E20">
        <f>monster.xml!G24</f>
        <v>1001</v>
      </c>
      <c r="F20" t="str">
        <f>monster.xml!X24</f>
        <v>monster/10016.png</v>
      </c>
      <c r="G20">
        <f>monster.xml!Y24</f>
        <v>0</v>
      </c>
    </row>
    <row r="21" spans="1:7">
      <c r="A21">
        <f>monster.xml!A25</f>
        <v>20</v>
      </c>
      <c r="B21">
        <f>monster.xml!B25</f>
        <v>2001</v>
      </c>
      <c r="C21">
        <f>monster.xml!C25</f>
        <v>9</v>
      </c>
      <c r="D21" t="str">
        <f>monster.xml!D25</f>
        <v>腐根萨特</v>
      </c>
      <c r="E21">
        <f>monster.xml!G25</f>
        <v>1001</v>
      </c>
      <c r="F21" t="str">
        <f>monster.xml!X25</f>
        <v>monster/10017.png</v>
      </c>
      <c r="G21">
        <f>monster.xml!Y25</f>
        <v>0</v>
      </c>
    </row>
    <row r="22" spans="1:7">
      <c r="A22">
        <f>monster.xml!A26</f>
        <v>21</v>
      </c>
      <c r="B22">
        <f>monster.xml!B26</f>
        <v>2001</v>
      </c>
      <c r="C22">
        <f>monster.xml!C26</f>
        <v>10</v>
      </c>
      <c r="D22" t="str">
        <f>monster.xml!D26</f>
        <v>盲光鱼人</v>
      </c>
      <c r="E22">
        <f>monster.xml!G26</f>
        <v>1001</v>
      </c>
      <c r="F22" t="str">
        <f>monster.xml!X26</f>
        <v>monster/10018.png</v>
      </c>
      <c r="G22">
        <f>monster.xml!Y26</f>
        <v>0</v>
      </c>
    </row>
    <row r="23" spans="1:7">
      <c r="A23">
        <f>monster.xml!A27</f>
        <v>22</v>
      </c>
      <c r="B23">
        <f>monster.xml!B27</f>
        <v>2001</v>
      </c>
      <c r="C23">
        <f>monster.xml!C27</f>
        <v>11</v>
      </c>
      <c r="D23" t="str">
        <f>monster.xml!D27</f>
        <v>暮光劫掠者</v>
      </c>
      <c r="E23">
        <f>monster.xml!G27</f>
        <v>1001</v>
      </c>
      <c r="F23" t="str">
        <f>monster.xml!X27</f>
        <v>monster/10019.png</v>
      </c>
      <c r="G23">
        <f>monster.xml!Y27</f>
        <v>0</v>
      </c>
    </row>
    <row r="24" spans="1:7">
      <c r="A24">
        <f>monster.xml!A28</f>
        <v>23</v>
      </c>
      <c r="B24">
        <f>monster.xml!B28</f>
        <v>2001</v>
      </c>
      <c r="C24">
        <f>monster.xml!C28</f>
        <v>12</v>
      </c>
      <c r="D24" t="str">
        <f>monster.xml!D28</f>
        <v>深渊海巫</v>
      </c>
      <c r="E24">
        <f>monster.xml!G28</f>
        <v>1001</v>
      </c>
      <c r="F24" t="str">
        <f>monster.xml!X28</f>
        <v>monster/10020.png</v>
      </c>
      <c r="G24">
        <f>monster.xml!Y28</f>
        <v>0</v>
      </c>
    </row>
    <row r="25" spans="1:7">
      <c r="A25">
        <f>monster.xml!A29</f>
        <v>24</v>
      </c>
      <c r="B25">
        <f>monster.xml!B29</f>
        <v>2001</v>
      </c>
      <c r="C25">
        <f>monster.xml!C29</f>
        <v>11</v>
      </c>
      <c r="D25" t="str">
        <f>monster.xml!D29</f>
        <v>残忍的暴徒</v>
      </c>
      <c r="E25">
        <f>monster.xml!G29</f>
        <v>1001</v>
      </c>
      <c r="F25" t="str">
        <f>monster.xml!X29</f>
        <v>monster/10021.png</v>
      </c>
      <c r="G25">
        <f>monster.xml!Y29</f>
        <v>0</v>
      </c>
    </row>
    <row r="26" spans="1:7">
      <c r="A26">
        <f>monster.xml!A30</f>
        <v>25</v>
      </c>
      <c r="B26">
        <f>monster.xml!B30</f>
        <v>2001</v>
      </c>
      <c r="C26">
        <f>monster.xml!C30</f>
        <v>12</v>
      </c>
      <c r="D26" t="str">
        <f>monster.xml!D30</f>
        <v>狡猾的盗贼</v>
      </c>
      <c r="E26">
        <f>monster.xml!G30</f>
        <v>1001</v>
      </c>
      <c r="F26" t="str">
        <f>monster.xml!X30</f>
        <v>monster/10022.png</v>
      </c>
      <c r="G26">
        <f>monster.xml!Y30</f>
        <v>0</v>
      </c>
    </row>
    <row r="27" spans="1:7">
      <c r="A27">
        <f>monster.xml!A31</f>
        <v>26</v>
      </c>
      <c r="B27">
        <f>monster.xml!B31</f>
        <v>2001</v>
      </c>
      <c r="C27">
        <f>monster.xml!C31</f>
        <v>13</v>
      </c>
      <c r="D27" t="str">
        <f>monster.xml!D31</f>
        <v>河爪掠夺者</v>
      </c>
      <c r="E27">
        <f>monster.xml!G31</f>
        <v>1001</v>
      </c>
      <c r="F27" t="str">
        <f>monster.xml!X31</f>
        <v>monster/10023.png</v>
      </c>
      <c r="G27">
        <f>monster.xml!Y31</f>
        <v>0</v>
      </c>
    </row>
    <row r="28" spans="1:7">
      <c r="A28">
        <f>monster.xml!A32</f>
        <v>27</v>
      </c>
      <c r="B28">
        <f>monster.xml!B32</f>
        <v>2001</v>
      </c>
      <c r="C28">
        <f>monster.xml!C32</f>
        <v>14</v>
      </c>
      <c r="D28" t="str">
        <f>monster.xml!D32</f>
        <v>狂怒炉渣</v>
      </c>
      <c r="E28">
        <f>monster.xml!G32</f>
        <v>1001</v>
      </c>
      <c r="F28" t="str">
        <f>monster.xml!X32</f>
        <v>monster/10024.png</v>
      </c>
      <c r="G28">
        <f>monster.xml!Y32</f>
        <v>0</v>
      </c>
    </row>
    <row r="29" spans="1:7">
      <c r="A29">
        <f>monster.xml!A33</f>
        <v>28</v>
      </c>
      <c r="B29">
        <f>monster.xml!B33</f>
        <v>2001</v>
      </c>
      <c r="C29">
        <f>monster.xml!C33</f>
        <v>13</v>
      </c>
      <c r="D29" t="str">
        <f>monster.xml!D33</f>
        <v>沼泽蝙蝠</v>
      </c>
      <c r="E29">
        <f>monster.xml!G33</f>
        <v>1001</v>
      </c>
      <c r="F29" t="str">
        <f>monster.xml!X33</f>
        <v>monster/10025.png</v>
      </c>
      <c r="G29">
        <f>monster.xml!Y33</f>
        <v>0</v>
      </c>
    </row>
    <row r="30" spans="1:7">
      <c r="A30">
        <f>monster.xml!A34</f>
        <v>29</v>
      </c>
      <c r="B30">
        <f>monster.xml!B34</f>
        <v>2001</v>
      </c>
      <c r="C30">
        <f>monster.xml!C34</f>
        <v>14</v>
      </c>
      <c r="D30" t="str">
        <f>monster.xml!D34</f>
        <v>野猪人勇士</v>
      </c>
      <c r="E30">
        <f>monster.xml!G34</f>
        <v>1001</v>
      </c>
      <c r="F30" t="str">
        <f>monster.xml!X34</f>
        <v>monster/10026.png</v>
      </c>
      <c r="G30">
        <f>monster.xml!Y34</f>
        <v>0</v>
      </c>
    </row>
    <row r="31" spans="1:7">
      <c r="A31">
        <f>monster.xml!A35</f>
        <v>30</v>
      </c>
      <c r="B31">
        <f>monster.xml!B35</f>
        <v>2001</v>
      </c>
      <c r="C31">
        <f>monster.xml!C35</f>
        <v>15</v>
      </c>
      <c r="D31" t="str">
        <f>monster.xml!D35</f>
        <v>沼泽卫兵</v>
      </c>
      <c r="E31">
        <f>monster.xml!G35</f>
        <v>1001</v>
      </c>
      <c r="F31" t="str">
        <f>monster.xml!X35</f>
        <v>monster/10027.png</v>
      </c>
      <c r="G31">
        <f>monster.xml!Y35</f>
        <v>0</v>
      </c>
    </row>
    <row r="32" spans="1:7">
      <c r="A32">
        <f>monster.xml!A36</f>
        <v>31</v>
      </c>
      <c r="B32">
        <f>monster.xml!B36</f>
        <v>2001</v>
      </c>
      <c r="C32">
        <f>monster.xml!C36</f>
        <v>16</v>
      </c>
      <c r="D32" t="str">
        <f>monster.xml!D36</f>
        <v>沼泽地卜师</v>
      </c>
      <c r="E32">
        <f>monster.xml!G36</f>
        <v>1001</v>
      </c>
      <c r="F32" t="str">
        <f>monster.xml!X36</f>
        <v>monster/10028.png</v>
      </c>
      <c r="G32">
        <f>monster.xml!Y36</f>
        <v>0</v>
      </c>
    </row>
    <row r="33" spans="1:7">
      <c r="A33">
        <f>monster.xml!A37</f>
        <v>32</v>
      </c>
      <c r="B33">
        <f>monster.xml!B37</f>
        <v>2001</v>
      </c>
      <c r="C33">
        <f>monster.xml!C37</f>
        <v>15</v>
      </c>
      <c r="D33" t="str">
        <f>monster.xml!D37</f>
        <v>麻风助手</v>
      </c>
      <c r="E33">
        <f>monster.xml!G37</f>
        <v>1001</v>
      </c>
      <c r="F33" t="str">
        <f>monster.xml!X37</f>
        <v>monster/10029.png</v>
      </c>
      <c r="G33">
        <f>monster.xml!Y37</f>
        <v>0</v>
      </c>
    </row>
    <row r="34" spans="1:7">
      <c r="A34">
        <f>monster.xml!A38</f>
        <v>33</v>
      </c>
      <c r="B34">
        <f>monster.xml!B38</f>
        <v>2001</v>
      </c>
      <c r="C34">
        <f>monster.xml!C38</f>
        <v>16</v>
      </c>
      <c r="D34" t="str">
        <f>monster.xml!D38</f>
        <v>辐射水元素</v>
      </c>
      <c r="E34">
        <f>monster.xml!G38</f>
        <v>1001</v>
      </c>
      <c r="F34" t="str">
        <f>monster.xml!X38</f>
        <v>monster/10030.png</v>
      </c>
      <c r="G34">
        <f>monster.xml!Y38</f>
        <v>0</v>
      </c>
    </row>
    <row r="35" spans="1:7">
      <c r="A35">
        <f>monster.xml!A39</f>
        <v>34</v>
      </c>
      <c r="B35">
        <f>monster.xml!B39</f>
        <v>2001</v>
      </c>
      <c r="C35">
        <f>monster.xml!C39</f>
        <v>17</v>
      </c>
      <c r="D35" t="str">
        <f>monster.xml!D39</f>
        <v>麻风机械师</v>
      </c>
      <c r="E35">
        <f>monster.xml!G39</f>
        <v>1001</v>
      </c>
      <c r="F35" t="str">
        <f>monster.xml!X39</f>
        <v>monster/10031.png</v>
      </c>
      <c r="G35">
        <f>monster.xml!Y39</f>
        <v>0</v>
      </c>
    </row>
    <row r="36" spans="1:7">
      <c r="A36">
        <f>monster.xml!A40</f>
        <v>35</v>
      </c>
      <c r="B36">
        <f>monster.xml!B40</f>
        <v>2001</v>
      </c>
      <c r="C36">
        <f>monster.xml!C40</f>
        <v>18</v>
      </c>
      <c r="D36" t="str">
        <f>monster.xml!D40</f>
        <v>步行坦克</v>
      </c>
      <c r="E36">
        <f>monster.xml!G40</f>
        <v>1001</v>
      </c>
      <c r="F36" t="str">
        <f>monster.xml!X40</f>
        <v>monster/10032.png</v>
      </c>
      <c r="G36">
        <f>monster.xml!Y40</f>
        <v>0</v>
      </c>
    </row>
    <row r="37" spans="1:7">
      <c r="A37">
        <f>monster.xml!A41</f>
        <v>36</v>
      </c>
      <c r="B37">
        <f>monster.xml!B41</f>
        <v>2001</v>
      </c>
      <c r="C37">
        <f>monster.xml!C41</f>
        <v>17</v>
      </c>
      <c r="D37" t="str">
        <f>monster.xml!D41</f>
        <v>血色哨兵</v>
      </c>
      <c r="E37">
        <f>monster.xml!G41</f>
        <v>1001</v>
      </c>
      <c r="F37" t="str">
        <f>monster.xml!X41</f>
        <v>monster/10033.png</v>
      </c>
      <c r="G37">
        <f>monster.xml!Y41</f>
        <v>0</v>
      </c>
    </row>
    <row r="38" spans="1:7">
      <c r="A38">
        <f>monster.xml!A42</f>
        <v>37</v>
      </c>
      <c r="B38">
        <f>monster.xml!B42</f>
        <v>2001</v>
      </c>
      <c r="C38">
        <f>monster.xml!C42</f>
        <v>18</v>
      </c>
      <c r="D38" t="str">
        <f>monster.xml!D42</f>
        <v>十字军战士</v>
      </c>
      <c r="E38">
        <f>monster.xml!G42</f>
        <v>1001</v>
      </c>
      <c r="F38" t="str">
        <f>monster.xml!X42</f>
        <v>monster/10034.png</v>
      </c>
      <c r="G38">
        <f>monster.xml!Y42</f>
        <v>0</v>
      </c>
    </row>
    <row r="39" spans="1:7">
      <c r="A39">
        <f>monster.xml!A43</f>
        <v>38</v>
      </c>
      <c r="B39">
        <f>monster.xml!B43</f>
        <v>2001</v>
      </c>
      <c r="C39">
        <f>monster.xml!C43</f>
        <v>19</v>
      </c>
      <c r="D39" t="str">
        <f>monster.xml!D43</f>
        <v>血色修士</v>
      </c>
      <c r="E39">
        <f>monster.xml!G43</f>
        <v>1001</v>
      </c>
      <c r="F39" t="str">
        <f>monster.xml!X43</f>
        <v>monster/10035.png</v>
      </c>
      <c r="G39">
        <f>monster.xml!Y43</f>
        <v>0</v>
      </c>
    </row>
    <row r="40" spans="1:7">
      <c r="A40">
        <f>monster.xml!A44</f>
        <v>39</v>
      </c>
      <c r="B40">
        <f>monster.xml!B44</f>
        <v>2001</v>
      </c>
      <c r="C40">
        <f>monster.xml!C44</f>
        <v>20</v>
      </c>
      <c r="D40" t="str">
        <f>monster.xml!D44</f>
        <v>血色百夫长</v>
      </c>
      <c r="E40">
        <f>monster.xml!G44</f>
        <v>1001</v>
      </c>
      <c r="F40" t="str">
        <f>monster.xml!X44</f>
        <v>monster/10036.png</v>
      </c>
      <c r="G40">
        <f>monster.xml!Y44</f>
        <v>0</v>
      </c>
    </row>
    <row r="41" spans="1:7">
      <c r="A41">
        <f>monster.xml!A45</f>
        <v>40</v>
      </c>
      <c r="B41">
        <f>monster.xml!B45</f>
        <v>2001</v>
      </c>
      <c r="C41">
        <f>monster.xml!C45</f>
        <v>19</v>
      </c>
      <c r="D41" t="str">
        <f>monster.xml!D45</f>
        <v>碎骨战士</v>
      </c>
      <c r="E41">
        <f>monster.xml!G45</f>
        <v>1001</v>
      </c>
      <c r="F41" t="str">
        <f>monster.xml!X45</f>
        <v>monster/10037.png</v>
      </c>
      <c r="G41">
        <f>monster.xml!Y45</f>
        <v>0</v>
      </c>
    </row>
    <row r="42" spans="1:7">
      <c r="A42">
        <f>monster.xml!A46</f>
        <v>41</v>
      </c>
      <c r="B42">
        <f>monster.xml!B46</f>
        <v>2001</v>
      </c>
      <c r="C42">
        <f>monster.xml!C46</f>
        <v>20</v>
      </c>
      <c r="D42" t="str">
        <f>monster.xml!D46</f>
        <v>碎骨骷髅</v>
      </c>
      <c r="E42">
        <f>monster.xml!G46</f>
        <v>1001</v>
      </c>
      <c r="F42" t="str">
        <f>monster.xml!X46</f>
        <v>monster/10038.png</v>
      </c>
      <c r="G42">
        <f>monster.xml!Y46</f>
        <v>0</v>
      </c>
    </row>
    <row r="43" spans="1:7">
      <c r="A43">
        <f>monster.xml!A47</f>
        <v>42</v>
      </c>
      <c r="B43">
        <f>monster.xml!B47</f>
        <v>2001</v>
      </c>
      <c r="C43">
        <f>monster.xml!C47</f>
        <v>21</v>
      </c>
      <c r="D43" t="str">
        <f>monster.xml!D47</f>
        <v>亡首地卜师</v>
      </c>
      <c r="E43">
        <f>monster.xml!G47</f>
        <v>1001</v>
      </c>
      <c r="F43" t="str">
        <f>monster.xml!X47</f>
        <v>monster/10039.png</v>
      </c>
      <c r="G43">
        <f>monster.xml!Y47</f>
        <v>0</v>
      </c>
    </row>
    <row r="44" spans="1:7">
      <c r="A44">
        <f>monster.xml!A48</f>
        <v>43</v>
      </c>
      <c r="B44">
        <f>monster.xml!B48</f>
        <v>2001</v>
      </c>
      <c r="C44">
        <f>monster.xml!C48</f>
        <v>22</v>
      </c>
      <c r="D44" t="str">
        <f>monster.xml!D48</f>
        <v>骷髅召唤者</v>
      </c>
      <c r="E44">
        <f>monster.xml!G48</f>
        <v>1001</v>
      </c>
      <c r="F44" t="str">
        <f>monster.xml!X48</f>
        <v>monster/10040.png</v>
      </c>
      <c r="G44">
        <f>monster.xml!Y48</f>
        <v>0</v>
      </c>
    </row>
    <row r="45" spans="1:7">
      <c r="A45">
        <f>monster.xml!A49</f>
        <v>44</v>
      </c>
      <c r="B45">
        <f>monster.xml!B49</f>
        <v>2001</v>
      </c>
      <c r="C45">
        <f>monster.xml!C49</f>
        <v>21</v>
      </c>
      <c r="D45" t="str">
        <f>monster.xml!D49</f>
        <v>石窟潜伏者</v>
      </c>
      <c r="E45">
        <f>monster.xml!G49</f>
        <v>1001</v>
      </c>
      <c r="F45" t="str">
        <f>monster.xml!X49</f>
        <v>monster/10041.png</v>
      </c>
      <c r="G45">
        <f>monster.xml!Y49</f>
        <v>0</v>
      </c>
    </row>
    <row r="46" spans="1:7">
      <c r="A46">
        <f>monster.xml!A50</f>
        <v>45</v>
      </c>
      <c r="B46">
        <f>monster.xml!B50</f>
        <v>2001</v>
      </c>
      <c r="C46">
        <f>monster.xml!C50</f>
        <v>22</v>
      </c>
      <c r="D46" t="str">
        <f>monster.xml!D50</f>
        <v>土灵碎岩者</v>
      </c>
      <c r="E46">
        <f>monster.xml!G50</f>
        <v>1001</v>
      </c>
      <c r="F46" t="str">
        <f>monster.xml!X50</f>
        <v>monster/10042.png</v>
      </c>
      <c r="G46">
        <f>monster.xml!Y50</f>
        <v>0</v>
      </c>
    </row>
    <row r="47" spans="1:7">
      <c r="A47">
        <f>monster.xml!A51</f>
        <v>46</v>
      </c>
      <c r="B47">
        <f>monster.xml!B51</f>
        <v>2001</v>
      </c>
      <c r="C47">
        <f>monster.xml!C51</f>
        <v>23</v>
      </c>
      <c r="D47" t="str">
        <f>monster.xml!D51</f>
        <v>石头看守者</v>
      </c>
      <c r="E47">
        <f>monster.xml!G51</f>
        <v>1001</v>
      </c>
      <c r="F47" t="str">
        <f>monster.xml!X51</f>
        <v>monster/10043.png</v>
      </c>
      <c r="G47">
        <f>monster.xml!Y51</f>
        <v>0</v>
      </c>
    </row>
    <row r="48" spans="1:7">
      <c r="A48">
        <f>monster.xml!A52</f>
        <v>47</v>
      </c>
      <c r="B48">
        <f>monster.xml!B52</f>
        <v>2001</v>
      </c>
      <c r="C48">
        <f>monster.xml!C52</f>
        <v>24</v>
      </c>
      <c r="D48" t="str">
        <f>monster.xml!D52</f>
        <v>宝库守卫者</v>
      </c>
      <c r="E48">
        <f>monster.xml!G52</f>
        <v>1001</v>
      </c>
      <c r="F48" t="str">
        <f>monster.xml!X52</f>
        <v>monster/10044.png</v>
      </c>
      <c r="G48">
        <f>monster.xml!Y52</f>
        <v>0</v>
      </c>
    </row>
    <row r="49" spans="1:7">
      <c r="A49">
        <f>monster.xml!A53</f>
        <v>48</v>
      </c>
      <c r="B49">
        <f>monster.xml!B53</f>
        <v>2001</v>
      </c>
      <c r="C49">
        <f>monster.xml!C53</f>
        <v>23</v>
      </c>
      <c r="D49" t="str">
        <f>monster.xml!D53</f>
        <v>法拉克僵尸</v>
      </c>
      <c r="E49">
        <f>monster.xml!G53</f>
        <v>1001</v>
      </c>
      <c r="F49" t="str">
        <f>monster.xml!X53</f>
        <v>monster/10045.png</v>
      </c>
      <c r="G49">
        <f>monster.xml!Y53</f>
        <v>0</v>
      </c>
    </row>
    <row r="50" spans="1:7">
      <c r="A50">
        <f>monster.xml!A54</f>
        <v>49</v>
      </c>
      <c r="B50">
        <f>monster.xml!B54</f>
        <v>2001</v>
      </c>
      <c r="C50">
        <f>monster.xml!C54</f>
        <v>24</v>
      </c>
      <c r="D50" t="str">
        <f>monster.xml!D54</f>
        <v>沙怒刽子手</v>
      </c>
      <c r="E50">
        <f>monster.xml!G54</f>
        <v>1001</v>
      </c>
      <c r="F50" t="str">
        <f>monster.xml!X54</f>
        <v>monster/10046.png</v>
      </c>
      <c r="G50">
        <f>monster.xml!Y54</f>
        <v>0</v>
      </c>
    </row>
    <row r="51" spans="1:7">
      <c r="A51">
        <f>monster.xml!A55</f>
        <v>50</v>
      </c>
      <c r="B51">
        <f>monster.xml!B55</f>
        <v>2001</v>
      </c>
      <c r="C51">
        <f>monster.xml!C55</f>
        <v>25</v>
      </c>
      <c r="D51" t="str">
        <f>monster.xml!D55</f>
        <v>沙怒巫医</v>
      </c>
      <c r="E51">
        <f>monster.xml!G55</f>
        <v>1001</v>
      </c>
      <c r="F51" t="str">
        <f>monster.xml!X55</f>
        <v>monster/10047.png</v>
      </c>
      <c r="G51">
        <f>monster.xml!Y55</f>
        <v>0</v>
      </c>
    </row>
    <row r="52" spans="1:7">
      <c r="A52">
        <f>monster.xml!A56</f>
        <v>51</v>
      </c>
      <c r="B52">
        <f>monster.xml!B56</f>
        <v>2001</v>
      </c>
      <c r="C52">
        <f>monster.xml!C56</f>
        <v>26</v>
      </c>
      <c r="D52" t="str">
        <f>monster.xml!D56</f>
        <v>暗影猎手</v>
      </c>
      <c r="E52">
        <f>monster.xml!G56</f>
        <v>1001</v>
      </c>
      <c r="F52" t="str">
        <f>monster.xml!X56</f>
        <v>monster/10048.png</v>
      </c>
      <c r="G52">
        <f>monster.xml!Y56</f>
        <v>0</v>
      </c>
    </row>
    <row r="53" spans="1:7">
      <c r="A53">
        <f>monster.xml!A57</f>
        <v>52</v>
      </c>
      <c r="B53">
        <f>monster.xml!B57</f>
        <v>2001</v>
      </c>
      <c r="C53">
        <f>monster.xml!C57</f>
        <v>25</v>
      </c>
      <c r="D53" t="str">
        <f>monster.xml!D57</f>
        <v>深岩虫</v>
      </c>
      <c r="E53">
        <f>monster.xml!G57</f>
        <v>1001</v>
      </c>
      <c r="F53" t="str">
        <f>monster.xml!X57</f>
        <v>monster/10049.png</v>
      </c>
      <c r="G53">
        <f>monster.xml!Y57</f>
        <v>0</v>
      </c>
    </row>
    <row r="54" spans="1:7">
      <c r="A54">
        <f>monster.xml!A58</f>
        <v>53</v>
      </c>
      <c r="B54">
        <f>monster.xml!B58</f>
        <v>2001</v>
      </c>
      <c r="C54">
        <f>monster.xml!C58</f>
        <v>26</v>
      </c>
      <c r="D54" t="str">
        <f>monster.xml!D58</f>
        <v>腐烂萨特</v>
      </c>
      <c r="E54">
        <f>monster.xml!G58</f>
        <v>1001</v>
      </c>
      <c r="F54" t="str">
        <f>monster.xml!X58</f>
        <v>monster/10050.png</v>
      </c>
      <c r="G54">
        <f>monster.xml!Y58</f>
        <v>0</v>
      </c>
    </row>
    <row r="55" spans="1:7">
      <c r="A55">
        <f>monster.xml!A59</f>
        <v>54</v>
      </c>
      <c r="B55">
        <f>monster.xml!B59</f>
        <v>2001</v>
      </c>
      <c r="C55">
        <f>monster.xml!C59</f>
        <v>27</v>
      </c>
      <c r="D55" t="str">
        <f>monster.xml!D59</f>
        <v>诅咒半人马</v>
      </c>
      <c r="E55">
        <f>monster.xml!G59</f>
        <v>1001</v>
      </c>
      <c r="F55" t="str">
        <f>monster.xml!X59</f>
        <v>monster/10051.png</v>
      </c>
      <c r="G55">
        <f>monster.xml!Y59</f>
        <v>0</v>
      </c>
    </row>
    <row r="56" spans="1:7">
      <c r="A56">
        <f>monster.xml!A60</f>
        <v>55</v>
      </c>
      <c r="B56">
        <f>monster.xml!B60</f>
        <v>2001</v>
      </c>
      <c r="C56">
        <f>monster.xml!C60</f>
        <v>28</v>
      </c>
      <c r="D56" t="str">
        <f>monster.xml!D60</f>
        <v>石岩卫士</v>
      </c>
      <c r="E56">
        <f>monster.xml!G60</f>
        <v>1001</v>
      </c>
      <c r="F56" t="str">
        <f>monster.xml!X60</f>
        <v>monster/10052.png</v>
      </c>
      <c r="G56">
        <f>monster.xml!Y60</f>
        <v>0</v>
      </c>
    </row>
    <row r="57" spans="1:7">
      <c r="A57">
        <f>monster.xml!A61</f>
        <v>56</v>
      </c>
      <c r="B57">
        <f>monster.xml!B61</f>
        <v>2001</v>
      </c>
      <c r="C57">
        <f>monster.xml!C61</f>
        <v>27</v>
      </c>
      <c r="D57" t="str">
        <f>monster.xml!D61</f>
        <v>诅咒巨魔</v>
      </c>
      <c r="E57">
        <f>monster.xml!G61</f>
        <v>1001</v>
      </c>
      <c r="F57" t="str">
        <f>monster.xml!X61</f>
        <v>monster/10053.png</v>
      </c>
      <c r="G57">
        <f>monster.xml!Y61</f>
        <v>0</v>
      </c>
    </row>
    <row r="58" spans="1:7">
      <c r="A58">
        <f>monster.xml!A62</f>
        <v>57</v>
      </c>
      <c r="B58">
        <f>monster.xml!B62</f>
        <v>2001</v>
      </c>
      <c r="C58">
        <f>monster.xml!C62</f>
        <v>28</v>
      </c>
      <c r="D58" t="str">
        <f>monster.xml!D62</f>
        <v>死亡行者</v>
      </c>
      <c r="E58">
        <f>monster.xml!G62</f>
        <v>1001</v>
      </c>
      <c r="F58" t="str">
        <f>monster.xml!X62</f>
        <v>monster/10054.png</v>
      </c>
      <c r="G58">
        <f>monster.xml!Y62</f>
        <v>0</v>
      </c>
    </row>
    <row r="59" spans="1:7">
      <c r="A59">
        <f>monster.xml!A63</f>
        <v>58</v>
      </c>
      <c r="B59">
        <f>monster.xml!B63</f>
        <v>2001</v>
      </c>
      <c r="C59">
        <f>monster.xml!C63</f>
        <v>29</v>
      </c>
      <c r="D59" t="str">
        <f>monster.xml!D63</f>
        <v>噩梦雏龙</v>
      </c>
      <c r="E59">
        <f>monster.xml!G63</f>
        <v>1001</v>
      </c>
      <c r="F59" t="str">
        <f>monster.xml!X63</f>
        <v>monster/10055.png</v>
      </c>
      <c r="G59">
        <f>monster.xml!Y63</f>
        <v>0</v>
      </c>
    </row>
    <row r="60" spans="1:7">
      <c r="A60">
        <f>monster.xml!A64</f>
        <v>59</v>
      </c>
      <c r="B60">
        <f>monster.xml!B64</f>
        <v>2001</v>
      </c>
      <c r="C60">
        <f>monster.xml!C64</f>
        <v>30</v>
      </c>
      <c r="D60" t="str">
        <f>monster.xml!D64</f>
        <v>噩梦龙族</v>
      </c>
      <c r="E60">
        <f>monster.xml!G64</f>
        <v>1001</v>
      </c>
      <c r="F60" t="str">
        <f>monster.xml!X64</f>
        <v>monster/10056.png</v>
      </c>
      <c r="G60">
        <f>monster.xml!Y64</f>
        <v>0</v>
      </c>
    </row>
    <row r="61" spans="1:7">
      <c r="A61">
        <f>monster.xml!A65</f>
        <v>60</v>
      </c>
      <c r="B61">
        <f>monster.xml!B65</f>
        <v>2001</v>
      </c>
      <c r="C61">
        <f>monster.xml!C65</f>
        <v>29</v>
      </c>
      <c r="D61" t="str">
        <f>monster.xml!D65</f>
        <v>荒野小鬼</v>
      </c>
      <c r="E61">
        <f>monster.xml!G65</f>
        <v>1001</v>
      </c>
      <c r="F61" t="str">
        <f>monster.xml!X65</f>
        <v>monster/10057.png</v>
      </c>
      <c r="G61">
        <f>monster.xml!Y65</f>
        <v>0</v>
      </c>
    </row>
    <row r="62" spans="1:7">
      <c r="A62">
        <f>monster.xml!A66</f>
        <v>61</v>
      </c>
      <c r="B62">
        <f>monster.xml!B66</f>
        <v>2001</v>
      </c>
      <c r="C62">
        <f>monster.xml!C66</f>
        <v>30</v>
      </c>
      <c r="D62" t="str">
        <f>monster.xml!D66</f>
        <v>精灵怨灵</v>
      </c>
      <c r="E62">
        <f>monster.xml!G66</f>
        <v>1001</v>
      </c>
      <c r="F62" t="str">
        <f>monster.xml!X66</f>
        <v>monster/10058.png</v>
      </c>
      <c r="G62">
        <f>monster.xml!Y66</f>
        <v>0</v>
      </c>
    </row>
    <row r="63" spans="1:7">
      <c r="A63">
        <f>monster.xml!A67</f>
        <v>62</v>
      </c>
      <c r="B63">
        <f>monster.xml!B67</f>
        <v>2001</v>
      </c>
      <c r="C63">
        <f>monster.xml!C67</f>
        <v>31</v>
      </c>
      <c r="D63" t="str">
        <f>monster.xml!D67</f>
        <v>戈多克蛮兵</v>
      </c>
      <c r="E63">
        <f>monster.xml!G67</f>
        <v>1001</v>
      </c>
      <c r="F63" t="str">
        <f>monster.xml!X67</f>
        <v>monster/10059.png</v>
      </c>
      <c r="G63">
        <f>monster.xml!Y67</f>
        <v>0</v>
      </c>
    </row>
    <row r="64" spans="1:7">
      <c r="A64">
        <f>monster.xml!A68</f>
        <v>63</v>
      </c>
      <c r="B64">
        <f>monster.xml!B68</f>
        <v>2001</v>
      </c>
      <c r="C64">
        <f>monster.xml!C68</f>
        <v>32</v>
      </c>
      <c r="D64" t="str">
        <f>monster.xml!D68</f>
        <v>扭木守护者</v>
      </c>
      <c r="E64">
        <f>monster.xml!G68</f>
        <v>1001</v>
      </c>
      <c r="F64" t="str">
        <f>monster.xml!X68</f>
        <v>monster/10060.png</v>
      </c>
      <c r="G64">
        <f>monster.xml!Y68</f>
        <v>0</v>
      </c>
    </row>
    <row r="65" spans="1:7">
      <c r="A65">
        <f>monster.xml!A69</f>
        <v>64</v>
      </c>
      <c r="B65">
        <f>monster.xml!B69</f>
        <v>2001</v>
      </c>
      <c r="C65">
        <f>monster.xml!C69</f>
        <v>31</v>
      </c>
      <c r="D65" t="str">
        <f>monster.xml!D69</f>
        <v>铁怒卫士</v>
      </c>
      <c r="E65">
        <f>monster.xml!G69</f>
        <v>1001</v>
      </c>
      <c r="F65" t="str">
        <f>monster.xml!X69</f>
        <v>monster/10061.png</v>
      </c>
      <c r="G65">
        <f>monster.xml!Y69</f>
        <v>0</v>
      </c>
    </row>
    <row r="66" spans="1:7">
      <c r="A66">
        <f>monster.xml!A70</f>
        <v>65</v>
      </c>
      <c r="B66">
        <f>monster.xml!B70</f>
        <v>2001</v>
      </c>
      <c r="C66">
        <f>monster.xml!C70</f>
        <v>32</v>
      </c>
      <c r="D66" t="str">
        <f>monster.xml!D70</f>
        <v>黑暗卫兵</v>
      </c>
      <c r="E66">
        <f>monster.xml!G70</f>
        <v>1001</v>
      </c>
      <c r="F66" t="str">
        <f>monster.xml!X70</f>
        <v>monster/10062.png</v>
      </c>
      <c r="G66">
        <f>monster.xml!Y70</f>
        <v>0</v>
      </c>
    </row>
    <row r="67" spans="1:7">
      <c r="A67">
        <f>monster.xml!A71</f>
        <v>66</v>
      </c>
      <c r="B67">
        <f>monster.xml!B71</f>
        <v>2001</v>
      </c>
      <c r="C67">
        <f>monster.xml!C71</f>
        <v>33</v>
      </c>
      <c r="D67" t="str">
        <f>monster.xml!D71</f>
        <v>恐怖奴隶主</v>
      </c>
      <c r="E67">
        <f>monster.xml!G71</f>
        <v>1001</v>
      </c>
      <c r="F67" t="str">
        <f>monster.xml!X71</f>
        <v>monster/10063.png</v>
      </c>
      <c r="G67">
        <f>monster.xml!Y71</f>
        <v>0</v>
      </c>
    </row>
    <row r="68" spans="1:7">
      <c r="A68">
        <f>monster.xml!A72</f>
        <v>67</v>
      </c>
      <c r="B68">
        <f>monster.xml!B72</f>
        <v>2001</v>
      </c>
      <c r="C68">
        <f>monster.xml!C72</f>
        <v>34</v>
      </c>
      <c r="D68" t="str">
        <f>monster.xml!D72</f>
        <v>战斗傀儡</v>
      </c>
      <c r="E68">
        <f>monster.xml!G72</f>
        <v>1001</v>
      </c>
      <c r="F68" t="str">
        <f>monster.xml!X72</f>
        <v>monster/10064.png</v>
      </c>
      <c r="G68">
        <f>monster.xml!Y72</f>
        <v>0</v>
      </c>
    </row>
    <row r="69" spans="1:7">
      <c r="A69">
        <f>monster.xml!A73</f>
        <v>68</v>
      </c>
      <c r="B69">
        <f>monster.xml!B73</f>
        <v>2001</v>
      </c>
      <c r="C69">
        <f>monster.xml!C73</f>
        <v>33</v>
      </c>
      <c r="D69" t="str">
        <f>monster.xml!D73</f>
        <v>无脑的骷髅</v>
      </c>
      <c r="E69">
        <f>monster.xml!G73</f>
        <v>1001</v>
      </c>
      <c r="F69" t="str">
        <f>monster.xml!X73</f>
        <v>monster/10065.png</v>
      </c>
      <c r="G69">
        <f>monster.xml!Y73</f>
        <v>0</v>
      </c>
    </row>
    <row r="70" spans="1:7">
      <c r="A70">
        <f>monster.xml!A74</f>
        <v>69</v>
      </c>
      <c r="B70">
        <f>monster.xml!B74</f>
        <v>2001</v>
      </c>
      <c r="C70">
        <f>monster.xml!C74</f>
        <v>34</v>
      </c>
      <c r="D70" t="str">
        <f>monster.xml!D74</f>
        <v>鲜肉食尸鬼</v>
      </c>
      <c r="E70">
        <f>monster.xml!G74</f>
        <v>1001</v>
      </c>
      <c r="F70" t="str">
        <f>monster.xml!X74</f>
        <v>monster/10066.png</v>
      </c>
      <c r="G70">
        <f>monster.xml!Y74</f>
        <v>0</v>
      </c>
    </row>
    <row r="71" spans="1:7">
      <c r="A71">
        <f>monster.xml!A75</f>
        <v>70</v>
      </c>
      <c r="B71">
        <f>monster.xml!B75</f>
        <v>2001</v>
      </c>
      <c r="C71">
        <f>monster.xml!C75</f>
        <v>35</v>
      </c>
      <c r="D71" t="str">
        <f>monster.xml!D75</f>
        <v>哀嚎的女妖</v>
      </c>
      <c r="E71">
        <f>monster.xml!G75</f>
        <v>1001</v>
      </c>
      <c r="F71" t="str">
        <f>monster.xml!X75</f>
        <v>monster/10067.png</v>
      </c>
      <c r="G71">
        <f>monster.xml!Y75</f>
        <v>0</v>
      </c>
    </row>
    <row r="72" spans="1:7">
      <c r="A72">
        <f>monster.xml!A76</f>
        <v>71</v>
      </c>
      <c r="B72">
        <f>monster.xml!B76</f>
        <v>2001</v>
      </c>
      <c r="C72">
        <f>monster.xml!C76</f>
        <v>36</v>
      </c>
      <c r="D72" t="str">
        <f>monster.xml!D76</f>
        <v>石翼石像鬼</v>
      </c>
      <c r="E72">
        <f>monster.xml!G76</f>
        <v>1001</v>
      </c>
      <c r="F72" t="str">
        <f>monster.xml!X76</f>
        <v>monster/10068.png</v>
      </c>
      <c r="G72">
        <f>monster.xml!Y76</f>
        <v>0</v>
      </c>
    </row>
    <row r="73" spans="1:7">
      <c r="A73">
        <f>monster.xml!A77</f>
        <v>72</v>
      </c>
      <c r="B73">
        <f>monster.xml!B77</f>
        <v>2001</v>
      </c>
      <c r="C73">
        <f>monster.xml!C77</f>
        <v>35</v>
      </c>
      <c r="D73" t="str">
        <f>monster.xml!D77</f>
        <v>复生的尸体</v>
      </c>
      <c r="E73">
        <f>monster.xml!G77</f>
        <v>1001</v>
      </c>
      <c r="F73" t="str">
        <f>monster.xml!X77</f>
        <v>monster/10069.png</v>
      </c>
      <c r="G73">
        <f>monster.xml!Y77</f>
        <v>0</v>
      </c>
    </row>
    <row r="74" spans="1:7">
      <c r="A74">
        <f>monster.xml!A78</f>
        <v>73</v>
      </c>
      <c r="B74">
        <f>monster.xml!B78</f>
        <v>2001</v>
      </c>
      <c r="C74">
        <f>monster.xml!C78</f>
        <v>36</v>
      </c>
      <c r="D74" t="str">
        <f>monster.xml!D78</f>
        <v>学院学员</v>
      </c>
      <c r="E74">
        <f>monster.xml!G78</f>
        <v>1001</v>
      </c>
      <c r="F74" t="str">
        <f>monster.xml!X78</f>
        <v>monster/10070.png</v>
      </c>
      <c r="G74">
        <f>monster.xml!Y78</f>
        <v>0</v>
      </c>
    </row>
    <row r="75" spans="1:7">
      <c r="A75">
        <f>monster.xml!A79</f>
        <v>74</v>
      </c>
      <c r="B75">
        <f>monster.xml!B79</f>
        <v>2001</v>
      </c>
      <c r="C75">
        <f>monster.xml!C79</f>
        <v>37</v>
      </c>
      <c r="D75" t="str">
        <f>monster.xml!D79</f>
        <v>黑暗召唤师</v>
      </c>
      <c r="E75">
        <f>monster.xml!G79</f>
        <v>1001</v>
      </c>
      <c r="F75" t="str">
        <f>monster.xml!X79</f>
        <v>monster/10071.png</v>
      </c>
      <c r="G75">
        <f>monster.xml!Y79</f>
        <v>0</v>
      </c>
    </row>
    <row r="76" spans="1:7">
      <c r="A76">
        <f>monster.xml!A80</f>
        <v>75</v>
      </c>
      <c r="B76">
        <f>monster.xml!B80</f>
        <v>2001</v>
      </c>
      <c r="C76">
        <f>monster.xml!C80</f>
        <v>38</v>
      </c>
      <c r="D76" t="str">
        <f>monster.xml!D80</f>
        <v>学院寺僧</v>
      </c>
      <c r="E76">
        <f>monster.xml!G80</f>
        <v>1001</v>
      </c>
      <c r="F76" t="str">
        <f>monster.xml!X80</f>
        <v>monster/10072.png</v>
      </c>
      <c r="G76">
        <f>monster.xml!Y80</f>
        <v>0</v>
      </c>
    </row>
    <row r="77" spans="1:7">
      <c r="A77">
        <f>monster.xml!A81</f>
        <v>76</v>
      </c>
      <c r="B77">
        <f>monster.xml!B81</f>
        <v>2001</v>
      </c>
      <c r="C77">
        <f>monster.xml!C81</f>
        <v>37</v>
      </c>
      <c r="D77" t="str">
        <f>monster.xml!D81</f>
        <v>黑手精英</v>
      </c>
      <c r="E77">
        <f>monster.xml!G81</f>
        <v>1001</v>
      </c>
      <c r="F77" t="str">
        <f>monster.xml!X81</f>
        <v>monster/10073.png</v>
      </c>
      <c r="G77">
        <f>monster.xml!Y81</f>
        <v>0</v>
      </c>
    </row>
    <row r="78" spans="1:7">
      <c r="A78">
        <f>monster.xml!A82</f>
        <v>77</v>
      </c>
      <c r="B78">
        <f>monster.xml!B82</f>
        <v>2001</v>
      </c>
      <c r="C78">
        <f>monster.xml!C82</f>
        <v>38</v>
      </c>
      <c r="D78" t="str">
        <f>monster.xml!D82</f>
        <v>黑手老兵</v>
      </c>
      <c r="E78">
        <f>monster.xml!G82</f>
        <v>1001</v>
      </c>
      <c r="F78" t="str">
        <f>monster.xml!X82</f>
        <v>monster/10074.png</v>
      </c>
      <c r="G78">
        <f>monster.xml!Y82</f>
        <v>0</v>
      </c>
    </row>
    <row r="79" spans="1:7">
      <c r="A79">
        <f>monster.xml!A83</f>
        <v>78</v>
      </c>
      <c r="B79">
        <f>monster.xml!B83</f>
        <v>2001</v>
      </c>
      <c r="C79">
        <f>monster.xml!C83</f>
        <v>39</v>
      </c>
      <c r="D79" t="str">
        <f>monster.xml!D83</f>
        <v>血斧好战者</v>
      </c>
      <c r="E79">
        <f>monster.xml!G83</f>
        <v>1001</v>
      </c>
      <c r="F79" t="str">
        <f>monster.xml!X83</f>
        <v>monster/10075.png</v>
      </c>
      <c r="G79">
        <f>monster.xml!Y83</f>
        <v>0</v>
      </c>
    </row>
    <row r="80" spans="1:7">
      <c r="A80">
        <f>monster.xml!A84</f>
        <v>79</v>
      </c>
      <c r="B80">
        <f>monster.xml!B84</f>
        <v>2001</v>
      </c>
      <c r="C80">
        <f>monster.xml!C84</f>
        <v>40</v>
      </c>
      <c r="D80" t="str">
        <f>monster.xml!D84</f>
        <v>狂爪龙人</v>
      </c>
      <c r="E80">
        <f>monster.xml!G84</f>
        <v>1001</v>
      </c>
      <c r="F80" t="str">
        <f>monster.xml!X84</f>
        <v>monster/10076.png</v>
      </c>
      <c r="G80">
        <f>monster.xml!Y84</f>
        <v>0</v>
      </c>
    </row>
    <row r="81" spans="1:7">
      <c r="A81">
        <f>monster.xml!A85</f>
        <v>80</v>
      </c>
      <c r="B81">
        <f>monster.xml!B85</f>
        <v>2001</v>
      </c>
      <c r="C81">
        <f>monster.xml!C85</f>
        <v>39</v>
      </c>
      <c r="D81" t="str">
        <f>monster.xml!D85</f>
        <v>地狱火斥候</v>
      </c>
      <c r="E81">
        <f>monster.xml!G85</f>
        <v>1001</v>
      </c>
      <c r="F81" t="str">
        <f>monster.xml!X85</f>
        <v>monster/10077.png</v>
      </c>
      <c r="G81">
        <f>monster.xml!Y85</f>
        <v>0</v>
      </c>
    </row>
    <row r="82" spans="1:7">
      <c r="A82">
        <f>monster.xml!A86</f>
        <v>81</v>
      </c>
      <c r="B82">
        <f>monster.xml!B86</f>
        <v>2001</v>
      </c>
      <c r="C82">
        <f>monster.xml!C86</f>
        <v>40</v>
      </c>
      <c r="D82" t="str">
        <f>monster.xml!D86</f>
        <v>残忍的军犬</v>
      </c>
      <c r="E82">
        <f>monster.xml!G86</f>
        <v>1001</v>
      </c>
      <c r="F82" t="str">
        <f>monster.xml!X86</f>
        <v>monster/10078.png</v>
      </c>
      <c r="G82">
        <f>monster.xml!Y86</f>
        <v>0</v>
      </c>
    </row>
    <row r="83" spans="1:7">
      <c r="A83">
        <f>monster.xml!A87</f>
        <v>82</v>
      </c>
      <c r="B83">
        <f>monster.xml!B87</f>
        <v>2001</v>
      </c>
      <c r="C83">
        <f>monster.xml!C87</f>
        <v>41</v>
      </c>
      <c r="D83" t="str">
        <f>monster.xml!D87</f>
        <v>噬骨撕裂者</v>
      </c>
      <c r="E83">
        <f>monster.xml!G87</f>
        <v>1001</v>
      </c>
      <c r="F83" t="str">
        <f>monster.xml!X87</f>
        <v>monster/10079.png</v>
      </c>
      <c r="G83">
        <f>monster.xml!Y87</f>
        <v>0</v>
      </c>
    </row>
    <row r="84" spans="1:7">
      <c r="A84">
        <f>monster.xml!A88</f>
        <v>83</v>
      </c>
      <c r="B84">
        <f>monster.xml!B88</f>
        <v>2001</v>
      </c>
      <c r="C84">
        <f>monster.xml!C88</f>
        <v>42</v>
      </c>
      <c r="D84" t="str">
        <f>monster.xml!D88</f>
        <v>噬骨毁灭者</v>
      </c>
      <c r="E84">
        <f>monster.xml!G88</f>
        <v>1001</v>
      </c>
      <c r="F84" t="str">
        <f>monster.xml!X88</f>
        <v>monster/10080.png</v>
      </c>
      <c r="G84">
        <f>monster.xml!Y88</f>
        <v>0</v>
      </c>
    </row>
    <row r="85" spans="1:7">
      <c r="A85">
        <f>monster.xml!A89</f>
        <v>84</v>
      </c>
      <c r="B85">
        <f>monster.xml!B89</f>
        <v>2001</v>
      </c>
      <c r="C85">
        <f>monster.xml!C89</f>
        <v>41</v>
      </c>
      <c r="D85" t="str">
        <f>monster.xml!D89</f>
        <v>邪兽人新兵</v>
      </c>
      <c r="E85">
        <f>monster.xml!G89</f>
        <v>1001</v>
      </c>
      <c r="F85" t="str">
        <f>monster.xml!X89</f>
        <v>monster/10081.png</v>
      </c>
      <c r="G85">
        <f>monster.xml!Y89</f>
        <v>0</v>
      </c>
    </row>
    <row r="86" spans="1:7">
      <c r="A86">
        <f>monster.xml!A90</f>
        <v>85</v>
      </c>
      <c r="B86">
        <f>monster.xml!B90</f>
        <v>2001</v>
      </c>
      <c r="C86">
        <f>monster.xml!C90</f>
        <v>42</v>
      </c>
      <c r="D86" t="str">
        <f>monster.xml!D90</f>
        <v>地狱火小鬼</v>
      </c>
      <c r="E86">
        <f>monster.xml!G90</f>
        <v>1001</v>
      </c>
      <c r="F86" t="str">
        <f>monster.xml!X90</f>
        <v>monster/10082.png</v>
      </c>
      <c r="G86">
        <f>monster.xml!Y90</f>
        <v>0</v>
      </c>
    </row>
    <row r="87" spans="1:7">
      <c r="A87">
        <f>monster.xml!A91</f>
        <v>86</v>
      </c>
      <c r="B87">
        <f>monster.xml!B91</f>
        <v>2001</v>
      </c>
      <c r="C87">
        <f>monster.xml!C91</f>
        <v>43</v>
      </c>
      <c r="D87" t="str">
        <f>monster.xml!D91</f>
        <v>影月术士</v>
      </c>
      <c r="E87">
        <f>monster.xml!G91</f>
        <v>1001</v>
      </c>
      <c r="F87" t="str">
        <f>monster.xml!X91</f>
        <v>monster/10083.png</v>
      </c>
      <c r="G87">
        <f>monster.xml!Y91</f>
        <v>0</v>
      </c>
    </row>
    <row r="88" spans="1:7">
      <c r="A88">
        <f>monster.xml!A92</f>
        <v>87</v>
      </c>
      <c r="B88">
        <f>monster.xml!B92</f>
        <v>2001</v>
      </c>
      <c r="C88">
        <f>monster.xml!C92</f>
        <v>44</v>
      </c>
      <c r="D88" t="str">
        <f>monster.xml!D92</f>
        <v>恶魔卫士</v>
      </c>
      <c r="E88">
        <f>monster.xml!G92</f>
        <v>1001</v>
      </c>
      <c r="F88" t="str">
        <f>monster.xml!X92</f>
        <v>monster/10084.png</v>
      </c>
      <c r="G88">
        <f>monster.xml!Y92</f>
        <v>0</v>
      </c>
    </row>
    <row r="89" spans="1:7">
      <c r="A89">
        <f>monster.xml!A93</f>
        <v>88</v>
      </c>
      <c r="B89">
        <f>monster.xml!B93</f>
        <v>2001</v>
      </c>
      <c r="C89">
        <f>monster.xml!C93</f>
        <v>43</v>
      </c>
      <c r="D89" t="str">
        <f>monster.xml!D93</f>
        <v>盘牙监工</v>
      </c>
      <c r="E89">
        <f>monster.xml!G93</f>
        <v>1001</v>
      </c>
      <c r="F89" t="str">
        <f>monster.xml!X93</f>
        <v>monster/10085.png</v>
      </c>
      <c r="G89">
        <f>monster.xml!Y93</f>
        <v>0</v>
      </c>
    </row>
    <row r="90" spans="1:7">
      <c r="A90">
        <f>monster.xml!A94</f>
        <v>89</v>
      </c>
      <c r="B90">
        <f>monster.xml!B94</f>
        <v>2001</v>
      </c>
      <c r="C90">
        <f>monster.xml!C94</f>
        <v>44</v>
      </c>
      <c r="D90" t="str">
        <f>monster.xml!D94</f>
        <v>盘牙勇士</v>
      </c>
      <c r="E90">
        <f>monster.xml!G94</f>
        <v>1001</v>
      </c>
      <c r="F90" t="str">
        <f>monster.xml!X94</f>
        <v>monster/10086.png</v>
      </c>
      <c r="G90">
        <f>monster.xml!Y94</f>
        <v>0</v>
      </c>
    </row>
    <row r="91" spans="1:7">
      <c r="A91">
        <f>monster.xml!A95</f>
        <v>90</v>
      </c>
      <c r="B91">
        <f>monster.xml!B95</f>
        <v>2001</v>
      </c>
      <c r="C91">
        <f>monster.xml!C95</f>
        <v>45</v>
      </c>
      <c r="D91" t="str">
        <f>monster.xml!D95</f>
        <v>盘牙观察者</v>
      </c>
      <c r="E91">
        <f>monster.xml!G95</f>
        <v>1001</v>
      </c>
      <c r="F91" t="str">
        <f>monster.xml!X95</f>
        <v>monster/10087.png</v>
      </c>
      <c r="G91">
        <f>monster.xml!Y95</f>
        <v>0</v>
      </c>
    </row>
    <row r="92" spans="1:7">
      <c r="A92">
        <f>monster.xml!A96</f>
        <v>91</v>
      </c>
      <c r="B92">
        <f>monster.xml!B96</f>
        <v>2001</v>
      </c>
      <c r="C92">
        <f>monster.xml!C96</f>
        <v>46</v>
      </c>
      <c r="D92" t="str">
        <f>monster.xml!D96</f>
        <v>盘牙预言者</v>
      </c>
      <c r="E92">
        <f>monster.xml!G96</f>
        <v>1001</v>
      </c>
      <c r="F92" t="str">
        <f>monster.xml!X96</f>
        <v>monster/10088.png</v>
      </c>
      <c r="G92">
        <f>monster.xml!Y96</f>
        <v>0</v>
      </c>
    </row>
    <row r="93" spans="1:7">
      <c r="A93">
        <f>monster.xml!A97</f>
        <v>92</v>
      </c>
      <c r="B93">
        <f>monster.xml!B97</f>
        <v>2001</v>
      </c>
      <c r="C93">
        <f>monster.xml!C97</f>
        <v>45</v>
      </c>
      <c r="D93" t="str">
        <f>monster.xml!D97</f>
        <v>暗血矛兵</v>
      </c>
      <c r="E93">
        <f>monster.xml!G97</f>
        <v>1001</v>
      </c>
      <c r="F93" t="str">
        <f>monster.xml!X97</f>
        <v>monster/10089.png</v>
      </c>
      <c r="G93">
        <f>monster.xml!Y97</f>
        <v>0</v>
      </c>
    </row>
    <row r="94" spans="1:7">
      <c r="A94">
        <f>monster.xml!A98</f>
        <v>93</v>
      </c>
      <c r="B94">
        <f>monster.xml!B98</f>
        <v>2001</v>
      </c>
      <c r="C94">
        <f>monster.xml!C98</f>
        <v>46</v>
      </c>
      <c r="D94" t="str">
        <f>monster.xml!D98</f>
        <v>怒麟战士</v>
      </c>
      <c r="E94">
        <f>monster.xml!G98</f>
        <v>1001</v>
      </c>
      <c r="F94" t="str">
        <f>monster.xml!X98</f>
        <v>monster/10090.png</v>
      </c>
      <c r="G94">
        <f>monster.xml!Y98</f>
        <v>0</v>
      </c>
    </row>
    <row r="95" spans="1:7">
      <c r="A95">
        <f>monster.xml!A99</f>
        <v>94</v>
      </c>
      <c r="B95">
        <f>monster.xml!B99</f>
        <v>2001</v>
      </c>
      <c r="C95">
        <f>monster.xml!C99</f>
        <v>47</v>
      </c>
      <c r="D95" t="str">
        <f>monster.xml!D99</f>
        <v>孢子漫游者</v>
      </c>
      <c r="E95">
        <f>monster.xml!G99</f>
        <v>1001</v>
      </c>
      <c r="F95" t="str">
        <f>monster.xml!X99</f>
        <v>monster/10091.png</v>
      </c>
      <c r="G95">
        <f>monster.xml!Y99</f>
        <v>0</v>
      </c>
    </row>
    <row r="96" spans="1:7">
      <c r="A96">
        <f>monster.xml!A100</f>
        <v>95</v>
      </c>
      <c r="B96">
        <f>monster.xml!B100</f>
        <v>2001</v>
      </c>
      <c r="C96">
        <f>monster.xml!C100</f>
        <v>48</v>
      </c>
      <c r="D96" t="str">
        <f>monster.xml!D100</f>
        <v>沼泥巨人</v>
      </c>
      <c r="E96">
        <f>monster.xml!G100</f>
        <v>1001</v>
      </c>
      <c r="F96" t="str">
        <f>monster.xml!X100</f>
        <v>monster/10092.png</v>
      </c>
      <c r="G96">
        <f>monster.xml!Y100</f>
        <v>0</v>
      </c>
    </row>
    <row r="97" spans="1:7">
      <c r="A97">
        <f>monster.xml!A101</f>
        <v>96</v>
      </c>
      <c r="B97">
        <f>monster.xml!B101</f>
        <v>2001</v>
      </c>
      <c r="C97">
        <f>monster.xml!C101</f>
        <v>47</v>
      </c>
      <c r="D97" t="str">
        <f>monster.xml!D101</f>
        <v>法力蛭</v>
      </c>
      <c r="E97">
        <f>monster.xml!G101</f>
        <v>1001</v>
      </c>
      <c r="F97" t="str">
        <f>monster.xml!X101</f>
        <v>monster/10093.png</v>
      </c>
      <c r="G97">
        <f>monster.xml!Y101</f>
        <v>0</v>
      </c>
    </row>
    <row r="98" spans="1:7">
      <c r="A98">
        <f>monster.xml!A102</f>
        <v>97</v>
      </c>
      <c r="B98">
        <f>monster.xml!B102</f>
        <v>2001</v>
      </c>
      <c r="C98">
        <f>monster.xml!C102</f>
        <v>48</v>
      </c>
      <c r="D98" t="str">
        <f>monster.xml!D102</f>
        <v>奥术魔</v>
      </c>
      <c r="E98">
        <f>monster.xml!G102</f>
        <v>1001</v>
      </c>
      <c r="F98" t="str">
        <f>monster.xml!X102</f>
        <v>monster/10094.png</v>
      </c>
      <c r="G98">
        <f>monster.xml!Y102</f>
        <v>0</v>
      </c>
    </row>
    <row r="99" spans="1:7">
      <c r="A99">
        <f>monster.xml!A103</f>
        <v>98</v>
      </c>
      <c r="B99">
        <f>monster.xml!B103</f>
        <v>2001</v>
      </c>
      <c r="C99">
        <f>monster.xml!C103</f>
        <v>49</v>
      </c>
      <c r="D99" t="str">
        <f>monster.xml!D103</f>
        <v>虚灵缚法者</v>
      </c>
      <c r="E99">
        <f>monster.xml!G103</f>
        <v>1001</v>
      </c>
      <c r="F99" t="str">
        <f>monster.xml!X103</f>
        <v>monster/10095.png</v>
      </c>
      <c r="G99">
        <f>monster.xml!Y103</f>
        <v>0</v>
      </c>
    </row>
    <row r="100" spans="1:7">
      <c r="A100">
        <f>monster.xml!A104</f>
        <v>99</v>
      </c>
      <c r="B100">
        <f>monster.xml!B104</f>
        <v>2001</v>
      </c>
      <c r="C100">
        <f>monster.xml!C104</f>
        <v>50</v>
      </c>
      <c r="D100" t="str">
        <f>monster.xml!D104</f>
        <v>虚灵巫师</v>
      </c>
      <c r="E100">
        <f>monster.xml!G104</f>
        <v>1001</v>
      </c>
      <c r="F100" t="str">
        <f>monster.xml!X104</f>
        <v>monster/10096.png</v>
      </c>
      <c r="G100">
        <f>monster.xml!Y104</f>
        <v>0</v>
      </c>
    </row>
    <row r="101" spans="1:7">
      <c r="A101">
        <f>monster.xml!A105</f>
        <v>100</v>
      </c>
      <c r="B101">
        <f>monster.xml!B105</f>
        <v>2001</v>
      </c>
      <c r="C101">
        <f>monster.xml!C105</f>
        <v>49</v>
      </c>
      <c r="D101" t="str">
        <f>monster.xml!D105</f>
        <v>复生的白骨</v>
      </c>
      <c r="E101">
        <f>monster.xml!G105</f>
        <v>1001</v>
      </c>
      <c r="F101" t="str">
        <f>monster.xml!X105</f>
        <v>monster/10097.png</v>
      </c>
      <c r="G101">
        <f>monster.xml!Y105</f>
        <v>0</v>
      </c>
    </row>
    <row r="102" spans="1:7">
      <c r="A102">
        <f>monster.xml!A106</f>
        <v>101</v>
      </c>
      <c r="B102">
        <f>monster.xml!B106</f>
        <v>2001</v>
      </c>
      <c r="C102">
        <f>monster.xml!C106</f>
        <v>50</v>
      </c>
      <c r="D102" t="str">
        <f>monster.xml!D106</f>
        <v>暴怒的灵魂</v>
      </c>
      <c r="E102">
        <f>monster.xml!G106</f>
        <v>1001</v>
      </c>
      <c r="F102" t="str">
        <f>monster.xml!X106</f>
        <v>monster/10098.png</v>
      </c>
      <c r="G102">
        <f>monster.xml!Y106</f>
        <v>0</v>
      </c>
    </row>
    <row r="103" spans="1:7">
      <c r="A103">
        <f>monster.xml!A107</f>
        <v>102</v>
      </c>
      <c r="B103">
        <f>monster.xml!B107</f>
        <v>2001</v>
      </c>
      <c r="C103">
        <f>monster.xml!C107</f>
        <v>51</v>
      </c>
      <c r="D103" t="str">
        <f>monster.xml!D107</f>
        <v>奥金尼守备官</v>
      </c>
      <c r="E103">
        <f>monster.xml!G107</f>
        <v>1001</v>
      </c>
      <c r="F103" t="str">
        <f>monster.xml!X107</f>
        <v>monster/10099.png</v>
      </c>
      <c r="G103">
        <f>monster.xml!Y107</f>
        <v>0</v>
      </c>
    </row>
    <row r="104" spans="1:7">
      <c r="A104">
        <f>monster.xml!A108</f>
        <v>103</v>
      </c>
      <c r="B104">
        <f>monster.xml!B108</f>
        <v>2001</v>
      </c>
      <c r="C104">
        <f>monster.xml!C108</f>
        <v>52</v>
      </c>
      <c r="D104" t="str">
        <f>monster.xml!D108</f>
        <v>灵魂祭司</v>
      </c>
      <c r="E104">
        <f>monster.xml!G108</f>
        <v>1001</v>
      </c>
      <c r="F104" t="str">
        <f>monster.xml!X108</f>
        <v>monster/10100.png</v>
      </c>
      <c r="G104">
        <f>monster.xml!Y108</f>
        <v>0</v>
      </c>
    </row>
    <row r="105" spans="1:7">
      <c r="A105">
        <f>monster.xml!A109</f>
        <v>104</v>
      </c>
      <c r="B105">
        <f>monster.xml!B109</f>
        <v>2001</v>
      </c>
      <c r="C105">
        <f>monster.xml!C109</f>
        <v>51</v>
      </c>
      <c r="D105" t="str">
        <f>monster.xml!D109</f>
        <v>城堡猎犬</v>
      </c>
      <c r="E105">
        <f>monster.xml!G109</f>
        <v>1001</v>
      </c>
      <c r="F105" t="str">
        <f>monster.xml!X109</f>
        <v>monster/10101.png</v>
      </c>
      <c r="G105">
        <f>monster.xml!Y109</f>
        <v>0</v>
      </c>
    </row>
    <row r="106" spans="1:7">
      <c r="A106">
        <f>monster.xml!A110</f>
        <v>105</v>
      </c>
      <c r="B106">
        <f>monster.xml!B110</f>
        <v>2001</v>
      </c>
      <c r="C106">
        <f>monster.xml!C110</f>
        <v>52</v>
      </c>
      <c r="D106" t="str">
        <f>monster.xml!D110</f>
        <v>城堡看守</v>
      </c>
      <c r="E106">
        <f>monster.xml!G110</f>
        <v>1001</v>
      </c>
      <c r="F106" t="str">
        <f>monster.xml!X110</f>
        <v>monster/10102.png</v>
      </c>
      <c r="G106">
        <f>monster.xml!Y110</f>
        <v>0</v>
      </c>
    </row>
    <row r="107" spans="1:7">
      <c r="A107">
        <f>monster.xml!A111</f>
        <v>106</v>
      </c>
      <c r="B107">
        <f>monster.xml!B111</f>
        <v>2001</v>
      </c>
      <c r="C107">
        <f>monster.xml!C111</f>
        <v>53</v>
      </c>
      <c r="D107" t="str">
        <f>monster.xml!D111</f>
        <v>城堡哨兵</v>
      </c>
      <c r="E107">
        <f>monster.xml!G111</f>
        <v>1001</v>
      </c>
      <c r="F107" t="str">
        <f>monster.xml!X111</f>
        <v>monster/10103.png</v>
      </c>
      <c r="G107">
        <f>monster.xml!Y111</f>
        <v>0</v>
      </c>
    </row>
    <row r="108" spans="1:7">
      <c r="A108">
        <f>monster.xml!A112</f>
        <v>107</v>
      </c>
      <c r="B108">
        <f>monster.xml!B112</f>
        <v>2001</v>
      </c>
      <c r="C108">
        <f>monster.xml!C112</f>
        <v>54</v>
      </c>
      <c r="D108" t="str">
        <f>monster.xml!D112</f>
        <v>永恒龙人</v>
      </c>
      <c r="E108">
        <f>monster.xml!G112</f>
        <v>1001</v>
      </c>
      <c r="F108" t="str">
        <f>monster.xml!X112</f>
        <v>monster/10104.png</v>
      </c>
      <c r="G108">
        <f>monster.xml!Y112</f>
        <v>0</v>
      </c>
    </row>
    <row r="109" spans="1:7">
      <c r="A109">
        <f>monster.xml!A113</f>
        <v>108</v>
      </c>
      <c r="B109">
        <f>monster.xml!B113</f>
        <v>2001</v>
      </c>
      <c r="C109">
        <f>monster.xml!C113</f>
        <v>53</v>
      </c>
      <c r="D109" t="str">
        <f>monster.xml!D113</f>
        <v>安苏的子嗣</v>
      </c>
      <c r="E109">
        <f>monster.xml!G113</f>
        <v>1001</v>
      </c>
      <c r="F109" t="str">
        <f>monster.xml!X113</f>
        <v>monster/10105.png</v>
      </c>
      <c r="G109">
        <f>monster.xml!Y113</f>
        <v>0</v>
      </c>
    </row>
    <row r="110" spans="1:7">
      <c r="A110">
        <f>monster.xml!A114</f>
        <v>109</v>
      </c>
      <c r="B110">
        <f>monster.xml!B114</f>
        <v>2001</v>
      </c>
      <c r="C110">
        <f>monster.xml!C114</f>
        <v>54</v>
      </c>
      <c r="D110" t="str">
        <f>monster.xml!D114</f>
        <v>鸦人预言者</v>
      </c>
      <c r="E110">
        <f>monster.xml!G114</f>
        <v>1001</v>
      </c>
      <c r="F110" t="str">
        <f>monster.xml!X114</f>
        <v>monster/10106.png</v>
      </c>
      <c r="G110">
        <f>monster.xml!Y114</f>
        <v>0</v>
      </c>
    </row>
    <row r="111" spans="1:7">
      <c r="A111">
        <f>monster.xml!A115</f>
        <v>110</v>
      </c>
      <c r="B111">
        <f>monster.xml!B115</f>
        <v>2001</v>
      </c>
      <c r="C111">
        <f>monster.xml!C115</f>
        <v>55</v>
      </c>
      <c r="D111" t="str">
        <f>monster.xml!D115</f>
        <v>鸦人卫士</v>
      </c>
      <c r="E111">
        <f>monster.xml!G115</f>
        <v>1001</v>
      </c>
      <c r="F111" t="str">
        <f>monster.xml!X115</f>
        <v>monster/10107.png</v>
      </c>
      <c r="G111">
        <f>monster.xml!Y115</f>
        <v>0</v>
      </c>
    </row>
    <row r="112" spans="1:7">
      <c r="A112">
        <f>monster.xml!A116</f>
        <v>111</v>
      </c>
      <c r="B112">
        <f>monster.xml!B116</f>
        <v>2001</v>
      </c>
      <c r="C112">
        <f>monster.xml!C116</f>
        <v>56</v>
      </c>
      <c r="D112" t="str">
        <f>monster.xml!D116</f>
        <v>塞泰克新兵</v>
      </c>
      <c r="E112">
        <f>monster.xml!G116</f>
        <v>1001</v>
      </c>
      <c r="F112" t="str">
        <f>monster.xml!X116</f>
        <v>monster/10108.png</v>
      </c>
      <c r="G112">
        <f>monster.xml!Y116</f>
        <v>0</v>
      </c>
    </row>
    <row r="113" spans="1:7">
      <c r="A113">
        <f>monster.xml!A117</f>
        <v>112</v>
      </c>
      <c r="B113">
        <f>monster.xml!B117</f>
        <v>2001</v>
      </c>
      <c r="C113">
        <f>monster.xml!C117</f>
        <v>55</v>
      </c>
      <c r="D113" t="str">
        <f>monster.xml!D117</f>
        <v>虚空旅者</v>
      </c>
      <c r="E113">
        <f>monster.xml!G117</f>
        <v>1001</v>
      </c>
      <c r="F113" t="str">
        <f>monster.xml!X117</f>
        <v>monster/10109.png</v>
      </c>
      <c r="G113">
        <f>monster.xml!Y117</f>
        <v>0</v>
      </c>
    </row>
    <row r="114" spans="1:7">
      <c r="A114">
        <f>monster.xml!A118</f>
        <v>113</v>
      </c>
      <c r="B114">
        <f>monster.xml!B118</f>
        <v>2001</v>
      </c>
      <c r="C114">
        <f>monster.xml!C118</f>
        <v>56</v>
      </c>
      <c r="D114" t="str">
        <f>monster.xml!D118</f>
        <v>密教信徒</v>
      </c>
      <c r="E114">
        <f>monster.xml!G118</f>
        <v>1001</v>
      </c>
      <c r="F114" t="str">
        <f>monster.xml!X118</f>
        <v>monster/10110.png</v>
      </c>
      <c r="G114">
        <f>monster.xml!Y118</f>
        <v>0</v>
      </c>
    </row>
    <row r="115" spans="1:7">
      <c r="A115">
        <f>monster.xml!A119</f>
        <v>114</v>
      </c>
      <c r="B115">
        <f>monster.xml!B119</f>
        <v>2001</v>
      </c>
      <c r="C115">
        <f>monster.xml!C119</f>
        <v>57</v>
      </c>
      <c r="D115" t="str">
        <f>monster.xml!D119</f>
        <v>密教誓死者</v>
      </c>
      <c r="E115">
        <f>monster.xml!G119</f>
        <v>1001</v>
      </c>
      <c r="F115" t="str">
        <f>monster.xml!X119</f>
        <v>monster/10111.png</v>
      </c>
      <c r="G115">
        <f>monster.xml!Y119</f>
        <v>0</v>
      </c>
    </row>
    <row r="116" spans="1:7">
      <c r="A116">
        <f>monster.xml!A120</f>
        <v>115</v>
      </c>
      <c r="B116">
        <f>monster.xml!B120</f>
        <v>2001</v>
      </c>
      <c r="C116">
        <f>monster.xml!C120</f>
        <v>58</v>
      </c>
      <c r="D116" t="str">
        <f>monster.xml!D120</f>
        <v>密教祭司</v>
      </c>
      <c r="E116">
        <f>monster.xml!G120</f>
        <v>1001</v>
      </c>
      <c r="F116" t="str">
        <f>monster.xml!X120</f>
        <v>monster/10110.png</v>
      </c>
      <c r="G116">
        <f>monster.xml!Y120</f>
        <v>0</v>
      </c>
    </row>
    <row r="117" spans="1:7">
      <c r="A117">
        <f>monster.xml!A121</f>
        <v>116</v>
      </c>
      <c r="B117">
        <f>monster.xml!B121</f>
        <v>2001</v>
      </c>
      <c r="C117">
        <f>monster.xml!C121</f>
        <v>57</v>
      </c>
      <c r="D117" t="str">
        <f>monster.xml!D121</f>
        <v>盘牙战士</v>
      </c>
      <c r="E117">
        <f>monster.xml!G121</f>
        <v>1001</v>
      </c>
      <c r="F117" t="str">
        <f>monster.xml!X121</f>
        <v>monster/10109.png</v>
      </c>
      <c r="G117">
        <f>monster.xml!Y121</f>
        <v>0</v>
      </c>
    </row>
    <row r="118" spans="1:7">
      <c r="A118">
        <f>monster.xml!A122</f>
        <v>117</v>
      </c>
      <c r="B118">
        <f>monster.xml!B122</f>
        <v>2001</v>
      </c>
      <c r="C118">
        <f>monster.xml!C122</f>
        <v>58</v>
      </c>
      <c r="D118" t="str">
        <f>monster.xml!D122</f>
        <v>残冠奴隶</v>
      </c>
      <c r="E118">
        <f>monster.xml!G122</f>
        <v>1001</v>
      </c>
      <c r="F118" t="str">
        <f>monster.xml!X122</f>
        <v>monster/10108.png</v>
      </c>
      <c r="G118">
        <f>monster.xml!Y122</f>
        <v>0</v>
      </c>
    </row>
    <row r="119" spans="1:7">
      <c r="A119">
        <f>monster.xml!A123</f>
        <v>118</v>
      </c>
      <c r="B119">
        <f>monster.xml!B123</f>
        <v>2001</v>
      </c>
      <c r="C119">
        <f>monster.xml!C123</f>
        <v>59</v>
      </c>
      <c r="D119" t="str">
        <f>monster.xml!D123</f>
        <v>盘牙奴隶主</v>
      </c>
      <c r="E119">
        <f>monster.xml!G123</f>
        <v>1001</v>
      </c>
      <c r="F119" t="str">
        <f>monster.xml!X123</f>
        <v>monster/10107.png</v>
      </c>
      <c r="G119">
        <f>monster.xml!Y123</f>
        <v>0</v>
      </c>
    </row>
    <row r="120" spans="1:7">
      <c r="A120">
        <f>monster.xml!A124</f>
        <v>119</v>
      </c>
      <c r="B120">
        <f>monster.xml!B124</f>
        <v>2001</v>
      </c>
      <c r="C120">
        <f>monster.xml!C124</f>
        <v>60</v>
      </c>
      <c r="D120" t="str">
        <f>monster.xml!D124</f>
        <v>潮汐涌动者</v>
      </c>
      <c r="E120">
        <f>monster.xml!G124</f>
        <v>1001</v>
      </c>
      <c r="F120" t="str">
        <f>monster.xml!X124</f>
        <v>monster/10106.png</v>
      </c>
      <c r="G120">
        <f>monster.xml!Y124</f>
        <v>0</v>
      </c>
    </row>
    <row r="121" spans="1:7">
      <c r="A121">
        <f>monster.xml!A125</f>
        <v>120</v>
      </c>
      <c r="B121">
        <f>monster.xml!B125</f>
        <v>2001</v>
      </c>
      <c r="C121">
        <f>monster.xml!C125</f>
        <v>59</v>
      </c>
      <c r="D121" t="str">
        <f>monster.xml!D125</f>
        <v>虚空怨灵</v>
      </c>
      <c r="E121">
        <f>monster.xml!G125</f>
        <v>1001</v>
      </c>
      <c r="F121" t="str">
        <f>monster.xml!X125</f>
        <v>monster/10105.png</v>
      </c>
      <c r="G121">
        <f>monster.xml!Y125</f>
        <v>0</v>
      </c>
    </row>
    <row r="122" spans="1:7">
      <c r="A122">
        <f>monster.xml!A126</f>
        <v>121</v>
      </c>
      <c r="B122">
        <f>monster.xml!B126</f>
        <v>2001</v>
      </c>
      <c r="C122">
        <f>monster.xml!C126</f>
        <v>60</v>
      </c>
      <c r="D122" t="str">
        <f>monster.xml!D126</f>
        <v>寻日工程师</v>
      </c>
      <c r="E122">
        <f>monster.xml!G126</f>
        <v>1001</v>
      </c>
      <c r="F122" t="str">
        <f>monster.xml!X126</f>
        <v>monster/10104.png</v>
      </c>
      <c r="G122">
        <f>monster.xml!Y126</f>
        <v>0</v>
      </c>
    </row>
    <row r="123" spans="1:7">
      <c r="A123">
        <f>monster.xml!A127</f>
        <v>122</v>
      </c>
      <c r="B123">
        <f>monster.xml!B127</f>
        <v>2001</v>
      </c>
      <c r="C123">
        <f>monster.xml!C127</f>
        <v>61</v>
      </c>
      <c r="D123" t="str">
        <f>monster.xml!D127</f>
        <v>血卫斩杀者</v>
      </c>
      <c r="E123">
        <f>monster.xml!G127</f>
        <v>1001</v>
      </c>
      <c r="F123" t="str">
        <f>monster.xml!X127</f>
        <v>monster/10103.png</v>
      </c>
      <c r="G123">
        <f>monster.xml!Y127</f>
        <v>0</v>
      </c>
    </row>
    <row r="124" spans="1:7">
      <c r="A124">
        <f>monster.xml!A128</f>
        <v>123</v>
      </c>
      <c r="B124">
        <f>monster.xml!B128</f>
        <v>2001</v>
      </c>
      <c r="C124">
        <f>monster.xml!C128</f>
        <v>62</v>
      </c>
      <c r="D124" t="str">
        <f>monster.xml!D128</f>
        <v>血卫百夫长</v>
      </c>
      <c r="E124">
        <f>monster.xml!G128</f>
        <v>1001</v>
      </c>
      <c r="F124" t="str">
        <f>monster.xml!X128</f>
        <v>monster/10102.png</v>
      </c>
      <c r="G124">
        <f>monster.xml!Y128</f>
        <v>0</v>
      </c>
    </row>
    <row r="125" spans="1:7">
      <c r="A125">
        <f>monster.xml!A129</f>
        <v>124</v>
      </c>
      <c r="B125">
        <f>monster.xml!B129</f>
        <v>2001</v>
      </c>
      <c r="C125">
        <f>monster.xml!C129</f>
        <v>61</v>
      </c>
      <c r="D125" t="str">
        <f>monster.xml!D129</f>
        <v>植物学家</v>
      </c>
      <c r="E125">
        <f>monster.xml!G129</f>
        <v>1001</v>
      </c>
      <c r="F125" t="str">
        <f>monster.xml!X129</f>
        <v>monster/10101.png</v>
      </c>
      <c r="G125">
        <f>monster.xml!Y129</f>
        <v>0</v>
      </c>
    </row>
    <row r="126" spans="1:7">
      <c r="A126">
        <f>monster.xml!A130</f>
        <v>125</v>
      </c>
      <c r="B126">
        <f>monster.xml!B130</f>
        <v>2001</v>
      </c>
      <c r="C126">
        <f>monster.xml!C130</f>
        <v>62</v>
      </c>
      <c r="D126" t="str">
        <f>monster.xml!D130</f>
        <v>寻日研究员</v>
      </c>
      <c r="E126">
        <f>monster.xml!G130</f>
        <v>1001</v>
      </c>
      <c r="F126" t="str">
        <f>monster.xml!X130</f>
        <v>monster/10100.png</v>
      </c>
      <c r="G126">
        <f>monster.xml!Y130</f>
        <v>0</v>
      </c>
    </row>
    <row r="127" spans="1:7">
      <c r="A127">
        <f>monster.xml!A131</f>
        <v>126</v>
      </c>
      <c r="B127">
        <f>monster.xml!B131</f>
        <v>2001</v>
      </c>
      <c r="C127">
        <f>monster.xml!C131</f>
        <v>63</v>
      </c>
      <c r="D127" t="str">
        <f>monster.xml!D131</f>
        <v>血肉鞭笞者</v>
      </c>
      <c r="E127">
        <f>monster.xml!G131</f>
        <v>1001</v>
      </c>
      <c r="F127" t="str">
        <f>monster.xml!X131</f>
        <v>monster/10099.png</v>
      </c>
      <c r="G127">
        <f>monster.xml!Y131</f>
        <v>0</v>
      </c>
    </row>
    <row r="128" spans="1:7">
      <c r="A128">
        <f>monster.xml!A132</f>
        <v>127</v>
      </c>
      <c r="B128">
        <f>monster.xml!B132</f>
        <v>2001</v>
      </c>
      <c r="C128">
        <f>monster.xml!C132</f>
        <v>64</v>
      </c>
      <c r="D128" t="str">
        <f>monster.xml!D132</f>
        <v>大型魔花</v>
      </c>
      <c r="E128">
        <f>monster.xml!G132</f>
        <v>1001</v>
      </c>
      <c r="F128" t="str">
        <f>monster.xml!X132</f>
        <v>monster/10098.png</v>
      </c>
      <c r="G128">
        <f>monster.xml!Y132</f>
        <v>0</v>
      </c>
    </row>
    <row r="129" spans="1:7">
      <c r="A129">
        <f>monster.xml!A133</f>
        <v>128</v>
      </c>
      <c r="B129">
        <f>monster.xml!B133</f>
        <v>2001</v>
      </c>
      <c r="C129">
        <f>monster.xml!C133</f>
        <v>63</v>
      </c>
      <c r="D129" t="str">
        <f>monster.xml!D133</f>
        <v>多变恐魔</v>
      </c>
      <c r="E129">
        <f>monster.xml!G133</f>
        <v>1001</v>
      </c>
      <c r="F129" t="str">
        <f>monster.xml!X133</f>
        <v>monster/10097.png</v>
      </c>
      <c r="G129">
        <f>monster.xml!Y133</f>
        <v>0</v>
      </c>
    </row>
    <row r="130" spans="1:7">
      <c r="A130">
        <f>monster.xml!A134</f>
        <v>129</v>
      </c>
      <c r="B130">
        <f>monster.xml!B134</f>
        <v>2001</v>
      </c>
      <c r="C130">
        <f>monster.xml!C134</f>
        <v>64</v>
      </c>
      <c r="D130" t="str">
        <f>monster.xml!D134</f>
        <v>监狱防卫者</v>
      </c>
      <c r="E130">
        <f>monster.xml!G134</f>
        <v>1001</v>
      </c>
      <c r="F130" t="str">
        <f>monster.xml!X134</f>
        <v>monster/10096.png</v>
      </c>
      <c r="G130">
        <f>monster.xml!Y134</f>
        <v>0</v>
      </c>
    </row>
    <row r="131" spans="1:7">
      <c r="A131">
        <f>monster.xml!A135</f>
        <v>130</v>
      </c>
      <c r="B131">
        <f>monster.xml!B135</f>
        <v>2001</v>
      </c>
      <c r="C131">
        <f>monster.xml!C135</f>
        <v>65</v>
      </c>
      <c r="D131" t="str">
        <f>monster.xml!D135</f>
        <v>监狱看守员</v>
      </c>
      <c r="E131">
        <f>monster.xml!G135</f>
        <v>1001</v>
      </c>
      <c r="F131" t="str">
        <f>monster.xml!X135</f>
        <v>monster/10095.png</v>
      </c>
      <c r="G131">
        <f>monster.xml!Y135</f>
        <v>0</v>
      </c>
    </row>
    <row r="132" spans="1:7">
      <c r="A132">
        <f>monster.xml!A136</f>
        <v>131</v>
      </c>
      <c r="B132">
        <f>monster.xml!B136</f>
        <v>2001</v>
      </c>
      <c r="C132">
        <f>monster.xml!C136</f>
        <v>66</v>
      </c>
      <c r="D132" t="str">
        <f>monster.xml!D136</f>
        <v>相位捕猎者</v>
      </c>
      <c r="E132">
        <f>monster.xml!G136</f>
        <v>1001</v>
      </c>
      <c r="F132" t="str">
        <f>monster.xml!X136</f>
        <v>monster/10094.png</v>
      </c>
      <c r="G132">
        <f>monster.xml!Y136</f>
        <v>0</v>
      </c>
    </row>
    <row r="133" spans="1:7">
      <c r="A133">
        <f>monster.xml!A137</f>
        <v>132</v>
      </c>
      <c r="B133">
        <f>monster.xml!B137</f>
        <v>2001</v>
      </c>
      <c r="C133">
        <f>monster.xml!C137</f>
        <v>65</v>
      </c>
      <c r="D133" t="str">
        <f>monster.xml!D137</f>
        <v>碎手血卫士</v>
      </c>
      <c r="E133">
        <f>monster.xml!G137</f>
        <v>1001</v>
      </c>
      <c r="F133" t="str">
        <f>monster.xml!X137</f>
        <v>monster/10093.png</v>
      </c>
      <c r="G133">
        <f>monster.xml!Y137</f>
        <v>0</v>
      </c>
    </row>
    <row r="134" spans="1:7">
      <c r="A134">
        <f>monster.xml!A138</f>
        <v>133</v>
      </c>
      <c r="B134">
        <f>monster.xml!B138</f>
        <v>2001</v>
      </c>
      <c r="C134">
        <f>monster.xml!C138</f>
        <v>66</v>
      </c>
      <c r="D134" t="str">
        <f>monster.xml!D138</f>
        <v>碎手勇士</v>
      </c>
      <c r="E134">
        <f>monster.xml!G138</f>
        <v>1001</v>
      </c>
      <c r="F134" t="str">
        <f>monster.xml!X138</f>
        <v>monster/10092.png</v>
      </c>
      <c r="G134">
        <f>monster.xml!Y138</f>
        <v>0</v>
      </c>
    </row>
    <row r="135" spans="1:7">
      <c r="A135">
        <f>monster.xml!A139</f>
        <v>134</v>
      </c>
      <c r="B135">
        <f>monster.xml!B139</f>
        <v>2001</v>
      </c>
      <c r="C135">
        <f>monster.xml!C139</f>
        <v>67</v>
      </c>
      <c r="D135" t="str">
        <f>monster.xml!D139</f>
        <v>影月寺僧</v>
      </c>
      <c r="E135">
        <f>monster.xml!G139</f>
        <v>1001</v>
      </c>
      <c r="F135" t="str">
        <f>monster.xml!X139</f>
        <v>monster/10091.png</v>
      </c>
      <c r="G135">
        <f>monster.xml!Y139</f>
        <v>0</v>
      </c>
    </row>
    <row r="136" spans="1:7">
      <c r="A136">
        <f>monster.xml!A140</f>
        <v>135</v>
      </c>
      <c r="B136">
        <f>monster.xml!B140</f>
        <v>2001</v>
      </c>
      <c r="C136">
        <f>monster.xml!C140</f>
        <v>68</v>
      </c>
      <c r="D136" t="str">
        <f>monster.xml!D140</f>
        <v>碎手百夫长</v>
      </c>
      <c r="E136">
        <f>monster.xml!G140</f>
        <v>1001</v>
      </c>
      <c r="F136" t="str">
        <f>monster.xml!X140</f>
        <v>monster/10090.png</v>
      </c>
      <c r="G136">
        <f>monster.xml!Y140</f>
        <v>0</v>
      </c>
    </row>
    <row r="137" spans="1:7">
      <c r="A137">
        <f>monster.xml!A141</f>
        <v>136</v>
      </c>
      <c r="B137">
        <f>monster.xml!B141</f>
        <v>2001</v>
      </c>
      <c r="C137">
        <f>monster.xml!C141</f>
        <v>67</v>
      </c>
      <c r="D137" t="str">
        <f>monster.xml!D141</f>
        <v>暗水鳄鱼</v>
      </c>
      <c r="E137">
        <f>monster.xml!G141</f>
        <v>1001</v>
      </c>
      <c r="F137" t="str">
        <f>monster.xml!X141</f>
        <v>monster/10089.png</v>
      </c>
      <c r="G137">
        <f>monster.xml!Y141</f>
        <v>0</v>
      </c>
    </row>
    <row r="138" spans="1:7">
      <c r="A138">
        <f>monster.xml!A142</f>
        <v>137</v>
      </c>
      <c r="B138">
        <f>monster.xml!B142</f>
        <v>2001</v>
      </c>
      <c r="C138">
        <f>monster.xml!C142</f>
        <v>68</v>
      </c>
      <c r="D138" t="str">
        <f>monster.xml!D142</f>
        <v>永恒刺客</v>
      </c>
      <c r="E138">
        <f>monster.xml!G142</f>
        <v>1001</v>
      </c>
      <c r="F138" t="str">
        <f>monster.xml!X142</f>
        <v>monster/10088.png</v>
      </c>
      <c r="G138">
        <f>monster.xml!Y142</f>
        <v>0</v>
      </c>
    </row>
    <row r="139" spans="1:7">
      <c r="A139">
        <f>monster.xml!A143</f>
        <v>138</v>
      </c>
      <c r="B139">
        <f>monster.xml!B143</f>
        <v>2001</v>
      </c>
      <c r="C139">
        <f>monster.xml!C143</f>
        <v>69</v>
      </c>
      <c r="D139" t="str">
        <f>monster.xml!D143</f>
        <v>时光术士</v>
      </c>
      <c r="E139">
        <f>monster.xml!G143</f>
        <v>1001</v>
      </c>
      <c r="F139" t="str">
        <f>monster.xml!X143</f>
        <v>monster/10087.png</v>
      </c>
      <c r="G139">
        <f>monster.xml!Y143</f>
        <v>0</v>
      </c>
    </row>
    <row r="140" spans="1:7">
      <c r="A140">
        <f>monster.xml!A144</f>
        <v>139</v>
      </c>
      <c r="B140">
        <f>monster.xml!B144</f>
        <v>2001</v>
      </c>
      <c r="C140">
        <f>monster.xml!C144</f>
        <v>70</v>
      </c>
      <c r="D140" t="str">
        <f>monster.xml!D144</f>
        <v>裂隙守卫者</v>
      </c>
      <c r="E140">
        <f>monster.xml!G144</f>
        <v>1001</v>
      </c>
      <c r="F140" t="str">
        <f>monster.xml!X144</f>
        <v>monster/10086.png</v>
      </c>
      <c r="G140">
        <f>monster.xml!Y144</f>
        <v>0</v>
      </c>
    </row>
    <row r="141" spans="1:7">
      <c r="A141">
        <f>monster.xml!A145</f>
        <v>140</v>
      </c>
      <c r="B141">
        <f>monster.xml!B145</f>
        <v>2001</v>
      </c>
      <c r="C141">
        <f>monster.xml!C145</f>
        <v>69</v>
      </c>
      <c r="D141" t="str">
        <f>monster.xml!D145</f>
        <v>亮鳞浮龙</v>
      </c>
      <c r="E141">
        <f>monster.xml!G145</f>
        <v>1001</v>
      </c>
      <c r="F141" t="str">
        <f>monster.xml!X145</f>
        <v>monster/10085.png</v>
      </c>
      <c r="G141">
        <f>monster.xml!Y145</f>
        <v>0</v>
      </c>
    </row>
    <row r="142" spans="1:7">
      <c r="A142">
        <f>monster.xml!A146</f>
        <v>141</v>
      </c>
      <c r="B142">
        <f>monster.xml!B146</f>
        <v>2001</v>
      </c>
      <c r="C142">
        <f>monster.xml!C146</f>
        <v>70</v>
      </c>
      <c r="D142" t="str">
        <f>monster.xml!D146</f>
        <v>炎刃守护者</v>
      </c>
      <c r="E142">
        <f>monster.xml!G146</f>
        <v>1001</v>
      </c>
      <c r="F142" t="str">
        <f>monster.xml!X146</f>
        <v>monster/10084.png</v>
      </c>
      <c r="G142">
        <f>monster.xml!Y146</f>
        <v>0</v>
      </c>
    </row>
    <row r="143" spans="1:7">
      <c r="A143">
        <f>monster.xml!A147</f>
        <v>142</v>
      </c>
      <c r="B143">
        <f>monster.xml!B147</f>
        <v>2001</v>
      </c>
      <c r="C143">
        <f>monster.xml!C147</f>
        <v>71</v>
      </c>
      <c r="D143" t="str">
        <f>monster.xml!D147</f>
        <v>炎刃血骑士</v>
      </c>
      <c r="E143">
        <f>monster.xml!G147</f>
        <v>1001</v>
      </c>
      <c r="F143" t="str">
        <f>monster.xml!X147</f>
        <v>monster/10083.png</v>
      </c>
      <c r="G143">
        <f>monster.xml!Y147</f>
        <v>0</v>
      </c>
    </row>
    <row r="144" spans="1:7">
      <c r="A144">
        <f>monster.xml!A148</f>
        <v>143</v>
      </c>
      <c r="B144">
        <f>monster.xml!B148</f>
        <v>2001</v>
      </c>
      <c r="C144">
        <f>monster.xml!C148</f>
        <v>72</v>
      </c>
      <c r="D144" t="str">
        <f>monster.xml!D148</f>
        <v>炎刃魔导师</v>
      </c>
      <c r="E144">
        <f>monster.xml!G148</f>
        <v>1001</v>
      </c>
      <c r="F144" t="str">
        <f>monster.xml!X148</f>
        <v>monster/10082.png</v>
      </c>
      <c r="G144">
        <f>monster.xml!Y148</f>
        <v>0</v>
      </c>
    </row>
    <row r="145" spans="1:7">
      <c r="A145">
        <f>monster.xml!A149</f>
        <v>1001</v>
      </c>
      <c r="B145">
        <f>monster.xml!B149</f>
        <v>2001</v>
      </c>
      <c r="C145">
        <f>monster.xml!C149</f>
        <v>3</v>
      </c>
      <c r="D145" t="str">
        <f>monster.xml!D149</f>
        <v>塔斯汀格</v>
      </c>
      <c r="E145">
        <f>monster.xml!G149</f>
        <v>1001</v>
      </c>
      <c r="F145" t="str">
        <f>monster.xml!X149</f>
        <v>monster/10001.png</v>
      </c>
      <c r="G145">
        <f>monster.xml!Y149</f>
        <v>1</v>
      </c>
    </row>
    <row r="146" spans="1:7">
      <c r="A146">
        <f>monster.xml!A150</f>
        <v>1002</v>
      </c>
      <c r="B146">
        <f>monster.xml!B150</f>
        <v>2001</v>
      </c>
      <c r="C146">
        <f>monster.xml!C150</f>
        <v>4</v>
      </c>
      <c r="D146" t="str">
        <f>monster.xml!D150</f>
        <v>饥饿者</v>
      </c>
      <c r="E146">
        <f>monster.xml!G150</f>
        <v>1001</v>
      </c>
      <c r="F146" t="str">
        <f>monster.xml!X150</f>
        <v>monster/10003.png</v>
      </c>
      <c r="G146">
        <f>monster.xml!Y150</f>
        <v>1</v>
      </c>
    </row>
    <row r="147" spans="1:7">
      <c r="A147">
        <f>monster.xml!A151</f>
        <v>1003</v>
      </c>
      <c r="B147">
        <f>monster.xml!B151</f>
        <v>2001</v>
      </c>
      <c r="C147">
        <f>monster.xml!C151</f>
        <v>6</v>
      </c>
      <c r="D147" t="str">
        <f>monster.xml!D151</f>
        <v>范克里夫</v>
      </c>
      <c r="E147">
        <f>monster.xml!G151</f>
        <v>1001</v>
      </c>
      <c r="F147" t="str">
        <f>monster.xml!X151</f>
        <v>monster/10005.png</v>
      </c>
      <c r="G147">
        <f>monster.xml!Y151</f>
        <v>1</v>
      </c>
    </row>
    <row r="148" spans="1:7">
      <c r="A148">
        <f>monster.xml!A152</f>
        <v>1004</v>
      </c>
      <c r="B148">
        <f>monster.xml!B152</f>
        <v>2001</v>
      </c>
      <c r="C148">
        <f>monster.xml!C152</f>
        <v>8</v>
      </c>
      <c r="D148" t="str">
        <f>monster.xml!D152</f>
        <v>永生者</v>
      </c>
      <c r="E148">
        <f>monster.xml!G152</f>
        <v>1001</v>
      </c>
      <c r="F148" t="str">
        <f>monster.xml!X152</f>
        <v>monster/10007.png</v>
      </c>
      <c r="G148">
        <f>monster.xml!Y152</f>
        <v>1</v>
      </c>
    </row>
    <row r="149" spans="1:7">
      <c r="A149">
        <f>monster.xml!A153</f>
        <v>1005</v>
      </c>
      <c r="B149">
        <f>monster.xml!B153</f>
        <v>2001</v>
      </c>
      <c r="C149">
        <f>monster.xml!C153</f>
        <v>10</v>
      </c>
      <c r="D149" t="str">
        <f>monster.xml!D153</f>
        <v>阿鲁高</v>
      </c>
      <c r="E149">
        <f>monster.xml!G153</f>
        <v>1001</v>
      </c>
      <c r="F149" t="str">
        <f>monster.xml!X153</f>
        <v>monster/10009.png</v>
      </c>
      <c r="G149">
        <f>monster.xml!Y153</f>
        <v>1</v>
      </c>
    </row>
    <row r="150" spans="1:7">
      <c r="A150">
        <f>monster.xml!A154</f>
        <v>1006</v>
      </c>
      <c r="B150">
        <f>monster.xml!B154</f>
        <v>2001</v>
      </c>
      <c r="C150">
        <f>monster.xml!C154</f>
        <v>12</v>
      </c>
      <c r="D150" t="str">
        <f>monster.xml!D154</f>
        <v>阿库迈尔</v>
      </c>
      <c r="E150">
        <f>monster.xml!G154</f>
        <v>1001</v>
      </c>
      <c r="F150" t="str">
        <f>monster.xml!X154</f>
        <v>monster/10033.png</v>
      </c>
      <c r="G150">
        <f>monster.xml!Y154</f>
        <v>1</v>
      </c>
    </row>
    <row r="151" spans="1:7">
      <c r="A151">
        <f>monster.xml!A155</f>
        <v>1007</v>
      </c>
      <c r="B151">
        <f>monster.xml!B155</f>
        <v>2001</v>
      </c>
      <c r="C151">
        <f>monster.xml!C155</f>
        <v>14</v>
      </c>
      <c r="D151" t="str">
        <f>monster.xml!D155</f>
        <v>霍格</v>
      </c>
      <c r="E151">
        <f>monster.xml!G155</f>
        <v>1001</v>
      </c>
      <c r="F151" t="str">
        <f>monster.xml!X155</f>
        <v>monster/10011.png</v>
      </c>
      <c r="G151">
        <f>monster.xml!Y155</f>
        <v>1</v>
      </c>
    </row>
    <row r="152" spans="1:7">
      <c r="A152">
        <f>monster.xml!A156</f>
        <v>1008</v>
      </c>
      <c r="B152">
        <f>monster.xml!B156</f>
        <v>2001</v>
      </c>
      <c r="C152">
        <f>monster.xml!C156</f>
        <v>16</v>
      </c>
      <c r="D152" t="str">
        <f>monster.xml!D156</f>
        <v>贾格巴</v>
      </c>
      <c r="E152">
        <f>monster.xml!G156</f>
        <v>1001</v>
      </c>
      <c r="F152" t="str">
        <f>monster.xml!X156</f>
        <v>monster/10036.png</v>
      </c>
      <c r="G152">
        <f>monster.xml!Y156</f>
        <v>1</v>
      </c>
    </row>
    <row r="153" spans="1:7">
      <c r="A153">
        <f>monster.xml!A157</f>
        <v>1009</v>
      </c>
      <c r="B153">
        <f>monster.xml!B157</f>
        <v>2001</v>
      </c>
      <c r="C153">
        <f>monster.xml!C157</f>
        <v>18</v>
      </c>
      <c r="D153" t="str">
        <f>monster.xml!D157</f>
        <v>瑟玛普拉格</v>
      </c>
      <c r="E153">
        <f>monster.xml!G157</f>
        <v>1001</v>
      </c>
      <c r="F153" t="str">
        <f>monster.xml!X157</f>
        <v>monster/10013.png</v>
      </c>
      <c r="G153">
        <f>monster.xml!Y157</f>
        <v>1</v>
      </c>
    </row>
    <row r="154" spans="1:7">
      <c r="A154">
        <f>monster.xml!A158</f>
        <v>1010</v>
      </c>
      <c r="B154">
        <f>monster.xml!B158</f>
        <v>2001</v>
      </c>
      <c r="C154">
        <f>monster.xml!C158</f>
        <v>20</v>
      </c>
      <c r="D154" t="str">
        <f>monster.xml!D158</f>
        <v>麦特怀恩</v>
      </c>
      <c r="E154">
        <f>monster.xml!G158</f>
        <v>1001</v>
      </c>
      <c r="F154" t="str">
        <f>monster.xml!X158</f>
        <v>monster/10015.png</v>
      </c>
      <c r="G154">
        <f>monster.xml!Y158</f>
        <v>1</v>
      </c>
    </row>
    <row r="155" spans="1:7">
      <c r="A155">
        <f>monster.xml!A159</f>
        <v>1011</v>
      </c>
      <c r="B155">
        <f>monster.xml!B159</f>
        <v>2001</v>
      </c>
      <c r="C155">
        <f>monster.xml!C159</f>
        <v>22</v>
      </c>
      <c r="D155" t="str">
        <f>monster.xml!D159</f>
        <v>亚门纳尔</v>
      </c>
      <c r="E155">
        <f>monster.xml!G159</f>
        <v>1001</v>
      </c>
      <c r="F155" t="str">
        <f>monster.xml!X159</f>
        <v>monster/10017.png</v>
      </c>
      <c r="G155">
        <f>monster.xml!Y159</f>
        <v>1</v>
      </c>
    </row>
    <row r="156" spans="1:7">
      <c r="A156">
        <f>monster.xml!A160</f>
        <v>1012</v>
      </c>
      <c r="B156">
        <f>monster.xml!B160</f>
        <v>2001</v>
      </c>
      <c r="C156">
        <f>monster.xml!C160</f>
        <v>24</v>
      </c>
      <c r="D156" t="str">
        <f>monster.xml!D160</f>
        <v>阿扎达斯</v>
      </c>
      <c r="E156">
        <f>monster.xml!G160</f>
        <v>1001</v>
      </c>
      <c r="F156" t="str">
        <f>monster.xml!X160</f>
        <v>monster/10019.png</v>
      </c>
      <c r="G156">
        <f>monster.xml!Y160</f>
        <v>1</v>
      </c>
    </row>
    <row r="157" spans="1:7">
      <c r="A157">
        <f>monster.xml!A161</f>
        <v>1013</v>
      </c>
      <c r="B157">
        <f>monster.xml!B161</f>
        <v>2001</v>
      </c>
      <c r="C157">
        <f>monster.xml!C161</f>
        <v>26</v>
      </c>
      <c r="D157" t="str">
        <f>monster.xml!D161</f>
        <v>安图苏尔</v>
      </c>
      <c r="E157">
        <f>monster.xml!G161</f>
        <v>1001</v>
      </c>
      <c r="F157" t="str">
        <f>monster.xml!X161</f>
        <v>monster/10021.png</v>
      </c>
      <c r="G157">
        <f>monster.xml!Y161</f>
        <v>1</v>
      </c>
    </row>
    <row r="158" spans="1:7">
      <c r="A158">
        <f>monster.xml!A162</f>
        <v>1014</v>
      </c>
      <c r="B158">
        <f>monster.xml!B162</f>
        <v>2001</v>
      </c>
      <c r="C158">
        <f>monster.xml!C162</f>
        <v>28</v>
      </c>
      <c r="D158" t="str">
        <f>monster.xml!D162</f>
        <v>瑟莱德丝</v>
      </c>
      <c r="E158">
        <f>monster.xml!G162</f>
        <v>1001</v>
      </c>
      <c r="F158" t="str">
        <f>monster.xml!X162</f>
        <v>monster/10023.png</v>
      </c>
      <c r="G158">
        <f>monster.xml!Y162</f>
        <v>1</v>
      </c>
    </row>
    <row r="159" spans="1:7">
      <c r="A159">
        <f>monster.xml!A163</f>
        <v>1015</v>
      </c>
      <c r="B159">
        <f>monster.xml!B163</f>
        <v>2001</v>
      </c>
      <c r="C159">
        <f>monster.xml!C163</f>
        <v>30</v>
      </c>
      <c r="D159" t="str">
        <f>monster.xml!D163</f>
        <v>伊兰尼库斯</v>
      </c>
      <c r="E159">
        <f>monster.xml!G163</f>
        <v>1001</v>
      </c>
      <c r="F159" t="str">
        <f>monster.xml!X163</f>
        <v>monster/10025.png</v>
      </c>
      <c r="G159">
        <f>monster.xml!Y163</f>
        <v>1</v>
      </c>
    </row>
    <row r="160" spans="1:7">
      <c r="A160">
        <f>monster.xml!A164</f>
        <v>1016</v>
      </c>
      <c r="B160">
        <f>monster.xml!B164</f>
        <v>2001</v>
      </c>
      <c r="C160">
        <f>monster.xml!C164</f>
        <v>32</v>
      </c>
      <c r="D160" t="str">
        <f>monster.xml!D164</f>
        <v>戈多克大王</v>
      </c>
      <c r="E160">
        <f>monster.xml!G164</f>
        <v>1001</v>
      </c>
      <c r="F160" t="str">
        <f>monster.xml!X164</f>
        <v>monster/10108.png</v>
      </c>
      <c r="G160">
        <f>monster.xml!Y164</f>
        <v>1</v>
      </c>
    </row>
    <row r="161" spans="1:7">
      <c r="A161">
        <f>monster.xml!A165</f>
        <v>1017</v>
      </c>
      <c r="B161">
        <f>monster.xml!B165</f>
        <v>2001</v>
      </c>
      <c r="C161">
        <f>monster.xml!C165</f>
        <v>34</v>
      </c>
      <c r="D161" t="str">
        <f>monster.xml!D165</f>
        <v>索瑞森大帝</v>
      </c>
      <c r="E161">
        <f>monster.xml!G165</f>
        <v>1001</v>
      </c>
      <c r="F161" t="str">
        <f>monster.xml!X165</f>
        <v>monster/10027.png</v>
      </c>
      <c r="G161">
        <f>monster.xml!Y165</f>
        <v>1</v>
      </c>
    </row>
    <row r="162" spans="1:7">
      <c r="A162">
        <f>monster.xml!A166</f>
        <v>1018</v>
      </c>
      <c r="B162">
        <f>monster.xml!B166</f>
        <v>2001</v>
      </c>
      <c r="C162">
        <f>monster.xml!C166</f>
        <v>36</v>
      </c>
      <c r="D162" t="str">
        <f>monster.xml!D166</f>
        <v>瑞文戴尔</v>
      </c>
      <c r="E162">
        <f>monster.xml!G166</f>
        <v>1001</v>
      </c>
      <c r="F162" t="str">
        <f>monster.xml!X166</f>
        <v>monster/10029.png</v>
      </c>
      <c r="G162">
        <f>monster.xml!Y166</f>
        <v>1</v>
      </c>
    </row>
    <row r="163" spans="1:7">
      <c r="A163">
        <f>monster.xml!A167</f>
        <v>1019</v>
      </c>
      <c r="B163">
        <f>monster.xml!B167</f>
        <v>2001</v>
      </c>
      <c r="C163">
        <f>monster.xml!C167</f>
        <v>38</v>
      </c>
      <c r="D163" t="str">
        <f>monster.xml!D167</f>
        <v>黑暗院长</v>
      </c>
      <c r="E163">
        <f>monster.xml!G167</f>
        <v>1001</v>
      </c>
      <c r="F163" t="str">
        <f>monster.xml!X167</f>
        <v>monster/10104.png</v>
      </c>
      <c r="G163">
        <f>monster.xml!Y167</f>
        <v>1</v>
      </c>
    </row>
    <row r="164" spans="1:7">
      <c r="A164">
        <f>monster.xml!A168</f>
        <v>1020</v>
      </c>
      <c r="B164">
        <f>monster.xml!B168</f>
        <v>2001</v>
      </c>
      <c r="C164">
        <f>monster.xml!C168</f>
        <v>40</v>
      </c>
      <c r="D164" t="str">
        <f>monster.xml!D168</f>
        <v>达基萨斯</v>
      </c>
      <c r="E164">
        <f>monster.xml!G168</f>
        <v>1001</v>
      </c>
      <c r="F164" t="str">
        <f>monster.xml!X168</f>
        <v>monster/10031.png</v>
      </c>
      <c r="G164">
        <f>monster.xml!Y168</f>
        <v>1</v>
      </c>
    </row>
    <row r="165" spans="1:7">
      <c r="A165">
        <f>monster.xml!A169</f>
        <v>1021</v>
      </c>
      <c r="B165">
        <f>monster.xml!B169</f>
        <v>2001</v>
      </c>
      <c r="C165">
        <f>monster.xml!C169</f>
        <v>42</v>
      </c>
      <c r="D165" t="str">
        <f>monster.xml!D169</f>
        <v>维斯路登</v>
      </c>
      <c r="E165">
        <f>monster.xml!G169</f>
        <v>1001</v>
      </c>
      <c r="F165" t="str">
        <f>monster.xml!X169</f>
        <v>monster/10033.png</v>
      </c>
      <c r="G165">
        <f>monster.xml!Y169</f>
        <v>1</v>
      </c>
    </row>
    <row r="166" spans="1:7">
      <c r="A166">
        <f>monster.xml!A170</f>
        <v>1022</v>
      </c>
      <c r="B166">
        <f>monster.xml!B170</f>
        <v>2001</v>
      </c>
      <c r="C166">
        <f>monster.xml!C170</f>
        <v>44</v>
      </c>
      <c r="D166" t="str">
        <f>monster.xml!D170</f>
        <v>克里丹</v>
      </c>
      <c r="E166">
        <f>monster.xml!G170</f>
        <v>1001</v>
      </c>
      <c r="F166" t="str">
        <f>monster.xml!X170</f>
        <v>monster/10035.png</v>
      </c>
      <c r="G166">
        <f>monster.xml!Y170</f>
        <v>1</v>
      </c>
    </row>
    <row r="167" spans="1:7">
      <c r="A167">
        <f>monster.xml!A171</f>
        <v>1023</v>
      </c>
      <c r="B167">
        <f>monster.xml!B171</f>
        <v>2001</v>
      </c>
      <c r="C167">
        <f>monster.xml!C171</f>
        <v>46</v>
      </c>
      <c r="D167" t="str">
        <f>monster.xml!D171</f>
        <v>夸格米拉</v>
      </c>
      <c r="E167">
        <f>monster.xml!G171</f>
        <v>1001</v>
      </c>
      <c r="F167" t="str">
        <f>monster.xml!X171</f>
        <v>monster/10037.png</v>
      </c>
      <c r="G167">
        <f>monster.xml!Y171</f>
        <v>1</v>
      </c>
    </row>
    <row r="168" spans="1:7">
      <c r="A168">
        <f>monster.xml!A172</f>
        <v>1024</v>
      </c>
      <c r="B168">
        <f>monster.xml!B172</f>
        <v>2001</v>
      </c>
      <c r="C168">
        <f>monster.xml!C172</f>
        <v>48</v>
      </c>
      <c r="D168" t="str">
        <f>monster.xml!D172</f>
        <v>黑色阔步者</v>
      </c>
      <c r="E168">
        <f>monster.xml!G172</f>
        <v>1001</v>
      </c>
      <c r="F168" t="str">
        <f>monster.xml!X172</f>
        <v>monster/10039.png</v>
      </c>
      <c r="G168">
        <f>monster.xml!Y172</f>
        <v>1</v>
      </c>
    </row>
    <row r="169" spans="1:7">
      <c r="A169">
        <f>monster.xml!A173</f>
        <v>1025</v>
      </c>
      <c r="B169">
        <f>monster.xml!B173</f>
        <v>2001</v>
      </c>
      <c r="C169">
        <f>monster.xml!C173</f>
        <v>50</v>
      </c>
      <c r="D169" t="str">
        <f>monster.xml!D173</f>
        <v>节点亲王</v>
      </c>
      <c r="E169">
        <f>monster.xml!G173</f>
        <v>1001</v>
      </c>
      <c r="F169" t="str">
        <f>monster.xml!X173</f>
        <v>monster/10041.png</v>
      </c>
      <c r="G169">
        <f>monster.xml!Y173</f>
        <v>1</v>
      </c>
    </row>
    <row r="170" spans="1:7">
      <c r="A170">
        <f>monster.xml!A174</f>
        <v>1026</v>
      </c>
      <c r="B170">
        <f>monster.xml!B174</f>
        <v>2001</v>
      </c>
      <c r="C170">
        <f>monster.xml!C174</f>
        <v>52</v>
      </c>
      <c r="D170" t="str">
        <f>monster.xml!D174</f>
        <v>玛拉达尔</v>
      </c>
      <c r="E170">
        <f>monster.xml!G174</f>
        <v>1001</v>
      </c>
      <c r="F170" t="str">
        <f>monster.xml!X174</f>
        <v>monster/10043.png</v>
      </c>
      <c r="G170">
        <f>monster.xml!Y174</f>
        <v>1</v>
      </c>
    </row>
    <row r="171" spans="1:7">
      <c r="A171">
        <f>monster.xml!A175</f>
        <v>1027</v>
      </c>
      <c r="B171">
        <f>monster.xml!B175</f>
        <v>2001</v>
      </c>
      <c r="C171">
        <f>monster.xml!C175</f>
        <v>54</v>
      </c>
      <c r="D171" t="str">
        <f>monster.xml!D175</f>
        <v>时空猎手</v>
      </c>
      <c r="E171">
        <f>monster.xml!G175</f>
        <v>1001</v>
      </c>
      <c r="F171" t="str">
        <f>monster.xml!X175</f>
        <v>monster/10045.png</v>
      </c>
      <c r="G171">
        <f>monster.xml!Y175</f>
        <v>1</v>
      </c>
    </row>
    <row r="172" spans="1:7">
      <c r="A172">
        <f>monster.xml!A176</f>
        <v>1028</v>
      </c>
      <c r="B172">
        <f>monster.xml!B176</f>
        <v>2001</v>
      </c>
      <c r="C172">
        <f>monster.xml!C176</f>
        <v>56</v>
      </c>
      <c r="D172" t="str">
        <f>monster.xml!D176</f>
        <v>乌鸦之神</v>
      </c>
      <c r="E172">
        <f>monster.xml!G176</f>
        <v>1001</v>
      </c>
      <c r="F172" t="str">
        <f>monster.xml!X176</f>
        <v>monster/10047.png</v>
      </c>
      <c r="G172">
        <f>monster.xml!Y176</f>
        <v>1</v>
      </c>
    </row>
    <row r="173" spans="1:7">
      <c r="A173">
        <f>monster.xml!A177</f>
        <v>1029</v>
      </c>
      <c r="B173">
        <f>monster.xml!B177</f>
        <v>2001</v>
      </c>
      <c r="C173">
        <f>monster.xml!C177</f>
        <v>58</v>
      </c>
      <c r="D173" t="str">
        <f>monster.xml!D177</f>
        <v>摩摩尔</v>
      </c>
      <c r="E173">
        <f>monster.xml!G177</f>
        <v>1001</v>
      </c>
      <c r="F173" t="str">
        <f>monster.xml!X177</f>
        <v>monster/10049.png</v>
      </c>
      <c r="G173">
        <f>monster.xml!Y177</f>
        <v>1</v>
      </c>
    </row>
    <row r="174" spans="1:7">
      <c r="A174">
        <f>monster.xml!A178</f>
        <v>1030</v>
      </c>
      <c r="B174">
        <f>monster.xml!B178</f>
        <v>2001</v>
      </c>
      <c r="C174">
        <f>monster.xml!C178</f>
        <v>60</v>
      </c>
      <c r="D174" t="str">
        <f>monster.xml!D178</f>
        <v>卡利瑟里斯</v>
      </c>
      <c r="E174">
        <f>monster.xml!G178</f>
        <v>1001</v>
      </c>
      <c r="F174" t="str">
        <f>monster.xml!X178</f>
        <v>monster/10051.png</v>
      </c>
      <c r="G174">
        <f>monster.xml!Y178</f>
        <v>1</v>
      </c>
    </row>
    <row r="175" spans="1:7">
      <c r="A175">
        <f>monster.xml!A179</f>
        <v>1031</v>
      </c>
      <c r="B175">
        <f>monster.xml!B179</f>
        <v>2001</v>
      </c>
      <c r="C175">
        <f>monster.xml!C179</f>
        <v>62</v>
      </c>
      <c r="D175" t="str">
        <f>monster.xml!D179</f>
        <v>帕萨雷恩</v>
      </c>
      <c r="E175">
        <f>monster.xml!G179</f>
        <v>1001</v>
      </c>
      <c r="F175" t="str">
        <f>monster.xml!X179</f>
        <v>monster/10053.png</v>
      </c>
      <c r="G175">
        <f>monster.xml!Y179</f>
        <v>1</v>
      </c>
    </row>
    <row r="176" spans="1:7">
      <c r="A176">
        <f>monster.xml!A180</f>
        <v>1032</v>
      </c>
      <c r="B176">
        <f>monster.xml!B180</f>
        <v>2001</v>
      </c>
      <c r="C176">
        <f>monster.xml!C180</f>
        <v>64</v>
      </c>
      <c r="D176" t="str">
        <f>monster.xml!D180</f>
        <v>扭曲分裂者</v>
      </c>
      <c r="E176">
        <f>monster.xml!G180</f>
        <v>1001</v>
      </c>
      <c r="F176" t="str">
        <f>monster.xml!X180</f>
        <v>monster/10055.png</v>
      </c>
      <c r="G176">
        <f>monster.xml!Y180</f>
        <v>1</v>
      </c>
    </row>
    <row r="177" spans="1:7">
      <c r="A177">
        <f>monster.xml!A181</f>
        <v>1033</v>
      </c>
      <c r="B177">
        <f>monster.xml!B181</f>
        <v>2001</v>
      </c>
      <c r="C177">
        <f>monster.xml!C181</f>
        <v>66</v>
      </c>
      <c r="D177" t="str">
        <f>monster.xml!D181</f>
        <v>斯克瑞斯</v>
      </c>
      <c r="E177">
        <f>monster.xml!G181</f>
        <v>1001</v>
      </c>
      <c r="F177" t="str">
        <f>monster.xml!X181</f>
        <v>monster/10057.png</v>
      </c>
      <c r="G177">
        <f>monster.xml!Y181</f>
        <v>1</v>
      </c>
    </row>
    <row r="178" spans="1:7">
      <c r="A178">
        <f>monster.xml!A182</f>
        <v>1034</v>
      </c>
      <c r="B178">
        <f>monster.xml!B182</f>
        <v>2001</v>
      </c>
      <c r="C178">
        <f>monster.xml!C182</f>
        <v>68</v>
      </c>
      <c r="D178" t="str">
        <f>monster.xml!D182</f>
        <v>卡加斯刃拳</v>
      </c>
      <c r="E178">
        <f>monster.xml!G182</f>
        <v>1001</v>
      </c>
      <c r="F178" t="str">
        <f>monster.xml!X182</f>
        <v>monster/10059.png</v>
      </c>
      <c r="G178">
        <f>monster.xml!Y182</f>
        <v>1</v>
      </c>
    </row>
    <row r="179" spans="1:7">
      <c r="A179">
        <f>monster.xml!A183</f>
        <v>1035</v>
      </c>
      <c r="B179">
        <f>monster.xml!B183</f>
        <v>2001</v>
      </c>
      <c r="C179">
        <f>monster.xml!C183</f>
        <v>70</v>
      </c>
      <c r="D179" t="str">
        <f>monster.xml!D183</f>
        <v>埃欧努斯</v>
      </c>
      <c r="E179">
        <f>monster.xml!G183</f>
        <v>1001</v>
      </c>
      <c r="F179" t="str">
        <f>monster.xml!X183</f>
        <v>monster/10061.png</v>
      </c>
      <c r="G179">
        <f>monster.xml!Y183</f>
        <v>1</v>
      </c>
    </row>
    <row r="180" spans="1:7">
      <c r="A180">
        <f>monster.xml!A184</f>
        <v>1036</v>
      </c>
      <c r="B180">
        <f>monster.xml!B184</f>
        <v>2001</v>
      </c>
      <c r="C180">
        <f>monster.xml!C184</f>
        <v>72</v>
      </c>
      <c r="D180" t="str">
        <f>monster.xml!D184</f>
        <v>凯尔萨斯</v>
      </c>
      <c r="E180">
        <f>monster.xml!G184</f>
        <v>1001</v>
      </c>
      <c r="F180" t="str">
        <f>monster.xml!X184</f>
        <v>monster/10063.png</v>
      </c>
      <c r="G180">
        <f>monster.xml!Y184</f>
        <v>1</v>
      </c>
    </row>
    <row r="181" spans="1:7">
      <c r="A181">
        <f>monster.xml!A185</f>
        <v>9000</v>
      </c>
      <c r="B181">
        <f>monster.xml!B185</f>
        <v>2003</v>
      </c>
      <c r="C181">
        <f>monster.xml!C185</f>
        <v>10</v>
      </c>
      <c r="D181" t="str">
        <f>monster.xml!D185</f>
        <v>子车鸿德</v>
      </c>
      <c r="E181">
        <f>monster.xml!G185</f>
        <v>1001</v>
      </c>
      <c r="F181" t="str">
        <f>monster.xml!X185</f>
        <v>UI/Program/HeroMaster_Man_1.png</v>
      </c>
      <c r="G181">
        <f>monster.xml!Y185</f>
        <v>0</v>
      </c>
    </row>
    <row r="182" spans="1:7">
      <c r="A182">
        <f>monster.xml!A186</f>
        <v>9001</v>
      </c>
      <c r="B182">
        <f>monster.xml!B186</f>
        <v>2001</v>
      </c>
      <c r="C182">
        <f>monster.xml!C186</f>
        <v>10</v>
      </c>
      <c r="D182" t="str">
        <f>monster.xml!D186</f>
        <v>阴博涉</v>
      </c>
      <c r="E182">
        <f>monster.xml!G186</f>
        <v>1001</v>
      </c>
      <c r="F182" t="str">
        <f>monster.xml!X186</f>
        <v>UI/Program/HeroWarrior_Man_1.png</v>
      </c>
      <c r="G182">
        <f>monster.xml!Y186</f>
        <v>0</v>
      </c>
    </row>
    <row r="183" spans="1:7">
      <c r="A183">
        <f>monster.xml!A187</f>
        <v>9002</v>
      </c>
      <c r="B183">
        <f>monster.xml!B187</f>
        <v>2002</v>
      </c>
      <c r="C183">
        <f>monster.xml!C187</f>
        <v>10</v>
      </c>
      <c r="D183" t="str">
        <f>monster.xml!D187</f>
        <v>庚明达</v>
      </c>
      <c r="E183">
        <f>monster.xml!G187</f>
        <v>1001</v>
      </c>
      <c r="F183" t="str">
        <f>monster.xml!X187</f>
        <v>UI/Program/HeroHunter_Man_1.png</v>
      </c>
      <c r="G183">
        <f>monster.xml!Y187</f>
        <v>0</v>
      </c>
    </row>
    <row r="184" spans="1:7">
      <c r="A184">
        <f>monster.xml!A188</f>
        <v>9003</v>
      </c>
      <c r="B184">
        <f>monster.xml!B188</f>
        <v>2003</v>
      </c>
      <c r="C184">
        <f>monster.xml!C188</f>
        <v>10</v>
      </c>
      <c r="D184" t="str">
        <f>monster.xml!D188</f>
        <v>令狐旭彬</v>
      </c>
      <c r="E184">
        <f>monster.xml!G188</f>
        <v>1001</v>
      </c>
      <c r="F184" t="str">
        <f>monster.xml!X188</f>
        <v>UI/Program/HeroMaster_Woman_1.png</v>
      </c>
      <c r="G184">
        <f>monster.xml!Y188</f>
        <v>0</v>
      </c>
    </row>
    <row r="185" spans="1:7">
      <c r="A185">
        <f>monster.xml!A189</f>
        <v>9004</v>
      </c>
      <c r="B185">
        <f>monster.xml!B189</f>
        <v>2001</v>
      </c>
      <c r="C185">
        <f>monster.xml!C189</f>
        <v>10</v>
      </c>
      <c r="D185" t="str">
        <f>monster.xml!D189</f>
        <v>辉安国</v>
      </c>
      <c r="E185">
        <f>monster.xml!G189</f>
        <v>1001</v>
      </c>
      <c r="F185" t="str">
        <f>monster.xml!X189</f>
        <v>UI/Program/HeroWarrior_Woman_1.png</v>
      </c>
      <c r="G185">
        <f>monster.xml!Y189</f>
        <v>0</v>
      </c>
    </row>
    <row r="186" spans="1:7">
      <c r="A186">
        <f>monster.xml!A190</f>
        <v>9005</v>
      </c>
      <c r="B186">
        <f>monster.xml!B190</f>
        <v>2002</v>
      </c>
      <c r="C186">
        <f>monster.xml!C190</f>
        <v>11</v>
      </c>
      <c r="D186" t="str">
        <f>monster.xml!D190</f>
        <v>狄昂雄</v>
      </c>
      <c r="E186">
        <f>monster.xml!G190</f>
        <v>1001</v>
      </c>
      <c r="F186" t="str">
        <f>monster.xml!X190</f>
        <v>UI/Program/HeroHunter_WOman_1.png</v>
      </c>
      <c r="G186">
        <f>monster.xml!Y190</f>
        <v>0</v>
      </c>
    </row>
    <row r="187" spans="1:7">
      <c r="A187">
        <f>monster.xml!A191</f>
        <v>9006</v>
      </c>
      <c r="B187">
        <f>monster.xml!B191</f>
        <v>2003</v>
      </c>
      <c r="C187">
        <f>monster.xml!C191</f>
        <v>11</v>
      </c>
      <c r="D187" t="str">
        <f>monster.xml!D191</f>
        <v>訾阳曦</v>
      </c>
      <c r="E187">
        <f>monster.xml!G191</f>
        <v>1001</v>
      </c>
      <c r="F187" t="str">
        <f>monster.xml!X191</f>
        <v>UI/Program/HeroMaster_Man_1.png</v>
      </c>
      <c r="G187">
        <f>monster.xml!Y191</f>
        <v>0</v>
      </c>
    </row>
    <row r="188" spans="1:7">
      <c r="A188">
        <f>monster.xml!A192</f>
        <v>9007</v>
      </c>
      <c r="B188">
        <f>monster.xml!B192</f>
        <v>2001</v>
      </c>
      <c r="C188">
        <f>monster.xml!C192</f>
        <v>11</v>
      </c>
      <c r="D188" t="str">
        <f>monster.xml!D192</f>
        <v>漆国兴</v>
      </c>
      <c r="E188">
        <f>monster.xml!G192</f>
        <v>1001</v>
      </c>
      <c r="F188" t="str">
        <f>monster.xml!X192</f>
        <v>UI/Program/HeroWarrior_Man_1.png</v>
      </c>
      <c r="G188">
        <f>monster.xml!Y192</f>
        <v>0</v>
      </c>
    </row>
    <row r="189" spans="1:7">
      <c r="A189">
        <f>monster.xml!A193</f>
        <v>9008</v>
      </c>
      <c r="B189">
        <f>monster.xml!B193</f>
        <v>2002</v>
      </c>
      <c r="C189">
        <f>monster.xml!C193</f>
        <v>11</v>
      </c>
      <c r="D189" t="str">
        <f>monster.xml!D193</f>
        <v>剑旭尧</v>
      </c>
      <c r="E189">
        <f>monster.xml!G193</f>
        <v>1001</v>
      </c>
      <c r="F189" t="str">
        <f>monster.xml!X193</f>
        <v>UI/Program/HeroHunter_Man_1.png</v>
      </c>
      <c r="G189">
        <f>monster.xml!Y193</f>
        <v>0</v>
      </c>
    </row>
    <row r="190" spans="1:7">
      <c r="A190">
        <f>monster.xml!A194</f>
        <v>9009</v>
      </c>
      <c r="B190">
        <f>monster.xml!B194</f>
        <v>2003</v>
      </c>
      <c r="C190">
        <f>monster.xml!C194</f>
        <v>11</v>
      </c>
      <c r="D190" t="str">
        <f>monster.xml!D194</f>
        <v>枚元青</v>
      </c>
      <c r="E190">
        <f>monster.xml!G194</f>
        <v>1001</v>
      </c>
      <c r="F190" t="str">
        <f>monster.xml!X194</f>
        <v>UI/Program/HeroMaster_Woman_1.png</v>
      </c>
      <c r="G190">
        <f>monster.xml!Y194</f>
        <v>0</v>
      </c>
    </row>
    <row r="191" spans="1:7">
      <c r="A191">
        <f>monster.xml!A195</f>
        <v>9010</v>
      </c>
      <c r="B191">
        <f>monster.xml!B195</f>
        <v>2001</v>
      </c>
      <c r="C191">
        <f>monster.xml!C195</f>
        <v>12</v>
      </c>
      <c r="D191" t="str">
        <f>monster.xml!D195</f>
        <v>星元恺</v>
      </c>
      <c r="E191">
        <f>monster.xml!G195</f>
        <v>1001</v>
      </c>
      <c r="F191" t="str">
        <f>monster.xml!X195</f>
        <v>UI/Program/HeroWarrior_Woman_1.png</v>
      </c>
      <c r="G191">
        <f>monster.xml!Y195</f>
        <v>0</v>
      </c>
    </row>
    <row r="192" spans="1:7">
      <c r="A192">
        <f>monster.xml!A196</f>
        <v>9011</v>
      </c>
      <c r="B192">
        <f>monster.xml!B196</f>
        <v>2002</v>
      </c>
      <c r="C192">
        <f>monster.xml!C196</f>
        <v>12</v>
      </c>
      <c r="D192" t="str">
        <f>monster.xml!D196</f>
        <v>秋承宣</v>
      </c>
      <c r="E192">
        <f>monster.xml!G196</f>
        <v>1001</v>
      </c>
      <c r="F192" t="str">
        <f>monster.xml!X196</f>
        <v>UI/Program/HeroHunter_WOman_1.png</v>
      </c>
      <c r="G192">
        <f>monster.xml!Y196</f>
        <v>0</v>
      </c>
    </row>
    <row r="193" spans="1:7">
      <c r="A193">
        <f>monster.xml!A197</f>
        <v>9012</v>
      </c>
      <c r="B193">
        <f>monster.xml!B197</f>
        <v>2003</v>
      </c>
      <c r="C193">
        <f>monster.xml!C197</f>
        <v>12</v>
      </c>
      <c r="D193" t="str">
        <f>monster.xml!D197</f>
        <v>濯俊逸</v>
      </c>
      <c r="E193">
        <f>monster.xml!G197</f>
        <v>1001</v>
      </c>
      <c r="F193" t="str">
        <f>monster.xml!X197</f>
        <v>UI/Program/HeroMaster_Man_1.png</v>
      </c>
      <c r="G193">
        <f>monster.xml!Y197</f>
        <v>0</v>
      </c>
    </row>
    <row r="194" spans="1:7">
      <c r="A194">
        <f>monster.xml!A198</f>
        <v>9013</v>
      </c>
      <c r="B194">
        <f>monster.xml!B198</f>
        <v>2001</v>
      </c>
      <c r="C194">
        <f>monster.xml!C198</f>
        <v>12</v>
      </c>
      <c r="D194" t="str">
        <f>monster.xml!D198</f>
        <v>安奇逸</v>
      </c>
      <c r="E194">
        <f>monster.xml!G198</f>
        <v>1001</v>
      </c>
      <c r="F194" t="str">
        <f>monster.xml!X198</f>
        <v>UI/Program/HeroWarrior_Man_1.png</v>
      </c>
      <c r="G194">
        <f>monster.xml!Y198</f>
        <v>0</v>
      </c>
    </row>
    <row r="195" spans="1:7">
      <c r="A195">
        <f>monster.xml!A199</f>
        <v>9014</v>
      </c>
      <c r="B195">
        <f>monster.xml!B199</f>
        <v>2002</v>
      </c>
      <c r="C195">
        <f>monster.xml!C199</f>
        <v>12</v>
      </c>
      <c r="D195" t="str">
        <f>monster.xml!D199</f>
        <v>尹君浩</v>
      </c>
      <c r="E195">
        <f>monster.xml!G199</f>
        <v>1001</v>
      </c>
      <c r="F195" t="str">
        <f>monster.xml!X199</f>
        <v>UI/Program/HeroHunter_Man_1.png</v>
      </c>
      <c r="G195">
        <f>monster.xml!Y199</f>
        <v>0</v>
      </c>
    </row>
    <row r="196" spans="1:7">
      <c r="A196">
        <f>monster.xml!A200</f>
        <v>9015</v>
      </c>
      <c r="B196">
        <f>monster.xml!B200</f>
        <v>2003</v>
      </c>
      <c r="C196">
        <f>monster.xml!C200</f>
        <v>13</v>
      </c>
      <c r="D196" t="str">
        <f>monster.xml!D200</f>
        <v>刁弘懿</v>
      </c>
      <c r="E196">
        <f>monster.xml!G200</f>
        <v>1001</v>
      </c>
      <c r="F196" t="str">
        <f>monster.xml!X200</f>
        <v>UI/Program/HeroMaster_Woman_1.png</v>
      </c>
      <c r="G196">
        <f>monster.xml!Y200</f>
        <v>0</v>
      </c>
    </row>
    <row r="197" spans="1:7">
      <c r="A197">
        <f>monster.xml!A201</f>
        <v>9016</v>
      </c>
      <c r="B197">
        <f>monster.xml!B201</f>
        <v>2001</v>
      </c>
      <c r="C197">
        <f>monster.xml!C201</f>
        <v>13</v>
      </c>
      <c r="D197" t="str">
        <f>monster.xml!D201</f>
        <v>锺离骏伟</v>
      </c>
      <c r="E197">
        <f>monster.xml!G201</f>
        <v>1001</v>
      </c>
      <c r="F197" t="str">
        <f>monster.xml!X201</f>
        <v>UI/Program/HeroWarrior_Woman_1.png</v>
      </c>
      <c r="G197">
        <f>monster.xml!Y201</f>
        <v>0</v>
      </c>
    </row>
    <row r="198" spans="1:7">
      <c r="A198">
        <f>monster.xml!A202</f>
        <v>9017</v>
      </c>
      <c r="B198">
        <f>monster.xml!B202</f>
        <v>2002</v>
      </c>
      <c r="C198">
        <f>monster.xml!C202</f>
        <v>13</v>
      </c>
      <c r="D198" t="str">
        <f>monster.xml!D202</f>
        <v>袭浦和</v>
      </c>
      <c r="E198">
        <f>monster.xml!G202</f>
        <v>1001</v>
      </c>
      <c r="F198" t="str">
        <f>monster.xml!X202</f>
        <v>UI/Program/HeroHunter_WOman_1.png</v>
      </c>
      <c r="G198">
        <f>monster.xml!Y202</f>
        <v>0</v>
      </c>
    </row>
    <row r="199" spans="1:7">
      <c r="A199">
        <f>monster.xml!A203</f>
        <v>9018</v>
      </c>
      <c r="B199">
        <f>monster.xml!B203</f>
        <v>2003</v>
      </c>
      <c r="C199">
        <f>monster.xml!C203</f>
        <v>13</v>
      </c>
      <c r="D199" t="str">
        <f>monster.xml!D203</f>
        <v>能高格</v>
      </c>
      <c r="E199">
        <f>monster.xml!G203</f>
        <v>1001</v>
      </c>
      <c r="F199" t="str">
        <f>monster.xml!X203</f>
        <v>UI/Program/HeroMaster_Man_1.png</v>
      </c>
      <c r="G199">
        <f>monster.xml!Y203</f>
        <v>0</v>
      </c>
    </row>
    <row r="200" spans="1:7">
      <c r="A200">
        <f>monster.xml!A204</f>
        <v>9019</v>
      </c>
      <c r="B200">
        <f>monster.xml!B204</f>
        <v>2001</v>
      </c>
      <c r="C200">
        <f>monster.xml!C204</f>
        <v>13</v>
      </c>
      <c r="D200" t="str">
        <f>monster.xml!D204</f>
        <v>阚信然</v>
      </c>
      <c r="E200">
        <f>monster.xml!G204</f>
        <v>1001</v>
      </c>
      <c r="F200" t="str">
        <f>monster.xml!X204</f>
        <v>UI/Program/HeroWarrior_Man_1.png</v>
      </c>
      <c r="G200">
        <f>monster.xml!Y204</f>
        <v>0</v>
      </c>
    </row>
    <row r="201" spans="1:7">
      <c r="A201">
        <f>monster.xml!A205</f>
        <v>9020</v>
      </c>
      <c r="B201">
        <f>monster.xml!B205</f>
        <v>2002</v>
      </c>
      <c r="C201">
        <f>monster.xml!C205</f>
        <v>14</v>
      </c>
      <c r="D201" t="str">
        <f>monster.xml!D205</f>
        <v>太史开霁</v>
      </c>
      <c r="E201">
        <f>monster.xml!G205</f>
        <v>1001</v>
      </c>
      <c r="F201" t="str">
        <f>monster.xml!X205</f>
        <v>UI/Program/HeroHunter_Man_1.png</v>
      </c>
      <c r="G201">
        <f>monster.xml!Y205</f>
        <v>0</v>
      </c>
    </row>
    <row r="202" spans="1:7">
      <c r="A202">
        <f>monster.xml!A206</f>
        <v>9021</v>
      </c>
      <c r="B202">
        <f>monster.xml!B206</f>
        <v>2003</v>
      </c>
      <c r="C202">
        <f>monster.xml!C206</f>
        <v>14</v>
      </c>
      <c r="D202" t="str">
        <f>monster.xml!D206</f>
        <v>贲俊悟</v>
      </c>
      <c r="E202">
        <f>monster.xml!G206</f>
        <v>1001</v>
      </c>
      <c r="F202" t="str">
        <f>monster.xml!X206</f>
        <v>UI/Program/HeroMaster_Woman_1.png</v>
      </c>
      <c r="G202">
        <f>monster.xml!Y206</f>
        <v>0</v>
      </c>
    </row>
    <row r="203" spans="1:7">
      <c r="A203">
        <f>monster.xml!A207</f>
        <v>9022</v>
      </c>
      <c r="B203">
        <f>monster.xml!B207</f>
        <v>2001</v>
      </c>
      <c r="C203">
        <f>monster.xml!C207</f>
        <v>14</v>
      </c>
      <c r="D203" t="str">
        <f>monster.xml!D207</f>
        <v>买文柏</v>
      </c>
      <c r="E203">
        <f>monster.xml!G207</f>
        <v>1001</v>
      </c>
      <c r="F203" t="str">
        <f>monster.xml!X207</f>
        <v>UI/Program/HeroWarrior_Woman_1.png</v>
      </c>
      <c r="G203">
        <f>monster.xml!Y207</f>
        <v>0</v>
      </c>
    </row>
    <row r="204" spans="1:7">
      <c r="A204">
        <f>monster.xml!A208</f>
        <v>9023</v>
      </c>
      <c r="B204">
        <f>monster.xml!B208</f>
        <v>2002</v>
      </c>
      <c r="C204">
        <f>monster.xml!C208</f>
        <v>14</v>
      </c>
      <c r="D204" t="str">
        <f>monster.xml!D208</f>
        <v>裘弘伟</v>
      </c>
      <c r="E204">
        <f>monster.xml!G208</f>
        <v>1001</v>
      </c>
      <c r="F204" t="str">
        <f>monster.xml!X208</f>
        <v>UI/Program/HeroHunter_WOman_1.png</v>
      </c>
      <c r="G204">
        <f>monster.xml!Y208</f>
        <v>0</v>
      </c>
    </row>
    <row r="205" spans="1:7">
      <c r="A205">
        <f>monster.xml!A209</f>
        <v>9024</v>
      </c>
      <c r="B205">
        <f>monster.xml!B209</f>
        <v>2003</v>
      </c>
      <c r="C205">
        <f>monster.xml!C209</f>
        <v>14</v>
      </c>
      <c r="D205" t="str">
        <f>monster.xml!D209</f>
        <v>江晋鹏</v>
      </c>
      <c r="E205">
        <f>monster.xml!G209</f>
        <v>1001</v>
      </c>
      <c r="F205" t="str">
        <f>monster.xml!X209</f>
        <v>UI/Program/HeroMaster_Man_1.png</v>
      </c>
      <c r="G205">
        <f>monster.xml!Y209</f>
        <v>0</v>
      </c>
    </row>
    <row r="206" spans="1:7">
      <c r="A206">
        <f>monster.xml!A210</f>
        <v>9025</v>
      </c>
      <c r="B206">
        <f>monster.xml!B210</f>
        <v>2001</v>
      </c>
      <c r="C206">
        <f>monster.xml!C210</f>
        <v>15</v>
      </c>
      <c r="D206" t="str">
        <f>monster.xml!D210</f>
        <v>左丘建木</v>
      </c>
      <c r="E206">
        <f>monster.xml!G210</f>
        <v>1001</v>
      </c>
      <c r="F206" t="str">
        <f>monster.xml!X210</f>
        <v>UI/Program/HeroWarrior_Man_1.png</v>
      </c>
      <c r="G206">
        <f>monster.xml!Y210</f>
        <v>0</v>
      </c>
    </row>
    <row r="207" spans="1:7">
      <c r="A207">
        <f>monster.xml!A211</f>
        <v>9026</v>
      </c>
      <c r="B207">
        <f>monster.xml!B211</f>
        <v>2002</v>
      </c>
      <c r="C207">
        <f>monster.xml!C211</f>
        <v>15</v>
      </c>
      <c r="D207" t="str">
        <f>monster.xml!D211</f>
        <v>司寇德华</v>
      </c>
      <c r="E207">
        <f>monster.xml!G211</f>
        <v>1001</v>
      </c>
      <c r="F207" t="str">
        <f>monster.xml!X211</f>
        <v>UI/Program/HeroHunter_Man_1.png</v>
      </c>
      <c r="G207">
        <f>monster.xml!Y211</f>
        <v>0</v>
      </c>
    </row>
    <row r="208" spans="1:7">
      <c r="A208">
        <f>monster.xml!A212</f>
        <v>9027</v>
      </c>
      <c r="B208">
        <f>monster.xml!B212</f>
        <v>2003</v>
      </c>
      <c r="C208">
        <f>monster.xml!C212</f>
        <v>15</v>
      </c>
      <c r="D208" t="str">
        <f>monster.xml!D212</f>
        <v>晁兴国</v>
      </c>
      <c r="E208">
        <f>monster.xml!G212</f>
        <v>1001</v>
      </c>
      <c r="F208" t="str">
        <f>monster.xml!X212</f>
        <v>UI/Program/HeroMaster_Woman_1.png</v>
      </c>
      <c r="G208">
        <f>monster.xml!Y212</f>
        <v>0</v>
      </c>
    </row>
    <row r="209" spans="1:7">
      <c r="A209">
        <f>monster.xml!A213</f>
        <v>9028</v>
      </c>
      <c r="B209">
        <f>monster.xml!B213</f>
        <v>2001</v>
      </c>
      <c r="C209">
        <f>monster.xml!C213</f>
        <v>15</v>
      </c>
      <c r="D209" t="str">
        <f>monster.xml!D213</f>
        <v>柴永贞</v>
      </c>
      <c r="E209">
        <f>monster.xml!G213</f>
        <v>1001</v>
      </c>
      <c r="F209" t="str">
        <f>monster.xml!X213</f>
        <v>UI/Program/HeroWarrior_Woman_1.png</v>
      </c>
      <c r="G209">
        <f>monster.xml!Y213</f>
        <v>0</v>
      </c>
    </row>
    <row r="210" spans="1:7">
      <c r="A210">
        <f>monster.xml!A214</f>
        <v>9029</v>
      </c>
      <c r="B210">
        <f>monster.xml!B214</f>
        <v>2002</v>
      </c>
      <c r="C210">
        <f>monster.xml!C214</f>
        <v>15</v>
      </c>
      <c r="D210" t="str">
        <f>monster.xml!D214</f>
        <v>茂永昌</v>
      </c>
      <c r="E210">
        <f>monster.xml!G214</f>
        <v>1001</v>
      </c>
      <c r="F210" t="str">
        <f>monster.xml!X214</f>
        <v>UI/Program/HeroHunter_WOman_1.png</v>
      </c>
      <c r="G210">
        <f>monster.xml!Y214</f>
        <v>0</v>
      </c>
    </row>
    <row r="211" spans="1:7">
      <c r="A211">
        <f>monster.xml!A215</f>
        <v>9030</v>
      </c>
      <c r="B211">
        <f>monster.xml!B215</f>
        <v>2003</v>
      </c>
      <c r="C211">
        <f>monster.xml!C215</f>
        <v>16</v>
      </c>
      <c r="D211" t="str">
        <f>monster.xml!D215</f>
        <v>郎英朗</v>
      </c>
      <c r="E211">
        <f>monster.xml!G215</f>
        <v>1001</v>
      </c>
      <c r="F211" t="str">
        <f>monster.xml!X215</f>
        <v>UI/Program/HeroMaster_Man_1.png</v>
      </c>
      <c r="G211">
        <f>monster.xml!Y215</f>
        <v>0</v>
      </c>
    </row>
    <row r="212" spans="1:7">
      <c r="A212">
        <f>monster.xml!A216</f>
        <v>9031</v>
      </c>
      <c r="B212">
        <f>monster.xml!B216</f>
        <v>2001</v>
      </c>
      <c r="C212">
        <f>monster.xml!C216</f>
        <v>16</v>
      </c>
      <c r="D212" t="str">
        <f>monster.xml!D216</f>
        <v>苦嘉石</v>
      </c>
      <c r="E212">
        <f>monster.xml!G216</f>
        <v>1001</v>
      </c>
      <c r="F212" t="str">
        <f>monster.xml!X216</f>
        <v>UI/Program/HeroWarrior_Man_1.png</v>
      </c>
      <c r="G212">
        <f>monster.xml!Y216</f>
        <v>0</v>
      </c>
    </row>
    <row r="213" spans="1:7">
      <c r="A213">
        <f>monster.xml!A217</f>
        <v>9032</v>
      </c>
      <c r="B213">
        <f>monster.xml!B217</f>
        <v>2002</v>
      </c>
      <c r="C213">
        <f>monster.xml!C217</f>
        <v>16</v>
      </c>
      <c r="D213" t="str">
        <f>monster.xml!D217</f>
        <v>素志文</v>
      </c>
      <c r="E213">
        <f>monster.xml!G217</f>
        <v>1001</v>
      </c>
      <c r="F213" t="str">
        <f>monster.xml!X217</f>
        <v>UI/Program/HeroHunter_Man_1.png</v>
      </c>
      <c r="G213">
        <f>monster.xml!Y217</f>
        <v>0</v>
      </c>
    </row>
    <row r="214" spans="1:7">
      <c r="A214">
        <f>monster.xml!A218</f>
        <v>9033</v>
      </c>
      <c r="B214">
        <f>monster.xml!B218</f>
        <v>2003</v>
      </c>
      <c r="C214">
        <f>monster.xml!C218</f>
        <v>16</v>
      </c>
      <c r="D214" t="str">
        <f>monster.xml!D218</f>
        <v>奚运盛</v>
      </c>
      <c r="E214">
        <f>monster.xml!G218</f>
        <v>1001</v>
      </c>
      <c r="F214" t="str">
        <f>monster.xml!X218</f>
        <v>UI/Program/HeroMaster_Woman_1.png</v>
      </c>
      <c r="G214">
        <f>monster.xml!Y218</f>
        <v>0</v>
      </c>
    </row>
    <row r="215" spans="1:7">
      <c r="A215">
        <f>monster.xml!A219</f>
        <v>9034</v>
      </c>
      <c r="B215">
        <f>monster.xml!B219</f>
        <v>2001</v>
      </c>
      <c r="C215">
        <f>monster.xml!C219</f>
        <v>16</v>
      </c>
      <c r="D215" t="str">
        <f>monster.xml!D219</f>
        <v>玄庆生</v>
      </c>
      <c r="E215">
        <f>monster.xml!G219</f>
        <v>1001</v>
      </c>
      <c r="F215" t="str">
        <f>monster.xml!X219</f>
        <v>UI/Program/HeroWarrior_Woman_1.png</v>
      </c>
      <c r="G215">
        <f>monster.xml!Y219</f>
        <v>0</v>
      </c>
    </row>
    <row r="216" spans="1:7">
      <c r="A216">
        <f>monster.xml!A220</f>
        <v>9035</v>
      </c>
      <c r="B216">
        <f>monster.xml!B220</f>
        <v>2002</v>
      </c>
      <c r="C216">
        <f>monster.xml!C220</f>
        <v>17</v>
      </c>
      <c r="D216" t="str">
        <f>monster.xml!D220</f>
        <v>愈德本</v>
      </c>
      <c r="E216">
        <f>monster.xml!G220</f>
        <v>1001</v>
      </c>
      <c r="F216" t="str">
        <f>monster.xml!X220</f>
        <v>UI/Program/HeroHunter_WOman_1.png</v>
      </c>
      <c r="G216">
        <f>monster.xml!Y220</f>
        <v>0</v>
      </c>
    </row>
    <row r="217" spans="1:7">
      <c r="A217">
        <f>monster.xml!A221</f>
        <v>9036</v>
      </c>
      <c r="B217">
        <f>monster.xml!B221</f>
        <v>2003</v>
      </c>
      <c r="C217">
        <f>monster.xml!C221</f>
        <v>17</v>
      </c>
      <c r="D217" t="str">
        <f>monster.xml!D221</f>
        <v>春天翰</v>
      </c>
      <c r="E217">
        <f>monster.xml!G221</f>
        <v>1001</v>
      </c>
      <c r="F217" t="str">
        <f>monster.xml!X221</f>
        <v>UI/Program/HeroMaster_Man_1.png</v>
      </c>
      <c r="G217">
        <f>monster.xml!Y221</f>
        <v>0</v>
      </c>
    </row>
    <row r="218" spans="1:7">
      <c r="A218">
        <f>monster.xml!A222</f>
        <v>9037</v>
      </c>
      <c r="B218">
        <f>monster.xml!B222</f>
        <v>2001</v>
      </c>
      <c r="C218">
        <f>monster.xml!C222</f>
        <v>17</v>
      </c>
      <c r="D218" t="str">
        <f>monster.xml!D222</f>
        <v>巨长平</v>
      </c>
      <c r="E218">
        <f>monster.xml!G222</f>
        <v>1001</v>
      </c>
      <c r="F218" t="str">
        <f>monster.xml!X222</f>
        <v>UI/Program/HeroWarrior_Man_1.png</v>
      </c>
      <c r="G218">
        <f>monster.xml!Y222</f>
        <v>0</v>
      </c>
    </row>
    <row r="219" spans="1:7">
      <c r="A219">
        <f>monster.xml!A223</f>
        <v>9038</v>
      </c>
      <c r="B219">
        <f>monster.xml!B223</f>
        <v>2002</v>
      </c>
      <c r="C219">
        <f>monster.xml!C223</f>
        <v>17</v>
      </c>
      <c r="D219" t="str">
        <f>monster.xml!D223</f>
        <v>颜欣悦</v>
      </c>
      <c r="E219">
        <f>monster.xml!G223</f>
        <v>1001</v>
      </c>
      <c r="F219" t="str">
        <f>monster.xml!X223</f>
        <v>UI/Program/HeroHunter_Man_1.png</v>
      </c>
      <c r="G219">
        <f>monster.xml!Y223</f>
        <v>0</v>
      </c>
    </row>
    <row r="220" spans="1:7">
      <c r="A220">
        <f>monster.xml!A224</f>
        <v>9039</v>
      </c>
      <c r="B220">
        <f>monster.xml!B224</f>
        <v>2003</v>
      </c>
      <c r="C220">
        <f>monster.xml!C224</f>
        <v>17</v>
      </c>
      <c r="D220" t="str">
        <f>monster.xml!D224</f>
        <v>荀文星</v>
      </c>
      <c r="E220">
        <f>monster.xml!G224</f>
        <v>1001</v>
      </c>
      <c r="F220" t="str">
        <f>monster.xml!X224</f>
        <v>UI/Program/HeroMaster_Woman_1.png</v>
      </c>
      <c r="G220">
        <f>monster.xml!Y224</f>
        <v>0</v>
      </c>
    </row>
    <row r="221" spans="1:7">
      <c r="A221">
        <f>monster.xml!A225</f>
        <v>9040</v>
      </c>
      <c r="B221">
        <f>monster.xml!B225</f>
        <v>2001</v>
      </c>
      <c r="C221">
        <f>monster.xml!C225</f>
        <v>18</v>
      </c>
      <c r="D221" t="str">
        <f>monster.xml!D225</f>
        <v>巴鸿文</v>
      </c>
      <c r="E221">
        <f>monster.xml!G225</f>
        <v>1001</v>
      </c>
      <c r="F221" t="str">
        <f>monster.xml!X225</f>
        <v>UI/Program/HeroWarrior_Woman_1.png</v>
      </c>
      <c r="G221">
        <f>monster.xml!Y225</f>
        <v>0</v>
      </c>
    </row>
    <row r="222" spans="1:7">
      <c r="A222">
        <f>monster.xml!A226</f>
        <v>9041</v>
      </c>
      <c r="B222">
        <f>monster.xml!B226</f>
        <v>2002</v>
      </c>
      <c r="C222">
        <f>monster.xml!C226</f>
        <v>18</v>
      </c>
      <c r="D222" t="str">
        <f>monster.xml!D226</f>
        <v>洛安宜</v>
      </c>
      <c r="E222">
        <f>monster.xml!G226</f>
        <v>1001</v>
      </c>
      <c r="F222" t="str">
        <f>monster.xml!X226</f>
        <v>UI/Program/HeroHunter_WOman_1.png</v>
      </c>
      <c r="G222">
        <f>monster.xml!Y226</f>
        <v>0</v>
      </c>
    </row>
    <row r="223" spans="1:7">
      <c r="A223">
        <f>monster.xml!A227</f>
        <v>9042</v>
      </c>
      <c r="B223">
        <f>monster.xml!B227</f>
        <v>2003</v>
      </c>
      <c r="C223">
        <f>monster.xml!C227</f>
        <v>18</v>
      </c>
      <c r="D223" t="str">
        <f>monster.xml!D227</f>
        <v>翟腾逸</v>
      </c>
      <c r="E223">
        <f>monster.xml!G227</f>
        <v>1001</v>
      </c>
      <c r="F223" t="str">
        <f>monster.xml!X227</f>
        <v>UI/Program/HeroMaster_Man_1.png</v>
      </c>
      <c r="G223">
        <f>monster.xml!Y227</f>
        <v>0</v>
      </c>
    </row>
    <row r="224" spans="1:7">
      <c r="A224">
        <f>monster.xml!A228</f>
        <v>9043</v>
      </c>
      <c r="B224">
        <f>monster.xml!B228</f>
        <v>2001</v>
      </c>
      <c r="C224">
        <f>monster.xml!C228</f>
        <v>18</v>
      </c>
      <c r="D224" t="str">
        <f>monster.xml!D228</f>
        <v>谷梁彦昌</v>
      </c>
      <c r="E224">
        <f>monster.xml!G228</f>
        <v>1001</v>
      </c>
      <c r="F224" t="str">
        <f>monster.xml!X228</f>
        <v>UI/Program/HeroWarrior_Man_1.png</v>
      </c>
      <c r="G224">
        <f>monster.xml!Y228</f>
        <v>0</v>
      </c>
    </row>
    <row r="225" spans="1:7">
      <c r="A225">
        <f>monster.xml!A229</f>
        <v>9044</v>
      </c>
      <c r="B225">
        <f>monster.xml!B229</f>
        <v>2002</v>
      </c>
      <c r="C225">
        <f>monster.xml!C229</f>
        <v>18</v>
      </c>
      <c r="D225" t="str">
        <f>monster.xml!D229</f>
        <v>吉德容</v>
      </c>
      <c r="E225">
        <f>monster.xml!G229</f>
        <v>1001</v>
      </c>
      <c r="F225" t="str">
        <f>monster.xml!X229</f>
        <v>UI/Program/HeroHunter_Man_1.png</v>
      </c>
      <c r="G225">
        <f>monster.xml!Y229</f>
        <v>0</v>
      </c>
    </row>
    <row r="226" spans="1:7">
      <c r="A226">
        <f>monster.xml!A230</f>
        <v>9045</v>
      </c>
      <c r="B226">
        <f>monster.xml!B230</f>
        <v>2003</v>
      </c>
      <c r="C226">
        <f>monster.xml!C230</f>
        <v>19</v>
      </c>
      <c r="D226" t="str">
        <f>monster.xml!D230</f>
        <v>沙玉泽</v>
      </c>
      <c r="E226">
        <f>monster.xml!G230</f>
        <v>1001</v>
      </c>
      <c r="F226" t="str">
        <f>monster.xml!X230</f>
        <v>UI/Program/HeroMaster_Woman_1.png</v>
      </c>
      <c r="G226">
        <f>monster.xml!Y230</f>
        <v>0</v>
      </c>
    </row>
    <row r="227" spans="1:7">
      <c r="A227">
        <f>monster.xml!A231</f>
        <v>9046</v>
      </c>
      <c r="B227">
        <f>monster.xml!B231</f>
        <v>2001</v>
      </c>
      <c r="C227">
        <f>monster.xml!C231</f>
        <v>19</v>
      </c>
      <c r="D227" t="str">
        <f>monster.xml!D231</f>
        <v>希睿德</v>
      </c>
      <c r="E227">
        <f>monster.xml!G231</f>
        <v>1001</v>
      </c>
      <c r="F227" t="str">
        <f>monster.xml!X231</f>
        <v>UI/Program/HeroWarrior_Woman_1.png</v>
      </c>
      <c r="G227">
        <f>monster.xml!Y231</f>
        <v>0</v>
      </c>
    </row>
    <row r="228" spans="1:7">
      <c r="A228">
        <f>monster.xml!A232</f>
        <v>9047</v>
      </c>
      <c r="B228">
        <f>monster.xml!B232</f>
        <v>2002</v>
      </c>
      <c r="C228">
        <f>monster.xml!C232</f>
        <v>19</v>
      </c>
      <c r="D228" t="str">
        <f>monster.xml!D232</f>
        <v>泰文曜</v>
      </c>
      <c r="E228">
        <f>monster.xml!G232</f>
        <v>1001</v>
      </c>
      <c r="F228" t="str">
        <f>monster.xml!X232</f>
        <v>UI/Program/HeroHunter_WOman_1.png</v>
      </c>
      <c r="G228">
        <f>monster.xml!Y232</f>
        <v>0</v>
      </c>
    </row>
    <row r="229" spans="1:7">
      <c r="A229">
        <f>monster.xml!A233</f>
        <v>9048</v>
      </c>
      <c r="B229">
        <f>monster.xml!B233</f>
        <v>2003</v>
      </c>
      <c r="C229">
        <f>monster.xml!C233</f>
        <v>19</v>
      </c>
      <c r="D229" t="str">
        <f>monster.xml!D233</f>
        <v>闭雅昶</v>
      </c>
      <c r="E229">
        <f>monster.xml!G233</f>
        <v>1001</v>
      </c>
      <c r="F229" t="str">
        <f>monster.xml!X233</f>
        <v>UI/Program/HeroMaster_Man_1.png</v>
      </c>
      <c r="G229">
        <f>monster.xml!Y233</f>
        <v>0</v>
      </c>
    </row>
    <row r="230" spans="1:7">
      <c r="A230">
        <f>monster.xml!A234</f>
        <v>9049</v>
      </c>
      <c r="B230">
        <f>monster.xml!B234</f>
        <v>2001</v>
      </c>
      <c r="C230">
        <f>monster.xml!C234</f>
        <v>19</v>
      </c>
      <c r="D230" t="str">
        <f>monster.xml!D234</f>
        <v>喜睿思</v>
      </c>
      <c r="E230">
        <f>monster.xml!G234</f>
        <v>1001</v>
      </c>
      <c r="F230" t="str">
        <f>monster.xml!X234</f>
        <v>UI/Program/HeroWarrior_Man_1.png</v>
      </c>
      <c r="G230">
        <f>monster.xml!Y234</f>
        <v>0</v>
      </c>
    </row>
    <row r="231" spans="1:7">
      <c r="A231">
        <f>monster.xml!A235</f>
        <v>9050</v>
      </c>
      <c r="B231">
        <f>monster.xml!B235</f>
        <v>2002</v>
      </c>
      <c r="C231">
        <f>monster.xml!C235</f>
        <v>20</v>
      </c>
      <c r="D231" t="str">
        <f>monster.xml!D235</f>
        <v>鲁嘉泽</v>
      </c>
      <c r="E231">
        <f>monster.xml!G235</f>
        <v>1001</v>
      </c>
      <c r="F231" t="str">
        <f>monster.xml!X235</f>
        <v>UI/Program/HeroHunter_Man_1.png</v>
      </c>
      <c r="G231">
        <f>monster.xml!Y235</f>
        <v>0</v>
      </c>
    </row>
    <row r="232" spans="1:7">
      <c r="A232">
        <f>monster.xml!A236</f>
        <v>9051</v>
      </c>
      <c r="B232">
        <f>monster.xml!B236</f>
        <v>2003</v>
      </c>
      <c r="C232">
        <f>monster.xml!C236</f>
        <v>20</v>
      </c>
      <c r="D232" t="str">
        <f>monster.xml!D236</f>
        <v>凤元正</v>
      </c>
      <c r="E232">
        <f>monster.xml!G236</f>
        <v>1001</v>
      </c>
      <c r="F232" t="str">
        <f>monster.xml!X236</f>
        <v>UI/Program/HeroMaster_Woman_1.png</v>
      </c>
      <c r="G232">
        <f>monster.xml!Y236</f>
        <v>0</v>
      </c>
    </row>
    <row r="233" spans="1:7">
      <c r="A233">
        <f>monster.xml!A237</f>
        <v>9052</v>
      </c>
      <c r="B233">
        <f>monster.xml!B237</f>
        <v>2001</v>
      </c>
      <c r="C233">
        <f>monster.xml!C237</f>
        <v>20</v>
      </c>
      <c r="D233" t="str">
        <f>monster.xml!D237</f>
        <v>骆康复</v>
      </c>
      <c r="E233">
        <f>monster.xml!G237</f>
        <v>1001</v>
      </c>
      <c r="F233" t="str">
        <f>monster.xml!X237</f>
        <v>UI/Program/HeroWarrior_Woman_1.png</v>
      </c>
      <c r="G233">
        <f>monster.xml!Y237</f>
        <v>0</v>
      </c>
    </row>
    <row r="234" spans="1:7">
      <c r="A234">
        <f>monster.xml!A238</f>
        <v>9053</v>
      </c>
      <c r="B234">
        <f>monster.xml!B238</f>
        <v>2002</v>
      </c>
      <c r="C234">
        <f>monster.xml!C238</f>
        <v>20</v>
      </c>
      <c r="D234" t="str">
        <f>monster.xml!D238</f>
        <v>势德厚</v>
      </c>
      <c r="E234">
        <f>monster.xml!G238</f>
        <v>1001</v>
      </c>
      <c r="F234" t="str">
        <f>monster.xml!X238</f>
        <v>UI/Program/HeroHunter_WOman_1.png</v>
      </c>
      <c r="G234">
        <f>monster.xml!Y238</f>
        <v>0</v>
      </c>
    </row>
    <row r="235" spans="1:7">
      <c r="A235">
        <f>monster.xml!A239</f>
        <v>9054</v>
      </c>
      <c r="B235">
        <f>monster.xml!B239</f>
        <v>2003</v>
      </c>
      <c r="C235">
        <f>monster.xml!C239</f>
        <v>20</v>
      </c>
      <c r="D235" t="str">
        <f>monster.xml!D239</f>
        <v>闵宏达</v>
      </c>
      <c r="E235">
        <f>monster.xml!G239</f>
        <v>1001</v>
      </c>
      <c r="F235" t="str">
        <f>monster.xml!X239</f>
        <v>UI/Program/HeroMaster_Man_1.png</v>
      </c>
      <c r="G235">
        <f>monster.xml!Y239</f>
        <v>0</v>
      </c>
    </row>
    <row r="236" spans="1:7">
      <c r="A236">
        <f>monster.xml!A240</f>
        <v>9055</v>
      </c>
      <c r="B236">
        <f>monster.xml!B240</f>
        <v>2001</v>
      </c>
      <c r="C236">
        <f>monster.xml!C240</f>
        <v>21</v>
      </c>
      <c r="D236" t="str">
        <f>monster.xml!D240</f>
        <v>邬宏博</v>
      </c>
      <c r="E236">
        <f>monster.xml!G240</f>
        <v>1001</v>
      </c>
      <c r="F236" t="str">
        <f>monster.xml!X240</f>
        <v>UI/Program/HeroWarrior_Man_1.png</v>
      </c>
      <c r="G236">
        <f>monster.xml!Y240</f>
        <v>0</v>
      </c>
    </row>
    <row r="237" spans="1:7">
      <c r="A237">
        <f>monster.xml!A241</f>
        <v>9056</v>
      </c>
      <c r="B237">
        <f>monster.xml!B241</f>
        <v>2002</v>
      </c>
      <c r="C237">
        <f>monster.xml!C241</f>
        <v>21</v>
      </c>
      <c r="D237" t="str">
        <f>monster.xml!D241</f>
        <v>郸飞鸿</v>
      </c>
      <c r="E237">
        <f>monster.xml!G241</f>
        <v>1001</v>
      </c>
      <c r="F237" t="str">
        <f>monster.xml!X241</f>
        <v>UI/Program/HeroHunter_Man_1.png</v>
      </c>
      <c r="G237">
        <f>monster.xml!Y241</f>
        <v>0</v>
      </c>
    </row>
    <row r="238" spans="1:7">
      <c r="A238">
        <f>monster.xml!A242</f>
        <v>9057</v>
      </c>
      <c r="B238">
        <f>monster.xml!B242</f>
        <v>2003</v>
      </c>
      <c r="C238">
        <f>monster.xml!C242</f>
        <v>21</v>
      </c>
      <c r="D238" t="str">
        <f>monster.xml!D242</f>
        <v>后英卫</v>
      </c>
      <c r="E238">
        <f>monster.xml!G242</f>
        <v>1001</v>
      </c>
      <c r="F238" t="str">
        <f>monster.xml!X242</f>
        <v>UI/Program/HeroMaster_Woman_1.png</v>
      </c>
      <c r="G238">
        <f>monster.xml!Y242</f>
        <v>0</v>
      </c>
    </row>
    <row r="239" spans="1:7">
      <c r="A239">
        <f>monster.xml!A243</f>
        <v>9058</v>
      </c>
      <c r="B239">
        <f>monster.xml!B243</f>
        <v>2001</v>
      </c>
      <c r="C239">
        <f>monster.xml!C243</f>
        <v>21</v>
      </c>
      <c r="D239" t="str">
        <f>monster.xml!D243</f>
        <v>栋永宁</v>
      </c>
      <c r="E239">
        <f>monster.xml!G243</f>
        <v>1001</v>
      </c>
      <c r="F239" t="str">
        <f>monster.xml!X243</f>
        <v>UI/Program/HeroWarrior_Woman_1.png</v>
      </c>
      <c r="G239">
        <f>monster.xml!Y243</f>
        <v>0</v>
      </c>
    </row>
    <row r="240" spans="1:7">
      <c r="A240">
        <f>monster.xml!A244</f>
        <v>9059</v>
      </c>
      <c r="B240">
        <f>monster.xml!B244</f>
        <v>2002</v>
      </c>
      <c r="C240">
        <f>monster.xml!C244</f>
        <v>21</v>
      </c>
      <c r="D240" t="str">
        <f>monster.xml!D244</f>
        <v>妫睿好</v>
      </c>
      <c r="E240">
        <f>monster.xml!G244</f>
        <v>1001</v>
      </c>
      <c r="F240" t="str">
        <f>monster.xml!X244</f>
        <v>UI/Program/HeroHunter_WOman_1.png</v>
      </c>
      <c r="G240">
        <f>monster.xml!Y244</f>
        <v>0</v>
      </c>
    </row>
    <row r="241" spans="1:7">
      <c r="A241">
        <f>monster.xml!A245</f>
        <v>9060</v>
      </c>
      <c r="B241">
        <f>monster.xml!B245</f>
        <v>2003</v>
      </c>
      <c r="C241">
        <f>monster.xml!C245</f>
        <v>22</v>
      </c>
      <c r="D241" t="str">
        <f>monster.xml!D245</f>
        <v>衷星洲</v>
      </c>
      <c r="E241">
        <f>monster.xml!G245</f>
        <v>1001</v>
      </c>
      <c r="F241" t="str">
        <f>monster.xml!X245</f>
        <v>UI/Program/HeroMaster_Man_1.png</v>
      </c>
      <c r="G241">
        <f>monster.xml!Y245</f>
        <v>0</v>
      </c>
    </row>
    <row r="242" spans="1:7">
      <c r="A242">
        <f>monster.xml!A246</f>
        <v>9061</v>
      </c>
      <c r="B242">
        <f>monster.xml!B246</f>
        <v>2001</v>
      </c>
      <c r="C242">
        <f>monster.xml!C246</f>
        <v>22</v>
      </c>
      <c r="D242" t="str">
        <f>monster.xml!D246</f>
        <v>圣立群</v>
      </c>
      <c r="E242">
        <f>monster.xml!G246</f>
        <v>1001</v>
      </c>
      <c r="F242" t="str">
        <f>monster.xml!X246</f>
        <v>UI/Program/HeroWarrior_Man_1.png</v>
      </c>
      <c r="G242">
        <f>monster.xml!Y246</f>
        <v>0</v>
      </c>
    </row>
    <row r="243" spans="1:7">
      <c r="A243">
        <f>monster.xml!A247</f>
        <v>9062</v>
      </c>
      <c r="B243">
        <f>monster.xml!B247</f>
        <v>2002</v>
      </c>
      <c r="C243">
        <f>monster.xml!C247</f>
        <v>22</v>
      </c>
      <c r="D243" t="str">
        <f>monster.xml!D247</f>
        <v>歧金鑫</v>
      </c>
      <c r="E243">
        <f>monster.xml!G247</f>
        <v>1001</v>
      </c>
      <c r="F243" t="str">
        <f>monster.xml!X247</f>
        <v>UI/Program/HeroHunter_Man_1.png</v>
      </c>
      <c r="G243">
        <f>monster.xml!Y247</f>
        <v>0</v>
      </c>
    </row>
    <row r="244" spans="1:7">
      <c r="A244">
        <f>monster.xml!A248</f>
        <v>9063</v>
      </c>
      <c r="B244">
        <f>monster.xml!B248</f>
        <v>2003</v>
      </c>
      <c r="C244">
        <f>monster.xml!C248</f>
        <v>22</v>
      </c>
      <c r="D244" t="str">
        <f>monster.xml!D248</f>
        <v>旗天赋</v>
      </c>
      <c r="E244">
        <f>monster.xml!G248</f>
        <v>1001</v>
      </c>
      <c r="F244" t="str">
        <f>monster.xml!X248</f>
        <v>UI/Program/HeroMaster_Woman_1.png</v>
      </c>
      <c r="G244">
        <f>monster.xml!Y248</f>
        <v>0</v>
      </c>
    </row>
    <row r="245" spans="1:7">
      <c r="A245">
        <f>monster.xml!A249</f>
        <v>9064</v>
      </c>
      <c r="B245">
        <f>monster.xml!B249</f>
        <v>2001</v>
      </c>
      <c r="C245">
        <f>monster.xml!C249</f>
        <v>22</v>
      </c>
      <c r="D245" t="str">
        <f>monster.xml!D249</f>
        <v>少星泽</v>
      </c>
      <c r="E245">
        <f>monster.xml!G249</f>
        <v>1001</v>
      </c>
      <c r="F245" t="str">
        <f>monster.xml!X249</f>
        <v>UI/Program/HeroWarrior_Woman_1.png</v>
      </c>
      <c r="G245">
        <f>monster.xml!Y249</f>
        <v>0</v>
      </c>
    </row>
    <row r="246" spans="1:7">
      <c r="A246">
        <f>monster.xml!A250</f>
        <v>9065</v>
      </c>
      <c r="B246">
        <f>monster.xml!B250</f>
        <v>2002</v>
      </c>
      <c r="C246">
        <f>monster.xml!C250</f>
        <v>23</v>
      </c>
      <c r="D246" t="str">
        <f>monster.xml!D250</f>
        <v>豆良朋</v>
      </c>
      <c r="E246">
        <f>monster.xml!G250</f>
        <v>1001</v>
      </c>
      <c r="F246" t="str">
        <f>monster.xml!X250</f>
        <v>UI/Program/HeroHunter_WOman_1.png</v>
      </c>
      <c r="G246">
        <f>monster.xml!Y250</f>
        <v>0</v>
      </c>
    </row>
    <row r="247" spans="1:7">
      <c r="A247">
        <f>monster.xml!A251</f>
        <v>9066</v>
      </c>
      <c r="B247">
        <f>monster.xml!B251</f>
        <v>2003</v>
      </c>
      <c r="C247">
        <f>monster.xml!C251</f>
        <v>23</v>
      </c>
      <c r="D247" t="str">
        <f>monster.xml!D251</f>
        <v>蚁华容</v>
      </c>
      <c r="E247">
        <f>monster.xml!G251</f>
        <v>1001</v>
      </c>
      <c r="F247" t="str">
        <f>monster.xml!X251</f>
        <v>UI/Program/HeroMaster_Man_1.png</v>
      </c>
      <c r="G247">
        <f>monster.xml!Y251</f>
        <v>0</v>
      </c>
    </row>
    <row r="248" spans="1:7">
      <c r="A248">
        <f>monster.xml!A252</f>
        <v>9067</v>
      </c>
      <c r="B248">
        <f>monster.xml!B252</f>
        <v>2001</v>
      </c>
      <c r="C248">
        <f>monster.xml!C252</f>
        <v>23</v>
      </c>
      <c r="D248" t="str">
        <f>monster.xml!D252</f>
        <v>淡博学</v>
      </c>
      <c r="E248">
        <f>monster.xml!G252</f>
        <v>1001</v>
      </c>
      <c r="F248" t="str">
        <f>monster.xml!X252</f>
        <v>UI/Program/HeroWarrior_Man_1.png</v>
      </c>
      <c r="G248">
        <f>monster.xml!Y252</f>
        <v>0</v>
      </c>
    </row>
    <row r="249" spans="1:7">
      <c r="A249">
        <f>monster.xml!A253</f>
        <v>9068</v>
      </c>
      <c r="B249">
        <f>monster.xml!B253</f>
        <v>2002</v>
      </c>
      <c r="C249">
        <f>monster.xml!C253</f>
        <v>23</v>
      </c>
      <c r="D249" t="str">
        <f>monster.xml!D253</f>
        <v>建长运</v>
      </c>
      <c r="E249">
        <f>monster.xml!G253</f>
        <v>1001</v>
      </c>
      <c r="F249" t="str">
        <f>monster.xml!X253</f>
        <v>UI/Program/HeroHunter_Man_1.png</v>
      </c>
      <c r="G249">
        <f>monster.xml!Y253</f>
        <v>0</v>
      </c>
    </row>
    <row r="250" spans="1:7">
      <c r="A250">
        <f>monster.xml!A254</f>
        <v>9069</v>
      </c>
      <c r="B250">
        <f>monster.xml!B254</f>
        <v>2003</v>
      </c>
      <c r="C250">
        <f>monster.xml!C254</f>
        <v>23</v>
      </c>
      <c r="D250" t="str">
        <f>monster.xml!D254</f>
        <v>巧弘益</v>
      </c>
      <c r="E250">
        <f>monster.xml!G254</f>
        <v>1001</v>
      </c>
      <c r="F250" t="str">
        <f>monster.xml!X254</f>
        <v>UI/Program/HeroMaster_Woman_1.png</v>
      </c>
      <c r="G250">
        <f>monster.xml!Y254</f>
        <v>0</v>
      </c>
    </row>
    <row r="251" spans="1:7">
      <c r="A251">
        <f>monster.xml!A255</f>
        <v>9070</v>
      </c>
      <c r="B251">
        <f>monster.xml!B255</f>
        <v>2001</v>
      </c>
      <c r="C251">
        <f>monster.xml!C255</f>
        <v>23</v>
      </c>
      <c r="D251" t="str">
        <f>monster.xml!D255</f>
        <v>盈振翱</v>
      </c>
      <c r="E251">
        <f>monster.xml!G255</f>
        <v>1001</v>
      </c>
      <c r="F251" t="str">
        <f>monster.xml!X255</f>
        <v>UI/Program/HeroWarrior_Woman_1.png</v>
      </c>
      <c r="G251">
        <f>monster.xml!Y255</f>
        <v>0</v>
      </c>
    </row>
    <row r="252" spans="1:7">
      <c r="A252">
        <f>monster.xml!A256</f>
        <v>9071</v>
      </c>
      <c r="B252">
        <f>monster.xml!B256</f>
        <v>2001</v>
      </c>
      <c r="C252">
        <f>monster.xml!C256</f>
        <v>25</v>
      </c>
      <c r="D252" t="str">
        <f>monster.xml!D256</f>
        <v>刁修雅</v>
      </c>
      <c r="E252">
        <f>monster.xml!G256</f>
        <v>1001</v>
      </c>
      <c r="F252" t="str">
        <f>monster.xml!X256</f>
        <v>UI/Program/HeroHunter_WOman_1.png</v>
      </c>
      <c r="G252">
        <f>monster.xml!Y256</f>
        <v>0</v>
      </c>
    </row>
    <row r="253" spans="1:7">
      <c r="A253">
        <f>monster.xml!A257</f>
        <v>9072</v>
      </c>
      <c r="B253">
        <f>monster.xml!B257</f>
        <v>2003</v>
      </c>
      <c r="C253">
        <f>monster.xml!C257</f>
        <v>25</v>
      </c>
      <c r="D253" t="str">
        <f>monster.xml!D257</f>
        <v>沙鸿达</v>
      </c>
      <c r="E253">
        <f>monster.xml!G257</f>
        <v>1001</v>
      </c>
      <c r="F253" t="str">
        <f>monster.xml!X257</f>
        <v>UI/Program/HeroMaster_Man_1.png</v>
      </c>
      <c r="G253">
        <f>monster.xml!Y257</f>
        <v>0</v>
      </c>
    </row>
    <row r="254" spans="1:7">
      <c r="A254">
        <f>monster.xml!A258</f>
        <v>9073</v>
      </c>
      <c r="B254">
        <f>monster.xml!B258</f>
        <v>2003</v>
      </c>
      <c r="C254">
        <f>monster.xml!C258</f>
        <v>24</v>
      </c>
      <c r="D254" t="str">
        <f>monster.xml!D258</f>
        <v>谯睿好</v>
      </c>
      <c r="E254">
        <f>monster.xml!G258</f>
        <v>1001</v>
      </c>
      <c r="F254" t="str">
        <f>monster.xml!X258</f>
        <v>UI/Program/HeroWarrior_Man_1.png</v>
      </c>
      <c r="G254">
        <f>monster.xml!Y258</f>
        <v>0</v>
      </c>
    </row>
    <row r="255" spans="1:7">
      <c r="A255">
        <f>monster.xml!A259</f>
        <v>9074</v>
      </c>
      <c r="B255">
        <f>monster.xml!B259</f>
        <v>2002</v>
      </c>
      <c r="C255">
        <f>monster.xml!C259</f>
        <v>25</v>
      </c>
      <c r="D255" t="str">
        <f>monster.xml!D259</f>
        <v>璩鸿才</v>
      </c>
      <c r="E255">
        <f>monster.xml!G259</f>
        <v>1001</v>
      </c>
      <c r="F255" t="str">
        <f>monster.xml!X259</f>
        <v>UI/Program/HeroHunter_Man_1.png</v>
      </c>
      <c r="G255">
        <f>monster.xml!Y259</f>
        <v>0</v>
      </c>
    </row>
    <row r="256" spans="1:7">
      <c r="A256">
        <f>monster.xml!A260</f>
        <v>9075</v>
      </c>
      <c r="B256">
        <f>monster.xml!B260</f>
        <v>2001</v>
      </c>
      <c r="C256">
        <f>monster.xml!C260</f>
        <v>27</v>
      </c>
      <c r="D256" t="str">
        <f>monster.xml!D260</f>
        <v>张良吉</v>
      </c>
      <c r="E256">
        <f>monster.xml!G260</f>
        <v>1001</v>
      </c>
      <c r="F256" t="str">
        <f>monster.xml!X260</f>
        <v>UI/Program/HeroMaster_Woman_1.png</v>
      </c>
      <c r="G256">
        <f>monster.xml!Y260</f>
        <v>0</v>
      </c>
    </row>
    <row r="257" spans="1:7">
      <c r="A257">
        <f>monster.xml!A261</f>
        <v>9076</v>
      </c>
      <c r="B257">
        <f>monster.xml!B261</f>
        <v>2003</v>
      </c>
      <c r="C257">
        <f>monster.xml!C261</f>
        <v>28</v>
      </c>
      <c r="D257" t="str">
        <f>monster.xml!D261</f>
        <v>肥浩宕</v>
      </c>
      <c r="E257">
        <f>monster.xml!G261</f>
        <v>1001</v>
      </c>
      <c r="F257" t="str">
        <f>monster.xml!X261</f>
        <v>UI/Program/HeroWarrior_Woman_1.png</v>
      </c>
      <c r="G257">
        <f>monster.xml!Y261</f>
        <v>0</v>
      </c>
    </row>
    <row r="258" spans="1:7">
      <c r="A258">
        <f>monster.xml!A262</f>
        <v>9077</v>
      </c>
      <c r="B258">
        <f>monster.xml!B262</f>
        <v>2002</v>
      </c>
      <c r="C258">
        <f>monster.xml!C262</f>
        <v>28</v>
      </c>
      <c r="D258" t="str">
        <f>monster.xml!D262</f>
        <v>丛博学</v>
      </c>
      <c r="E258">
        <f>monster.xml!G262</f>
        <v>1001</v>
      </c>
      <c r="F258" t="str">
        <f>monster.xml!X262</f>
        <v>UI/Program/HeroHunter_WOman_1.png</v>
      </c>
      <c r="G258">
        <f>monster.xml!Y262</f>
        <v>0</v>
      </c>
    </row>
    <row r="259" spans="1:7">
      <c r="A259">
        <f>monster.xml!A263</f>
        <v>9078</v>
      </c>
      <c r="B259">
        <f>monster.xml!B263</f>
        <v>2003</v>
      </c>
      <c r="C259">
        <f>monster.xml!C263</f>
        <v>29</v>
      </c>
      <c r="D259" t="str">
        <f>monster.xml!D263</f>
        <v>郦永昌</v>
      </c>
      <c r="E259">
        <f>monster.xml!G263</f>
        <v>1001</v>
      </c>
      <c r="F259" t="str">
        <f>monster.xml!X263</f>
        <v>UI/Program/HeroMaster_Man_1.png</v>
      </c>
      <c r="G259">
        <f>monster.xml!Y263</f>
        <v>0</v>
      </c>
    </row>
    <row r="260" spans="1:7">
      <c r="A260">
        <f>monster.xml!A264</f>
        <v>9079</v>
      </c>
      <c r="B260">
        <f>monster.xml!B264</f>
        <v>2001</v>
      </c>
      <c r="C260">
        <f>monster.xml!C264</f>
        <v>32</v>
      </c>
      <c r="D260" t="str">
        <f>monster.xml!D264</f>
        <v>田嘉悦</v>
      </c>
      <c r="E260">
        <f>monster.xml!G264</f>
        <v>1001</v>
      </c>
      <c r="F260" t="str">
        <f>monster.xml!X264</f>
        <v>UI/Program/HeroWarrior_Man_1.png</v>
      </c>
      <c r="G260">
        <f>monster.xml!Y264</f>
        <v>0</v>
      </c>
    </row>
    <row r="261" spans="1:7">
      <c r="A261">
        <f>monster.xml!A265</f>
        <v>9080</v>
      </c>
      <c r="B261">
        <f>monster.xml!B265</f>
        <v>2001</v>
      </c>
      <c r="C261">
        <f>monster.xml!C265</f>
        <v>31</v>
      </c>
      <c r="D261" t="str">
        <f>monster.xml!D265</f>
        <v>封元忠</v>
      </c>
      <c r="E261">
        <f>monster.xml!G265</f>
        <v>1001</v>
      </c>
      <c r="F261" t="str">
        <f>monster.xml!X265</f>
        <v>UI/Program/HeroHunter_Man_1.png</v>
      </c>
      <c r="G261">
        <f>monster.xml!Y265</f>
        <v>0</v>
      </c>
    </row>
    <row r="262" spans="1:7">
      <c r="A262">
        <f>monster.xml!A266</f>
        <v>9081</v>
      </c>
      <c r="B262">
        <f>monster.xml!B266</f>
        <v>2002</v>
      </c>
      <c r="C262">
        <f>monster.xml!C266</f>
        <v>32</v>
      </c>
      <c r="D262" t="str">
        <f>monster.xml!D266</f>
        <v>图门运骏</v>
      </c>
      <c r="E262">
        <f>monster.xml!G266</f>
        <v>1001</v>
      </c>
      <c r="F262" t="str">
        <f>monster.xml!X266</f>
        <v>UI/Program/HeroMaster_Woman_1.png</v>
      </c>
      <c r="G262">
        <f>monster.xml!Y266</f>
        <v>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monster.xml</vt:lpstr>
      <vt:lpstr>monster-客户端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2014-09-10T08:54:04Z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