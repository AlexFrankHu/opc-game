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/>
  </bookViews>
  <sheets>
    <sheet name="map.xml" sheetId="1" r:id="rId1"/>
    <sheet name="map-客户端" sheetId="2" r:id="rId2"/>
    <sheet name="Sheet3" sheetId="3" r:id="rId3"/>
    <sheet name="掉落权重" sheetId="4" r:id="rId4"/>
  </sheets>
  <functionGroups/>
  <externalReferences>
    <externalReference r:id="rId5"/>
  </externalReferences>
  <calcPr calcId="124519"/>
</workbook>
</file>

<file path=xl/calcChain.xml><?xml version="1.0" encoding="utf-8"?>
<calcChain xmlns="http://schemas.openxmlformats.org/spreadsheetml/2006/main">
  <c r="X38" i="4"/>
  <c r="Y38"/>
  <c r="Z38"/>
  <c r="AA38"/>
  <c r="W38"/>
  <c r="S39"/>
  <c r="T39"/>
  <c r="U39"/>
  <c r="V39"/>
  <c r="R39"/>
  <c r="G39"/>
  <c r="C40" l="1"/>
  <c r="C41"/>
  <c r="C42"/>
  <c r="C43"/>
  <c r="C44"/>
  <c r="C45"/>
  <c r="C46"/>
  <c r="C47"/>
  <c r="C48"/>
  <c r="C49"/>
  <c r="C50"/>
  <c r="C51"/>
  <c r="C52"/>
  <c r="C53"/>
  <c r="R38" l="1"/>
  <c r="S38"/>
  <c r="H38" s="1"/>
  <c r="T38"/>
  <c r="I38" s="1"/>
  <c r="U38"/>
  <c r="V38"/>
  <c r="W37"/>
  <c r="X37"/>
  <c r="Y37"/>
  <c r="Z37"/>
  <c r="AA37"/>
  <c r="R37"/>
  <c r="S37"/>
  <c r="T37"/>
  <c r="U37"/>
  <c r="V37"/>
  <c r="B203"/>
  <c r="B204"/>
  <c r="B205"/>
  <c r="B206"/>
  <c r="B207"/>
  <c r="B208"/>
  <c r="B209"/>
  <c r="B210"/>
  <c r="B211"/>
  <c r="B212"/>
  <c r="B213"/>
  <c r="B214"/>
  <c r="B215"/>
  <c r="B216"/>
  <c r="B217"/>
  <c r="B218"/>
  <c r="B202"/>
  <c r="L38"/>
  <c r="M38"/>
  <c r="N38"/>
  <c r="O38"/>
  <c r="P38"/>
  <c r="J38" l="1"/>
  <c r="G38"/>
  <c r="K38"/>
  <c r="C37"/>
  <c r="C39"/>
  <c r="C36"/>
  <c r="A91" l="1"/>
  <c r="X53"/>
  <c r="M53" s="1"/>
  <c r="Y53"/>
  <c r="N53" s="1"/>
  <c r="Z53"/>
  <c r="O53" s="1"/>
  <c r="AA53"/>
  <c r="P53" s="1"/>
  <c r="W53"/>
  <c r="L53" s="1"/>
  <c r="W39"/>
  <c r="L39" s="1"/>
  <c r="X39"/>
  <c r="M39" s="1"/>
  <c r="Y39"/>
  <c r="N39" s="1"/>
  <c r="Z39"/>
  <c r="O39" s="1"/>
  <c r="AA39"/>
  <c r="P39" s="1"/>
  <c r="W40"/>
  <c r="L40" s="1"/>
  <c r="X40"/>
  <c r="M40" s="1"/>
  <c r="Y40"/>
  <c r="N40" s="1"/>
  <c r="Z40"/>
  <c r="O40" s="1"/>
  <c r="AA40"/>
  <c r="P40" s="1"/>
  <c r="W41"/>
  <c r="L41" s="1"/>
  <c r="X41"/>
  <c r="M41" s="1"/>
  <c r="Y41"/>
  <c r="N41" s="1"/>
  <c r="Z41"/>
  <c r="O41" s="1"/>
  <c r="AA41"/>
  <c r="P41" s="1"/>
  <c r="W42"/>
  <c r="L42" s="1"/>
  <c r="X42"/>
  <c r="M42" s="1"/>
  <c r="Y42"/>
  <c r="N42" s="1"/>
  <c r="Z42"/>
  <c r="O42" s="1"/>
  <c r="AA42"/>
  <c r="P42" s="1"/>
  <c r="W43"/>
  <c r="L43" s="1"/>
  <c r="X43"/>
  <c r="M43" s="1"/>
  <c r="Y43"/>
  <c r="N43" s="1"/>
  <c r="Z43"/>
  <c r="O43" s="1"/>
  <c r="AA43"/>
  <c r="P43" s="1"/>
  <c r="W44"/>
  <c r="L44" s="1"/>
  <c r="X44"/>
  <c r="M44" s="1"/>
  <c r="Y44"/>
  <c r="N44" s="1"/>
  <c r="Z44"/>
  <c r="O44" s="1"/>
  <c r="AA44"/>
  <c r="P44" s="1"/>
  <c r="W45"/>
  <c r="L45" s="1"/>
  <c r="X45"/>
  <c r="M45" s="1"/>
  <c r="Y45"/>
  <c r="N45" s="1"/>
  <c r="Z45"/>
  <c r="O45" s="1"/>
  <c r="AA45"/>
  <c r="P45" s="1"/>
  <c r="W46"/>
  <c r="L46" s="1"/>
  <c r="X46"/>
  <c r="M46" s="1"/>
  <c r="Y46"/>
  <c r="N46" s="1"/>
  <c r="Z46"/>
  <c r="O46" s="1"/>
  <c r="AA46"/>
  <c r="P46" s="1"/>
  <c r="W47"/>
  <c r="L47" s="1"/>
  <c r="X47"/>
  <c r="M47" s="1"/>
  <c r="Y47"/>
  <c r="N47" s="1"/>
  <c r="Z47"/>
  <c r="O47" s="1"/>
  <c r="AA47"/>
  <c r="P47" s="1"/>
  <c r="W48"/>
  <c r="L48" s="1"/>
  <c r="X48"/>
  <c r="M48" s="1"/>
  <c r="Y48"/>
  <c r="N48" s="1"/>
  <c r="Z48"/>
  <c r="O48" s="1"/>
  <c r="AA48"/>
  <c r="P48" s="1"/>
  <c r="W49"/>
  <c r="L49" s="1"/>
  <c r="X49"/>
  <c r="M49" s="1"/>
  <c r="Y49"/>
  <c r="N49" s="1"/>
  <c r="Z49"/>
  <c r="O49" s="1"/>
  <c r="AA49"/>
  <c r="P49" s="1"/>
  <c r="W50"/>
  <c r="L50" s="1"/>
  <c r="X50"/>
  <c r="M50" s="1"/>
  <c r="Y50"/>
  <c r="N50" s="1"/>
  <c r="Z50"/>
  <c r="O50" s="1"/>
  <c r="AA50"/>
  <c r="P50" s="1"/>
  <c r="W51"/>
  <c r="L51" s="1"/>
  <c r="X51"/>
  <c r="M51" s="1"/>
  <c r="Y51"/>
  <c r="N51" s="1"/>
  <c r="Z51"/>
  <c r="O51" s="1"/>
  <c r="AA51"/>
  <c r="P51" s="1"/>
  <c r="W52"/>
  <c r="L52" s="1"/>
  <c r="X52"/>
  <c r="M52" s="1"/>
  <c r="Y52"/>
  <c r="N52" s="1"/>
  <c r="Z52"/>
  <c r="O52" s="1"/>
  <c r="AA52"/>
  <c r="P52" s="1"/>
  <c r="M37"/>
  <c r="N37"/>
  <c r="O37"/>
  <c r="P37"/>
  <c r="L37"/>
  <c r="H39"/>
  <c r="I39"/>
  <c r="J39"/>
  <c r="K39"/>
  <c r="R40"/>
  <c r="G40" s="1"/>
  <c r="S40"/>
  <c r="H40" s="1"/>
  <c r="T40"/>
  <c r="I40" s="1"/>
  <c r="U40"/>
  <c r="J40" s="1"/>
  <c r="V40"/>
  <c r="K40" s="1"/>
  <c r="R41"/>
  <c r="G41" s="1"/>
  <c r="S41"/>
  <c r="H41" s="1"/>
  <c r="T41"/>
  <c r="I41" s="1"/>
  <c r="U41"/>
  <c r="J41" s="1"/>
  <c r="V41"/>
  <c r="K41" s="1"/>
  <c r="R42"/>
  <c r="G42" s="1"/>
  <c r="S42"/>
  <c r="H42" s="1"/>
  <c r="T42"/>
  <c r="I42" s="1"/>
  <c r="U42"/>
  <c r="J42" s="1"/>
  <c r="V42"/>
  <c r="K42" s="1"/>
  <c r="R43"/>
  <c r="G43" s="1"/>
  <c r="S43"/>
  <c r="H43" s="1"/>
  <c r="T43"/>
  <c r="I43" s="1"/>
  <c r="U43"/>
  <c r="J43" s="1"/>
  <c r="V43"/>
  <c r="K43" s="1"/>
  <c r="R44"/>
  <c r="G44" s="1"/>
  <c r="S44"/>
  <c r="H44" s="1"/>
  <c r="T44"/>
  <c r="I44" s="1"/>
  <c r="U44"/>
  <c r="J44" s="1"/>
  <c r="V44"/>
  <c r="K44" s="1"/>
  <c r="R45"/>
  <c r="G45" s="1"/>
  <c r="S45"/>
  <c r="H45" s="1"/>
  <c r="T45"/>
  <c r="I45" s="1"/>
  <c r="U45"/>
  <c r="J45" s="1"/>
  <c r="V45"/>
  <c r="K45" s="1"/>
  <c r="R46"/>
  <c r="G46" s="1"/>
  <c r="S46"/>
  <c r="H46" s="1"/>
  <c r="T46"/>
  <c r="I46" s="1"/>
  <c r="U46"/>
  <c r="J46" s="1"/>
  <c r="V46"/>
  <c r="K46" s="1"/>
  <c r="R47"/>
  <c r="G47" s="1"/>
  <c r="S47"/>
  <c r="H47" s="1"/>
  <c r="T47"/>
  <c r="I47" s="1"/>
  <c r="U47"/>
  <c r="J47" s="1"/>
  <c r="V47"/>
  <c r="K47" s="1"/>
  <c r="R48"/>
  <c r="G48" s="1"/>
  <c r="S48"/>
  <c r="H48" s="1"/>
  <c r="T48"/>
  <c r="I48" s="1"/>
  <c r="U48"/>
  <c r="J48" s="1"/>
  <c r="V48"/>
  <c r="K48" s="1"/>
  <c r="R49"/>
  <c r="G49" s="1"/>
  <c r="S49"/>
  <c r="H49" s="1"/>
  <c r="T49"/>
  <c r="I49" s="1"/>
  <c r="U49"/>
  <c r="J49" s="1"/>
  <c r="V49"/>
  <c r="K49" s="1"/>
  <c r="R50"/>
  <c r="G50" s="1"/>
  <c r="S50"/>
  <c r="H50" s="1"/>
  <c r="T50"/>
  <c r="I50" s="1"/>
  <c r="U50"/>
  <c r="J50" s="1"/>
  <c r="V50"/>
  <c r="K50" s="1"/>
  <c r="R51"/>
  <c r="G51" s="1"/>
  <c r="S51"/>
  <c r="H51" s="1"/>
  <c r="T51"/>
  <c r="I51" s="1"/>
  <c r="U51"/>
  <c r="J51" s="1"/>
  <c r="V51"/>
  <c r="K51" s="1"/>
  <c r="R52"/>
  <c r="G52" s="1"/>
  <c r="S52"/>
  <c r="H52" s="1"/>
  <c r="T52"/>
  <c r="I52" s="1"/>
  <c r="U52"/>
  <c r="J52" s="1"/>
  <c r="V52"/>
  <c r="K52" s="1"/>
  <c r="R53"/>
  <c r="G53" s="1"/>
  <c r="S53"/>
  <c r="H53" s="1"/>
  <c r="T53"/>
  <c r="I53" s="1"/>
  <c r="U53"/>
  <c r="J53" s="1"/>
  <c r="V53"/>
  <c r="K53" s="1"/>
  <c r="H37"/>
  <c r="I37"/>
  <c r="J37"/>
  <c r="K37"/>
  <c r="G37"/>
  <c r="A104" l="1"/>
  <c r="E158" s="1"/>
  <c r="G55" i="1" s="1"/>
  <c r="A100" i="4"/>
  <c r="E154" s="1"/>
  <c r="G51" i="1" s="1"/>
  <c r="A96" i="4"/>
  <c r="E150" s="1"/>
  <c r="G47" i="1" s="1"/>
  <c r="A92" i="4"/>
  <c r="E146" s="1"/>
  <c r="G43" i="1" s="1"/>
  <c r="A105" i="4"/>
  <c r="E159" s="1"/>
  <c r="G56" i="1" s="1"/>
  <c r="A101" i="4"/>
  <c r="E155" s="1"/>
  <c r="G52" i="1" s="1"/>
  <c r="A97" i="4"/>
  <c r="E151" s="1"/>
  <c r="G48" i="1" s="1"/>
  <c r="A93" i="4"/>
  <c r="E147" s="1"/>
  <c r="G44" i="1" s="1"/>
  <c r="A106" i="4"/>
  <c r="E160" s="1"/>
  <c r="G57" i="1" s="1"/>
  <c r="A102" i="4"/>
  <c r="E156" s="1"/>
  <c r="G53" i="1" s="1"/>
  <c r="A98" i="4"/>
  <c r="A94"/>
  <c r="A90"/>
  <c r="E144" s="1"/>
  <c r="G41" i="1" s="1"/>
  <c r="A103" i="4"/>
  <c r="E157" s="1"/>
  <c r="G54" i="1" s="1"/>
  <c r="A99" i="4"/>
  <c r="E153" s="1"/>
  <c r="G50" i="1" s="1"/>
  <c r="A95" i="4"/>
  <c r="E149"/>
  <c r="G46" i="1" s="1"/>
  <c r="E145" i="4"/>
  <c r="G42" i="1" s="1"/>
  <c r="E152" i="4"/>
  <c r="G49" i="1" s="1"/>
  <c r="E148" i="4"/>
  <c r="G45" i="1" s="1"/>
  <c r="A3" i="2"/>
  <c r="B3"/>
  <c r="C3"/>
  <c r="D3"/>
  <c r="E3"/>
  <c r="F3"/>
  <c r="A4"/>
  <c r="B4"/>
  <c r="C4"/>
  <c r="D4"/>
  <c r="E4"/>
  <c r="F4"/>
  <c r="A5"/>
  <c r="B5"/>
  <c r="C5"/>
  <c r="D5"/>
  <c r="E5"/>
  <c r="F5"/>
  <c r="A6"/>
  <c r="B6"/>
  <c r="C6"/>
  <c r="D6"/>
  <c r="E6"/>
  <c r="F6"/>
  <c r="A7"/>
  <c r="B7"/>
  <c r="C7"/>
  <c r="D7"/>
  <c r="E7"/>
  <c r="F7"/>
  <c r="A8"/>
  <c r="B8"/>
  <c r="C8"/>
  <c r="D8"/>
  <c r="E8"/>
  <c r="F8"/>
  <c r="A9"/>
  <c r="B9"/>
  <c r="C9"/>
  <c r="D9"/>
  <c r="E9"/>
  <c r="F9"/>
  <c r="A10"/>
  <c r="B10"/>
  <c r="C10"/>
  <c r="D10"/>
  <c r="E10"/>
  <c r="F10"/>
  <c r="A11"/>
  <c r="B11"/>
  <c r="C11"/>
  <c r="D11"/>
  <c r="E11"/>
  <c r="F11"/>
  <c r="A12"/>
  <c r="B12"/>
  <c r="C12"/>
  <c r="D12"/>
  <c r="E12"/>
  <c r="F12"/>
  <c r="A13"/>
  <c r="B13"/>
  <c r="C13"/>
  <c r="D13"/>
  <c r="E13"/>
  <c r="F13"/>
  <c r="A14"/>
  <c r="B14"/>
  <c r="C14"/>
  <c r="D14"/>
  <c r="E14"/>
  <c r="F14"/>
  <c r="A15"/>
  <c r="B15"/>
  <c r="C15"/>
  <c r="D15"/>
  <c r="E15"/>
  <c r="F15"/>
  <c r="A16"/>
  <c r="B16"/>
  <c r="C16"/>
  <c r="D16"/>
  <c r="E16"/>
  <c r="F16"/>
  <c r="A17"/>
  <c r="B17"/>
  <c r="C17"/>
  <c r="D17"/>
  <c r="E17"/>
  <c r="F17"/>
  <c r="A18"/>
  <c r="B18"/>
  <c r="C18"/>
  <c r="D18"/>
  <c r="E18"/>
  <c r="F18"/>
  <c r="A19"/>
  <c r="B19"/>
  <c r="C19"/>
  <c r="D19"/>
  <c r="E19"/>
  <c r="F19"/>
  <c r="A20"/>
  <c r="B20"/>
  <c r="C20"/>
  <c r="D20"/>
  <c r="E20"/>
  <c r="F20"/>
  <c r="A21"/>
  <c r="B21"/>
  <c r="C21"/>
  <c r="D21"/>
  <c r="E21"/>
  <c r="F21"/>
  <c r="A22"/>
  <c r="B22"/>
  <c r="C22"/>
  <c r="D22"/>
  <c r="E22"/>
  <c r="F22"/>
  <c r="A23"/>
  <c r="B23"/>
  <c r="C23"/>
  <c r="D23"/>
  <c r="E23"/>
  <c r="F23"/>
  <c r="A24"/>
  <c r="B24"/>
  <c r="C24"/>
  <c r="D24"/>
  <c r="E24"/>
  <c r="F24"/>
  <c r="A25"/>
  <c r="B25"/>
  <c r="C25"/>
  <c r="D25"/>
  <c r="E25"/>
  <c r="F25"/>
  <c r="A26"/>
  <c r="B26"/>
  <c r="C26"/>
  <c r="D26"/>
  <c r="E26"/>
  <c r="F26"/>
  <c r="A27"/>
  <c r="B27"/>
  <c r="C27"/>
  <c r="D27"/>
  <c r="E27"/>
  <c r="F27"/>
  <c r="A28"/>
  <c r="B28"/>
  <c r="C28"/>
  <c r="D28"/>
  <c r="E28"/>
  <c r="F28"/>
  <c r="A29"/>
  <c r="B29"/>
  <c r="C29"/>
  <c r="D29"/>
  <c r="E29"/>
  <c r="F29"/>
  <c r="A30"/>
  <c r="B30"/>
  <c r="C30"/>
  <c r="D30"/>
  <c r="E30"/>
  <c r="F30"/>
  <c r="A31"/>
  <c r="B31"/>
  <c r="C31"/>
  <c r="D31"/>
  <c r="E31"/>
  <c r="F31"/>
  <c r="A32"/>
  <c r="B32"/>
  <c r="C32"/>
  <c r="D32"/>
  <c r="E32"/>
  <c r="F32"/>
  <c r="A33"/>
  <c r="B33"/>
  <c r="C33"/>
  <c r="D33"/>
  <c r="E33"/>
  <c r="F33"/>
  <c r="A34"/>
  <c r="B34"/>
  <c r="C34"/>
  <c r="D34"/>
  <c r="E34"/>
  <c r="F34"/>
  <c r="A35"/>
  <c r="B35"/>
  <c r="C35"/>
  <c r="D35"/>
  <c r="E35"/>
  <c r="F35"/>
  <c r="A36"/>
  <c r="B36"/>
  <c r="C36"/>
  <c r="D36"/>
  <c r="E36"/>
  <c r="F36"/>
  <c r="A37"/>
  <c r="B37"/>
  <c r="C37"/>
  <c r="D37"/>
  <c r="E37"/>
  <c r="F37"/>
  <c r="A38"/>
  <c r="B38"/>
  <c r="C38"/>
  <c r="D38"/>
  <c r="E38"/>
  <c r="F38"/>
  <c r="A39"/>
  <c r="B39"/>
  <c r="C39"/>
  <c r="D39"/>
  <c r="E39"/>
  <c r="F39"/>
  <c r="A40"/>
  <c r="B40"/>
  <c r="C40"/>
  <c r="D40"/>
  <c r="E40"/>
  <c r="F40"/>
  <c r="A41"/>
  <c r="B41"/>
  <c r="C41"/>
  <c r="D41"/>
  <c r="E41"/>
  <c r="F41"/>
  <c r="A42"/>
  <c r="B42"/>
  <c r="C42"/>
  <c r="D42"/>
  <c r="E42"/>
  <c r="F42"/>
  <c r="A43"/>
  <c r="B43"/>
  <c r="C43"/>
  <c r="D43"/>
  <c r="E43"/>
  <c r="F43"/>
  <c r="A44"/>
  <c r="B44"/>
  <c r="C44"/>
  <c r="D44"/>
  <c r="E44"/>
  <c r="F44"/>
  <c r="A45"/>
  <c r="B45"/>
  <c r="C45"/>
  <c r="D45"/>
  <c r="E45"/>
  <c r="F45"/>
  <c r="A46"/>
  <c r="B46"/>
  <c r="C46"/>
  <c r="D46"/>
  <c r="E46"/>
  <c r="F46"/>
  <c r="A47"/>
  <c r="B47"/>
  <c r="C47"/>
  <c r="D47"/>
  <c r="E47"/>
  <c r="F47"/>
  <c r="A48"/>
  <c r="B48"/>
  <c r="C48"/>
  <c r="D48"/>
  <c r="E48"/>
  <c r="F48"/>
  <c r="A49"/>
  <c r="B49"/>
  <c r="C49"/>
  <c r="D49"/>
  <c r="E49"/>
  <c r="F49"/>
  <c r="A50"/>
  <c r="B50"/>
  <c r="C50"/>
  <c r="D50"/>
  <c r="E50"/>
  <c r="F50"/>
  <c r="A51"/>
  <c r="B51"/>
  <c r="C51"/>
  <c r="D51"/>
  <c r="E51"/>
  <c r="F51"/>
  <c r="A52"/>
  <c r="B52"/>
  <c r="C52"/>
  <c r="D52"/>
  <c r="E52"/>
  <c r="F52"/>
  <c r="A53"/>
  <c r="B53"/>
  <c r="C53"/>
  <c r="D53"/>
  <c r="E53"/>
  <c r="F53"/>
  <c r="J130" i="3"/>
  <c r="J131"/>
  <c r="J132"/>
  <c r="J133"/>
  <c r="J134"/>
  <c r="J135"/>
  <c r="J136"/>
  <c r="J137"/>
  <c r="J138"/>
  <c r="J139"/>
  <c r="J140"/>
  <c r="J141"/>
  <c r="J142"/>
  <c r="J143"/>
  <c r="J144"/>
  <c r="J145"/>
  <c r="J146"/>
  <c r="J129"/>
  <c r="C42" i="1"/>
  <c r="C43"/>
  <c r="C44"/>
  <c r="C41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G3" i="4"/>
  <c r="H3"/>
  <c r="I3"/>
  <c r="J3"/>
  <c r="K3"/>
  <c r="L3"/>
  <c r="M3"/>
  <c r="N3"/>
  <c r="O3"/>
  <c r="P3"/>
  <c r="G4"/>
  <c r="H4"/>
  <c r="I4"/>
  <c r="J4"/>
  <c r="K4"/>
  <c r="L4"/>
  <c r="M4"/>
  <c r="N4"/>
  <c r="O4"/>
  <c r="P4"/>
  <c r="M2"/>
  <c r="N2"/>
  <c r="O2"/>
  <c r="P2"/>
  <c r="L2"/>
  <c r="H2"/>
  <c r="I2"/>
  <c r="J2"/>
  <c r="K2"/>
  <c r="G2"/>
  <c r="F2" i="2"/>
  <c r="B165" i="4" l="1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64"/>
  <c r="I181"/>
  <c r="H181" s="1"/>
  <c r="I182"/>
  <c r="H182" s="1"/>
  <c r="I183"/>
  <c r="H183" s="1"/>
  <c r="I184"/>
  <c r="H184" s="1"/>
  <c r="I185"/>
  <c r="H185" s="1"/>
  <c r="I186"/>
  <c r="H186" s="1"/>
  <c r="I187"/>
  <c r="H187" s="1"/>
  <c r="I188"/>
  <c r="H188" s="1"/>
  <c r="I189"/>
  <c r="H189" s="1"/>
  <c r="I190"/>
  <c r="H190" s="1"/>
  <c r="I191"/>
  <c r="H191" s="1"/>
  <c r="I192"/>
  <c r="H192" s="1"/>
  <c r="I193"/>
  <c r="H193" s="1"/>
  <c r="I194"/>
  <c r="H194" s="1"/>
  <c r="I195"/>
  <c r="H195" s="1"/>
  <c r="I196"/>
  <c r="H196" s="1"/>
  <c r="I197"/>
  <c r="H197" s="1"/>
  <c r="I198"/>
  <c r="H198" s="1"/>
  <c r="I165"/>
  <c r="H165" s="1"/>
  <c r="I166"/>
  <c r="H166" s="1"/>
  <c r="I167"/>
  <c r="H167" s="1"/>
  <c r="I168"/>
  <c r="H168" s="1"/>
  <c r="I169"/>
  <c r="H169" s="1"/>
  <c r="I170"/>
  <c r="H170" s="1"/>
  <c r="I171"/>
  <c r="H171" s="1"/>
  <c r="I172"/>
  <c r="H172" s="1"/>
  <c r="I173"/>
  <c r="H173" s="1"/>
  <c r="I174"/>
  <c r="H174" s="1"/>
  <c r="I175"/>
  <c r="H175" s="1"/>
  <c r="I176"/>
  <c r="H176" s="1"/>
  <c r="I177"/>
  <c r="H177" s="1"/>
  <c r="I178"/>
  <c r="H178" s="1"/>
  <c r="I179"/>
  <c r="H179" s="1"/>
  <c r="I180"/>
  <c r="H180" s="1"/>
  <c r="I164"/>
  <c r="H164" s="1"/>
  <c r="C23" l="1"/>
  <c r="C24"/>
  <c r="C25"/>
  <c r="C26"/>
  <c r="C27"/>
  <c r="C28"/>
  <c r="C29"/>
  <c r="C30"/>
  <c r="C31"/>
  <c r="C32"/>
  <c r="C33"/>
  <c r="C34"/>
  <c r="C35"/>
  <c r="C22"/>
  <c r="B22"/>
  <c r="D22" s="1"/>
  <c r="W22" s="1"/>
  <c r="L22" s="1"/>
  <c r="AA25"/>
  <c r="P25" s="1"/>
  <c r="S29"/>
  <c r="S33"/>
  <c r="B6"/>
  <c r="D6" s="1"/>
  <c r="C6" s="1"/>
  <c r="B7"/>
  <c r="D7" s="1"/>
  <c r="C7" s="1"/>
  <c r="B8"/>
  <c r="D8" s="1"/>
  <c r="AA8" s="1"/>
  <c r="B9"/>
  <c r="D9" s="1"/>
  <c r="Y9" s="1"/>
  <c r="B10"/>
  <c r="D10" s="1"/>
  <c r="W10" s="1"/>
  <c r="B11"/>
  <c r="D11" s="1"/>
  <c r="Y11" s="1"/>
  <c r="B12"/>
  <c r="D12" s="1"/>
  <c r="W12" s="1"/>
  <c r="B13"/>
  <c r="D13" s="1"/>
  <c r="Y13" s="1"/>
  <c r="B14"/>
  <c r="D14" s="1"/>
  <c r="W14" s="1"/>
  <c r="B15"/>
  <c r="D15" s="1"/>
  <c r="Y15" s="1"/>
  <c r="B16"/>
  <c r="D16" s="1"/>
  <c r="W16" s="1"/>
  <c r="B17"/>
  <c r="D17" s="1"/>
  <c r="Y17" s="1"/>
  <c r="B18"/>
  <c r="D18" s="1"/>
  <c r="W18" s="1"/>
  <c r="B19"/>
  <c r="D19" s="1"/>
  <c r="Y19" s="1"/>
  <c r="B20"/>
  <c r="D20" s="1"/>
  <c r="W20" s="1"/>
  <c r="B21"/>
  <c r="D21" s="1"/>
  <c r="Y21" s="1"/>
  <c r="B23"/>
  <c r="Y23" s="1"/>
  <c r="N23" s="1"/>
  <c r="W24"/>
  <c r="L24" s="1"/>
  <c r="B25"/>
  <c r="Y25" s="1"/>
  <c r="N25" s="1"/>
  <c r="W26"/>
  <c r="L26" s="1"/>
  <c r="Y27"/>
  <c r="N27" s="1"/>
  <c r="B28"/>
  <c r="W28" s="1"/>
  <c r="L28" s="1"/>
  <c r="Y29"/>
  <c r="N29" s="1"/>
  <c r="W30"/>
  <c r="L30" s="1"/>
  <c r="Y31"/>
  <c r="N31" s="1"/>
  <c r="W32"/>
  <c r="L32" s="1"/>
  <c r="Y33"/>
  <c r="N33" s="1"/>
  <c r="W34"/>
  <c r="L34" s="1"/>
  <c r="Y35"/>
  <c r="N35" s="1"/>
  <c r="W36"/>
  <c r="L36" s="1"/>
  <c r="B5"/>
  <c r="D5" s="1"/>
  <c r="C5" s="1"/>
  <c r="S21" l="1"/>
  <c r="S13"/>
  <c r="E7"/>
  <c r="H7"/>
  <c r="G7"/>
  <c r="K7"/>
  <c r="J7"/>
  <c r="I7"/>
  <c r="AA17"/>
  <c r="AA9"/>
  <c r="E5"/>
  <c r="H5"/>
  <c r="J5"/>
  <c r="I5"/>
  <c r="G5"/>
  <c r="K5"/>
  <c r="E6"/>
  <c r="J6"/>
  <c r="G6"/>
  <c r="I6"/>
  <c r="H6"/>
  <c r="K6"/>
  <c r="AA21"/>
  <c r="AA13"/>
  <c r="S25"/>
  <c r="H25" s="1"/>
  <c r="S17"/>
  <c r="S9"/>
  <c r="H33"/>
  <c r="H29"/>
  <c r="AA33"/>
  <c r="P33" s="1"/>
  <c r="AA29"/>
  <c r="P29" s="1"/>
  <c r="A56"/>
  <c r="E110" s="1"/>
  <c r="G7" i="1" s="1"/>
  <c r="A57" i="4"/>
  <c r="E111" s="1"/>
  <c r="G8" i="1" s="1"/>
  <c r="A55" i="4"/>
  <c r="E109" s="1"/>
  <c r="G6" i="1" s="1"/>
  <c r="T34" i="4"/>
  <c r="I34" s="1"/>
  <c r="T30"/>
  <c r="I30" s="1"/>
  <c r="T26"/>
  <c r="I26" s="1"/>
  <c r="T22"/>
  <c r="I22" s="1"/>
  <c r="T18"/>
  <c r="T14"/>
  <c r="T10"/>
  <c r="Y34"/>
  <c r="N34" s="1"/>
  <c r="Y30"/>
  <c r="N30" s="1"/>
  <c r="Y26"/>
  <c r="N26" s="1"/>
  <c r="Y22"/>
  <c r="N22" s="1"/>
  <c r="Y18"/>
  <c r="Y14"/>
  <c r="Y10"/>
  <c r="W8"/>
  <c r="T32"/>
  <c r="I32" s="1"/>
  <c r="T24"/>
  <c r="I24" s="1"/>
  <c r="V13"/>
  <c r="T12"/>
  <c r="V9"/>
  <c r="X8"/>
  <c r="X34"/>
  <c r="M34" s="1"/>
  <c r="Z33"/>
  <c r="O33" s="1"/>
  <c r="R33"/>
  <c r="G33" s="1"/>
  <c r="X30"/>
  <c r="M30" s="1"/>
  <c r="Z29"/>
  <c r="O29" s="1"/>
  <c r="R29"/>
  <c r="G29" s="1"/>
  <c r="X26"/>
  <c r="M26" s="1"/>
  <c r="Z25"/>
  <c r="O25" s="1"/>
  <c r="R25"/>
  <c r="G25" s="1"/>
  <c r="X22"/>
  <c r="M22" s="1"/>
  <c r="Z21"/>
  <c r="R21"/>
  <c r="X18"/>
  <c r="Z17"/>
  <c r="R17"/>
  <c r="X14"/>
  <c r="Z13"/>
  <c r="R13"/>
  <c r="X10"/>
  <c r="Z9"/>
  <c r="R9"/>
  <c r="V8"/>
  <c r="T36"/>
  <c r="I36" s="1"/>
  <c r="V33"/>
  <c r="K33" s="1"/>
  <c r="V29"/>
  <c r="K29" s="1"/>
  <c r="T28"/>
  <c r="I28" s="1"/>
  <c r="V25"/>
  <c r="K25" s="1"/>
  <c r="V21"/>
  <c r="T20"/>
  <c r="V17"/>
  <c r="T16"/>
  <c r="X36"/>
  <c r="M36" s="1"/>
  <c r="U34"/>
  <c r="J34" s="1"/>
  <c r="W33"/>
  <c r="L33" s="1"/>
  <c r="X32"/>
  <c r="M32" s="1"/>
  <c r="U30"/>
  <c r="J30" s="1"/>
  <c r="W29"/>
  <c r="L29" s="1"/>
  <c r="X28"/>
  <c r="M28" s="1"/>
  <c r="U26"/>
  <c r="J26" s="1"/>
  <c r="W25"/>
  <c r="L25" s="1"/>
  <c r="X24"/>
  <c r="M24" s="1"/>
  <c r="U22"/>
  <c r="J22" s="1"/>
  <c r="W21"/>
  <c r="X20"/>
  <c r="U18"/>
  <c r="W17"/>
  <c r="X16"/>
  <c r="U14"/>
  <c r="W13"/>
  <c r="X12"/>
  <c r="U10"/>
  <c r="W9"/>
  <c r="C15"/>
  <c r="E15" s="1"/>
  <c r="N15" s="1"/>
  <c r="C11"/>
  <c r="E11" s="1"/>
  <c r="N11" s="1"/>
  <c r="Z31"/>
  <c r="O31" s="1"/>
  <c r="V31"/>
  <c r="K31" s="1"/>
  <c r="R31"/>
  <c r="G31" s="1"/>
  <c r="Z27"/>
  <c r="O27" s="1"/>
  <c r="V27"/>
  <c r="K27" s="1"/>
  <c r="R27"/>
  <c r="G27" s="1"/>
  <c r="V19"/>
  <c r="R19"/>
  <c r="V15"/>
  <c r="R15"/>
  <c r="Z11"/>
  <c r="V11"/>
  <c r="K11" s="1"/>
  <c r="R11"/>
  <c r="C20"/>
  <c r="E20" s="1"/>
  <c r="L20" s="1"/>
  <c r="C12"/>
  <c r="E12" s="1"/>
  <c r="L12" s="1"/>
  <c r="R8"/>
  <c r="Y8"/>
  <c r="U36"/>
  <c r="J36" s="1"/>
  <c r="AA35"/>
  <c r="P35" s="1"/>
  <c r="W35"/>
  <c r="L35" s="1"/>
  <c r="S35"/>
  <c r="H35" s="1"/>
  <c r="Y32"/>
  <c r="N32" s="1"/>
  <c r="AA31"/>
  <c r="P31" s="1"/>
  <c r="W31"/>
  <c r="L31" s="1"/>
  <c r="S31"/>
  <c r="H31" s="1"/>
  <c r="Y28"/>
  <c r="N28" s="1"/>
  <c r="U24"/>
  <c r="J24" s="1"/>
  <c r="U20"/>
  <c r="Y16"/>
  <c r="AA15"/>
  <c r="Y12"/>
  <c r="N12" s="1"/>
  <c r="U12"/>
  <c r="W11"/>
  <c r="S11"/>
  <c r="C21"/>
  <c r="E21" s="1"/>
  <c r="N21" s="1"/>
  <c r="C17"/>
  <c r="E17" s="1"/>
  <c r="N17" s="1"/>
  <c r="C13"/>
  <c r="E13" s="1"/>
  <c r="N13" s="1"/>
  <c r="C9"/>
  <c r="E9" s="1"/>
  <c r="N9" s="1"/>
  <c r="T8"/>
  <c r="Z8"/>
  <c r="Z36"/>
  <c r="O36" s="1"/>
  <c r="V36"/>
  <c r="K36" s="1"/>
  <c r="R36"/>
  <c r="G36" s="1"/>
  <c r="X35"/>
  <c r="M35" s="1"/>
  <c r="T35"/>
  <c r="I35" s="1"/>
  <c r="Z34"/>
  <c r="O34" s="1"/>
  <c r="V34"/>
  <c r="K34" s="1"/>
  <c r="R34"/>
  <c r="G34" s="1"/>
  <c r="X33"/>
  <c r="M33" s="1"/>
  <c r="T33"/>
  <c r="I33" s="1"/>
  <c r="Z32"/>
  <c r="O32" s="1"/>
  <c r="V32"/>
  <c r="K32" s="1"/>
  <c r="R32"/>
  <c r="G32" s="1"/>
  <c r="X31"/>
  <c r="M31" s="1"/>
  <c r="T31"/>
  <c r="I31" s="1"/>
  <c r="Z30"/>
  <c r="O30" s="1"/>
  <c r="V30"/>
  <c r="K30" s="1"/>
  <c r="R30"/>
  <c r="G30" s="1"/>
  <c r="X29"/>
  <c r="M29" s="1"/>
  <c r="T29"/>
  <c r="I29" s="1"/>
  <c r="Z28"/>
  <c r="O28" s="1"/>
  <c r="V28"/>
  <c r="K28" s="1"/>
  <c r="R28"/>
  <c r="G28" s="1"/>
  <c r="X27"/>
  <c r="M27" s="1"/>
  <c r="T27"/>
  <c r="I27" s="1"/>
  <c r="Z26"/>
  <c r="O26" s="1"/>
  <c r="V26"/>
  <c r="K26" s="1"/>
  <c r="R26"/>
  <c r="G26" s="1"/>
  <c r="X25"/>
  <c r="M25" s="1"/>
  <c r="T25"/>
  <c r="I25" s="1"/>
  <c r="Z24"/>
  <c r="O24" s="1"/>
  <c r="V24"/>
  <c r="K24" s="1"/>
  <c r="R24"/>
  <c r="G24" s="1"/>
  <c r="X23"/>
  <c r="M23" s="1"/>
  <c r="T23"/>
  <c r="I23" s="1"/>
  <c r="Z22"/>
  <c r="O22" s="1"/>
  <c r="V22"/>
  <c r="K22" s="1"/>
  <c r="R22"/>
  <c r="G22" s="1"/>
  <c r="X21"/>
  <c r="M21" s="1"/>
  <c r="T21"/>
  <c r="Z20"/>
  <c r="O20" s="1"/>
  <c r="V20"/>
  <c r="K20" s="1"/>
  <c r="R20"/>
  <c r="X19"/>
  <c r="T19"/>
  <c r="Z18"/>
  <c r="V18"/>
  <c r="R18"/>
  <c r="X17"/>
  <c r="T17"/>
  <c r="Z16"/>
  <c r="V16"/>
  <c r="R16"/>
  <c r="X15"/>
  <c r="T15"/>
  <c r="I15" s="1"/>
  <c r="Z14"/>
  <c r="V14"/>
  <c r="R14"/>
  <c r="X13"/>
  <c r="T13"/>
  <c r="Z12"/>
  <c r="V12"/>
  <c r="R12"/>
  <c r="G12" s="1"/>
  <c r="X11"/>
  <c r="M11" s="1"/>
  <c r="T11"/>
  <c r="Z10"/>
  <c r="V10"/>
  <c r="R10"/>
  <c r="X9"/>
  <c r="M9" s="1"/>
  <c r="T9"/>
  <c r="I9" s="1"/>
  <c r="C19"/>
  <c r="E19" s="1"/>
  <c r="N19" s="1"/>
  <c r="Z35"/>
  <c r="O35" s="1"/>
  <c r="V35"/>
  <c r="K35" s="1"/>
  <c r="R35"/>
  <c r="G35" s="1"/>
  <c r="Z23"/>
  <c r="O23" s="1"/>
  <c r="V23"/>
  <c r="K23" s="1"/>
  <c r="R23"/>
  <c r="G23" s="1"/>
  <c r="Z19"/>
  <c r="Z15"/>
  <c r="O15" s="1"/>
  <c r="C16"/>
  <c r="E16" s="1"/>
  <c r="L16" s="1"/>
  <c r="C8"/>
  <c r="E8" s="1"/>
  <c r="P8" s="1"/>
  <c r="S8"/>
  <c r="Y36"/>
  <c r="N36" s="1"/>
  <c r="U32"/>
  <c r="J32" s="1"/>
  <c r="U28"/>
  <c r="J28" s="1"/>
  <c r="AA27"/>
  <c r="P27" s="1"/>
  <c r="W27"/>
  <c r="L27" s="1"/>
  <c r="S27"/>
  <c r="H27" s="1"/>
  <c r="Y24"/>
  <c r="N24" s="1"/>
  <c r="AA23"/>
  <c r="P23" s="1"/>
  <c r="W23"/>
  <c r="L23" s="1"/>
  <c r="S23"/>
  <c r="H23" s="1"/>
  <c r="Y20"/>
  <c r="N20" s="1"/>
  <c r="AA19"/>
  <c r="W19"/>
  <c r="L19" s="1"/>
  <c r="S19"/>
  <c r="U16"/>
  <c r="W15"/>
  <c r="S15"/>
  <c r="H15" s="1"/>
  <c r="AA11"/>
  <c r="P11" s="1"/>
  <c r="C18"/>
  <c r="E18" s="1"/>
  <c r="L18" s="1"/>
  <c r="C14"/>
  <c r="E14" s="1"/>
  <c r="L14" s="1"/>
  <c r="C10"/>
  <c r="E10" s="1"/>
  <c r="L10" s="1"/>
  <c r="U8"/>
  <c r="AA36"/>
  <c r="P36" s="1"/>
  <c r="S36"/>
  <c r="H36" s="1"/>
  <c r="U35"/>
  <c r="J35" s="1"/>
  <c r="AA34"/>
  <c r="P34" s="1"/>
  <c r="S34"/>
  <c r="H34" s="1"/>
  <c r="U33"/>
  <c r="J33" s="1"/>
  <c r="AA32"/>
  <c r="P32" s="1"/>
  <c r="S32"/>
  <c r="H32" s="1"/>
  <c r="U31"/>
  <c r="J31" s="1"/>
  <c r="AA30"/>
  <c r="P30" s="1"/>
  <c r="S30"/>
  <c r="H30" s="1"/>
  <c r="U29"/>
  <c r="J29" s="1"/>
  <c r="AA28"/>
  <c r="P28" s="1"/>
  <c r="S28"/>
  <c r="H28" s="1"/>
  <c r="U27"/>
  <c r="J27" s="1"/>
  <c r="AA26"/>
  <c r="P26" s="1"/>
  <c r="S26"/>
  <c r="H26" s="1"/>
  <c r="U25"/>
  <c r="J25" s="1"/>
  <c r="AA24"/>
  <c r="P24" s="1"/>
  <c r="S24"/>
  <c r="H24" s="1"/>
  <c r="U23"/>
  <c r="J23" s="1"/>
  <c r="AA22"/>
  <c r="P22" s="1"/>
  <c r="S22"/>
  <c r="H22" s="1"/>
  <c r="U21"/>
  <c r="AA20"/>
  <c r="P20" s="1"/>
  <c r="S20"/>
  <c r="H20" s="1"/>
  <c r="U19"/>
  <c r="J19" s="1"/>
  <c r="AA18"/>
  <c r="S18"/>
  <c r="H18" s="1"/>
  <c r="U17"/>
  <c r="AA16"/>
  <c r="S16"/>
  <c r="H16" s="1"/>
  <c r="U15"/>
  <c r="AA14"/>
  <c r="P14" s="1"/>
  <c r="S14"/>
  <c r="U13"/>
  <c r="J13" s="1"/>
  <c r="AA12"/>
  <c r="S12"/>
  <c r="U11"/>
  <c r="J11" s="1"/>
  <c r="AA10"/>
  <c r="S10"/>
  <c r="U9"/>
  <c r="J9" s="1"/>
  <c r="A87" l="1"/>
  <c r="A86"/>
  <c r="A88"/>
  <c r="A89"/>
  <c r="H8"/>
  <c r="H14"/>
  <c r="P16"/>
  <c r="M13"/>
  <c r="K18"/>
  <c r="G20"/>
  <c r="I8"/>
  <c r="L13"/>
  <c r="P18"/>
  <c r="J8"/>
  <c r="I13"/>
  <c r="O14"/>
  <c r="G18"/>
  <c r="O8"/>
  <c r="J20"/>
  <c r="G8"/>
  <c r="K8"/>
  <c r="G13"/>
  <c r="L8"/>
  <c r="P13"/>
  <c r="O16"/>
  <c r="O11"/>
  <c r="J18"/>
  <c r="I20"/>
  <c r="G9"/>
  <c r="O13"/>
  <c r="M18"/>
  <c r="K13"/>
  <c r="I14"/>
  <c r="L5"/>
  <c r="P5"/>
  <c r="N5"/>
  <c r="M5"/>
  <c r="O5"/>
  <c r="L7"/>
  <c r="P7"/>
  <c r="N7"/>
  <c r="M7"/>
  <c r="O7"/>
  <c r="N10"/>
  <c r="P10"/>
  <c r="J21"/>
  <c r="I21"/>
  <c r="J12"/>
  <c r="M12"/>
  <c r="I12"/>
  <c r="H21"/>
  <c r="P17"/>
  <c r="H12"/>
  <c r="J17"/>
  <c r="L15"/>
  <c r="P19"/>
  <c r="O19"/>
  <c r="O10"/>
  <c r="K12"/>
  <c r="G14"/>
  <c r="M15"/>
  <c r="I17"/>
  <c r="O18"/>
  <c r="H11"/>
  <c r="P15"/>
  <c r="G15"/>
  <c r="L9"/>
  <c r="J14"/>
  <c r="M20"/>
  <c r="K21"/>
  <c r="O9"/>
  <c r="M14"/>
  <c r="G21"/>
  <c r="M8"/>
  <c r="N14"/>
  <c r="I18"/>
  <c r="H9"/>
  <c r="H13"/>
  <c r="N6"/>
  <c r="L6"/>
  <c r="P6"/>
  <c r="O6"/>
  <c r="M6"/>
  <c r="K10"/>
  <c r="K19"/>
  <c r="P21"/>
  <c r="H19"/>
  <c r="G10"/>
  <c r="K16"/>
  <c r="M19"/>
  <c r="G19"/>
  <c r="L17"/>
  <c r="K17"/>
  <c r="O17"/>
  <c r="I10"/>
  <c r="H10"/>
  <c r="P12"/>
  <c r="J15"/>
  <c r="J16"/>
  <c r="I11"/>
  <c r="O12"/>
  <c r="K14"/>
  <c r="G16"/>
  <c r="M17"/>
  <c r="I19"/>
  <c r="L11"/>
  <c r="N16"/>
  <c r="N8"/>
  <c r="G11"/>
  <c r="K15"/>
  <c r="J10"/>
  <c r="M16"/>
  <c r="L21"/>
  <c r="I16"/>
  <c r="M10"/>
  <c r="G17"/>
  <c r="O21"/>
  <c r="K9"/>
  <c r="N18"/>
  <c r="H17"/>
  <c r="P9"/>
  <c r="L83" i="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82"/>
  <c r="A73" i="4" l="1"/>
  <c r="E127" s="1"/>
  <c r="G24" i="1" s="1"/>
  <c r="A58" i="4"/>
  <c r="E112" s="1"/>
  <c r="G9" i="1" s="1"/>
  <c r="A66" i="4"/>
  <c r="E120" s="1"/>
  <c r="G17" i="1" s="1"/>
  <c r="A71" i="4"/>
  <c r="E125" s="1"/>
  <c r="G22" i="1" s="1"/>
  <c r="A65" i="4"/>
  <c r="E119" s="1"/>
  <c r="G16" i="1" s="1"/>
  <c r="A72" i="4"/>
  <c r="E126" s="1"/>
  <c r="G23" i="1" s="1"/>
  <c r="A62" i="4"/>
  <c r="E116" s="1"/>
  <c r="G13" i="1" s="1"/>
  <c r="A70" i="4"/>
  <c r="E124" s="1"/>
  <c r="G21" i="1" s="1"/>
  <c r="A61" i="4"/>
  <c r="E115" s="1"/>
  <c r="G12" i="1" s="1"/>
  <c r="A69" i="4"/>
  <c r="E123" s="1"/>
  <c r="G20" i="1" s="1"/>
  <c r="A63" i="4"/>
  <c r="E117" s="1"/>
  <c r="G14" i="1" s="1"/>
  <c r="A67" i="4"/>
  <c r="E121" s="1"/>
  <c r="G18" i="1" s="1"/>
  <c r="A74" i="4"/>
  <c r="E128" s="1"/>
  <c r="G25" i="1" s="1"/>
  <c r="A64" i="4"/>
  <c r="E118" s="1"/>
  <c r="G15" i="1" s="1"/>
  <c r="A68" i="4"/>
  <c r="E122" s="1"/>
  <c r="G19" i="1" s="1"/>
  <c r="A75" i="4"/>
  <c r="E129" s="1"/>
  <c r="G26" i="1" s="1"/>
  <c r="A76" i="4"/>
  <c r="E130" s="1"/>
  <c r="G27" i="1" s="1"/>
  <c r="K89" i="3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88"/>
  <c r="C6" i="1" l="1"/>
  <c r="B2" i="2"/>
  <c r="E39" i="3"/>
  <c r="E40"/>
  <c r="E41"/>
  <c r="E42"/>
  <c r="E43"/>
  <c r="E44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38"/>
  <c r="D39"/>
  <c r="D40"/>
  <c r="G40" s="1"/>
  <c r="D41"/>
  <c r="D42"/>
  <c r="G42" s="1"/>
  <c r="D43"/>
  <c r="D44"/>
  <c r="G44" s="1"/>
  <c r="D45"/>
  <c r="D46"/>
  <c r="G46" s="1"/>
  <c r="D47"/>
  <c r="D48"/>
  <c r="G48" s="1"/>
  <c r="D51"/>
  <c r="D52"/>
  <c r="G52" s="1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38"/>
  <c r="C73"/>
  <c r="F73" s="1"/>
  <c r="C72"/>
  <c r="F72" s="1"/>
  <c r="C71"/>
  <c r="F71" s="1"/>
  <c r="C70"/>
  <c r="F70" s="1"/>
  <c r="C69"/>
  <c r="F69" s="1"/>
  <c r="C68"/>
  <c r="F68" s="1"/>
  <c r="C67"/>
  <c r="F67" s="1"/>
  <c r="C66"/>
  <c r="F66" s="1"/>
  <c r="C65"/>
  <c r="F65" s="1"/>
  <c r="C64"/>
  <c r="F64" s="1"/>
  <c r="C63"/>
  <c r="F63" s="1"/>
  <c r="C62"/>
  <c r="F62" s="1"/>
  <c r="C61"/>
  <c r="F61" s="1"/>
  <c r="C60"/>
  <c r="F60" s="1"/>
  <c r="C59"/>
  <c r="F59" s="1"/>
  <c r="C58"/>
  <c r="F58" s="1"/>
  <c r="C57"/>
  <c r="F57" s="1"/>
  <c r="C56"/>
  <c r="F56" s="1"/>
  <c r="C55"/>
  <c r="F55" s="1"/>
  <c r="C54"/>
  <c r="F54" s="1"/>
  <c r="A53"/>
  <c r="D53" s="1"/>
  <c r="C52"/>
  <c r="F52" s="1"/>
  <c r="C51"/>
  <c r="F51" s="1"/>
  <c r="A50"/>
  <c r="C50" s="1"/>
  <c r="F50" s="1"/>
  <c r="A49"/>
  <c r="D49" s="1"/>
  <c r="C48"/>
  <c r="F48" s="1"/>
  <c r="C47"/>
  <c r="F47" s="1"/>
  <c r="C46"/>
  <c r="F46" s="1"/>
  <c r="B45"/>
  <c r="C45" s="1"/>
  <c r="F45" s="1"/>
  <c r="C44"/>
  <c r="F44" s="1"/>
  <c r="C43"/>
  <c r="F43" s="1"/>
  <c r="C42"/>
  <c r="F42" s="1"/>
  <c r="C41"/>
  <c r="F41" s="1"/>
  <c r="C40"/>
  <c r="F40" s="1"/>
  <c r="C39"/>
  <c r="F39" s="1"/>
  <c r="C38"/>
  <c r="F38" s="1"/>
  <c r="G73" l="1"/>
  <c r="G69"/>
  <c r="G65"/>
  <c r="G63"/>
  <c r="G61"/>
  <c r="G57"/>
  <c r="G55"/>
  <c r="G38"/>
  <c r="G72"/>
  <c r="G70"/>
  <c r="G68"/>
  <c r="G66"/>
  <c r="G64"/>
  <c r="G62"/>
  <c r="G60"/>
  <c r="G58"/>
  <c r="G56"/>
  <c r="G54"/>
  <c r="G51"/>
  <c r="G47"/>
  <c r="G45"/>
  <c r="G43"/>
  <c r="G41"/>
  <c r="G39"/>
  <c r="G49"/>
  <c r="G71"/>
  <c r="G67"/>
  <c r="G59"/>
  <c r="D50"/>
  <c r="G50" s="1"/>
  <c r="C49"/>
  <c r="F49" s="1"/>
  <c r="C53"/>
  <c r="F53" s="1"/>
  <c r="G53" s="1"/>
  <c r="E45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"/>
  <c r="E2" i="2" l="1"/>
  <c r="D2"/>
  <c r="C2"/>
  <c r="A2"/>
  <c r="A59" i="4" l="1"/>
  <c r="E113" s="1"/>
  <c r="G10" i="1" s="1"/>
  <c r="A60" i="4" l="1"/>
  <c r="E114" s="1"/>
  <c r="G11" i="1" s="1"/>
  <c r="A80" i="4" l="1"/>
  <c r="E134" s="1"/>
  <c r="G31" i="1" s="1"/>
  <c r="A84" i="4"/>
  <c r="E138" s="1"/>
  <c r="G35" i="1" s="1"/>
  <c r="E142" i="4"/>
  <c r="G39" i="1" s="1"/>
  <c r="A85" i="4"/>
  <c r="E139" s="1"/>
  <c r="G36" i="1" s="1"/>
  <c r="A77" i="4"/>
  <c r="E131" s="1"/>
  <c r="G28" i="1" s="1"/>
  <c r="A81" i="4"/>
  <c r="E135" s="1"/>
  <c r="G32" i="1" s="1"/>
  <c r="E143" i="4"/>
  <c r="G40" i="1" s="1"/>
  <c r="E140" i="4"/>
  <c r="G37" i="1" s="1"/>
  <c r="A83" i="4"/>
  <c r="E137" s="1"/>
  <c r="G34" i="1" s="1"/>
  <c r="E141" i="4"/>
  <c r="G38" i="1" s="1"/>
  <c r="A82" i="4"/>
  <c r="E136" s="1"/>
  <c r="G33" i="1" s="1"/>
  <c r="A78" i="4"/>
  <c r="E132" s="1"/>
  <c r="G29" i="1" s="1"/>
  <c r="A79" i="4"/>
  <c r="E133" s="1"/>
  <c r="G30" i="1" s="1"/>
</calcChain>
</file>

<file path=xl/comments1.xml><?xml version="1.0" encoding="utf-8"?>
<comments xmlns="http://schemas.openxmlformats.org/spreadsheetml/2006/main">
  <authors>
    <author>dell</author>
  </authors>
  <commentList>
    <comment ref="K3" authorId="0">
      <text>
        <r>
          <rPr>
            <b/>
            <sz val="9"/>
            <color indexed="81"/>
            <rFont val="宋体"/>
            <family val="3"/>
            <charset val="134"/>
          </rPr>
          <t>当英雄等级高于这个的时候，在本地图将寻找不到怪物</t>
        </r>
      </text>
    </comment>
  </commentList>
</comments>
</file>

<file path=xl/sharedStrings.xml><?xml version="1.0" encoding="utf-8"?>
<sst xmlns="http://schemas.openxmlformats.org/spreadsheetml/2006/main" count="1054" uniqueCount="850">
  <si>
    <t>id</t>
  </si>
  <si>
    <t>名字(name)</t>
  </si>
  <si>
    <t>bossId</t>
  </si>
  <si>
    <t>怪物列表(monsterIds)</t>
  </si>
  <si>
    <t>个数权重(weight)</t>
  </si>
  <si>
    <t>BOSS掉落（bossDropGroup）</t>
  </si>
  <si>
    <t>新手试炼</t>
  </si>
  <si>
    <t>怒焰裂谷</t>
  </si>
  <si>
    <t>死亡矿井</t>
  </si>
  <si>
    <t>哀嚎洞穴</t>
  </si>
  <si>
    <t>影牙城堡</t>
  </si>
  <si>
    <t>黑暗深渊</t>
  </si>
  <si>
    <t>暴风城监狱</t>
  </si>
  <si>
    <t>诺莫瑞根</t>
  </si>
  <si>
    <t>剃刀沼泽</t>
  </si>
  <si>
    <t>剃刀高地</t>
  </si>
  <si>
    <t>血色修道院</t>
  </si>
  <si>
    <t>奥达曼</t>
  </si>
  <si>
    <t>玛拉顿</t>
  </si>
  <si>
    <t>祖尔法拉克</t>
  </si>
  <si>
    <t>沉没的神庙</t>
  </si>
  <si>
    <t>黑石深渊</t>
  </si>
  <si>
    <t>斯坦索姆</t>
  </si>
  <si>
    <t>黑石塔</t>
  </si>
  <si>
    <t>厄运之槌</t>
  </si>
  <si>
    <t>通灵学院</t>
  </si>
  <si>
    <t>地狱火城墙</t>
  </si>
  <si>
    <t>鲜血熔炉</t>
  </si>
  <si>
    <t>奴隶围栏</t>
  </si>
  <si>
    <t>幽暗沼泽</t>
  </si>
  <si>
    <t>法力陵墓</t>
  </si>
  <si>
    <t>奥金尼地穴</t>
  </si>
  <si>
    <t>旧希尔布拉德丘陵</t>
  </si>
  <si>
    <t>塞泰克大厅</t>
  </si>
  <si>
    <t>蒸汽地窖</t>
  </si>
  <si>
    <t>暗影迷宫</t>
  </si>
  <si>
    <t>能源舰</t>
  </si>
  <si>
    <t>破碎大厅</t>
  </si>
  <si>
    <t>黑色沼泽</t>
  </si>
  <si>
    <t>禁魔监狱</t>
  </si>
  <si>
    <t>生态船</t>
  </si>
  <si>
    <t>id</t>
    <phoneticPr fontId="4" type="noConversion"/>
  </si>
  <si>
    <t>name</t>
    <phoneticPr fontId="4" type="noConversion"/>
  </si>
  <si>
    <t>bossId</t>
    <phoneticPr fontId="4" type="noConversion"/>
  </si>
  <si>
    <t>monsterIds</t>
    <phoneticPr fontId="4" type="noConversion"/>
  </si>
  <si>
    <t>地图图片路径</t>
    <phoneticPr fontId="4" type="noConversion"/>
  </si>
  <si>
    <t>怪物等级区间</t>
    <phoneticPr fontId="4" type="noConversion"/>
  </si>
  <si>
    <t>data</t>
    <phoneticPr fontId="4" type="noConversion"/>
  </si>
  <si>
    <t>装备掉率</t>
    <phoneticPr fontId="4" type="noConversion"/>
  </si>
  <si>
    <t>countWeight</t>
    <phoneticPr fontId="4" type="noConversion"/>
  </si>
  <si>
    <t>dropItems</t>
    <phoneticPr fontId="4" type="noConversion"/>
  </si>
  <si>
    <t>bossDropItems</t>
    <phoneticPr fontId="4" type="noConversion"/>
  </si>
  <si>
    <t>掉落组(dropGroup)</t>
    <phoneticPr fontId="4" type="noConversion"/>
  </si>
  <si>
    <t>No</t>
    <phoneticPr fontId="4" type="noConversion"/>
  </si>
  <si>
    <t>可以挂机最高等级</t>
    <phoneticPr fontId="4" type="noConversion"/>
  </si>
  <si>
    <t>maxBattleLevel</t>
    <phoneticPr fontId="4" type="noConversion"/>
  </si>
  <si>
    <t>装备掉率</t>
    <phoneticPr fontId="4" type="noConversion"/>
  </si>
  <si>
    <t>13-16</t>
  </si>
  <si>
    <t>15-18</t>
  </si>
  <si>
    <t>17-20</t>
  </si>
  <si>
    <t>19-22</t>
  </si>
  <si>
    <t>21-24</t>
  </si>
  <si>
    <t>23-26</t>
  </si>
  <si>
    <t>25-28</t>
  </si>
  <si>
    <t>27-30</t>
  </si>
  <si>
    <t>29-32</t>
  </si>
  <si>
    <t>31-34</t>
  </si>
  <si>
    <t>33-36</t>
  </si>
  <si>
    <t>35-38</t>
  </si>
  <si>
    <t>37-40</t>
  </si>
  <si>
    <t>39-42</t>
  </si>
  <si>
    <t>41-44</t>
  </si>
  <si>
    <t>43-46</t>
  </si>
  <si>
    <t>45-48</t>
  </si>
  <si>
    <t>47-50</t>
  </si>
  <si>
    <t>49-52</t>
  </si>
  <si>
    <t>51-54</t>
  </si>
  <si>
    <t>53-56</t>
  </si>
  <si>
    <t>59-62</t>
  </si>
  <si>
    <t>61-64</t>
  </si>
  <si>
    <t>63-66</t>
  </si>
  <si>
    <t>65-68</t>
  </si>
  <si>
    <t>67-70</t>
  </si>
  <si>
    <t>map/map_001.png</t>
    <phoneticPr fontId="4" type="noConversion"/>
  </si>
  <si>
    <t>map/map_002.png</t>
  </si>
  <si>
    <t>map/map_003.png</t>
  </si>
  <si>
    <t>map/map_004.png</t>
  </si>
  <si>
    <t>map/map_005.png</t>
  </si>
  <si>
    <t>map/map_006.png</t>
  </si>
  <si>
    <t>map/map_007.png</t>
  </si>
  <si>
    <t>map/map_008.png</t>
  </si>
  <si>
    <t>map/map_009.png</t>
  </si>
  <si>
    <t>map/map_010.png</t>
  </si>
  <si>
    <t>map/map_011.png</t>
  </si>
  <si>
    <t>map/map_012.png</t>
  </si>
  <si>
    <t>map/map_013.png</t>
  </si>
  <si>
    <t>map/map_014.png</t>
  </si>
  <si>
    <t>map/map_015.png</t>
  </si>
  <si>
    <t>map/map_016.png</t>
  </si>
  <si>
    <t>map/map_017.png</t>
  </si>
  <si>
    <t>map/map_018.png</t>
  </si>
  <si>
    <t>map/map_019.png</t>
  </si>
  <si>
    <t>map/map_020.png</t>
  </si>
  <si>
    <t>map/map_021.png</t>
  </si>
  <si>
    <t>map/map_022.png</t>
  </si>
  <si>
    <t>map/map_023.png</t>
  </si>
  <si>
    <t>map/map_024.png</t>
  </si>
  <si>
    <t>map/map_025.png</t>
  </si>
  <si>
    <t>map/map_026.png</t>
  </si>
  <si>
    <t>map/map_027.png</t>
  </si>
  <si>
    <t>map/map_028.png</t>
  </si>
  <si>
    <t>map/map_029.png</t>
  </si>
  <si>
    <t>map/map_030.png</t>
  </si>
  <si>
    <t>map/map_031.png</t>
  </si>
  <si>
    <t>map/map_032.png</t>
  </si>
  <si>
    <t>map/map_033.png</t>
  </si>
  <si>
    <t>map/map_034.png</t>
  </si>
  <si>
    <t>map/map_035.png</t>
  </si>
  <si>
    <t>30000_60001_1_10000,7000001_0_1_10000</t>
    <phoneticPr fontId="4" type="noConversion"/>
  </si>
  <si>
    <t>30000_60001_2_10000,7000001_0_1_10000</t>
    <phoneticPr fontId="4" type="noConversion"/>
  </si>
  <si>
    <t>30000_60001_3_10000,7000001_0_1_10000</t>
    <phoneticPr fontId="4" type="noConversion"/>
  </si>
  <si>
    <t>30000_60001_4_10000,7000002_0_1_10000</t>
    <phoneticPr fontId="4" type="noConversion"/>
  </si>
  <si>
    <t>30000_60001_5_10000,7000002_0_1_10000</t>
    <phoneticPr fontId="4" type="noConversion"/>
  </si>
  <si>
    <t>30000_60001_6_10000,7000002_0_1_10000</t>
    <phoneticPr fontId="4" type="noConversion"/>
  </si>
  <si>
    <t>30000_60001_7_10000,7000003_0_1_10000</t>
    <phoneticPr fontId="4" type="noConversion"/>
  </si>
  <si>
    <t>30000_60001_8_10000,7000003_0_1_10000</t>
    <phoneticPr fontId="4" type="noConversion"/>
  </si>
  <si>
    <t>30000_60001_9_10000,7000004_0_1_10000</t>
    <phoneticPr fontId="4" type="noConversion"/>
  </si>
  <si>
    <t>30000_60001_10_10000,7000004_0_1_10000</t>
    <phoneticPr fontId="4" type="noConversion"/>
  </si>
  <si>
    <t>30000_60001_11_10000,7000004_0_1_10000</t>
    <phoneticPr fontId="4" type="noConversion"/>
  </si>
  <si>
    <t>30000_60001_12_10000,7000005_0_1_10000</t>
    <phoneticPr fontId="4" type="noConversion"/>
  </si>
  <si>
    <t>30000_60001_13_10000,7000005_0_1_10000</t>
    <phoneticPr fontId="4" type="noConversion"/>
  </si>
  <si>
    <t>30000_60001_14_10000,7000006_0_1_10000</t>
    <phoneticPr fontId="4" type="noConversion"/>
  </si>
  <si>
    <t>30000_60001_15_10000,7000006_0_1_10000</t>
    <phoneticPr fontId="4" type="noConversion"/>
  </si>
  <si>
    <t>30000_60001_16_10000,7000006_0_1_10000</t>
    <phoneticPr fontId="4" type="noConversion"/>
  </si>
  <si>
    <t>30000_60001_17_10000,7000007_0_1_10000</t>
    <phoneticPr fontId="4" type="noConversion"/>
  </si>
  <si>
    <t>30000_60001_18_10000,7000007_0_1_10000</t>
    <phoneticPr fontId="4" type="noConversion"/>
  </si>
  <si>
    <t>30000_60001_19_10000,7000008_0_1_10000</t>
    <phoneticPr fontId="4" type="noConversion"/>
  </si>
  <si>
    <t>30000_60001_20_10000,7000008_0_1_10000</t>
    <phoneticPr fontId="4" type="noConversion"/>
  </si>
  <si>
    <t>30000_60001_21_10000,7000008_0_1_10000</t>
    <phoneticPr fontId="4" type="noConversion"/>
  </si>
  <si>
    <t>30000_60001_22_10000,7000009_0_1_10000</t>
    <phoneticPr fontId="4" type="noConversion"/>
  </si>
  <si>
    <t>30000_60001_23_10000,7000009_0_1_10000</t>
    <phoneticPr fontId="4" type="noConversion"/>
  </si>
  <si>
    <t>30000_60001_24_10000,7000010_0_1_10000</t>
    <phoneticPr fontId="4" type="noConversion"/>
  </si>
  <si>
    <t>30000_60001_25_10000,7000010_0_1_10000</t>
    <phoneticPr fontId="4" type="noConversion"/>
  </si>
  <si>
    <t>30000_60001_26_10000,7000010_0_1_10000</t>
    <phoneticPr fontId="4" type="noConversion"/>
  </si>
  <si>
    <t>30000_60001_27_10000,7000011_0_1_10000</t>
    <phoneticPr fontId="4" type="noConversion"/>
  </si>
  <si>
    <t>30000_60001_28_10000,7000011_0_1_10000</t>
    <phoneticPr fontId="4" type="noConversion"/>
  </si>
  <si>
    <t>57-60</t>
    <phoneticPr fontId="4" type="noConversion"/>
  </si>
  <si>
    <t>55_58</t>
    <phoneticPr fontId="4" type="noConversion"/>
  </si>
  <si>
    <t>30000_60001_29_10000,7000012_0_1_10000</t>
    <phoneticPr fontId="4" type="noConversion"/>
  </si>
  <si>
    <t>30000_60001_30_10000,7000012_0_1_10000</t>
    <phoneticPr fontId="4" type="noConversion"/>
  </si>
  <si>
    <t>30000_60001_31_10000,7000012_0_1_10000</t>
    <phoneticPr fontId="4" type="noConversion"/>
  </si>
  <si>
    <t>30000_60001_32_10000,7000013_0_1_10000</t>
    <phoneticPr fontId="4" type="noConversion"/>
  </si>
  <si>
    <t>30000_60001_33_10000,7000013_0_1_10000</t>
    <phoneticPr fontId="4" type="noConversion"/>
  </si>
  <si>
    <t>30000_60001_35_10000,7000014_0_1_10000</t>
    <phoneticPr fontId="4" type="noConversion"/>
  </si>
  <si>
    <t>No</t>
    <phoneticPr fontId="4" type="noConversion"/>
  </si>
  <si>
    <t>dropRate</t>
    <phoneticPr fontId="4" type="noConversion"/>
  </si>
  <si>
    <t>4000105_0_1_200</t>
  </si>
  <si>
    <t>4000205_0_1_130</t>
    <phoneticPr fontId="4" type="noConversion"/>
  </si>
  <si>
    <t>4000215_0_1_163</t>
    <phoneticPr fontId="4" type="noConversion"/>
  </si>
  <si>
    <t>4000310_0_1_57</t>
    <phoneticPr fontId="4" type="noConversion"/>
  </si>
  <si>
    <t>4000315_0_1_74</t>
    <phoneticPr fontId="4" type="noConversion"/>
  </si>
  <si>
    <t>4000115_0_1_198</t>
    <phoneticPr fontId="4" type="noConversion"/>
  </si>
  <si>
    <t>4000315_0_1_82</t>
    <phoneticPr fontId="4" type="noConversion"/>
  </si>
  <si>
    <t>4000215_0_1_179</t>
    <phoneticPr fontId="4" type="noConversion"/>
  </si>
  <si>
    <t>装备</t>
    <phoneticPr fontId="4" type="noConversion"/>
  </si>
  <si>
    <t>4000505_0_1_0</t>
    <phoneticPr fontId="4" type="noConversion"/>
  </si>
  <si>
    <t>4000510_0_1_0</t>
    <phoneticPr fontId="4" type="noConversion"/>
  </si>
  <si>
    <t>4000110_0_1_120</t>
    <phoneticPr fontId="4" type="noConversion"/>
  </si>
  <si>
    <t>4000210_0_1_126</t>
    <phoneticPr fontId="4" type="noConversion"/>
  </si>
  <si>
    <t>4000305_0_1_64</t>
    <phoneticPr fontId="4" type="noConversion"/>
  </si>
  <si>
    <t>4000310_0_1_64</t>
    <phoneticPr fontId="4" type="noConversion"/>
  </si>
  <si>
    <t>4000405_0_1_0</t>
    <phoneticPr fontId="4" type="noConversion"/>
  </si>
  <si>
    <t>4000410_0_1_0</t>
    <phoneticPr fontId="4" type="noConversion"/>
  </si>
  <si>
    <t>4000405_0_1_0</t>
    <phoneticPr fontId="4" type="noConversion"/>
  </si>
  <si>
    <t>4000410_0_1_0</t>
    <phoneticPr fontId="4" type="noConversion"/>
  </si>
  <si>
    <t>4000105_0_1_175</t>
    <phoneticPr fontId="4" type="noConversion"/>
  </si>
  <si>
    <t>4000110_0_1_174</t>
    <phoneticPr fontId="4" type="noConversion"/>
  </si>
  <si>
    <t>4000205_0_1_140</t>
    <phoneticPr fontId="4" type="noConversion"/>
  </si>
  <si>
    <t>4000210_0_1_139</t>
    <phoneticPr fontId="4" type="noConversion"/>
  </si>
  <si>
    <t>4000305_0_1_70</t>
    <phoneticPr fontId="4" type="noConversion"/>
  </si>
  <si>
    <t>4000310_0_1_69</t>
    <phoneticPr fontId="4" type="noConversion"/>
  </si>
  <si>
    <t>4000415_0_1_0</t>
    <phoneticPr fontId="4" type="noConversion"/>
  </si>
  <si>
    <t>4000110_0_1_192</t>
    <phoneticPr fontId="4" type="noConversion"/>
  </si>
  <si>
    <t>4000210_0_1_125</t>
    <phoneticPr fontId="4" type="noConversion"/>
  </si>
  <si>
    <t>4000515_0_1_0</t>
    <phoneticPr fontId="4" type="noConversion"/>
  </si>
  <si>
    <t>4000115_0_1_185</t>
    <phoneticPr fontId="4" type="noConversion"/>
  </si>
  <si>
    <t>4000110_0_1_188</t>
    <phoneticPr fontId="4" type="noConversion"/>
  </si>
  <si>
    <t>4000210_0_1_138</t>
    <phoneticPr fontId="4" type="noConversion"/>
  </si>
  <si>
    <t>30000_40003_1_205</t>
  </si>
  <si>
    <t>30000_40002_1_88</t>
  </si>
  <si>
    <t>30000_40001_1_44</t>
  </si>
  <si>
    <t>30000_40003_1_213</t>
  </si>
  <si>
    <t>30000_40002_1_91</t>
  </si>
  <si>
    <t>30000_40001_1_45</t>
  </si>
  <si>
    <t>30000_40003_1_220</t>
  </si>
  <si>
    <t>30000_40002_1_94</t>
  </si>
  <si>
    <t>30000_40001_1_47</t>
  </si>
  <si>
    <t>30000_40003_1_228</t>
  </si>
  <si>
    <t>30000_40002_1_97</t>
  </si>
  <si>
    <t>30000_40001_1_48</t>
  </si>
  <si>
    <t>30000_40003_1_235</t>
  </si>
  <si>
    <t>30000_40002_1_101</t>
  </si>
  <si>
    <t>30000_40001_1_50</t>
  </si>
  <si>
    <t>30000_40003_1_243</t>
  </si>
  <si>
    <t>30000_40002_1_104</t>
  </si>
  <si>
    <t>30000_40001_1_52</t>
  </si>
  <si>
    <t>30000_40003_1_251</t>
  </si>
  <si>
    <t>30000_40002_1_107</t>
  </si>
  <si>
    <t>30000_40001_1_53</t>
  </si>
  <si>
    <t>30000_40003_1_258</t>
  </si>
  <si>
    <t>30000_40002_1_110</t>
  </si>
  <si>
    <t>30000_40001_1_55</t>
  </si>
  <si>
    <t>30000_40003_1_266</t>
  </si>
  <si>
    <t>30000_40002_1_114</t>
  </si>
  <si>
    <t>30000_40001_1_57</t>
  </si>
  <si>
    <t>30000_40003_1_273</t>
  </si>
  <si>
    <t>30000_40002_1_117</t>
  </si>
  <si>
    <t>30000_40001_1_58</t>
  </si>
  <si>
    <t>30000_40003_1_281</t>
  </si>
  <si>
    <t>30000_40002_1_120</t>
  </si>
  <si>
    <t>30000_40001_1_60</t>
  </si>
  <si>
    <t>30000_40003_1_289</t>
  </si>
  <si>
    <t>30000_40002_1_123</t>
  </si>
  <si>
    <t>30000_40001_1_61</t>
  </si>
  <si>
    <t>30000_40003_1_296</t>
  </si>
  <si>
    <t>30000_40002_1_127</t>
  </si>
  <si>
    <t>30000_40001_1_63</t>
  </si>
  <si>
    <t>30000_40003_1_304</t>
  </si>
  <si>
    <t>30000_40002_1_130</t>
  </si>
  <si>
    <t>30000_40001_1_65</t>
  </si>
  <si>
    <t>30000_40003_1_311</t>
  </si>
  <si>
    <t>30000_40002_1_133</t>
  </si>
  <si>
    <t>30000_40001_1_66</t>
  </si>
  <si>
    <t>30000_40003_1_319</t>
  </si>
  <si>
    <t>30000_40002_1_136</t>
  </si>
  <si>
    <t>30000_40001_1_68</t>
  </si>
  <si>
    <t>30000_40003_1_327</t>
  </si>
  <si>
    <t>30000_40002_1_140</t>
  </si>
  <si>
    <t>30000_40001_1_70</t>
  </si>
  <si>
    <t>30000_40003_1_334</t>
  </si>
  <si>
    <t>30000_40002_1_143</t>
  </si>
  <si>
    <t>30000_40001_1_71</t>
  </si>
  <si>
    <t>30000_40003_1_342</t>
  </si>
  <si>
    <t>30000_40002_1_146</t>
  </si>
  <si>
    <t>30000_40001_1_73</t>
  </si>
  <si>
    <t>30000_40003_1_350</t>
  </si>
  <si>
    <t>30000_40002_1_150</t>
  </si>
  <si>
    <t>30000_40001_1_75</t>
  </si>
  <si>
    <t>30000_40003_1_357</t>
  </si>
  <si>
    <t>30000_40002_1_153</t>
  </si>
  <si>
    <t>30000_40001_1_76</t>
  </si>
  <si>
    <t>30000_40003_1_365</t>
  </si>
  <si>
    <t>30000_40002_1_156</t>
  </si>
  <si>
    <t>30000_40001_1_78</t>
  </si>
  <si>
    <t>30000_40003_1_372</t>
  </si>
  <si>
    <t>30000_40002_1_159</t>
  </si>
  <si>
    <t>30000_40001_1_79</t>
  </si>
  <si>
    <t>30000_40003_1_380</t>
  </si>
  <si>
    <t>30000_40002_1_163</t>
  </si>
  <si>
    <t>30000_40001_1_81</t>
  </si>
  <si>
    <t>30000_40003_1_388</t>
  </si>
  <si>
    <t>30000_40002_1_166</t>
  </si>
  <si>
    <t>30000_40001_1_83</t>
  </si>
  <si>
    <t>30000_40003_1_395</t>
  </si>
  <si>
    <t>30000_40002_1_169</t>
  </si>
  <si>
    <t>30000_40001_1_84</t>
  </si>
  <si>
    <t>30000_40003_1_403</t>
  </si>
  <si>
    <t>30000_40002_1_172</t>
  </si>
  <si>
    <t>30000_40001_1_86</t>
  </si>
  <si>
    <t>30000_40003_1_410</t>
  </si>
  <si>
    <t>30000_40002_1_176</t>
  </si>
  <si>
    <t>30000_40001_1_88</t>
  </si>
  <si>
    <t>30000_40003_1_418</t>
  </si>
  <si>
    <t>30000_40002_1_179</t>
  </si>
  <si>
    <t>30000_40001_1_89</t>
  </si>
  <si>
    <t>30000_40003_1_426</t>
  </si>
  <si>
    <t>30000_40002_1_182</t>
  </si>
  <si>
    <t>30000_40001_1_91</t>
  </si>
  <si>
    <t>30000_40003_1_433</t>
  </si>
  <si>
    <t>30000_40002_1_185</t>
  </si>
  <si>
    <t>30000_40001_1_92</t>
  </si>
  <si>
    <t>该地图每小时最大战斗次数</t>
    <phoneticPr fontId="4" type="noConversion"/>
  </si>
  <si>
    <t>1_10000,2_0,3_0</t>
  </si>
  <si>
    <t>1_6500,2_3500,3_0</t>
  </si>
  <si>
    <t>1_6000,2_4000,3_0</t>
  </si>
  <si>
    <t>1_5500,2_4500,3_0</t>
  </si>
  <si>
    <t>1_5000,2_5000,3_0</t>
  </si>
  <si>
    <t>1_0,2_0,3_10000</t>
  </si>
  <si>
    <t>maxFightTimes</t>
    <phoneticPr fontId="4" type="noConversion"/>
  </si>
  <si>
    <t>1-3</t>
    <phoneticPr fontId="4" type="noConversion"/>
  </si>
  <si>
    <t>2-4</t>
    <phoneticPr fontId="4" type="noConversion"/>
  </si>
  <si>
    <t>3-6</t>
    <phoneticPr fontId="4" type="noConversion"/>
  </si>
  <si>
    <t>5-8</t>
    <phoneticPr fontId="4" type="noConversion"/>
  </si>
  <si>
    <t>7-10</t>
    <phoneticPr fontId="4" type="noConversion"/>
  </si>
  <si>
    <t>9-12</t>
    <phoneticPr fontId="4" type="noConversion"/>
  </si>
  <si>
    <t>11-14</t>
    <phoneticPr fontId="4" type="noConversion"/>
  </si>
  <si>
    <t>关卡第一次掉落</t>
    <phoneticPr fontId="4" type="noConversion"/>
  </si>
  <si>
    <t>关卡第二次掉落</t>
    <phoneticPr fontId="4" type="noConversion"/>
  </si>
  <si>
    <t>firstDropItems</t>
    <phoneticPr fontId="4" type="noConversion"/>
  </si>
  <si>
    <t>secondDropItems</t>
    <phoneticPr fontId="4" type="noConversion"/>
  </si>
  <si>
    <t>40000_30011050_1_10000,40000_30012050_1_10000,40000_30013050_1_10000</t>
    <phoneticPr fontId="4" type="noConversion"/>
  </si>
  <si>
    <t>40000_30011060_1_10000,40000_30012060_1_10000,40000_30013060_1_10000</t>
    <phoneticPr fontId="4" type="noConversion"/>
  </si>
  <si>
    <t>40000_30010040_1_10000,40000_30010040_1_10000,40000_30010040_1_10000</t>
    <phoneticPr fontId="4" type="noConversion"/>
  </si>
  <si>
    <t>名字</t>
    <phoneticPr fontId="4" type="noConversion"/>
  </si>
  <si>
    <t>开启地图ID</t>
    <phoneticPr fontId="4" type="noConversion"/>
  </si>
  <si>
    <t>nextMapId</t>
    <phoneticPr fontId="4" type="noConversion"/>
  </si>
  <si>
    <t>5_1,6_1,7_1</t>
    <phoneticPr fontId="4" type="noConversion"/>
  </si>
  <si>
    <t>8_1,9_1,10_1,11_1</t>
    <phoneticPr fontId="4" type="noConversion"/>
  </si>
  <si>
    <t>16_1,17_1,18_1,19_1</t>
  </si>
  <si>
    <t>20_1,21_1,22_1,23_1</t>
  </si>
  <si>
    <t>24_1,25_1,26_1,27_1</t>
  </si>
  <si>
    <t>28_1,29_1,30_1,31_1</t>
  </si>
  <si>
    <t>32_1,33_1,34_1,35_1</t>
  </si>
  <si>
    <t>36_1,37_1,38_1,39_1</t>
  </si>
  <si>
    <t>40_1,41_1,42_1,43_1</t>
  </si>
  <si>
    <t>44_1,45_1,46_1,47_1</t>
  </si>
  <si>
    <t>48_1,49_1,50_1,51_1</t>
  </si>
  <si>
    <t>52_1,53_1,54_1,55_1</t>
  </si>
  <si>
    <t>56_1,57_1,58_1,59_1</t>
  </si>
  <si>
    <t>60_1,61_1,62_1,63_1</t>
  </si>
  <si>
    <t>64_1,65_1,66_1,67_1</t>
  </si>
  <si>
    <t>68_1,69_1,70_1,71_1</t>
  </si>
  <si>
    <t>72_1,73_1,74_1,75_1</t>
  </si>
  <si>
    <t>76_1,77_1,78_1,79_1</t>
  </si>
  <si>
    <t>80_1,81_1,82_1,83_1</t>
  </si>
  <si>
    <t>84_1,85_1,86_1,87_1</t>
  </si>
  <si>
    <t>88_1,89_1,90_1,91_1</t>
  </si>
  <si>
    <t>92_1,93_1,94_1,95_1</t>
  </si>
  <si>
    <t>96_1,97_1,98_1,99_1</t>
  </si>
  <si>
    <t>100_1,101_1,102_1,103_1</t>
  </si>
  <si>
    <t>104_1,105_1,106_1,107_1</t>
  </si>
  <si>
    <t>108_1,109_1,110_1,111_1</t>
  </si>
  <si>
    <t>112_1,113_1,114_1,115_1</t>
  </si>
  <si>
    <t>116_1,117_1,118_1,119_1</t>
  </si>
  <si>
    <t>120_1,121_1,122_1,123_1</t>
  </si>
  <si>
    <t>124_1,125_1,126_1,127_1</t>
  </si>
  <si>
    <t>128_1,129_1,130_1,131_1</t>
  </si>
  <si>
    <t>132_1,133_1,134_1,135_1</t>
  </si>
  <si>
    <t>136_1,137_1,138_1,139_1</t>
  </si>
  <si>
    <t>12_1,13_1,14_1,15_1</t>
    <phoneticPr fontId="4" type="noConversion"/>
  </si>
  <si>
    <t>4000115_0_1_188_0</t>
  </si>
  <si>
    <t>4000120_0_1_214_0</t>
  </si>
  <si>
    <t>4000215_0_1_134_0</t>
  </si>
  <si>
    <t>4000220_0_1_191_0</t>
  </si>
  <si>
    <t>4000315_0_1_57_0</t>
  </si>
  <si>
    <t>4000320_0_1_87_0</t>
  </si>
  <si>
    <t>4000415_0_1_0_1</t>
  </si>
  <si>
    <t>4000420_0_1_0_1</t>
  </si>
  <si>
    <t>4000515_0_1_0_1</t>
  </si>
  <si>
    <t>4000520_0_1_0_1</t>
  </si>
  <si>
    <t>4000115_0_1_157_0</t>
  </si>
  <si>
    <t>4000120_0_1_231_0</t>
  </si>
  <si>
    <t>4000215_0_1_100_0</t>
  </si>
  <si>
    <t>4000220_0_1_204_0</t>
  </si>
  <si>
    <t>4000320_0_1_95_0</t>
  </si>
  <si>
    <t>4000415_0_1_38_1</t>
  </si>
  <si>
    <t>4000420_0_1_38_1</t>
  </si>
  <si>
    <t>4000115_0_1_156_0</t>
  </si>
  <si>
    <t>4000120_0_1_243_0</t>
  </si>
  <si>
    <t>4000220_0_1_214_0</t>
  </si>
  <si>
    <t>4000320_0_1_100_0</t>
  </si>
  <si>
    <t>4000420_0_1_40_1</t>
  </si>
  <si>
    <t>4000120_0_1_158_0</t>
  </si>
  <si>
    <t>4000125_0_1_275_0</t>
  </si>
  <si>
    <t>4000220_0_1_100_0</t>
  </si>
  <si>
    <t>4000225_0_1_240_0</t>
  </si>
  <si>
    <t>4000320_0_1_57_0</t>
  </si>
  <si>
    <t>4000325_0_1_113_0</t>
  </si>
  <si>
    <t>4000425_0_1_47_1</t>
  </si>
  <si>
    <t>4000525_0_1_0_1</t>
  </si>
  <si>
    <t>4000120_0_1_155_0</t>
  </si>
  <si>
    <t>4000125_0_1_282_0</t>
  </si>
  <si>
    <t>4000220_0_1_103_0</t>
  </si>
  <si>
    <t>4000225_0_1_245_0</t>
  </si>
  <si>
    <t>4000325_0_1_115_0</t>
  </si>
  <si>
    <t>4000425_0_1_48_1</t>
  </si>
  <si>
    <t>4000125_0_1_155_0</t>
  </si>
  <si>
    <t>4000130_0_1_320_0</t>
  </si>
  <si>
    <t>4000225_0_1_104_0</t>
  </si>
  <si>
    <t>4000230_0_1_276_0</t>
  </si>
  <si>
    <t>4000325_0_1_57_0</t>
  </si>
  <si>
    <t>4000330_0_1_131_0</t>
  </si>
  <si>
    <t>4000425_0_1_38_1</t>
  </si>
  <si>
    <t>4000430_0_1_56_1</t>
  </si>
  <si>
    <t>4000530_0_1_0_1</t>
  </si>
  <si>
    <t>4000125_0_1_247_0</t>
  </si>
  <si>
    <t>4000130_0_1_241_0</t>
  </si>
  <si>
    <t>4000225_0_1_197_0</t>
  </si>
  <si>
    <t>4000230_0_1_193_0</t>
  </si>
  <si>
    <t>4000325_0_1_96_0</t>
  </si>
  <si>
    <t>4000330_0_1_97_0</t>
  </si>
  <si>
    <t>4000430_0_1_48_1</t>
  </si>
  <si>
    <t>4000125_0_1_267_0</t>
  </si>
  <si>
    <t>4000130_0_1_261_0</t>
  </si>
  <si>
    <t>4000225_0_1_214_0</t>
  </si>
  <si>
    <t>4000230_0_1_209_0</t>
  </si>
  <si>
    <t>4000325_0_1_105_0</t>
  </si>
  <si>
    <t>4000330_0_1_104_0</t>
  </si>
  <si>
    <t>4000425_0_1_52_1</t>
  </si>
  <si>
    <t>4000430_0_1_52_1</t>
  </si>
  <si>
    <t>4000130_0_1_273_0</t>
  </si>
  <si>
    <t>4000135_0_1_269_0</t>
  </si>
  <si>
    <t>4000230_0_1_220_0</t>
  </si>
  <si>
    <t>4000235_0_1_214_0</t>
  </si>
  <si>
    <t>4000330_0_1_107_0</t>
  </si>
  <si>
    <t>4000335_0_1_107_0</t>
  </si>
  <si>
    <t>4000430_0_1_54_1</t>
  </si>
  <si>
    <t>4000435_0_1_53_1</t>
  </si>
  <si>
    <t>4000535_0_1_0_1</t>
  </si>
  <si>
    <t>4000130_0_1_295_0</t>
  </si>
  <si>
    <t>4000135_0_1_288_0</t>
  </si>
  <si>
    <t>4000230_0_1_237_0</t>
  </si>
  <si>
    <t>4000235_0_1_231_0</t>
  </si>
  <si>
    <t>4000330_0_1_116_0</t>
  </si>
  <si>
    <t>4000335_0_1_115_0</t>
  </si>
  <si>
    <t>4000430_0_1_58_1</t>
  </si>
  <si>
    <t>4000435_0_1_57_1</t>
  </si>
  <si>
    <t>4000135_0_1_297_0</t>
  </si>
  <si>
    <t>4000140_0_1_296_0</t>
  </si>
  <si>
    <t>4000235_0_1_237_0</t>
  </si>
  <si>
    <t>4000240_0_1_237_0</t>
  </si>
  <si>
    <t>4000335_0_1_118_0</t>
  </si>
  <si>
    <t>4000340_0_1_119_0</t>
  </si>
  <si>
    <t>4000435_0_1_59_1</t>
  </si>
  <si>
    <t>4000440_0_1_59_1</t>
  </si>
  <si>
    <t>4000535_0_1_6_1</t>
  </si>
  <si>
    <t>4000540_0_1_5_1</t>
  </si>
  <si>
    <t>4000135_0_1_319_0</t>
  </si>
  <si>
    <t>4000140_0_1_318_0</t>
  </si>
  <si>
    <t>4000235_0_1_255_0</t>
  </si>
  <si>
    <t>4000240_0_1_255_0</t>
  </si>
  <si>
    <t>4000335_0_1_128_0</t>
  </si>
  <si>
    <t>4000340_0_1_127_0</t>
  </si>
  <si>
    <t>4000435_0_1_64_1</t>
  </si>
  <si>
    <t>4000440_0_1_63_1</t>
  </si>
  <si>
    <t>4000540_0_1_6_1</t>
  </si>
  <si>
    <t>4000135_0_1_326_0</t>
  </si>
  <si>
    <t>4000140_0_1_326_0</t>
  </si>
  <si>
    <t>4000235_0_1_261_0</t>
  </si>
  <si>
    <t>4000240_0_1_261_0</t>
  </si>
  <si>
    <t>4000335_0_1_131_0</t>
  </si>
  <si>
    <t>4000340_0_1_130_0</t>
  </si>
  <si>
    <t>4000435_0_1_65_1</t>
  </si>
  <si>
    <t>4000440_0_1_65_1</t>
  </si>
  <si>
    <t>4000535_0_1_7_1</t>
  </si>
  <si>
    <t>4000140_0_1_357_0</t>
  </si>
  <si>
    <t>4000145_0_1_356_0</t>
  </si>
  <si>
    <t>4000240_0_1_285_0</t>
  </si>
  <si>
    <t>4000245_0_1_285_0</t>
  </si>
  <si>
    <t>4000340_0_1_143_0</t>
  </si>
  <si>
    <t>4000345_0_1_142_0</t>
  </si>
  <si>
    <t>4000440_0_1_71_1</t>
  </si>
  <si>
    <t>4000445_0_1_71_1</t>
  </si>
  <si>
    <t>4000540_0_1_7_1</t>
  </si>
  <si>
    <t>4000545_0_1_7_1</t>
  </si>
  <si>
    <t>4000140_0_1_370_0</t>
  </si>
  <si>
    <t>4000145_0_1_366_0</t>
  </si>
  <si>
    <t>4000240_0_1_295_0</t>
  </si>
  <si>
    <t>4000245_0_1_294_0</t>
  </si>
  <si>
    <t>4000340_0_1_147_0</t>
  </si>
  <si>
    <t>4000345_0_1_147_0</t>
  </si>
  <si>
    <t>4000440_0_1_74_1</t>
  </si>
  <si>
    <t>4000445_0_1_73_1</t>
  </si>
  <si>
    <t>4000145_0_1_380_0</t>
  </si>
  <si>
    <t>4000150_0_1_380_0</t>
  </si>
  <si>
    <t>4000245_0_1_304_0</t>
  </si>
  <si>
    <t>4000250_0_1_304_0</t>
  </si>
  <si>
    <t>4000345_0_1_152_0</t>
  </si>
  <si>
    <t>4000350_0_1_152_0</t>
  </si>
  <si>
    <t>4000445_0_1_76_1</t>
  </si>
  <si>
    <t>4000450_0_1_76_1</t>
  </si>
  <si>
    <t>4000545_0_1_8_1</t>
  </si>
  <si>
    <t>4000550_0_1_7_1</t>
  </si>
  <si>
    <t>4000145_0_1_396_0</t>
  </si>
  <si>
    <t>4000150_0_1_396_0</t>
  </si>
  <si>
    <t>4000245_0_1_317_0</t>
  </si>
  <si>
    <t>4000250_0_1_316_0</t>
  </si>
  <si>
    <t>4000345_0_1_158_0</t>
  </si>
  <si>
    <t>4000350_0_1_158_0</t>
  </si>
  <si>
    <t>4000445_0_1_79_1</t>
  </si>
  <si>
    <t>4000450_0_1_79_1</t>
  </si>
  <si>
    <t>4000145_0_1_412_0</t>
  </si>
  <si>
    <t>4000150_0_1_412_0</t>
  </si>
  <si>
    <t>4000245_0_1_330_0</t>
  </si>
  <si>
    <t>4000250_0_1_329_0</t>
  </si>
  <si>
    <t>4000345_0_1_165_0</t>
  </si>
  <si>
    <t>4000350_0_1_164_0</t>
  </si>
  <si>
    <t>4000445_0_1_82_1</t>
  </si>
  <si>
    <t>4000450_0_1_82_1</t>
  </si>
  <si>
    <t>4000550_0_1_8_1</t>
  </si>
  <si>
    <t>4000150_0_1_444_0</t>
  </si>
  <si>
    <t>4000155_0_1_444_0</t>
  </si>
  <si>
    <t>4000250_0_1_355_0</t>
  </si>
  <si>
    <t>4000255_0_1_355_0</t>
  </si>
  <si>
    <t>4000350_0_1_177_0</t>
  </si>
  <si>
    <t>4000355_0_1_178_0</t>
  </si>
  <si>
    <t>4000450_0_1_89_1</t>
  </si>
  <si>
    <t>4000455_0_1_88_1</t>
  </si>
  <si>
    <t>4000550_0_1_9_1</t>
  </si>
  <si>
    <t>4000555_0_1_8_1</t>
  </si>
  <si>
    <t>4000150_0_1_453_0</t>
  </si>
  <si>
    <t>4000155_0_1_453_0</t>
  </si>
  <si>
    <t>4000250_0_1_363_0</t>
  </si>
  <si>
    <t>4000255_0_1_362_0</t>
  </si>
  <si>
    <t>4000350_0_1_181_0</t>
  </si>
  <si>
    <t>4000355_0_1_181_0</t>
  </si>
  <si>
    <t>4000450_0_1_91_1</t>
  </si>
  <si>
    <t>4000455_0_1_90_1</t>
  </si>
  <si>
    <t>4000555_0_1_9_1</t>
  </si>
  <si>
    <t>4000155_0_1_463_0</t>
  </si>
  <si>
    <t>4000160_0_1_462_0</t>
  </si>
  <si>
    <t>4000255_0_1_370_0</t>
  </si>
  <si>
    <t>4000260_0_1_370_0</t>
  </si>
  <si>
    <t>4000355_0_1_185_0</t>
  </si>
  <si>
    <t>4000360_0_1_185_0</t>
  </si>
  <si>
    <t>4000455_0_1_93_1</t>
  </si>
  <si>
    <t>4000460_0_1_92_1</t>
  </si>
  <si>
    <t>4000560_0_1_9_1</t>
  </si>
  <si>
    <t>4000155_0_1_472_0</t>
  </si>
  <si>
    <t>4000160_0_1_471_0</t>
  </si>
  <si>
    <t>4000255_0_1_377_0</t>
  </si>
  <si>
    <t>4000260_0_1_377_0</t>
  </si>
  <si>
    <t>4000355_0_1_189_0</t>
  </si>
  <si>
    <t>4000360_0_1_188_0</t>
  </si>
  <si>
    <t>4000455_0_1_94_1</t>
  </si>
  <si>
    <t>4000460_0_1_94_1</t>
  </si>
  <si>
    <t>4000155_0_1_481_0</t>
  </si>
  <si>
    <t>4000160_0_1_480_0</t>
  </si>
  <si>
    <t>4000255_0_1_385_0</t>
  </si>
  <si>
    <t>4000260_0_1_384_0</t>
  </si>
  <si>
    <t>4000355_0_1_192_0</t>
  </si>
  <si>
    <t>4000360_0_1_192_0</t>
  </si>
  <si>
    <t>4000455_0_1_96_1</t>
  </si>
  <si>
    <t>4000460_0_1_96_1</t>
  </si>
  <si>
    <t>4000555_0_1_10_1</t>
  </si>
  <si>
    <t>4000160_0_1_490_0</t>
  </si>
  <si>
    <t>4000165_0_1_490_0</t>
  </si>
  <si>
    <t>4000260_0_1_392_0</t>
  </si>
  <si>
    <t>4000265_0_1_392_0</t>
  </si>
  <si>
    <t>4000360_0_1_196_0</t>
  </si>
  <si>
    <t>4000365_0_1_196_0</t>
  </si>
  <si>
    <t>4000460_0_1_98_1</t>
  </si>
  <si>
    <t>4000465_0_1_98_1</t>
  </si>
  <si>
    <t>4000565_0_1_10_1</t>
  </si>
  <si>
    <t>4000160_0_1_499_0</t>
  </si>
  <si>
    <t>4000165_0_1_499_0</t>
  </si>
  <si>
    <t>4000260_0_1_399_0</t>
  </si>
  <si>
    <t>4000265_0_1_399_0</t>
  </si>
  <si>
    <t>4000360_0_1_200_0</t>
  </si>
  <si>
    <t>4000365_0_1_200_0</t>
  </si>
  <si>
    <t>4000460_0_1_100_1</t>
  </si>
  <si>
    <t>4000465_0_1_100_1</t>
  </si>
  <si>
    <t>4000165_0_1_508_0</t>
  </si>
  <si>
    <t>4000170_0_1_508_0</t>
  </si>
  <si>
    <t>4000265_0_1_407_0</t>
  </si>
  <si>
    <t>4000270_0_1_406_0</t>
  </si>
  <si>
    <t>4000365_0_1_203_0</t>
  </si>
  <si>
    <t>4000370_0_1_203_0</t>
  </si>
  <si>
    <t>4000465_0_1_102_1</t>
  </si>
  <si>
    <t>4000470_0_1_101_1</t>
  </si>
  <si>
    <t>4000570_0_1_10_1</t>
  </si>
  <si>
    <t>4000165_0_1_518_0</t>
  </si>
  <si>
    <t>4000170_0_1_517_0</t>
  </si>
  <si>
    <t>4000265_0_1_414_0</t>
  </si>
  <si>
    <t>4000270_0_1_414_0</t>
  </si>
  <si>
    <t>4000365_0_1_207_0</t>
  </si>
  <si>
    <t>4000370_0_1_207_0</t>
  </si>
  <si>
    <t>4000465_0_1_104_1</t>
  </si>
  <si>
    <t>4000470_0_1_103_1</t>
  </si>
  <si>
    <t>expDrop</t>
    <phoneticPr fontId="4" type="noConversion"/>
  </si>
  <si>
    <t>2_5000,3_0</t>
    <phoneticPr fontId="4" type="noConversion"/>
  </si>
  <si>
    <t>2_8000,3_2000</t>
    <phoneticPr fontId="4" type="noConversion"/>
  </si>
  <si>
    <t>2_7500,3_2500</t>
    <phoneticPr fontId="4" type="noConversion"/>
  </si>
  <si>
    <t>2_7000,3_3000</t>
    <phoneticPr fontId="4" type="noConversion"/>
  </si>
  <si>
    <t>2_6500,3_3500</t>
    <phoneticPr fontId="4" type="noConversion"/>
  </si>
  <si>
    <t>2_6000,3_4000</t>
    <phoneticPr fontId="4" type="noConversion"/>
  </si>
  <si>
    <t>2_5500,3_4500</t>
    <phoneticPr fontId="4" type="noConversion"/>
  </si>
  <si>
    <t>1_0,2_5000,3_5000</t>
    <phoneticPr fontId="4" type="noConversion"/>
  </si>
  <si>
    <t>1_0,2_4000,3_6000</t>
    <phoneticPr fontId="4" type="noConversion"/>
  </si>
  <si>
    <t>1_0,2_3000,3_7000</t>
    <phoneticPr fontId="4" type="noConversion"/>
  </si>
  <si>
    <t>1_0,2_2500,3_7500</t>
    <phoneticPr fontId="4" type="noConversion"/>
  </si>
  <si>
    <t>1_0,2_2000,3_8000</t>
    <phoneticPr fontId="4" type="noConversion"/>
  </si>
  <si>
    <t>1_7000,2_3000,3_0</t>
    <phoneticPr fontId="4" type="noConversion"/>
  </si>
  <si>
    <t>经验</t>
    <phoneticPr fontId="4" type="noConversion"/>
  </si>
  <si>
    <t>时间</t>
    <phoneticPr fontId="4" type="noConversion"/>
  </si>
  <si>
    <t>coinDrop</t>
    <phoneticPr fontId="4" type="noConversion"/>
  </si>
  <si>
    <t>装备等级</t>
    <phoneticPr fontId="4" type="noConversion"/>
  </si>
  <si>
    <t>概率</t>
    <phoneticPr fontId="4" type="noConversion"/>
  </si>
  <si>
    <t>4000110</t>
  </si>
  <si>
    <t>4000210</t>
  </si>
  <si>
    <t>4000310</t>
  </si>
  <si>
    <t>4000410</t>
  </si>
  <si>
    <t>4000510</t>
  </si>
  <si>
    <t>铜宝箱</t>
    <phoneticPr fontId="4" type="noConversion"/>
  </si>
  <si>
    <t>30000_40003_1_220,30000_40002_1_94,30000_40001_1_47</t>
    <phoneticPr fontId="4" type="noConversion"/>
  </si>
  <si>
    <t>30000_40003_1_0</t>
  </si>
  <si>
    <t>30000_40003_1_0</t>
    <phoneticPr fontId="4" type="noConversion"/>
  </si>
  <si>
    <t>30000_40003_1_250</t>
  </si>
  <si>
    <t>30000_40003_1_240</t>
  </si>
  <si>
    <t>30000_40003_1_230</t>
  </si>
  <si>
    <t>30000_40003_1_210</t>
  </si>
  <si>
    <t>30000_40003_1_200</t>
  </si>
  <si>
    <t>30000_40003_1_190</t>
  </si>
  <si>
    <t>30000_40003_1_180</t>
  </si>
  <si>
    <t>30000_40003_1_170</t>
  </si>
  <si>
    <t>30000_40003_1_160</t>
  </si>
  <si>
    <t>30000_40003_1_150</t>
  </si>
  <si>
    <t>30000_40003_1_140</t>
  </si>
  <si>
    <t>30000_40003_1_130</t>
  </si>
  <si>
    <t>30000_40003_1_120</t>
  </si>
  <si>
    <t>30000_40003_1_110</t>
  </si>
  <si>
    <t>30000_40002_1_0</t>
  </si>
  <si>
    <t>30000_40002_1_0</t>
    <phoneticPr fontId="4" type="noConversion"/>
  </si>
  <si>
    <t>30000_40001_1_0</t>
  </si>
  <si>
    <t>30000_40002_1_200</t>
  </si>
  <si>
    <t>30000_40002_1_220</t>
  </si>
  <si>
    <t>30000_40002_1_230</t>
  </si>
  <si>
    <t>30000_40002_1_250</t>
  </si>
  <si>
    <t>30000_40002_1_260</t>
  </si>
  <si>
    <t>30000_40002_1_270</t>
  </si>
  <si>
    <t>30000_40002_1_280</t>
  </si>
  <si>
    <t>30000_40002_1_290</t>
  </si>
  <si>
    <t>30000_40002_1_300</t>
  </si>
  <si>
    <t>30000_40002_1_265</t>
  </si>
  <si>
    <t>30000_40002_1_295</t>
  </si>
  <si>
    <t>30000_40002_1_310</t>
  </si>
  <si>
    <t>30000_40002_1_255</t>
  </si>
  <si>
    <t>30000_40002_1_275</t>
  </si>
  <si>
    <t>30000_40002_1_285</t>
  </si>
  <si>
    <t>30000_40001_1_0</t>
    <phoneticPr fontId="4" type="noConversion"/>
  </si>
  <si>
    <t>银宝箱</t>
    <phoneticPr fontId="4" type="noConversion"/>
  </si>
  <si>
    <t>金宝箱</t>
    <phoneticPr fontId="4" type="noConversion"/>
  </si>
  <si>
    <t>30000_40001_1_300</t>
  </si>
  <si>
    <t>30000_40001_1_300</t>
    <phoneticPr fontId="4" type="noConversion"/>
  </si>
  <si>
    <t>30000_40001_1_310</t>
  </si>
  <si>
    <t>30000_40001_1_310</t>
    <phoneticPr fontId="4" type="noConversion"/>
  </si>
  <si>
    <t>30000_40001_1_320</t>
  </si>
  <si>
    <t>30000_40001_1_330</t>
  </si>
  <si>
    <t>30000_40001_1_340</t>
  </si>
  <si>
    <t>30000_40001_1_350</t>
  </si>
  <si>
    <t>30000_40001_1_340</t>
    <phoneticPr fontId="4" type="noConversion"/>
  </si>
  <si>
    <t>30000_40001_1_290</t>
  </si>
  <si>
    <t>30000_40001_1_280</t>
  </si>
  <si>
    <t>30000_40001_1_270</t>
  </si>
  <si>
    <t>30000_40001_1_260</t>
  </si>
  <si>
    <t>30000_40001_1_250</t>
  </si>
  <si>
    <t>30000_40001_1_240</t>
  </si>
  <si>
    <t>30000_40001_1_230</t>
  </si>
  <si>
    <t>30000_40001_1_220</t>
  </si>
  <si>
    <t>30000_40001_1_210</t>
  </si>
  <si>
    <t>30000_40001_1_200</t>
  </si>
  <si>
    <t>30000_40001_1_190</t>
  </si>
  <si>
    <t>30000_40001_1_180</t>
  </si>
  <si>
    <t>30000_40001_1_170</t>
  </si>
  <si>
    <t>30000_40001_1_160</t>
  </si>
  <si>
    <t>30000_40001_1_150</t>
  </si>
  <si>
    <t>30000_40001_1_140</t>
  </si>
  <si>
    <t>30000_40001_1_130</t>
  </si>
  <si>
    <t>30000_40001_1_120</t>
  </si>
  <si>
    <t>30000_40002_1_200</t>
    <phoneticPr fontId="4" type="noConversion"/>
  </si>
  <si>
    <t>30000_40002_1_210</t>
    <phoneticPr fontId="4" type="noConversion"/>
  </si>
  <si>
    <t>30000_40002_1_240</t>
  </si>
  <si>
    <t>30000_40003_1_100</t>
    <phoneticPr fontId="4" type="noConversion"/>
  </si>
  <si>
    <t>30000_40003_1_105</t>
    <phoneticPr fontId="4" type="noConversion"/>
  </si>
  <si>
    <t>30000_40003_1_115</t>
  </si>
  <si>
    <t>30000_40003_1_125</t>
  </si>
  <si>
    <t>30000_40003_1_135</t>
  </si>
  <si>
    <t>30000_40003_1_145</t>
  </si>
  <si>
    <t>30000_40003_1_155</t>
  </si>
  <si>
    <t>30000_40003_1_165</t>
  </si>
  <si>
    <t>30000_40003_1_175</t>
  </si>
  <si>
    <t>30000_40003_1_185</t>
  </si>
  <si>
    <t>30000_40003_1_195</t>
  </si>
  <si>
    <t>30000_40003_1_215</t>
  </si>
  <si>
    <t>30000_40003_1_225</t>
  </si>
  <si>
    <t>30000_40003_1_245</t>
  </si>
  <si>
    <t>30000_40003_1_255</t>
  </si>
  <si>
    <t>30000_40002_1_305</t>
    <phoneticPr fontId="4" type="noConversion"/>
  </si>
  <si>
    <t>1_1,2_1,3_1</t>
    <phoneticPr fontId="4" type="noConversion"/>
  </si>
  <si>
    <t>40000_30010090_1_10000,40000_30010090_1_10000,40000_30010090_1_10000</t>
    <phoneticPr fontId="4" type="noConversion"/>
  </si>
  <si>
    <t>40000_30051050_1_10000,40000_30052050_1_10000,40000_30053050_1_10000</t>
    <phoneticPr fontId="4" type="noConversion"/>
  </si>
  <si>
    <t>1_10000,2_0,3_0</t>
    <phoneticPr fontId="4" type="noConversion"/>
  </si>
  <si>
    <t>30000_60001_34_10000,7000013_0_1_10000</t>
    <phoneticPr fontId="4" type="noConversion"/>
  </si>
  <si>
    <t>中秋节</t>
    <phoneticPr fontId="4" type="noConversion"/>
  </si>
  <si>
    <t>原始BOSS掉落</t>
    <phoneticPr fontId="4" type="noConversion"/>
  </si>
  <si>
    <t>快乐字样</t>
    <phoneticPr fontId="4" type="noConversion"/>
  </si>
  <si>
    <t>加快快乐BOSS掉落</t>
    <phoneticPr fontId="4" type="noConversion"/>
  </si>
  <si>
    <t>30000_60001_1_10000,7000001_0_1_10000</t>
  </si>
  <si>
    <t>30000_60001_2_10000,7000001_0_1_10000</t>
  </si>
  <si>
    <t>30000_60001_3_10000,7000001_0_1_10000</t>
  </si>
  <si>
    <t>30000_60001_4_10000,7000002_0_1_10000</t>
  </si>
  <si>
    <t>30000_60001_5_10000,7000002_0_1_10000</t>
  </si>
  <si>
    <t>30000_60001_6_10000,7000002_0_1_10000</t>
  </si>
  <si>
    <t>30000_60001_7_10000,7000003_0_1_10000</t>
  </si>
  <si>
    <t>30000_60001_8_10000,7000003_0_1_10000</t>
  </si>
  <si>
    <t>30000_60001_9_10000,7000004_0_1_10000</t>
  </si>
  <si>
    <t>30000_60001_10_10000,7000004_0_1_10000</t>
  </si>
  <si>
    <t>30000_60001_11_10000,7000004_0_1_10000</t>
  </si>
  <si>
    <t>30000_60001_12_10000,7000005_0_1_10000</t>
  </si>
  <si>
    <t>30000_60001_13_10000,7000005_0_1_10000</t>
  </si>
  <si>
    <t>30000_60001_14_10000,7000006_0_1_10000</t>
  </si>
  <si>
    <t>30000_60001_15_10000,7000006_0_1_10000</t>
  </si>
  <si>
    <t>30000_60001_16_10000,7000006_0_1_10000</t>
  </si>
  <si>
    <t>30000_60001_17_10000,7000007_0_1_10000</t>
  </si>
  <si>
    <t>30000_60001_18_10000,7000007_0_1_10000</t>
  </si>
  <si>
    <t>30000_60001_19_10000,7000008_0_1_10000</t>
  </si>
  <si>
    <t>30000_60001_20_10000,7000008_0_1_10000</t>
  </si>
  <si>
    <t>30000_60001_21_10000,7000008_0_1_10000</t>
  </si>
  <si>
    <t>30000_60001_22_10000,7000009_0_1_10000</t>
  </si>
  <si>
    <t>30000_60001_23_10000,7000009_0_1_10000</t>
  </si>
  <si>
    <t>30000_60001_24_10000,7000010_0_1_10000</t>
  </si>
  <si>
    <t>30000_60001_25_10000,7000010_0_1_10000</t>
  </si>
  <si>
    <t>30000_60001_26_10000,7000010_0_1_10000</t>
  </si>
  <si>
    <t>30000_60001_27_10000,7000011_0_1_10000</t>
  </si>
  <si>
    <t>30000_60001_28_10000,7000011_0_1_10000</t>
  </si>
  <si>
    <t>30000_60001_29_10000,7000012_0_1_10000</t>
  </si>
  <si>
    <t>30000_60001_30_10000,7000012_0_1_10000</t>
  </si>
  <si>
    <t>30000_60001_31_10000,7000012_0_1_10000</t>
  </si>
  <si>
    <t>30000_60001_32_10000,7000013_0_1_10000</t>
  </si>
  <si>
    <t>30000_60001_33_10000,7000013_0_1_10000</t>
  </si>
  <si>
    <t>30000_60001_34_10000,7000013_0_1_10000</t>
  </si>
  <si>
    <t>30000_60001_35_10000,7000014_0_1_10000</t>
  </si>
  <si>
    <t>灵魂洪炉</t>
  </si>
  <si>
    <t>映像大厅</t>
  </si>
  <si>
    <t>乌特加德之巅</t>
  </si>
  <si>
    <t>魔环</t>
  </si>
  <si>
    <t>岩石大厅</t>
  </si>
  <si>
    <t>古达克</t>
  </si>
  <si>
    <t>紫罗兰监狱</t>
  </si>
  <si>
    <t>达克萨隆要塞</t>
  </si>
  <si>
    <t>安卡赫特：古代王国</t>
  </si>
  <si>
    <t>艾卓-尼鲁布</t>
  </si>
  <si>
    <t>魔枢</t>
  </si>
  <si>
    <t>乌特加德城堡</t>
  </si>
  <si>
    <t>闪电大厅</t>
    <phoneticPr fontId="4" type="noConversion"/>
  </si>
  <si>
    <t>冠军的试炼</t>
    <phoneticPr fontId="4" type="noConversion"/>
  </si>
  <si>
    <t>净化斯坦索姆</t>
    <phoneticPr fontId="4" type="noConversion"/>
  </si>
  <si>
    <t>萨隆矿坑</t>
    <phoneticPr fontId="4" type="noConversion"/>
  </si>
  <si>
    <t>魔导师平台</t>
    <phoneticPr fontId="4" type="noConversion"/>
  </si>
  <si>
    <t>69-72</t>
    <phoneticPr fontId="4" type="noConversion"/>
  </si>
  <si>
    <t>71-74</t>
    <phoneticPr fontId="4" type="noConversion"/>
  </si>
  <si>
    <t>73-76</t>
    <phoneticPr fontId="4" type="noConversion"/>
  </si>
  <si>
    <t>75-78</t>
    <phoneticPr fontId="4" type="noConversion"/>
  </si>
  <si>
    <t>77-80</t>
    <phoneticPr fontId="4" type="noConversion"/>
  </si>
  <si>
    <t>79-82</t>
    <phoneticPr fontId="4" type="noConversion"/>
  </si>
  <si>
    <t>81-84</t>
    <phoneticPr fontId="4" type="noConversion"/>
  </si>
  <si>
    <t>83-86</t>
    <phoneticPr fontId="4" type="noConversion"/>
  </si>
  <si>
    <t>85-88</t>
    <phoneticPr fontId="4" type="noConversion"/>
  </si>
  <si>
    <t>87-90</t>
    <phoneticPr fontId="4" type="noConversion"/>
  </si>
  <si>
    <t>89-92</t>
    <phoneticPr fontId="4" type="noConversion"/>
  </si>
  <si>
    <t>91-94</t>
    <phoneticPr fontId="4" type="noConversion"/>
  </si>
  <si>
    <t>93-96</t>
    <phoneticPr fontId="4" type="noConversion"/>
  </si>
  <si>
    <t>95-98</t>
    <phoneticPr fontId="4" type="noConversion"/>
  </si>
  <si>
    <t>97-100</t>
    <phoneticPr fontId="4" type="noConversion"/>
  </si>
  <si>
    <t>98-101</t>
    <phoneticPr fontId="4" type="noConversion"/>
  </si>
  <si>
    <t>99-102</t>
    <phoneticPr fontId="4" type="noConversion"/>
  </si>
  <si>
    <t>140_1,141_1,142_1,143_1</t>
  </si>
  <si>
    <t>144_1,145_1,146_1,147_1</t>
  </si>
  <si>
    <t>148_1,149_1,150_1,151_1</t>
  </si>
  <si>
    <t>152_1,153_1,154_1,155_1</t>
  </si>
  <si>
    <t>156_1,157_1,158_1,159_1</t>
  </si>
  <si>
    <t>160_1,161_1,162_1,163_1</t>
  </si>
  <si>
    <t>164_1,165_1,166_1,167_1</t>
  </si>
  <si>
    <t>168_1,169_1,170_1,171_1</t>
  </si>
  <si>
    <t>172_1,173_1,174_1,175_1</t>
  </si>
  <si>
    <t>176_1,177_1,178_1,179_1</t>
  </si>
  <si>
    <t>180_1,181_1,182_1,183_1</t>
  </si>
  <si>
    <t>184_1,185_1,186_1,187_1</t>
  </si>
  <si>
    <t>188_1,189_1,190_1,191_1</t>
  </si>
  <si>
    <t>192_1,193_1,194_1,195_1</t>
  </si>
  <si>
    <t>196_1,197_1,198_1,199_1</t>
  </si>
  <si>
    <t>200_1,201_1,202_1,203_1</t>
  </si>
  <si>
    <t>204_1,205_1,206_1,207_1</t>
  </si>
  <si>
    <t>map/map_036.png</t>
  </si>
  <si>
    <t>map/map_037.png</t>
  </si>
  <si>
    <t>map/map_038.png</t>
  </si>
  <si>
    <t>map/map_039.png</t>
  </si>
  <si>
    <t>map/map_040.png</t>
  </si>
  <si>
    <t>map/map_041.png</t>
  </si>
  <si>
    <t>map/map_042.png</t>
  </si>
  <si>
    <t>map/map_043.png</t>
  </si>
  <si>
    <t>map/map_044.png</t>
  </si>
  <si>
    <t>map/map_045.png</t>
  </si>
  <si>
    <t>map/map_046.png</t>
  </si>
  <si>
    <t>map/map_047.png</t>
  </si>
  <si>
    <t>map/map_048.png</t>
  </si>
  <si>
    <t>map/map_049.png</t>
  </si>
  <si>
    <t>map/map_050.png</t>
  </si>
  <si>
    <t>map/map_051.png</t>
  </si>
  <si>
    <t>map/map_052.png</t>
  </si>
  <si>
    <t>30000_40003_1_260</t>
  </si>
  <si>
    <t>30000_40003_1_265</t>
  </si>
  <si>
    <t>30000_40003_1_270</t>
  </si>
  <si>
    <t>30000_40003_1_275</t>
  </si>
  <si>
    <t>30000_40003_1_280</t>
  </si>
  <si>
    <t>30000_40003_1_285</t>
  </si>
  <si>
    <t>30000_40003_1_290</t>
  </si>
  <si>
    <t>30000_40003_1_295</t>
  </si>
  <si>
    <t>30000_40003_1_300</t>
  </si>
  <si>
    <t>30000_40003_1_305</t>
  </si>
  <si>
    <t>30000_40003_1_310</t>
  </si>
  <si>
    <t>30000_40003_1_315</t>
  </si>
  <si>
    <t>30000_40001_1_120</t>
    <phoneticPr fontId="4" type="noConversion"/>
  </si>
  <si>
    <t>30000_40002_1_250</t>
    <phoneticPr fontId="4" type="noConversion"/>
  </si>
  <si>
    <t>30000_40003_1_320</t>
  </si>
  <si>
    <t>30000_40003_1_325</t>
  </si>
  <si>
    <t>30000_40003_1_330</t>
  </si>
  <si>
    <t>30000_40003_1_335</t>
  </si>
  <si>
    <t>30000_40001_1_121</t>
  </si>
  <si>
    <t>30000_40002_1_251</t>
  </si>
  <si>
    <t>30000_40003_1_336</t>
  </si>
  <si>
    <t>BOSS掉落</t>
    <phoneticPr fontId="4" type="noConversion"/>
  </si>
  <si>
    <t>精华</t>
    <phoneticPr fontId="4" type="noConversion"/>
  </si>
  <si>
    <t>关卡</t>
    <phoneticPr fontId="4" type="noConversion"/>
  </si>
  <si>
    <t>30000_60001_36</t>
    <phoneticPr fontId="4" type="noConversion"/>
  </si>
  <si>
    <t>30000_60001_37</t>
    <phoneticPr fontId="4" type="noConversion"/>
  </si>
  <si>
    <t>30000_60001_38</t>
  </si>
  <si>
    <t>30000_60001_39</t>
  </si>
  <si>
    <t>30000_60001_40</t>
  </si>
  <si>
    <t>30000_60001_41</t>
  </si>
  <si>
    <t>30000_60001_42</t>
  </si>
  <si>
    <t>30000_60001_43</t>
  </si>
  <si>
    <t>30000_60001_44</t>
  </si>
  <si>
    <t>30000_60001_45</t>
  </si>
  <si>
    <t>30000_60001_46</t>
  </si>
  <si>
    <t>30000_60001_47</t>
  </si>
  <si>
    <t>30000_60001_48</t>
  </si>
  <si>
    <t>30000_60001_49</t>
  </si>
  <si>
    <t>30000_60001_50</t>
  </si>
  <si>
    <t>30000_60001_51</t>
  </si>
  <si>
    <t>30000_60001_52</t>
  </si>
  <si>
    <t>_0_1_10000</t>
  </si>
  <si>
    <t>recommendLevel</t>
    <phoneticPr fontId="4" type="noConversion"/>
  </si>
  <si>
    <t>30000_60001_36_10000,7000014_0_1_10000</t>
  </si>
  <si>
    <t>30000_60001_37_10000,7000015_0_1_10000</t>
  </si>
  <si>
    <t>30000_60001_38_10000,7000016_0_1_10000</t>
  </si>
  <si>
    <t>30000_60001_39_10000,7000017_0_1_10000</t>
  </si>
  <si>
    <t>30000_60001_40_10000,7000018_0_1_10000</t>
  </si>
  <si>
    <t>30000_60001_41_10000,7000019_0_1_10000</t>
  </si>
  <si>
    <t>30000_60001_42_10000,7000020_0_1_10000</t>
  </si>
  <si>
    <t>30000_60001_43_10000,7000021_0_1_10000</t>
  </si>
  <si>
    <t>30000_60001_44_10000,7000022_0_1_10000</t>
  </si>
  <si>
    <t>30000_60001_45_10000,7000023_0_1_10000</t>
  </si>
  <si>
    <t>30000_60001_46_10000,7000024_0_1_10000</t>
  </si>
  <si>
    <t>30000_60001_47_10000,7000025_0_1_10000</t>
  </si>
  <si>
    <t>30000_60001_48_10000,7000026_0_1_10000</t>
  </si>
  <si>
    <t>30000_60001_49_10000,7000027_0_1_10000</t>
  </si>
  <si>
    <t>30000_60001_50_10000,7000028_0_1_10000</t>
  </si>
  <si>
    <t>30000_60001_51_10000,7000029_0_1_10000</t>
  </si>
  <si>
    <t>30000_60001_52_10000,7000030_0_1_10000</t>
  </si>
</sst>
</file>

<file path=xl/styles.xml><?xml version="1.0" encoding="utf-8"?>
<styleSheet xmlns="http://schemas.openxmlformats.org/spreadsheetml/2006/main">
  <fonts count="14">
    <font>
      <sz val="11"/>
      <color indexed="8"/>
      <name val="宋体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theme="0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b/>
      <sz val="11"/>
      <color indexed="52"/>
      <name val="宋体"/>
      <family val="2"/>
      <charset val="134"/>
    </font>
    <font>
      <sz val="11"/>
      <color indexed="60"/>
      <name val="宋体"/>
      <family val="2"/>
      <charset val="134"/>
    </font>
    <font>
      <b/>
      <sz val="11"/>
      <color indexed="63"/>
      <name val="宋体"/>
      <family val="2"/>
      <charset val="134"/>
    </font>
    <font>
      <sz val="11"/>
      <color indexed="17"/>
      <name val="宋体"/>
      <family val="2"/>
      <charset val="134"/>
    </font>
    <font>
      <sz val="11"/>
      <color rgb="FF006100"/>
      <name val="宋体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6">
    <xf numFmtId="0" fontId="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2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3" borderId="0" applyNumberFormat="0" applyBorder="0" applyAlignment="0" applyProtection="0">
      <alignment vertical="center"/>
    </xf>
    <xf numFmtId="0" fontId="9" fillId="2" borderId="1" applyNumberFormat="0" applyAlignment="0" applyProtection="0">
      <alignment vertical="center"/>
    </xf>
    <xf numFmtId="0" fontId="11" fillId="2" borderId="2" applyNumberFormat="0" applyAlignment="0" applyProtection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3" fillId="7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>
      <alignment vertical="center"/>
    </xf>
    <xf numFmtId="49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2" fillId="0" borderId="0" xfId="14">
      <alignment vertical="center"/>
    </xf>
    <xf numFmtId="0" fontId="0" fillId="0" borderId="0" xfId="0" applyNumberFormat="1">
      <alignment vertical="center"/>
    </xf>
    <xf numFmtId="0" fontId="1" fillId="0" borderId="0" xfId="14" applyFont="1">
      <alignment vertical="center"/>
    </xf>
    <xf numFmtId="0" fontId="13" fillId="7" borderId="0" xfId="15">
      <alignment vertical="center"/>
    </xf>
    <xf numFmtId="0" fontId="0" fillId="0" borderId="0" xfId="0" applyAlignment="1">
      <alignment horizontal="center" vertical="center"/>
    </xf>
  </cellXfs>
  <cellStyles count="16">
    <cellStyle name="差 2" xfId="7"/>
    <cellStyle name="常规" xfId="0" builtinId="0"/>
    <cellStyle name="常规 2" xfId="1"/>
    <cellStyle name="常规 2 2" xfId="4"/>
    <cellStyle name="常规 2 2 2" xfId="2"/>
    <cellStyle name="常规 2 2 3" xfId="10"/>
    <cellStyle name="常规 2 2 4" xfId="13"/>
    <cellStyle name="常规 2 3" xfId="3"/>
    <cellStyle name="常规 2 4" xfId="11"/>
    <cellStyle name="常规 2 5" xfId="12"/>
    <cellStyle name="常规 3" xfId="6"/>
    <cellStyle name="常规 4" xfId="14"/>
    <cellStyle name="好" xfId="15" builtinId="26"/>
    <cellStyle name="好 2" xfId="5"/>
    <cellStyle name="计算 2" xfId="8"/>
    <cellStyle name="输出 2" xfId="9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25968;&#20540;&#35745;&#31639;/&#25346;&#26426;WOW&#25968;&#20540;&#24635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计算规则"/>
      <sheetName val="游戏类型定义"/>
      <sheetName val="用户升级"/>
      <sheetName val="防御属性修正系数"/>
      <sheetName val="职业设计"/>
      <sheetName val="职业属性"/>
      <sheetName val="装备设计"/>
      <sheetName val="装备一览"/>
      <sheetName val="装备强化"/>
      <sheetName val="装备强化附表"/>
      <sheetName val="关卡"/>
      <sheetName val="怪物"/>
      <sheetName val="商城"/>
      <sheetName val="购买金币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M8">
            <v>400</v>
          </cell>
          <cell r="N8">
            <v>360</v>
          </cell>
          <cell r="O8">
            <v>160</v>
          </cell>
          <cell r="P8">
            <v>0</v>
          </cell>
          <cell r="Q8">
            <v>0</v>
          </cell>
        </row>
        <row r="9">
          <cell r="M9">
            <v>399</v>
          </cell>
          <cell r="N9">
            <v>358</v>
          </cell>
          <cell r="O9">
            <v>163</v>
          </cell>
          <cell r="P9">
            <v>0</v>
          </cell>
          <cell r="Q9">
            <v>0</v>
          </cell>
        </row>
        <row r="10">
          <cell r="M10">
            <v>398</v>
          </cell>
          <cell r="N10">
            <v>356</v>
          </cell>
          <cell r="O10">
            <v>166</v>
          </cell>
          <cell r="P10">
            <v>0</v>
          </cell>
          <cell r="Q10">
            <v>0</v>
          </cell>
        </row>
        <row r="11">
          <cell r="M11">
            <v>397</v>
          </cell>
          <cell r="N11">
            <v>354</v>
          </cell>
          <cell r="O11">
            <v>169</v>
          </cell>
          <cell r="P11">
            <v>0</v>
          </cell>
          <cell r="Q11">
            <v>0</v>
          </cell>
        </row>
        <row r="12">
          <cell r="M12">
            <v>485</v>
          </cell>
          <cell r="N12">
            <v>432</v>
          </cell>
          <cell r="O12">
            <v>211</v>
          </cell>
          <cell r="P12">
            <v>0</v>
          </cell>
          <cell r="Q12">
            <v>0</v>
          </cell>
        </row>
        <row r="13">
          <cell r="M13">
            <v>483</v>
          </cell>
          <cell r="N13">
            <v>429</v>
          </cell>
          <cell r="O13">
            <v>215</v>
          </cell>
          <cell r="P13">
            <v>0</v>
          </cell>
          <cell r="Q13">
            <v>0</v>
          </cell>
        </row>
        <row r="14">
          <cell r="M14">
            <v>481</v>
          </cell>
          <cell r="N14">
            <v>427</v>
          </cell>
          <cell r="O14">
            <v>219</v>
          </cell>
          <cell r="P14">
            <v>0</v>
          </cell>
          <cell r="Q14">
            <v>0</v>
          </cell>
        </row>
        <row r="15">
          <cell r="M15">
            <v>494</v>
          </cell>
          <cell r="N15">
            <v>436</v>
          </cell>
          <cell r="O15">
            <v>230</v>
          </cell>
          <cell r="P15">
            <v>0</v>
          </cell>
          <cell r="Q15">
            <v>0</v>
          </cell>
        </row>
        <row r="16">
          <cell r="M16">
            <v>501</v>
          </cell>
          <cell r="N16">
            <v>441</v>
          </cell>
          <cell r="O16">
            <v>238</v>
          </cell>
          <cell r="P16">
            <v>12</v>
          </cell>
          <cell r="Q16">
            <v>0</v>
          </cell>
        </row>
        <row r="17">
          <cell r="M17">
            <v>507</v>
          </cell>
          <cell r="N17">
            <v>445</v>
          </cell>
          <cell r="O17">
            <v>247</v>
          </cell>
          <cell r="P17">
            <v>25</v>
          </cell>
          <cell r="Q17">
            <v>0</v>
          </cell>
        </row>
        <row r="18">
          <cell r="M18">
            <v>497</v>
          </cell>
          <cell r="N18">
            <v>434</v>
          </cell>
          <cell r="O18">
            <v>248</v>
          </cell>
          <cell r="P18">
            <v>37</v>
          </cell>
          <cell r="Q18">
            <v>0</v>
          </cell>
        </row>
        <row r="19">
          <cell r="M19">
            <v>502</v>
          </cell>
          <cell r="N19">
            <v>437</v>
          </cell>
          <cell r="O19">
            <v>257</v>
          </cell>
          <cell r="P19">
            <v>51</v>
          </cell>
          <cell r="Q19">
            <v>0</v>
          </cell>
        </row>
        <row r="20">
          <cell r="M20">
            <v>641</v>
          </cell>
          <cell r="N20">
            <v>557</v>
          </cell>
          <cell r="O20">
            <v>338</v>
          </cell>
          <cell r="P20">
            <v>84</v>
          </cell>
          <cell r="Q20">
            <v>0</v>
          </cell>
        </row>
        <row r="21">
          <cell r="M21">
            <v>630</v>
          </cell>
          <cell r="N21">
            <v>545</v>
          </cell>
          <cell r="O21">
            <v>341</v>
          </cell>
          <cell r="P21">
            <v>94</v>
          </cell>
          <cell r="Q21">
            <v>0</v>
          </cell>
        </row>
        <row r="22">
          <cell r="M22">
            <v>619</v>
          </cell>
          <cell r="N22">
            <v>533</v>
          </cell>
          <cell r="O22">
            <v>344</v>
          </cell>
          <cell r="P22">
            <v>103</v>
          </cell>
          <cell r="Q22">
            <v>0</v>
          </cell>
        </row>
        <row r="23">
          <cell r="M23">
            <v>665</v>
          </cell>
          <cell r="N23">
            <v>570</v>
          </cell>
          <cell r="O23">
            <v>380</v>
          </cell>
          <cell r="P23">
            <v>124</v>
          </cell>
          <cell r="Q23">
            <v>0</v>
          </cell>
        </row>
        <row r="24">
          <cell r="M24">
            <v>667</v>
          </cell>
          <cell r="N24">
            <v>569</v>
          </cell>
          <cell r="O24">
            <v>392</v>
          </cell>
          <cell r="P24">
            <v>137</v>
          </cell>
          <cell r="Q24">
            <v>0</v>
          </cell>
        </row>
        <row r="25">
          <cell r="M25">
            <v>660</v>
          </cell>
          <cell r="N25">
            <v>560</v>
          </cell>
          <cell r="O25">
            <v>400</v>
          </cell>
          <cell r="P25">
            <v>150</v>
          </cell>
          <cell r="Q25">
            <v>20</v>
          </cell>
        </row>
        <row r="26">
          <cell r="M26">
            <v>656</v>
          </cell>
          <cell r="N26">
            <v>554</v>
          </cell>
          <cell r="O26">
            <v>410</v>
          </cell>
          <cell r="P26">
            <v>164</v>
          </cell>
          <cell r="Q26">
            <v>31</v>
          </cell>
        </row>
        <row r="27">
          <cell r="M27">
            <v>652</v>
          </cell>
          <cell r="N27">
            <v>547</v>
          </cell>
          <cell r="O27">
            <v>421</v>
          </cell>
          <cell r="P27">
            <v>179</v>
          </cell>
          <cell r="Q27">
            <v>42</v>
          </cell>
        </row>
        <row r="28">
          <cell r="M28">
            <v>646</v>
          </cell>
          <cell r="N28">
            <v>539</v>
          </cell>
          <cell r="O28">
            <v>431</v>
          </cell>
          <cell r="P28">
            <v>194</v>
          </cell>
          <cell r="Q28">
            <v>54</v>
          </cell>
        </row>
        <row r="29">
          <cell r="M29">
            <v>644</v>
          </cell>
          <cell r="N29">
            <v>535</v>
          </cell>
          <cell r="O29">
            <v>436</v>
          </cell>
          <cell r="P29">
            <v>207</v>
          </cell>
          <cell r="Q29">
            <v>65</v>
          </cell>
        </row>
        <row r="30">
          <cell r="M30">
            <v>656</v>
          </cell>
          <cell r="N30">
            <v>545</v>
          </cell>
          <cell r="O30">
            <v>445</v>
          </cell>
          <cell r="P30">
            <v>222</v>
          </cell>
          <cell r="Q30">
            <v>78</v>
          </cell>
        </row>
        <row r="31">
          <cell r="M31">
            <v>675</v>
          </cell>
          <cell r="N31">
            <v>561</v>
          </cell>
          <cell r="O31">
            <v>458</v>
          </cell>
          <cell r="P31">
            <v>229</v>
          </cell>
          <cell r="Q31">
            <v>80</v>
          </cell>
        </row>
        <row r="32">
          <cell r="M32">
            <v>675</v>
          </cell>
          <cell r="N32">
            <v>561</v>
          </cell>
          <cell r="O32">
            <v>458</v>
          </cell>
          <cell r="P32">
            <v>229</v>
          </cell>
          <cell r="Q32">
            <v>80</v>
          </cell>
        </row>
        <row r="33">
          <cell r="M33">
            <v>675</v>
          </cell>
          <cell r="N33">
            <v>561</v>
          </cell>
          <cell r="O33">
            <v>458</v>
          </cell>
          <cell r="P33">
            <v>229</v>
          </cell>
          <cell r="Q33">
            <v>80</v>
          </cell>
        </row>
        <row r="34">
          <cell r="M34">
            <v>692</v>
          </cell>
          <cell r="N34">
            <v>575</v>
          </cell>
          <cell r="O34">
            <v>469</v>
          </cell>
          <cell r="P34">
            <v>235</v>
          </cell>
          <cell r="Q34">
            <v>82</v>
          </cell>
        </row>
        <row r="35">
          <cell r="M35">
            <v>692</v>
          </cell>
          <cell r="N35">
            <v>575</v>
          </cell>
          <cell r="O35">
            <v>469</v>
          </cell>
          <cell r="P35">
            <v>235</v>
          </cell>
          <cell r="Q35">
            <v>82</v>
          </cell>
        </row>
        <row r="36">
          <cell r="M36">
            <v>692</v>
          </cell>
          <cell r="N36">
            <v>575</v>
          </cell>
          <cell r="O36">
            <v>469</v>
          </cell>
          <cell r="P36">
            <v>235</v>
          </cell>
          <cell r="Q36">
            <v>82</v>
          </cell>
        </row>
        <row r="37">
          <cell r="M37">
            <v>692</v>
          </cell>
          <cell r="N37">
            <v>575</v>
          </cell>
          <cell r="O37">
            <v>469</v>
          </cell>
          <cell r="P37">
            <v>235</v>
          </cell>
          <cell r="Q37">
            <v>82</v>
          </cell>
        </row>
        <row r="38">
          <cell r="M38">
            <v>692</v>
          </cell>
          <cell r="N38">
            <v>575</v>
          </cell>
          <cell r="O38">
            <v>469</v>
          </cell>
          <cell r="P38">
            <v>235</v>
          </cell>
          <cell r="Q38">
            <v>82</v>
          </cell>
        </row>
        <row r="39">
          <cell r="M39">
            <v>692</v>
          </cell>
          <cell r="N39">
            <v>575</v>
          </cell>
          <cell r="O39">
            <v>469</v>
          </cell>
          <cell r="P39">
            <v>235</v>
          </cell>
          <cell r="Q39">
            <v>82</v>
          </cell>
        </row>
        <row r="40">
          <cell r="M40">
            <v>692</v>
          </cell>
          <cell r="N40">
            <v>575</v>
          </cell>
          <cell r="O40">
            <v>469</v>
          </cell>
          <cell r="P40">
            <v>235</v>
          </cell>
          <cell r="Q40">
            <v>82</v>
          </cell>
        </row>
        <row r="41">
          <cell r="M41">
            <v>692</v>
          </cell>
          <cell r="N41">
            <v>575</v>
          </cell>
          <cell r="O41">
            <v>469</v>
          </cell>
          <cell r="P41">
            <v>235</v>
          </cell>
          <cell r="Q41">
            <v>82</v>
          </cell>
        </row>
        <row r="42">
          <cell r="M42">
            <v>692</v>
          </cell>
          <cell r="N42">
            <v>575</v>
          </cell>
          <cell r="O42">
            <v>469</v>
          </cell>
          <cell r="P42">
            <v>235</v>
          </cell>
          <cell r="Q42">
            <v>82</v>
          </cell>
        </row>
        <row r="43">
          <cell r="M43">
            <v>692</v>
          </cell>
          <cell r="N43">
            <v>575</v>
          </cell>
          <cell r="O43">
            <v>469</v>
          </cell>
          <cell r="P43">
            <v>235</v>
          </cell>
          <cell r="Q43">
            <v>82</v>
          </cell>
        </row>
        <row r="44">
          <cell r="M44">
            <v>725</v>
          </cell>
          <cell r="N44">
            <v>602</v>
          </cell>
          <cell r="O44">
            <v>491</v>
          </cell>
          <cell r="P44">
            <v>246</v>
          </cell>
          <cell r="Q44">
            <v>86</v>
          </cell>
        </row>
        <row r="45">
          <cell r="M45">
            <v>732</v>
          </cell>
          <cell r="N45">
            <v>608</v>
          </cell>
          <cell r="O45">
            <v>496</v>
          </cell>
          <cell r="P45">
            <v>248</v>
          </cell>
          <cell r="Q45">
            <v>87</v>
          </cell>
        </row>
        <row r="46">
          <cell r="M46">
            <v>738</v>
          </cell>
          <cell r="N46">
            <v>613</v>
          </cell>
          <cell r="O46">
            <v>501</v>
          </cell>
          <cell r="P46">
            <v>250</v>
          </cell>
          <cell r="Q46">
            <v>88</v>
          </cell>
        </row>
        <row r="47">
          <cell r="M47">
            <v>745</v>
          </cell>
          <cell r="N47">
            <v>619</v>
          </cell>
          <cell r="O47">
            <v>505</v>
          </cell>
          <cell r="P47">
            <v>253</v>
          </cell>
          <cell r="Q47">
            <v>88</v>
          </cell>
        </row>
        <row r="48">
          <cell r="M48">
            <v>752</v>
          </cell>
          <cell r="N48">
            <v>624</v>
          </cell>
          <cell r="O48">
            <v>510</v>
          </cell>
          <cell r="P48">
            <v>255</v>
          </cell>
          <cell r="Q48">
            <v>89</v>
          </cell>
        </row>
        <row r="49">
          <cell r="M49">
            <v>759</v>
          </cell>
          <cell r="N49">
            <v>630</v>
          </cell>
          <cell r="O49">
            <v>514</v>
          </cell>
          <cell r="P49">
            <v>257</v>
          </cell>
          <cell r="Q49">
            <v>90</v>
          </cell>
        </row>
        <row r="50">
          <cell r="M50">
            <v>765</v>
          </cell>
          <cell r="N50">
            <v>636</v>
          </cell>
          <cell r="O50">
            <v>519</v>
          </cell>
          <cell r="P50">
            <v>259</v>
          </cell>
          <cell r="Q50">
            <v>91</v>
          </cell>
        </row>
        <row r="51">
          <cell r="M51">
            <v>772</v>
          </cell>
          <cell r="N51">
            <v>641</v>
          </cell>
          <cell r="O51">
            <v>523</v>
          </cell>
          <cell r="P51">
            <v>262</v>
          </cell>
          <cell r="Q51">
            <v>92</v>
          </cell>
        </row>
        <row r="52">
          <cell r="M52">
            <v>779</v>
          </cell>
          <cell r="N52">
            <v>647</v>
          </cell>
          <cell r="O52">
            <v>528</v>
          </cell>
          <cell r="P52">
            <v>264</v>
          </cell>
          <cell r="Q52">
            <v>92</v>
          </cell>
        </row>
        <row r="53">
          <cell r="M53">
            <v>786</v>
          </cell>
          <cell r="N53">
            <v>652</v>
          </cell>
          <cell r="O53">
            <v>533</v>
          </cell>
          <cell r="P53">
            <v>266</v>
          </cell>
          <cell r="Q53">
            <v>93</v>
          </cell>
        </row>
        <row r="54">
          <cell r="M54">
            <v>792</v>
          </cell>
          <cell r="N54">
            <v>658</v>
          </cell>
          <cell r="O54">
            <v>537</v>
          </cell>
          <cell r="P54">
            <v>269</v>
          </cell>
          <cell r="Q54">
            <v>94</v>
          </cell>
        </row>
        <row r="55">
          <cell r="M55">
            <v>799</v>
          </cell>
          <cell r="N55">
            <v>664</v>
          </cell>
          <cell r="O55">
            <v>542</v>
          </cell>
          <cell r="P55">
            <v>271</v>
          </cell>
          <cell r="Q55">
            <v>95</v>
          </cell>
        </row>
        <row r="56">
          <cell r="M56">
            <v>806</v>
          </cell>
          <cell r="N56">
            <v>669</v>
          </cell>
          <cell r="O56">
            <v>546</v>
          </cell>
          <cell r="P56">
            <v>273</v>
          </cell>
          <cell r="Q56">
            <v>96</v>
          </cell>
        </row>
        <row r="57">
          <cell r="M57">
            <v>813</v>
          </cell>
          <cell r="N57">
            <v>675</v>
          </cell>
          <cell r="O57">
            <v>551</v>
          </cell>
          <cell r="P57">
            <v>275</v>
          </cell>
          <cell r="Q57">
            <v>96</v>
          </cell>
        </row>
        <row r="58">
          <cell r="M58">
            <v>819</v>
          </cell>
          <cell r="N58">
            <v>680</v>
          </cell>
          <cell r="O58">
            <v>555</v>
          </cell>
          <cell r="P58">
            <v>278</v>
          </cell>
          <cell r="Q58">
            <v>97</v>
          </cell>
        </row>
      </sheetData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57"/>
  <sheetViews>
    <sheetView tabSelected="1" topLeftCell="E34" workbookViewId="0">
      <selection activeCell="G42" sqref="G42"/>
    </sheetView>
  </sheetViews>
  <sheetFormatPr defaultRowHeight="13.5"/>
  <cols>
    <col min="1" max="1" width="3.5" customWidth="1"/>
    <col min="2" max="3" width="11.375" customWidth="1"/>
    <col min="5" max="5" width="22.25" customWidth="1"/>
    <col min="6" max="6" width="17.75" customWidth="1"/>
    <col min="7" max="7" width="50.625" customWidth="1"/>
    <col min="8" max="10" width="26.875" customWidth="1"/>
    <col min="11" max="11" width="14.25" customWidth="1"/>
    <col min="12" max="12" width="22.875" customWidth="1"/>
    <col min="13" max="13" width="34" customWidth="1"/>
    <col min="15" max="15" width="19.25" bestFit="1" customWidth="1"/>
  </cols>
  <sheetData>
    <row r="1" spans="1:18">
      <c r="A1" t="s">
        <v>47</v>
      </c>
    </row>
    <row r="2" spans="1:18" s="1" customFormat="1">
      <c r="B2" s="1" t="s">
        <v>53</v>
      </c>
      <c r="L2" s="1" t="s">
        <v>154</v>
      </c>
      <c r="M2" s="1" t="s">
        <v>154</v>
      </c>
    </row>
    <row r="3" spans="1:18">
      <c r="A3" t="s">
        <v>0</v>
      </c>
      <c r="B3" t="s">
        <v>1</v>
      </c>
      <c r="C3" t="s">
        <v>304</v>
      </c>
      <c r="D3" t="s">
        <v>2</v>
      </c>
      <c r="E3" t="s">
        <v>3</v>
      </c>
      <c r="F3" t="s">
        <v>4</v>
      </c>
      <c r="G3" t="s">
        <v>52</v>
      </c>
      <c r="H3" t="s">
        <v>5</v>
      </c>
      <c r="I3" t="s">
        <v>296</v>
      </c>
      <c r="J3" t="s">
        <v>297</v>
      </c>
      <c r="K3" t="s">
        <v>54</v>
      </c>
      <c r="L3" t="s">
        <v>45</v>
      </c>
      <c r="M3" t="s">
        <v>46</v>
      </c>
      <c r="N3" t="s">
        <v>48</v>
      </c>
      <c r="O3" s="2" t="s">
        <v>281</v>
      </c>
    </row>
    <row r="4" spans="1:18">
      <c r="A4" t="s">
        <v>41</v>
      </c>
      <c r="B4" t="s">
        <v>42</v>
      </c>
      <c r="C4" t="s">
        <v>305</v>
      </c>
      <c r="D4" t="s">
        <v>43</v>
      </c>
      <c r="E4" t="s">
        <v>44</v>
      </c>
      <c r="F4" t="s">
        <v>49</v>
      </c>
      <c r="G4" t="s">
        <v>50</v>
      </c>
      <c r="H4" t="s">
        <v>51</v>
      </c>
      <c r="I4" t="s">
        <v>298</v>
      </c>
      <c r="J4" t="s">
        <v>299</v>
      </c>
      <c r="K4" t="s">
        <v>55</v>
      </c>
      <c r="N4" t="s">
        <v>155</v>
      </c>
      <c r="O4" s="5" t="s">
        <v>288</v>
      </c>
      <c r="P4" t="s">
        <v>585</v>
      </c>
      <c r="Q4" t="s">
        <v>569</v>
      </c>
      <c r="R4" t="s">
        <v>832</v>
      </c>
    </row>
    <row r="6" spans="1:18">
      <c r="A6">
        <v>1</v>
      </c>
      <c r="B6" t="s">
        <v>6</v>
      </c>
      <c r="C6">
        <f>A7</f>
        <v>2</v>
      </c>
      <c r="D6">
        <v>1001</v>
      </c>
      <c r="E6" t="s">
        <v>678</v>
      </c>
      <c r="F6" t="s">
        <v>282</v>
      </c>
      <c r="G6" t="str">
        <f>掉落权重!E109</f>
        <v>4000101_0_1_400,4000201_0_1_360,4000301_0_1_160,4000401_0_1_0,4000501_0_1_0,4000105_0_1_0,4000205_0_1_0,4000305_0_1_0,4000405_0_1_0,4000505_0_1_0,30000_40001_1_0,30000_40002_1_0,30000_40003_1_0</v>
      </c>
      <c r="H6" t="s">
        <v>687</v>
      </c>
      <c r="I6" t="s">
        <v>300</v>
      </c>
      <c r="J6" t="s">
        <v>302</v>
      </c>
      <c r="K6">
        <v>100</v>
      </c>
      <c r="L6" t="s">
        <v>83</v>
      </c>
      <c r="M6" s="6" t="s">
        <v>289</v>
      </c>
      <c r="N6">
        <v>920</v>
      </c>
      <c r="O6">
        <v>120</v>
      </c>
      <c r="P6">
        <v>10</v>
      </c>
      <c r="Q6">
        <v>10</v>
      </c>
      <c r="R6">
        <v>1</v>
      </c>
    </row>
    <row r="7" spans="1:18">
      <c r="A7">
        <v>2</v>
      </c>
      <c r="B7" t="s">
        <v>7</v>
      </c>
      <c r="C7">
        <f t="shared" ref="C7:C40" si="0">A8</f>
        <v>3</v>
      </c>
      <c r="D7">
        <v>1002</v>
      </c>
      <c r="E7" t="s">
        <v>306</v>
      </c>
      <c r="F7" t="s">
        <v>282</v>
      </c>
      <c r="G7" t="str">
        <f>掉落权重!E110</f>
        <v>4000101_0_1_199,4000201_0_1_179,4000301_0_1_81,4000401_0_1_0,4000501_0_1_0,4000105_0_1_199,4000205_0_1_179,4000305_0_1_81,4000405_0_1_0,4000505_0_1_0,30000_40001_1_0,30000_40002_1_0,30000_40003_1_0</v>
      </c>
      <c r="H7" t="s">
        <v>688</v>
      </c>
      <c r="I7" t="s">
        <v>301</v>
      </c>
      <c r="J7" t="s">
        <v>679</v>
      </c>
      <c r="K7">
        <v>100</v>
      </c>
      <c r="L7" t="s">
        <v>84</v>
      </c>
      <c r="M7" s="6" t="s">
        <v>290</v>
      </c>
      <c r="N7">
        <v>920</v>
      </c>
      <c r="O7">
        <v>120</v>
      </c>
      <c r="P7">
        <v>12</v>
      </c>
      <c r="Q7">
        <v>12</v>
      </c>
      <c r="R7">
        <v>4</v>
      </c>
    </row>
    <row r="8" spans="1:18">
      <c r="A8">
        <v>3</v>
      </c>
      <c r="B8" t="s">
        <v>8</v>
      </c>
      <c r="C8">
        <f t="shared" si="0"/>
        <v>4</v>
      </c>
      <c r="D8">
        <v>1003</v>
      </c>
      <c r="E8" t="s">
        <v>307</v>
      </c>
      <c r="F8" t="s">
        <v>282</v>
      </c>
      <c r="G8" t="str">
        <f>掉落权重!E111</f>
        <v>4000101_0_1_79,4000201_0_1_71,4000301_0_1_33,4000401_0_1_0,4000501_0_1_0,4000105_0_1_318,4000205_0_1_284,4000305_0_1_132,4000405_0_1_0,4000505_0_1_0,30000_40001_1_0,30000_40002_1_0,30000_40003_1_0</v>
      </c>
      <c r="H8" t="s">
        <v>689</v>
      </c>
      <c r="I8">
        <v>0</v>
      </c>
      <c r="J8" t="s">
        <v>680</v>
      </c>
      <c r="K8">
        <v>100</v>
      </c>
      <c r="L8" t="s">
        <v>85</v>
      </c>
      <c r="M8" s="6" t="s">
        <v>291</v>
      </c>
      <c r="N8">
        <v>920</v>
      </c>
      <c r="O8">
        <v>120</v>
      </c>
      <c r="P8">
        <v>14</v>
      </c>
      <c r="Q8">
        <v>14</v>
      </c>
      <c r="R8">
        <v>6</v>
      </c>
    </row>
    <row r="9" spans="1:18">
      <c r="A9">
        <v>4</v>
      </c>
      <c r="B9" t="s">
        <v>9</v>
      </c>
      <c r="C9">
        <f t="shared" si="0"/>
        <v>5</v>
      </c>
      <c r="D9">
        <v>1004</v>
      </c>
      <c r="E9" t="s">
        <v>339</v>
      </c>
      <c r="F9" t="s">
        <v>282</v>
      </c>
      <c r="G9" t="str">
        <f>掉落权重!E112</f>
        <v>4000105_0_1_397,4000205_0_1_354,4000305_0_1_169,4000405_0_1_0,4000505_0_1_0,4000110_0_1_0,4000210_0_1_0,4000310_0_1_0,4000410_0_1_0,4000510_0_1_0,30000_40001_1_300,30000_40002_1_200,30000_40003_1_100</v>
      </c>
      <c r="H9" t="s">
        <v>690</v>
      </c>
      <c r="I9">
        <v>0</v>
      </c>
      <c r="J9">
        <v>0</v>
      </c>
      <c r="K9">
        <v>100</v>
      </c>
      <c r="L9" t="s">
        <v>86</v>
      </c>
      <c r="M9" s="6" t="s">
        <v>292</v>
      </c>
      <c r="N9">
        <v>920</v>
      </c>
      <c r="O9">
        <v>120</v>
      </c>
      <c r="P9">
        <v>18</v>
      </c>
      <c r="Q9">
        <v>18</v>
      </c>
      <c r="R9">
        <v>8</v>
      </c>
    </row>
    <row r="10" spans="1:18">
      <c r="A10">
        <v>5</v>
      </c>
      <c r="B10" t="s">
        <v>10</v>
      </c>
      <c r="C10">
        <f t="shared" si="0"/>
        <v>6</v>
      </c>
      <c r="D10">
        <v>1005</v>
      </c>
      <c r="E10" s="9" t="s">
        <v>308</v>
      </c>
      <c r="F10" t="s">
        <v>582</v>
      </c>
      <c r="G10" t="str">
        <f>掉落权重!E113</f>
        <v>4000105_0_1_291,4000205_0_1_259,4000305_0_1_126,4000405_0_1_0,4000505_0_1_0,4000110_0_1_194,4000210_0_1_172,4000310_0_1_84,4000410_0_1_0,4000510_0_1_0,30000_40001_1_310,30000_40002_1_200,30000_40003_1_105</v>
      </c>
      <c r="H10" t="s">
        <v>691</v>
      </c>
      <c r="I10">
        <v>0</v>
      </c>
      <c r="J10">
        <v>0</v>
      </c>
      <c r="K10">
        <v>100</v>
      </c>
      <c r="L10" t="s">
        <v>87</v>
      </c>
      <c r="M10" s="6" t="s">
        <v>293</v>
      </c>
      <c r="N10">
        <v>1127</v>
      </c>
      <c r="O10">
        <v>102</v>
      </c>
      <c r="P10">
        <v>22</v>
      </c>
      <c r="Q10">
        <v>22</v>
      </c>
      <c r="R10">
        <v>10</v>
      </c>
    </row>
    <row r="11" spans="1:18">
      <c r="A11">
        <v>6</v>
      </c>
      <c r="B11" t="s">
        <v>11</v>
      </c>
      <c r="C11">
        <f t="shared" si="0"/>
        <v>7</v>
      </c>
      <c r="D11">
        <v>1006</v>
      </c>
      <c r="E11" s="9" t="s">
        <v>309</v>
      </c>
      <c r="F11" t="s">
        <v>582</v>
      </c>
      <c r="G11" t="str">
        <f>掉落权重!E114</f>
        <v>4000105_0_1_96,4000205_0_1_85,4000305_0_1_43,4000405_0_1_0,4000505_0_1_0,4000110_0_1_386,4000210_0_1_343,4000310_0_1_172,4000410_0_1_0,4000510_0_1_0,30000_40001_1_320,30000_40002_1_200,30000_40003_1_110</v>
      </c>
      <c r="H11" t="s">
        <v>692</v>
      </c>
      <c r="I11">
        <v>0</v>
      </c>
      <c r="J11">
        <v>0</v>
      </c>
      <c r="K11">
        <v>100</v>
      </c>
      <c r="L11" t="s">
        <v>88</v>
      </c>
      <c r="M11" s="6" t="s">
        <v>294</v>
      </c>
      <c r="N11">
        <v>1127</v>
      </c>
      <c r="O11">
        <v>102</v>
      </c>
      <c r="P11">
        <v>26</v>
      </c>
      <c r="Q11">
        <v>26</v>
      </c>
      <c r="R11">
        <v>12</v>
      </c>
    </row>
    <row r="12" spans="1:18">
      <c r="A12">
        <v>7</v>
      </c>
      <c r="B12" t="s">
        <v>12</v>
      </c>
      <c r="C12">
        <f t="shared" si="0"/>
        <v>8</v>
      </c>
      <c r="D12">
        <v>1007</v>
      </c>
      <c r="E12" s="9" t="s">
        <v>310</v>
      </c>
      <c r="F12" t="s">
        <v>582</v>
      </c>
      <c r="G12" t="str">
        <f>掉落权重!E115</f>
        <v>4000110_0_1_384,4000210_0_1_341,4000310_0_1_175,4000410_0_1_0,4000510_0_1_0,4000115_0_1_96,4000215_0_1_85,4000315_0_1_43,4000415_0_1_0,4000515_0_1_0,30000_40001_1_330,30000_40002_1_200,30000_40003_1_115</v>
      </c>
      <c r="H12" t="s">
        <v>693</v>
      </c>
      <c r="I12">
        <v>0</v>
      </c>
      <c r="J12">
        <v>0</v>
      </c>
      <c r="K12">
        <v>100</v>
      </c>
      <c r="L12" t="s">
        <v>89</v>
      </c>
      <c r="M12" s="6" t="s">
        <v>295</v>
      </c>
      <c r="N12">
        <v>1127</v>
      </c>
      <c r="O12">
        <v>102</v>
      </c>
      <c r="P12">
        <v>46</v>
      </c>
      <c r="Q12">
        <v>46</v>
      </c>
      <c r="R12">
        <v>14</v>
      </c>
    </row>
    <row r="13" spans="1:18">
      <c r="A13">
        <v>8</v>
      </c>
      <c r="B13" t="s">
        <v>14</v>
      </c>
      <c r="C13">
        <f t="shared" si="0"/>
        <v>9</v>
      </c>
      <c r="D13">
        <v>1008</v>
      </c>
      <c r="E13" s="9" t="s">
        <v>311</v>
      </c>
      <c r="F13" t="s">
        <v>283</v>
      </c>
      <c r="G13" t="str">
        <f>掉落权重!E116</f>
        <v>4000110_0_1_197,4000210_0_1_174,4000310_0_1_92,4000410_0_1_0,4000510_0_1_0,4000115_0_1_296,4000215_0_1_261,4000315_0_1_138,4000415_0_1_0,4000515_0_1_0,30000_40001_1_340,30000_40002_1_200,30000_40003_1_120</v>
      </c>
      <c r="H13" t="s">
        <v>694</v>
      </c>
      <c r="I13">
        <v>0</v>
      </c>
      <c r="J13">
        <v>0</v>
      </c>
      <c r="K13">
        <v>100</v>
      </c>
      <c r="L13" t="s">
        <v>90</v>
      </c>
      <c r="M13" s="6" t="s">
        <v>57</v>
      </c>
      <c r="N13">
        <v>1160</v>
      </c>
      <c r="O13">
        <v>100</v>
      </c>
      <c r="P13">
        <v>59</v>
      </c>
      <c r="Q13">
        <v>59</v>
      </c>
      <c r="R13">
        <v>16</v>
      </c>
    </row>
    <row r="14" spans="1:18">
      <c r="A14">
        <v>9</v>
      </c>
      <c r="B14" t="s">
        <v>13</v>
      </c>
      <c r="C14">
        <f t="shared" si="0"/>
        <v>10</v>
      </c>
      <c r="D14">
        <v>1009</v>
      </c>
      <c r="E14" s="9" t="s">
        <v>312</v>
      </c>
      <c r="F14" t="s">
        <v>284</v>
      </c>
      <c r="G14" t="str">
        <f>掉落权重!E117</f>
        <v>4000115_0_1_501,4000215_0_1_441,4000315_0_1_238,4000415_0_1_12,4000515_0_1_0,4000120_0_1_0,4000220_0_1_0,4000320_0_1_0,4000420_0_1_0,4000520_0_1_0,30000_40001_1_350,30000_40002_1_200,30000_40003_1_125</v>
      </c>
      <c r="H14" t="s">
        <v>695</v>
      </c>
      <c r="I14">
        <v>0</v>
      </c>
      <c r="J14">
        <v>0</v>
      </c>
      <c r="K14">
        <v>100</v>
      </c>
      <c r="L14" t="s">
        <v>91</v>
      </c>
      <c r="M14" s="6" t="s">
        <v>58</v>
      </c>
      <c r="N14">
        <v>1192</v>
      </c>
      <c r="O14">
        <v>97</v>
      </c>
      <c r="P14">
        <v>72</v>
      </c>
      <c r="Q14">
        <v>72</v>
      </c>
      <c r="R14">
        <v>18</v>
      </c>
    </row>
    <row r="15" spans="1:18" s="3" customFormat="1">
      <c r="A15" s="3">
        <v>10</v>
      </c>
      <c r="B15" s="3" t="s">
        <v>16</v>
      </c>
      <c r="C15">
        <f t="shared" si="0"/>
        <v>11</v>
      </c>
      <c r="D15">
        <v>1010</v>
      </c>
      <c r="E15" s="9" t="s">
        <v>313</v>
      </c>
      <c r="F15" s="3" t="s">
        <v>285</v>
      </c>
      <c r="G15" t="str">
        <f>掉落权重!E118</f>
        <v>4000115_0_1_304,4000215_0_1_267,4000315_0_1_148,4000415_0_1_15,4000515_0_1_0,4000120_0_1_202,4000220_0_1_178,4000320_0_1_98,4000420_0_1_10,4000520_0_1_0,30000_40001_1_340,30000_40002_1_210,30000_40003_1_130</v>
      </c>
      <c r="H15" s="3" t="s">
        <v>696</v>
      </c>
      <c r="I15">
        <v>0</v>
      </c>
      <c r="J15">
        <v>0</v>
      </c>
      <c r="K15">
        <v>100</v>
      </c>
      <c r="L15" s="3" t="s">
        <v>92</v>
      </c>
      <c r="M15" s="7" t="s">
        <v>59</v>
      </c>
      <c r="N15">
        <v>1224</v>
      </c>
      <c r="O15" s="3">
        <v>95</v>
      </c>
      <c r="P15">
        <v>87</v>
      </c>
      <c r="Q15">
        <v>87</v>
      </c>
      <c r="R15">
        <v>20</v>
      </c>
    </row>
    <row r="16" spans="1:18">
      <c r="A16">
        <v>11</v>
      </c>
      <c r="B16" t="s">
        <v>15</v>
      </c>
      <c r="C16">
        <f t="shared" si="0"/>
        <v>12</v>
      </c>
      <c r="D16">
        <v>1011</v>
      </c>
      <c r="E16" s="9" t="s">
        <v>314</v>
      </c>
      <c r="F16" t="s">
        <v>285</v>
      </c>
      <c r="G16" t="str">
        <f>掉落权重!E119</f>
        <v>4000115_0_1_99,4000215_0_1_86,4000315_0_1_49,4000415_0_1_7,4000515_0_1_0,4000120_0_1_397,4000220_0_1_347,4000320_0_1_198,4000420_0_1_29,4000520_0_1_0,30000_40001_1_330,30000_40002_1_220,30000_40003_1_135</v>
      </c>
      <c r="H16" t="s">
        <v>697</v>
      </c>
      <c r="I16">
        <v>0</v>
      </c>
      <c r="J16">
        <v>0</v>
      </c>
      <c r="K16">
        <v>100</v>
      </c>
      <c r="L16" t="s">
        <v>93</v>
      </c>
      <c r="M16" s="6" t="s">
        <v>60</v>
      </c>
      <c r="N16">
        <v>1217</v>
      </c>
      <c r="O16">
        <v>95</v>
      </c>
      <c r="P16">
        <v>98</v>
      </c>
      <c r="Q16">
        <v>98</v>
      </c>
      <c r="R16">
        <v>22</v>
      </c>
    </row>
    <row r="17" spans="1:18">
      <c r="A17">
        <v>12</v>
      </c>
      <c r="B17" t="s">
        <v>17</v>
      </c>
      <c r="C17">
        <f t="shared" si="0"/>
        <v>13</v>
      </c>
      <c r="D17">
        <v>1012</v>
      </c>
      <c r="E17" s="9" t="s">
        <v>315</v>
      </c>
      <c r="F17" t="s">
        <v>286</v>
      </c>
      <c r="G17" t="str">
        <f>掉落权重!E120</f>
        <v>4000120_0_1_401,4000220_0_1_349,4000320_0_1_205,4000420_0_1_40,4000520_0_1_0,4000125_0_1_100,4000225_0_1_87,4000325_0_1_51,4000425_0_1_10,4000525_0_1_0,30000_40001_1_320,30000_40002_1_230,30000_40003_1_140</v>
      </c>
      <c r="H17" t="s">
        <v>698</v>
      </c>
      <c r="I17">
        <v>0</v>
      </c>
      <c r="J17">
        <v>0</v>
      </c>
      <c r="K17">
        <v>100</v>
      </c>
      <c r="L17" t="s">
        <v>94</v>
      </c>
      <c r="M17" s="6" t="s">
        <v>61</v>
      </c>
      <c r="N17">
        <v>1248</v>
      </c>
      <c r="O17">
        <v>93</v>
      </c>
      <c r="P17">
        <v>120</v>
      </c>
      <c r="Q17">
        <v>120</v>
      </c>
      <c r="R17">
        <v>24</v>
      </c>
    </row>
    <row r="18" spans="1:18">
      <c r="A18">
        <v>13</v>
      </c>
      <c r="B18" t="s">
        <v>19</v>
      </c>
      <c r="C18">
        <f t="shared" si="0"/>
        <v>14</v>
      </c>
      <c r="D18">
        <v>1013</v>
      </c>
      <c r="E18" s="9" t="s">
        <v>316</v>
      </c>
      <c r="F18" t="s">
        <v>570</v>
      </c>
      <c r="G18" t="str">
        <f>掉落权重!E121</f>
        <v>4000120_0_1_256,4000220_0_1_222,4000320_0_1_135,4000420_0_1_33,4000520_0_1_0,4000125_0_1_384,4000225_0_1_334,4000325_0_1_202,4000425_0_1_50,4000525_0_1_0,30000_40001_1_310,30000_40002_1_240,30000_40003_1_145</v>
      </c>
      <c r="H18" t="s">
        <v>699</v>
      </c>
      <c r="I18">
        <v>0</v>
      </c>
      <c r="J18">
        <v>0</v>
      </c>
      <c r="K18">
        <v>100</v>
      </c>
      <c r="L18" t="s">
        <v>95</v>
      </c>
      <c r="M18" s="6" t="s">
        <v>62</v>
      </c>
      <c r="N18">
        <v>1620</v>
      </c>
      <c r="O18">
        <v>76</v>
      </c>
      <c r="P18">
        <v>184</v>
      </c>
      <c r="Q18">
        <v>184</v>
      </c>
      <c r="R18">
        <v>26</v>
      </c>
    </row>
    <row r="19" spans="1:18">
      <c r="A19">
        <v>14</v>
      </c>
      <c r="B19" t="s">
        <v>18</v>
      </c>
      <c r="C19">
        <f t="shared" si="0"/>
        <v>15</v>
      </c>
      <c r="D19">
        <v>1014</v>
      </c>
      <c r="E19" s="9" t="s">
        <v>317</v>
      </c>
      <c r="F19" t="s">
        <v>570</v>
      </c>
      <c r="G19" t="str">
        <f>掉落权重!E122</f>
        <v>4000125_0_1_630,4000225_0_1_545,4000325_0_1_341,4000425_0_1_94,4000525_0_1_0,4000130_0_1_0,4000230_0_1_0,4000330_0_1_0,4000430_0_1_0,4000530_0_1_0,30000_40001_1_300,30000_40002_1_250,30000_40003_1_150</v>
      </c>
      <c r="H19" t="s">
        <v>700</v>
      </c>
      <c r="I19">
        <v>0</v>
      </c>
      <c r="J19">
        <v>0</v>
      </c>
      <c r="K19">
        <v>100</v>
      </c>
      <c r="L19" t="s">
        <v>96</v>
      </c>
      <c r="M19" s="6" t="s">
        <v>63</v>
      </c>
      <c r="N19">
        <v>1610</v>
      </c>
      <c r="O19">
        <v>76</v>
      </c>
      <c r="P19">
        <v>208</v>
      </c>
      <c r="Q19">
        <v>208</v>
      </c>
      <c r="R19">
        <v>28</v>
      </c>
    </row>
    <row r="20" spans="1:18">
      <c r="A20">
        <v>15</v>
      </c>
      <c r="B20" t="s">
        <v>20</v>
      </c>
      <c r="C20">
        <f t="shared" si="0"/>
        <v>16</v>
      </c>
      <c r="D20">
        <v>1015</v>
      </c>
      <c r="E20" s="9" t="s">
        <v>318</v>
      </c>
      <c r="F20" t="s">
        <v>570</v>
      </c>
      <c r="G20" t="str">
        <f>掉落权重!E123</f>
        <v>4000125_0_1_371,4000225_0_1_319,4000325_0_1_206,4000425_0_1_61,4000525_0_1_0,4000130_0_1_247,4000230_0_1_213,4000330_0_1_137,4000430_0_1_41,4000530_0_1_0,30000_40001_1_290,30000_40002_1_260,30000_40003_1_155</v>
      </c>
      <c r="H20" t="s">
        <v>701</v>
      </c>
      <c r="I20">
        <v>0</v>
      </c>
      <c r="J20">
        <v>0</v>
      </c>
      <c r="K20">
        <v>100</v>
      </c>
      <c r="L20" t="s">
        <v>97</v>
      </c>
      <c r="M20" s="6" t="s">
        <v>64</v>
      </c>
      <c r="N20">
        <v>1600</v>
      </c>
      <c r="O20">
        <v>76</v>
      </c>
      <c r="P20">
        <v>232</v>
      </c>
      <c r="Q20">
        <v>232</v>
      </c>
      <c r="R20">
        <v>30</v>
      </c>
    </row>
    <row r="21" spans="1:18">
      <c r="A21">
        <v>16</v>
      </c>
      <c r="B21" t="s">
        <v>24</v>
      </c>
      <c r="C21">
        <f t="shared" si="0"/>
        <v>17</v>
      </c>
      <c r="D21">
        <v>1016</v>
      </c>
      <c r="E21" s="9" t="s">
        <v>319</v>
      </c>
      <c r="F21" t="s">
        <v>571</v>
      </c>
      <c r="G21" t="str">
        <f>掉落权重!E124</f>
        <v>4000125_0_1_133,4000225_0_1_114,4000325_0_1_76,4000425_0_1_24,4000525_0_1_0,4000130_0_1_532,4000230_0_1_456,4000330_0_1_304,4000430_0_1_99,4000530_0_1_0,30000_40001_1_280,30000_40002_1_270,30000_40003_1_160</v>
      </c>
      <c r="H21" t="s">
        <v>702</v>
      </c>
      <c r="I21">
        <v>0</v>
      </c>
      <c r="J21">
        <v>0</v>
      </c>
      <c r="K21">
        <v>100</v>
      </c>
      <c r="L21" t="s">
        <v>98</v>
      </c>
      <c r="M21" s="6" t="s">
        <v>65</v>
      </c>
      <c r="N21">
        <v>1739</v>
      </c>
      <c r="O21">
        <v>73</v>
      </c>
      <c r="P21">
        <v>281</v>
      </c>
      <c r="Q21">
        <v>281</v>
      </c>
      <c r="R21">
        <v>32</v>
      </c>
    </row>
    <row r="22" spans="1:18">
      <c r="A22">
        <v>17</v>
      </c>
      <c r="B22" t="s">
        <v>21</v>
      </c>
      <c r="C22">
        <f t="shared" si="0"/>
        <v>18</v>
      </c>
      <c r="D22">
        <v>1017</v>
      </c>
      <c r="E22" s="9" t="s">
        <v>320</v>
      </c>
      <c r="F22" t="s">
        <v>572</v>
      </c>
      <c r="G22" t="str">
        <f>掉落权重!E125</f>
        <v>4000130_0_1_533,4000230_0_1_455,4000330_0_1_313,4000430_0_1_109,4000530_0_1_0,4000135_0_1_133,4000235_0_1_113,4000335_0_1_78,4000435_0_1_27,4000535_0_1_0,30000_40001_1_270,30000_40002_1_280,30000_40003_1_165</v>
      </c>
      <c r="H22" t="s">
        <v>703</v>
      </c>
      <c r="I22">
        <v>0</v>
      </c>
      <c r="J22">
        <v>0</v>
      </c>
      <c r="K22">
        <v>100</v>
      </c>
      <c r="L22" t="s">
        <v>99</v>
      </c>
      <c r="M22" s="6" t="s">
        <v>66</v>
      </c>
      <c r="N22">
        <v>1765</v>
      </c>
      <c r="O22">
        <v>72</v>
      </c>
      <c r="P22">
        <v>315</v>
      </c>
      <c r="Q22">
        <v>315</v>
      </c>
      <c r="R22">
        <v>34</v>
      </c>
    </row>
    <row r="23" spans="1:18">
      <c r="A23">
        <v>18</v>
      </c>
      <c r="B23" t="s">
        <v>22</v>
      </c>
      <c r="C23">
        <f t="shared" si="0"/>
        <v>19</v>
      </c>
      <c r="D23">
        <v>1018</v>
      </c>
      <c r="E23" s="9" t="s">
        <v>321</v>
      </c>
      <c r="F23" t="s">
        <v>573</v>
      </c>
      <c r="G23" t="str">
        <f>掉落权重!E126</f>
        <v>4000130_0_1_264,4000230_0_1_224,4000330_0_1_160,4000430_0_1_60,4000530_0_1_8,4000135_0_1_396,4000235_0_1_336,4000335_0_1_240,4000435_0_1_90,4000535_0_1_12,30000_40001_1_260,30000_40002_1_290,30000_40003_1_170</v>
      </c>
      <c r="H23" t="s">
        <v>704</v>
      </c>
      <c r="I23">
        <v>0</v>
      </c>
      <c r="J23">
        <v>0</v>
      </c>
      <c r="K23">
        <v>100</v>
      </c>
      <c r="L23" t="s">
        <v>100</v>
      </c>
      <c r="M23" s="6" t="s">
        <v>67</v>
      </c>
      <c r="N23">
        <v>1791</v>
      </c>
      <c r="O23">
        <v>72</v>
      </c>
      <c r="P23">
        <v>349</v>
      </c>
      <c r="Q23">
        <v>349</v>
      </c>
      <c r="R23">
        <v>36</v>
      </c>
    </row>
    <row r="24" spans="1:18" s="4" customFormat="1">
      <c r="A24" s="4">
        <v>19</v>
      </c>
      <c r="B24" t="s">
        <v>25</v>
      </c>
      <c r="C24">
        <f t="shared" si="0"/>
        <v>20</v>
      </c>
      <c r="D24">
        <v>1019</v>
      </c>
      <c r="E24" s="9" t="s">
        <v>322</v>
      </c>
      <c r="F24" s="4" t="s">
        <v>574</v>
      </c>
      <c r="G24" t="str">
        <f>掉落权重!E127</f>
        <v>4000135_0_1_656,4000235_0_1_554,4000335_0_1_410,4000435_0_1_164,4000535_0_1_31,4000140_0_1_0,4000240_0_1_0,4000340_0_1_0,4000440_0_1_0,4000540_0_1_0,30000_40001_1_250,30000_40002_1_300,30000_40003_1_175</v>
      </c>
      <c r="H24" s="4" t="s">
        <v>705</v>
      </c>
      <c r="I24">
        <v>0</v>
      </c>
      <c r="J24">
        <v>0</v>
      </c>
      <c r="K24">
        <v>100</v>
      </c>
      <c r="L24" s="4" t="s">
        <v>101</v>
      </c>
      <c r="M24" s="8" t="s">
        <v>68</v>
      </c>
      <c r="N24">
        <v>1816</v>
      </c>
      <c r="O24" s="4">
        <v>71</v>
      </c>
      <c r="P24">
        <v>385</v>
      </c>
      <c r="Q24">
        <v>385</v>
      </c>
      <c r="R24">
        <v>38</v>
      </c>
    </row>
    <row r="25" spans="1:18">
      <c r="A25">
        <v>20</v>
      </c>
      <c r="B25" s="4" t="s">
        <v>23</v>
      </c>
      <c r="C25">
        <f t="shared" si="0"/>
        <v>21</v>
      </c>
      <c r="D25">
        <v>1020</v>
      </c>
      <c r="E25" s="9" t="s">
        <v>323</v>
      </c>
      <c r="F25" t="s">
        <v>575</v>
      </c>
      <c r="G25" t="str">
        <f>掉落权重!E128</f>
        <v>4000135_0_1_391,4000235_0_1_328,4000335_0_1_252,4000435_0_1_107,4000535_0_1_25,4000140_0_1_260,4000240_0_1_218,4000340_0_1_168,4000440_0_1_71,4000540_0_1_16,30000_40001_1_240,30000_40002_1_310,30000_40003_1_180</v>
      </c>
      <c r="H25" t="s">
        <v>706</v>
      </c>
      <c r="I25">
        <v>0</v>
      </c>
      <c r="J25">
        <v>0</v>
      </c>
      <c r="K25">
        <v>100</v>
      </c>
      <c r="L25" t="s">
        <v>102</v>
      </c>
      <c r="M25" s="6" t="s">
        <v>69</v>
      </c>
      <c r="N25">
        <v>1840</v>
      </c>
      <c r="O25">
        <v>70</v>
      </c>
      <c r="P25">
        <v>422</v>
      </c>
      <c r="Q25">
        <v>422</v>
      </c>
      <c r="R25">
        <v>40</v>
      </c>
    </row>
    <row r="26" spans="1:18">
      <c r="A26">
        <v>21</v>
      </c>
      <c r="B26" t="s">
        <v>26</v>
      </c>
      <c r="C26">
        <f t="shared" si="0"/>
        <v>22</v>
      </c>
      <c r="D26">
        <v>1021</v>
      </c>
      <c r="E26" s="9" t="s">
        <v>324</v>
      </c>
      <c r="F26" t="s">
        <v>576</v>
      </c>
      <c r="G26" t="str">
        <f>掉落权重!E129</f>
        <v>4000135_0_1_239,4000235_0_1_199,4000335_0_1_159,4000435_0_1_71,4000535_0_1_19,4000140_0_1_406,4000240_0_1_339,4000340_0_1_271,4000440_0_1_122,4000540_0_1_34,30000_40001_1_230,30000_40002_1_305,30000_40003_1_185</v>
      </c>
      <c r="H26" t="s">
        <v>707</v>
      </c>
      <c r="I26">
        <v>0</v>
      </c>
      <c r="J26">
        <v>0</v>
      </c>
      <c r="K26">
        <v>100</v>
      </c>
      <c r="L26" t="s">
        <v>103</v>
      </c>
      <c r="M26" s="6" t="s">
        <v>70</v>
      </c>
      <c r="N26">
        <v>1864</v>
      </c>
      <c r="O26">
        <v>69</v>
      </c>
      <c r="P26">
        <v>460</v>
      </c>
      <c r="Q26">
        <v>460</v>
      </c>
      <c r="R26">
        <v>42</v>
      </c>
    </row>
    <row r="27" spans="1:18">
      <c r="A27">
        <v>22</v>
      </c>
      <c r="B27" t="s">
        <v>27</v>
      </c>
      <c r="C27">
        <f t="shared" si="0"/>
        <v>23</v>
      </c>
      <c r="D27">
        <v>1022</v>
      </c>
      <c r="E27" s="9" t="s">
        <v>325</v>
      </c>
      <c r="F27" t="s">
        <v>577</v>
      </c>
      <c r="G27" t="str">
        <f>掉落权重!E130</f>
        <v>4000140_0_1_379,4000240_0_1_315,4000340_0_1_257,4000440_0_1_122,4000540_0_1_38,4000143_0_1_264,4000243_0_1_219,4000343_0_1_178,4000443_0_1_84,4000543_0_1_26,30000_40001_1_220,30000_40002_1_300,30000_40003_1_190</v>
      </c>
      <c r="H27" t="s">
        <v>708</v>
      </c>
      <c r="I27">
        <v>0</v>
      </c>
      <c r="J27">
        <v>0</v>
      </c>
      <c r="K27">
        <v>100</v>
      </c>
      <c r="L27" t="s">
        <v>104</v>
      </c>
      <c r="M27" s="6" t="s">
        <v>71</v>
      </c>
      <c r="N27">
        <v>1888</v>
      </c>
      <c r="O27">
        <v>69</v>
      </c>
      <c r="P27">
        <v>510</v>
      </c>
      <c r="Q27">
        <v>510</v>
      </c>
      <c r="R27">
        <v>44</v>
      </c>
    </row>
    <row r="28" spans="1:18">
      <c r="A28">
        <v>23</v>
      </c>
      <c r="B28" t="s">
        <v>28</v>
      </c>
      <c r="C28">
        <f t="shared" si="0"/>
        <v>24</v>
      </c>
      <c r="D28">
        <v>1023</v>
      </c>
      <c r="E28" s="9" t="s">
        <v>326</v>
      </c>
      <c r="F28" t="s">
        <v>578</v>
      </c>
      <c r="G28" t="str">
        <f>掉落权重!E131</f>
        <v>4000143_0_1_439,4000243_0_1_365,4000343_0_1_298,4000443_0_1_148,4000543_0_1_52,4000145_0_1_216,4000245_0_1_179,4000345_0_1_146,4000445_0_1_73,4000545_0_1_25,30000_40001_1_210,30000_40002_1_295,30000_40003_1_195</v>
      </c>
      <c r="H28" t="s">
        <v>709</v>
      </c>
      <c r="I28">
        <v>0</v>
      </c>
      <c r="J28">
        <v>0</v>
      </c>
      <c r="K28">
        <v>100</v>
      </c>
      <c r="L28" t="s">
        <v>105</v>
      </c>
      <c r="M28" s="6" t="s">
        <v>72</v>
      </c>
      <c r="N28">
        <v>1946</v>
      </c>
      <c r="O28">
        <v>67</v>
      </c>
      <c r="P28">
        <v>572</v>
      </c>
      <c r="Q28">
        <v>572</v>
      </c>
      <c r="R28">
        <v>46</v>
      </c>
    </row>
    <row r="29" spans="1:18">
      <c r="A29">
        <v>24</v>
      </c>
      <c r="B29" t="s">
        <v>29</v>
      </c>
      <c r="C29">
        <f t="shared" si="0"/>
        <v>25</v>
      </c>
      <c r="D29">
        <v>1024</v>
      </c>
      <c r="E29" s="9" t="s">
        <v>327</v>
      </c>
      <c r="F29" t="s">
        <v>579</v>
      </c>
      <c r="G29" t="str">
        <f>掉落权重!E132</f>
        <v>4000145_0_1_351,4000245_0_1_291,4000345_0_1_238,4000445_0_1_119,4000545_0_1_41,4000145_0_1_324,4000245_0_1_269,4000345_0_1_219,4000445_0_1_109,4000545_0_1_38,30000_40001_1_200,30000_40002_1_290,30000_40003_1_200</v>
      </c>
      <c r="H29" t="s">
        <v>710</v>
      </c>
      <c r="I29">
        <v>0</v>
      </c>
      <c r="J29">
        <v>0</v>
      </c>
      <c r="K29">
        <v>100</v>
      </c>
      <c r="L29" t="s">
        <v>106</v>
      </c>
      <c r="M29" s="6" t="s">
        <v>73</v>
      </c>
      <c r="N29">
        <v>2004</v>
      </c>
      <c r="O29">
        <v>66</v>
      </c>
      <c r="P29">
        <v>637</v>
      </c>
      <c r="Q29">
        <v>637</v>
      </c>
      <c r="R29">
        <v>48</v>
      </c>
    </row>
    <row r="30" spans="1:18">
      <c r="A30">
        <v>25</v>
      </c>
      <c r="B30" t="s">
        <v>30</v>
      </c>
      <c r="C30">
        <f t="shared" si="0"/>
        <v>26</v>
      </c>
      <c r="D30">
        <v>1025</v>
      </c>
      <c r="E30" s="9" t="s">
        <v>328</v>
      </c>
      <c r="F30" t="s">
        <v>580</v>
      </c>
      <c r="G30" t="str">
        <f>掉落权重!E133</f>
        <v>4000145_0_1_366,4000245_0_1_304,4000345_0_1_248,4000445_0_1_124,4000545_0_1_43,4000147_0_1_308,4000247_0_1_256,4000347_0_1_209,4000447_0_1_104,4000547_0_1_36,30000_40001_1_190,30000_40002_1_285,30000_40003_1_205</v>
      </c>
      <c r="H30" t="s">
        <v>711</v>
      </c>
      <c r="I30">
        <v>0</v>
      </c>
      <c r="J30">
        <v>0</v>
      </c>
      <c r="K30">
        <v>100</v>
      </c>
      <c r="L30" t="s">
        <v>107</v>
      </c>
      <c r="M30" s="6" t="s">
        <v>74</v>
      </c>
      <c r="N30">
        <v>2004</v>
      </c>
      <c r="O30">
        <v>66</v>
      </c>
      <c r="P30">
        <v>693</v>
      </c>
      <c r="Q30">
        <v>693</v>
      </c>
      <c r="R30">
        <v>50</v>
      </c>
    </row>
    <row r="31" spans="1:18">
      <c r="A31">
        <v>26</v>
      </c>
      <c r="B31" t="s">
        <v>31</v>
      </c>
      <c r="C31">
        <f t="shared" si="0"/>
        <v>27</v>
      </c>
      <c r="D31">
        <v>1026</v>
      </c>
      <c r="E31" s="9" t="s">
        <v>329</v>
      </c>
      <c r="F31" t="s">
        <v>581</v>
      </c>
      <c r="G31" t="str">
        <f>掉落权重!E134</f>
        <v>4000147_0_1_377,4000247_0_1_313,4000347_0_1_256,4000447_0_1_128,4000547_0_1_44,4000150_0_1_297,4000250_0_1_247,4000350_0_1_201,4000450_0_1_100,4000550_0_1_35,30000_40001_1_180,30000_40002_1_280,30000_40003_1_210</v>
      </c>
      <c r="H31" t="s">
        <v>712</v>
      </c>
      <c r="I31">
        <v>0</v>
      </c>
      <c r="J31">
        <v>0</v>
      </c>
      <c r="K31">
        <v>100</v>
      </c>
      <c r="L31" t="s">
        <v>108</v>
      </c>
      <c r="M31" s="6" t="s">
        <v>75</v>
      </c>
      <c r="N31">
        <v>2004</v>
      </c>
      <c r="O31">
        <v>65</v>
      </c>
      <c r="P31">
        <v>750</v>
      </c>
      <c r="Q31">
        <v>750</v>
      </c>
      <c r="R31">
        <v>52</v>
      </c>
    </row>
    <row r="32" spans="1:18">
      <c r="A32">
        <v>27</v>
      </c>
      <c r="B32" t="s">
        <v>32</v>
      </c>
      <c r="C32">
        <f t="shared" si="0"/>
        <v>28</v>
      </c>
      <c r="D32">
        <v>1027</v>
      </c>
      <c r="E32" s="9" t="s">
        <v>330</v>
      </c>
      <c r="F32" t="s">
        <v>287</v>
      </c>
      <c r="G32" t="str">
        <f>掉落权重!E135</f>
        <v>4000150_0_1_406,4000250_0_1_337,4000350_0_1_275,4000450_0_1_137,4000550_0_1_48,4000153_0_1_285,4000253_0_1_237,4000353_0_1_193,4000453_0_1_97,4000553_0_1_33,30000_40001_1_170,30000_40002_1_275,30000_40003_1_215</v>
      </c>
      <c r="H32" t="s">
        <v>713</v>
      </c>
      <c r="I32">
        <v>0</v>
      </c>
      <c r="J32">
        <v>0</v>
      </c>
      <c r="K32">
        <v>100</v>
      </c>
      <c r="L32" t="s">
        <v>109</v>
      </c>
      <c r="M32" s="6" t="s">
        <v>76</v>
      </c>
      <c r="N32">
        <v>2054</v>
      </c>
      <c r="O32">
        <v>63</v>
      </c>
      <c r="P32">
        <v>852</v>
      </c>
      <c r="Q32">
        <v>852</v>
      </c>
      <c r="R32">
        <v>54</v>
      </c>
    </row>
    <row r="33" spans="1:18">
      <c r="A33">
        <v>28</v>
      </c>
      <c r="B33" t="s">
        <v>33</v>
      </c>
      <c r="C33">
        <f t="shared" si="0"/>
        <v>29</v>
      </c>
      <c r="D33">
        <v>1028</v>
      </c>
      <c r="E33" s="9" t="s">
        <v>331</v>
      </c>
      <c r="F33" t="s">
        <v>287</v>
      </c>
      <c r="G33" t="str">
        <f>掉落权重!E136</f>
        <v>4000153_0_1_423,4000253_0_1_351,4000353_0_1_287,4000453_0_1_143,4000553_0_1_50,4000153_0_1_268,4000253_0_1_223,4000353_0_1_181,4000453_0_1_91,4000553_0_1_31,30000_40001_1_160,30000_40002_1_270,30000_40003_1_220</v>
      </c>
      <c r="H33" t="s">
        <v>714</v>
      </c>
      <c r="I33">
        <v>0</v>
      </c>
      <c r="J33">
        <v>0</v>
      </c>
      <c r="K33">
        <v>100</v>
      </c>
      <c r="L33" t="s">
        <v>110</v>
      </c>
      <c r="M33" s="6" t="s">
        <v>77</v>
      </c>
      <c r="N33">
        <v>2054</v>
      </c>
      <c r="O33">
        <v>63</v>
      </c>
      <c r="P33">
        <v>900</v>
      </c>
      <c r="Q33">
        <v>900</v>
      </c>
      <c r="R33">
        <v>56</v>
      </c>
    </row>
    <row r="34" spans="1:18">
      <c r="A34">
        <v>29</v>
      </c>
      <c r="B34" t="s">
        <v>35</v>
      </c>
      <c r="C34">
        <f t="shared" si="0"/>
        <v>30</v>
      </c>
      <c r="D34">
        <v>1029</v>
      </c>
      <c r="E34" s="9" t="s">
        <v>332</v>
      </c>
      <c r="F34" t="s">
        <v>287</v>
      </c>
      <c r="G34" t="str">
        <f>掉落权重!E137</f>
        <v>4000153_0_1_439,4000253_0_1_365,4000353_0_1_297,4000453_0_1_149,4000553_0_1_52,4000155_0_1_252,4000255_0_1_209,4000355_0_1_171,4000455_0_1_85,4000555_0_1_29,30000_40001_1_150,30000_40002_1_265,30000_40003_1_225</v>
      </c>
      <c r="H34" t="s">
        <v>715</v>
      </c>
      <c r="I34">
        <v>0</v>
      </c>
      <c r="J34">
        <v>0</v>
      </c>
      <c r="K34">
        <v>100</v>
      </c>
      <c r="L34" t="s">
        <v>111</v>
      </c>
      <c r="M34" s="6" t="s">
        <v>147</v>
      </c>
      <c r="N34">
        <v>2054</v>
      </c>
      <c r="O34">
        <v>63</v>
      </c>
      <c r="P34">
        <v>948</v>
      </c>
      <c r="Q34">
        <v>948</v>
      </c>
      <c r="R34">
        <v>58</v>
      </c>
    </row>
    <row r="35" spans="1:18">
      <c r="A35">
        <v>30</v>
      </c>
      <c r="B35" t="s">
        <v>34</v>
      </c>
      <c r="C35">
        <f t="shared" si="0"/>
        <v>31</v>
      </c>
      <c r="D35">
        <v>1030</v>
      </c>
      <c r="E35" s="9" t="s">
        <v>333</v>
      </c>
      <c r="F35" t="s">
        <v>287</v>
      </c>
      <c r="G35" t="str">
        <f>掉落权重!E138</f>
        <v>4000155_0_1_453,4000255_0_1_377,4000355_0_1_307,4000455_0_1_154,4000555_0_1_53,4000157_0_1_238,4000257_0_1_197,4000357_0_1_161,4000457_0_1_80,4000557_0_1_28,30000_40001_1_140,30000_40002_1_260,30000_40003_1_230</v>
      </c>
      <c r="H35" t="s">
        <v>716</v>
      </c>
      <c r="I35">
        <v>0</v>
      </c>
      <c r="J35">
        <v>0</v>
      </c>
      <c r="K35">
        <v>100</v>
      </c>
      <c r="L35" t="s">
        <v>112</v>
      </c>
      <c r="M35" s="6" t="s">
        <v>146</v>
      </c>
      <c r="N35">
        <v>2054</v>
      </c>
      <c r="O35">
        <v>63</v>
      </c>
      <c r="P35">
        <v>996</v>
      </c>
      <c r="Q35">
        <v>996</v>
      </c>
      <c r="R35">
        <v>60</v>
      </c>
    </row>
    <row r="36" spans="1:18">
      <c r="A36">
        <v>31</v>
      </c>
      <c r="B36" t="s">
        <v>36</v>
      </c>
      <c r="C36">
        <f t="shared" si="0"/>
        <v>32</v>
      </c>
      <c r="D36">
        <v>1031</v>
      </c>
      <c r="E36" s="9" t="s">
        <v>334</v>
      </c>
      <c r="F36" t="s">
        <v>287</v>
      </c>
      <c r="G36" t="str">
        <f>掉落权重!E139</f>
        <v>4000157_0_1_467,4000257_0_1_388,4000357_0_1_316,4000457_0_1_158,4000557_0_1_55,4000157_0_1_224,4000257_0_1_186,4000357_0_1_152,4000457_0_1_76,4000557_0_1_26,30000_40001_1_130,30000_40002_1_255,30000_40003_1_235</v>
      </c>
      <c r="H36" t="s">
        <v>717</v>
      </c>
      <c r="I36">
        <v>0</v>
      </c>
      <c r="J36">
        <v>0</v>
      </c>
      <c r="K36">
        <v>100</v>
      </c>
      <c r="L36" t="s">
        <v>113</v>
      </c>
      <c r="M36" s="6" t="s">
        <v>78</v>
      </c>
      <c r="N36">
        <v>2054</v>
      </c>
      <c r="O36">
        <v>63</v>
      </c>
      <c r="P36">
        <v>1044</v>
      </c>
      <c r="Q36">
        <v>1044</v>
      </c>
      <c r="R36">
        <v>62</v>
      </c>
    </row>
    <row r="37" spans="1:18">
      <c r="A37">
        <v>32</v>
      </c>
      <c r="B37" t="s">
        <v>40</v>
      </c>
      <c r="C37">
        <f t="shared" si="0"/>
        <v>33</v>
      </c>
      <c r="D37">
        <v>1032</v>
      </c>
      <c r="E37" s="9" t="s">
        <v>335</v>
      </c>
      <c r="F37" t="s">
        <v>287</v>
      </c>
      <c r="G37" t="str">
        <f>掉落权重!E140</f>
        <v>4000157_0_1_479,4000257_0_1_398,4000357_0_1_325,4000457_0_1_162,4000557_0_1_56,4000160_0_1_212,4000260_0_1_176,4000360_0_1_143,4000460_0_1_72,4000560_0_1_25,30000_40001_1_120,30000_40002_1_250,30000_40003_1_240</v>
      </c>
      <c r="H37" t="s">
        <v>718</v>
      </c>
      <c r="I37">
        <v>0</v>
      </c>
      <c r="J37">
        <v>0</v>
      </c>
      <c r="K37">
        <v>100</v>
      </c>
      <c r="L37" t="s">
        <v>114</v>
      </c>
      <c r="M37" s="6" t="s">
        <v>79</v>
      </c>
      <c r="N37">
        <v>2054</v>
      </c>
      <c r="O37">
        <v>63</v>
      </c>
      <c r="P37">
        <v>1104</v>
      </c>
      <c r="Q37">
        <v>1104</v>
      </c>
      <c r="R37">
        <v>64</v>
      </c>
    </row>
    <row r="38" spans="1:18">
      <c r="A38">
        <v>33</v>
      </c>
      <c r="B38" t="s">
        <v>39</v>
      </c>
      <c r="C38">
        <f t="shared" si="0"/>
        <v>34</v>
      </c>
      <c r="D38">
        <v>1033</v>
      </c>
      <c r="E38" s="9" t="s">
        <v>336</v>
      </c>
      <c r="F38" t="s">
        <v>287</v>
      </c>
      <c r="G38" t="str">
        <f>掉落权重!E141</f>
        <v>4000160_0_1_489,4000260_0_1_406,4000360_0_1_331,4000460_0_1_166,4000560_0_1_57,4000163_0_1_202,4000263_0_1_168,4000363_0_1_137,4000463_0_1_68,4000563_0_1_24,30000_40001_1_120,30000_40002_1_250,30000_40003_1_245</v>
      </c>
      <c r="H38" t="s">
        <v>719</v>
      </c>
      <c r="I38">
        <v>0</v>
      </c>
      <c r="J38">
        <v>0</v>
      </c>
      <c r="K38">
        <v>100</v>
      </c>
      <c r="L38" t="s">
        <v>115</v>
      </c>
      <c r="M38" s="6" t="s">
        <v>80</v>
      </c>
      <c r="N38">
        <v>2054</v>
      </c>
      <c r="O38">
        <v>63</v>
      </c>
      <c r="P38">
        <v>1164</v>
      </c>
      <c r="Q38">
        <v>1164</v>
      </c>
      <c r="R38">
        <v>66</v>
      </c>
    </row>
    <row r="39" spans="1:18">
      <c r="A39">
        <v>34</v>
      </c>
      <c r="B39" t="s">
        <v>37</v>
      </c>
      <c r="C39">
        <f t="shared" si="0"/>
        <v>35</v>
      </c>
      <c r="D39">
        <v>1034</v>
      </c>
      <c r="E39" s="9" t="s">
        <v>337</v>
      </c>
      <c r="F39" t="s">
        <v>287</v>
      </c>
      <c r="G39" t="str">
        <f>掉落权重!E142</f>
        <v>4000163_0_1_498,4000263_0_1_414,4000363_0_1_337,4000463_0_1_169,4000563_0_1_59,4000163_0_1_193,4000263_0_1_161,4000363_0_1_131,4000463_0_1_65,4000563_0_1_22,30000_40001_1_120,30000_40002_1_250,30000_40003_1_250</v>
      </c>
      <c r="H39" t="s">
        <v>720</v>
      </c>
      <c r="I39">
        <v>0</v>
      </c>
      <c r="J39">
        <v>0</v>
      </c>
      <c r="K39">
        <v>100</v>
      </c>
      <c r="L39" t="s">
        <v>116</v>
      </c>
      <c r="M39" s="6" t="s">
        <v>81</v>
      </c>
      <c r="N39">
        <v>2054</v>
      </c>
      <c r="O39">
        <v>63</v>
      </c>
      <c r="P39">
        <v>1224</v>
      </c>
      <c r="Q39">
        <v>1224</v>
      </c>
      <c r="R39">
        <v>68</v>
      </c>
    </row>
    <row r="40" spans="1:18">
      <c r="A40">
        <v>35</v>
      </c>
      <c r="B40" t="s">
        <v>38</v>
      </c>
      <c r="C40">
        <f t="shared" si="0"/>
        <v>36</v>
      </c>
      <c r="D40">
        <v>1035</v>
      </c>
      <c r="E40" s="9" t="s">
        <v>338</v>
      </c>
      <c r="F40" t="s">
        <v>287</v>
      </c>
      <c r="G40" t="str">
        <f>掉落权重!E143</f>
        <v>4000163_0_1_506,4000263_0_1_420,4000363_0_1_343,4000463_0_1_172,4000563_0_1_60,4000165_0_1_185,4000265_0_1_154,4000365_0_1_125,4000465_0_1_62,4000565_0_1_21,30000_40001_1_120,30000_40002_1_250,30000_40003_1_255</v>
      </c>
      <c r="H40" t="s">
        <v>721</v>
      </c>
      <c r="I40">
        <v>0</v>
      </c>
      <c r="J40">
        <v>0</v>
      </c>
      <c r="K40">
        <v>100</v>
      </c>
      <c r="L40" t="s">
        <v>117</v>
      </c>
      <c r="M40" s="6" t="s">
        <v>82</v>
      </c>
      <c r="N40">
        <v>2054</v>
      </c>
      <c r="O40">
        <v>63</v>
      </c>
      <c r="P40">
        <v>1284</v>
      </c>
      <c r="Q40">
        <v>1284</v>
      </c>
      <c r="R40">
        <v>70</v>
      </c>
    </row>
    <row r="41" spans="1:18">
      <c r="A41">
        <v>36</v>
      </c>
      <c r="B41" t="s">
        <v>738</v>
      </c>
      <c r="C41">
        <f>A42</f>
        <v>37</v>
      </c>
      <c r="D41">
        <v>1036</v>
      </c>
      <c r="E41" s="11" t="s">
        <v>756</v>
      </c>
      <c r="F41" t="s">
        <v>287</v>
      </c>
      <c r="G41" t="str">
        <f>掉落权重!E144</f>
        <v>4000167_0_1_522,4000267_0_1_434,4000367_0_1_354,4000467_0_1_177,4000567_0_1_61,4000170_0_1_169,4000270_0_1_140,4000370_0_1_114,4000470_0_1_57,4000570_0_1_20,30000_40001_1_120,30000_40002_1_250,30000_40003_1_260</v>
      </c>
      <c r="H41" t="s">
        <v>833</v>
      </c>
      <c r="I41">
        <v>0</v>
      </c>
      <c r="J41">
        <v>0</v>
      </c>
      <c r="K41">
        <v>100</v>
      </c>
      <c r="L41" t="s">
        <v>773</v>
      </c>
      <c r="M41" s="6" t="s">
        <v>739</v>
      </c>
      <c r="N41">
        <v>2054</v>
      </c>
      <c r="O41">
        <v>63</v>
      </c>
      <c r="P41">
        <v>1344</v>
      </c>
      <c r="Q41">
        <v>1344</v>
      </c>
      <c r="R41">
        <v>72</v>
      </c>
    </row>
    <row r="42" spans="1:18">
      <c r="A42">
        <v>37</v>
      </c>
      <c r="B42" t="s">
        <v>733</v>
      </c>
      <c r="C42">
        <f>A43</f>
        <v>38</v>
      </c>
      <c r="D42">
        <v>1037</v>
      </c>
      <c r="E42" s="11" t="s">
        <v>757</v>
      </c>
      <c r="F42" t="s">
        <v>287</v>
      </c>
      <c r="G42" t="str">
        <f>掉落权重!E145</f>
        <v>4000167_0_1_362,4000267_0_1_301,4000367_0_1_245,4000467_0_1_123,4000567_0_1_43,4000170_0_1_346,4000270_0_1_287,4000370_0_1_234,4000470_0_1_117,4000570_0_1_41,30000_40001_1_120,30000_40002_1_250,30000_40003_1_265</v>
      </c>
      <c r="H42" t="s">
        <v>834</v>
      </c>
      <c r="I42">
        <v>0</v>
      </c>
      <c r="J42">
        <v>0</v>
      </c>
      <c r="K42">
        <v>100</v>
      </c>
      <c r="L42" t="s">
        <v>774</v>
      </c>
      <c r="M42" s="6" t="s">
        <v>740</v>
      </c>
      <c r="N42">
        <v>2150</v>
      </c>
      <c r="O42">
        <v>63</v>
      </c>
      <c r="P42">
        <v>1404</v>
      </c>
      <c r="Q42">
        <v>1404</v>
      </c>
      <c r="R42">
        <v>74</v>
      </c>
    </row>
    <row r="43" spans="1:18">
      <c r="A43">
        <v>38</v>
      </c>
      <c r="B43" t="s">
        <v>732</v>
      </c>
      <c r="C43">
        <f t="shared" ref="C43:C44" si="1">A44</f>
        <v>39</v>
      </c>
      <c r="D43">
        <v>1038</v>
      </c>
      <c r="E43" s="9" t="s">
        <v>758</v>
      </c>
      <c r="F43" t="s">
        <v>287</v>
      </c>
      <c r="G43" t="str">
        <f>掉落权重!E146</f>
        <v>4001072_0_1_560,4002072_0_1_465,4003072_0_1_379,4004072_0_1_190,4005072_0_1_66,4001074_0_1_164,4002074_0_1_136,4003074_0_1_111,4004074_0_1_55,4005074_0_1_19,30000_40001_1_120,30000_40002_1_250,30000_40003_1_270</v>
      </c>
      <c r="H43" t="s">
        <v>835</v>
      </c>
      <c r="I43">
        <v>0</v>
      </c>
      <c r="J43">
        <v>0</v>
      </c>
      <c r="K43">
        <v>100</v>
      </c>
      <c r="L43" t="s">
        <v>775</v>
      </c>
      <c r="M43" s="6" t="s">
        <v>741</v>
      </c>
      <c r="N43">
        <v>2170</v>
      </c>
      <c r="O43">
        <v>63</v>
      </c>
      <c r="P43">
        <v>1464</v>
      </c>
      <c r="Q43">
        <v>1464</v>
      </c>
      <c r="R43">
        <v>76</v>
      </c>
    </row>
    <row r="44" spans="1:18">
      <c r="A44">
        <v>39</v>
      </c>
      <c r="B44" t="s">
        <v>731</v>
      </c>
      <c r="C44">
        <f t="shared" si="1"/>
        <v>40</v>
      </c>
      <c r="D44">
        <v>1039</v>
      </c>
      <c r="E44" s="9" t="s">
        <v>759</v>
      </c>
      <c r="F44" t="s">
        <v>287</v>
      </c>
      <c r="G44" t="str">
        <f>掉落权重!E147</f>
        <v>4001074_0_1_598,4002074_0_1_496,4003074_0_1_405,4004074_0_1_202,4005074_0_1_71,4001076_0_1_133,4002076_0_1_111,4003076_0_1_90,4004076_0_1_45,4005076_0_1_15,30000_40001_1_120,30000_40002_1_250,30000_40003_1_275</v>
      </c>
      <c r="H44" t="s">
        <v>836</v>
      </c>
      <c r="I44">
        <v>0</v>
      </c>
      <c r="J44">
        <v>0</v>
      </c>
      <c r="K44">
        <v>100</v>
      </c>
      <c r="L44" t="s">
        <v>776</v>
      </c>
      <c r="M44" s="6" t="s">
        <v>742</v>
      </c>
      <c r="N44">
        <v>2190</v>
      </c>
      <c r="O44">
        <v>63</v>
      </c>
      <c r="P44">
        <v>1524</v>
      </c>
      <c r="Q44">
        <v>1524</v>
      </c>
      <c r="R44">
        <v>78</v>
      </c>
    </row>
    <row r="45" spans="1:18">
      <c r="A45">
        <v>40</v>
      </c>
      <c r="B45" t="s">
        <v>730</v>
      </c>
      <c r="C45">
        <v>0</v>
      </c>
      <c r="D45">
        <v>1040</v>
      </c>
      <c r="E45" s="9" t="s">
        <v>760</v>
      </c>
      <c r="F45" t="s">
        <v>287</v>
      </c>
      <c r="G45" t="str">
        <f>掉落权重!E148</f>
        <v>4001076_0_1_627,4002076_0_1_521,4003076_0_1_425,4004076_0_1_212,4005076_0_1_74,4001078_0_1_110,4002078_0_1_91,4003078_0_1_75,4004078_0_1_37,4005078_0_1_13,30000_40001_1_120,30000_40002_1_250,30000_40003_1_280</v>
      </c>
      <c r="H45" t="s">
        <v>837</v>
      </c>
      <c r="I45">
        <v>0</v>
      </c>
      <c r="J45">
        <v>0</v>
      </c>
      <c r="K45">
        <v>100</v>
      </c>
      <c r="L45" t="s">
        <v>777</v>
      </c>
      <c r="M45" t="s">
        <v>743</v>
      </c>
      <c r="N45">
        <v>2210</v>
      </c>
      <c r="O45">
        <v>63</v>
      </c>
      <c r="P45">
        <v>1584</v>
      </c>
      <c r="Q45">
        <v>1584</v>
      </c>
      <c r="R45">
        <v>80</v>
      </c>
    </row>
    <row r="46" spans="1:18">
      <c r="A46">
        <v>41</v>
      </c>
      <c r="B46" t="s">
        <v>729</v>
      </c>
      <c r="C46">
        <v>0</v>
      </c>
      <c r="D46">
        <v>1041</v>
      </c>
      <c r="E46" s="9" t="s">
        <v>761</v>
      </c>
      <c r="F46" t="s">
        <v>287</v>
      </c>
      <c r="G46" t="str">
        <f>掉落权重!E149</f>
        <v>4001078_0_1_651,4002078_0_1_541,4003078_0_1_441,4004078_0_1_221,4005078_0_1_77,4001080_0_1_93,4002080_0_1_77,4003080_0_1_63,4004080_0_1_31,4005080_0_1_11,30000_40001_1_120,30000_40002_1_250,30000_40003_1_285</v>
      </c>
      <c r="H46" t="s">
        <v>838</v>
      </c>
      <c r="I46">
        <v>0</v>
      </c>
      <c r="J46">
        <v>0</v>
      </c>
      <c r="K46">
        <v>100</v>
      </c>
      <c r="L46" t="s">
        <v>778</v>
      </c>
      <c r="M46" s="6" t="s">
        <v>744</v>
      </c>
      <c r="N46">
        <v>2230</v>
      </c>
      <c r="O46">
        <v>63</v>
      </c>
      <c r="P46">
        <v>1644</v>
      </c>
      <c r="Q46">
        <v>1644</v>
      </c>
      <c r="R46">
        <v>82</v>
      </c>
    </row>
    <row r="47" spans="1:18">
      <c r="A47">
        <v>42</v>
      </c>
      <c r="B47" t="s">
        <v>728</v>
      </c>
      <c r="C47">
        <v>0</v>
      </c>
      <c r="D47">
        <v>1042</v>
      </c>
      <c r="E47" s="9" t="s">
        <v>762</v>
      </c>
      <c r="F47" t="s">
        <v>287</v>
      </c>
      <c r="G47" t="str">
        <f>掉落权重!E150</f>
        <v>4001080_0_1_676,4002080_0_1_561,4003080_0_1_459,4004080_0_1_229,4005080_0_1_80,4001082_0_1_75,4002082_0_1_62,4003082_0_1_51,4004082_0_1_25,4005082_0_1_8,30000_40001_1_120,30000_40002_1_250,30000_40003_1_290</v>
      </c>
      <c r="H47" t="s">
        <v>839</v>
      </c>
      <c r="I47">
        <v>0</v>
      </c>
      <c r="J47">
        <v>0</v>
      </c>
      <c r="K47">
        <v>100</v>
      </c>
      <c r="L47" t="s">
        <v>779</v>
      </c>
      <c r="M47" s="6" t="s">
        <v>745</v>
      </c>
      <c r="N47">
        <v>2250</v>
      </c>
      <c r="O47">
        <v>63</v>
      </c>
      <c r="P47">
        <v>1704</v>
      </c>
      <c r="Q47">
        <v>1704</v>
      </c>
      <c r="R47">
        <v>84</v>
      </c>
    </row>
    <row r="48" spans="1:18">
      <c r="A48">
        <v>43</v>
      </c>
      <c r="B48" t="s">
        <v>727</v>
      </c>
      <c r="C48">
        <v>0</v>
      </c>
      <c r="D48">
        <v>1043</v>
      </c>
      <c r="E48" s="9" t="s">
        <v>763</v>
      </c>
      <c r="F48" t="s">
        <v>287</v>
      </c>
      <c r="G48" t="str">
        <f>掉落权重!E151</f>
        <v>4001082_0_1_683,4002082_0_1_567,4003082_0_1_462,4004082_0_1_231,4005082_0_1_81,4001084_0_1_75,4002084_0_1_63,4003084_0_1_51,4004084_0_1_25,4005084_0_1_9,30000_40001_1_120,30000_40002_1_250,30000_40003_1_295</v>
      </c>
      <c r="H48" t="s">
        <v>840</v>
      </c>
      <c r="I48">
        <v>0</v>
      </c>
      <c r="J48">
        <v>0</v>
      </c>
      <c r="K48">
        <v>100</v>
      </c>
      <c r="L48" t="s">
        <v>780</v>
      </c>
      <c r="M48" s="6" t="s">
        <v>746</v>
      </c>
      <c r="N48">
        <v>2270</v>
      </c>
      <c r="O48">
        <v>63</v>
      </c>
      <c r="P48">
        <v>1764</v>
      </c>
      <c r="Q48">
        <v>1764</v>
      </c>
      <c r="R48">
        <v>86</v>
      </c>
    </row>
    <row r="49" spans="1:18">
      <c r="A49">
        <v>44</v>
      </c>
      <c r="B49" t="s">
        <v>726</v>
      </c>
      <c r="C49">
        <v>0</v>
      </c>
      <c r="D49">
        <v>1044</v>
      </c>
      <c r="E49" s="9" t="s">
        <v>764</v>
      </c>
      <c r="F49" t="s">
        <v>287</v>
      </c>
      <c r="G49" t="str">
        <f>掉落权重!E152</f>
        <v>4001084_0_1_688,4002084_0_1_572,4003084_0_1_467,4004084_0_1_233,4005084_0_1_81,4001086_0_1_76,4002086_0_1_63,4003086_0_1_51,4004086_0_1_25,4005086_0_1_9,30000_40001_1_120,30000_40002_1_250,30000_40003_1_300</v>
      </c>
      <c r="H49" t="s">
        <v>841</v>
      </c>
      <c r="I49">
        <v>0</v>
      </c>
      <c r="J49">
        <v>0</v>
      </c>
      <c r="K49">
        <v>100</v>
      </c>
      <c r="L49" t="s">
        <v>781</v>
      </c>
      <c r="M49" s="6" t="s">
        <v>747</v>
      </c>
      <c r="N49">
        <v>2290</v>
      </c>
      <c r="O49">
        <v>63</v>
      </c>
      <c r="P49">
        <v>1824</v>
      </c>
      <c r="Q49">
        <v>1824</v>
      </c>
      <c r="R49">
        <v>88</v>
      </c>
    </row>
    <row r="50" spans="1:18">
      <c r="A50">
        <v>45</v>
      </c>
      <c r="B50" t="s">
        <v>725</v>
      </c>
      <c r="C50">
        <v>0</v>
      </c>
      <c r="D50">
        <v>1045</v>
      </c>
      <c r="E50" s="9" t="s">
        <v>765</v>
      </c>
      <c r="F50" t="s">
        <v>287</v>
      </c>
      <c r="G50" t="str">
        <f>掉落权重!E153</f>
        <v>4001086_0_1_694,4002086_0_1_576,4003086_0_1_470,4004086_0_1_235,4005086_0_1_82,4001088_0_1_77,4002088_0_1_64,4003088_0_1_52,4004088_0_1_26,4005088_0_1_9,30000_40001_1_120,30000_40002_1_250,30000_40003_1_305</v>
      </c>
      <c r="H50" t="s">
        <v>842</v>
      </c>
      <c r="I50">
        <v>0</v>
      </c>
      <c r="J50">
        <v>0</v>
      </c>
      <c r="K50">
        <v>100</v>
      </c>
      <c r="L50" t="s">
        <v>782</v>
      </c>
      <c r="M50" s="6" t="s">
        <v>748</v>
      </c>
      <c r="N50">
        <v>2310</v>
      </c>
      <c r="O50">
        <v>63</v>
      </c>
      <c r="P50">
        <v>1884</v>
      </c>
      <c r="Q50">
        <v>1884</v>
      </c>
      <c r="R50">
        <v>90</v>
      </c>
    </row>
    <row r="51" spans="1:18">
      <c r="A51">
        <v>46</v>
      </c>
      <c r="B51" t="s">
        <v>734</v>
      </c>
      <c r="C51">
        <v>0</v>
      </c>
      <c r="D51">
        <v>1046</v>
      </c>
      <c r="E51" s="9" t="s">
        <v>766</v>
      </c>
      <c r="F51" t="s">
        <v>287</v>
      </c>
      <c r="G51" t="str">
        <f>掉落权重!E154</f>
        <v>4001088_0_1_701,4002088_0_1_582,4003088_0_1_475,4004088_0_1_237,4005088_0_1_82,4001090_0_1_77,4002090_0_1_64,4003090_0_1_52,4004090_0_1_26,4005090_0_1_9,30000_40001_1_120,30000_40002_1_250,30000_40003_1_310</v>
      </c>
      <c r="H51" t="s">
        <v>843</v>
      </c>
      <c r="I51">
        <v>0</v>
      </c>
      <c r="J51">
        <v>0</v>
      </c>
      <c r="K51">
        <v>100</v>
      </c>
      <c r="L51" t="s">
        <v>783</v>
      </c>
      <c r="M51" s="6" t="s">
        <v>749</v>
      </c>
      <c r="N51">
        <v>2330</v>
      </c>
      <c r="O51">
        <v>63</v>
      </c>
      <c r="P51">
        <v>1944</v>
      </c>
      <c r="Q51">
        <v>1944</v>
      </c>
      <c r="R51">
        <v>92</v>
      </c>
    </row>
    <row r="52" spans="1:18">
      <c r="A52">
        <v>47</v>
      </c>
      <c r="B52" t="s">
        <v>724</v>
      </c>
      <c r="C52">
        <v>0</v>
      </c>
      <c r="D52">
        <v>1047</v>
      </c>
      <c r="E52" s="9" t="s">
        <v>767</v>
      </c>
      <c r="F52" t="s">
        <v>287</v>
      </c>
      <c r="G52" t="str">
        <f>掉落权重!E155</f>
        <v>4001090_0_1_707,4002090_0_1_586,4003090_0_1_479,4004090_0_1_239,4005090_0_1_83,4001092_0_1_78,4002092_0_1_65,4003092_0_1_53,4004092_0_1_26,4005092_0_1_9,30000_40001_1_120,30000_40002_1_250,30000_40003_1_315</v>
      </c>
      <c r="H52" t="s">
        <v>844</v>
      </c>
      <c r="I52">
        <v>0</v>
      </c>
      <c r="J52">
        <v>0</v>
      </c>
      <c r="K52">
        <v>100</v>
      </c>
      <c r="L52" t="s">
        <v>784</v>
      </c>
      <c r="M52" s="6" t="s">
        <v>750</v>
      </c>
      <c r="N52">
        <v>2350</v>
      </c>
      <c r="O52">
        <v>63</v>
      </c>
      <c r="P52">
        <v>2004</v>
      </c>
      <c r="Q52">
        <v>2004</v>
      </c>
      <c r="R52">
        <v>94</v>
      </c>
    </row>
    <row r="53" spans="1:18">
      <c r="A53">
        <v>48</v>
      </c>
      <c r="B53" t="s">
        <v>735</v>
      </c>
      <c r="C53">
        <v>0</v>
      </c>
      <c r="D53">
        <v>1048</v>
      </c>
      <c r="E53" s="9" t="s">
        <v>768</v>
      </c>
      <c r="F53" t="s">
        <v>287</v>
      </c>
      <c r="G53" t="str">
        <f>掉落权重!E156</f>
        <v>4001092_0_1_712,4002092_0_1_592,4003092_0_1_483,4004092_0_1_242,4005092_0_1_84,4001094_0_1_79,4002094_0_1_65,4003094_0_1_53,4004094_0_1_26,4005094_0_1_9,30000_40001_1_120,30000_40002_1_250,30000_40003_1_320</v>
      </c>
      <c r="H53" t="s">
        <v>845</v>
      </c>
      <c r="I53">
        <v>0</v>
      </c>
      <c r="J53">
        <v>0</v>
      </c>
      <c r="K53">
        <v>100</v>
      </c>
      <c r="L53" t="s">
        <v>785</v>
      </c>
      <c r="M53" s="6" t="s">
        <v>751</v>
      </c>
      <c r="N53">
        <v>2370</v>
      </c>
      <c r="O53">
        <v>63</v>
      </c>
      <c r="P53">
        <v>2064</v>
      </c>
      <c r="Q53">
        <v>2064</v>
      </c>
      <c r="R53">
        <v>96</v>
      </c>
    </row>
    <row r="54" spans="1:18">
      <c r="A54">
        <v>49</v>
      </c>
      <c r="B54" t="s">
        <v>736</v>
      </c>
      <c r="C54">
        <v>0</v>
      </c>
      <c r="D54">
        <v>1049</v>
      </c>
      <c r="E54" s="9" t="s">
        <v>769</v>
      </c>
      <c r="F54" t="s">
        <v>287</v>
      </c>
      <c r="G54" t="str">
        <f>掉落权重!E157</f>
        <v>4001094_0_1_719,4002094_0_1_597,4003094_0_1_487,4004094_0_1_243,4005094_0_1_85,4001096_0_1_79,4002096_0_1_66,4003096_0_1_54,4004096_0_1_27,4005096_0_1_9,30000_40001_1_120,30000_40002_1_250,30000_40003_1_325</v>
      </c>
      <c r="H54" t="s">
        <v>846</v>
      </c>
      <c r="I54">
        <v>0</v>
      </c>
      <c r="J54">
        <v>0</v>
      </c>
      <c r="K54">
        <v>100</v>
      </c>
      <c r="L54" t="s">
        <v>786</v>
      </c>
      <c r="M54" s="6" t="s">
        <v>752</v>
      </c>
      <c r="N54">
        <v>2390</v>
      </c>
      <c r="O54">
        <v>63</v>
      </c>
      <c r="P54">
        <v>2124</v>
      </c>
      <c r="Q54">
        <v>2124</v>
      </c>
      <c r="R54">
        <v>98</v>
      </c>
    </row>
    <row r="55" spans="1:18">
      <c r="A55">
        <v>50</v>
      </c>
      <c r="B55" t="s">
        <v>737</v>
      </c>
      <c r="C55">
        <v>0</v>
      </c>
      <c r="D55">
        <v>1050</v>
      </c>
      <c r="E55" s="9" t="s">
        <v>770</v>
      </c>
      <c r="F55" t="s">
        <v>287</v>
      </c>
      <c r="G55" t="str">
        <f>掉落权重!E158</f>
        <v>4001096_0_1_725,4002096_0_1_602,4003096_0_1_491,4004096_0_1_245,4005096_0_1_86,4001098_0_1_80,4002098_0_1_66,4003098_0_1_54,4004098_0_1_27,4005098_0_1_9,30000_40001_1_120,30000_40002_1_250,30000_40003_1_330</v>
      </c>
      <c r="H55" t="s">
        <v>847</v>
      </c>
      <c r="I55">
        <v>0</v>
      </c>
      <c r="J55">
        <v>0</v>
      </c>
      <c r="K55">
        <v>100</v>
      </c>
      <c r="L55" t="s">
        <v>787</v>
      </c>
      <c r="M55" s="6" t="s">
        <v>753</v>
      </c>
      <c r="N55">
        <v>2410</v>
      </c>
      <c r="O55">
        <v>63</v>
      </c>
      <c r="P55">
        <v>2184</v>
      </c>
      <c r="Q55">
        <v>2184</v>
      </c>
      <c r="R55">
        <v>100</v>
      </c>
    </row>
    <row r="56" spans="1:18">
      <c r="A56">
        <v>51</v>
      </c>
      <c r="B56" t="s">
        <v>722</v>
      </c>
      <c r="C56">
        <v>0</v>
      </c>
      <c r="D56">
        <v>1051</v>
      </c>
      <c r="E56" s="9" t="s">
        <v>771</v>
      </c>
      <c r="F56" t="s">
        <v>287</v>
      </c>
      <c r="G56" t="str">
        <f>掉落权重!E159</f>
        <v>4001098_0_1_731,4002098_0_1_607,4003098_0_1_495,4004098_0_1_247,4005098_0_1_86,4001098_0_1_81,4002098_0_1_67,4003098_0_1_55,4004098_0_1_27,4005098_0_1_9,30000_40001_1_120,30000_40002_1_250,30000_40003_1_335</v>
      </c>
      <c r="H56" t="s">
        <v>848</v>
      </c>
      <c r="I56">
        <v>0</v>
      </c>
      <c r="J56">
        <v>0</v>
      </c>
      <c r="K56">
        <v>100</v>
      </c>
      <c r="L56" t="s">
        <v>788</v>
      </c>
      <c r="M56" s="6" t="s">
        <v>754</v>
      </c>
      <c r="N56">
        <v>2430</v>
      </c>
      <c r="O56">
        <v>63</v>
      </c>
      <c r="P56">
        <v>2244</v>
      </c>
      <c r="Q56">
        <v>2244</v>
      </c>
      <c r="R56">
        <v>100</v>
      </c>
    </row>
    <row r="57" spans="1:18">
      <c r="A57">
        <v>52</v>
      </c>
      <c r="B57" t="s">
        <v>723</v>
      </c>
      <c r="C57">
        <v>0</v>
      </c>
      <c r="D57">
        <v>1052</v>
      </c>
      <c r="E57" s="9" t="s">
        <v>772</v>
      </c>
      <c r="F57" t="s">
        <v>287</v>
      </c>
      <c r="G57" t="str">
        <f>掉落权重!E160</f>
        <v>4001098_0_1_737,4002098_0_1_612,4003098_0_1_499,4004098_0_1_250,4005098_0_1_87,4001100_0_1_81,4002100_0_1_68,4003100_0_1_55,4004100_0_1_27,4005100_0_1_9,30000_40001_1_121,30000_40002_1_251,30000_40003_1_336</v>
      </c>
      <c r="H57" t="s">
        <v>849</v>
      </c>
      <c r="I57">
        <v>0</v>
      </c>
      <c r="J57">
        <v>0</v>
      </c>
      <c r="K57">
        <v>100</v>
      </c>
      <c r="L57" t="s">
        <v>789</v>
      </c>
      <c r="M57" s="6" t="s">
        <v>755</v>
      </c>
      <c r="N57">
        <v>2450</v>
      </c>
      <c r="O57">
        <v>63</v>
      </c>
      <c r="P57">
        <v>2304</v>
      </c>
      <c r="Q57">
        <v>2304</v>
      </c>
      <c r="R57">
        <v>100</v>
      </c>
    </row>
  </sheetData>
  <phoneticPr fontId="4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3"/>
  <sheetViews>
    <sheetView topLeftCell="A19" workbookViewId="0">
      <selection activeCell="D13" sqref="A1:F53"/>
    </sheetView>
  </sheetViews>
  <sheetFormatPr defaultColWidth="9" defaultRowHeight="13.5"/>
  <cols>
    <col min="4" max="4" width="11.625" customWidth="1"/>
    <col min="5" max="5" width="14" customWidth="1"/>
  </cols>
  <sheetData>
    <row r="1" spans="1:6">
      <c r="A1" t="s">
        <v>0</v>
      </c>
      <c r="B1" t="s">
        <v>303</v>
      </c>
      <c r="C1" t="s">
        <v>2</v>
      </c>
      <c r="D1" t="s">
        <v>45</v>
      </c>
      <c r="E1" t="s">
        <v>46</v>
      </c>
      <c r="F1" t="s">
        <v>56</v>
      </c>
    </row>
    <row r="2" spans="1:6">
      <c r="A2">
        <f>map.xml!A6</f>
        <v>1</v>
      </c>
      <c r="B2" t="str">
        <f>map.xml!B6</f>
        <v>新手试炼</v>
      </c>
      <c r="C2">
        <f>map.xml!D6</f>
        <v>1001</v>
      </c>
      <c r="D2" t="str">
        <f>map.xml!L6</f>
        <v>map/map_001.png</v>
      </c>
      <c r="E2" t="str">
        <f>map.xml!M6</f>
        <v>1-3</v>
      </c>
      <c r="F2">
        <f>map.xml!N6</f>
        <v>920</v>
      </c>
    </row>
    <row r="3" spans="1:6">
      <c r="A3">
        <f>map.xml!A7</f>
        <v>2</v>
      </c>
      <c r="B3" t="str">
        <f>map.xml!B7</f>
        <v>怒焰裂谷</v>
      </c>
      <c r="C3">
        <f>map.xml!D7</f>
        <v>1002</v>
      </c>
      <c r="D3" t="str">
        <f>map.xml!L7</f>
        <v>map/map_002.png</v>
      </c>
      <c r="E3" t="str">
        <f>map.xml!M7</f>
        <v>2-4</v>
      </c>
      <c r="F3">
        <f>map.xml!N7</f>
        <v>920</v>
      </c>
    </row>
    <row r="4" spans="1:6">
      <c r="A4">
        <f>map.xml!A8</f>
        <v>3</v>
      </c>
      <c r="B4" t="str">
        <f>map.xml!B8</f>
        <v>死亡矿井</v>
      </c>
      <c r="C4">
        <f>map.xml!D8</f>
        <v>1003</v>
      </c>
      <c r="D4" t="str">
        <f>map.xml!L8</f>
        <v>map/map_003.png</v>
      </c>
      <c r="E4" t="str">
        <f>map.xml!M8</f>
        <v>3-6</v>
      </c>
      <c r="F4">
        <f>map.xml!N8</f>
        <v>920</v>
      </c>
    </row>
    <row r="5" spans="1:6">
      <c r="A5">
        <f>map.xml!A9</f>
        <v>4</v>
      </c>
      <c r="B5" t="str">
        <f>map.xml!B9</f>
        <v>哀嚎洞穴</v>
      </c>
      <c r="C5">
        <f>map.xml!D9</f>
        <v>1004</v>
      </c>
      <c r="D5" t="str">
        <f>map.xml!L9</f>
        <v>map/map_004.png</v>
      </c>
      <c r="E5" t="str">
        <f>map.xml!M9</f>
        <v>5-8</v>
      </c>
      <c r="F5">
        <f>map.xml!N9</f>
        <v>920</v>
      </c>
    </row>
    <row r="6" spans="1:6">
      <c r="A6">
        <f>map.xml!A10</f>
        <v>5</v>
      </c>
      <c r="B6" t="str">
        <f>map.xml!B10</f>
        <v>影牙城堡</v>
      </c>
      <c r="C6">
        <f>map.xml!D10</f>
        <v>1005</v>
      </c>
      <c r="D6" t="str">
        <f>map.xml!L10</f>
        <v>map/map_005.png</v>
      </c>
      <c r="E6" t="str">
        <f>map.xml!M10</f>
        <v>7-10</v>
      </c>
      <c r="F6">
        <f>map.xml!N10</f>
        <v>1127</v>
      </c>
    </row>
    <row r="7" spans="1:6">
      <c r="A7">
        <f>map.xml!A11</f>
        <v>6</v>
      </c>
      <c r="B7" t="str">
        <f>map.xml!B11</f>
        <v>黑暗深渊</v>
      </c>
      <c r="C7">
        <f>map.xml!D11</f>
        <v>1006</v>
      </c>
      <c r="D7" t="str">
        <f>map.xml!L11</f>
        <v>map/map_006.png</v>
      </c>
      <c r="E7" t="str">
        <f>map.xml!M11</f>
        <v>9-12</v>
      </c>
      <c r="F7">
        <f>map.xml!N11</f>
        <v>1127</v>
      </c>
    </row>
    <row r="8" spans="1:6">
      <c r="A8">
        <f>map.xml!A12</f>
        <v>7</v>
      </c>
      <c r="B8" t="str">
        <f>map.xml!B12</f>
        <v>暴风城监狱</v>
      </c>
      <c r="C8">
        <f>map.xml!D12</f>
        <v>1007</v>
      </c>
      <c r="D8" t="str">
        <f>map.xml!L12</f>
        <v>map/map_007.png</v>
      </c>
      <c r="E8" t="str">
        <f>map.xml!M12</f>
        <v>11-14</v>
      </c>
      <c r="F8">
        <f>map.xml!N12</f>
        <v>1127</v>
      </c>
    </row>
    <row r="9" spans="1:6">
      <c r="A9">
        <f>map.xml!A13</f>
        <v>8</v>
      </c>
      <c r="B9" t="str">
        <f>map.xml!B13</f>
        <v>剃刀沼泽</v>
      </c>
      <c r="C9">
        <f>map.xml!D13</f>
        <v>1008</v>
      </c>
      <c r="D9" t="str">
        <f>map.xml!L13</f>
        <v>map/map_008.png</v>
      </c>
      <c r="E9" t="str">
        <f>map.xml!M13</f>
        <v>13-16</v>
      </c>
      <c r="F9">
        <f>map.xml!N13</f>
        <v>1160</v>
      </c>
    </row>
    <row r="10" spans="1:6">
      <c r="A10">
        <f>map.xml!A14</f>
        <v>9</v>
      </c>
      <c r="B10" t="str">
        <f>map.xml!B14</f>
        <v>诺莫瑞根</v>
      </c>
      <c r="C10">
        <f>map.xml!D14</f>
        <v>1009</v>
      </c>
      <c r="D10" t="str">
        <f>map.xml!L14</f>
        <v>map/map_009.png</v>
      </c>
      <c r="E10" t="str">
        <f>map.xml!M14</f>
        <v>15-18</v>
      </c>
      <c r="F10">
        <f>map.xml!N14</f>
        <v>1192</v>
      </c>
    </row>
    <row r="11" spans="1:6">
      <c r="A11">
        <f>map.xml!A15</f>
        <v>10</v>
      </c>
      <c r="B11" t="str">
        <f>map.xml!B15</f>
        <v>血色修道院</v>
      </c>
      <c r="C11">
        <f>map.xml!D15</f>
        <v>1010</v>
      </c>
      <c r="D11" t="str">
        <f>map.xml!L15</f>
        <v>map/map_010.png</v>
      </c>
      <c r="E11" t="str">
        <f>map.xml!M15</f>
        <v>17-20</v>
      </c>
      <c r="F11">
        <f>map.xml!N15</f>
        <v>1224</v>
      </c>
    </row>
    <row r="12" spans="1:6">
      <c r="A12">
        <f>map.xml!A16</f>
        <v>11</v>
      </c>
      <c r="B12" t="str">
        <f>map.xml!B16</f>
        <v>剃刀高地</v>
      </c>
      <c r="C12">
        <f>map.xml!D16</f>
        <v>1011</v>
      </c>
      <c r="D12" t="str">
        <f>map.xml!L16</f>
        <v>map/map_011.png</v>
      </c>
      <c r="E12" t="str">
        <f>map.xml!M16</f>
        <v>19-22</v>
      </c>
      <c r="F12">
        <f>map.xml!N16</f>
        <v>1217</v>
      </c>
    </row>
    <row r="13" spans="1:6">
      <c r="A13">
        <f>map.xml!A17</f>
        <v>12</v>
      </c>
      <c r="B13" t="str">
        <f>map.xml!B17</f>
        <v>奥达曼</v>
      </c>
      <c r="C13">
        <f>map.xml!D17</f>
        <v>1012</v>
      </c>
      <c r="D13" t="str">
        <f>map.xml!L17</f>
        <v>map/map_012.png</v>
      </c>
      <c r="E13" t="str">
        <f>map.xml!M17</f>
        <v>21-24</v>
      </c>
      <c r="F13">
        <f>map.xml!N17</f>
        <v>1248</v>
      </c>
    </row>
    <row r="14" spans="1:6">
      <c r="A14">
        <f>map.xml!A18</f>
        <v>13</v>
      </c>
      <c r="B14" t="str">
        <f>map.xml!B18</f>
        <v>祖尔法拉克</v>
      </c>
      <c r="C14">
        <f>map.xml!D18</f>
        <v>1013</v>
      </c>
      <c r="D14" t="str">
        <f>map.xml!L18</f>
        <v>map/map_013.png</v>
      </c>
      <c r="E14" t="str">
        <f>map.xml!M18</f>
        <v>23-26</v>
      </c>
      <c r="F14">
        <f>map.xml!N18</f>
        <v>1620</v>
      </c>
    </row>
    <row r="15" spans="1:6">
      <c r="A15">
        <f>map.xml!A19</f>
        <v>14</v>
      </c>
      <c r="B15" t="str">
        <f>map.xml!B19</f>
        <v>玛拉顿</v>
      </c>
      <c r="C15">
        <f>map.xml!D19</f>
        <v>1014</v>
      </c>
      <c r="D15" t="str">
        <f>map.xml!L19</f>
        <v>map/map_014.png</v>
      </c>
      <c r="E15" t="str">
        <f>map.xml!M19</f>
        <v>25-28</v>
      </c>
      <c r="F15">
        <f>map.xml!N19</f>
        <v>1610</v>
      </c>
    </row>
    <row r="16" spans="1:6">
      <c r="A16">
        <f>map.xml!A20</f>
        <v>15</v>
      </c>
      <c r="B16" t="str">
        <f>map.xml!B20</f>
        <v>沉没的神庙</v>
      </c>
      <c r="C16">
        <f>map.xml!D20</f>
        <v>1015</v>
      </c>
      <c r="D16" t="str">
        <f>map.xml!L20</f>
        <v>map/map_015.png</v>
      </c>
      <c r="E16" t="str">
        <f>map.xml!M20</f>
        <v>27-30</v>
      </c>
      <c r="F16">
        <f>map.xml!N20</f>
        <v>1600</v>
      </c>
    </row>
    <row r="17" spans="1:6">
      <c r="A17">
        <f>map.xml!A21</f>
        <v>16</v>
      </c>
      <c r="B17" t="str">
        <f>map.xml!B21</f>
        <v>厄运之槌</v>
      </c>
      <c r="C17">
        <f>map.xml!D21</f>
        <v>1016</v>
      </c>
      <c r="D17" t="str">
        <f>map.xml!L21</f>
        <v>map/map_016.png</v>
      </c>
      <c r="E17" t="str">
        <f>map.xml!M21</f>
        <v>29-32</v>
      </c>
      <c r="F17">
        <f>map.xml!N21</f>
        <v>1739</v>
      </c>
    </row>
    <row r="18" spans="1:6">
      <c r="A18">
        <f>map.xml!A22</f>
        <v>17</v>
      </c>
      <c r="B18" t="str">
        <f>map.xml!B22</f>
        <v>黑石深渊</v>
      </c>
      <c r="C18">
        <f>map.xml!D22</f>
        <v>1017</v>
      </c>
      <c r="D18" t="str">
        <f>map.xml!L22</f>
        <v>map/map_017.png</v>
      </c>
      <c r="E18" t="str">
        <f>map.xml!M22</f>
        <v>31-34</v>
      </c>
      <c r="F18">
        <f>map.xml!N22</f>
        <v>1765</v>
      </c>
    </row>
    <row r="19" spans="1:6">
      <c r="A19">
        <f>map.xml!A23</f>
        <v>18</v>
      </c>
      <c r="B19" t="str">
        <f>map.xml!B23</f>
        <v>斯坦索姆</v>
      </c>
      <c r="C19">
        <f>map.xml!D23</f>
        <v>1018</v>
      </c>
      <c r="D19" t="str">
        <f>map.xml!L23</f>
        <v>map/map_018.png</v>
      </c>
      <c r="E19" t="str">
        <f>map.xml!M23</f>
        <v>33-36</v>
      </c>
      <c r="F19">
        <f>map.xml!N23</f>
        <v>1791</v>
      </c>
    </row>
    <row r="20" spans="1:6">
      <c r="A20">
        <f>map.xml!A24</f>
        <v>19</v>
      </c>
      <c r="B20" t="str">
        <f>map.xml!B24</f>
        <v>通灵学院</v>
      </c>
      <c r="C20">
        <f>map.xml!D24</f>
        <v>1019</v>
      </c>
      <c r="D20" t="str">
        <f>map.xml!L24</f>
        <v>map/map_019.png</v>
      </c>
      <c r="E20" t="str">
        <f>map.xml!M24</f>
        <v>35-38</v>
      </c>
      <c r="F20">
        <f>map.xml!N24</f>
        <v>1816</v>
      </c>
    </row>
    <row r="21" spans="1:6">
      <c r="A21">
        <f>map.xml!A25</f>
        <v>20</v>
      </c>
      <c r="B21" t="str">
        <f>map.xml!B25</f>
        <v>黑石塔</v>
      </c>
      <c r="C21">
        <f>map.xml!D25</f>
        <v>1020</v>
      </c>
      <c r="D21" t="str">
        <f>map.xml!L25</f>
        <v>map/map_020.png</v>
      </c>
      <c r="E21" t="str">
        <f>map.xml!M25</f>
        <v>37-40</v>
      </c>
      <c r="F21">
        <f>map.xml!N25</f>
        <v>1840</v>
      </c>
    </row>
    <row r="22" spans="1:6">
      <c r="A22">
        <f>map.xml!A26</f>
        <v>21</v>
      </c>
      <c r="B22" t="str">
        <f>map.xml!B26</f>
        <v>地狱火城墙</v>
      </c>
      <c r="C22">
        <f>map.xml!D26</f>
        <v>1021</v>
      </c>
      <c r="D22" t="str">
        <f>map.xml!L26</f>
        <v>map/map_021.png</v>
      </c>
      <c r="E22" t="str">
        <f>map.xml!M26</f>
        <v>39-42</v>
      </c>
      <c r="F22">
        <f>map.xml!N26</f>
        <v>1864</v>
      </c>
    </row>
    <row r="23" spans="1:6">
      <c r="A23">
        <f>map.xml!A27</f>
        <v>22</v>
      </c>
      <c r="B23" t="str">
        <f>map.xml!B27</f>
        <v>鲜血熔炉</v>
      </c>
      <c r="C23">
        <f>map.xml!D27</f>
        <v>1022</v>
      </c>
      <c r="D23" t="str">
        <f>map.xml!L27</f>
        <v>map/map_022.png</v>
      </c>
      <c r="E23" t="str">
        <f>map.xml!M27</f>
        <v>41-44</v>
      </c>
      <c r="F23">
        <f>map.xml!N27</f>
        <v>1888</v>
      </c>
    </row>
    <row r="24" spans="1:6">
      <c r="A24">
        <f>map.xml!A28</f>
        <v>23</v>
      </c>
      <c r="B24" t="str">
        <f>map.xml!B28</f>
        <v>奴隶围栏</v>
      </c>
      <c r="C24">
        <f>map.xml!D28</f>
        <v>1023</v>
      </c>
      <c r="D24" t="str">
        <f>map.xml!L28</f>
        <v>map/map_023.png</v>
      </c>
      <c r="E24" t="str">
        <f>map.xml!M28</f>
        <v>43-46</v>
      </c>
      <c r="F24">
        <f>map.xml!N28</f>
        <v>1946</v>
      </c>
    </row>
    <row r="25" spans="1:6">
      <c r="A25">
        <f>map.xml!A29</f>
        <v>24</v>
      </c>
      <c r="B25" t="str">
        <f>map.xml!B29</f>
        <v>幽暗沼泽</v>
      </c>
      <c r="C25">
        <f>map.xml!D29</f>
        <v>1024</v>
      </c>
      <c r="D25" t="str">
        <f>map.xml!L29</f>
        <v>map/map_024.png</v>
      </c>
      <c r="E25" t="str">
        <f>map.xml!M29</f>
        <v>45-48</v>
      </c>
      <c r="F25">
        <f>map.xml!N29</f>
        <v>2004</v>
      </c>
    </row>
    <row r="26" spans="1:6">
      <c r="A26">
        <f>map.xml!A30</f>
        <v>25</v>
      </c>
      <c r="B26" t="str">
        <f>map.xml!B30</f>
        <v>法力陵墓</v>
      </c>
      <c r="C26">
        <f>map.xml!D30</f>
        <v>1025</v>
      </c>
      <c r="D26" t="str">
        <f>map.xml!L30</f>
        <v>map/map_025.png</v>
      </c>
      <c r="E26" t="str">
        <f>map.xml!M30</f>
        <v>47-50</v>
      </c>
      <c r="F26">
        <f>map.xml!N30</f>
        <v>2004</v>
      </c>
    </row>
    <row r="27" spans="1:6">
      <c r="A27">
        <f>map.xml!A31</f>
        <v>26</v>
      </c>
      <c r="B27" t="str">
        <f>map.xml!B31</f>
        <v>奥金尼地穴</v>
      </c>
      <c r="C27">
        <f>map.xml!D31</f>
        <v>1026</v>
      </c>
      <c r="D27" t="str">
        <f>map.xml!L31</f>
        <v>map/map_026.png</v>
      </c>
      <c r="E27" t="str">
        <f>map.xml!M31</f>
        <v>49-52</v>
      </c>
      <c r="F27">
        <f>map.xml!N31</f>
        <v>2004</v>
      </c>
    </row>
    <row r="28" spans="1:6">
      <c r="A28">
        <f>map.xml!A32</f>
        <v>27</v>
      </c>
      <c r="B28" t="str">
        <f>map.xml!B32</f>
        <v>旧希尔布拉德丘陵</v>
      </c>
      <c r="C28">
        <f>map.xml!D32</f>
        <v>1027</v>
      </c>
      <c r="D28" t="str">
        <f>map.xml!L32</f>
        <v>map/map_027.png</v>
      </c>
      <c r="E28" t="str">
        <f>map.xml!M32</f>
        <v>51-54</v>
      </c>
      <c r="F28">
        <f>map.xml!N32</f>
        <v>2054</v>
      </c>
    </row>
    <row r="29" spans="1:6">
      <c r="A29">
        <f>map.xml!A33</f>
        <v>28</v>
      </c>
      <c r="B29" t="str">
        <f>map.xml!B33</f>
        <v>塞泰克大厅</v>
      </c>
      <c r="C29">
        <f>map.xml!D33</f>
        <v>1028</v>
      </c>
      <c r="D29" t="str">
        <f>map.xml!L33</f>
        <v>map/map_028.png</v>
      </c>
      <c r="E29" t="str">
        <f>map.xml!M33</f>
        <v>53-56</v>
      </c>
      <c r="F29">
        <f>map.xml!N33</f>
        <v>2054</v>
      </c>
    </row>
    <row r="30" spans="1:6">
      <c r="A30">
        <f>map.xml!A34</f>
        <v>29</v>
      </c>
      <c r="B30" t="str">
        <f>map.xml!B34</f>
        <v>暗影迷宫</v>
      </c>
      <c r="C30">
        <f>map.xml!D34</f>
        <v>1029</v>
      </c>
      <c r="D30" t="str">
        <f>map.xml!L34</f>
        <v>map/map_029.png</v>
      </c>
      <c r="E30" t="str">
        <f>map.xml!M34</f>
        <v>55_58</v>
      </c>
      <c r="F30">
        <f>map.xml!N34</f>
        <v>2054</v>
      </c>
    </row>
    <row r="31" spans="1:6">
      <c r="A31">
        <f>map.xml!A35</f>
        <v>30</v>
      </c>
      <c r="B31" t="str">
        <f>map.xml!B35</f>
        <v>蒸汽地窖</v>
      </c>
      <c r="C31">
        <f>map.xml!D35</f>
        <v>1030</v>
      </c>
      <c r="D31" t="str">
        <f>map.xml!L35</f>
        <v>map/map_030.png</v>
      </c>
      <c r="E31" t="str">
        <f>map.xml!M35</f>
        <v>57-60</v>
      </c>
      <c r="F31">
        <f>map.xml!N35</f>
        <v>2054</v>
      </c>
    </row>
    <row r="32" spans="1:6">
      <c r="A32">
        <f>map.xml!A36</f>
        <v>31</v>
      </c>
      <c r="B32" t="str">
        <f>map.xml!B36</f>
        <v>能源舰</v>
      </c>
      <c r="C32">
        <f>map.xml!D36</f>
        <v>1031</v>
      </c>
      <c r="D32" t="str">
        <f>map.xml!L36</f>
        <v>map/map_031.png</v>
      </c>
      <c r="E32" t="str">
        <f>map.xml!M36</f>
        <v>59-62</v>
      </c>
      <c r="F32">
        <f>map.xml!N36</f>
        <v>2054</v>
      </c>
    </row>
    <row r="33" spans="1:6">
      <c r="A33">
        <f>map.xml!A37</f>
        <v>32</v>
      </c>
      <c r="B33" t="str">
        <f>map.xml!B37</f>
        <v>生态船</v>
      </c>
      <c r="C33">
        <f>map.xml!D37</f>
        <v>1032</v>
      </c>
      <c r="D33" t="str">
        <f>map.xml!L37</f>
        <v>map/map_032.png</v>
      </c>
      <c r="E33" t="str">
        <f>map.xml!M37</f>
        <v>61-64</v>
      </c>
      <c r="F33">
        <f>map.xml!N37</f>
        <v>2054</v>
      </c>
    </row>
    <row r="34" spans="1:6">
      <c r="A34">
        <f>map.xml!A38</f>
        <v>33</v>
      </c>
      <c r="B34" t="str">
        <f>map.xml!B38</f>
        <v>禁魔监狱</v>
      </c>
      <c r="C34">
        <f>map.xml!D38</f>
        <v>1033</v>
      </c>
      <c r="D34" t="str">
        <f>map.xml!L38</f>
        <v>map/map_033.png</v>
      </c>
      <c r="E34" t="str">
        <f>map.xml!M38</f>
        <v>63-66</v>
      </c>
      <c r="F34">
        <f>map.xml!N38</f>
        <v>2054</v>
      </c>
    </row>
    <row r="35" spans="1:6">
      <c r="A35">
        <f>map.xml!A39</f>
        <v>34</v>
      </c>
      <c r="B35" t="str">
        <f>map.xml!B39</f>
        <v>破碎大厅</v>
      </c>
      <c r="C35">
        <f>map.xml!D39</f>
        <v>1034</v>
      </c>
      <c r="D35" t="str">
        <f>map.xml!L39</f>
        <v>map/map_034.png</v>
      </c>
      <c r="E35" t="str">
        <f>map.xml!M39</f>
        <v>65-68</v>
      </c>
      <c r="F35">
        <f>map.xml!N39</f>
        <v>2054</v>
      </c>
    </row>
    <row r="36" spans="1:6">
      <c r="A36">
        <f>map.xml!A40</f>
        <v>35</v>
      </c>
      <c r="B36" t="str">
        <f>map.xml!B40</f>
        <v>黑色沼泽</v>
      </c>
      <c r="C36">
        <f>map.xml!D40</f>
        <v>1035</v>
      </c>
      <c r="D36" t="str">
        <f>map.xml!L40</f>
        <v>map/map_035.png</v>
      </c>
      <c r="E36" t="str">
        <f>map.xml!M40</f>
        <v>67-70</v>
      </c>
      <c r="F36">
        <f>map.xml!N40</f>
        <v>2054</v>
      </c>
    </row>
    <row r="37" spans="1:6">
      <c r="A37">
        <f>map.xml!A41</f>
        <v>36</v>
      </c>
      <c r="B37" t="str">
        <f>map.xml!B41</f>
        <v>魔导师平台</v>
      </c>
      <c r="C37">
        <f>map.xml!D41</f>
        <v>1036</v>
      </c>
      <c r="D37" t="str">
        <f>map.xml!L41</f>
        <v>map/map_036.png</v>
      </c>
      <c r="E37" t="str">
        <f>map.xml!M41</f>
        <v>69-72</v>
      </c>
      <c r="F37">
        <f>map.xml!N41</f>
        <v>2054</v>
      </c>
    </row>
    <row r="38" spans="1:6">
      <c r="A38">
        <f>map.xml!A42</f>
        <v>37</v>
      </c>
      <c r="B38" t="str">
        <f>map.xml!B42</f>
        <v>乌特加德城堡</v>
      </c>
      <c r="C38">
        <f>map.xml!D42</f>
        <v>1037</v>
      </c>
      <c r="D38" t="str">
        <f>map.xml!L42</f>
        <v>map/map_037.png</v>
      </c>
      <c r="E38" t="str">
        <f>map.xml!M42</f>
        <v>71-74</v>
      </c>
      <c r="F38">
        <f>map.xml!N42</f>
        <v>2150</v>
      </c>
    </row>
    <row r="39" spans="1:6">
      <c r="A39">
        <f>map.xml!A43</f>
        <v>38</v>
      </c>
      <c r="B39" t="str">
        <f>map.xml!B43</f>
        <v>魔枢</v>
      </c>
      <c r="C39">
        <f>map.xml!D43</f>
        <v>1038</v>
      </c>
      <c r="D39" t="str">
        <f>map.xml!L43</f>
        <v>map/map_038.png</v>
      </c>
      <c r="E39" t="str">
        <f>map.xml!M43</f>
        <v>73-76</v>
      </c>
      <c r="F39">
        <f>map.xml!N43</f>
        <v>2170</v>
      </c>
    </row>
    <row r="40" spans="1:6">
      <c r="A40">
        <f>map.xml!A44</f>
        <v>39</v>
      </c>
      <c r="B40" t="str">
        <f>map.xml!B44</f>
        <v>艾卓-尼鲁布</v>
      </c>
      <c r="C40">
        <f>map.xml!D44</f>
        <v>1039</v>
      </c>
      <c r="D40" t="str">
        <f>map.xml!L44</f>
        <v>map/map_039.png</v>
      </c>
      <c r="E40" t="str">
        <f>map.xml!M44</f>
        <v>75-78</v>
      </c>
      <c r="F40">
        <f>map.xml!N44</f>
        <v>2190</v>
      </c>
    </row>
    <row r="41" spans="1:6">
      <c r="A41">
        <f>map.xml!A45</f>
        <v>40</v>
      </c>
      <c r="B41" t="str">
        <f>map.xml!B45</f>
        <v>安卡赫特：古代王国</v>
      </c>
      <c r="C41">
        <f>map.xml!D45</f>
        <v>1040</v>
      </c>
      <c r="D41" t="str">
        <f>map.xml!L45</f>
        <v>map/map_040.png</v>
      </c>
      <c r="E41" t="str">
        <f>map.xml!M45</f>
        <v>77-80</v>
      </c>
      <c r="F41">
        <f>map.xml!N45</f>
        <v>2210</v>
      </c>
    </row>
    <row r="42" spans="1:6">
      <c r="A42">
        <f>map.xml!A46</f>
        <v>41</v>
      </c>
      <c r="B42" t="str">
        <f>map.xml!B46</f>
        <v>达克萨隆要塞</v>
      </c>
      <c r="C42">
        <f>map.xml!D46</f>
        <v>1041</v>
      </c>
      <c r="D42" t="str">
        <f>map.xml!L46</f>
        <v>map/map_041.png</v>
      </c>
      <c r="E42" t="str">
        <f>map.xml!M46</f>
        <v>79-82</v>
      </c>
      <c r="F42">
        <f>map.xml!N46</f>
        <v>2230</v>
      </c>
    </row>
    <row r="43" spans="1:6">
      <c r="A43">
        <f>map.xml!A47</f>
        <v>42</v>
      </c>
      <c r="B43" t="str">
        <f>map.xml!B47</f>
        <v>紫罗兰监狱</v>
      </c>
      <c r="C43">
        <f>map.xml!D47</f>
        <v>1042</v>
      </c>
      <c r="D43" t="str">
        <f>map.xml!L47</f>
        <v>map/map_042.png</v>
      </c>
      <c r="E43" t="str">
        <f>map.xml!M47</f>
        <v>81-84</v>
      </c>
      <c r="F43">
        <f>map.xml!N47</f>
        <v>2250</v>
      </c>
    </row>
    <row r="44" spans="1:6">
      <c r="A44">
        <f>map.xml!A48</f>
        <v>43</v>
      </c>
      <c r="B44" t="str">
        <f>map.xml!B48</f>
        <v>古达克</v>
      </c>
      <c r="C44">
        <f>map.xml!D48</f>
        <v>1043</v>
      </c>
      <c r="D44" t="str">
        <f>map.xml!L48</f>
        <v>map/map_043.png</v>
      </c>
      <c r="E44" t="str">
        <f>map.xml!M48</f>
        <v>83-86</v>
      </c>
      <c r="F44">
        <f>map.xml!N48</f>
        <v>2270</v>
      </c>
    </row>
    <row r="45" spans="1:6">
      <c r="A45">
        <f>map.xml!A49</f>
        <v>44</v>
      </c>
      <c r="B45" t="str">
        <f>map.xml!B49</f>
        <v>岩石大厅</v>
      </c>
      <c r="C45">
        <f>map.xml!D49</f>
        <v>1044</v>
      </c>
      <c r="D45" t="str">
        <f>map.xml!L49</f>
        <v>map/map_044.png</v>
      </c>
      <c r="E45" t="str">
        <f>map.xml!M49</f>
        <v>85-88</v>
      </c>
      <c r="F45">
        <f>map.xml!N49</f>
        <v>2290</v>
      </c>
    </row>
    <row r="46" spans="1:6">
      <c r="A46">
        <f>map.xml!A50</f>
        <v>45</v>
      </c>
      <c r="B46" t="str">
        <f>map.xml!B50</f>
        <v>魔环</v>
      </c>
      <c r="C46">
        <f>map.xml!D50</f>
        <v>1045</v>
      </c>
      <c r="D46" t="str">
        <f>map.xml!L50</f>
        <v>map/map_045.png</v>
      </c>
      <c r="E46" t="str">
        <f>map.xml!M50</f>
        <v>87-90</v>
      </c>
      <c r="F46">
        <f>map.xml!N50</f>
        <v>2310</v>
      </c>
    </row>
    <row r="47" spans="1:6">
      <c r="A47">
        <f>map.xml!A51</f>
        <v>46</v>
      </c>
      <c r="B47" t="str">
        <f>map.xml!B51</f>
        <v>闪电大厅</v>
      </c>
      <c r="C47">
        <f>map.xml!D51</f>
        <v>1046</v>
      </c>
      <c r="D47" t="str">
        <f>map.xml!L51</f>
        <v>map/map_046.png</v>
      </c>
      <c r="E47" t="str">
        <f>map.xml!M51</f>
        <v>89-92</v>
      </c>
      <c r="F47">
        <f>map.xml!N51</f>
        <v>2330</v>
      </c>
    </row>
    <row r="48" spans="1:6">
      <c r="A48">
        <f>map.xml!A52</f>
        <v>47</v>
      </c>
      <c r="B48" t="str">
        <f>map.xml!B52</f>
        <v>乌特加德之巅</v>
      </c>
      <c r="C48">
        <f>map.xml!D52</f>
        <v>1047</v>
      </c>
      <c r="D48" t="str">
        <f>map.xml!L52</f>
        <v>map/map_047.png</v>
      </c>
      <c r="E48" t="str">
        <f>map.xml!M52</f>
        <v>91-94</v>
      </c>
      <c r="F48">
        <f>map.xml!N52</f>
        <v>2350</v>
      </c>
    </row>
    <row r="49" spans="1:6">
      <c r="A49">
        <f>map.xml!A53</f>
        <v>48</v>
      </c>
      <c r="B49" t="str">
        <f>map.xml!B53</f>
        <v>冠军的试炼</v>
      </c>
      <c r="C49">
        <f>map.xml!D53</f>
        <v>1048</v>
      </c>
      <c r="D49" t="str">
        <f>map.xml!L53</f>
        <v>map/map_048.png</v>
      </c>
      <c r="E49" t="str">
        <f>map.xml!M53</f>
        <v>93-96</v>
      </c>
      <c r="F49">
        <f>map.xml!N53</f>
        <v>2370</v>
      </c>
    </row>
    <row r="50" spans="1:6">
      <c r="A50">
        <f>map.xml!A54</f>
        <v>49</v>
      </c>
      <c r="B50" t="str">
        <f>map.xml!B54</f>
        <v>净化斯坦索姆</v>
      </c>
      <c r="C50">
        <f>map.xml!D54</f>
        <v>1049</v>
      </c>
      <c r="D50" t="str">
        <f>map.xml!L54</f>
        <v>map/map_049.png</v>
      </c>
      <c r="E50" t="str">
        <f>map.xml!M54</f>
        <v>95-98</v>
      </c>
      <c r="F50">
        <f>map.xml!N54</f>
        <v>2390</v>
      </c>
    </row>
    <row r="51" spans="1:6">
      <c r="A51">
        <f>map.xml!A55</f>
        <v>50</v>
      </c>
      <c r="B51" t="str">
        <f>map.xml!B55</f>
        <v>萨隆矿坑</v>
      </c>
      <c r="C51">
        <f>map.xml!D55</f>
        <v>1050</v>
      </c>
      <c r="D51" t="str">
        <f>map.xml!L55</f>
        <v>map/map_050.png</v>
      </c>
      <c r="E51" t="str">
        <f>map.xml!M55</f>
        <v>97-100</v>
      </c>
      <c r="F51">
        <f>map.xml!N55</f>
        <v>2410</v>
      </c>
    </row>
    <row r="52" spans="1:6">
      <c r="A52">
        <f>map.xml!A56</f>
        <v>51</v>
      </c>
      <c r="B52" t="str">
        <f>map.xml!B56</f>
        <v>灵魂洪炉</v>
      </c>
      <c r="C52">
        <f>map.xml!D56</f>
        <v>1051</v>
      </c>
      <c r="D52" t="str">
        <f>map.xml!L56</f>
        <v>map/map_051.png</v>
      </c>
      <c r="E52" t="str">
        <f>map.xml!M56</f>
        <v>98-101</v>
      </c>
      <c r="F52">
        <f>map.xml!N56</f>
        <v>2430</v>
      </c>
    </row>
    <row r="53" spans="1:6">
      <c r="A53">
        <f>map.xml!A57</f>
        <v>52</v>
      </c>
      <c r="B53" t="str">
        <f>map.xml!B57</f>
        <v>映像大厅</v>
      </c>
      <c r="C53">
        <f>map.xml!D57</f>
        <v>1052</v>
      </c>
      <c r="D53" t="str">
        <f>map.xml!L57</f>
        <v>map/map_052.png</v>
      </c>
      <c r="E53" t="str">
        <f>map.xml!M57</f>
        <v>99-102</v>
      </c>
      <c r="F53">
        <f>map.xml!N57</f>
        <v>2450</v>
      </c>
    </row>
  </sheetData>
  <phoneticPr fontId="4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N146"/>
  <sheetViews>
    <sheetView topLeftCell="A13" workbookViewId="0">
      <selection activeCell="G22" sqref="G22"/>
    </sheetView>
  </sheetViews>
  <sheetFormatPr defaultRowHeight="13.5"/>
  <cols>
    <col min="1" max="1" width="17.25" bestFit="1" customWidth="1"/>
    <col min="2" max="2" width="16.125" bestFit="1" customWidth="1"/>
    <col min="3" max="3" width="17.25" bestFit="1" customWidth="1"/>
    <col min="4" max="8" width="16.125" bestFit="1" customWidth="1"/>
    <col min="9" max="10" width="15" bestFit="1" customWidth="1"/>
    <col min="11" max="11" width="14.5" customWidth="1"/>
    <col min="12" max="12" width="13.125" customWidth="1"/>
    <col min="13" max="13" width="15.125" customWidth="1"/>
  </cols>
  <sheetData>
    <row r="2" spans="1:14">
      <c r="A2" s="13" t="s">
        <v>164</v>
      </c>
      <c r="B2" s="13"/>
      <c r="C2" s="13"/>
      <c r="D2" s="13"/>
      <c r="E2" s="13"/>
      <c r="F2" s="13"/>
      <c r="G2" s="13"/>
      <c r="H2" s="13"/>
      <c r="I2" s="13"/>
      <c r="J2" s="13"/>
    </row>
    <row r="3" spans="1:14">
      <c r="A3" t="s">
        <v>156</v>
      </c>
      <c r="B3" t="s">
        <v>167</v>
      </c>
      <c r="C3" t="s">
        <v>157</v>
      </c>
      <c r="D3" t="s">
        <v>168</v>
      </c>
      <c r="E3" t="s">
        <v>169</v>
      </c>
      <c r="F3" t="s">
        <v>170</v>
      </c>
      <c r="G3" t="s">
        <v>171</v>
      </c>
      <c r="H3" t="s">
        <v>172</v>
      </c>
      <c r="I3" t="s">
        <v>165</v>
      </c>
      <c r="J3" t="s">
        <v>166</v>
      </c>
      <c r="K3" t="s">
        <v>188</v>
      </c>
      <c r="L3" t="s">
        <v>189</v>
      </c>
      <c r="M3" t="s">
        <v>190</v>
      </c>
      <c r="N3" t="str">
        <f>A3&amp;","&amp;B3&amp;","&amp;C3&amp;","&amp;D3&amp;","&amp;E3&amp;","&amp;F3&amp;","&amp;G3&amp;","&amp;H3&amp;","&amp;I3&amp;","&amp;J3&amp;","&amp;K3&amp;","&amp;L3&amp;","&amp;M3</f>
        <v>4000105_0_1_200,4000110_0_1_120,4000205_0_1_130,4000210_0_1_126,4000305_0_1_64,4000310_0_1_64,4000405_0_1_0,4000410_0_1_0,4000505_0_1_0,4000510_0_1_0,30000_40003_1_205,30000_40002_1_88,30000_40001_1_44</v>
      </c>
    </row>
    <row r="4" spans="1:14">
      <c r="A4" t="s">
        <v>175</v>
      </c>
      <c r="B4" t="s">
        <v>176</v>
      </c>
      <c r="C4" t="s">
        <v>177</v>
      </c>
      <c r="D4" t="s">
        <v>178</v>
      </c>
      <c r="E4" t="s">
        <v>179</v>
      </c>
      <c r="F4" t="s">
        <v>180</v>
      </c>
      <c r="G4" t="s">
        <v>173</v>
      </c>
      <c r="H4" t="s">
        <v>174</v>
      </c>
      <c r="I4" t="s">
        <v>165</v>
      </c>
      <c r="J4" t="s">
        <v>166</v>
      </c>
      <c r="K4" t="s">
        <v>191</v>
      </c>
      <c r="L4" t="s">
        <v>192</v>
      </c>
      <c r="M4" t="s">
        <v>193</v>
      </c>
      <c r="N4" t="str">
        <f t="shared" ref="N4:N33" si="0">A4&amp;","&amp;B4&amp;","&amp;C4&amp;","&amp;D4&amp;","&amp;E4&amp;","&amp;F4&amp;","&amp;G4&amp;","&amp;H4&amp;","&amp;I4&amp;","&amp;J4&amp;","&amp;K4&amp;","&amp;L4&amp;","&amp;M4</f>
        <v>4000105_0_1_175,4000110_0_1_174,4000205_0_1_140,4000210_0_1_139,4000305_0_1_70,4000310_0_1_69,4000405_0_1_0,4000410_0_1_0,4000505_0_1_0,4000510_0_1_0,30000_40003_1_213,30000_40002_1_91,30000_40001_1_45</v>
      </c>
    </row>
    <row r="5" spans="1:14">
      <c r="A5" t="s">
        <v>182</v>
      </c>
      <c r="B5" t="s">
        <v>185</v>
      </c>
      <c r="C5" t="s">
        <v>183</v>
      </c>
      <c r="D5" t="s">
        <v>158</v>
      </c>
      <c r="E5" t="s">
        <v>159</v>
      </c>
      <c r="F5" t="s">
        <v>160</v>
      </c>
      <c r="G5" t="s">
        <v>174</v>
      </c>
      <c r="H5" t="s">
        <v>181</v>
      </c>
      <c r="I5" t="s">
        <v>166</v>
      </c>
      <c r="J5" t="s">
        <v>184</v>
      </c>
      <c r="K5" t="s">
        <v>194</v>
      </c>
      <c r="L5" t="s">
        <v>195</v>
      </c>
      <c r="M5" t="s">
        <v>196</v>
      </c>
      <c r="N5" t="str">
        <f t="shared" si="0"/>
        <v>4000110_0_1_192,4000115_0_1_185,4000210_0_1_125,4000215_0_1_163,4000310_0_1_57,4000315_0_1_74,4000410_0_1_0,4000415_0_1_0,4000510_0_1_0,4000515_0_1_0,30000_40003_1_220,30000_40002_1_94,30000_40001_1_47</v>
      </c>
    </row>
    <row r="6" spans="1:14">
      <c r="A6" t="s">
        <v>186</v>
      </c>
      <c r="B6" t="s">
        <v>161</v>
      </c>
      <c r="C6" t="s">
        <v>187</v>
      </c>
      <c r="D6" t="s">
        <v>163</v>
      </c>
      <c r="E6" t="s">
        <v>159</v>
      </c>
      <c r="F6" t="s">
        <v>162</v>
      </c>
      <c r="G6" t="s">
        <v>174</v>
      </c>
      <c r="H6" t="s">
        <v>181</v>
      </c>
      <c r="I6" t="s">
        <v>166</v>
      </c>
      <c r="J6" t="s">
        <v>184</v>
      </c>
      <c r="K6" t="s">
        <v>197</v>
      </c>
      <c r="L6" t="s">
        <v>198</v>
      </c>
      <c r="M6" t="s">
        <v>199</v>
      </c>
      <c r="N6" t="str">
        <f t="shared" si="0"/>
        <v>4000110_0_1_188,4000115_0_1_198,4000210_0_1_138,4000215_0_1_179,4000310_0_1_57,4000315_0_1_82,4000410_0_1_0,4000415_0_1_0,4000510_0_1_0,4000515_0_1_0,30000_40003_1_228,30000_40002_1_97,30000_40001_1_48</v>
      </c>
    </row>
    <row r="7" spans="1:14">
      <c r="A7" t="s">
        <v>340</v>
      </c>
      <c r="B7" t="s">
        <v>341</v>
      </c>
      <c r="C7" t="s">
        <v>342</v>
      </c>
      <c r="D7" t="s">
        <v>343</v>
      </c>
      <c r="E7" t="s">
        <v>344</v>
      </c>
      <c r="F7" t="s">
        <v>345</v>
      </c>
      <c r="G7" t="s">
        <v>346</v>
      </c>
      <c r="H7" t="s">
        <v>347</v>
      </c>
      <c r="I7" t="s">
        <v>348</v>
      </c>
      <c r="J7" t="s">
        <v>349</v>
      </c>
      <c r="K7" t="s">
        <v>200</v>
      </c>
      <c r="L7" t="s">
        <v>201</v>
      </c>
      <c r="M7" t="s">
        <v>202</v>
      </c>
      <c r="N7" t="str">
        <f t="shared" si="0"/>
        <v>4000115_0_1_188_0,4000120_0_1_214_0,4000215_0_1_134_0,4000220_0_1_191_0,4000315_0_1_57_0,4000320_0_1_87_0,4000415_0_1_0_1,4000420_0_1_0_1,4000515_0_1_0_1,4000520_0_1_0_1,30000_40003_1_235,30000_40002_1_101,30000_40001_1_50</v>
      </c>
    </row>
    <row r="8" spans="1:14">
      <c r="A8" t="s">
        <v>350</v>
      </c>
      <c r="B8" t="s">
        <v>351</v>
      </c>
      <c r="C8" t="s">
        <v>352</v>
      </c>
      <c r="D8" t="s">
        <v>353</v>
      </c>
      <c r="E8" t="s">
        <v>344</v>
      </c>
      <c r="F8" t="s">
        <v>354</v>
      </c>
      <c r="G8" t="s">
        <v>355</v>
      </c>
      <c r="H8" t="s">
        <v>356</v>
      </c>
      <c r="I8" t="s">
        <v>348</v>
      </c>
      <c r="J8" t="s">
        <v>349</v>
      </c>
      <c r="K8" t="s">
        <v>203</v>
      </c>
      <c r="L8" t="s">
        <v>204</v>
      </c>
      <c r="M8" t="s">
        <v>205</v>
      </c>
      <c r="N8" t="str">
        <f t="shared" si="0"/>
        <v>4000115_0_1_157_0,4000120_0_1_231_0,4000215_0_1_100_0,4000220_0_1_204_0,4000315_0_1_57_0,4000320_0_1_95_0,4000415_0_1_38_1,4000420_0_1_38_1,4000515_0_1_0_1,4000520_0_1_0_1,30000_40003_1_243,30000_40002_1_104,30000_40001_1_52</v>
      </c>
    </row>
    <row r="9" spans="1:14">
      <c r="A9" t="s">
        <v>357</v>
      </c>
      <c r="B9" t="s">
        <v>358</v>
      </c>
      <c r="C9" t="s">
        <v>352</v>
      </c>
      <c r="D9" t="s">
        <v>359</v>
      </c>
      <c r="E9" t="s">
        <v>344</v>
      </c>
      <c r="F9" t="s">
        <v>360</v>
      </c>
      <c r="G9" t="s">
        <v>355</v>
      </c>
      <c r="H9" t="s">
        <v>361</v>
      </c>
      <c r="I9" t="s">
        <v>348</v>
      </c>
      <c r="J9" t="s">
        <v>349</v>
      </c>
      <c r="K9" t="s">
        <v>206</v>
      </c>
      <c r="L9" t="s">
        <v>207</v>
      </c>
      <c r="M9" t="s">
        <v>208</v>
      </c>
      <c r="N9" t="str">
        <f t="shared" si="0"/>
        <v>4000115_0_1_156_0,4000120_0_1_243_0,4000215_0_1_100_0,4000220_0_1_214_0,4000315_0_1_57_0,4000320_0_1_100_0,4000415_0_1_38_1,4000420_0_1_40_1,4000515_0_1_0_1,4000520_0_1_0_1,30000_40003_1_251,30000_40002_1_107,30000_40001_1_53</v>
      </c>
    </row>
    <row r="10" spans="1:14">
      <c r="A10" t="s">
        <v>362</v>
      </c>
      <c r="B10" t="s">
        <v>363</v>
      </c>
      <c r="C10" t="s">
        <v>364</v>
      </c>
      <c r="D10" t="s">
        <v>365</v>
      </c>
      <c r="E10" t="s">
        <v>366</v>
      </c>
      <c r="F10" t="s">
        <v>367</v>
      </c>
      <c r="G10" t="s">
        <v>356</v>
      </c>
      <c r="H10" t="s">
        <v>368</v>
      </c>
      <c r="I10" t="s">
        <v>349</v>
      </c>
      <c r="J10" t="s">
        <v>369</v>
      </c>
      <c r="K10" t="s">
        <v>209</v>
      </c>
      <c r="L10" t="s">
        <v>210</v>
      </c>
      <c r="M10" t="s">
        <v>211</v>
      </c>
      <c r="N10" t="str">
        <f t="shared" si="0"/>
        <v>4000120_0_1_158_0,4000125_0_1_275_0,4000220_0_1_100_0,4000225_0_1_240_0,4000320_0_1_57_0,4000325_0_1_113_0,4000420_0_1_38_1,4000425_0_1_47_1,4000520_0_1_0_1,4000525_0_1_0_1,30000_40003_1_258,30000_40002_1_110,30000_40001_1_55</v>
      </c>
    </row>
    <row r="11" spans="1:14">
      <c r="A11" t="s">
        <v>370</v>
      </c>
      <c r="B11" t="s">
        <v>371</v>
      </c>
      <c r="C11" t="s">
        <v>372</v>
      </c>
      <c r="D11" t="s">
        <v>373</v>
      </c>
      <c r="E11" t="s">
        <v>366</v>
      </c>
      <c r="F11" t="s">
        <v>374</v>
      </c>
      <c r="G11" t="s">
        <v>356</v>
      </c>
      <c r="H11" t="s">
        <v>375</v>
      </c>
      <c r="I11" t="s">
        <v>349</v>
      </c>
      <c r="J11" t="s">
        <v>369</v>
      </c>
      <c r="K11" t="s">
        <v>212</v>
      </c>
      <c r="L11" t="s">
        <v>213</v>
      </c>
      <c r="M11" t="s">
        <v>214</v>
      </c>
      <c r="N11" t="str">
        <f t="shared" si="0"/>
        <v>4000120_0_1_155_0,4000125_0_1_282_0,4000220_0_1_103_0,4000225_0_1_245_0,4000320_0_1_57_0,4000325_0_1_115_0,4000420_0_1_38_1,4000425_0_1_48_1,4000520_0_1_0_1,4000525_0_1_0_1,30000_40003_1_266,30000_40002_1_114,30000_40001_1_57</v>
      </c>
    </row>
    <row r="12" spans="1:14">
      <c r="A12" t="s">
        <v>376</v>
      </c>
      <c r="B12" t="s">
        <v>377</v>
      </c>
      <c r="C12" t="s">
        <v>378</v>
      </c>
      <c r="D12" t="s">
        <v>379</v>
      </c>
      <c r="E12" t="s">
        <v>380</v>
      </c>
      <c r="F12" t="s">
        <v>381</v>
      </c>
      <c r="G12" t="s">
        <v>382</v>
      </c>
      <c r="H12" t="s">
        <v>383</v>
      </c>
      <c r="I12" t="s">
        <v>369</v>
      </c>
      <c r="J12" t="s">
        <v>384</v>
      </c>
      <c r="K12" t="s">
        <v>215</v>
      </c>
      <c r="L12" t="s">
        <v>216</v>
      </c>
      <c r="M12" t="s">
        <v>217</v>
      </c>
      <c r="N12" t="str">
        <f t="shared" si="0"/>
        <v>4000125_0_1_155_0,4000130_0_1_320_0,4000225_0_1_104_0,4000230_0_1_276_0,4000325_0_1_57_0,4000330_0_1_131_0,4000425_0_1_38_1,4000430_0_1_56_1,4000525_0_1_0_1,4000530_0_1_0_1,30000_40003_1_273,30000_40002_1_117,30000_40001_1_58</v>
      </c>
    </row>
    <row r="13" spans="1:14">
      <c r="A13" t="s">
        <v>385</v>
      </c>
      <c r="B13" t="s">
        <v>386</v>
      </c>
      <c r="C13" t="s">
        <v>387</v>
      </c>
      <c r="D13" t="s">
        <v>388</v>
      </c>
      <c r="E13" t="s">
        <v>389</v>
      </c>
      <c r="F13" t="s">
        <v>390</v>
      </c>
      <c r="G13" t="s">
        <v>375</v>
      </c>
      <c r="H13" t="s">
        <v>391</v>
      </c>
      <c r="I13" t="s">
        <v>369</v>
      </c>
      <c r="J13" t="s">
        <v>384</v>
      </c>
      <c r="K13" t="s">
        <v>218</v>
      </c>
      <c r="L13" t="s">
        <v>219</v>
      </c>
      <c r="M13" t="s">
        <v>220</v>
      </c>
      <c r="N13" t="str">
        <f t="shared" si="0"/>
        <v>4000125_0_1_247_0,4000130_0_1_241_0,4000225_0_1_197_0,4000230_0_1_193_0,4000325_0_1_96_0,4000330_0_1_97_0,4000425_0_1_48_1,4000430_0_1_48_1,4000525_0_1_0_1,4000530_0_1_0_1,30000_40003_1_281,30000_40002_1_120,30000_40001_1_60</v>
      </c>
    </row>
    <row r="14" spans="1:14">
      <c r="A14" t="s">
        <v>392</v>
      </c>
      <c r="B14" t="s">
        <v>393</v>
      </c>
      <c r="C14" t="s">
        <v>394</v>
      </c>
      <c r="D14" t="s">
        <v>395</v>
      </c>
      <c r="E14" t="s">
        <v>396</v>
      </c>
      <c r="F14" t="s">
        <v>397</v>
      </c>
      <c r="G14" t="s">
        <v>398</v>
      </c>
      <c r="H14" t="s">
        <v>399</v>
      </c>
      <c r="I14" t="s">
        <v>369</v>
      </c>
      <c r="J14" t="s">
        <v>384</v>
      </c>
      <c r="K14" t="s">
        <v>221</v>
      </c>
      <c r="L14" t="s">
        <v>222</v>
      </c>
      <c r="M14" t="s">
        <v>223</v>
      </c>
      <c r="N14" t="str">
        <f t="shared" si="0"/>
        <v>4000125_0_1_267_0,4000130_0_1_261_0,4000225_0_1_214_0,4000230_0_1_209_0,4000325_0_1_105_0,4000330_0_1_104_0,4000425_0_1_52_1,4000430_0_1_52_1,4000525_0_1_0_1,4000530_0_1_0_1,30000_40003_1_289,30000_40002_1_123,30000_40001_1_61</v>
      </c>
    </row>
    <row r="15" spans="1:14">
      <c r="A15" t="s">
        <v>400</v>
      </c>
      <c r="B15" t="s">
        <v>401</v>
      </c>
      <c r="C15" t="s">
        <v>402</v>
      </c>
      <c r="D15" t="s">
        <v>403</v>
      </c>
      <c r="E15" t="s">
        <v>404</v>
      </c>
      <c r="F15" t="s">
        <v>405</v>
      </c>
      <c r="G15" t="s">
        <v>406</v>
      </c>
      <c r="H15" t="s">
        <v>407</v>
      </c>
      <c r="I15" t="s">
        <v>384</v>
      </c>
      <c r="J15" t="s">
        <v>408</v>
      </c>
      <c r="K15" t="s">
        <v>224</v>
      </c>
      <c r="L15" t="s">
        <v>225</v>
      </c>
      <c r="M15" t="s">
        <v>226</v>
      </c>
      <c r="N15" t="str">
        <f t="shared" si="0"/>
        <v>4000130_0_1_273_0,4000135_0_1_269_0,4000230_0_1_220_0,4000235_0_1_214_0,4000330_0_1_107_0,4000335_0_1_107_0,4000430_0_1_54_1,4000435_0_1_53_1,4000530_0_1_0_1,4000535_0_1_0_1,30000_40003_1_296,30000_40002_1_127,30000_40001_1_63</v>
      </c>
    </row>
    <row r="16" spans="1:14">
      <c r="A16" t="s">
        <v>409</v>
      </c>
      <c r="B16" t="s">
        <v>410</v>
      </c>
      <c r="C16" t="s">
        <v>411</v>
      </c>
      <c r="D16" t="s">
        <v>412</v>
      </c>
      <c r="E16" t="s">
        <v>413</v>
      </c>
      <c r="F16" t="s">
        <v>414</v>
      </c>
      <c r="G16" t="s">
        <v>415</v>
      </c>
      <c r="H16" t="s">
        <v>416</v>
      </c>
      <c r="I16" t="s">
        <v>384</v>
      </c>
      <c r="J16" t="s">
        <v>408</v>
      </c>
      <c r="K16" t="s">
        <v>227</v>
      </c>
      <c r="L16" t="s">
        <v>228</v>
      </c>
      <c r="M16" t="s">
        <v>229</v>
      </c>
      <c r="N16" t="str">
        <f t="shared" si="0"/>
        <v>4000130_0_1_295_0,4000135_0_1_288_0,4000230_0_1_237_0,4000235_0_1_231_0,4000330_0_1_116_0,4000335_0_1_115_0,4000430_0_1_58_1,4000435_0_1_57_1,4000530_0_1_0_1,4000535_0_1_0_1,30000_40003_1_304,30000_40002_1_130,30000_40001_1_65</v>
      </c>
    </row>
    <row r="17" spans="1:14">
      <c r="A17" t="s">
        <v>417</v>
      </c>
      <c r="B17" t="s">
        <v>418</v>
      </c>
      <c r="C17" t="s">
        <v>419</v>
      </c>
      <c r="D17" t="s">
        <v>420</v>
      </c>
      <c r="E17" t="s">
        <v>421</v>
      </c>
      <c r="F17" t="s">
        <v>422</v>
      </c>
      <c r="G17" t="s">
        <v>423</v>
      </c>
      <c r="H17" t="s">
        <v>424</v>
      </c>
      <c r="I17" t="s">
        <v>425</v>
      </c>
      <c r="J17" t="s">
        <v>426</v>
      </c>
      <c r="K17" t="s">
        <v>230</v>
      </c>
      <c r="L17" t="s">
        <v>231</v>
      </c>
      <c r="M17" t="s">
        <v>232</v>
      </c>
      <c r="N17" t="str">
        <f t="shared" si="0"/>
        <v>4000135_0_1_297_0,4000140_0_1_296_0,4000235_0_1_237_0,4000240_0_1_237_0,4000335_0_1_118_0,4000340_0_1_119_0,4000435_0_1_59_1,4000440_0_1_59_1,4000535_0_1_6_1,4000540_0_1_5_1,30000_40003_1_311,30000_40002_1_133,30000_40001_1_66</v>
      </c>
    </row>
    <row r="18" spans="1:14">
      <c r="A18" t="s">
        <v>427</v>
      </c>
      <c r="B18" t="s">
        <v>428</v>
      </c>
      <c r="C18" t="s">
        <v>429</v>
      </c>
      <c r="D18" t="s">
        <v>430</v>
      </c>
      <c r="E18" t="s">
        <v>431</v>
      </c>
      <c r="F18" t="s">
        <v>432</v>
      </c>
      <c r="G18" t="s">
        <v>433</v>
      </c>
      <c r="H18" t="s">
        <v>434</v>
      </c>
      <c r="I18" t="s">
        <v>425</v>
      </c>
      <c r="J18" t="s">
        <v>435</v>
      </c>
      <c r="K18" t="s">
        <v>233</v>
      </c>
      <c r="L18" t="s">
        <v>234</v>
      </c>
      <c r="M18" t="s">
        <v>235</v>
      </c>
      <c r="N18" t="str">
        <f t="shared" si="0"/>
        <v>4000135_0_1_319_0,4000140_0_1_318_0,4000235_0_1_255_0,4000240_0_1_255_0,4000335_0_1_128_0,4000340_0_1_127_0,4000435_0_1_64_1,4000440_0_1_63_1,4000535_0_1_6_1,4000540_0_1_6_1,30000_40003_1_319,30000_40002_1_136,30000_40001_1_68</v>
      </c>
    </row>
    <row r="19" spans="1:14">
      <c r="A19" t="s">
        <v>436</v>
      </c>
      <c r="B19" t="s">
        <v>437</v>
      </c>
      <c r="C19" t="s">
        <v>438</v>
      </c>
      <c r="D19" t="s">
        <v>439</v>
      </c>
      <c r="E19" t="s">
        <v>440</v>
      </c>
      <c r="F19" t="s">
        <v>441</v>
      </c>
      <c r="G19" t="s">
        <v>442</v>
      </c>
      <c r="H19" t="s">
        <v>443</v>
      </c>
      <c r="I19" t="s">
        <v>444</v>
      </c>
      <c r="J19" t="s">
        <v>435</v>
      </c>
      <c r="K19" t="s">
        <v>236</v>
      </c>
      <c r="L19" t="s">
        <v>237</v>
      </c>
      <c r="M19" t="s">
        <v>238</v>
      </c>
      <c r="N19" t="str">
        <f t="shared" si="0"/>
        <v>4000135_0_1_326_0,4000140_0_1_326_0,4000235_0_1_261_0,4000240_0_1_261_0,4000335_0_1_131_0,4000340_0_1_130_0,4000435_0_1_65_1,4000440_0_1_65_1,4000535_0_1_7_1,4000540_0_1_6_1,30000_40003_1_327,30000_40002_1_140,30000_40001_1_70</v>
      </c>
    </row>
    <row r="20" spans="1:14">
      <c r="A20" t="s">
        <v>445</v>
      </c>
      <c r="B20" t="s">
        <v>446</v>
      </c>
      <c r="C20" t="s">
        <v>447</v>
      </c>
      <c r="D20" t="s">
        <v>448</v>
      </c>
      <c r="E20" t="s">
        <v>449</v>
      </c>
      <c r="F20" t="s">
        <v>450</v>
      </c>
      <c r="G20" t="s">
        <v>451</v>
      </c>
      <c r="H20" t="s">
        <v>452</v>
      </c>
      <c r="I20" t="s">
        <v>453</v>
      </c>
      <c r="J20" t="s">
        <v>454</v>
      </c>
      <c r="K20" t="s">
        <v>239</v>
      </c>
      <c r="L20" t="s">
        <v>240</v>
      </c>
      <c r="M20" t="s">
        <v>241</v>
      </c>
      <c r="N20" t="str">
        <f t="shared" si="0"/>
        <v>4000140_0_1_357_0,4000145_0_1_356_0,4000240_0_1_285_0,4000245_0_1_285_0,4000340_0_1_143_0,4000345_0_1_142_0,4000440_0_1_71_1,4000445_0_1_71_1,4000540_0_1_7_1,4000545_0_1_7_1,30000_40003_1_334,30000_40002_1_143,30000_40001_1_71</v>
      </c>
    </row>
    <row r="21" spans="1:14">
      <c r="A21" t="s">
        <v>455</v>
      </c>
      <c r="B21" t="s">
        <v>456</v>
      </c>
      <c r="C21" t="s">
        <v>457</v>
      </c>
      <c r="D21" t="s">
        <v>458</v>
      </c>
      <c r="E21" t="s">
        <v>459</v>
      </c>
      <c r="F21" t="s">
        <v>460</v>
      </c>
      <c r="G21" t="s">
        <v>461</v>
      </c>
      <c r="H21" t="s">
        <v>462</v>
      </c>
      <c r="I21" t="s">
        <v>453</v>
      </c>
      <c r="J21" t="s">
        <v>454</v>
      </c>
      <c r="K21" t="s">
        <v>242</v>
      </c>
      <c r="L21" t="s">
        <v>243</v>
      </c>
      <c r="M21" t="s">
        <v>244</v>
      </c>
      <c r="N21" t="str">
        <f t="shared" si="0"/>
        <v>4000140_0_1_370_0,4000145_0_1_366_0,4000240_0_1_295_0,4000245_0_1_294_0,4000340_0_1_147_0,4000345_0_1_147_0,4000440_0_1_74_1,4000445_0_1_73_1,4000540_0_1_7_1,4000545_0_1_7_1,30000_40003_1_342,30000_40002_1_146,30000_40001_1_73</v>
      </c>
    </row>
    <row r="22" spans="1:14">
      <c r="A22" t="s">
        <v>463</v>
      </c>
      <c r="B22" t="s">
        <v>464</v>
      </c>
      <c r="C22" t="s">
        <v>465</v>
      </c>
      <c r="D22" t="s">
        <v>466</v>
      </c>
      <c r="E22" t="s">
        <v>467</v>
      </c>
      <c r="F22" t="s">
        <v>468</v>
      </c>
      <c r="G22" t="s">
        <v>469</v>
      </c>
      <c r="H22" t="s">
        <v>470</v>
      </c>
      <c r="I22" t="s">
        <v>471</v>
      </c>
      <c r="J22" t="s">
        <v>472</v>
      </c>
      <c r="K22" t="s">
        <v>245</v>
      </c>
      <c r="L22" t="s">
        <v>246</v>
      </c>
      <c r="M22" t="s">
        <v>247</v>
      </c>
      <c r="N22" t="str">
        <f t="shared" si="0"/>
        <v>4000145_0_1_380_0,4000150_0_1_380_0,4000245_0_1_304_0,4000250_0_1_304_0,4000345_0_1_152_0,4000350_0_1_152_0,4000445_0_1_76_1,4000450_0_1_76_1,4000545_0_1_8_1,4000550_0_1_7_1,30000_40003_1_350,30000_40002_1_150,30000_40001_1_75</v>
      </c>
    </row>
    <row r="23" spans="1:14">
      <c r="A23" t="s">
        <v>473</v>
      </c>
      <c r="B23" t="s">
        <v>474</v>
      </c>
      <c r="C23" t="s">
        <v>475</v>
      </c>
      <c r="D23" t="s">
        <v>476</v>
      </c>
      <c r="E23" t="s">
        <v>477</v>
      </c>
      <c r="F23" t="s">
        <v>478</v>
      </c>
      <c r="G23" t="s">
        <v>479</v>
      </c>
      <c r="H23" t="s">
        <v>480</v>
      </c>
      <c r="I23" t="s">
        <v>471</v>
      </c>
      <c r="J23" t="s">
        <v>472</v>
      </c>
      <c r="K23" t="s">
        <v>248</v>
      </c>
      <c r="L23" t="s">
        <v>249</v>
      </c>
      <c r="M23" t="s">
        <v>250</v>
      </c>
      <c r="N23" t="str">
        <f t="shared" si="0"/>
        <v>4000145_0_1_396_0,4000150_0_1_396_0,4000245_0_1_317_0,4000250_0_1_316_0,4000345_0_1_158_0,4000350_0_1_158_0,4000445_0_1_79_1,4000450_0_1_79_1,4000545_0_1_8_1,4000550_0_1_7_1,30000_40003_1_357,30000_40002_1_153,30000_40001_1_76</v>
      </c>
    </row>
    <row r="24" spans="1:14">
      <c r="A24" t="s">
        <v>481</v>
      </c>
      <c r="B24" t="s">
        <v>482</v>
      </c>
      <c r="C24" t="s">
        <v>483</v>
      </c>
      <c r="D24" t="s">
        <v>484</v>
      </c>
      <c r="E24" t="s">
        <v>485</v>
      </c>
      <c r="F24" t="s">
        <v>486</v>
      </c>
      <c r="G24" t="s">
        <v>487</v>
      </c>
      <c r="H24" t="s">
        <v>488</v>
      </c>
      <c r="I24" t="s">
        <v>471</v>
      </c>
      <c r="J24" t="s">
        <v>489</v>
      </c>
      <c r="K24" t="s">
        <v>251</v>
      </c>
      <c r="L24" t="s">
        <v>252</v>
      </c>
      <c r="M24" t="s">
        <v>253</v>
      </c>
      <c r="N24" t="str">
        <f t="shared" si="0"/>
        <v>4000145_0_1_412_0,4000150_0_1_412_0,4000245_0_1_330_0,4000250_0_1_329_0,4000345_0_1_165_0,4000350_0_1_164_0,4000445_0_1_82_1,4000450_0_1_82_1,4000545_0_1_8_1,4000550_0_1_8_1,30000_40003_1_365,30000_40002_1_156,30000_40001_1_78</v>
      </c>
    </row>
    <row r="25" spans="1:14">
      <c r="A25" t="s">
        <v>490</v>
      </c>
      <c r="B25" t="s">
        <v>491</v>
      </c>
      <c r="C25" t="s">
        <v>492</v>
      </c>
      <c r="D25" t="s">
        <v>493</v>
      </c>
      <c r="E25" t="s">
        <v>494</v>
      </c>
      <c r="F25" t="s">
        <v>495</v>
      </c>
      <c r="G25" t="s">
        <v>496</v>
      </c>
      <c r="H25" t="s">
        <v>497</v>
      </c>
      <c r="I25" t="s">
        <v>498</v>
      </c>
      <c r="J25" t="s">
        <v>499</v>
      </c>
      <c r="K25" t="s">
        <v>254</v>
      </c>
      <c r="L25" t="s">
        <v>255</v>
      </c>
      <c r="M25" t="s">
        <v>256</v>
      </c>
      <c r="N25" t="str">
        <f t="shared" si="0"/>
        <v>4000150_0_1_444_0,4000155_0_1_444_0,4000250_0_1_355_0,4000255_0_1_355_0,4000350_0_1_177_0,4000355_0_1_178_0,4000450_0_1_89_1,4000455_0_1_88_1,4000550_0_1_9_1,4000555_0_1_8_1,30000_40003_1_372,30000_40002_1_159,30000_40001_1_79</v>
      </c>
    </row>
    <row r="26" spans="1:14">
      <c r="A26" t="s">
        <v>500</v>
      </c>
      <c r="B26" t="s">
        <v>501</v>
      </c>
      <c r="C26" t="s">
        <v>502</v>
      </c>
      <c r="D26" t="s">
        <v>503</v>
      </c>
      <c r="E26" t="s">
        <v>504</v>
      </c>
      <c r="F26" t="s">
        <v>505</v>
      </c>
      <c r="G26" t="s">
        <v>506</v>
      </c>
      <c r="H26" t="s">
        <v>507</v>
      </c>
      <c r="I26" t="s">
        <v>498</v>
      </c>
      <c r="J26" t="s">
        <v>508</v>
      </c>
      <c r="K26" t="s">
        <v>257</v>
      </c>
      <c r="L26" t="s">
        <v>258</v>
      </c>
      <c r="M26" t="s">
        <v>259</v>
      </c>
      <c r="N26" t="str">
        <f t="shared" si="0"/>
        <v>4000150_0_1_453_0,4000155_0_1_453_0,4000250_0_1_363_0,4000255_0_1_362_0,4000350_0_1_181_0,4000355_0_1_181_0,4000450_0_1_91_1,4000455_0_1_90_1,4000550_0_1_9_1,4000555_0_1_9_1,30000_40003_1_380,30000_40002_1_163,30000_40001_1_81</v>
      </c>
    </row>
    <row r="27" spans="1:14">
      <c r="A27" t="s">
        <v>509</v>
      </c>
      <c r="B27" t="s">
        <v>510</v>
      </c>
      <c r="C27" t="s">
        <v>511</v>
      </c>
      <c r="D27" t="s">
        <v>512</v>
      </c>
      <c r="E27" t="s">
        <v>513</v>
      </c>
      <c r="F27" t="s">
        <v>514</v>
      </c>
      <c r="G27" t="s">
        <v>515</v>
      </c>
      <c r="H27" t="s">
        <v>516</v>
      </c>
      <c r="I27" t="s">
        <v>508</v>
      </c>
      <c r="J27" t="s">
        <v>517</v>
      </c>
      <c r="K27" t="s">
        <v>260</v>
      </c>
      <c r="L27" t="s">
        <v>261</v>
      </c>
      <c r="M27" t="s">
        <v>262</v>
      </c>
      <c r="N27" t="str">
        <f t="shared" si="0"/>
        <v>4000155_0_1_463_0,4000160_0_1_462_0,4000255_0_1_370_0,4000260_0_1_370_0,4000355_0_1_185_0,4000360_0_1_185_0,4000455_0_1_93_1,4000460_0_1_92_1,4000555_0_1_9_1,4000560_0_1_9_1,30000_40003_1_388,30000_40002_1_166,30000_40001_1_83</v>
      </c>
    </row>
    <row r="28" spans="1:14">
      <c r="A28" t="s">
        <v>518</v>
      </c>
      <c r="B28" t="s">
        <v>519</v>
      </c>
      <c r="C28" t="s">
        <v>520</v>
      </c>
      <c r="D28" t="s">
        <v>521</v>
      </c>
      <c r="E28" t="s">
        <v>522</v>
      </c>
      <c r="F28" t="s">
        <v>523</v>
      </c>
      <c r="G28" t="s">
        <v>524</v>
      </c>
      <c r="H28" t="s">
        <v>525</v>
      </c>
      <c r="I28" t="s">
        <v>508</v>
      </c>
      <c r="J28" t="s">
        <v>517</v>
      </c>
      <c r="K28" t="s">
        <v>263</v>
      </c>
      <c r="L28" t="s">
        <v>264</v>
      </c>
      <c r="M28" t="s">
        <v>265</v>
      </c>
      <c r="N28" t="str">
        <f t="shared" si="0"/>
        <v>4000155_0_1_472_0,4000160_0_1_471_0,4000255_0_1_377_0,4000260_0_1_377_0,4000355_0_1_189_0,4000360_0_1_188_0,4000455_0_1_94_1,4000460_0_1_94_1,4000555_0_1_9_1,4000560_0_1_9_1,30000_40003_1_395,30000_40002_1_169,30000_40001_1_84</v>
      </c>
    </row>
    <row r="29" spans="1:14">
      <c r="A29" t="s">
        <v>526</v>
      </c>
      <c r="B29" t="s">
        <v>527</v>
      </c>
      <c r="C29" t="s">
        <v>528</v>
      </c>
      <c r="D29" t="s">
        <v>529</v>
      </c>
      <c r="E29" t="s">
        <v>530</v>
      </c>
      <c r="F29" t="s">
        <v>531</v>
      </c>
      <c r="G29" t="s">
        <v>532</v>
      </c>
      <c r="H29" t="s">
        <v>533</v>
      </c>
      <c r="I29" t="s">
        <v>534</v>
      </c>
      <c r="J29" t="s">
        <v>517</v>
      </c>
      <c r="K29" t="s">
        <v>266</v>
      </c>
      <c r="L29" t="s">
        <v>267</v>
      </c>
      <c r="M29" t="s">
        <v>268</v>
      </c>
      <c r="N29" t="str">
        <f t="shared" si="0"/>
        <v>4000155_0_1_481_0,4000160_0_1_480_0,4000255_0_1_385_0,4000260_0_1_384_0,4000355_0_1_192_0,4000360_0_1_192_0,4000455_0_1_96_1,4000460_0_1_96_1,4000555_0_1_10_1,4000560_0_1_9_1,30000_40003_1_403,30000_40002_1_172,30000_40001_1_86</v>
      </c>
    </row>
    <row r="30" spans="1:14">
      <c r="A30" t="s">
        <v>535</v>
      </c>
      <c r="B30" t="s">
        <v>536</v>
      </c>
      <c r="C30" t="s">
        <v>537</v>
      </c>
      <c r="D30" t="s">
        <v>538</v>
      </c>
      <c r="E30" t="s">
        <v>539</v>
      </c>
      <c r="F30" t="s">
        <v>540</v>
      </c>
      <c r="G30" t="s">
        <v>541</v>
      </c>
      <c r="H30" t="s">
        <v>542</v>
      </c>
      <c r="I30" t="s">
        <v>517</v>
      </c>
      <c r="J30" t="s">
        <v>543</v>
      </c>
      <c r="K30" t="s">
        <v>269</v>
      </c>
      <c r="L30" t="s">
        <v>270</v>
      </c>
      <c r="M30" t="s">
        <v>271</v>
      </c>
      <c r="N30" t="str">
        <f t="shared" si="0"/>
        <v>4000160_0_1_490_0,4000165_0_1_490_0,4000260_0_1_392_0,4000265_0_1_392_0,4000360_0_1_196_0,4000365_0_1_196_0,4000460_0_1_98_1,4000465_0_1_98_1,4000560_0_1_9_1,4000565_0_1_10_1,30000_40003_1_410,30000_40002_1_176,30000_40001_1_88</v>
      </c>
    </row>
    <row r="31" spans="1:14">
      <c r="A31" t="s">
        <v>544</v>
      </c>
      <c r="B31" t="s">
        <v>545</v>
      </c>
      <c r="C31" t="s">
        <v>546</v>
      </c>
      <c r="D31" t="s">
        <v>547</v>
      </c>
      <c r="E31" t="s">
        <v>548</v>
      </c>
      <c r="F31" t="s">
        <v>549</v>
      </c>
      <c r="G31" t="s">
        <v>550</v>
      </c>
      <c r="H31" t="s">
        <v>551</v>
      </c>
      <c r="I31" t="s">
        <v>517</v>
      </c>
      <c r="J31" t="s">
        <v>543</v>
      </c>
      <c r="K31" t="s">
        <v>272</v>
      </c>
      <c r="L31" t="s">
        <v>273</v>
      </c>
      <c r="M31" t="s">
        <v>274</v>
      </c>
      <c r="N31" t="str">
        <f t="shared" si="0"/>
        <v>4000160_0_1_499_0,4000165_0_1_499_0,4000260_0_1_399_0,4000265_0_1_399_0,4000360_0_1_200_0,4000365_0_1_200_0,4000460_0_1_100_1,4000465_0_1_100_1,4000560_0_1_9_1,4000565_0_1_10_1,30000_40003_1_418,30000_40002_1_179,30000_40001_1_89</v>
      </c>
    </row>
    <row r="32" spans="1:14">
      <c r="A32" t="s">
        <v>552</v>
      </c>
      <c r="B32" t="s">
        <v>553</v>
      </c>
      <c r="C32" t="s">
        <v>554</v>
      </c>
      <c r="D32" t="s">
        <v>555</v>
      </c>
      <c r="E32" t="s">
        <v>556</v>
      </c>
      <c r="F32" t="s">
        <v>557</v>
      </c>
      <c r="G32" t="s">
        <v>558</v>
      </c>
      <c r="H32" t="s">
        <v>559</v>
      </c>
      <c r="I32" t="s">
        <v>543</v>
      </c>
      <c r="J32" t="s">
        <v>560</v>
      </c>
      <c r="K32" t="s">
        <v>275</v>
      </c>
      <c r="L32" t="s">
        <v>276</v>
      </c>
      <c r="M32" t="s">
        <v>277</v>
      </c>
      <c r="N32" t="str">
        <f t="shared" si="0"/>
        <v>4000165_0_1_508_0,4000170_0_1_508_0,4000265_0_1_407_0,4000270_0_1_406_0,4000365_0_1_203_0,4000370_0_1_203_0,4000465_0_1_102_1,4000470_0_1_101_1,4000565_0_1_10_1,4000570_0_1_10_1,30000_40003_1_426,30000_40002_1_182,30000_40001_1_91</v>
      </c>
    </row>
    <row r="33" spans="1:14">
      <c r="A33" t="s">
        <v>561</v>
      </c>
      <c r="B33" t="s">
        <v>562</v>
      </c>
      <c r="C33" t="s">
        <v>563</v>
      </c>
      <c r="D33" t="s">
        <v>564</v>
      </c>
      <c r="E33" t="s">
        <v>565</v>
      </c>
      <c r="F33" t="s">
        <v>566</v>
      </c>
      <c r="G33" t="s">
        <v>567</v>
      </c>
      <c r="H33" t="s">
        <v>568</v>
      </c>
      <c r="I33" t="s">
        <v>543</v>
      </c>
      <c r="J33" t="s">
        <v>560</v>
      </c>
      <c r="K33" t="s">
        <v>278</v>
      </c>
      <c r="L33" t="s">
        <v>279</v>
      </c>
      <c r="M33" t="s">
        <v>280</v>
      </c>
      <c r="N33" t="str">
        <f t="shared" si="0"/>
        <v>4000165_0_1_518_0,4000170_0_1_517_0,4000265_0_1_414_0,4000270_0_1_414_0,4000365_0_1_207_0,4000370_0_1_207_0,4000465_0_1_104_1,4000470_0_1_103_1,4000565_0_1_10_1,4000570_0_1_10_1,30000_40003_1_433,30000_40002_1_185,30000_40001_1_92</v>
      </c>
    </row>
    <row r="38" spans="1:14">
      <c r="A38">
        <v>1</v>
      </c>
      <c r="B38">
        <v>0</v>
      </c>
      <c r="C38">
        <f>1-A38-B38</f>
        <v>0</v>
      </c>
      <c r="D38" t="str">
        <f>"1_"&amp;A38*10000</f>
        <v>1_10000</v>
      </c>
      <c r="E38" t="str">
        <f>"2_"&amp;B38*10000</f>
        <v>2_0</v>
      </c>
      <c r="F38" t="str">
        <f>"3_"&amp;C38*10000</f>
        <v>3_0</v>
      </c>
      <c r="G38" t="str">
        <f>D38&amp;","&amp;E38&amp;","&amp;F38</f>
        <v>1_10000,2_0,3_0</v>
      </c>
    </row>
    <row r="39" spans="1:14">
      <c r="A39">
        <v>1</v>
      </c>
      <c r="B39">
        <v>0</v>
      </c>
      <c r="C39">
        <f t="shared" ref="C39:C73" si="1">1-A39-B39</f>
        <v>0</v>
      </c>
      <c r="D39" t="str">
        <f t="shared" ref="D39:D73" si="2">"1_"&amp;A39*10000</f>
        <v>1_10000</v>
      </c>
      <c r="E39" t="str">
        <f t="shared" ref="E39:E73" si="3">"2_"&amp;B39*10000</f>
        <v>2_0</v>
      </c>
      <c r="F39" t="str">
        <f t="shared" ref="F39:F73" si="4">"3_"&amp;C39*10000</f>
        <v>3_0</v>
      </c>
      <c r="G39" t="str">
        <f t="shared" ref="G39:G73" si="5">D39&amp;","&amp;E39&amp;","&amp;F39</f>
        <v>1_10000,2_0,3_0</v>
      </c>
    </row>
    <row r="40" spans="1:14">
      <c r="A40">
        <v>1</v>
      </c>
      <c r="B40">
        <v>0</v>
      </c>
      <c r="C40">
        <f t="shared" si="1"/>
        <v>0</v>
      </c>
      <c r="D40" t="str">
        <f t="shared" si="2"/>
        <v>1_10000</v>
      </c>
      <c r="E40" t="str">
        <f t="shared" si="3"/>
        <v>2_0</v>
      </c>
      <c r="F40" t="str">
        <f t="shared" si="4"/>
        <v>3_0</v>
      </c>
      <c r="G40" t="str">
        <f t="shared" si="5"/>
        <v>1_10000,2_0,3_0</v>
      </c>
    </row>
    <row r="41" spans="1:14">
      <c r="A41">
        <v>1</v>
      </c>
      <c r="B41">
        <v>0</v>
      </c>
      <c r="C41">
        <f t="shared" si="1"/>
        <v>0</v>
      </c>
      <c r="D41" t="str">
        <f t="shared" si="2"/>
        <v>1_10000</v>
      </c>
      <c r="E41" t="str">
        <f t="shared" si="3"/>
        <v>2_0</v>
      </c>
      <c r="F41" t="str">
        <f t="shared" si="4"/>
        <v>3_0</v>
      </c>
      <c r="G41" t="str">
        <f t="shared" si="5"/>
        <v>1_10000,2_0,3_0</v>
      </c>
    </row>
    <row r="42" spans="1:14">
      <c r="A42">
        <v>1</v>
      </c>
      <c r="B42">
        <v>0</v>
      </c>
      <c r="C42">
        <f t="shared" si="1"/>
        <v>0</v>
      </c>
      <c r="D42" t="str">
        <f t="shared" si="2"/>
        <v>1_10000</v>
      </c>
      <c r="E42" t="str">
        <f t="shared" si="3"/>
        <v>2_0</v>
      </c>
      <c r="F42" t="str">
        <f t="shared" si="4"/>
        <v>3_0</v>
      </c>
      <c r="G42" t="str">
        <f t="shared" si="5"/>
        <v>1_10000,2_0,3_0</v>
      </c>
    </row>
    <row r="43" spans="1:14">
      <c r="A43">
        <v>1</v>
      </c>
      <c r="B43">
        <v>0</v>
      </c>
      <c r="C43">
        <f t="shared" si="1"/>
        <v>0</v>
      </c>
      <c r="D43" t="str">
        <f t="shared" si="2"/>
        <v>1_10000</v>
      </c>
      <c r="E43" t="str">
        <f t="shared" si="3"/>
        <v>2_0</v>
      </c>
      <c r="F43" t="str">
        <f t="shared" si="4"/>
        <v>3_0</v>
      </c>
      <c r="G43" t="str">
        <f t="shared" si="5"/>
        <v>1_10000,2_0,3_0</v>
      </c>
    </row>
    <row r="44" spans="1:14">
      <c r="A44">
        <v>0.7</v>
      </c>
      <c r="B44">
        <v>0.3</v>
      </c>
      <c r="C44">
        <f t="shared" si="1"/>
        <v>0</v>
      </c>
      <c r="D44" t="str">
        <f t="shared" si="2"/>
        <v>1_7000</v>
      </c>
      <c r="E44" t="str">
        <f t="shared" si="3"/>
        <v>2_3000</v>
      </c>
      <c r="F44" t="str">
        <f t="shared" si="4"/>
        <v>3_0</v>
      </c>
      <c r="G44" t="str">
        <f t="shared" si="5"/>
        <v>1_7000,2_3000,3_0</v>
      </c>
    </row>
    <row r="45" spans="1:14">
      <c r="A45">
        <v>0.65</v>
      </c>
      <c r="B45">
        <f t="shared" ref="B45" si="6">B44+0.05</f>
        <v>0.35</v>
      </c>
      <c r="C45">
        <f t="shared" si="1"/>
        <v>0</v>
      </c>
      <c r="D45" t="str">
        <f t="shared" si="2"/>
        <v>1_6500</v>
      </c>
      <c r="E45" t="str">
        <f t="shared" si="3"/>
        <v>2_3500</v>
      </c>
      <c r="F45" t="str">
        <f t="shared" si="4"/>
        <v>3_0</v>
      </c>
      <c r="G45" t="str">
        <f t="shared" si="5"/>
        <v>1_6500,2_3500,3_0</v>
      </c>
    </row>
    <row r="46" spans="1:14">
      <c r="A46">
        <v>0.6</v>
      </c>
      <c r="B46">
        <v>0.4</v>
      </c>
      <c r="C46">
        <f t="shared" si="1"/>
        <v>0</v>
      </c>
      <c r="D46" t="str">
        <f t="shared" si="2"/>
        <v>1_6000</v>
      </c>
      <c r="E46" t="str">
        <f t="shared" si="3"/>
        <v>2_4000</v>
      </c>
      <c r="F46" t="str">
        <f t="shared" si="4"/>
        <v>3_0</v>
      </c>
      <c r="G46" t="str">
        <f t="shared" si="5"/>
        <v>1_6000,2_4000,3_0</v>
      </c>
    </row>
    <row r="47" spans="1:14">
      <c r="A47">
        <v>0.55000000000000004</v>
      </c>
      <c r="B47">
        <v>0.45</v>
      </c>
      <c r="C47">
        <f t="shared" si="1"/>
        <v>0</v>
      </c>
      <c r="D47" t="str">
        <f t="shared" si="2"/>
        <v>1_5500</v>
      </c>
      <c r="E47" t="str">
        <f t="shared" si="3"/>
        <v>2_4500</v>
      </c>
      <c r="F47" t="str">
        <f t="shared" si="4"/>
        <v>3_0</v>
      </c>
      <c r="G47" t="str">
        <f t="shared" si="5"/>
        <v>1_5500,2_4500,3_0</v>
      </c>
    </row>
    <row r="48" spans="1:14">
      <c r="A48">
        <v>0.55000000000000004</v>
      </c>
      <c r="B48">
        <v>0.45</v>
      </c>
      <c r="C48">
        <f t="shared" si="1"/>
        <v>0</v>
      </c>
      <c r="D48" t="str">
        <f t="shared" si="2"/>
        <v>1_5500</v>
      </c>
      <c r="E48" t="str">
        <f t="shared" si="3"/>
        <v>2_4500</v>
      </c>
      <c r="F48" t="str">
        <f t="shared" si="4"/>
        <v>3_0</v>
      </c>
      <c r="G48" t="str">
        <f t="shared" si="5"/>
        <v>1_5500,2_4500,3_0</v>
      </c>
    </row>
    <row r="49" spans="1:7">
      <c r="A49">
        <f t="shared" ref="A49:A53" si="7">A47-0.05</f>
        <v>0.5</v>
      </c>
      <c r="B49">
        <v>0.5</v>
      </c>
      <c r="C49">
        <f t="shared" si="1"/>
        <v>0</v>
      </c>
      <c r="D49" t="str">
        <f t="shared" si="2"/>
        <v>1_5000</v>
      </c>
      <c r="E49" t="str">
        <f t="shared" si="3"/>
        <v>2_5000</v>
      </c>
      <c r="F49" t="str">
        <f t="shared" si="4"/>
        <v>3_0</v>
      </c>
      <c r="G49" t="str">
        <f t="shared" si="5"/>
        <v>1_5000,2_5000,3_0</v>
      </c>
    </row>
    <row r="50" spans="1:7">
      <c r="A50">
        <f t="shared" si="7"/>
        <v>0.5</v>
      </c>
      <c r="B50">
        <v>0.5</v>
      </c>
      <c r="C50">
        <f t="shared" si="1"/>
        <v>0</v>
      </c>
      <c r="D50" t="str">
        <f t="shared" si="2"/>
        <v>1_5000</v>
      </c>
      <c r="E50" t="str">
        <f t="shared" si="3"/>
        <v>2_5000</v>
      </c>
      <c r="F50" t="str">
        <f t="shared" si="4"/>
        <v>3_0</v>
      </c>
      <c r="G50" t="str">
        <f t="shared" si="5"/>
        <v>1_5000,2_5000,3_0</v>
      </c>
    </row>
    <row r="51" spans="1:7">
      <c r="A51">
        <v>0.5</v>
      </c>
      <c r="B51">
        <v>0.5</v>
      </c>
      <c r="C51">
        <f t="shared" si="1"/>
        <v>0</v>
      </c>
      <c r="D51" t="str">
        <f t="shared" si="2"/>
        <v>1_5000</v>
      </c>
      <c r="E51" t="str">
        <f t="shared" si="3"/>
        <v>2_5000</v>
      </c>
      <c r="F51" t="str">
        <f t="shared" si="4"/>
        <v>3_0</v>
      </c>
      <c r="G51" t="str">
        <f t="shared" si="5"/>
        <v>1_5000,2_5000,3_0</v>
      </c>
    </row>
    <row r="52" spans="1:7">
      <c r="A52">
        <v>0.5</v>
      </c>
      <c r="B52">
        <v>0.5</v>
      </c>
      <c r="C52">
        <f t="shared" si="1"/>
        <v>0</v>
      </c>
      <c r="D52" t="str">
        <f t="shared" si="2"/>
        <v>1_5000</v>
      </c>
      <c r="E52" t="str">
        <f t="shared" si="3"/>
        <v>2_5000</v>
      </c>
      <c r="F52" t="str">
        <f t="shared" si="4"/>
        <v>3_0</v>
      </c>
      <c r="G52" t="str">
        <f t="shared" si="5"/>
        <v>1_5000,2_5000,3_0</v>
      </c>
    </row>
    <row r="53" spans="1:7">
      <c r="A53">
        <f t="shared" si="7"/>
        <v>0.45</v>
      </c>
      <c r="B53">
        <v>0.5</v>
      </c>
      <c r="C53">
        <f t="shared" si="1"/>
        <v>5.0000000000000044E-2</v>
      </c>
      <c r="D53" t="str">
        <f t="shared" si="2"/>
        <v>1_4500</v>
      </c>
      <c r="E53" t="str">
        <f t="shared" si="3"/>
        <v>2_5000</v>
      </c>
      <c r="F53" t="str">
        <f t="shared" si="4"/>
        <v>3_500</v>
      </c>
      <c r="G53" t="str">
        <f t="shared" si="5"/>
        <v>1_4500,2_5000,3_500</v>
      </c>
    </row>
    <row r="54" spans="1:7">
      <c r="A54">
        <v>0.3</v>
      </c>
      <c r="B54">
        <v>0.55000000000000004</v>
      </c>
      <c r="C54">
        <f t="shared" si="1"/>
        <v>0.14999999999999991</v>
      </c>
      <c r="D54" t="str">
        <f t="shared" si="2"/>
        <v>1_3000</v>
      </c>
      <c r="E54" t="str">
        <f t="shared" si="3"/>
        <v>2_5500</v>
      </c>
      <c r="F54" t="str">
        <f t="shared" si="4"/>
        <v>3_1500</v>
      </c>
      <c r="G54" t="str">
        <f t="shared" si="5"/>
        <v>1_3000,2_5500,3_1500</v>
      </c>
    </row>
    <row r="55" spans="1:7">
      <c r="A55">
        <v>0.2</v>
      </c>
      <c r="B55">
        <v>0.6</v>
      </c>
      <c r="C55">
        <f t="shared" si="1"/>
        <v>0.20000000000000007</v>
      </c>
      <c r="D55" t="str">
        <f t="shared" si="2"/>
        <v>1_2000</v>
      </c>
      <c r="E55" t="str">
        <f t="shared" si="3"/>
        <v>2_6000</v>
      </c>
      <c r="F55" t="str">
        <f t="shared" si="4"/>
        <v>3_2000</v>
      </c>
      <c r="G55" t="str">
        <f t="shared" si="5"/>
        <v>1_2000,2_6000,3_2000</v>
      </c>
    </row>
    <row r="56" spans="1:7">
      <c r="A56">
        <v>0.2</v>
      </c>
      <c r="B56">
        <v>0.6</v>
      </c>
      <c r="C56">
        <f t="shared" si="1"/>
        <v>0.20000000000000007</v>
      </c>
      <c r="D56" t="str">
        <f t="shared" si="2"/>
        <v>1_2000</v>
      </c>
      <c r="E56" t="str">
        <f t="shared" si="3"/>
        <v>2_6000</v>
      </c>
      <c r="F56" t="str">
        <f t="shared" si="4"/>
        <v>3_2000</v>
      </c>
      <c r="G56" t="str">
        <f t="shared" si="5"/>
        <v>1_2000,2_6000,3_2000</v>
      </c>
    </row>
    <row r="57" spans="1:7">
      <c r="A57">
        <v>0.1</v>
      </c>
      <c r="B57">
        <v>0.65</v>
      </c>
      <c r="C57">
        <f t="shared" si="1"/>
        <v>0.25</v>
      </c>
      <c r="D57" t="str">
        <f t="shared" si="2"/>
        <v>1_1000</v>
      </c>
      <c r="E57" t="str">
        <f t="shared" si="3"/>
        <v>2_6500</v>
      </c>
      <c r="F57" t="str">
        <f t="shared" si="4"/>
        <v>3_2500</v>
      </c>
      <c r="G57" t="str">
        <f t="shared" si="5"/>
        <v>1_1000,2_6500,3_2500</v>
      </c>
    </row>
    <row r="58" spans="1:7">
      <c r="A58">
        <v>0.1</v>
      </c>
      <c r="B58">
        <v>0.65</v>
      </c>
      <c r="C58">
        <f t="shared" si="1"/>
        <v>0.25</v>
      </c>
      <c r="D58" t="str">
        <f t="shared" si="2"/>
        <v>1_1000</v>
      </c>
      <c r="E58" t="str">
        <f t="shared" si="3"/>
        <v>2_6500</v>
      </c>
      <c r="F58" t="str">
        <f t="shared" si="4"/>
        <v>3_2500</v>
      </c>
      <c r="G58" t="str">
        <f t="shared" si="5"/>
        <v>1_1000,2_6500,3_2500</v>
      </c>
    </row>
    <row r="59" spans="1:7">
      <c r="A59">
        <v>0</v>
      </c>
      <c r="B59">
        <v>0.6</v>
      </c>
      <c r="C59">
        <f t="shared" si="1"/>
        <v>0.4</v>
      </c>
      <c r="D59" t="str">
        <f t="shared" si="2"/>
        <v>1_0</v>
      </c>
      <c r="E59" t="str">
        <f t="shared" si="3"/>
        <v>2_6000</v>
      </c>
      <c r="F59" t="str">
        <f t="shared" si="4"/>
        <v>3_4000</v>
      </c>
      <c r="G59" t="str">
        <f t="shared" si="5"/>
        <v>1_0,2_6000,3_4000</v>
      </c>
    </row>
    <row r="60" spans="1:7">
      <c r="A60">
        <v>0</v>
      </c>
      <c r="B60">
        <v>0.55000000000000004</v>
      </c>
      <c r="C60">
        <f t="shared" si="1"/>
        <v>0.44999999999999996</v>
      </c>
      <c r="D60" t="str">
        <f t="shared" si="2"/>
        <v>1_0</v>
      </c>
      <c r="E60" t="str">
        <f t="shared" si="3"/>
        <v>2_5500</v>
      </c>
      <c r="F60" t="str">
        <f t="shared" si="4"/>
        <v>3_4500</v>
      </c>
      <c r="G60" t="str">
        <f t="shared" si="5"/>
        <v>1_0,2_5500,3_4500</v>
      </c>
    </row>
    <row r="61" spans="1:7">
      <c r="A61">
        <v>0</v>
      </c>
      <c r="B61">
        <v>0.5</v>
      </c>
      <c r="C61">
        <f t="shared" si="1"/>
        <v>0.5</v>
      </c>
      <c r="D61" t="str">
        <f t="shared" si="2"/>
        <v>1_0</v>
      </c>
      <c r="E61" t="str">
        <f t="shared" si="3"/>
        <v>2_5000</v>
      </c>
      <c r="F61" t="str">
        <f t="shared" si="4"/>
        <v>3_5000</v>
      </c>
      <c r="G61" t="str">
        <f t="shared" si="5"/>
        <v>1_0,2_5000,3_5000</v>
      </c>
    </row>
    <row r="62" spans="1:7">
      <c r="A62">
        <v>0</v>
      </c>
      <c r="B62">
        <v>0.4</v>
      </c>
      <c r="C62">
        <f t="shared" si="1"/>
        <v>0.6</v>
      </c>
      <c r="D62" t="str">
        <f t="shared" si="2"/>
        <v>1_0</v>
      </c>
      <c r="E62" t="str">
        <f t="shared" si="3"/>
        <v>2_4000</v>
      </c>
      <c r="F62" t="str">
        <f t="shared" si="4"/>
        <v>3_6000</v>
      </c>
      <c r="G62" t="str">
        <f t="shared" si="5"/>
        <v>1_0,2_4000,3_6000</v>
      </c>
    </row>
    <row r="63" spans="1:7">
      <c r="A63">
        <v>0</v>
      </c>
      <c r="B63">
        <v>0.3</v>
      </c>
      <c r="C63">
        <f t="shared" si="1"/>
        <v>0.7</v>
      </c>
      <c r="D63" t="str">
        <f t="shared" si="2"/>
        <v>1_0</v>
      </c>
      <c r="E63" t="str">
        <f t="shared" si="3"/>
        <v>2_3000</v>
      </c>
      <c r="F63" t="str">
        <f t="shared" si="4"/>
        <v>3_7000</v>
      </c>
      <c r="G63" t="str">
        <f t="shared" si="5"/>
        <v>1_0,2_3000,3_7000</v>
      </c>
    </row>
    <row r="64" spans="1:7">
      <c r="A64">
        <v>0</v>
      </c>
      <c r="B64">
        <v>0</v>
      </c>
      <c r="C64">
        <f t="shared" si="1"/>
        <v>1</v>
      </c>
      <c r="D64" t="str">
        <f t="shared" si="2"/>
        <v>1_0</v>
      </c>
      <c r="E64" t="str">
        <f t="shared" si="3"/>
        <v>2_0</v>
      </c>
      <c r="F64" t="str">
        <f t="shared" si="4"/>
        <v>3_10000</v>
      </c>
      <c r="G64" t="str">
        <f t="shared" si="5"/>
        <v>1_0,2_0,3_10000</v>
      </c>
    </row>
    <row r="65" spans="1:7">
      <c r="A65">
        <v>0</v>
      </c>
      <c r="B65">
        <v>0</v>
      </c>
      <c r="C65">
        <f t="shared" si="1"/>
        <v>1</v>
      </c>
      <c r="D65" t="str">
        <f t="shared" si="2"/>
        <v>1_0</v>
      </c>
      <c r="E65" t="str">
        <f t="shared" si="3"/>
        <v>2_0</v>
      </c>
      <c r="F65" t="str">
        <f t="shared" si="4"/>
        <v>3_10000</v>
      </c>
      <c r="G65" t="str">
        <f t="shared" si="5"/>
        <v>1_0,2_0,3_10000</v>
      </c>
    </row>
    <row r="66" spans="1:7">
      <c r="A66">
        <v>0</v>
      </c>
      <c r="B66">
        <v>0</v>
      </c>
      <c r="C66">
        <f t="shared" si="1"/>
        <v>1</v>
      </c>
      <c r="D66" t="str">
        <f t="shared" si="2"/>
        <v>1_0</v>
      </c>
      <c r="E66" t="str">
        <f t="shared" si="3"/>
        <v>2_0</v>
      </c>
      <c r="F66" t="str">
        <f t="shared" si="4"/>
        <v>3_10000</v>
      </c>
      <c r="G66" t="str">
        <f t="shared" si="5"/>
        <v>1_0,2_0,3_10000</v>
      </c>
    </row>
    <row r="67" spans="1:7">
      <c r="A67">
        <v>0</v>
      </c>
      <c r="B67">
        <v>0</v>
      </c>
      <c r="C67">
        <f t="shared" si="1"/>
        <v>1</v>
      </c>
      <c r="D67" t="str">
        <f t="shared" si="2"/>
        <v>1_0</v>
      </c>
      <c r="E67" t="str">
        <f t="shared" si="3"/>
        <v>2_0</v>
      </c>
      <c r="F67" t="str">
        <f t="shared" si="4"/>
        <v>3_10000</v>
      </c>
      <c r="G67" t="str">
        <f t="shared" si="5"/>
        <v>1_0,2_0,3_10000</v>
      </c>
    </row>
    <row r="68" spans="1:7">
      <c r="A68">
        <v>0</v>
      </c>
      <c r="B68">
        <v>0</v>
      </c>
      <c r="C68">
        <f t="shared" si="1"/>
        <v>1</v>
      </c>
      <c r="D68" t="str">
        <f t="shared" si="2"/>
        <v>1_0</v>
      </c>
      <c r="E68" t="str">
        <f t="shared" si="3"/>
        <v>2_0</v>
      </c>
      <c r="F68" t="str">
        <f t="shared" si="4"/>
        <v>3_10000</v>
      </c>
      <c r="G68" t="str">
        <f t="shared" si="5"/>
        <v>1_0,2_0,3_10000</v>
      </c>
    </row>
    <row r="69" spans="1:7">
      <c r="A69">
        <v>0</v>
      </c>
      <c r="B69">
        <v>0</v>
      </c>
      <c r="C69">
        <f t="shared" si="1"/>
        <v>1</v>
      </c>
      <c r="D69" t="str">
        <f t="shared" si="2"/>
        <v>1_0</v>
      </c>
      <c r="E69" t="str">
        <f t="shared" si="3"/>
        <v>2_0</v>
      </c>
      <c r="F69" t="str">
        <f t="shared" si="4"/>
        <v>3_10000</v>
      </c>
      <c r="G69" t="str">
        <f t="shared" si="5"/>
        <v>1_0,2_0,3_10000</v>
      </c>
    </row>
    <row r="70" spans="1:7">
      <c r="A70">
        <v>0</v>
      </c>
      <c r="B70">
        <v>0</v>
      </c>
      <c r="C70">
        <f t="shared" si="1"/>
        <v>1</v>
      </c>
      <c r="D70" t="str">
        <f t="shared" si="2"/>
        <v>1_0</v>
      </c>
      <c r="E70" t="str">
        <f t="shared" si="3"/>
        <v>2_0</v>
      </c>
      <c r="F70" t="str">
        <f t="shared" si="4"/>
        <v>3_10000</v>
      </c>
      <c r="G70" t="str">
        <f t="shared" si="5"/>
        <v>1_0,2_0,3_10000</v>
      </c>
    </row>
    <row r="71" spans="1:7">
      <c r="A71">
        <v>0</v>
      </c>
      <c r="B71">
        <v>0</v>
      </c>
      <c r="C71">
        <f t="shared" si="1"/>
        <v>1</v>
      </c>
      <c r="D71" t="str">
        <f t="shared" si="2"/>
        <v>1_0</v>
      </c>
      <c r="E71" t="str">
        <f t="shared" si="3"/>
        <v>2_0</v>
      </c>
      <c r="F71" t="str">
        <f t="shared" si="4"/>
        <v>3_10000</v>
      </c>
      <c r="G71" t="str">
        <f t="shared" si="5"/>
        <v>1_0,2_0,3_10000</v>
      </c>
    </row>
    <row r="72" spans="1:7">
      <c r="A72">
        <v>0</v>
      </c>
      <c r="B72">
        <v>0</v>
      </c>
      <c r="C72">
        <f t="shared" si="1"/>
        <v>1</v>
      </c>
      <c r="D72" t="str">
        <f t="shared" si="2"/>
        <v>1_0</v>
      </c>
      <c r="E72" t="str">
        <f t="shared" si="3"/>
        <v>2_0</v>
      </c>
      <c r="F72" t="str">
        <f t="shared" si="4"/>
        <v>3_10000</v>
      </c>
      <c r="G72" t="str">
        <f t="shared" si="5"/>
        <v>1_0,2_0,3_10000</v>
      </c>
    </row>
    <row r="73" spans="1:7">
      <c r="A73">
        <v>0</v>
      </c>
      <c r="B73">
        <v>0</v>
      </c>
      <c r="C73">
        <f t="shared" si="1"/>
        <v>1</v>
      </c>
      <c r="D73" t="str">
        <f t="shared" si="2"/>
        <v>1_0</v>
      </c>
      <c r="E73" t="str">
        <f t="shared" si="3"/>
        <v>2_0</v>
      </c>
      <c r="F73" t="str">
        <f t="shared" si="4"/>
        <v>3_10000</v>
      </c>
      <c r="G73" t="str">
        <f t="shared" si="5"/>
        <v>1_0,2_0,3_10000</v>
      </c>
    </row>
    <row r="80" spans="1:7">
      <c r="E80">
        <v>1</v>
      </c>
      <c r="F80">
        <v>2</v>
      </c>
      <c r="G80">
        <v>3</v>
      </c>
    </row>
    <row r="81" spans="1:13">
      <c r="E81">
        <v>30</v>
      </c>
      <c r="F81">
        <v>47</v>
      </c>
      <c r="G81">
        <v>57</v>
      </c>
    </row>
    <row r="82" spans="1:13">
      <c r="A82" t="s">
        <v>282</v>
      </c>
      <c r="K82">
        <v>1</v>
      </c>
      <c r="L82">
        <f>M82*K82</f>
        <v>8.2000000000000003E-2</v>
      </c>
      <c r="M82">
        <v>8.2000000000000003E-2</v>
      </c>
    </row>
    <row r="83" spans="1:13">
      <c r="A83" t="s">
        <v>282</v>
      </c>
      <c r="K83">
        <v>1</v>
      </c>
      <c r="L83">
        <f t="shared" ref="L83:L116" si="8">M83*K83</f>
        <v>8.1500000000000003E-2</v>
      </c>
      <c r="M83">
        <v>8.1500000000000003E-2</v>
      </c>
    </row>
    <row r="84" spans="1:13">
      <c r="A84" t="s">
        <v>282</v>
      </c>
      <c r="K84">
        <v>1</v>
      </c>
      <c r="L84">
        <f t="shared" si="8"/>
        <v>8.1000000000000003E-2</v>
      </c>
      <c r="M84">
        <v>8.1000000000000003E-2</v>
      </c>
    </row>
    <row r="85" spans="1:13">
      <c r="A85" t="s">
        <v>282</v>
      </c>
      <c r="K85">
        <v>1</v>
      </c>
      <c r="L85">
        <f t="shared" si="8"/>
        <v>8.0500000000000002E-2</v>
      </c>
      <c r="M85">
        <v>8.0500000000000002E-2</v>
      </c>
    </row>
    <row r="86" spans="1:13">
      <c r="A86" t="s">
        <v>282</v>
      </c>
      <c r="K86">
        <v>1</v>
      </c>
      <c r="L86">
        <f t="shared" si="8"/>
        <v>0.08</v>
      </c>
      <c r="M86">
        <v>0.08</v>
      </c>
    </row>
    <row r="87" spans="1:13">
      <c r="A87" t="s">
        <v>681</v>
      </c>
      <c r="H87" t="s">
        <v>584</v>
      </c>
      <c r="J87" t="s">
        <v>583</v>
      </c>
      <c r="K87">
        <v>1</v>
      </c>
      <c r="L87">
        <f t="shared" si="8"/>
        <v>7.9500000000000001E-2</v>
      </c>
      <c r="M87">
        <v>7.9500000000000001E-2</v>
      </c>
    </row>
    <row r="88" spans="1:13">
      <c r="A88" t="s">
        <v>582</v>
      </c>
      <c r="E88">
        <v>0.7</v>
      </c>
      <c r="F88">
        <v>0.3</v>
      </c>
      <c r="H88">
        <f>E$81*E88+F$81*F88+G$81*G88</f>
        <v>35.1</v>
      </c>
      <c r="I88">
        <f>ROUNDDOWN((F$80*F88+E$80*E88+G$80*G88)*J88,0)</f>
        <v>46</v>
      </c>
      <c r="J88">
        <v>36</v>
      </c>
      <c r="K88">
        <f>(F$80*F88+E$80*E88+G$80*G88)</f>
        <v>1.2999999999999998</v>
      </c>
      <c r="L88">
        <f t="shared" si="8"/>
        <v>0.10269999999999999</v>
      </c>
      <c r="M88">
        <v>7.9000000000000001E-2</v>
      </c>
    </row>
    <row r="89" spans="1:13">
      <c r="A89" t="s">
        <v>283</v>
      </c>
      <c r="E89">
        <v>0.65</v>
      </c>
      <c r="F89">
        <v>0.35</v>
      </c>
      <c r="H89">
        <f t="shared" ref="H89:H116" si="9">E$81*E89+F$81*F89+G$81*G89</f>
        <v>35.950000000000003</v>
      </c>
      <c r="I89">
        <f t="shared" ref="I89:I116" si="10">ROUNDDOWN((F$80*F89+E$80*E89+G$80*G89)*J89,0)</f>
        <v>59</v>
      </c>
      <c r="J89">
        <v>44</v>
      </c>
      <c r="K89">
        <f t="shared" ref="K89:K116" si="11">(F$80*F89+E$80*E89+G$80*G89)</f>
        <v>1.35</v>
      </c>
      <c r="L89">
        <f t="shared" si="8"/>
        <v>0.10597500000000001</v>
      </c>
      <c r="M89">
        <v>7.85E-2</v>
      </c>
    </row>
    <row r="90" spans="1:13">
      <c r="A90" t="s">
        <v>284</v>
      </c>
      <c r="E90">
        <v>0.6</v>
      </c>
      <c r="F90">
        <v>0.4</v>
      </c>
      <c r="H90">
        <f t="shared" si="9"/>
        <v>36.799999999999997</v>
      </c>
      <c r="I90">
        <f t="shared" si="10"/>
        <v>72</v>
      </c>
      <c r="J90">
        <v>52</v>
      </c>
      <c r="K90">
        <f t="shared" si="11"/>
        <v>1.4</v>
      </c>
      <c r="L90">
        <f t="shared" si="8"/>
        <v>0.10919999999999999</v>
      </c>
      <c r="M90">
        <v>7.8E-2</v>
      </c>
    </row>
    <row r="91" spans="1:13">
      <c r="A91" s="3" t="s">
        <v>285</v>
      </c>
      <c r="E91">
        <v>0.55000000000000004</v>
      </c>
      <c r="F91">
        <v>0.45</v>
      </c>
      <c r="H91">
        <f t="shared" si="9"/>
        <v>37.650000000000006</v>
      </c>
      <c r="I91">
        <f t="shared" si="10"/>
        <v>87</v>
      </c>
      <c r="J91">
        <v>60</v>
      </c>
      <c r="K91">
        <f t="shared" si="11"/>
        <v>1.4500000000000002</v>
      </c>
      <c r="L91">
        <f t="shared" si="8"/>
        <v>0.11237500000000002</v>
      </c>
      <c r="M91">
        <v>7.7499999999999999E-2</v>
      </c>
    </row>
    <row r="92" spans="1:13">
      <c r="A92" t="s">
        <v>285</v>
      </c>
      <c r="E92">
        <v>0.55000000000000004</v>
      </c>
      <c r="F92">
        <v>0.45</v>
      </c>
      <c r="H92">
        <f t="shared" si="9"/>
        <v>37.650000000000006</v>
      </c>
      <c r="I92">
        <f t="shared" si="10"/>
        <v>98</v>
      </c>
      <c r="J92">
        <v>68</v>
      </c>
      <c r="K92">
        <f t="shared" si="11"/>
        <v>1.4500000000000002</v>
      </c>
      <c r="L92">
        <f t="shared" si="8"/>
        <v>0.11165000000000001</v>
      </c>
      <c r="M92">
        <v>7.6999999999999999E-2</v>
      </c>
    </row>
    <row r="93" spans="1:13">
      <c r="A93" t="s">
        <v>286</v>
      </c>
      <c r="E93">
        <v>0.5</v>
      </c>
      <c r="F93">
        <v>0.5</v>
      </c>
      <c r="H93">
        <f t="shared" si="9"/>
        <v>38.5</v>
      </c>
      <c r="I93">
        <f t="shared" si="10"/>
        <v>120</v>
      </c>
      <c r="J93">
        <v>80</v>
      </c>
      <c r="K93">
        <f t="shared" si="11"/>
        <v>1.5</v>
      </c>
      <c r="L93">
        <f t="shared" si="8"/>
        <v>0.11474999999999999</v>
      </c>
      <c r="M93">
        <v>7.6499999999999999E-2</v>
      </c>
    </row>
    <row r="94" spans="1:13">
      <c r="A94" t="s">
        <v>570</v>
      </c>
      <c r="E94">
        <v>0</v>
      </c>
      <c r="F94">
        <v>1</v>
      </c>
      <c r="H94">
        <f t="shared" si="9"/>
        <v>47</v>
      </c>
      <c r="I94">
        <f t="shared" si="10"/>
        <v>184</v>
      </c>
      <c r="J94">
        <v>92</v>
      </c>
      <c r="K94">
        <f t="shared" si="11"/>
        <v>2</v>
      </c>
      <c r="L94">
        <f t="shared" si="8"/>
        <v>0.152</v>
      </c>
      <c r="M94">
        <v>7.5999999999999998E-2</v>
      </c>
    </row>
    <row r="95" spans="1:13">
      <c r="A95" t="s">
        <v>570</v>
      </c>
      <c r="E95">
        <v>0</v>
      </c>
      <c r="F95">
        <v>1</v>
      </c>
      <c r="H95">
        <f t="shared" si="9"/>
        <v>47</v>
      </c>
      <c r="I95">
        <f t="shared" si="10"/>
        <v>208</v>
      </c>
      <c r="J95">
        <v>104</v>
      </c>
      <c r="K95">
        <f t="shared" si="11"/>
        <v>2</v>
      </c>
      <c r="L95">
        <f t="shared" si="8"/>
        <v>0.151</v>
      </c>
      <c r="M95">
        <v>7.5499999999999998E-2</v>
      </c>
    </row>
    <row r="96" spans="1:13">
      <c r="A96" t="s">
        <v>570</v>
      </c>
      <c r="F96">
        <v>1</v>
      </c>
      <c r="H96">
        <f t="shared" si="9"/>
        <v>47</v>
      </c>
      <c r="I96">
        <f t="shared" si="10"/>
        <v>232</v>
      </c>
      <c r="J96">
        <v>116</v>
      </c>
      <c r="K96">
        <f t="shared" si="11"/>
        <v>2</v>
      </c>
      <c r="L96">
        <f t="shared" si="8"/>
        <v>0.15</v>
      </c>
      <c r="M96">
        <v>7.4999999999999997E-2</v>
      </c>
    </row>
    <row r="97" spans="1:13">
      <c r="A97" t="s">
        <v>571</v>
      </c>
      <c r="F97">
        <v>0.8</v>
      </c>
      <c r="G97">
        <v>0.2</v>
      </c>
      <c r="H97">
        <f t="shared" si="9"/>
        <v>49</v>
      </c>
      <c r="I97">
        <f t="shared" si="10"/>
        <v>281</v>
      </c>
      <c r="J97">
        <v>128</v>
      </c>
      <c r="K97">
        <f t="shared" si="11"/>
        <v>2.2000000000000002</v>
      </c>
      <c r="L97">
        <f t="shared" si="8"/>
        <v>0.16390000000000002</v>
      </c>
      <c r="M97">
        <v>7.4499999999999997E-2</v>
      </c>
    </row>
    <row r="98" spans="1:13">
      <c r="A98" t="s">
        <v>572</v>
      </c>
      <c r="F98">
        <v>0.75</v>
      </c>
      <c r="G98">
        <v>0.25</v>
      </c>
      <c r="H98">
        <f t="shared" si="9"/>
        <v>49.5</v>
      </c>
      <c r="I98">
        <f t="shared" si="10"/>
        <v>315</v>
      </c>
      <c r="J98">
        <v>140</v>
      </c>
      <c r="K98">
        <f t="shared" si="11"/>
        <v>2.25</v>
      </c>
      <c r="L98">
        <f t="shared" si="8"/>
        <v>0.16649999999999998</v>
      </c>
      <c r="M98">
        <v>7.3999999999999996E-2</v>
      </c>
    </row>
    <row r="99" spans="1:13">
      <c r="A99" t="s">
        <v>573</v>
      </c>
      <c r="F99">
        <v>0.7</v>
      </c>
      <c r="G99">
        <v>0.3</v>
      </c>
      <c r="H99">
        <f t="shared" si="9"/>
        <v>50</v>
      </c>
      <c r="I99">
        <f t="shared" si="10"/>
        <v>349</v>
      </c>
      <c r="J99">
        <v>152</v>
      </c>
      <c r="K99">
        <f t="shared" si="11"/>
        <v>2.2999999999999998</v>
      </c>
      <c r="L99">
        <f t="shared" si="8"/>
        <v>0.16904999999999998</v>
      </c>
      <c r="M99">
        <v>7.3499999999999996E-2</v>
      </c>
    </row>
    <row r="100" spans="1:13">
      <c r="A100" s="4" t="s">
        <v>574</v>
      </c>
      <c r="F100">
        <v>0.65</v>
      </c>
      <c r="G100">
        <v>0.35</v>
      </c>
      <c r="H100">
        <f t="shared" si="9"/>
        <v>50.5</v>
      </c>
      <c r="I100">
        <f t="shared" si="10"/>
        <v>385</v>
      </c>
      <c r="J100">
        <v>164</v>
      </c>
      <c r="K100">
        <f t="shared" si="11"/>
        <v>2.3499999999999996</v>
      </c>
      <c r="L100">
        <f t="shared" si="8"/>
        <v>0.17154999999999995</v>
      </c>
      <c r="M100">
        <v>7.2999999999999995E-2</v>
      </c>
    </row>
    <row r="101" spans="1:13">
      <c r="A101" t="s">
        <v>575</v>
      </c>
      <c r="F101">
        <v>0.6</v>
      </c>
      <c r="G101">
        <v>0.4</v>
      </c>
      <c r="H101">
        <f t="shared" si="9"/>
        <v>51</v>
      </c>
      <c r="I101">
        <f t="shared" si="10"/>
        <v>422</v>
      </c>
      <c r="J101">
        <v>176</v>
      </c>
      <c r="K101">
        <f t="shared" si="11"/>
        <v>2.4000000000000004</v>
      </c>
      <c r="L101">
        <f t="shared" si="8"/>
        <v>0.17400000000000002</v>
      </c>
      <c r="M101">
        <v>7.2499999999999995E-2</v>
      </c>
    </row>
    <row r="102" spans="1:13">
      <c r="A102" t="s">
        <v>576</v>
      </c>
      <c r="F102">
        <v>0.55000000000000004</v>
      </c>
      <c r="G102">
        <v>0.45</v>
      </c>
      <c r="H102">
        <f t="shared" si="9"/>
        <v>51.5</v>
      </c>
      <c r="I102">
        <f t="shared" si="10"/>
        <v>460</v>
      </c>
      <c r="J102">
        <v>188</v>
      </c>
      <c r="K102">
        <f t="shared" si="11"/>
        <v>2.4500000000000002</v>
      </c>
      <c r="L102">
        <f t="shared" si="8"/>
        <v>0.1764</v>
      </c>
      <c r="M102">
        <v>7.1999999999999995E-2</v>
      </c>
    </row>
    <row r="103" spans="1:13">
      <c r="A103" t="s">
        <v>577</v>
      </c>
      <c r="F103">
        <v>0.5</v>
      </c>
      <c r="G103">
        <v>0.5</v>
      </c>
      <c r="H103">
        <f t="shared" si="9"/>
        <v>52</v>
      </c>
      <c r="I103">
        <f t="shared" si="10"/>
        <v>510</v>
      </c>
      <c r="J103">
        <v>204</v>
      </c>
      <c r="K103">
        <f t="shared" si="11"/>
        <v>2.5</v>
      </c>
      <c r="L103">
        <f t="shared" si="8"/>
        <v>0.17874999999999999</v>
      </c>
      <c r="M103">
        <v>7.1499999999999994E-2</v>
      </c>
    </row>
    <row r="104" spans="1:13">
      <c r="A104" t="s">
        <v>578</v>
      </c>
      <c r="F104">
        <v>0.4</v>
      </c>
      <c r="G104">
        <v>0.6</v>
      </c>
      <c r="H104">
        <f t="shared" si="9"/>
        <v>53</v>
      </c>
      <c r="I104">
        <f t="shared" si="10"/>
        <v>572</v>
      </c>
      <c r="J104">
        <v>220</v>
      </c>
      <c r="K104">
        <f t="shared" si="11"/>
        <v>2.5999999999999996</v>
      </c>
      <c r="L104">
        <f t="shared" si="8"/>
        <v>0.18459999999999996</v>
      </c>
      <c r="M104">
        <v>7.0999999999999994E-2</v>
      </c>
    </row>
    <row r="105" spans="1:13">
      <c r="A105" t="s">
        <v>579</v>
      </c>
      <c r="F105">
        <v>0.3</v>
      </c>
      <c r="G105">
        <v>0.7</v>
      </c>
      <c r="H105">
        <f t="shared" si="9"/>
        <v>54</v>
      </c>
      <c r="I105">
        <f t="shared" si="10"/>
        <v>637</v>
      </c>
      <c r="J105">
        <v>236</v>
      </c>
      <c r="K105">
        <f t="shared" si="11"/>
        <v>2.6999999999999997</v>
      </c>
      <c r="L105">
        <f t="shared" si="8"/>
        <v>0.19034999999999996</v>
      </c>
      <c r="M105">
        <v>7.0499999999999993E-2</v>
      </c>
    </row>
    <row r="106" spans="1:13">
      <c r="A106" t="s">
        <v>580</v>
      </c>
      <c r="F106">
        <v>0.25</v>
      </c>
      <c r="G106">
        <v>0.75</v>
      </c>
      <c r="H106">
        <f t="shared" si="9"/>
        <v>54.5</v>
      </c>
      <c r="I106">
        <f t="shared" si="10"/>
        <v>693</v>
      </c>
      <c r="J106">
        <v>252</v>
      </c>
      <c r="K106">
        <f t="shared" si="11"/>
        <v>2.75</v>
      </c>
      <c r="L106">
        <f t="shared" si="8"/>
        <v>0.1925</v>
      </c>
      <c r="M106">
        <v>7.0000000000000007E-2</v>
      </c>
    </row>
    <row r="107" spans="1:13">
      <c r="A107" t="s">
        <v>581</v>
      </c>
      <c r="F107">
        <v>0.2</v>
      </c>
      <c r="G107">
        <v>0.8</v>
      </c>
      <c r="H107">
        <f t="shared" si="9"/>
        <v>55</v>
      </c>
      <c r="I107">
        <f t="shared" si="10"/>
        <v>750</v>
      </c>
      <c r="J107">
        <v>268</v>
      </c>
      <c r="K107">
        <f t="shared" si="11"/>
        <v>2.8000000000000003</v>
      </c>
      <c r="L107">
        <f t="shared" si="8"/>
        <v>0.19460000000000002</v>
      </c>
      <c r="M107">
        <v>6.9500000000000006E-2</v>
      </c>
    </row>
    <row r="108" spans="1:13">
      <c r="A108" t="s">
        <v>287</v>
      </c>
      <c r="G108">
        <v>1</v>
      </c>
      <c r="H108">
        <f t="shared" si="9"/>
        <v>57</v>
      </c>
      <c r="I108">
        <f t="shared" si="10"/>
        <v>852</v>
      </c>
      <c r="J108">
        <v>284</v>
      </c>
      <c r="K108">
        <f t="shared" si="11"/>
        <v>3</v>
      </c>
      <c r="L108">
        <f t="shared" si="8"/>
        <v>0.20700000000000002</v>
      </c>
      <c r="M108">
        <v>6.9000000000000006E-2</v>
      </c>
    </row>
    <row r="109" spans="1:13">
      <c r="A109" t="s">
        <v>287</v>
      </c>
      <c r="G109">
        <v>1</v>
      </c>
      <c r="H109">
        <f t="shared" si="9"/>
        <v>57</v>
      </c>
      <c r="I109">
        <f t="shared" si="10"/>
        <v>900</v>
      </c>
      <c r="J109">
        <v>300</v>
      </c>
      <c r="K109">
        <f t="shared" si="11"/>
        <v>3</v>
      </c>
      <c r="L109">
        <f t="shared" si="8"/>
        <v>0.20550000000000002</v>
      </c>
      <c r="M109">
        <v>6.8500000000000005E-2</v>
      </c>
    </row>
    <row r="110" spans="1:13">
      <c r="A110" t="s">
        <v>287</v>
      </c>
      <c r="G110">
        <v>1</v>
      </c>
      <c r="H110">
        <f t="shared" si="9"/>
        <v>57</v>
      </c>
      <c r="I110">
        <f t="shared" si="10"/>
        <v>948</v>
      </c>
      <c r="J110">
        <v>316</v>
      </c>
      <c r="K110">
        <f t="shared" si="11"/>
        <v>3</v>
      </c>
      <c r="L110">
        <f t="shared" si="8"/>
        <v>0.20400000000000001</v>
      </c>
      <c r="M110">
        <v>6.8000000000000005E-2</v>
      </c>
    </row>
    <row r="111" spans="1:13">
      <c r="A111" t="s">
        <v>287</v>
      </c>
      <c r="G111">
        <v>1</v>
      </c>
      <c r="H111">
        <f t="shared" si="9"/>
        <v>57</v>
      </c>
      <c r="I111">
        <f t="shared" si="10"/>
        <v>996</v>
      </c>
      <c r="J111">
        <v>332</v>
      </c>
      <c r="K111">
        <f t="shared" si="11"/>
        <v>3</v>
      </c>
      <c r="L111">
        <f t="shared" si="8"/>
        <v>0.20250000000000001</v>
      </c>
      <c r="M111">
        <v>6.7500000000000004E-2</v>
      </c>
    </row>
    <row r="112" spans="1:13">
      <c r="A112" t="s">
        <v>287</v>
      </c>
      <c r="G112">
        <v>1</v>
      </c>
      <c r="H112">
        <f t="shared" si="9"/>
        <v>57</v>
      </c>
      <c r="I112">
        <f t="shared" si="10"/>
        <v>1044</v>
      </c>
      <c r="J112">
        <v>348</v>
      </c>
      <c r="K112">
        <f t="shared" si="11"/>
        <v>3</v>
      </c>
      <c r="L112">
        <f t="shared" si="8"/>
        <v>0.20100000000000001</v>
      </c>
      <c r="M112">
        <v>6.7000000000000004E-2</v>
      </c>
    </row>
    <row r="113" spans="1:13">
      <c r="A113" t="s">
        <v>287</v>
      </c>
      <c r="G113">
        <v>1</v>
      </c>
      <c r="H113">
        <f t="shared" si="9"/>
        <v>57</v>
      </c>
      <c r="I113">
        <f t="shared" si="10"/>
        <v>1104</v>
      </c>
      <c r="J113">
        <v>368</v>
      </c>
      <c r="K113">
        <f t="shared" si="11"/>
        <v>3</v>
      </c>
      <c r="L113">
        <f t="shared" si="8"/>
        <v>0.19950000000000001</v>
      </c>
      <c r="M113">
        <v>6.6500000000000004E-2</v>
      </c>
    </row>
    <row r="114" spans="1:13">
      <c r="A114" t="s">
        <v>287</v>
      </c>
      <c r="G114">
        <v>1</v>
      </c>
      <c r="H114">
        <f t="shared" si="9"/>
        <v>57</v>
      </c>
      <c r="I114">
        <f t="shared" si="10"/>
        <v>1164</v>
      </c>
      <c r="J114">
        <v>388</v>
      </c>
      <c r="K114">
        <f t="shared" si="11"/>
        <v>3</v>
      </c>
      <c r="L114">
        <f t="shared" si="8"/>
        <v>0.19800000000000001</v>
      </c>
      <c r="M114">
        <v>6.6000000000000003E-2</v>
      </c>
    </row>
    <row r="115" spans="1:13">
      <c r="A115" t="s">
        <v>287</v>
      </c>
      <c r="G115">
        <v>1</v>
      </c>
      <c r="H115">
        <f t="shared" si="9"/>
        <v>57</v>
      </c>
      <c r="I115">
        <f t="shared" si="10"/>
        <v>1224</v>
      </c>
      <c r="J115">
        <v>408</v>
      </c>
      <c r="K115">
        <f t="shared" si="11"/>
        <v>3</v>
      </c>
      <c r="L115">
        <f t="shared" si="8"/>
        <v>0.19650000000000001</v>
      </c>
      <c r="M115">
        <v>6.5500000000000003E-2</v>
      </c>
    </row>
    <row r="116" spans="1:13">
      <c r="A116" t="s">
        <v>287</v>
      </c>
      <c r="G116">
        <v>1</v>
      </c>
      <c r="H116">
        <f t="shared" si="9"/>
        <v>57</v>
      </c>
      <c r="I116">
        <f t="shared" si="10"/>
        <v>1284</v>
      </c>
      <c r="J116">
        <v>428</v>
      </c>
      <c r="K116">
        <f t="shared" si="11"/>
        <v>3</v>
      </c>
      <c r="L116">
        <f t="shared" si="8"/>
        <v>0.19500000000000001</v>
      </c>
      <c r="M116">
        <v>6.5000000000000002E-2</v>
      </c>
    </row>
    <row r="129" spans="5:10">
      <c r="E129">
        <v>136</v>
      </c>
      <c r="F129">
        <v>137</v>
      </c>
      <c r="G129">
        <v>138</v>
      </c>
      <c r="H129">
        <v>139</v>
      </c>
      <c r="J129" t="str">
        <f>E129&amp;"_1,"&amp;F129&amp;"_1,"&amp;G129&amp;"_1,"&amp;H129&amp;"_1"</f>
        <v>136_1,137_1,138_1,139_1</v>
      </c>
    </row>
    <row r="130" spans="5:10">
      <c r="E130">
        <v>140</v>
      </c>
      <c r="F130">
        <v>141</v>
      </c>
      <c r="G130">
        <v>142</v>
      </c>
      <c r="H130">
        <v>143</v>
      </c>
      <c r="J130" t="str">
        <f t="shared" ref="J130:J146" si="12">E130&amp;"_1,"&amp;F130&amp;"_1,"&amp;G130&amp;"_1,"&amp;H130&amp;"_1"</f>
        <v>140_1,141_1,142_1,143_1</v>
      </c>
    </row>
    <row r="131" spans="5:10">
      <c r="E131">
        <v>144</v>
      </c>
      <c r="F131">
        <v>145</v>
      </c>
      <c r="G131">
        <v>146</v>
      </c>
      <c r="H131">
        <v>147</v>
      </c>
      <c r="J131" t="str">
        <f t="shared" si="12"/>
        <v>144_1,145_1,146_1,147_1</v>
      </c>
    </row>
    <row r="132" spans="5:10">
      <c r="E132">
        <v>148</v>
      </c>
      <c r="F132">
        <v>149</v>
      </c>
      <c r="G132">
        <v>150</v>
      </c>
      <c r="H132">
        <v>151</v>
      </c>
      <c r="J132" t="str">
        <f t="shared" si="12"/>
        <v>148_1,149_1,150_1,151_1</v>
      </c>
    </row>
    <row r="133" spans="5:10">
      <c r="E133">
        <v>152</v>
      </c>
      <c r="F133">
        <v>153</v>
      </c>
      <c r="G133">
        <v>154</v>
      </c>
      <c r="H133">
        <v>155</v>
      </c>
      <c r="J133" t="str">
        <f t="shared" si="12"/>
        <v>152_1,153_1,154_1,155_1</v>
      </c>
    </row>
    <row r="134" spans="5:10">
      <c r="E134">
        <v>156</v>
      </c>
      <c r="F134">
        <v>157</v>
      </c>
      <c r="G134">
        <v>158</v>
      </c>
      <c r="H134">
        <v>159</v>
      </c>
      <c r="J134" t="str">
        <f t="shared" si="12"/>
        <v>156_1,157_1,158_1,159_1</v>
      </c>
    </row>
    <row r="135" spans="5:10">
      <c r="E135">
        <v>160</v>
      </c>
      <c r="F135">
        <v>161</v>
      </c>
      <c r="G135">
        <v>162</v>
      </c>
      <c r="H135">
        <v>163</v>
      </c>
      <c r="J135" t="str">
        <f t="shared" si="12"/>
        <v>160_1,161_1,162_1,163_1</v>
      </c>
    </row>
    <row r="136" spans="5:10">
      <c r="E136">
        <v>164</v>
      </c>
      <c r="F136">
        <v>165</v>
      </c>
      <c r="G136">
        <v>166</v>
      </c>
      <c r="H136">
        <v>167</v>
      </c>
      <c r="J136" t="str">
        <f t="shared" si="12"/>
        <v>164_1,165_1,166_1,167_1</v>
      </c>
    </row>
    <row r="137" spans="5:10">
      <c r="E137">
        <v>168</v>
      </c>
      <c r="F137">
        <v>169</v>
      </c>
      <c r="G137">
        <v>170</v>
      </c>
      <c r="H137">
        <v>171</v>
      </c>
      <c r="J137" t="str">
        <f t="shared" si="12"/>
        <v>168_1,169_1,170_1,171_1</v>
      </c>
    </row>
    <row r="138" spans="5:10">
      <c r="E138">
        <v>172</v>
      </c>
      <c r="F138">
        <v>173</v>
      </c>
      <c r="G138">
        <v>174</v>
      </c>
      <c r="H138">
        <v>175</v>
      </c>
      <c r="J138" t="str">
        <f t="shared" si="12"/>
        <v>172_1,173_1,174_1,175_1</v>
      </c>
    </row>
    <row r="139" spans="5:10">
      <c r="E139">
        <v>176</v>
      </c>
      <c r="F139">
        <v>177</v>
      </c>
      <c r="G139">
        <v>178</v>
      </c>
      <c r="H139">
        <v>179</v>
      </c>
      <c r="J139" t="str">
        <f t="shared" si="12"/>
        <v>176_1,177_1,178_1,179_1</v>
      </c>
    </row>
    <row r="140" spans="5:10">
      <c r="E140">
        <v>180</v>
      </c>
      <c r="F140">
        <v>181</v>
      </c>
      <c r="G140">
        <v>182</v>
      </c>
      <c r="H140">
        <v>183</v>
      </c>
      <c r="J140" t="str">
        <f t="shared" si="12"/>
        <v>180_1,181_1,182_1,183_1</v>
      </c>
    </row>
    <row r="141" spans="5:10">
      <c r="E141">
        <v>184</v>
      </c>
      <c r="F141">
        <v>185</v>
      </c>
      <c r="G141">
        <v>186</v>
      </c>
      <c r="H141">
        <v>187</v>
      </c>
      <c r="J141" t="str">
        <f t="shared" si="12"/>
        <v>184_1,185_1,186_1,187_1</v>
      </c>
    </row>
    <row r="142" spans="5:10">
      <c r="E142">
        <v>188</v>
      </c>
      <c r="F142">
        <v>189</v>
      </c>
      <c r="G142">
        <v>190</v>
      </c>
      <c r="H142">
        <v>191</v>
      </c>
      <c r="J142" t="str">
        <f t="shared" si="12"/>
        <v>188_1,189_1,190_1,191_1</v>
      </c>
    </row>
    <row r="143" spans="5:10">
      <c r="E143">
        <v>192</v>
      </c>
      <c r="F143">
        <v>193</v>
      </c>
      <c r="G143">
        <v>194</v>
      </c>
      <c r="H143">
        <v>195</v>
      </c>
      <c r="J143" t="str">
        <f t="shared" si="12"/>
        <v>192_1,193_1,194_1,195_1</v>
      </c>
    </row>
    <row r="144" spans="5:10">
      <c r="E144">
        <v>196</v>
      </c>
      <c r="F144">
        <v>197</v>
      </c>
      <c r="G144">
        <v>198</v>
      </c>
      <c r="H144">
        <v>199</v>
      </c>
      <c r="J144" t="str">
        <f t="shared" si="12"/>
        <v>196_1,197_1,198_1,199_1</v>
      </c>
    </row>
    <row r="145" spans="5:10">
      <c r="E145">
        <v>200</v>
      </c>
      <c r="F145">
        <v>201</v>
      </c>
      <c r="G145">
        <v>202</v>
      </c>
      <c r="H145">
        <v>203</v>
      </c>
      <c r="J145" t="str">
        <f t="shared" si="12"/>
        <v>200_1,201_1,202_1,203_1</v>
      </c>
    </row>
    <row r="146" spans="5:10">
      <c r="E146">
        <v>204</v>
      </c>
      <c r="F146">
        <v>205</v>
      </c>
      <c r="G146">
        <v>206</v>
      </c>
      <c r="H146">
        <v>207</v>
      </c>
      <c r="J146" t="str">
        <f t="shared" si="12"/>
        <v>204_1,205_1,206_1,207_1</v>
      </c>
    </row>
  </sheetData>
  <mergeCells count="1">
    <mergeCell ref="A2:J2"/>
  </mergeCells>
  <phoneticPr fontId="4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AG218"/>
  <sheetViews>
    <sheetView topLeftCell="A22" workbookViewId="0">
      <selection activeCell="A38" sqref="A38"/>
    </sheetView>
  </sheetViews>
  <sheetFormatPr defaultRowHeight="13.5"/>
  <cols>
    <col min="2" max="2" width="19.25" customWidth="1"/>
    <col min="3" max="3" width="23.625" customWidth="1"/>
    <col min="4" max="4" width="21.25" customWidth="1"/>
    <col min="7" max="7" width="21.125" customWidth="1"/>
    <col min="8" max="8" width="20.75" customWidth="1"/>
    <col min="9" max="9" width="19.625" customWidth="1"/>
    <col min="10" max="10" width="20.75" customWidth="1"/>
    <col min="11" max="11" width="16.75" customWidth="1"/>
    <col min="12" max="12" width="17" customWidth="1"/>
    <col min="13" max="13" width="16.75" customWidth="1"/>
    <col min="14" max="14" width="15.25" customWidth="1"/>
    <col min="15" max="15" width="14.25" customWidth="1"/>
  </cols>
  <sheetData>
    <row r="1" spans="1:27">
      <c r="B1" t="s">
        <v>586</v>
      </c>
      <c r="C1" t="s">
        <v>587</v>
      </c>
      <c r="D1" t="s">
        <v>586</v>
      </c>
      <c r="E1" t="s">
        <v>587</v>
      </c>
      <c r="S1">
        <v>40001</v>
      </c>
      <c r="T1">
        <v>40002</v>
      </c>
      <c r="U1">
        <v>40003</v>
      </c>
      <c r="V1">
        <v>40004</v>
      </c>
      <c r="W1">
        <v>40005</v>
      </c>
    </row>
    <row r="2" spans="1:27">
      <c r="A2" s="10">
        <v>1</v>
      </c>
      <c r="B2">
        <v>1</v>
      </c>
      <c r="C2">
        <v>1</v>
      </c>
      <c r="D2">
        <v>5</v>
      </c>
      <c r="E2">
        <v>0</v>
      </c>
      <c r="G2" t="str">
        <f>R2&amp;"_0_1_"&amp;ROUNDDOWN([1]关卡!M8*$C2,0)</f>
        <v>4000101_0_1_400</v>
      </c>
      <c r="H2" t="str">
        <f>S2&amp;"_0_1_"&amp;ROUNDDOWN([1]关卡!N8*$C2,0)</f>
        <v>4000201_0_1_360</v>
      </c>
      <c r="I2" t="str">
        <f>T2&amp;"_0_1_"&amp;ROUNDDOWN([1]关卡!O8*$C2,0)</f>
        <v>4000301_0_1_160</v>
      </c>
      <c r="J2" t="str">
        <f>U2&amp;"_0_1_"&amp;ROUNDDOWN([1]关卡!P8*$C2,0)</f>
        <v>4000401_0_1_0</v>
      </c>
      <c r="K2" t="str">
        <f>V2&amp;"_0_1_"&amp;ROUNDDOWN([1]关卡!Q8*$C2,0)</f>
        <v>4000501_0_1_0</v>
      </c>
      <c r="L2" t="str">
        <f>W2&amp;"_0_1_"&amp;ROUNDDOWN([1]关卡!M8*$E2,0)</f>
        <v>4000105_0_1_0</v>
      </c>
      <c r="M2" t="str">
        <f>X2&amp;"_0_1_"&amp;ROUNDDOWN([1]关卡!N8*$E2,0)</f>
        <v>4000205_0_1_0</v>
      </c>
      <c r="N2" t="str">
        <f>Y2&amp;"_0_1_"&amp;ROUNDDOWN([1]关卡!O8*$E2,0)</f>
        <v>4000305_0_1_0</v>
      </c>
      <c r="O2" t="str">
        <f>Z2&amp;"_0_1_"&amp;ROUNDDOWN([1]关卡!P8*$E2,0)</f>
        <v>4000405_0_1_0</v>
      </c>
      <c r="P2" t="str">
        <f>AA2&amp;"_0_1_"&amp;ROUNDDOWN([1]关卡!Q8*$E2,0)</f>
        <v>4000505_0_1_0</v>
      </c>
      <c r="R2">
        <v>4000101</v>
      </c>
      <c r="S2">
        <v>4000201</v>
      </c>
      <c r="T2">
        <v>4000301</v>
      </c>
      <c r="U2">
        <v>4000401</v>
      </c>
      <c r="V2">
        <v>4000501</v>
      </c>
      <c r="W2">
        <v>4000105</v>
      </c>
      <c r="X2">
        <v>4000205</v>
      </c>
      <c r="Y2">
        <v>4000305</v>
      </c>
      <c r="Z2">
        <v>4000405</v>
      </c>
      <c r="AA2">
        <v>4000505</v>
      </c>
    </row>
    <row r="3" spans="1:27">
      <c r="A3" s="10">
        <v>2</v>
      </c>
      <c r="B3">
        <v>1</v>
      </c>
      <c r="C3">
        <v>0.5</v>
      </c>
      <c r="D3">
        <v>5</v>
      </c>
      <c r="E3">
        <v>0.5</v>
      </c>
      <c r="G3" t="str">
        <f>R3&amp;"_0_1_"&amp;ROUNDDOWN([1]关卡!M9*$C3,0)</f>
        <v>4000101_0_1_199</v>
      </c>
      <c r="H3" t="str">
        <f>S3&amp;"_0_1_"&amp;ROUNDDOWN([1]关卡!N9*$C3,0)</f>
        <v>4000201_0_1_179</v>
      </c>
      <c r="I3" t="str">
        <f>T3&amp;"_0_1_"&amp;ROUNDDOWN([1]关卡!O9*$C3,0)</f>
        <v>4000301_0_1_81</v>
      </c>
      <c r="J3" t="str">
        <f>U3&amp;"_0_1_"&amp;ROUNDDOWN([1]关卡!P9*$C3,0)</f>
        <v>4000401_0_1_0</v>
      </c>
      <c r="K3" t="str">
        <f>V3&amp;"_0_1_"&amp;ROUNDDOWN([1]关卡!Q9*$C3,0)</f>
        <v>4000501_0_1_0</v>
      </c>
      <c r="L3" t="str">
        <f>W3&amp;"_0_1_"&amp;ROUNDDOWN([1]关卡!M9*$E3,0)</f>
        <v>4000105_0_1_199</v>
      </c>
      <c r="M3" t="str">
        <f>X3&amp;"_0_1_"&amp;ROUNDDOWN([1]关卡!N9*$E3,0)</f>
        <v>4000205_0_1_179</v>
      </c>
      <c r="N3" t="str">
        <f>Y3&amp;"_0_1_"&amp;ROUNDDOWN([1]关卡!O9*$E3,0)</f>
        <v>4000305_0_1_81</v>
      </c>
      <c r="O3" t="str">
        <f>Z3&amp;"_0_1_"&amp;ROUNDDOWN([1]关卡!P9*$E3,0)</f>
        <v>4000405_0_1_0</v>
      </c>
      <c r="P3" t="str">
        <f>AA3&amp;"_0_1_"&amp;ROUNDDOWN([1]关卡!Q9*$E3,0)</f>
        <v>4000505_0_1_0</v>
      </c>
      <c r="R3">
        <v>4000101</v>
      </c>
      <c r="S3">
        <v>4000201</v>
      </c>
      <c r="T3">
        <v>4000301</v>
      </c>
      <c r="U3">
        <v>4000401</v>
      </c>
      <c r="V3">
        <v>4000501</v>
      </c>
      <c r="W3">
        <v>4000105</v>
      </c>
      <c r="X3">
        <v>4000205</v>
      </c>
      <c r="Y3">
        <v>4000305</v>
      </c>
      <c r="Z3">
        <v>4000405</v>
      </c>
      <c r="AA3">
        <v>4000505</v>
      </c>
    </row>
    <row r="4" spans="1:27">
      <c r="A4" s="10">
        <v>3</v>
      </c>
      <c r="B4">
        <v>1</v>
      </c>
      <c r="C4">
        <v>0.2</v>
      </c>
      <c r="D4">
        <v>5</v>
      </c>
      <c r="E4">
        <v>0.8</v>
      </c>
      <c r="G4" t="str">
        <f>R4&amp;"_0_1_"&amp;ROUNDDOWN([1]关卡!M10*$C4,0)</f>
        <v>4000101_0_1_79</v>
      </c>
      <c r="H4" t="str">
        <f>S4&amp;"_0_1_"&amp;ROUNDDOWN([1]关卡!N10*$C4,0)</f>
        <v>4000201_0_1_71</v>
      </c>
      <c r="I4" t="str">
        <f>T4&amp;"_0_1_"&amp;ROUNDDOWN([1]关卡!O10*$C4,0)</f>
        <v>4000301_0_1_33</v>
      </c>
      <c r="J4" t="str">
        <f>U4&amp;"_0_1_"&amp;ROUNDDOWN([1]关卡!P10*$C4,0)</f>
        <v>4000401_0_1_0</v>
      </c>
      <c r="K4" t="str">
        <f>V4&amp;"_0_1_"&amp;ROUNDDOWN([1]关卡!Q10*$C4,0)</f>
        <v>4000501_0_1_0</v>
      </c>
      <c r="L4" t="str">
        <f>W4&amp;"_0_1_"&amp;ROUNDDOWN([1]关卡!M10*$E4,0)</f>
        <v>4000105_0_1_318</v>
      </c>
      <c r="M4" t="str">
        <f>X4&amp;"_0_1_"&amp;ROUNDDOWN([1]关卡!N10*$E4,0)</f>
        <v>4000205_0_1_284</v>
      </c>
      <c r="N4" t="str">
        <f>Y4&amp;"_0_1_"&amp;ROUNDDOWN([1]关卡!O10*$E4,0)</f>
        <v>4000305_0_1_132</v>
      </c>
      <c r="O4" t="str">
        <f>Z4&amp;"_0_1_"&amp;ROUNDDOWN([1]关卡!P10*$E4,0)</f>
        <v>4000405_0_1_0</v>
      </c>
      <c r="P4" t="str">
        <f>AA4&amp;"_0_1_"&amp;ROUNDDOWN([1]关卡!Q10*$E4,0)</f>
        <v>4000505_0_1_0</v>
      </c>
      <c r="R4">
        <v>4000101</v>
      </c>
      <c r="S4">
        <v>4000201</v>
      </c>
      <c r="T4">
        <v>4000301</v>
      </c>
      <c r="U4">
        <v>4000401</v>
      </c>
      <c r="V4">
        <v>4000501</v>
      </c>
      <c r="W4">
        <v>4000105</v>
      </c>
      <c r="X4">
        <v>4000205</v>
      </c>
      <c r="Y4">
        <v>4000305</v>
      </c>
      <c r="Z4">
        <v>4000405</v>
      </c>
      <c r="AA4">
        <v>4000505</v>
      </c>
    </row>
    <row r="5" spans="1:27">
      <c r="A5" s="10">
        <v>5</v>
      </c>
      <c r="B5">
        <f>ROUNDDOWN(A5/5,0)*5</f>
        <v>5</v>
      </c>
      <c r="C5">
        <f>(D5-A5)/5</f>
        <v>1</v>
      </c>
      <c r="D5">
        <f>B5+5</f>
        <v>10</v>
      </c>
      <c r="E5">
        <f>1-C5</f>
        <v>0</v>
      </c>
      <c r="G5" t="str">
        <f>R5&amp;"_0_1_"&amp;ROUNDDOWN([1]关卡!M11*$C5,0)</f>
        <v>4000105_0_1_397</v>
      </c>
      <c r="H5" t="str">
        <f>S5&amp;"_0_1_"&amp;ROUNDDOWN([1]关卡!N11*$C5,0)</f>
        <v>4000205_0_1_354</v>
      </c>
      <c r="I5" t="str">
        <f>T5&amp;"_0_1_"&amp;ROUNDDOWN([1]关卡!O11*$C5,0)</f>
        <v>4000305_0_1_169</v>
      </c>
      <c r="J5" t="str">
        <f>U5&amp;"_0_1_"&amp;ROUNDDOWN([1]关卡!P11*$C5,0)</f>
        <v>4000405_0_1_0</v>
      </c>
      <c r="K5" t="str">
        <f>V5&amp;"_0_1_"&amp;ROUNDDOWN([1]关卡!Q11*$C5,0)</f>
        <v>4000505_0_1_0</v>
      </c>
      <c r="L5" t="str">
        <f>W5&amp;"_0_1_"&amp;ROUNDDOWN([1]关卡!M11*$E5,0)</f>
        <v>4000110_0_1_0</v>
      </c>
      <c r="M5" t="str">
        <f>X5&amp;"_0_1_"&amp;ROUNDDOWN([1]关卡!N11*$E5,0)</f>
        <v>4000210_0_1_0</v>
      </c>
      <c r="N5" t="str">
        <f>Y5&amp;"_0_1_"&amp;ROUNDDOWN([1]关卡!O11*$E5,0)</f>
        <v>4000310_0_1_0</v>
      </c>
      <c r="O5" t="str">
        <f>Z5&amp;"_0_1_"&amp;ROUNDDOWN([1]关卡!P11*$E5,0)</f>
        <v>4000410_0_1_0</v>
      </c>
      <c r="P5" t="str">
        <f>AA5&amp;"_0_1_"&amp;ROUNDDOWN([1]关卡!Q11*$E5,0)</f>
        <v>4000510_0_1_0</v>
      </c>
      <c r="R5">
        <v>4000105</v>
      </c>
      <c r="S5">
        <v>4000205</v>
      </c>
      <c r="T5">
        <v>4000305</v>
      </c>
      <c r="U5">
        <v>4000405</v>
      </c>
      <c r="V5">
        <v>4000505</v>
      </c>
      <c r="W5" t="s">
        <v>588</v>
      </c>
      <c r="X5" t="s">
        <v>589</v>
      </c>
      <c r="Y5" t="s">
        <v>590</v>
      </c>
      <c r="Z5" t="s">
        <v>591</v>
      </c>
      <c r="AA5" t="s">
        <v>592</v>
      </c>
    </row>
    <row r="6" spans="1:27">
      <c r="A6" s="10">
        <v>7</v>
      </c>
      <c r="B6">
        <f t="shared" ref="B6:B28" si="0">ROUNDDOWN(A6/5,0)*5</f>
        <v>5</v>
      </c>
      <c r="C6">
        <f t="shared" ref="C6:C21" si="1">(D6-A6)/5</f>
        <v>0.6</v>
      </c>
      <c r="D6">
        <f t="shared" ref="D6:D22" si="2">B6+5</f>
        <v>10</v>
      </c>
      <c r="E6">
        <f t="shared" ref="E6:E21" si="3">1-C6</f>
        <v>0.4</v>
      </c>
      <c r="G6" t="str">
        <f>R6&amp;"_0_1_"&amp;ROUNDDOWN([1]关卡!M12*$C6,0)</f>
        <v>4000105_0_1_291</v>
      </c>
      <c r="H6" t="str">
        <f>S6&amp;"_0_1_"&amp;ROUNDDOWN([1]关卡!N12*$C6,0)</f>
        <v>4000205_0_1_259</v>
      </c>
      <c r="I6" t="str">
        <f>T6&amp;"_0_1_"&amp;ROUNDDOWN([1]关卡!O12*$C6,0)</f>
        <v>4000305_0_1_126</v>
      </c>
      <c r="J6" t="str">
        <f>U6&amp;"_0_1_"&amp;ROUNDDOWN([1]关卡!P12*$C6,0)</f>
        <v>4000405_0_1_0</v>
      </c>
      <c r="K6" t="str">
        <f>V6&amp;"_0_1_"&amp;ROUNDDOWN([1]关卡!Q12*$C6,0)</f>
        <v>4000505_0_1_0</v>
      </c>
      <c r="L6" t="str">
        <f>W6&amp;"_0_1_"&amp;ROUNDDOWN([1]关卡!M12*$E6,0)</f>
        <v>4000110_0_1_194</v>
      </c>
      <c r="M6" t="str">
        <f>X6&amp;"_0_1_"&amp;ROUNDDOWN([1]关卡!N12*$E6,0)</f>
        <v>4000210_0_1_172</v>
      </c>
      <c r="N6" t="str">
        <f>Y6&amp;"_0_1_"&amp;ROUNDDOWN([1]关卡!O12*$E6,0)</f>
        <v>4000310_0_1_84</v>
      </c>
      <c r="O6" t="str">
        <f>Z6&amp;"_0_1_"&amp;ROUNDDOWN([1]关卡!P12*$E6,0)</f>
        <v>4000410_0_1_0</v>
      </c>
      <c r="P6" t="str">
        <f>AA6&amp;"_0_1_"&amp;ROUNDDOWN([1]关卡!Q12*$E6,0)</f>
        <v>4000510_0_1_0</v>
      </c>
      <c r="R6">
        <v>4000105</v>
      </c>
      <c r="S6">
        <v>4000205</v>
      </c>
      <c r="T6">
        <v>4000305</v>
      </c>
      <c r="U6">
        <v>4000405</v>
      </c>
      <c r="V6">
        <v>4000505</v>
      </c>
      <c r="W6" t="s">
        <v>588</v>
      </c>
      <c r="X6" t="s">
        <v>589</v>
      </c>
      <c r="Y6" t="s">
        <v>590</v>
      </c>
      <c r="Z6" t="s">
        <v>591</v>
      </c>
      <c r="AA6" t="s">
        <v>592</v>
      </c>
    </row>
    <row r="7" spans="1:27">
      <c r="A7" s="10">
        <v>9</v>
      </c>
      <c r="B7">
        <f t="shared" si="0"/>
        <v>5</v>
      </c>
      <c r="C7">
        <f t="shared" si="1"/>
        <v>0.2</v>
      </c>
      <c r="D7">
        <f t="shared" si="2"/>
        <v>10</v>
      </c>
      <c r="E7">
        <f t="shared" si="3"/>
        <v>0.8</v>
      </c>
      <c r="G7" t="str">
        <f>R7&amp;"_0_1_"&amp;ROUNDDOWN([1]关卡!M13*$C7,0)</f>
        <v>4000105_0_1_96</v>
      </c>
      <c r="H7" t="str">
        <f>S7&amp;"_0_1_"&amp;ROUNDDOWN([1]关卡!N13*$C7,0)</f>
        <v>4000205_0_1_85</v>
      </c>
      <c r="I7" t="str">
        <f>T7&amp;"_0_1_"&amp;ROUNDDOWN([1]关卡!O13*$C7,0)</f>
        <v>4000305_0_1_43</v>
      </c>
      <c r="J7" t="str">
        <f>U7&amp;"_0_1_"&amp;ROUNDDOWN([1]关卡!P13*$C7,0)</f>
        <v>4000405_0_1_0</v>
      </c>
      <c r="K7" t="str">
        <f>V7&amp;"_0_1_"&amp;ROUNDDOWN([1]关卡!Q13*$C7,0)</f>
        <v>4000505_0_1_0</v>
      </c>
      <c r="L7" t="str">
        <f>W7&amp;"_0_1_"&amp;ROUNDDOWN([1]关卡!M13*$E7,0)</f>
        <v>4000110_0_1_386</v>
      </c>
      <c r="M7" t="str">
        <f>X7&amp;"_0_1_"&amp;ROUNDDOWN([1]关卡!N13*$E7,0)</f>
        <v>4000210_0_1_343</v>
      </c>
      <c r="N7" t="str">
        <f>Y7&amp;"_0_1_"&amp;ROUNDDOWN([1]关卡!O13*$E7,0)</f>
        <v>4000310_0_1_172</v>
      </c>
      <c r="O7" t="str">
        <f>Z7&amp;"_0_1_"&amp;ROUNDDOWN([1]关卡!P13*$E7,0)</f>
        <v>4000410_0_1_0</v>
      </c>
      <c r="P7" t="str">
        <f>AA7&amp;"_0_1_"&amp;ROUNDDOWN([1]关卡!Q13*$E7,0)</f>
        <v>4000510_0_1_0</v>
      </c>
      <c r="R7">
        <v>4000105</v>
      </c>
      <c r="S7">
        <v>4000205</v>
      </c>
      <c r="T7">
        <v>4000305</v>
      </c>
      <c r="U7">
        <v>4000405</v>
      </c>
      <c r="V7">
        <v>4000505</v>
      </c>
      <c r="W7" t="s">
        <v>588</v>
      </c>
      <c r="X7" t="s">
        <v>589</v>
      </c>
      <c r="Y7" t="s">
        <v>590</v>
      </c>
      <c r="Z7" t="s">
        <v>591</v>
      </c>
      <c r="AA7" t="s">
        <v>592</v>
      </c>
    </row>
    <row r="8" spans="1:27">
      <c r="A8" s="10">
        <v>11</v>
      </c>
      <c r="B8">
        <f t="shared" si="0"/>
        <v>10</v>
      </c>
      <c r="C8">
        <f t="shared" si="1"/>
        <v>0.8</v>
      </c>
      <c r="D8">
        <f t="shared" si="2"/>
        <v>15</v>
      </c>
      <c r="E8">
        <f t="shared" si="3"/>
        <v>0.19999999999999996</v>
      </c>
      <c r="G8" t="str">
        <f>R8&amp;"_0_1_"&amp;ROUNDDOWN([1]关卡!M14*$C8,0)</f>
        <v>4000110_0_1_384</v>
      </c>
      <c r="H8" t="str">
        <f>S8&amp;"_0_1_"&amp;ROUNDDOWN([1]关卡!N14*$C8,0)</f>
        <v>4000210_0_1_341</v>
      </c>
      <c r="I8" t="str">
        <f>T8&amp;"_0_1_"&amp;ROUNDDOWN([1]关卡!O14*$C8,0)</f>
        <v>4000310_0_1_175</v>
      </c>
      <c r="J8" t="str">
        <f>U8&amp;"_0_1_"&amp;ROUNDDOWN([1]关卡!P14*$C8,0)</f>
        <v>4000410_0_1_0</v>
      </c>
      <c r="K8" t="str">
        <f>V8&amp;"_0_1_"&amp;ROUNDDOWN([1]关卡!Q14*$C8,0)</f>
        <v>4000510_0_1_0</v>
      </c>
      <c r="L8" t="str">
        <f>W8&amp;"_0_1_"&amp;ROUNDDOWN([1]关卡!M14*$E8,0)</f>
        <v>4000115_0_1_96</v>
      </c>
      <c r="M8" t="str">
        <f>X8&amp;"_0_1_"&amp;ROUNDDOWN([1]关卡!N14*$E8,0)</f>
        <v>4000215_0_1_85</v>
      </c>
      <c r="N8" t="str">
        <f>Y8&amp;"_0_1_"&amp;ROUNDDOWN([1]关卡!O14*$E8,0)</f>
        <v>4000315_0_1_43</v>
      </c>
      <c r="O8" t="str">
        <f>Z8&amp;"_0_1_"&amp;ROUNDDOWN([1]关卡!P14*$E8,0)</f>
        <v>4000415_0_1_0</v>
      </c>
      <c r="P8" t="str">
        <f>AA8&amp;"_0_1_"&amp;ROUNDDOWN([1]关卡!Q14*$E8,0)</f>
        <v>4000515_0_1_0</v>
      </c>
      <c r="R8" t="str">
        <f t="shared" ref="R8:V17" si="4">S$1&amp;$B8</f>
        <v>4000110</v>
      </c>
      <c r="S8" t="str">
        <f t="shared" si="4"/>
        <v>4000210</v>
      </c>
      <c r="T8" t="str">
        <f t="shared" si="4"/>
        <v>4000310</v>
      </c>
      <c r="U8" t="str">
        <f t="shared" si="4"/>
        <v>4000410</v>
      </c>
      <c r="V8" t="str">
        <f t="shared" si="4"/>
        <v>4000510</v>
      </c>
      <c r="W8" t="str">
        <f t="shared" ref="W8:W36" si="5">S$1&amp;$D8</f>
        <v>4000115</v>
      </c>
      <c r="X8" t="str">
        <f t="shared" ref="X8:X36" si="6">T$1&amp;$D8</f>
        <v>4000215</v>
      </c>
      <c r="Y8" t="str">
        <f t="shared" ref="Y8:Y36" si="7">U$1&amp;$D8</f>
        <v>4000315</v>
      </c>
      <c r="Z8" t="str">
        <f t="shared" ref="Z8:Z36" si="8">V$1&amp;$D8</f>
        <v>4000415</v>
      </c>
      <c r="AA8" t="str">
        <f t="shared" ref="AA8:AA36" si="9">W$1&amp;$D8</f>
        <v>4000515</v>
      </c>
    </row>
    <row r="9" spans="1:27">
      <c r="A9" s="10">
        <v>13</v>
      </c>
      <c r="B9">
        <f t="shared" si="0"/>
        <v>10</v>
      </c>
      <c r="C9">
        <f t="shared" si="1"/>
        <v>0.4</v>
      </c>
      <c r="D9">
        <f t="shared" si="2"/>
        <v>15</v>
      </c>
      <c r="E9">
        <f t="shared" si="3"/>
        <v>0.6</v>
      </c>
      <c r="G9" t="str">
        <f>R9&amp;"_0_1_"&amp;ROUNDDOWN([1]关卡!M15*$C9,0)</f>
        <v>4000110_0_1_197</v>
      </c>
      <c r="H9" t="str">
        <f>S9&amp;"_0_1_"&amp;ROUNDDOWN([1]关卡!N15*$C9,0)</f>
        <v>4000210_0_1_174</v>
      </c>
      <c r="I9" t="str">
        <f>T9&amp;"_0_1_"&amp;ROUNDDOWN([1]关卡!O15*$C9,0)</f>
        <v>4000310_0_1_92</v>
      </c>
      <c r="J9" t="str">
        <f>U9&amp;"_0_1_"&amp;ROUNDDOWN([1]关卡!P15*$C9,0)</f>
        <v>4000410_0_1_0</v>
      </c>
      <c r="K9" t="str">
        <f>V9&amp;"_0_1_"&amp;ROUNDDOWN([1]关卡!Q15*$C9,0)</f>
        <v>4000510_0_1_0</v>
      </c>
      <c r="L9" t="str">
        <f>W9&amp;"_0_1_"&amp;ROUNDDOWN([1]关卡!M15*$E9,0)</f>
        <v>4000115_0_1_296</v>
      </c>
      <c r="M9" t="str">
        <f>X9&amp;"_0_1_"&amp;ROUNDDOWN([1]关卡!N15*$E9,0)</f>
        <v>4000215_0_1_261</v>
      </c>
      <c r="N9" t="str">
        <f>Y9&amp;"_0_1_"&amp;ROUNDDOWN([1]关卡!O15*$E9,0)</f>
        <v>4000315_0_1_138</v>
      </c>
      <c r="O9" t="str">
        <f>Z9&amp;"_0_1_"&amp;ROUNDDOWN([1]关卡!P15*$E9,0)</f>
        <v>4000415_0_1_0</v>
      </c>
      <c r="P9" t="str">
        <f>AA9&amp;"_0_1_"&amp;ROUNDDOWN([1]关卡!Q15*$E9,0)</f>
        <v>4000515_0_1_0</v>
      </c>
      <c r="R9" t="str">
        <f t="shared" si="4"/>
        <v>4000110</v>
      </c>
      <c r="S9" t="str">
        <f t="shared" si="4"/>
        <v>4000210</v>
      </c>
      <c r="T9" t="str">
        <f t="shared" si="4"/>
        <v>4000310</v>
      </c>
      <c r="U9" t="str">
        <f t="shared" si="4"/>
        <v>4000410</v>
      </c>
      <c r="V9" t="str">
        <f t="shared" si="4"/>
        <v>4000510</v>
      </c>
      <c r="W9" t="str">
        <f t="shared" si="5"/>
        <v>4000115</v>
      </c>
      <c r="X9" t="str">
        <f t="shared" si="6"/>
        <v>4000215</v>
      </c>
      <c r="Y9" t="str">
        <f t="shared" si="7"/>
        <v>4000315</v>
      </c>
      <c r="Z9" t="str">
        <f t="shared" si="8"/>
        <v>4000415</v>
      </c>
      <c r="AA9" t="str">
        <f t="shared" si="9"/>
        <v>4000515</v>
      </c>
    </row>
    <row r="10" spans="1:27">
      <c r="A10" s="10">
        <v>15</v>
      </c>
      <c r="B10">
        <f t="shared" si="0"/>
        <v>15</v>
      </c>
      <c r="C10">
        <f t="shared" si="1"/>
        <v>1</v>
      </c>
      <c r="D10">
        <f t="shared" si="2"/>
        <v>20</v>
      </c>
      <c r="E10">
        <f t="shared" si="3"/>
        <v>0</v>
      </c>
      <c r="G10" t="str">
        <f>R10&amp;"_0_1_"&amp;ROUNDDOWN([1]关卡!M16*$C10,0)</f>
        <v>4000115_0_1_501</v>
      </c>
      <c r="H10" t="str">
        <f>S10&amp;"_0_1_"&amp;ROUNDDOWN([1]关卡!N16*$C10,0)</f>
        <v>4000215_0_1_441</v>
      </c>
      <c r="I10" t="str">
        <f>T10&amp;"_0_1_"&amp;ROUNDDOWN([1]关卡!O16*$C10,0)</f>
        <v>4000315_0_1_238</v>
      </c>
      <c r="J10" t="str">
        <f>U10&amp;"_0_1_"&amp;ROUNDDOWN([1]关卡!P16*$C10,0)</f>
        <v>4000415_0_1_12</v>
      </c>
      <c r="K10" t="str">
        <f>V10&amp;"_0_1_"&amp;ROUNDDOWN([1]关卡!Q16*$C10,0)</f>
        <v>4000515_0_1_0</v>
      </c>
      <c r="L10" t="str">
        <f>W10&amp;"_0_1_"&amp;ROUNDDOWN([1]关卡!M16*$E10,0)</f>
        <v>4000120_0_1_0</v>
      </c>
      <c r="M10" t="str">
        <f>X10&amp;"_0_1_"&amp;ROUNDDOWN([1]关卡!N16*$E10,0)</f>
        <v>4000220_0_1_0</v>
      </c>
      <c r="N10" t="str">
        <f>Y10&amp;"_0_1_"&amp;ROUNDDOWN([1]关卡!O16*$E10,0)</f>
        <v>4000320_0_1_0</v>
      </c>
      <c r="O10" t="str">
        <f>Z10&amp;"_0_1_"&amp;ROUNDDOWN([1]关卡!P16*$E10,0)</f>
        <v>4000420_0_1_0</v>
      </c>
      <c r="P10" t="str">
        <f>AA10&amp;"_0_1_"&amp;ROUNDDOWN([1]关卡!Q16*$E10,0)</f>
        <v>4000520_0_1_0</v>
      </c>
      <c r="R10" t="str">
        <f t="shared" si="4"/>
        <v>4000115</v>
      </c>
      <c r="S10" t="str">
        <f t="shared" si="4"/>
        <v>4000215</v>
      </c>
      <c r="T10" t="str">
        <f t="shared" si="4"/>
        <v>4000315</v>
      </c>
      <c r="U10" t="str">
        <f t="shared" si="4"/>
        <v>4000415</v>
      </c>
      <c r="V10" t="str">
        <f t="shared" si="4"/>
        <v>4000515</v>
      </c>
      <c r="W10" t="str">
        <f t="shared" si="5"/>
        <v>4000120</v>
      </c>
      <c r="X10" t="str">
        <f t="shared" si="6"/>
        <v>4000220</v>
      </c>
      <c r="Y10" t="str">
        <f t="shared" si="7"/>
        <v>4000320</v>
      </c>
      <c r="Z10" t="str">
        <f t="shared" si="8"/>
        <v>4000420</v>
      </c>
      <c r="AA10" t="str">
        <f t="shared" si="9"/>
        <v>4000520</v>
      </c>
    </row>
    <row r="11" spans="1:27">
      <c r="A11" s="10">
        <v>17</v>
      </c>
      <c r="B11">
        <f t="shared" si="0"/>
        <v>15</v>
      </c>
      <c r="C11">
        <f t="shared" si="1"/>
        <v>0.6</v>
      </c>
      <c r="D11">
        <f t="shared" si="2"/>
        <v>20</v>
      </c>
      <c r="E11">
        <f t="shared" si="3"/>
        <v>0.4</v>
      </c>
      <c r="G11" t="str">
        <f>R11&amp;"_0_1_"&amp;ROUNDDOWN([1]关卡!M17*$C11,0)</f>
        <v>4000115_0_1_304</v>
      </c>
      <c r="H11" t="str">
        <f>S11&amp;"_0_1_"&amp;ROUNDDOWN([1]关卡!N17*$C11,0)</f>
        <v>4000215_0_1_267</v>
      </c>
      <c r="I11" t="str">
        <f>T11&amp;"_0_1_"&amp;ROUNDDOWN([1]关卡!O17*$C11,0)</f>
        <v>4000315_0_1_148</v>
      </c>
      <c r="J11" t="str">
        <f>U11&amp;"_0_1_"&amp;ROUNDDOWN([1]关卡!P17*$C11,0)</f>
        <v>4000415_0_1_15</v>
      </c>
      <c r="K11" t="str">
        <f>V11&amp;"_0_1_"&amp;ROUNDDOWN([1]关卡!Q17*$C11,0)</f>
        <v>4000515_0_1_0</v>
      </c>
      <c r="L11" t="str">
        <f>W11&amp;"_0_1_"&amp;ROUNDDOWN([1]关卡!M17*$E11,0)</f>
        <v>4000120_0_1_202</v>
      </c>
      <c r="M11" t="str">
        <f>X11&amp;"_0_1_"&amp;ROUNDDOWN([1]关卡!N17*$E11,0)</f>
        <v>4000220_0_1_178</v>
      </c>
      <c r="N11" t="str">
        <f>Y11&amp;"_0_1_"&amp;ROUNDDOWN([1]关卡!O17*$E11,0)</f>
        <v>4000320_0_1_98</v>
      </c>
      <c r="O11" t="str">
        <f>Z11&amp;"_0_1_"&amp;ROUNDDOWN([1]关卡!P17*$E11,0)</f>
        <v>4000420_0_1_10</v>
      </c>
      <c r="P11" t="str">
        <f>AA11&amp;"_0_1_"&amp;ROUNDDOWN([1]关卡!Q17*$E11,0)</f>
        <v>4000520_0_1_0</v>
      </c>
      <c r="R11" t="str">
        <f t="shared" si="4"/>
        <v>4000115</v>
      </c>
      <c r="S11" t="str">
        <f t="shared" si="4"/>
        <v>4000215</v>
      </c>
      <c r="T11" t="str">
        <f t="shared" si="4"/>
        <v>4000315</v>
      </c>
      <c r="U11" t="str">
        <f t="shared" si="4"/>
        <v>4000415</v>
      </c>
      <c r="V11" t="str">
        <f t="shared" si="4"/>
        <v>4000515</v>
      </c>
      <c r="W11" t="str">
        <f t="shared" si="5"/>
        <v>4000120</v>
      </c>
      <c r="X11" t="str">
        <f t="shared" si="6"/>
        <v>4000220</v>
      </c>
      <c r="Y11" t="str">
        <f t="shared" si="7"/>
        <v>4000320</v>
      </c>
      <c r="Z11" t="str">
        <f t="shared" si="8"/>
        <v>4000420</v>
      </c>
      <c r="AA11" t="str">
        <f t="shared" si="9"/>
        <v>4000520</v>
      </c>
    </row>
    <row r="12" spans="1:27">
      <c r="A12" s="10">
        <v>19</v>
      </c>
      <c r="B12">
        <f t="shared" si="0"/>
        <v>15</v>
      </c>
      <c r="C12">
        <f t="shared" si="1"/>
        <v>0.2</v>
      </c>
      <c r="D12">
        <f t="shared" si="2"/>
        <v>20</v>
      </c>
      <c r="E12">
        <f t="shared" si="3"/>
        <v>0.8</v>
      </c>
      <c r="G12" t="str">
        <f>R12&amp;"_0_1_"&amp;ROUNDDOWN([1]关卡!M18*$C12,0)</f>
        <v>4000115_0_1_99</v>
      </c>
      <c r="H12" t="str">
        <f>S12&amp;"_0_1_"&amp;ROUNDDOWN([1]关卡!N18*$C12,0)</f>
        <v>4000215_0_1_86</v>
      </c>
      <c r="I12" t="str">
        <f>T12&amp;"_0_1_"&amp;ROUNDDOWN([1]关卡!O18*$C12,0)</f>
        <v>4000315_0_1_49</v>
      </c>
      <c r="J12" t="str">
        <f>U12&amp;"_0_1_"&amp;ROUNDDOWN([1]关卡!P18*$C12,0)</f>
        <v>4000415_0_1_7</v>
      </c>
      <c r="K12" t="str">
        <f>V12&amp;"_0_1_"&amp;ROUNDDOWN([1]关卡!Q18*$C12,0)</f>
        <v>4000515_0_1_0</v>
      </c>
      <c r="L12" t="str">
        <f>W12&amp;"_0_1_"&amp;ROUNDDOWN([1]关卡!M18*$E12,0)</f>
        <v>4000120_0_1_397</v>
      </c>
      <c r="M12" t="str">
        <f>X12&amp;"_0_1_"&amp;ROUNDDOWN([1]关卡!N18*$E12,0)</f>
        <v>4000220_0_1_347</v>
      </c>
      <c r="N12" t="str">
        <f>Y12&amp;"_0_1_"&amp;ROUNDDOWN([1]关卡!O18*$E12,0)</f>
        <v>4000320_0_1_198</v>
      </c>
      <c r="O12" t="str">
        <f>Z12&amp;"_0_1_"&amp;ROUNDDOWN([1]关卡!P18*$E12,0)</f>
        <v>4000420_0_1_29</v>
      </c>
      <c r="P12" t="str">
        <f>AA12&amp;"_0_1_"&amp;ROUNDDOWN([1]关卡!Q18*$E12,0)</f>
        <v>4000520_0_1_0</v>
      </c>
      <c r="R12" t="str">
        <f t="shared" si="4"/>
        <v>4000115</v>
      </c>
      <c r="S12" t="str">
        <f t="shared" si="4"/>
        <v>4000215</v>
      </c>
      <c r="T12" t="str">
        <f t="shared" si="4"/>
        <v>4000315</v>
      </c>
      <c r="U12" t="str">
        <f t="shared" si="4"/>
        <v>4000415</v>
      </c>
      <c r="V12" t="str">
        <f t="shared" si="4"/>
        <v>4000515</v>
      </c>
      <c r="W12" t="str">
        <f t="shared" si="5"/>
        <v>4000120</v>
      </c>
      <c r="X12" t="str">
        <f t="shared" si="6"/>
        <v>4000220</v>
      </c>
      <c r="Y12" t="str">
        <f t="shared" si="7"/>
        <v>4000320</v>
      </c>
      <c r="Z12" t="str">
        <f t="shared" si="8"/>
        <v>4000420</v>
      </c>
      <c r="AA12" t="str">
        <f t="shared" si="9"/>
        <v>4000520</v>
      </c>
    </row>
    <row r="13" spans="1:27">
      <c r="A13" s="10">
        <v>21</v>
      </c>
      <c r="B13">
        <f t="shared" si="0"/>
        <v>20</v>
      </c>
      <c r="C13">
        <f t="shared" si="1"/>
        <v>0.8</v>
      </c>
      <c r="D13">
        <f t="shared" si="2"/>
        <v>25</v>
      </c>
      <c r="E13">
        <f t="shared" si="3"/>
        <v>0.19999999999999996</v>
      </c>
      <c r="G13" t="str">
        <f>R13&amp;"_0_1_"&amp;ROUNDDOWN([1]关卡!M19*$C13,0)</f>
        <v>4000120_0_1_401</v>
      </c>
      <c r="H13" t="str">
        <f>S13&amp;"_0_1_"&amp;ROUNDDOWN([1]关卡!N19*$C13,0)</f>
        <v>4000220_0_1_349</v>
      </c>
      <c r="I13" t="str">
        <f>T13&amp;"_0_1_"&amp;ROUNDDOWN([1]关卡!O19*$C13,0)</f>
        <v>4000320_0_1_205</v>
      </c>
      <c r="J13" t="str">
        <f>U13&amp;"_0_1_"&amp;ROUNDDOWN([1]关卡!P19*$C13,0)</f>
        <v>4000420_0_1_40</v>
      </c>
      <c r="K13" t="str">
        <f>V13&amp;"_0_1_"&amp;ROUNDDOWN([1]关卡!Q19*$C13,0)</f>
        <v>4000520_0_1_0</v>
      </c>
      <c r="L13" t="str">
        <f>W13&amp;"_0_1_"&amp;ROUNDDOWN([1]关卡!M19*$E13,0)</f>
        <v>4000125_0_1_100</v>
      </c>
      <c r="M13" t="str">
        <f>X13&amp;"_0_1_"&amp;ROUNDDOWN([1]关卡!N19*$E13,0)</f>
        <v>4000225_0_1_87</v>
      </c>
      <c r="N13" t="str">
        <f>Y13&amp;"_0_1_"&amp;ROUNDDOWN([1]关卡!O19*$E13,0)</f>
        <v>4000325_0_1_51</v>
      </c>
      <c r="O13" t="str">
        <f>Z13&amp;"_0_1_"&amp;ROUNDDOWN([1]关卡!P19*$E13,0)</f>
        <v>4000425_0_1_10</v>
      </c>
      <c r="P13" t="str">
        <f>AA13&amp;"_0_1_"&amp;ROUNDDOWN([1]关卡!Q19*$E13,0)</f>
        <v>4000525_0_1_0</v>
      </c>
      <c r="R13" t="str">
        <f t="shared" si="4"/>
        <v>4000120</v>
      </c>
      <c r="S13" t="str">
        <f t="shared" si="4"/>
        <v>4000220</v>
      </c>
      <c r="T13" t="str">
        <f t="shared" si="4"/>
        <v>4000320</v>
      </c>
      <c r="U13" t="str">
        <f t="shared" si="4"/>
        <v>4000420</v>
      </c>
      <c r="V13" t="str">
        <f t="shared" si="4"/>
        <v>4000520</v>
      </c>
      <c r="W13" t="str">
        <f t="shared" si="5"/>
        <v>4000125</v>
      </c>
      <c r="X13" t="str">
        <f t="shared" si="6"/>
        <v>4000225</v>
      </c>
      <c r="Y13" t="str">
        <f t="shared" si="7"/>
        <v>4000325</v>
      </c>
      <c r="Z13" t="str">
        <f t="shared" si="8"/>
        <v>4000425</v>
      </c>
      <c r="AA13" t="str">
        <f t="shared" si="9"/>
        <v>4000525</v>
      </c>
    </row>
    <row r="14" spans="1:27">
      <c r="A14" s="10">
        <v>23</v>
      </c>
      <c r="B14">
        <f t="shared" si="0"/>
        <v>20</v>
      </c>
      <c r="C14">
        <f t="shared" si="1"/>
        <v>0.4</v>
      </c>
      <c r="D14">
        <f t="shared" si="2"/>
        <v>25</v>
      </c>
      <c r="E14">
        <f t="shared" si="3"/>
        <v>0.6</v>
      </c>
      <c r="G14" t="str">
        <f>R14&amp;"_0_1_"&amp;ROUNDDOWN([1]关卡!M20*$C14,0)</f>
        <v>4000120_0_1_256</v>
      </c>
      <c r="H14" t="str">
        <f>S14&amp;"_0_1_"&amp;ROUNDDOWN([1]关卡!N20*$C14,0)</f>
        <v>4000220_0_1_222</v>
      </c>
      <c r="I14" t="str">
        <f>T14&amp;"_0_1_"&amp;ROUNDDOWN([1]关卡!O20*$C14,0)</f>
        <v>4000320_0_1_135</v>
      </c>
      <c r="J14" t="str">
        <f>U14&amp;"_0_1_"&amp;ROUNDDOWN([1]关卡!P20*$C14,0)</f>
        <v>4000420_0_1_33</v>
      </c>
      <c r="K14" t="str">
        <f>V14&amp;"_0_1_"&amp;ROUNDDOWN([1]关卡!Q20*$C14,0)</f>
        <v>4000520_0_1_0</v>
      </c>
      <c r="L14" t="str">
        <f>W14&amp;"_0_1_"&amp;ROUNDDOWN([1]关卡!M20*$E14,0)</f>
        <v>4000125_0_1_384</v>
      </c>
      <c r="M14" t="str">
        <f>X14&amp;"_0_1_"&amp;ROUNDDOWN([1]关卡!N20*$E14,0)</f>
        <v>4000225_0_1_334</v>
      </c>
      <c r="N14" t="str">
        <f>Y14&amp;"_0_1_"&amp;ROUNDDOWN([1]关卡!O20*$E14,0)</f>
        <v>4000325_0_1_202</v>
      </c>
      <c r="O14" t="str">
        <f>Z14&amp;"_0_1_"&amp;ROUNDDOWN([1]关卡!P20*$E14,0)</f>
        <v>4000425_0_1_50</v>
      </c>
      <c r="P14" t="str">
        <f>AA14&amp;"_0_1_"&amp;ROUNDDOWN([1]关卡!Q20*$E14,0)</f>
        <v>4000525_0_1_0</v>
      </c>
      <c r="R14" t="str">
        <f t="shared" si="4"/>
        <v>4000120</v>
      </c>
      <c r="S14" t="str">
        <f t="shared" si="4"/>
        <v>4000220</v>
      </c>
      <c r="T14" t="str">
        <f t="shared" si="4"/>
        <v>4000320</v>
      </c>
      <c r="U14" t="str">
        <f t="shared" si="4"/>
        <v>4000420</v>
      </c>
      <c r="V14" t="str">
        <f t="shared" si="4"/>
        <v>4000520</v>
      </c>
      <c r="W14" t="str">
        <f t="shared" si="5"/>
        <v>4000125</v>
      </c>
      <c r="X14" t="str">
        <f t="shared" si="6"/>
        <v>4000225</v>
      </c>
      <c r="Y14" t="str">
        <f t="shared" si="7"/>
        <v>4000325</v>
      </c>
      <c r="Z14" t="str">
        <f t="shared" si="8"/>
        <v>4000425</v>
      </c>
      <c r="AA14" t="str">
        <f t="shared" si="9"/>
        <v>4000525</v>
      </c>
    </row>
    <row r="15" spans="1:27">
      <c r="A15" s="10">
        <v>25</v>
      </c>
      <c r="B15">
        <f t="shared" si="0"/>
        <v>25</v>
      </c>
      <c r="C15">
        <f t="shared" si="1"/>
        <v>1</v>
      </c>
      <c r="D15">
        <f t="shared" si="2"/>
        <v>30</v>
      </c>
      <c r="E15">
        <f t="shared" si="3"/>
        <v>0</v>
      </c>
      <c r="G15" t="str">
        <f>R15&amp;"_0_1_"&amp;ROUNDDOWN([1]关卡!M21*$C15,0)</f>
        <v>4000125_0_1_630</v>
      </c>
      <c r="H15" t="str">
        <f>S15&amp;"_0_1_"&amp;ROUNDDOWN([1]关卡!N21*$C15,0)</f>
        <v>4000225_0_1_545</v>
      </c>
      <c r="I15" t="str">
        <f>T15&amp;"_0_1_"&amp;ROUNDDOWN([1]关卡!O21*$C15,0)</f>
        <v>4000325_0_1_341</v>
      </c>
      <c r="J15" t="str">
        <f>U15&amp;"_0_1_"&amp;ROUNDDOWN([1]关卡!P21*$C15,0)</f>
        <v>4000425_0_1_94</v>
      </c>
      <c r="K15" t="str">
        <f>V15&amp;"_0_1_"&amp;ROUNDDOWN([1]关卡!Q21*$C15,0)</f>
        <v>4000525_0_1_0</v>
      </c>
      <c r="L15" t="str">
        <f>W15&amp;"_0_1_"&amp;ROUNDDOWN([1]关卡!M21*$E15,0)</f>
        <v>4000130_0_1_0</v>
      </c>
      <c r="M15" t="str">
        <f>X15&amp;"_0_1_"&amp;ROUNDDOWN([1]关卡!N21*$E15,0)</f>
        <v>4000230_0_1_0</v>
      </c>
      <c r="N15" t="str">
        <f>Y15&amp;"_0_1_"&amp;ROUNDDOWN([1]关卡!O21*$E15,0)</f>
        <v>4000330_0_1_0</v>
      </c>
      <c r="O15" t="str">
        <f>Z15&amp;"_0_1_"&amp;ROUNDDOWN([1]关卡!P21*$E15,0)</f>
        <v>4000430_0_1_0</v>
      </c>
      <c r="P15" t="str">
        <f>AA15&amp;"_0_1_"&amp;ROUNDDOWN([1]关卡!Q21*$E15,0)</f>
        <v>4000530_0_1_0</v>
      </c>
      <c r="R15" t="str">
        <f t="shared" si="4"/>
        <v>4000125</v>
      </c>
      <c r="S15" t="str">
        <f t="shared" si="4"/>
        <v>4000225</v>
      </c>
      <c r="T15" t="str">
        <f t="shared" si="4"/>
        <v>4000325</v>
      </c>
      <c r="U15" t="str">
        <f t="shared" si="4"/>
        <v>4000425</v>
      </c>
      <c r="V15" t="str">
        <f t="shared" si="4"/>
        <v>4000525</v>
      </c>
      <c r="W15" t="str">
        <f t="shared" si="5"/>
        <v>4000130</v>
      </c>
      <c r="X15" t="str">
        <f t="shared" si="6"/>
        <v>4000230</v>
      </c>
      <c r="Y15" t="str">
        <f t="shared" si="7"/>
        <v>4000330</v>
      </c>
      <c r="Z15" t="str">
        <f t="shared" si="8"/>
        <v>4000430</v>
      </c>
      <c r="AA15" t="str">
        <f t="shared" si="9"/>
        <v>4000530</v>
      </c>
    </row>
    <row r="16" spans="1:27">
      <c r="A16" s="10">
        <v>27</v>
      </c>
      <c r="B16">
        <f t="shared" si="0"/>
        <v>25</v>
      </c>
      <c r="C16">
        <f t="shared" si="1"/>
        <v>0.6</v>
      </c>
      <c r="D16">
        <f t="shared" si="2"/>
        <v>30</v>
      </c>
      <c r="E16">
        <f t="shared" si="3"/>
        <v>0.4</v>
      </c>
      <c r="G16" t="str">
        <f>R16&amp;"_0_1_"&amp;ROUNDDOWN([1]关卡!M22*$C16,0)</f>
        <v>4000125_0_1_371</v>
      </c>
      <c r="H16" t="str">
        <f>S16&amp;"_0_1_"&amp;ROUNDDOWN([1]关卡!N22*$C16,0)</f>
        <v>4000225_0_1_319</v>
      </c>
      <c r="I16" t="str">
        <f>T16&amp;"_0_1_"&amp;ROUNDDOWN([1]关卡!O22*$C16,0)</f>
        <v>4000325_0_1_206</v>
      </c>
      <c r="J16" t="str">
        <f>U16&amp;"_0_1_"&amp;ROUNDDOWN([1]关卡!P22*$C16,0)</f>
        <v>4000425_0_1_61</v>
      </c>
      <c r="K16" t="str">
        <f>V16&amp;"_0_1_"&amp;ROUNDDOWN([1]关卡!Q22*$C16,0)</f>
        <v>4000525_0_1_0</v>
      </c>
      <c r="L16" t="str">
        <f>W16&amp;"_0_1_"&amp;ROUNDDOWN([1]关卡!M22*$E16,0)</f>
        <v>4000130_0_1_247</v>
      </c>
      <c r="M16" t="str">
        <f>X16&amp;"_0_1_"&amp;ROUNDDOWN([1]关卡!N22*$E16,0)</f>
        <v>4000230_0_1_213</v>
      </c>
      <c r="N16" t="str">
        <f>Y16&amp;"_0_1_"&amp;ROUNDDOWN([1]关卡!O22*$E16,0)</f>
        <v>4000330_0_1_137</v>
      </c>
      <c r="O16" t="str">
        <f>Z16&amp;"_0_1_"&amp;ROUNDDOWN([1]关卡!P22*$E16,0)</f>
        <v>4000430_0_1_41</v>
      </c>
      <c r="P16" t="str">
        <f>AA16&amp;"_0_1_"&amp;ROUNDDOWN([1]关卡!Q22*$E16,0)</f>
        <v>4000530_0_1_0</v>
      </c>
      <c r="R16" t="str">
        <f t="shared" si="4"/>
        <v>4000125</v>
      </c>
      <c r="S16" t="str">
        <f t="shared" si="4"/>
        <v>4000225</v>
      </c>
      <c r="T16" t="str">
        <f t="shared" si="4"/>
        <v>4000325</v>
      </c>
      <c r="U16" t="str">
        <f t="shared" si="4"/>
        <v>4000425</v>
      </c>
      <c r="V16" t="str">
        <f t="shared" si="4"/>
        <v>4000525</v>
      </c>
      <c r="W16" t="str">
        <f t="shared" si="5"/>
        <v>4000130</v>
      </c>
      <c r="X16" t="str">
        <f t="shared" si="6"/>
        <v>4000230</v>
      </c>
      <c r="Y16" t="str">
        <f t="shared" si="7"/>
        <v>4000330</v>
      </c>
      <c r="Z16" t="str">
        <f t="shared" si="8"/>
        <v>4000430</v>
      </c>
      <c r="AA16" t="str">
        <f t="shared" si="9"/>
        <v>4000530</v>
      </c>
    </row>
    <row r="17" spans="1:27">
      <c r="A17" s="10">
        <v>29</v>
      </c>
      <c r="B17">
        <f t="shared" si="0"/>
        <v>25</v>
      </c>
      <c r="C17">
        <f t="shared" si="1"/>
        <v>0.2</v>
      </c>
      <c r="D17">
        <f t="shared" si="2"/>
        <v>30</v>
      </c>
      <c r="E17">
        <f t="shared" si="3"/>
        <v>0.8</v>
      </c>
      <c r="G17" t="str">
        <f>R17&amp;"_0_1_"&amp;ROUNDDOWN([1]关卡!M23*$C17,0)</f>
        <v>4000125_0_1_133</v>
      </c>
      <c r="H17" t="str">
        <f>S17&amp;"_0_1_"&amp;ROUNDDOWN([1]关卡!N23*$C17,0)</f>
        <v>4000225_0_1_114</v>
      </c>
      <c r="I17" t="str">
        <f>T17&amp;"_0_1_"&amp;ROUNDDOWN([1]关卡!O23*$C17,0)</f>
        <v>4000325_0_1_76</v>
      </c>
      <c r="J17" t="str">
        <f>U17&amp;"_0_1_"&amp;ROUNDDOWN([1]关卡!P23*$C17,0)</f>
        <v>4000425_0_1_24</v>
      </c>
      <c r="K17" t="str">
        <f>V17&amp;"_0_1_"&amp;ROUNDDOWN([1]关卡!Q23*$C17,0)</f>
        <v>4000525_0_1_0</v>
      </c>
      <c r="L17" t="str">
        <f>W17&amp;"_0_1_"&amp;ROUNDDOWN([1]关卡!M23*$E17,0)</f>
        <v>4000130_0_1_532</v>
      </c>
      <c r="M17" t="str">
        <f>X17&amp;"_0_1_"&amp;ROUNDDOWN([1]关卡!N23*$E17,0)</f>
        <v>4000230_0_1_456</v>
      </c>
      <c r="N17" t="str">
        <f>Y17&amp;"_0_1_"&amp;ROUNDDOWN([1]关卡!O23*$E17,0)</f>
        <v>4000330_0_1_304</v>
      </c>
      <c r="O17" t="str">
        <f>Z17&amp;"_0_1_"&amp;ROUNDDOWN([1]关卡!P23*$E17,0)</f>
        <v>4000430_0_1_99</v>
      </c>
      <c r="P17" t="str">
        <f>AA17&amp;"_0_1_"&amp;ROUNDDOWN([1]关卡!Q23*$E17,0)</f>
        <v>4000530_0_1_0</v>
      </c>
      <c r="R17" t="str">
        <f t="shared" si="4"/>
        <v>4000125</v>
      </c>
      <c r="S17" t="str">
        <f t="shared" si="4"/>
        <v>4000225</v>
      </c>
      <c r="T17" t="str">
        <f t="shared" si="4"/>
        <v>4000325</v>
      </c>
      <c r="U17" t="str">
        <f t="shared" si="4"/>
        <v>4000425</v>
      </c>
      <c r="V17" t="str">
        <f t="shared" si="4"/>
        <v>4000525</v>
      </c>
      <c r="W17" t="str">
        <f t="shared" si="5"/>
        <v>4000130</v>
      </c>
      <c r="X17" t="str">
        <f t="shared" si="6"/>
        <v>4000230</v>
      </c>
      <c r="Y17" t="str">
        <f t="shared" si="7"/>
        <v>4000330</v>
      </c>
      <c r="Z17" t="str">
        <f t="shared" si="8"/>
        <v>4000430</v>
      </c>
      <c r="AA17" t="str">
        <f t="shared" si="9"/>
        <v>4000530</v>
      </c>
    </row>
    <row r="18" spans="1:27">
      <c r="A18" s="10">
        <v>31</v>
      </c>
      <c r="B18">
        <f t="shared" si="0"/>
        <v>30</v>
      </c>
      <c r="C18">
        <f t="shared" si="1"/>
        <v>0.8</v>
      </c>
      <c r="D18">
        <f t="shared" si="2"/>
        <v>35</v>
      </c>
      <c r="E18">
        <f t="shared" si="3"/>
        <v>0.19999999999999996</v>
      </c>
      <c r="G18" t="str">
        <f>R18&amp;"_0_1_"&amp;ROUNDDOWN([1]关卡!M24*$C18,0)</f>
        <v>4000130_0_1_533</v>
      </c>
      <c r="H18" t="str">
        <f>S18&amp;"_0_1_"&amp;ROUNDDOWN([1]关卡!N24*$C18,0)</f>
        <v>4000230_0_1_455</v>
      </c>
      <c r="I18" t="str">
        <f>T18&amp;"_0_1_"&amp;ROUNDDOWN([1]关卡!O24*$C18,0)</f>
        <v>4000330_0_1_313</v>
      </c>
      <c r="J18" t="str">
        <f>U18&amp;"_0_1_"&amp;ROUNDDOWN([1]关卡!P24*$C18,0)</f>
        <v>4000430_0_1_109</v>
      </c>
      <c r="K18" t="str">
        <f>V18&amp;"_0_1_"&amp;ROUNDDOWN([1]关卡!Q24*$C18,0)</f>
        <v>4000530_0_1_0</v>
      </c>
      <c r="L18" t="str">
        <f>W18&amp;"_0_1_"&amp;ROUNDDOWN([1]关卡!M24*$E18,0)</f>
        <v>4000135_0_1_133</v>
      </c>
      <c r="M18" t="str">
        <f>X18&amp;"_0_1_"&amp;ROUNDDOWN([1]关卡!N24*$E18,0)</f>
        <v>4000235_0_1_113</v>
      </c>
      <c r="N18" t="str">
        <f>Y18&amp;"_0_1_"&amp;ROUNDDOWN([1]关卡!O24*$E18,0)</f>
        <v>4000335_0_1_78</v>
      </c>
      <c r="O18" t="str">
        <f>Z18&amp;"_0_1_"&amp;ROUNDDOWN([1]关卡!P24*$E18,0)</f>
        <v>4000435_0_1_27</v>
      </c>
      <c r="P18" t="str">
        <f>AA18&amp;"_0_1_"&amp;ROUNDDOWN([1]关卡!Q24*$E18,0)</f>
        <v>4000535_0_1_0</v>
      </c>
      <c r="R18" t="str">
        <f t="shared" ref="R18:V27" si="10">S$1&amp;$B18</f>
        <v>4000130</v>
      </c>
      <c r="S18" t="str">
        <f t="shared" si="10"/>
        <v>4000230</v>
      </c>
      <c r="T18" t="str">
        <f t="shared" si="10"/>
        <v>4000330</v>
      </c>
      <c r="U18" t="str">
        <f t="shared" si="10"/>
        <v>4000430</v>
      </c>
      <c r="V18" t="str">
        <f t="shared" si="10"/>
        <v>4000530</v>
      </c>
      <c r="W18" t="str">
        <f t="shared" si="5"/>
        <v>4000135</v>
      </c>
      <c r="X18" t="str">
        <f t="shared" si="6"/>
        <v>4000235</v>
      </c>
      <c r="Y18" t="str">
        <f t="shared" si="7"/>
        <v>4000335</v>
      </c>
      <c r="Z18" t="str">
        <f t="shared" si="8"/>
        <v>4000435</v>
      </c>
      <c r="AA18" t="str">
        <f t="shared" si="9"/>
        <v>4000535</v>
      </c>
    </row>
    <row r="19" spans="1:27">
      <c r="A19" s="10">
        <v>33</v>
      </c>
      <c r="B19">
        <f t="shared" si="0"/>
        <v>30</v>
      </c>
      <c r="C19">
        <f t="shared" si="1"/>
        <v>0.4</v>
      </c>
      <c r="D19">
        <f t="shared" si="2"/>
        <v>35</v>
      </c>
      <c r="E19">
        <f t="shared" si="3"/>
        <v>0.6</v>
      </c>
      <c r="G19" t="str">
        <f>R19&amp;"_0_1_"&amp;ROUNDDOWN([1]关卡!M25*$C19,0)</f>
        <v>4000130_0_1_264</v>
      </c>
      <c r="H19" t="str">
        <f>S19&amp;"_0_1_"&amp;ROUNDDOWN([1]关卡!N25*$C19,0)</f>
        <v>4000230_0_1_224</v>
      </c>
      <c r="I19" t="str">
        <f>T19&amp;"_0_1_"&amp;ROUNDDOWN([1]关卡!O25*$C19,0)</f>
        <v>4000330_0_1_160</v>
      </c>
      <c r="J19" t="str">
        <f>U19&amp;"_0_1_"&amp;ROUNDDOWN([1]关卡!P25*$C19,0)</f>
        <v>4000430_0_1_60</v>
      </c>
      <c r="K19" t="str">
        <f>V19&amp;"_0_1_"&amp;ROUNDDOWN([1]关卡!Q25*$C19,0)</f>
        <v>4000530_0_1_8</v>
      </c>
      <c r="L19" t="str">
        <f>W19&amp;"_0_1_"&amp;ROUNDDOWN([1]关卡!M25*$E19,0)</f>
        <v>4000135_0_1_396</v>
      </c>
      <c r="M19" t="str">
        <f>X19&amp;"_0_1_"&amp;ROUNDDOWN([1]关卡!N25*$E19,0)</f>
        <v>4000235_0_1_336</v>
      </c>
      <c r="N19" t="str">
        <f>Y19&amp;"_0_1_"&amp;ROUNDDOWN([1]关卡!O25*$E19,0)</f>
        <v>4000335_0_1_240</v>
      </c>
      <c r="O19" t="str">
        <f>Z19&amp;"_0_1_"&amp;ROUNDDOWN([1]关卡!P25*$E19,0)</f>
        <v>4000435_0_1_90</v>
      </c>
      <c r="P19" t="str">
        <f>AA19&amp;"_0_1_"&amp;ROUNDDOWN([1]关卡!Q25*$E19,0)</f>
        <v>4000535_0_1_12</v>
      </c>
      <c r="R19" t="str">
        <f t="shared" si="10"/>
        <v>4000130</v>
      </c>
      <c r="S19" t="str">
        <f t="shared" si="10"/>
        <v>4000230</v>
      </c>
      <c r="T19" t="str">
        <f t="shared" si="10"/>
        <v>4000330</v>
      </c>
      <c r="U19" t="str">
        <f t="shared" si="10"/>
        <v>4000430</v>
      </c>
      <c r="V19" t="str">
        <f t="shared" si="10"/>
        <v>4000530</v>
      </c>
      <c r="W19" t="str">
        <f t="shared" si="5"/>
        <v>4000135</v>
      </c>
      <c r="X19" t="str">
        <f t="shared" si="6"/>
        <v>4000235</v>
      </c>
      <c r="Y19" t="str">
        <f t="shared" si="7"/>
        <v>4000335</v>
      </c>
      <c r="Z19" t="str">
        <f t="shared" si="8"/>
        <v>4000435</v>
      </c>
      <c r="AA19" t="str">
        <f t="shared" si="9"/>
        <v>4000535</v>
      </c>
    </row>
    <row r="20" spans="1:27">
      <c r="A20" s="10">
        <v>35</v>
      </c>
      <c r="B20">
        <f t="shared" si="0"/>
        <v>35</v>
      </c>
      <c r="C20">
        <f t="shared" si="1"/>
        <v>1</v>
      </c>
      <c r="D20">
        <f t="shared" si="2"/>
        <v>40</v>
      </c>
      <c r="E20">
        <f t="shared" si="3"/>
        <v>0</v>
      </c>
      <c r="G20" t="str">
        <f>R20&amp;"_0_1_"&amp;ROUNDDOWN([1]关卡!M26*$C20,0)</f>
        <v>4000135_0_1_656</v>
      </c>
      <c r="H20" t="str">
        <f>S20&amp;"_0_1_"&amp;ROUNDDOWN([1]关卡!N26*$C20,0)</f>
        <v>4000235_0_1_554</v>
      </c>
      <c r="I20" t="str">
        <f>T20&amp;"_0_1_"&amp;ROUNDDOWN([1]关卡!O26*$C20,0)</f>
        <v>4000335_0_1_410</v>
      </c>
      <c r="J20" t="str">
        <f>U20&amp;"_0_1_"&amp;ROUNDDOWN([1]关卡!P26*$C20,0)</f>
        <v>4000435_0_1_164</v>
      </c>
      <c r="K20" t="str">
        <f>V20&amp;"_0_1_"&amp;ROUNDDOWN([1]关卡!Q26*$C20,0)</f>
        <v>4000535_0_1_31</v>
      </c>
      <c r="L20" t="str">
        <f>W20&amp;"_0_1_"&amp;ROUNDDOWN([1]关卡!M26*$E20,0)</f>
        <v>4000140_0_1_0</v>
      </c>
      <c r="M20" t="str">
        <f>X20&amp;"_0_1_"&amp;ROUNDDOWN([1]关卡!N26*$E20,0)</f>
        <v>4000240_0_1_0</v>
      </c>
      <c r="N20" t="str">
        <f>Y20&amp;"_0_1_"&amp;ROUNDDOWN([1]关卡!O26*$E20,0)</f>
        <v>4000340_0_1_0</v>
      </c>
      <c r="O20" t="str">
        <f>Z20&amp;"_0_1_"&amp;ROUNDDOWN([1]关卡!P26*$E20,0)</f>
        <v>4000440_0_1_0</v>
      </c>
      <c r="P20" t="str">
        <f>AA20&amp;"_0_1_"&amp;ROUNDDOWN([1]关卡!Q26*$E20,0)</f>
        <v>4000540_0_1_0</v>
      </c>
      <c r="R20" t="str">
        <f t="shared" si="10"/>
        <v>4000135</v>
      </c>
      <c r="S20" t="str">
        <f t="shared" si="10"/>
        <v>4000235</v>
      </c>
      <c r="T20" t="str">
        <f t="shared" si="10"/>
        <v>4000335</v>
      </c>
      <c r="U20" t="str">
        <f t="shared" si="10"/>
        <v>4000435</v>
      </c>
      <c r="V20" t="str">
        <f t="shared" si="10"/>
        <v>4000535</v>
      </c>
      <c r="W20" t="str">
        <f t="shared" si="5"/>
        <v>4000140</v>
      </c>
      <c r="X20" t="str">
        <f t="shared" si="6"/>
        <v>4000240</v>
      </c>
      <c r="Y20" t="str">
        <f t="shared" si="7"/>
        <v>4000340</v>
      </c>
      <c r="Z20" t="str">
        <f t="shared" si="8"/>
        <v>4000440</v>
      </c>
      <c r="AA20" t="str">
        <f t="shared" si="9"/>
        <v>4000540</v>
      </c>
    </row>
    <row r="21" spans="1:27">
      <c r="A21" s="10">
        <v>37</v>
      </c>
      <c r="B21">
        <f t="shared" si="0"/>
        <v>35</v>
      </c>
      <c r="C21">
        <f t="shared" si="1"/>
        <v>0.6</v>
      </c>
      <c r="D21">
        <f t="shared" si="2"/>
        <v>40</v>
      </c>
      <c r="E21">
        <f t="shared" si="3"/>
        <v>0.4</v>
      </c>
      <c r="G21" t="str">
        <f>R21&amp;"_0_1_"&amp;ROUNDDOWN([1]关卡!M27*$C21,0)</f>
        <v>4000135_0_1_391</v>
      </c>
      <c r="H21" t="str">
        <f>S21&amp;"_0_1_"&amp;ROUNDDOWN([1]关卡!N27*$C21,0)</f>
        <v>4000235_0_1_328</v>
      </c>
      <c r="I21" t="str">
        <f>T21&amp;"_0_1_"&amp;ROUNDDOWN([1]关卡!O27*$C21,0)</f>
        <v>4000335_0_1_252</v>
      </c>
      <c r="J21" t="str">
        <f>U21&amp;"_0_1_"&amp;ROUNDDOWN([1]关卡!P27*$C21,0)</f>
        <v>4000435_0_1_107</v>
      </c>
      <c r="K21" t="str">
        <f>V21&amp;"_0_1_"&amp;ROUNDDOWN([1]关卡!Q27*$C21,0)</f>
        <v>4000535_0_1_25</v>
      </c>
      <c r="L21" t="str">
        <f>W21&amp;"_0_1_"&amp;ROUNDDOWN([1]关卡!M27*$E21,0)</f>
        <v>4000140_0_1_260</v>
      </c>
      <c r="M21" t="str">
        <f>X21&amp;"_0_1_"&amp;ROUNDDOWN([1]关卡!N27*$E21,0)</f>
        <v>4000240_0_1_218</v>
      </c>
      <c r="N21" t="str">
        <f>Y21&amp;"_0_1_"&amp;ROUNDDOWN([1]关卡!O27*$E21,0)</f>
        <v>4000340_0_1_168</v>
      </c>
      <c r="O21" t="str">
        <f>Z21&amp;"_0_1_"&amp;ROUNDDOWN([1]关卡!P27*$E21,0)</f>
        <v>4000440_0_1_71</v>
      </c>
      <c r="P21" t="str">
        <f>AA21&amp;"_0_1_"&amp;ROUNDDOWN([1]关卡!Q27*$E21,0)</f>
        <v>4000540_0_1_16</v>
      </c>
      <c r="R21" t="str">
        <f t="shared" si="10"/>
        <v>4000135</v>
      </c>
      <c r="S21" t="str">
        <f t="shared" si="10"/>
        <v>4000235</v>
      </c>
      <c r="T21" t="str">
        <f t="shared" si="10"/>
        <v>4000335</v>
      </c>
      <c r="U21" t="str">
        <f t="shared" si="10"/>
        <v>4000435</v>
      </c>
      <c r="V21" t="str">
        <f t="shared" si="10"/>
        <v>4000535</v>
      </c>
      <c r="W21" t="str">
        <f t="shared" si="5"/>
        <v>4000140</v>
      </c>
      <c r="X21" t="str">
        <f t="shared" si="6"/>
        <v>4000240</v>
      </c>
      <c r="Y21" t="str">
        <f t="shared" si="7"/>
        <v>4000340</v>
      </c>
      <c r="Z21" t="str">
        <f t="shared" si="8"/>
        <v>4000440</v>
      </c>
      <c r="AA21" t="str">
        <f t="shared" si="9"/>
        <v>4000540</v>
      </c>
    </row>
    <row r="22" spans="1:27">
      <c r="A22" s="10">
        <v>39</v>
      </c>
      <c r="B22">
        <f t="shared" si="0"/>
        <v>35</v>
      </c>
      <c r="C22">
        <f>1-E22</f>
        <v>0.37</v>
      </c>
      <c r="D22">
        <f t="shared" si="2"/>
        <v>40</v>
      </c>
      <c r="E22">
        <v>0.63</v>
      </c>
      <c r="G22" t="str">
        <f>R22&amp;"_0_1_"&amp;ROUNDDOWN([1]关卡!M28*$C22,0)</f>
        <v>4000135_0_1_239</v>
      </c>
      <c r="H22" t="str">
        <f>S22&amp;"_0_1_"&amp;ROUNDDOWN([1]关卡!N28*$C22,0)</f>
        <v>4000235_0_1_199</v>
      </c>
      <c r="I22" t="str">
        <f>T22&amp;"_0_1_"&amp;ROUNDDOWN([1]关卡!O28*$C22,0)</f>
        <v>4000335_0_1_159</v>
      </c>
      <c r="J22" t="str">
        <f>U22&amp;"_0_1_"&amp;ROUNDDOWN([1]关卡!P28*$C22,0)</f>
        <v>4000435_0_1_71</v>
      </c>
      <c r="K22" t="str">
        <f>V22&amp;"_0_1_"&amp;ROUNDDOWN([1]关卡!Q28*$C22,0)</f>
        <v>4000535_0_1_19</v>
      </c>
      <c r="L22" t="str">
        <f>W22&amp;"_0_1_"&amp;ROUNDDOWN([1]关卡!M28*$E22,0)</f>
        <v>4000140_0_1_406</v>
      </c>
      <c r="M22" t="str">
        <f>X22&amp;"_0_1_"&amp;ROUNDDOWN([1]关卡!N28*$E22,0)</f>
        <v>4000240_0_1_339</v>
      </c>
      <c r="N22" t="str">
        <f>Y22&amp;"_0_1_"&amp;ROUNDDOWN([1]关卡!O28*$E22,0)</f>
        <v>4000340_0_1_271</v>
      </c>
      <c r="O22" t="str">
        <f>Z22&amp;"_0_1_"&amp;ROUNDDOWN([1]关卡!P28*$E22,0)</f>
        <v>4000440_0_1_122</v>
      </c>
      <c r="P22" t="str">
        <f>AA22&amp;"_0_1_"&amp;ROUNDDOWN([1]关卡!Q28*$E22,0)</f>
        <v>4000540_0_1_34</v>
      </c>
      <c r="R22" t="str">
        <f t="shared" si="10"/>
        <v>4000135</v>
      </c>
      <c r="S22" t="str">
        <f t="shared" si="10"/>
        <v>4000235</v>
      </c>
      <c r="T22" t="str">
        <f t="shared" si="10"/>
        <v>4000335</v>
      </c>
      <c r="U22" t="str">
        <f t="shared" si="10"/>
        <v>4000435</v>
      </c>
      <c r="V22" t="str">
        <f t="shared" si="10"/>
        <v>4000535</v>
      </c>
      <c r="W22" t="str">
        <f t="shared" si="5"/>
        <v>4000140</v>
      </c>
      <c r="X22" t="str">
        <f t="shared" si="6"/>
        <v>4000240</v>
      </c>
      <c r="Y22" t="str">
        <f t="shared" si="7"/>
        <v>4000340</v>
      </c>
      <c r="Z22" t="str">
        <f t="shared" si="8"/>
        <v>4000440</v>
      </c>
      <c r="AA22" t="str">
        <f t="shared" si="9"/>
        <v>4000540</v>
      </c>
    </row>
    <row r="23" spans="1:27">
      <c r="A23" s="10">
        <v>41</v>
      </c>
      <c r="B23">
        <f t="shared" si="0"/>
        <v>40</v>
      </c>
      <c r="C23">
        <f t="shared" ref="C23:C53" si="11">1-E23</f>
        <v>0.59</v>
      </c>
      <c r="D23">
        <v>43</v>
      </c>
      <c r="E23">
        <v>0.41000000000000003</v>
      </c>
      <c r="G23" t="str">
        <f>R23&amp;"_0_1_"&amp;ROUNDDOWN([1]关卡!M29*$C23,0)</f>
        <v>4000140_0_1_379</v>
      </c>
      <c r="H23" t="str">
        <f>S23&amp;"_0_1_"&amp;ROUNDDOWN([1]关卡!N29*$C23,0)</f>
        <v>4000240_0_1_315</v>
      </c>
      <c r="I23" t="str">
        <f>T23&amp;"_0_1_"&amp;ROUNDDOWN([1]关卡!O29*$C23,0)</f>
        <v>4000340_0_1_257</v>
      </c>
      <c r="J23" t="str">
        <f>U23&amp;"_0_1_"&amp;ROUNDDOWN([1]关卡!P29*$C23,0)</f>
        <v>4000440_0_1_122</v>
      </c>
      <c r="K23" t="str">
        <f>V23&amp;"_0_1_"&amp;ROUNDDOWN([1]关卡!Q29*$C23,0)</f>
        <v>4000540_0_1_38</v>
      </c>
      <c r="L23" t="str">
        <f>W23&amp;"_0_1_"&amp;ROUNDDOWN([1]关卡!M29*$E23,0)</f>
        <v>4000143_0_1_264</v>
      </c>
      <c r="M23" t="str">
        <f>X23&amp;"_0_1_"&amp;ROUNDDOWN([1]关卡!N29*$E23,0)</f>
        <v>4000243_0_1_219</v>
      </c>
      <c r="N23" t="str">
        <f>Y23&amp;"_0_1_"&amp;ROUNDDOWN([1]关卡!O29*$E23,0)</f>
        <v>4000343_0_1_178</v>
      </c>
      <c r="O23" t="str">
        <f>Z23&amp;"_0_1_"&amp;ROUNDDOWN([1]关卡!P29*$E23,0)</f>
        <v>4000443_0_1_84</v>
      </c>
      <c r="P23" t="str">
        <f>AA23&amp;"_0_1_"&amp;ROUNDDOWN([1]关卡!Q29*$E23,0)</f>
        <v>4000543_0_1_26</v>
      </c>
      <c r="R23" t="str">
        <f t="shared" si="10"/>
        <v>4000140</v>
      </c>
      <c r="S23" t="str">
        <f t="shared" si="10"/>
        <v>4000240</v>
      </c>
      <c r="T23" t="str">
        <f t="shared" si="10"/>
        <v>4000340</v>
      </c>
      <c r="U23" t="str">
        <f t="shared" si="10"/>
        <v>4000440</v>
      </c>
      <c r="V23" t="str">
        <f t="shared" si="10"/>
        <v>4000540</v>
      </c>
      <c r="W23" t="str">
        <f t="shared" si="5"/>
        <v>4000143</v>
      </c>
      <c r="X23" t="str">
        <f t="shared" si="6"/>
        <v>4000243</v>
      </c>
      <c r="Y23" t="str">
        <f t="shared" si="7"/>
        <v>4000343</v>
      </c>
      <c r="Z23" t="str">
        <f t="shared" si="8"/>
        <v>4000443</v>
      </c>
      <c r="AA23" t="str">
        <f t="shared" si="9"/>
        <v>4000543</v>
      </c>
    </row>
    <row r="24" spans="1:27">
      <c r="A24" s="10">
        <v>43</v>
      </c>
      <c r="B24">
        <v>43</v>
      </c>
      <c r="C24">
        <f t="shared" si="11"/>
        <v>0.66999999999999993</v>
      </c>
      <c r="D24">
        <v>45</v>
      </c>
      <c r="E24">
        <v>0.33</v>
      </c>
      <c r="G24" t="str">
        <f>R24&amp;"_0_1_"&amp;ROUNDDOWN([1]关卡!M30*$C24,0)</f>
        <v>4000143_0_1_439</v>
      </c>
      <c r="H24" t="str">
        <f>S24&amp;"_0_1_"&amp;ROUNDDOWN([1]关卡!N30*$C24,0)</f>
        <v>4000243_0_1_365</v>
      </c>
      <c r="I24" t="str">
        <f>T24&amp;"_0_1_"&amp;ROUNDDOWN([1]关卡!O30*$C24,0)</f>
        <v>4000343_0_1_298</v>
      </c>
      <c r="J24" t="str">
        <f>U24&amp;"_0_1_"&amp;ROUNDDOWN([1]关卡!P30*$C24,0)</f>
        <v>4000443_0_1_148</v>
      </c>
      <c r="K24" t="str">
        <f>V24&amp;"_0_1_"&amp;ROUNDDOWN([1]关卡!Q30*$C24,0)</f>
        <v>4000543_0_1_52</v>
      </c>
      <c r="L24" t="str">
        <f>W24&amp;"_0_1_"&amp;ROUNDDOWN([1]关卡!M30*$E24,0)</f>
        <v>4000145_0_1_216</v>
      </c>
      <c r="M24" t="str">
        <f>X24&amp;"_0_1_"&amp;ROUNDDOWN([1]关卡!N30*$E24,0)</f>
        <v>4000245_0_1_179</v>
      </c>
      <c r="N24" t="str">
        <f>Y24&amp;"_0_1_"&amp;ROUNDDOWN([1]关卡!O30*$E24,0)</f>
        <v>4000345_0_1_146</v>
      </c>
      <c r="O24" t="str">
        <f>Z24&amp;"_0_1_"&amp;ROUNDDOWN([1]关卡!P30*$E24,0)</f>
        <v>4000445_0_1_73</v>
      </c>
      <c r="P24" t="str">
        <f>AA24&amp;"_0_1_"&amp;ROUNDDOWN([1]关卡!Q30*$E24,0)</f>
        <v>4000545_0_1_25</v>
      </c>
      <c r="R24" t="str">
        <f t="shared" si="10"/>
        <v>4000143</v>
      </c>
      <c r="S24" t="str">
        <f t="shared" si="10"/>
        <v>4000243</v>
      </c>
      <c r="T24" t="str">
        <f t="shared" si="10"/>
        <v>4000343</v>
      </c>
      <c r="U24" t="str">
        <f t="shared" si="10"/>
        <v>4000443</v>
      </c>
      <c r="V24" t="str">
        <f t="shared" si="10"/>
        <v>4000543</v>
      </c>
      <c r="W24" t="str">
        <f t="shared" si="5"/>
        <v>4000145</v>
      </c>
      <c r="X24" t="str">
        <f t="shared" si="6"/>
        <v>4000245</v>
      </c>
      <c r="Y24" t="str">
        <f t="shared" si="7"/>
        <v>4000345</v>
      </c>
      <c r="Z24" t="str">
        <f t="shared" si="8"/>
        <v>4000445</v>
      </c>
      <c r="AA24" t="str">
        <f t="shared" si="9"/>
        <v>4000545</v>
      </c>
    </row>
    <row r="25" spans="1:27">
      <c r="A25" s="10">
        <v>45</v>
      </c>
      <c r="B25">
        <f t="shared" si="0"/>
        <v>45</v>
      </c>
      <c r="C25">
        <f t="shared" si="11"/>
        <v>0.52</v>
      </c>
      <c r="D25">
        <v>45</v>
      </c>
      <c r="E25">
        <v>0.48</v>
      </c>
      <c r="G25" t="str">
        <f>R25&amp;"_0_1_"&amp;ROUNDDOWN([1]关卡!M31*$C25,0)</f>
        <v>4000145_0_1_351</v>
      </c>
      <c r="H25" t="str">
        <f>S25&amp;"_0_1_"&amp;ROUNDDOWN([1]关卡!N31*$C25,0)</f>
        <v>4000245_0_1_291</v>
      </c>
      <c r="I25" t="str">
        <f>T25&amp;"_0_1_"&amp;ROUNDDOWN([1]关卡!O31*$C25,0)</f>
        <v>4000345_0_1_238</v>
      </c>
      <c r="J25" t="str">
        <f>U25&amp;"_0_1_"&amp;ROUNDDOWN([1]关卡!P31*$C25,0)</f>
        <v>4000445_0_1_119</v>
      </c>
      <c r="K25" t="str">
        <f>V25&amp;"_0_1_"&amp;ROUNDDOWN([1]关卡!Q31*$C25,0)</f>
        <v>4000545_0_1_41</v>
      </c>
      <c r="L25" t="str">
        <f>W25&amp;"_0_1_"&amp;ROUNDDOWN([1]关卡!M31*$E25,0)</f>
        <v>4000145_0_1_324</v>
      </c>
      <c r="M25" t="str">
        <f>X25&amp;"_0_1_"&amp;ROUNDDOWN([1]关卡!N31*$E25,0)</f>
        <v>4000245_0_1_269</v>
      </c>
      <c r="N25" t="str">
        <f>Y25&amp;"_0_1_"&amp;ROUNDDOWN([1]关卡!O31*$E25,0)</f>
        <v>4000345_0_1_219</v>
      </c>
      <c r="O25" t="str">
        <f>Z25&amp;"_0_1_"&amp;ROUNDDOWN([1]关卡!P31*$E25,0)</f>
        <v>4000445_0_1_109</v>
      </c>
      <c r="P25" t="str">
        <f>AA25&amp;"_0_1_"&amp;ROUNDDOWN([1]关卡!Q31*$E25,0)</f>
        <v>4000545_0_1_38</v>
      </c>
      <c r="R25" t="str">
        <f t="shared" si="10"/>
        <v>4000145</v>
      </c>
      <c r="S25" t="str">
        <f t="shared" si="10"/>
        <v>4000245</v>
      </c>
      <c r="T25" t="str">
        <f t="shared" si="10"/>
        <v>4000345</v>
      </c>
      <c r="U25" t="str">
        <f t="shared" si="10"/>
        <v>4000445</v>
      </c>
      <c r="V25" t="str">
        <f t="shared" si="10"/>
        <v>4000545</v>
      </c>
      <c r="W25" t="str">
        <f t="shared" si="5"/>
        <v>4000145</v>
      </c>
      <c r="X25" t="str">
        <f t="shared" si="6"/>
        <v>4000245</v>
      </c>
      <c r="Y25" t="str">
        <f t="shared" si="7"/>
        <v>4000345</v>
      </c>
      <c r="Z25" t="str">
        <f t="shared" si="8"/>
        <v>4000445</v>
      </c>
      <c r="AA25" t="str">
        <f t="shared" si="9"/>
        <v>4000545</v>
      </c>
    </row>
    <row r="26" spans="1:27">
      <c r="A26" s="10">
        <v>47</v>
      </c>
      <c r="B26">
        <v>45</v>
      </c>
      <c r="C26">
        <f t="shared" si="11"/>
        <v>0.54299999999999993</v>
      </c>
      <c r="D26">
        <v>47</v>
      </c>
      <c r="E26">
        <v>0.45700000000000002</v>
      </c>
      <c r="G26" t="str">
        <f>R26&amp;"_0_1_"&amp;ROUNDDOWN([1]关卡!M32*$C26,0)</f>
        <v>4000145_0_1_366</v>
      </c>
      <c r="H26" t="str">
        <f>S26&amp;"_0_1_"&amp;ROUNDDOWN([1]关卡!N32*$C26,0)</f>
        <v>4000245_0_1_304</v>
      </c>
      <c r="I26" t="str">
        <f>T26&amp;"_0_1_"&amp;ROUNDDOWN([1]关卡!O32*$C26,0)</f>
        <v>4000345_0_1_248</v>
      </c>
      <c r="J26" t="str">
        <f>U26&amp;"_0_1_"&amp;ROUNDDOWN([1]关卡!P32*$C26,0)</f>
        <v>4000445_0_1_124</v>
      </c>
      <c r="K26" t="str">
        <f>V26&amp;"_0_1_"&amp;ROUNDDOWN([1]关卡!Q32*$C26,0)</f>
        <v>4000545_0_1_43</v>
      </c>
      <c r="L26" t="str">
        <f>W26&amp;"_0_1_"&amp;ROUNDDOWN([1]关卡!M32*$E26,0)</f>
        <v>4000147_0_1_308</v>
      </c>
      <c r="M26" t="str">
        <f>X26&amp;"_0_1_"&amp;ROUNDDOWN([1]关卡!N32*$E26,0)</f>
        <v>4000247_0_1_256</v>
      </c>
      <c r="N26" t="str">
        <f>Y26&amp;"_0_1_"&amp;ROUNDDOWN([1]关卡!O32*$E26,0)</f>
        <v>4000347_0_1_209</v>
      </c>
      <c r="O26" t="str">
        <f>Z26&amp;"_0_1_"&amp;ROUNDDOWN([1]关卡!P32*$E26,0)</f>
        <v>4000447_0_1_104</v>
      </c>
      <c r="P26" t="str">
        <f>AA26&amp;"_0_1_"&amp;ROUNDDOWN([1]关卡!Q32*$E26,0)</f>
        <v>4000547_0_1_36</v>
      </c>
      <c r="R26" t="str">
        <f t="shared" si="10"/>
        <v>4000145</v>
      </c>
      <c r="S26" t="str">
        <f t="shared" si="10"/>
        <v>4000245</v>
      </c>
      <c r="T26" t="str">
        <f t="shared" si="10"/>
        <v>4000345</v>
      </c>
      <c r="U26" t="str">
        <f t="shared" si="10"/>
        <v>4000445</v>
      </c>
      <c r="V26" t="str">
        <f t="shared" si="10"/>
        <v>4000545</v>
      </c>
      <c r="W26" t="str">
        <f t="shared" si="5"/>
        <v>4000147</v>
      </c>
      <c r="X26" t="str">
        <f t="shared" si="6"/>
        <v>4000247</v>
      </c>
      <c r="Y26" t="str">
        <f t="shared" si="7"/>
        <v>4000347</v>
      </c>
      <c r="Z26" t="str">
        <f t="shared" si="8"/>
        <v>4000447</v>
      </c>
      <c r="AA26" t="str">
        <f t="shared" si="9"/>
        <v>4000547</v>
      </c>
    </row>
    <row r="27" spans="1:27">
      <c r="A27" s="10">
        <v>49</v>
      </c>
      <c r="B27">
        <v>47</v>
      </c>
      <c r="C27">
        <f t="shared" si="11"/>
        <v>0.55899999999999994</v>
      </c>
      <c r="D27">
        <v>50</v>
      </c>
      <c r="E27">
        <v>0.441</v>
      </c>
      <c r="G27" t="str">
        <f>R27&amp;"_0_1_"&amp;ROUNDDOWN([1]关卡!M33*$C27,0)</f>
        <v>4000147_0_1_377</v>
      </c>
      <c r="H27" t="str">
        <f>S27&amp;"_0_1_"&amp;ROUNDDOWN([1]关卡!N33*$C27,0)</f>
        <v>4000247_0_1_313</v>
      </c>
      <c r="I27" t="str">
        <f>T27&amp;"_0_1_"&amp;ROUNDDOWN([1]关卡!O33*$C27,0)</f>
        <v>4000347_0_1_256</v>
      </c>
      <c r="J27" t="str">
        <f>U27&amp;"_0_1_"&amp;ROUNDDOWN([1]关卡!P33*$C27,0)</f>
        <v>4000447_0_1_128</v>
      </c>
      <c r="K27" t="str">
        <f>V27&amp;"_0_1_"&amp;ROUNDDOWN([1]关卡!Q33*$C27,0)</f>
        <v>4000547_0_1_44</v>
      </c>
      <c r="L27" t="str">
        <f>W27&amp;"_0_1_"&amp;ROUNDDOWN([1]关卡!M33*$E27,0)</f>
        <v>4000150_0_1_297</v>
      </c>
      <c r="M27" t="str">
        <f>X27&amp;"_0_1_"&amp;ROUNDDOWN([1]关卡!N33*$E27,0)</f>
        <v>4000250_0_1_247</v>
      </c>
      <c r="N27" t="str">
        <f>Y27&amp;"_0_1_"&amp;ROUNDDOWN([1]关卡!O33*$E27,0)</f>
        <v>4000350_0_1_201</v>
      </c>
      <c r="O27" t="str">
        <f>Z27&amp;"_0_1_"&amp;ROUNDDOWN([1]关卡!P33*$E27,0)</f>
        <v>4000450_0_1_100</v>
      </c>
      <c r="P27" t="str">
        <f>AA27&amp;"_0_1_"&amp;ROUNDDOWN([1]关卡!Q33*$E27,0)</f>
        <v>4000550_0_1_35</v>
      </c>
      <c r="R27" t="str">
        <f t="shared" si="10"/>
        <v>4000147</v>
      </c>
      <c r="S27" t="str">
        <f t="shared" si="10"/>
        <v>4000247</v>
      </c>
      <c r="T27" t="str">
        <f t="shared" si="10"/>
        <v>4000347</v>
      </c>
      <c r="U27" t="str">
        <f t="shared" si="10"/>
        <v>4000447</v>
      </c>
      <c r="V27" t="str">
        <f t="shared" si="10"/>
        <v>4000547</v>
      </c>
      <c r="W27" t="str">
        <f t="shared" si="5"/>
        <v>4000150</v>
      </c>
      <c r="X27" t="str">
        <f t="shared" si="6"/>
        <v>4000250</v>
      </c>
      <c r="Y27" t="str">
        <f t="shared" si="7"/>
        <v>4000350</v>
      </c>
      <c r="Z27" t="str">
        <f t="shared" si="8"/>
        <v>4000450</v>
      </c>
      <c r="AA27" t="str">
        <f t="shared" si="9"/>
        <v>4000550</v>
      </c>
    </row>
    <row r="28" spans="1:27">
      <c r="A28" s="10">
        <v>51</v>
      </c>
      <c r="B28">
        <f t="shared" si="0"/>
        <v>50</v>
      </c>
      <c r="C28">
        <f t="shared" si="11"/>
        <v>0.58699999999999997</v>
      </c>
      <c r="D28">
        <v>53</v>
      </c>
      <c r="E28">
        <v>0.41299999999999998</v>
      </c>
      <c r="G28" t="str">
        <f>R28&amp;"_0_1_"&amp;ROUNDDOWN([1]关卡!M34*$C28,0)</f>
        <v>4000150_0_1_406</v>
      </c>
      <c r="H28" t="str">
        <f>S28&amp;"_0_1_"&amp;ROUNDDOWN([1]关卡!N34*$C28,0)</f>
        <v>4000250_0_1_337</v>
      </c>
      <c r="I28" t="str">
        <f>T28&amp;"_0_1_"&amp;ROUNDDOWN([1]关卡!O34*$C28,0)</f>
        <v>4000350_0_1_275</v>
      </c>
      <c r="J28" t="str">
        <f>U28&amp;"_0_1_"&amp;ROUNDDOWN([1]关卡!P34*$C28,0)</f>
        <v>4000450_0_1_137</v>
      </c>
      <c r="K28" t="str">
        <f>V28&amp;"_0_1_"&amp;ROUNDDOWN([1]关卡!Q34*$C28,0)</f>
        <v>4000550_0_1_48</v>
      </c>
      <c r="L28" t="str">
        <f>W28&amp;"_0_1_"&amp;ROUNDDOWN([1]关卡!M34*$E28,0)</f>
        <v>4000153_0_1_285</v>
      </c>
      <c r="M28" t="str">
        <f>X28&amp;"_0_1_"&amp;ROUNDDOWN([1]关卡!N34*$E28,0)</f>
        <v>4000253_0_1_237</v>
      </c>
      <c r="N28" t="str">
        <f>Y28&amp;"_0_1_"&amp;ROUNDDOWN([1]关卡!O34*$E28,0)</f>
        <v>4000353_0_1_193</v>
      </c>
      <c r="O28" t="str">
        <f>Z28&amp;"_0_1_"&amp;ROUNDDOWN([1]关卡!P34*$E28,0)</f>
        <v>4000453_0_1_97</v>
      </c>
      <c r="P28" t="str">
        <f>AA28&amp;"_0_1_"&amp;ROUNDDOWN([1]关卡!Q34*$E28,0)</f>
        <v>4000553_0_1_33</v>
      </c>
      <c r="R28" t="str">
        <f t="shared" ref="R28:V36" si="12">S$1&amp;$B28</f>
        <v>4000150</v>
      </c>
      <c r="S28" t="str">
        <f t="shared" si="12"/>
        <v>4000250</v>
      </c>
      <c r="T28" t="str">
        <f t="shared" si="12"/>
        <v>4000350</v>
      </c>
      <c r="U28" t="str">
        <f t="shared" si="12"/>
        <v>4000450</v>
      </c>
      <c r="V28" t="str">
        <f t="shared" si="12"/>
        <v>4000550</v>
      </c>
      <c r="W28" t="str">
        <f t="shared" si="5"/>
        <v>4000153</v>
      </c>
      <c r="X28" t="str">
        <f t="shared" si="6"/>
        <v>4000253</v>
      </c>
      <c r="Y28" t="str">
        <f t="shared" si="7"/>
        <v>4000353</v>
      </c>
      <c r="Z28" t="str">
        <f t="shared" si="8"/>
        <v>4000453</v>
      </c>
      <c r="AA28" t="str">
        <f t="shared" si="9"/>
        <v>4000553</v>
      </c>
    </row>
    <row r="29" spans="1:27">
      <c r="A29" s="10">
        <v>53</v>
      </c>
      <c r="B29">
        <v>53</v>
      </c>
      <c r="C29">
        <f t="shared" si="11"/>
        <v>0.61199999999999999</v>
      </c>
      <c r="D29">
        <v>53</v>
      </c>
      <c r="E29">
        <v>0.38800000000000001</v>
      </c>
      <c r="G29" t="str">
        <f>R29&amp;"_0_1_"&amp;ROUNDDOWN([1]关卡!M35*$C29,0)</f>
        <v>4000153_0_1_423</v>
      </c>
      <c r="H29" t="str">
        <f>S29&amp;"_0_1_"&amp;ROUNDDOWN([1]关卡!N35*$C29,0)</f>
        <v>4000253_0_1_351</v>
      </c>
      <c r="I29" t="str">
        <f>T29&amp;"_0_1_"&amp;ROUNDDOWN([1]关卡!O35*$C29,0)</f>
        <v>4000353_0_1_287</v>
      </c>
      <c r="J29" t="str">
        <f>U29&amp;"_0_1_"&amp;ROUNDDOWN([1]关卡!P35*$C29,0)</f>
        <v>4000453_0_1_143</v>
      </c>
      <c r="K29" t="str">
        <f>V29&amp;"_0_1_"&amp;ROUNDDOWN([1]关卡!Q35*$C29,0)</f>
        <v>4000553_0_1_50</v>
      </c>
      <c r="L29" t="str">
        <f>W29&amp;"_0_1_"&amp;ROUNDDOWN([1]关卡!M35*$E29,0)</f>
        <v>4000153_0_1_268</v>
      </c>
      <c r="M29" t="str">
        <f>X29&amp;"_0_1_"&amp;ROUNDDOWN([1]关卡!N35*$E29,0)</f>
        <v>4000253_0_1_223</v>
      </c>
      <c r="N29" t="str">
        <f>Y29&amp;"_0_1_"&amp;ROUNDDOWN([1]关卡!O35*$E29,0)</f>
        <v>4000353_0_1_181</v>
      </c>
      <c r="O29" t="str">
        <f>Z29&amp;"_0_1_"&amp;ROUNDDOWN([1]关卡!P35*$E29,0)</f>
        <v>4000453_0_1_91</v>
      </c>
      <c r="P29" t="str">
        <f>AA29&amp;"_0_1_"&amp;ROUNDDOWN([1]关卡!Q35*$E29,0)</f>
        <v>4000553_0_1_31</v>
      </c>
      <c r="R29" t="str">
        <f t="shared" si="12"/>
        <v>4000153</v>
      </c>
      <c r="S29" t="str">
        <f t="shared" si="12"/>
        <v>4000253</v>
      </c>
      <c r="T29" t="str">
        <f t="shared" si="12"/>
        <v>4000353</v>
      </c>
      <c r="U29" t="str">
        <f t="shared" si="12"/>
        <v>4000453</v>
      </c>
      <c r="V29" t="str">
        <f t="shared" si="12"/>
        <v>4000553</v>
      </c>
      <c r="W29" t="str">
        <f t="shared" si="5"/>
        <v>4000153</v>
      </c>
      <c r="X29" t="str">
        <f t="shared" si="6"/>
        <v>4000253</v>
      </c>
      <c r="Y29" t="str">
        <f t="shared" si="7"/>
        <v>4000353</v>
      </c>
      <c r="Z29" t="str">
        <f t="shared" si="8"/>
        <v>4000453</v>
      </c>
      <c r="AA29" t="str">
        <f t="shared" si="9"/>
        <v>4000553</v>
      </c>
    </row>
    <row r="30" spans="1:27">
      <c r="A30" s="10">
        <v>55</v>
      </c>
      <c r="B30">
        <v>53</v>
      </c>
      <c r="C30">
        <f t="shared" si="11"/>
        <v>0.63500000000000001</v>
      </c>
      <c r="D30">
        <v>55</v>
      </c>
      <c r="E30">
        <v>0.36499999999999999</v>
      </c>
      <c r="G30" t="str">
        <f>R30&amp;"_0_1_"&amp;ROUNDDOWN([1]关卡!M36*$C30,0)</f>
        <v>4000153_0_1_439</v>
      </c>
      <c r="H30" t="str">
        <f>S30&amp;"_0_1_"&amp;ROUNDDOWN([1]关卡!N36*$C30,0)</f>
        <v>4000253_0_1_365</v>
      </c>
      <c r="I30" t="str">
        <f>T30&amp;"_0_1_"&amp;ROUNDDOWN([1]关卡!O36*$C30,0)</f>
        <v>4000353_0_1_297</v>
      </c>
      <c r="J30" t="str">
        <f>U30&amp;"_0_1_"&amp;ROUNDDOWN([1]关卡!P36*$C30,0)</f>
        <v>4000453_0_1_149</v>
      </c>
      <c r="K30" t="str">
        <f>V30&amp;"_0_1_"&amp;ROUNDDOWN([1]关卡!Q36*$C30,0)</f>
        <v>4000553_0_1_52</v>
      </c>
      <c r="L30" t="str">
        <f>W30&amp;"_0_1_"&amp;ROUNDDOWN([1]关卡!M36*$E30,0)</f>
        <v>4000155_0_1_252</v>
      </c>
      <c r="M30" t="str">
        <f>X30&amp;"_0_1_"&amp;ROUNDDOWN([1]关卡!N36*$E30,0)</f>
        <v>4000255_0_1_209</v>
      </c>
      <c r="N30" t="str">
        <f>Y30&amp;"_0_1_"&amp;ROUNDDOWN([1]关卡!O36*$E30,0)</f>
        <v>4000355_0_1_171</v>
      </c>
      <c r="O30" t="str">
        <f>Z30&amp;"_0_1_"&amp;ROUNDDOWN([1]关卡!P36*$E30,0)</f>
        <v>4000455_0_1_85</v>
      </c>
      <c r="P30" t="str">
        <f>AA30&amp;"_0_1_"&amp;ROUNDDOWN([1]关卡!Q36*$E30,0)</f>
        <v>4000555_0_1_29</v>
      </c>
      <c r="R30" t="str">
        <f t="shared" si="12"/>
        <v>4000153</v>
      </c>
      <c r="S30" t="str">
        <f t="shared" si="12"/>
        <v>4000253</v>
      </c>
      <c r="T30" t="str">
        <f t="shared" si="12"/>
        <v>4000353</v>
      </c>
      <c r="U30" t="str">
        <f t="shared" si="12"/>
        <v>4000453</v>
      </c>
      <c r="V30" t="str">
        <f t="shared" si="12"/>
        <v>4000553</v>
      </c>
      <c r="W30" t="str">
        <f t="shared" si="5"/>
        <v>4000155</v>
      </c>
      <c r="X30" t="str">
        <f t="shared" si="6"/>
        <v>4000255</v>
      </c>
      <c r="Y30" t="str">
        <f t="shared" si="7"/>
        <v>4000355</v>
      </c>
      <c r="Z30" t="str">
        <f t="shared" si="8"/>
        <v>4000455</v>
      </c>
      <c r="AA30" t="str">
        <f t="shared" si="9"/>
        <v>4000555</v>
      </c>
    </row>
    <row r="31" spans="1:27">
      <c r="A31" s="10">
        <v>57</v>
      </c>
      <c r="B31">
        <v>55</v>
      </c>
      <c r="C31">
        <f t="shared" si="11"/>
        <v>0.65600000000000003</v>
      </c>
      <c r="D31">
        <v>57</v>
      </c>
      <c r="E31">
        <v>0.34399999999999997</v>
      </c>
      <c r="G31" t="str">
        <f>R31&amp;"_0_1_"&amp;ROUNDDOWN([1]关卡!M37*$C31,0)</f>
        <v>4000155_0_1_453</v>
      </c>
      <c r="H31" t="str">
        <f>S31&amp;"_0_1_"&amp;ROUNDDOWN([1]关卡!N37*$C31,0)</f>
        <v>4000255_0_1_377</v>
      </c>
      <c r="I31" t="str">
        <f>T31&amp;"_0_1_"&amp;ROUNDDOWN([1]关卡!O37*$C31,0)</f>
        <v>4000355_0_1_307</v>
      </c>
      <c r="J31" t="str">
        <f>U31&amp;"_0_1_"&amp;ROUNDDOWN([1]关卡!P37*$C31,0)</f>
        <v>4000455_0_1_154</v>
      </c>
      <c r="K31" t="str">
        <f>V31&amp;"_0_1_"&amp;ROUNDDOWN([1]关卡!Q37*$C31,0)</f>
        <v>4000555_0_1_53</v>
      </c>
      <c r="L31" t="str">
        <f>W31&amp;"_0_1_"&amp;ROUNDDOWN([1]关卡!M37*$E31,0)</f>
        <v>4000157_0_1_238</v>
      </c>
      <c r="M31" t="str">
        <f>X31&amp;"_0_1_"&amp;ROUNDDOWN([1]关卡!N37*$E31,0)</f>
        <v>4000257_0_1_197</v>
      </c>
      <c r="N31" t="str">
        <f>Y31&amp;"_0_1_"&amp;ROUNDDOWN([1]关卡!O37*$E31,0)</f>
        <v>4000357_0_1_161</v>
      </c>
      <c r="O31" t="str">
        <f>Z31&amp;"_0_1_"&amp;ROUNDDOWN([1]关卡!P37*$E31,0)</f>
        <v>4000457_0_1_80</v>
      </c>
      <c r="P31" t="str">
        <f>AA31&amp;"_0_1_"&amp;ROUNDDOWN([1]关卡!Q37*$E31,0)</f>
        <v>4000557_0_1_28</v>
      </c>
      <c r="R31" t="str">
        <f t="shared" si="12"/>
        <v>4000155</v>
      </c>
      <c r="S31" t="str">
        <f t="shared" si="12"/>
        <v>4000255</v>
      </c>
      <c r="T31" t="str">
        <f t="shared" si="12"/>
        <v>4000355</v>
      </c>
      <c r="U31" t="str">
        <f t="shared" si="12"/>
        <v>4000455</v>
      </c>
      <c r="V31" t="str">
        <f t="shared" si="12"/>
        <v>4000555</v>
      </c>
      <c r="W31" t="str">
        <f t="shared" si="5"/>
        <v>4000157</v>
      </c>
      <c r="X31" t="str">
        <f t="shared" si="6"/>
        <v>4000257</v>
      </c>
      <c r="Y31" t="str">
        <f t="shared" si="7"/>
        <v>4000357</v>
      </c>
      <c r="Z31" t="str">
        <f t="shared" si="8"/>
        <v>4000457</v>
      </c>
      <c r="AA31" t="str">
        <f t="shared" si="9"/>
        <v>4000557</v>
      </c>
    </row>
    <row r="32" spans="1:27">
      <c r="A32" s="10">
        <v>59</v>
      </c>
      <c r="B32">
        <v>57</v>
      </c>
      <c r="C32">
        <f t="shared" si="11"/>
        <v>0.67500000000000004</v>
      </c>
      <c r="D32">
        <v>57</v>
      </c>
      <c r="E32">
        <v>0.32500000000000001</v>
      </c>
      <c r="G32" t="str">
        <f>R32&amp;"_0_1_"&amp;ROUNDDOWN([1]关卡!M38*$C32,0)</f>
        <v>4000157_0_1_467</v>
      </c>
      <c r="H32" t="str">
        <f>S32&amp;"_0_1_"&amp;ROUNDDOWN([1]关卡!N38*$C32,0)</f>
        <v>4000257_0_1_388</v>
      </c>
      <c r="I32" t="str">
        <f>T32&amp;"_0_1_"&amp;ROUNDDOWN([1]关卡!O38*$C32,0)</f>
        <v>4000357_0_1_316</v>
      </c>
      <c r="J32" t="str">
        <f>U32&amp;"_0_1_"&amp;ROUNDDOWN([1]关卡!P38*$C32,0)</f>
        <v>4000457_0_1_158</v>
      </c>
      <c r="K32" t="str">
        <f>V32&amp;"_0_1_"&amp;ROUNDDOWN([1]关卡!Q38*$C32,0)</f>
        <v>4000557_0_1_55</v>
      </c>
      <c r="L32" t="str">
        <f>W32&amp;"_0_1_"&amp;ROUNDDOWN([1]关卡!M38*$E32,0)</f>
        <v>4000157_0_1_224</v>
      </c>
      <c r="M32" t="str">
        <f>X32&amp;"_0_1_"&amp;ROUNDDOWN([1]关卡!N38*$E32,0)</f>
        <v>4000257_0_1_186</v>
      </c>
      <c r="N32" t="str">
        <f>Y32&amp;"_0_1_"&amp;ROUNDDOWN([1]关卡!O38*$E32,0)</f>
        <v>4000357_0_1_152</v>
      </c>
      <c r="O32" t="str">
        <f>Z32&amp;"_0_1_"&amp;ROUNDDOWN([1]关卡!P38*$E32,0)</f>
        <v>4000457_0_1_76</v>
      </c>
      <c r="P32" t="str">
        <f>AA32&amp;"_0_1_"&amp;ROUNDDOWN([1]关卡!Q38*$E32,0)</f>
        <v>4000557_0_1_26</v>
      </c>
      <c r="R32" t="str">
        <f t="shared" si="12"/>
        <v>4000157</v>
      </c>
      <c r="S32" t="str">
        <f t="shared" si="12"/>
        <v>4000257</v>
      </c>
      <c r="T32" t="str">
        <f t="shared" si="12"/>
        <v>4000357</v>
      </c>
      <c r="U32" t="str">
        <f t="shared" si="12"/>
        <v>4000457</v>
      </c>
      <c r="V32" t="str">
        <f t="shared" si="12"/>
        <v>4000557</v>
      </c>
      <c r="W32" t="str">
        <f t="shared" si="5"/>
        <v>4000157</v>
      </c>
      <c r="X32" t="str">
        <f t="shared" si="6"/>
        <v>4000257</v>
      </c>
      <c r="Y32" t="str">
        <f t="shared" si="7"/>
        <v>4000357</v>
      </c>
      <c r="Z32" t="str">
        <f t="shared" si="8"/>
        <v>4000457</v>
      </c>
      <c r="AA32" t="str">
        <f t="shared" si="9"/>
        <v>4000557</v>
      </c>
    </row>
    <row r="33" spans="1:33">
      <c r="A33" s="10">
        <v>61</v>
      </c>
      <c r="B33">
        <v>57</v>
      </c>
      <c r="C33">
        <f t="shared" si="11"/>
        <v>0.69300000000000006</v>
      </c>
      <c r="D33">
        <v>60</v>
      </c>
      <c r="E33">
        <v>0.307</v>
      </c>
      <c r="G33" t="str">
        <f>R33&amp;"_0_1_"&amp;ROUNDDOWN([1]关卡!M39*$C33,0)</f>
        <v>4000157_0_1_479</v>
      </c>
      <c r="H33" t="str">
        <f>S33&amp;"_0_1_"&amp;ROUNDDOWN([1]关卡!N39*$C33,0)</f>
        <v>4000257_0_1_398</v>
      </c>
      <c r="I33" t="str">
        <f>T33&amp;"_0_1_"&amp;ROUNDDOWN([1]关卡!O39*$C33,0)</f>
        <v>4000357_0_1_325</v>
      </c>
      <c r="J33" t="str">
        <f>U33&amp;"_0_1_"&amp;ROUNDDOWN([1]关卡!P39*$C33,0)</f>
        <v>4000457_0_1_162</v>
      </c>
      <c r="K33" t="str">
        <f>V33&amp;"_0_1_"&amp;ROUNDDOWN([1]关卡!Q39*$C33,0)</f>
        <v>4000557_0_1_56</v>
      </c>
      <c r="L33" t="str">
        <f>W33&amp;"_0_1_"&amp;ROUNDDOWN([1]关卡!M39*$E33,0)</f>
        <v>4000160_0_1_212</v>
      </c>
      <c r="M33" t="str">
        <f>X33&amp;"_0_1_"&amp;ROUNDDOWN([1]关卡!N39*$E33,0)</f>
        <v>4000260_0_1_176</v>
      </c>
      <c r="N33" t="str">
        <f>Y33&amp;"_0_1_"&amp;ROUNDDOWN([1]关卡!O39*$E33,0)</f>
        <v>4000360_0_1_143</v>
      </c>
      <c r="O33" t="str">
        <f>Z33&amp;"_0_1_"&amp;ROUNDDOWN([1]关卡!P39*$E33,0)</f>
        <v>4000460_0_1_72</v>
      </c>
      <c r="P33" t="str">
        <f>AA33&amp;"_0_1_"&amp;ROUNDDOWN([1]关卡!Q39*$E33,0)</f>
        <v>4000560_0_1_25</v>
      </c>
      <c r="R33" t="str">
        <f t="shared" si="12"/>
        <v>4000157</v>
      </c>
      <c r="S33" t="str">
        <f t="shared" si="12"/>
        <v>4000257</v>
      </c>
      <c r="T33" t="str">
        <f t="shared" si="12"/>
        <v>4000357</v>
      </c>
      <c r="U33" t="str">
        <f t="shared" si="12"/>
        <v>4000457</v>
      </c>
      <c r="V33" t="str">
        <f t="shared" si="12"/>
        <v>4000557</v>
      </c>
      <c r="W33" t="str">
        <f t="shared" si="5"/>
        <v>4000160</v>
      </c>
      <c r="X33" t="str">
        <f t="shared" si="6"/>
        <v>4000260</v>
      </c>
      <c r="Y33" t="str">
        <f t="shared" si="7"/>
        <v>4000360</v>
      </c>
      <c r="Z33" t="str">
        <f t="shared" si="8"/>
        <v>4000460</v>
      </c>
      <c r="AA33" t="str">
        <f t="shared" si="9"/>
        <v>4000560</v>
      </c>
    </row>
    <row r="34" spans="1:33">
      <c r="A34" s="10">
        <v>63</v>
      </c>
      <c r="B34">
        <v>60</v>
      </c>
      <c r="C34">
        <f t="shared" si="11"/>
        <v>0.70700000000000007</v>
      </c>
      <c r="D34">
        <v>63</v>
      </c>
      <c r="E34">
        <v>0.29299999999999998</v>
      </c>
      <c r="G34" t="str">
        <f>R34&amp;"_0_1_"&amp;ROUNDDOWN([1]关卡!M40*$C34,0)</f>
        <v>4000160_0_1_489</v>
      </c>
      <c r="H34" t="str">
        <f>S34&amp;"_0_1_"&amp;ROUNDDOWN([1]关卡!N40*$C34,0)</f>
        <v>4000260_0_1_406</v>
      </c>
      <c r="I34" t="str">
        <f>T34&amp;"_0_1_"&amp;ROUNDDOWN([1]关卡!O40*$C34,0)</f>
        <v>4000360_0_1_331</v>
      </c>
      <c r="J34" t="str">
        <f>U34&amp;"_0_1_"&amp;ROUNDDOWN([1]关卡!P40*$C34,0)</f>
        <v>4000460_0_1_166</v>
      </c>
      <c r="K34" t="str">
        <f>V34&amp;"_0_1_"&amp;ROUNDDOWN([1]关卡!Q40*$C34,0)</f>
        <v>4000560_0_1_57</v>
      </c>
      <c r="L34" t="str">
        <f>W34&amp;"_0_1_"&amp;ROUNDDOWN([1]关卡!M40*$E34,0)</f>
        <v>4000163_0_1_202</v>
      </c>
      <c r="M34" t="str">
        <f>X34&amp;"_0_1_"&amp;ROUNDDOWN([1]关卡!N40*$E34,0)</f>
        <v>4000263_0_1_168</v>
      </c>
      <c r="N34" t="str">
        <f>Y34&amp;"_0_1_"&amp;ROUNDDOWN([1]关卡!O40*$E34,0)</f>
        <v>4000363_0_1_137</v>
      </c>
      <c r="O34" t="str">
        <f>Z34&amp;"_0_1_"&amp;ROUNDDOWN([1]关卡!P40*$E34,0)</f>
        <v>4000463_0_1_68</v>
      </c>
      <c r="P34" t="str">
        <f>AA34&amp;"_0_1_"&amp;ROUNDDOWN([1]关卡!Q40*$E34,0)</f>
        <v>4000563_0_1_24</v>
      </c>
      <c r="R34" t="str">
        <f t="shared" si="12"/>
        <v>4000160</v>
      </c>
      <c r="S34" t="str">
        <f t="shared" si="12"/>
        <v>4000260</v>
      </c>
      <c r="T34" t="str">
        <f t="shared" si="12"/>
        <v>4000360</v>
      </c>
      <c r="U34" t="str">
        <f t="shared" si="12"/>
        <v>4000460</v>
      </c>
      <c r="V34" t="str">
        <f t="shared" si="12"/>
        <v>4000560</v>
      </c>
      <c r="W34" t="str">
        <f t="shared" si="5"/>
        <v>4000163</v>
      </c>
      <c r="X34" t="str">
        <f t="shared" si="6"/>
        <v>4000263</v>
      </c>
      <c r="Y34" t="str">
        <f t="shared" si="7"/>
        <v>4000363</v>
      </c>
      <c r="Z34" t="str">
        <f t="shared" si="8"/>
        <v>4000463</v>
      </c>
      <c r="AA34" t="str">
        <f t="shared" si="9"/>
        <v>4000563</v>
      </c>
    </row>
    <row r="35" spans="1:33">
      <c r="A35" s="10">
        <v>65</v>
      </c>
      <c r="B35">
        <v>63</v>
      </c>
      <c r="C35">
        <f t="shared" si="11"/>
        <v>0.72</v>
      </c>
      <c r="D35">
        <v>63</v>
      </c>
      <c r="E35">
        <v>0.28000000000000003</v>
      </c>
      <c r="G35" t="str">
        <f>R35&amp;"_0_1_"&amp;ROUNDDOWN([1]关卡!M41*$C35,0)</f>
        <v>4000163_0_1_498</v>
      </c>
      <c r="H35" t="str">
        <f>S35&amp;"_0_1_"&amp;ROUNDDOWN([1]关卡!N41*$C35,0)</f>
        <v>4000263_0_1_414</v>
      </c>
      <c r="I35" t="str">
        <f>T35&amp;"_0_1_"&amp;ROUNDDOWN([1]关卡!O41*$C35,0)</f>
        <v>4000363_0_1_337</v>
      </c>
      <c r="J35" t="str">
        <f>U35&amp;"_0_1_"&amp;ROUNDDOWN([1]关卡!P41*$C35,0)</f>
        <v>4000463_0_1_169</v>
      </c>
      <c r="K35" t="str">
        <f>V35&amp;"_0_1_"&amp;ROUNDDOWN([1]关卡!Q41*$C35,0)</f>
        <v>4000563_0_1_59</v>
      </c>
      <c r="L35" t="str">
        <f>W35&amp;"_0_1_"&amp;ROUNDDOWN([1]关卡!M41*$E35,0)</f>
        <v>4000163_0_1_193</v>
      </c>
      <c r="M35" t="str">
        <f>X35&amp;"_0_1_"&amp;ROUNDDOWN([1]关卡!N41*$E35,0)</f>
        <v>4000263_0_1_161</v>
      </c>
      <c r="N35" t="str">
        <f>Y35&amp;"_0_1_"&amp;ROUNDDOWN([1]关卡!O41*$E35,0)</f>
        <v>4000363_0_1_131</v>
      </c>
      <c r="O35" t="str">
        <f>Z35&amp;"_0_1_"&amp;ROUNDDOWN([1]关卡!P41*$E35,0)</f>
        <v>4000463_0_1_65</v>
      </c>
      <c r="P35" t="str">
        <f>AA35&amp;"_0_1_"&amp;ROUNDDOWN([1]关卡!Q41*$E35,0)</f>
        <v>4000563_0_1_22</v>
      </c>
      <c r="R35" t="str">
        <f t="shared" si="12"/>
        <v>4000163</v>
      </c>
      <c r="S35" t="str">
        <f t="shared" si="12"/>
        <v>4000263</v>
      </c>
      <c r="T35" t="str">
        <f t="shared" si="12"/>
        <v>4000363</v>
      </c>
      <c r="U35" t="str">
        <f t="shared" si="12"/>
        <v>4000463</v>
      </c>
      <c r="V35" t="str">
        <f t="shared" si="12"/>
        <v>4000563</v>
      </c>
      <c r="W35" t="str">
        <f t="shared" si="5"/>
        <v>4000163</v>
      </c>
      <c r="X35" t="str">
        <f t="shared" si="6"/>
        <v>4000263</v>
      </c>
      <c r="Y35" t="str">
        <f t="shared" si="7"/>
        <v>4000363</v>
      </c>
      <c r="Z35" t="str">
        <f t="shared" si="8"/>
        <v>4000463</v>
      </c>
      <c r="AA35" t="str">
        <f t="shared" si="9"/>
        <v>4000563</v>
      </c>
    </row>
    <row r="36" spans="1:33">
      <c r="A36" s="10">
        <v>67</v>
      </c>
      <c r="B36">
        <v>63</v>
      </c>
      <c r="C36">
        <f t="shared" si="11"/>
        <v>0.73199999999999998</v>
      </c>
      <c r="D36">
        <v>65</v>
      </c>
      <c r="E36">
        <v>0.26800000000000002</v>
      </c>
      <c r="G36" t="str">
        <f>R36&amp;"_0_1_"&amp;ROUNDDOWN([1]关卡!M42*$C36,0)</f>
        <v>4000163_0_1_506</v>
      </c>
      <c r="H36" t="str">
        <f>S36&amp;"_0_1_"&amp;ROUNDDOWN([1]关卡!N42*$C36,0)</f>
        <v>4000263_0_1_420</v>
      </c>
      <c r="I36" t="str">
        <f>T36&amp;"_0_1_"&amp;ROUNDDOWN([1]关卡!O42*$C36,0)</f>
        <v>4000363_0_1_343</v>
      </c>
      <c r="J36" t="str">
        <f>U36&amp;"_0_1_"&amp;ROUNDDOWN([1]关卡!P42*$C36,0)</f>
        <v>4000463_0_1_172</v>
      </c>
      <c r="K36" t="str">
        <f>V36&amp;"_0_1_"&amp;ROUNDDOWN([1]关卡!Q42*$C36,0)</f>
        <v>4000563_0_1_60</v>
      </c>
      <c r="L36" t="str">
        <f>W36&amp;"_0_1_"&amp;ROUNDDOWN([1]关卡!M42*$E36,0)</f>
        <v>4000165_0_1_185</v>
      </c>
      <c r="M36" t="str">
        <f>X36&amp;"_0_1_"&amp;ROUNDDOWN([1]关卡!N42*$E36,0)</f>
        <v>4000265_0_1_154</v>
      </c>
      <c r="N36" t="str">
        <f>Y36&amp;"_0_1_"&amp;ROUNDDOWN([1]关卡!O42*$E36,0)</f>
        <v>4000365_0_1_125</v>
      </c>
      <c r="O36" t="str">
        <f>Z36&amp;"_0_1_"&amp;ROUNDDOWN([1]关卡!P42*$E36,0)</f>
        <v>4000465_0_1_62</v>
      </c>
      <c r="P36" t="str">
        <f>AA36&amp;"_0_1_"&amp;ROUNDDOWN([1]关卡!Q42*$E36,0)</f>
        <v>4000565_0_1_21</v>
      </c>
      <c r="R36" t="str">
        <f t="shared" si="12"/>
        <v>4000163</v>
      </c>
      <c r="S36" t="str">
        <f t="shared" si="12"/>
        <v>4000263</v>
      </c>
      <c r="T36" t="str">
        <f t="shared" si="12"/>
        <v>4000363</v>
      </c>
      <c r="U36" t="str">
        <f t="shared" si="12"/>
        <v>4000463</v>
      </c>
      <c r="V36" t="str">
        <f t="shared" si="12"/>
        <v>4000563</v>
      </c>
      <c r="W36" t="str">
        <f t="shared" si="5"/>
        <v>4000165</v>
      </c>
      <c r="X36" t="str">
        <f t="shared" si="6"/>
        <v>4000265</v>
      </c>
      <c r="Y36" t="str">
        <f t="shared" si="7"/>
        <v>4000365</v>
      </c>
      <c r="Z36" t="str">
        <f t="shared" si="8"/>
        <v>4000465</v>
      </c>
      <c r="AA36" t="str">
        <f t="shared" si="9"/>
        <v>4000565</v>
      </c>
    </row>
    <row r="37" spans="1:33">
      <c r="A37" s="10">
        <v>69</v>
      </c>
      <c r="B37">
        <v>67</v>
      </c>
      <c r="C37">
        <f t="shared" si="11"/>
        <v>0.755</v>
      </c>
      <c r="D37">
        <v>70</v>
      </c>
      <c r="E37">
        <v>0.245</v>
      </c>
      <c r="G37" t="str">
        <f>R37&amp;"_0_1_"&amp;ROUNDDOWN([1]关卡!M43*$C37,0)</f>
        <v>4000167_0_1_522</v>
      </c>
      <c r="H37" t="str">
        <f>S37&amp;"_0_1_"&amp;ROUNDDOWN([1]关卡!N43*$C37,0)</f>
        <v>4000267_0_1_434</v>
      </c>
      <c r="I37" t="str">
        <f>T37&amp;"_0_1_"&amp;ROUNDDOWN([1]关卡!O43*$C37,0)</f>
        <v>4000367_0_1_354</v>
      </c>
      <c r="J37" t="str">
        <f>U37&amp;"_0_1_"&amp;ROUNDDOWN([1]关卡!P43*$C37,0)</f>
        <v>4000467_0_1_177</v>
      </c>
      <c r="K37" t="str">
        <f>V37&amp;"_0_1_"&amp;ROUNDDOWN([1]关卡!Q43*$C37,0)</f>
        <v>4000567_0_1_61</v>
      </c>
      <c r="L37" t="str">
        <f>W37&amp;"_0_1_"&amp;ROUNDDOWN([1]关卡!M43*$E37,0)</f>
        <v>4000170_0_1_169</v>
      </c>
      <c r="M37" t="str">
        <f>X37&amp;"_0_1_"&amp;ROUNDDOWN([1]关卡!N43*$E37,0)</f>
        <v>4000270_0_1_140</v>
      </c>
      <c r="N37" t="str">
        <f>Y37&amp;"_0_1_"&amp;ROUNDDOWN([1]关卡!O43*$E37,0)</f>
        <v>4000370_0_1_114</v>
      </c>
      <c r="O37" t="str">
        <f>Z37&amp;"_0_1_"&amp;ROUNDDOWN([1]关卡!P43*$E37,0)</f>
        <v>4000470_0_1_57</v>
      </c>
      <c r="P37" t="str">
        <f>AA37&amp;"_0_1_"&amp;ROUNDDOWN([1]关卡!Q43*$E37,0)</f>
        <v>4000570_0_1_20</v>
      </c>
      <c r="R37" t="str">
        <f t="shared" ref="R37" si="13">S$1&amp;$B37</f>
        <v>4000167</v>
      </c>
      <c r="S37" t="str">
        <f t="shared" ref="S37" si="14">T$1&amp;$B37</f>
        <v>4000267</v>
      </c>
      <c r="T37" t="str">
        <f t="shared" ref="T37" si="15">U$1&amp;$B37</f>
        <v>4000367</v>
      </c>
      <c r="U37" t="str">
        <f t="shared" ref="U37" si="16">V$1&amp;$B37</f>
        <v>4000467</v>
      </c>
      <c r="V37" t="str">
        <f t="shared" ref="V37" si="17">W$1&amp;$B37</f>
        <v>4000567</v>
      </c>
      <c r="W37" t="str">
        <f t="shared" ref="W37:W38" si="18">S$1&amp;$D37</f>
        <v>4000170</v>
      </c>
      <c r="X37" t="str">
        <f t="shared" ref="X37:X38" si="19">T$1&amp;$D37</f>
        <v>4000270</v>
      </c>
      <c r="Y37" t="str">
        <f t="shared" ref="Y37:Y38" si="20">U$1&amp;$D37</f>
        <v>4000370</v>
      </c>
      <c r="Z37" t="str">
        <f t="shared" ref="Z37:Z38" si="21">V$1&amp;$D37</f>
        <v>4000470</v>
      </c>
      <c r="AA37" t="str">
        <f t="shared" ref="AA37:AA38" si="22">W$1&amp;$D37</f>
        <v>4000570</v>
      </c>
    </row>
    <row r="38" spans="1:33">
      <c r="A38" s="10">
        <v>70</v>
      </c>
      <c r="B38">
        <v>67</v>
      </c>
      <c r="C38">
        <v>0.5</v>
      </c>
      <c r="D38">
        <v>70</v>
      </c>
      <c r="E38">
        <v>0.5</v>
      </c>
      <c r="G38" t="str">
        <f>R38&amp;"_0_1_"&amp;ROUNDDOWN([1]关卡!M44*$C38,0)</f>
        <v>4000167_0_1_362</v>
      </c>
      <c r="H38" t="str">
        <f>S38&amp;"_0_1_"&amp;ROUNDDOWN([1]关卡!N44*$C38,0)</f>
        <v>4000267_0_1_301</v>
      </c>
      <c r="I38" t="str">
        <f>T38&amp;"_0_1_"&amp;ROUNDDOWN([1]关卡!O44*$C38,0)</f>
        <v>4000367_0_1_245</v>
      </c>
      <c r="J38" t="str">
        <f>U38&amp;"_0_1_"&amp;ROUNDDOWN([1]关卡!P44*$C38,0)</f>
        <v>4000467_0_1_123</v>
      </c>
      <c r="K38" t="str">
        <f>V38&amp;"_0_1_"&amp;ROUNDDOWN([1]关卡!Q44*$C38,0)</f>
        <v>4000567_0_1_43</v>
      </c>
      <c r="L38" t="str">
        <f>W38&amp;"_0_1_"&amp;ROUNDDOWN([1]关卡!M43*$E38,0)</f>
        <v>4000170_0_1_346</v>
      </c>
      <c r="M38" t="str">
        <f>X38&amp;"_0_1_"&amp;ROUNDDOWN([1]关卡!N43*$E38,0)</f>
        <v>4000270_0_1_287</v>
      </c>
      <c r="N38" t="str">
        <f>Y38&amp;"_0_1_"&amp;ROUNDDOWN([1]关卡!O43*$E38,0)</f>
        <v>4000370_0_1_234</v>
      </c>
      <c r="O38" t="str">
        <f>Z38&amp;"_0_1_"&amp;ROUNDDOWN([1]关卡!P43*$E38,0)</f>
        <v>4000470_0_1_117</v>
      </c>
      <c r="P38" t="str">
        <f>AA38&amp;"_0_1_"&amp;ROUNDDOWN([1]关卡!Q43*$E38,0)</f>
        <v>4000570_0_1_41</v>
      </c>
      <c r="R38" t="str">
        <f t="shared" ref="R38" si="23">S$1&amp;$B38</f>
        <v>4000167</v>
      </c>
      <c r="S38" t="str">
        <f t="shared" ref="S38" si="24">T$1&amp;$B38</f>
        <v>4000267</v>
      </c>
      <c r="T38" t="str">
        <f t="shared" ref="T38" si="25">U$1&amp;$B38</f>
        <v>4000367</v>
      </c>
      <c r="U38" t="str">
        <f t="shared" ref="U38" si="26">V$1&amp;$B38</f>
        <v>4000467</v>
      </c>
      <c r="V38" t="str">
        <f t="shared" ref="V38" si="27">W$1&amp;$B38</f>
        <v>4000567</v>
      </c>
      <c r="W38" t="str">
        <f t="shared" si="18"/>
        <v>4000170</v>
      </c>
      <c r="X38" t="str">
        <f t="shared" si="19"/>
        <v>4000270</v>
      </c>
      <c r="Y38" t="str">
        <f t="shared" si="20"/>
        <v>4000370</v>
      </c>
      <c r="Z38" t="str">
        <f t="shared" si="21"/>
        <v>4000470</v>
      </c>
      <c r="AA38" t="str">
        <f t="shared" si="22"/>
        <v>4000570</v>
      </c>
    </row>
    <row r="39" spans="1:33">
      <c r="A39" s="10">
        <v>72</v>
      </c>
      <c r="B39">
        <v>72</v>
      </c>
      <c r="C39">
        <f t="shared" si="11"/>
        <v>0.77300000000000002</v>
      </c>
      <c r="D39">
        <v>74</v>
      </c>
      <c r="E39">
        <v>0.22700000000000001</v>
      </c>
      <c r="G39" t="str">
        <f>R39&amp;"_0_1_"&amp;ROUNDDOWN([1]关卡!M44*$C39,0)</f>
        <v>4001072_0_1_560</v>
      </c>
      <c r="H39" t="str">
        <f>S39&amp;"_0_1_"&amp;ROUNDDOWN([1]关卡!N44*$C39,0)</f>
        <v>4002072_0_1_465</v>
      </c>
      <c r="I39" t="str">
        <f>T39&amp;"_0_1_"&amp;ROUNDDOWN([1]关卡!O44*$C39,0)</f>
        <v>4003072_0_1_379</v>
      </c>
      <c r="J39" t="str">
        <f>U39&amp;"_0_1_"&amp;ROUNDDOWN([1]关卡!P44*$C39,0)</f>
        <v>4004072_0_1_190</v>
      </c>
      <c r="K39" t="str">
        <f>V39&amp;"_0_1_"&amp;ROUNDDOWN([1]关卡!Q44*$C39,0)</f>
        <v>4005072_0_1_66</v>
      </c>
      <c r="L39" t="str">
        <f>W39&amp;"_0_1_"&amp;ROUNDDOWN([1]关卡!M44*$E39,0)</f>
        <v>4001074_0_1_164</v>
      </c>
      <c r="M39" t="str">
        <f>X39&amp;"_0_1_"&amp;ROUNDDOWN([1]关卡!N44*$E39,0)</f>
        <v>4002074_0_1_136</v>
      </c>
      <c r="N39" t="str">
        <f>Y39&amp;"_0_1_"&amp;ROUNDDOWN([1]关卡!O44*$E39,0)</f>
        <v>4003074_0_1_111</v>
      </c>
      <c r="O39" t="str">
        <f>Z39&amp;"_0_1_"&amp;ROUNDDOWN([1]关卡!P44*$E39,0)</f>
        <v>4004074_0_1_55</v>
      </c>
      <c r="P39" t="str">
        <f>AA39&amp;"_0_1_"&amp;ROUNDDOWN([1]关卡!Q44*$E39,0)</f>
        <v>4005074_0_1_19</v>
      </c>
      <c r="R39" t="str">
        <f>AC45&amp;$B39</f>
        <v>4001072</v>
      </c>
      <c r="S39" t="str">
        <f t="shared" ref="S39:V39" si="28">AD45&amp;$B39</f>
        <v>4002072</v>
      </c>
      <c r="T39" t="str">
        <f t="shared" si="28"/>
        <v>4003072</v>
      </c>
      <c r="U39" t="str">
        <f t="shared" si="28"/>
        <v>4004072</v>
      </c>
      <c r="V39" t="str">
        <f t="shared" si="28"/>
        <v>4005072</v>
      </c>
      <c r="W39" t="str">
        <f t="shared" ref="W39:W52" si="29">AC$45&amp;$D39</f>
        <v>4001074</v>
      </c>
      <c r="X39" t="str">
        <f t="shared" ref="X39:X52" si="30">AD$45&amp;$D39</f>
        <v>4002074</v>
      </c>
      <c r="Y39" t="str">
        <f t="shared" ref="Y39:Y52" si="31">AE$45&amp;$D39</f>
        <v>4003074</v>
      </c>
      <c r="Z39" t="str">
        <f t="shared" ref="Z39:Z52" si="32">AF$45&amp;$D39</f>
        <v>4004074</v>
      </c>
      <c r="AA39" t="str">
        <f t="shared" ref="AA39:AA52" si="33">AG$45&amp;$D39</f>
        <v>4005074</v>
      </c>
    </row>
    <row r="40" spans="1:33">
      <c r="A40" s="10">
        <v>74</v>
      </c>
      <c r="B40">
        <v>74</v>
      </c>
      <c r="C40">
        <f t="shared" si="11"/>
        <v>0.81699999999999995</v>
      </c>
      <c r="D40">
        <v>76</v>
      </c>
      <c r="E40">
        <v>0.183</v>
      </c>
      <c r="G40" t="str">
        <f>R40&amp;"_0_1_"&amp;ROUNDDOWN([1]关卡!M45*$C40,0)</f>
        <v>4001074_0_1_598</v>
      </c>
      <c r="H40" t="str">
        <f>S40&amp;"_0_1_"&amp;ROUNDDOWN([1]关卡!N45*$C40,0)</f>
        <v>4002074_0_1_496</v>
      </c>
      <c r="I40" t="str">
        <f>T40&amp;"_0_1_"&amp;ROUNDDOWN([1]关卡!O45*$C40,0)</f>
        <v>4003074_0_1_405</v>
      </c>
      <c r="J40" t="str">
        <f>U40&amp;"_0_1_"&amp;ROUNDDOWN([1]关卡!P45*$C40,0)</f>
        <v>4004074_0_1_202</v>
      </c>
      <c r="K40" t="str">
        <f>V40&amp;"_0_1_"&amp;ROUNDDOWN([1]关卡!Q45*$C40,0)</f>
        <v>4005074_0_1_71</v>
      </c>
      <c r="L40" t="str">
        <f>W40&amp;"_0_1_"&amp;ROUNDDOWN([1]关卡!M45*$E40,0)</f>
        <v>4001076_0_1_133</v>
      </c>
      <c r="M40" t="str">
        <f>X40&amp;"_0_1_"&amp;ROUNDDOWN([1]关卡!N45*$E40,0)</f>
        <v>4002076_0_1_111</v>
      </c>
      <c r="N40" t="str">
        <f>Y40&amp;"_0_1_"&amp;ROUNDDOWN([1]关卡!O45*$E40,0)</f>
        <v>4003076_0_1_90</v>
      </c>
      <c r="O40" t="str">
        <f>Z40&amp;"_0_1_"&amp;ROUNDDOWN([1]关卡!P45*$E40,0)</f>
        <v>4004076_0_1_45</v>
      </c>
      <c r="P40" t="str">
        <f>AA40&amp;"_0_1_"&amp;ROUNDDOWN([1]关卡!Q45*$E40,0)</f>
        <v>4005076_0_1_15</v>
      </c>
      <c r="R40" t="str">
        <f t="shared" ref="R40:R53" si="34">AC$45&amp;$B40</f>
        <v>4001074</v>
      </c>
      <c r="S40" t="str">
        <f t="shared" ref="S40:S53" si="35">AD$45&amp;$B40</f>
        <v>4002074</v>
      </c>
      <c r="T40" t="str">
        <f t="shared" ref="T40:T53" si="36">AE$45&amp;$B40</f>
        <v>4003074</v>
      </c>
      <c r="U40" t="str">
        <f t="shared" ref="U40:U53" si="37">AF$45&amp;$B40</f>
        <v>4004074</v>
      </c>
      <c r="V40" t="str">
        <f t="shared" ref="V40:V53" si="38">AG$45&amp;$B40</f>
        <v>4005074</v>
      </c>
      <c r="W40" t="str">
        <f t="shared" si="29"/>
        <v>4001076</v>
      </c>
      <c r="X40" t="str">
        <f t="shared" si="30"/>
        <v>4002076</v>
      </c>
      <c r="Y40" t="str">
        <f t="shared" si="31"/>
        <v>4003076</v>
      </c>
      <c r="Z40" t="str">
        <f t="shared" si="32"/>
        <v>4004076</v>
      </c>
      <c r="AA40" t="str">
        <f t="shared" si="33"/>
        <v>4005076</v>
      </c>
    </row>
    <row r="41" spans="1:33">
      <c r="A41" s="10">
        <v>76</v>
      </c>
      <c r="B41">
        <v>76</v>
      </c>
      <c r="C41">
        <f t="shared" si="11"/>
        <v>0.85</v>
      </c>
      <c r="D41">
        <v>78</v>
      </c>
      <c r="E41">
        <v>0.15</v>
      </c>
      <c r="G41" t="str">
        <f>R41&amp;"_0_1_"&amp;ROUNDDOWN([1]关卡!M46*$C41,0)</f>
        <v>4001076_0_1_627</v>
      </c>
      <c r="H41" t="str">
        <f>S41&amp;"_0_1_"&amp;ROUNDDOWN([1]关卡!N46*$C41,0)</f>
        <v>4002076_0_1_521</v>
      </c>
      <c r="I41" t="str">
        <f>T41&amp;"_0_1_"&amp;ROUNDDOWN([1]关卡!O46*$C41,0)</f>
        <v>4003076_0_1_425</v>
      </c>
      <c r="J41" t="str">
        <f>U41&amp;"_0_1_"&amp;ROUNDDOWN([1]关卡!P46*$C41,0)</f>
        <v>4004076_0_1_212</v>
      </c>
      <c r="K41" t="str">
        <f>V41&amp;"_0_1_"&amp;ROUNDDOWN([1]关卡!Q46*$C41,0)</f>
        <v>4005076_0_1_74</v>
      </c>
      <c r="L41" t="str">
        <f>W41&amp;"_0_1_"&amp;ROUNDDOWN([1]关卡!M46*$E41,0)</f>
        <v>4001078_0_1_110</v>
      </c>
      <c r="M41" t="str">
        <f>X41&amp;"_0_1_"&amp;ROUNDDOWN([1]关卡!N46*$E41,0)</f>
        <v>4002078_0_1_91</v>
      </c>
      <c r="N41" t="str">
        <f>Y41&amp;"_0_1_"&amp;ROUNDDOWN([1]关卡!O46*$E41,0)</f>
        <v>4003078_0_1_75</v>
      </c>
      <c r="O41" t="str">
        <f>Z41&amp;"_0_1_"&amp;ROUNDDOWN([1]关卡!P46*$E41,0)</f>
        <v>4004078_0_1_37</v>
      </c>
      <c r="P41" t="str">
        <f>AA41&amp;"_0_1_"&amp;ROUNDDOWN([1]关卡!Q46*$E41,0)</f>
        <v>4005078_0_1_13</v>
      </c>
      <c r="R41" t="str">
        <f t="shared" si="34"/>
        <v>4001076</v>
      </c>
      <c r="S41" t="str">
        <f t="shared" si="35"/>
        <v>4002076</v>
      </c>
      <c r="T41" t="str">
        <f t="shared" si="36"/>
        <v>4003076</v>
      </c>
      <c r="U41" t="str">
        <f t="shared" si="37"/>
        <v>4004076</v>
      </c>
      <c r="V41" t="str">
        <f t="shared" si="38"/>
        <v>4005076</v>
      </c>
      <c r="W41" t="str">
        <f t="shared" si="29"/>
        <v>4001078</v>
      </c>
      <c r="X41" t="str">
        <f t="shared" si="30"/>
        <v>4002078</v>
      </c>
      <c r="Y41" t="str">
        <f t="shared" si="31"/>
        <v>4003078</v>
      </c>
      <c r="Z41" t="str">
        <f t="shared" si="32"/>
        <v>4004078</v>
      </c>
      <c r="AA41" t="str">
        <f t="shared" si="33"/>
        <v>4005078</v>
      </c>
    </row>
    <row r="42" spans="1:33">
      <c r="A42" s="10">
        <v>78</v>
      </c>
      <c r="B42">
        <v>78</v>
      </c>
      <c r="C42">
        <f t="shared" si="11"/>
        <v>0.875</v>
      </c>
      <c r="D42">
        <v>80</v>
      </c>
      <c r="E42">
        <v>0.125</v>
      </c>
      <c r="G42" t="str">
        <f>R42&amp;"_0_1_"&amp;ROUNDDOWN([1]关卡!M47*$C42,0)</f>
        <v>4001078_0_1_651</v>
      </c>
      <c r="H42" t="str">
        <f>S42&amp;"_0_1_"&amp;ROUNDDOWN([1]关卡!N47*$C42,0)</f>
        <v>4002078_0_1_541</v>
      </c>
      <c r="I42" t="str">
        <f>T42&amp;"_0_1_"&amp;ROUNDDOWN([1]关卡!O47*$C42,0)</f>
        <v>4003078_0_1_441</v>
      </c>
      <c r="J42" t="str">
        <f>U42&amp;"_0_1_"&amp;ROUNDDOWN([1]关卡!P47*$C42,0)</f>
        <v>4004078_0_1_221</v>
      </c>
      <c r="K42" t="str">
        <f>V42&amp;"_0_1_"&amp;ROUNDDOWN([1]关卡!Q47*$C42,0)</f>
        <v>4005078_0_1_77</v>
      </c>
      <c r="L42" t="str">
        <f>W42&amp;"_0_1_"&amp;ROUNDDOWN([1]关卡!M47*$E42,0)</f>
        <v>4001080_0_1_93</v>
      </c>
      <c r="M42" t="str">
        <f>X42&amp;"_0_1_"&amp;ROUNDDOWN([1]关卡!N47*$E42,0)</f>
        <v>4002080_0_1_77</v>
      </c>
      <c r="N42" t="str">
        <f>Y42&amp;"_0_1_"&amp;ROUNDDOWN([1]关卡!O47*$E42,0)</f>
        <v>4003080_0_1_63</v>
      </c>
      <c r="O42" t="str">
        <f>Z42&amp;"_0_1_"&amp;ROUNDDOWN([1]关卡!P47*$E42,0)</f>
        <v>4004080_0_1_31</v>
      </c>
      <c r="P42" t="str">
        <f>AA42&amp;"_0_1_"&amp;ROUNDDOWN([1]关卡!Q47*$E42,0)</f>
        <v>4005080_0_1_11</v>
      </c>
      <c r="R42" t="str">
        <f t="shared" si="34"/>
        <v>4001078</v>
      </c>
      <c r="S42" t="str">
        <f t="shared" si="35"/>
        <v>4002078</v>
      </c>
      <c r="T42" t="str">
        <f t="shared" si="36"/>
        <v>4003078</v>
      </c>
      <c r="U42" t="str">
        <f t="shared" si="37"/>
        <v>4004078</v>
      </c>
      <c r="V42" t="str">
        <f t="shared" si="38"/>
        <v>4005078</v>
      </c>
      <c r="W42" t="str">
        <f t="shared" si="29"/>
        <v>4001080</v>
      </c>
      <c r="X42" t="str">
        <f t="shared" si="30"/>
        <v>4002080</v>
      </c>
      <c r="Y42" t="str">
        <f t="shared" si="31"/>
        <v>4003080</v>
      </c>
      <c r="Z42" t="str">
        <f t="shared" si="32"/>
        <v>4004080</v>
      </c>
      <c r="AA42" t="str">
        <f t="shared" si="33"/>
        <v>4005080</v>
      </c>
    </row>
    <row r="43" spans="1:33">
      <c r="A43" s="10">
        <v>80</v>
      </c>
      <c r="B43">
        <v>80</v>
      </c>
      <c r="C43">
        <f t="shared" si="11"/>
        <v>0.9</v>
      </c>
      <c r="D43">
        <v>82</v>
      </c>
      <c r="E43">
        <v>0.1</v>
      </c>
      <c r="G43" t="str">
        <f>R43&amp;"_0_1_"&amp;ROUNDDOWN([1]关卡!M48*$C43,0)</f>
        <v>4001080_0_1_676</v>
      </c>
      <c r="H43" t="str">
        <f>S43&amp;"_0_1_"&amp;ROUNDDOWN([1]关卡!N48*$C43,0)</f>
        <v>4002080_0_1_561</v>
      </c>
      <c r="I43" t="str">
        <f>T43&amp;"_0_1_"&amp;ROUNDDOWN([1]关卡!O48*$C43,0)</f>
        <v>4003080_0_1_459</v>
      </c>
      <c r="J43" t="str">
        <f>U43&amp;"_0_1_"&amp;ROUNDDOWN([1]关卡!P48*$C43,0)</f>
        <v>4004080_0_1_229</v>
      </c>
      <c r="K43" t="str">
        <f>V43&amp;"_0_1_"&amp;ROUNDDOWN([1]关卡!Q48*$C43,0)</f>
        <v>4005080_0_1_80</v>
      </c>
      <c r="L43" t="str">
        <f>W43&amp;"_0_1_"&amp;ROUNDDOWN([1]关卡!M48*$E43,0)</f>
        <v>4001082_0_1_75</v>
      </c>
      <c r="M43" t="str">
        <f>X43&amp;"_0_1_"&amp;ROUNDDOWN([1]关卡!N48*$E43,0)</f>
        <v>4002082_0_1_62</v>
      </c>
      <c r="N43" t="str">
        <f>Y43&amp;"_0_1_"&amp;ROUNDDOWN([1]关卡!O48*$E43,0)</f>
        <v>4003082_0_1_51</v>
      </c>
      <c r="O43" t="str">
        <f>Z43&amp;"_0_1_"&amp;ROUNDDOWN([1]关卡!P48*$E43,0)</f>
        <v>4004082_0_1_25</v>
      </c>
      <c r="P43" t="str">
        <f>AA43&amp;"_0_1_"&amp;ROUNDDOWN([1]关卡!Q48*$E43,0)</f>
        <v>4005082_0_1_8</v>
      </c>
      <c r="R43" t="str">
        <f t="shared" si="34"/>
        <v>4001080</v>
      </c>
      <c r="S43" t="str">
        <f t="shared" si="35"/>
        <v>4002080</v>
      </c>
      <c r="T43" t="str">
        <f t="shared" si="36"/>
        <v>4003080</v>
      </c>
      <c r="U43" t="str">
        <f t="shared" si="37"/>
        <v>4004080</v>
      </c>
      <c r="V43" t="str">
        <f t="shared" si="38"/>
        <v>4005080</v>
      </c>
      <c r="W43" t="str">
        <f t="shared" si="29"/>
        <v>4001082</v>
      </c>
      <c r="X43" t="str">
        <f t="shared" si="30"/>
        <v>4002082</v>
      </c>
      <c r="Y43" t="str">
        <f t="shared" si="31"/>
        <v>4003082</v>
      </c>
      <c r="Z43" t="str">
        <f t="shared" si="32"/>
        <v>4004082</v>
      </c>
      <c r="AA43" t="str">
        <f t="shared" si="33"/>
        <v>4005082</v>
      </c>
    </row>
    <row r="44" spans="1:33">
      <c r="A44" s="10">
        <v>82</v>
      </c>
      <c r="B44">
        <v>82</v>
      </c>
      <c r="C44">
        <f t="shared" si="11"/>
        <v>0.9</v>
      </c>
      <c r="D44">
        <v>84</v>
      </c>
      <c r="E44">
        <v>0.1</v>
      </c>
      <c r="G44" t="str">
        <f>R44&amp;"_0_1_"&amp;ROUNDDOWN([1]关卡!M49*$C44,0)</f>
        <v>4001082_0_1_683</v>
      </c>
      <c r="H44" t="str">
        <f>S44&amp;"_0_1_"&amp;ROUNDDOWN([1]关卡!N49*$C44,0)</f>
        <v>4002082_0_1_567</v>
      </c>
      <c r="I44" t="str">
        <f>T44&amp;"_0_1_"&amp;ROUNDDOWN([1]关卡!O49*$C44,0)</f>
        <v>4003082_0_1_462</v>
      </c>
      <c r="J44" t="str">
        <f>U44&amp;"_0_1_"&amp;ROUNDDOWN([1]关卡!P49*$C44,0)</f>
        <v>4004082_0_1_231</v>
      </c>
      <c r="K44" t="str">
        <f>V44&amp;"_0_1_"&amp;ROUNDDOWN([1]关卡!Q49*$C44,0)</f>
        <v>4005082_0_1_81</v>
      </c>
      <c r="L44" t="str">
        <f>W44&amp;"_0_1_"&amp;ROUNDDOWN([1]关卡!M49*$E44,0)</f>
        <v>4001084_0_1_75</v>
      </c>
      <c r="M44" t="str">
        <f>X44&amp;"_0_1_"&amp;ROUNDDOWN([1]关卡!N49*$E44,0)</f>
        <v>4002084_0_1_63</v>
      </c>
      <c r="N44" t="str">
        <f>Y44&amp;"_0_1_"&amp;ROUNDDOWN([1]关卡!O49*$E44,0)</f>
        <v>4003084_0_1_51</v>
      </c>
      <c r="O44" t="str">
        <f>Z44&amp;"_0_1_"&amp;ROUNDDOWN([1]关卡!P49*$E44,0)</f>
        <v>4004084_0_1_25</v>
      </c>
      <c r="P44" t="str">
        <f>AA44&amp;"_0_1_"&amp;ROUNDDOWN([1]关卡!Q49*$E44,0)</f>
        <v>4005084_0_1_9</v>
      </c>
      <c r="R44" t="str">
        <f t="shared" si="34"/>
        <v>4001082</v>
      </c>
      <c r="S44" t="str">
        <f t="shared" si="35"/>
        <v>4002082</v>
      </c>
      <c r="T44" t="str">
        <f t="shared" si="36"/>
        <v>4003082</v>
      </c>
      <c r="U44" t="str">
        <f t="shared" si="37"/>
        <v>4004082</v>
      </c>
      <c r="V44" t="str">
        <f t="shared" si="38"/>
        <v>4005082</v>
      </c>
      <c r="W44" t="str">
        <f t="shared" si="29"/>
        <v>4001084</v>
      </c>
      <c r="X44" t="str">
        <f t="shared" si="30"/>
        <v>4002084</v>
      </c>
      <c r="Y44" t="str">
        <f t="shared" si="31"/>
        <v>4003084</v>
      </c>
      <c r="Z44" t="str">
        <f t="shared" si="32"/>
        <v>4004084</v>
      </c>
      <c r="AA44" t="str">
        <f t="shared" si="33"/>
        <v>4005084</v>
      </c>
    </row>
    <row r="45" spans="1:33">
      <c r="A45" s="10">
        <v>84</v>
      </c>
      <c r="B45">
        <v>84</v>
      </c>
      <c r="C45">
        <f t="shared" si="11"/>
        <v>0.9</v>
      </c>
      <c r="D45">
        <v>86</v>
      </c>
      <c r="E45">
        <v>0.1</v>
      </c>
      <c r="G45" t="str">
        <f>R45&amp;"_0_1_"&amp;ROUNDDOWN([1]关卡!M50*$C45,0)</f>
        <v>4001084_0_1_688</v>
      </c>
      <c r="H45" t="str">
        <f>S45&amp;"_0_1_"&amp;ROUNDDOWN([1]关卡!N50*$C45,0)</f>
        <v>4002084_0_1_572</v>
      </c>
      <c r="I45" t="str">
        <f>T45&amp;"_0_1_"&amp;ROUNDDOWN([1]关卡!O50*$C45,0)</f>
        <v>4003084_0_1_467</v>
      </c>
      <c r="J45" t="str">
        <f>U45&amp;"_0_1_"&amp;ROUNDDOWN([1]关卡!P50*$C45,0)</f>
        <v>4004084_0_1_233</v>
      </c>
      <c r="K45" t="str">
        <f>V45&amp;"_0_1_"&amp;ROUNDDOWN([1]关卡!Q50*$C45,0)</f>
        <v>4005084_0_1_81</v>
      </c>
      <c r="L45" t="str">
        <f>W45&amp;"_0_1_"&amp;ROUNDDOWN([1]关卡!M50*$E45,0)</f>
        <v>4001086_0_1_76</v>
      </c>
      <c r="M45" t="str">
        <f>X45&amp;"_0_1_"&amp;ROUNDDOWN([1]关卡!N50*$E45,0)</f>
        <v>4002086_0_1_63</v>
      </c>
      <c r="N45" t="str">
        <f>Y45&amp;"_0_1_"&amp;ROUNDDOWN([1]关卡!O50*$E45,0)</f>
        <v>4003086_0_1_51</v>
      </c>
      <c r="O45" t="str">
        <f>Z45&amp;"_0_1_"&amp;ROUNDDOWN([1]关卡!P50*$E45,0)</f>
        <v>4004086_0_1_25</v>
      </c>
      <c r="P45" t="str">
        <f>AA45&amp;"_0_1_"&amp;ROUNDDOWN([1]关卡!Q50*$E45,0)</f>
        <v>4005086_0_1_9</v>
      </c>
      <c r="R45" t="str">
        <f t="shared" si="34"/>
        <v>4001084</v>
      </c>
      <c r="S45" t="str">
        <f t="shared" si="35"/>
        <v>4002084</v>
      </c>
      <c r="T45" t="str">
        <f t="shared" si="36"/>
        <v>4003084</v>
      </c>
      <c r="U45" t="str">
        <f t="shared" si="37"/>
        <v>4004084</v>
      </c>
      <c r="V45" t="str">
        <f t="shared" si="38"/>
        <v>4005084</v>
      </c>
      <c r="W45" t="str">
        <f t="shared" si="29"/>
        <v>4001086</v>
      </c>
      <c r="X45" t="str">
        <f t="shared" si="30"/>
        <v>4002086</v>
      </c>
      <c r="Y45" t="str">
        <f t="shared" si="31"/>
        <v>4003086</v>
      </c>
      <c r="Z45" t="str">
        <f t="shared" si="32"/>
        <v>4004086</v>
      </c>
      <c r="AA45" t="str">
        <f t="shared" si="33"/>
        <v>4005086</v>
      </c>
      <c r="AC45" s="12">
        <v>40010</v>
      </c>
      <c r="AD45" s="12">
        <v>40020</v>
      </c>
      <c r="AE45" s="12">
        <v>40030</v>
      </c>
      <c r="AF45" s="12">
        <v>40040</v>
      </c>
      <c r="AG45" s="12">
        <v>40050</v>
      </c>
    </row>
    <row r="46" spans="1:33">
      <c r="A46" s="10">
        <v>86</v>
      </c>
      <c r="B46">
        <v>86</v>
      </c>
      <c r="C46">
        <f t="shared" si="11"/>
        <v>0.9</v>
      </c>
      <c r="D46">
        <v>88</v>
      </c>
      <c r="E46">
        <v>0.1</v>
      </c>
      <c r="G46" t="str">
        <f>R46&amp;"_0_1_"&amp;ROUNDDOWN([1]关卡!M51*$C46,0)</f>
        <v>4001086_0_1_694</v>
      </c>
      <c r="H46" t="str">
        <f>S46&amp;"_0_1_"&amp;ROUNDDOWN([1]关卡!N51*$C46,0)</f>
        <v>4002086_0_1_576</v>
      </c>
      <c r="I46" t="str">
        <f>T46&amp;"_0_1_"&amp;ROUNDDOWN([1]关卡!O51*$C46,0)</f>
        <v>4003086_0_1_470</v>
      </c>
      <c r="J46" t="str">
        <f>U46&amp;"_0_1_"&amp;ROUNDDOWN([1]关卡!P51*$C46,0)</f>
        <v>4004086_0_1_235</v>
      </c>
      <c r="K46" t="str">
        <f>V46&amp;"_0_1_"&amp;ROUNDDOWN([1]关卡!Q51*$C46,0)</f>
        <v>4005086_0_1_82</v>
      </c>
      <c r="L46" t="str">
        <f>W46&amp;"_0_1_"&amp;ROUNDDOWN([1]关卡!M51*$E46,0)</f>
        <v>4001088_0_1_77</v>
      </c>
      <c r="M46" t="str">
        <f>X46&amp;"_0_1_"&amp;ROUNDDOWN([1]关卡!N51*$E46,0)</f>
        <v>4002088_0_1_64</v>
      </c>
      <c r="N46" t="str">
        <f>Y46&amp;"_0_1_"&amp;ROUNDDOWN([1]关卡!O51*$E46,0)</f>
        <v>4003088_0_1_52</v>
      </c>
      <c r="O46" t="str">
        <f>Z46&amp;"_0_1_"&amp;ROUNDDOWN([1]关卡!P51*$E46,0)</f>
        <v>4004088_0_1_26</v>
      </c>
      <c r="P46" t="str">
        <f>AA46&amp;"_0_1_"&amp;ROUNDDOWN([1]关卡!Q51*$E46,0)</f>
        <v>4005088_0_1_9</v>
      </c>
      <c r="R46" t="str">
        <f t="shared" si="34"/>
        <v>4001086</v>
      </c>
      <c r="S46" t="str">
        <f t="shared" si="35"/>
        <v>4002086</v>
      </c>
      <c r="T46" t="str">
        <f t="shared" si="36"/>
        <v>4003086</v>
      </c>
      <c r="U46" t="str">
        <f t="shared" si="37"/>
        <v>4004086</v>
      </c>
      <c r="V46" t="str">
        <f t="shared" si="38"/>
        <v>4005086</v>
      </c>
      <c r="W46" t="str">
        <f t="shared" si="29"/>
        <v>4001088</v>
      </c>
      <c r="X46" t="str">
        <f t="shared" si="30"/>
        <v>4002088</v>
      </c>
      <c r="Y46" t="str">
        <f t="shared" si="31"/>
        <v>4003088</v>
      </c>
      <c r="Z46" t="str">
        <f t="shared" si="32"/>
        <v>4004088</v>
      </c>
      <c r="AA46" t="str">
        <f t="shared" si="33"/>
        <v>4005088</v>
      </c>
      <c r="AC46" s="12">
        <v>4001</v>
      </c>
      <c r="AD46" s="12">
        <v>4002</v>
      </c>
      <c r="AE46" s="12">
        <v>4003</v>
      </c>
      <c r="AF46" s="12">
        <v>4004</v>
      </c>
      <c r="AG46" s="12">
        <v>4005</v>
      </c>
    </row>
    <row r="47" spans="1:33">
      <c r="A47" s="10">
        <v>88</v>
      </c>
      <c r="B47">
        <v>88</v>
      </c>
      <c r="C47">
        <f t="shared" si="11"/>
        <v>0.9</v>
      </c>
      <c r="D47">
        <v>90</v>
      </c>
      <c r="E47">
        <v>0.1</v>
      </c>
      <c r="G47" t="str">
        <f>R47&amp;"_0_1_"&amp;ROUNDDOWN([1]关卡!M52*$C47,0)</f>
        <v>4001088_0_1_701</v>
      </c>
      <c r="H47" t="str">
        <f>S47&amp;"_0_1_"&amp;ROUNDDOWN([1]关卡!N52*$C47,0)</f>
        <v>4002088_0_1_582</v>
      </c>
      <c r="I47" t="str">
        <f>T47&amp;"_0_1_"&amp;ROUNDDOWN([1]关卡!O52*$C47,0)</f>
        <v>4003088_0_1_475</v>
      </c>
      <c r="J47" t="str">
        <f>U47&amp;"_0_1_"&amp;ROUNDDOWN([1]关卡!P52*$C47,0)</f>
        <v>4004088_0_1_237</v>
      </c>
      <c r="K47" t="str">
        <f>V47&amp;"_0_1_"&amp;ROUNDDOWN([1]关卡!Q52*$C47,0)</f>
        <v>4005088_0_1_82</v>
      </c>
      <c r="L47" t="str">
        <f>W47&amp;"_0_1_"&amp;ROUNDDOWN([1]关卡!M52*$E47,0)</f>
        <v>4001090_0_1_77</v>
      </c>
      <c r="M47" t="str">
        <f>X47&amp;"_0_1_"&amp;ROUNDDOWN([1]关卡!N52*$E47,0)</f>
        <v>4002090_0_1_64</v>
      </c>
      <c r="N47" t="str">
        <f>Y47&amp;"_0_1_"&amp;ROUNDDOWN([1]关卡!O52*$E47,0)</f>
        <v>4003090_0_1_52</v>
      </c>
      <c r="O47" t="str">
        <f>Z47&amp;"_0_1_"&amp;ROUNDDOWN([1]关卡!P52*$E47,0)</f>
        <v>4004090_0_1_26</v>
      </c>
      <c r="P47" t="str">
        <f>AA47&amp;"_0_1_"&amp;ROUNDDOWN([1]关卡!Q52*$E47,0)</f>
        <v>4005090_0_1_9</v>
      </c>
      <c r="R47" t="str">
        <f t="shared" si="34"/>
        <v>4001088</v>
      </c>
      <c r="S47" t="str">
        <f t="shared" si="35"/>
        <v>4002088</v>
      </c>
      <c r="T47" t="str">
        <f t="shared" si="36"/>
        <v>4003088</v>
      </c>
      <c r="U47" t="str">
        <f t="shared" si="37"/>
        <v>4004088</v>
      </c>
      <c r="V47" t="str">
        <f t="shared" si="38"/>
        <v>4005088</v>
      </c>
      <c r="W47" t="str">
        <f t="shared" si="29"/>
        <v>4001090</v>
      </c>
      <c r="X47" t="str">
        <f t="shared" si="30"/>
        <v>4002090</v>
      </c>
      <c r="Y47" t="str">
        <f t="shared" si="31"/>
        <v>4003090</v>
      </c>
      <c r="Z47" t="str">
        <f t="shared" si="32"/>
        <v>4004090</v>
      </c>
      <c r="AA47" t="str">
        <f t="shared" si="33"/>
        <v>4005090</v>
      </c>
    </row>
    <row r="48" spans="1:33">
      <c r="A48" s="10">
        <v>90</v>
      </c>
      <c r="B48">
        <v>90</v>
      </c>
      <c r="C48">
        <f t="shared" si="11"/>
        <v>0.9</v>
      </c>
      <c r="D48">
        <v>92</v>
      </c>
      <c r="E48">
        <v>0.1</v>
      </c>
      <c r="G48" t="str">
        <f>R48&amp;"_0_1_"&amp;ROUNDDOWN([1]关卡!M53*$C48,0)</f>
        <v>4001090_0_1_707</v>
      </c>
      <c r="H48" t="str">
        <f>S48&amp;"_0_1_"&amp;ROUNDDOWN([1]关卡!N53*$C48,0)</f>
        <v>4002090_0_1_586</v>
      </c>
      <c r="I48" t="str">
        <f>T48&amp;"_0_1_"&amp;ROUNDDOWN([1]关卡!O53*$C48,0)</f>
        <v>4003090_0_1_479</v>
      </c>
      <c r="J48" t="str">
        <f>U48&amp;"_0_1_"&amp;ROUNDDOWN([1]关卡!P53*$C48,0)</f>
        <v>4004090_0_1_239</v>
      </c>
      <c r="K48" t="str">
        <f>V48&amp;"_0_1_"&amp;ROUNDDOWN([1]关卡!Q53*$C48,0)</f>
        <v>4005090_0_1_83</v>
      </c>
      <c r="L48" t="str">
        <f>W48&amp;"_0_1_"&amp;ROUNDDOWN([1]关卡!M53*$E48,0)</f>
        <v>4001092_0_1_78</v>
      </c>
      <c r="M48" t="str">
        <f>X48&amp;"_0_1_"&amp;ROUNDDOWN([1]关卡!N53*$E48,0)</f>
        <v>4002092_0_1_65</v>
      </c>
      <c r="N48" t="str">
        <f>Y48&amp;"_0_1_"&amp;ROUNDDOWN([1]关卡!O53*$E48,0)</f>
        <v>4003092_0_1_53</v>
      </c>
      <c r="O48" t="str">
        <f>Z48&amp;"_0_1_"&amp;ROUNDDOWN([1]关卡!P53*$E48,0)</f>
        <v>4004092_0_1_26</v>
      </c>
      <c r="P48" t="str">
        <f>AA48&amp;"_0_1_"&amp;ROUNDDOWN([1]关卡!Q53*$E48,0)</f>
        <v>4005092_0_1_9</v>
      </c>
      <c r="R48" t="str">
        <f t="shared" si="34"/>
        <v>4001090</v>
      </c>
      <c r="S48" t="str">
        <f t="shared" si="35"/>
        <v>4002090</v>
      </c>
      <c r="T48" t="str">
        <f t="shared" si="36"/>
        <v>4003090</v>
      </c>
      <c r="U48" t="str">
        <f t="shared" si="37"/>
        <v>4004090</v>
      </c>
      <c r="V48" t="str">
        <f t="shared" si="38"/>
        <v>4005090</v>
      </c>
      <c r="W48" t="str">
        <f t="shared" si="29"/>
        <v>4001092</v>
      </c>
      <c r="X48" t="str">
        <f t="shared" si="30"/>
        <v>4002092</v>
      </c>
      <c r="Y48" t="str">
        <f t="shared" si="31"/>
        <v>4003092</v>
      </c>
      <c r="Z48" t="str">
        <f t="shared" si="32"/>
        <v>4004092</v>
      </c>
      <c r="AA48" t="str">
        <f t="shared" si="33"/>
        <v>4005092</v>
      </c>
    </row>
    <row r="49" spans="1:27">
      <c r="A49" s="10">
        <v>92</v>
      </c>
      <c r="B49">
        <v>92</v>
      </c>
      <c r="C49">
        <f t="shared" si="11"/>
        <v>0.9</v>
      </c>
      <c r="D49">
        <v>94</v>
      </c>
      <c r="E49">
        <v>0.1</v>
      </c>
      <c r="G49" t="str">
        <f>R49&amp;"_0_1_"&amp;ROUNDDOWN([1]关卡!M54*$C49,0)</f>
        <v>4001092_0_1_712</v>
      </c>
      <c r="H49" t="str">
        <f>S49&amp;"_0_1_"&amp;ROUNDDOWN([1]关卡!N54*$C49,0)</f>
        <v>4002092_0_1_592</v>
      </c>
      <c r="I49" t="str">
        <f>T49&amp;"_0_1_"&amp;ROUNDDOWN([1]关卡!O54*$C49,0)</f>
        <v>4003092_0_1_483</v>
      </c>
      <c r="J49" t="str">
        <f>U49&amp;"_0_1_"&amp;ROUNDDOWN([1]关卡!P54*$C49,0)</f>
        <v>4004092_0_1_242</v>
      </c>
      <c r="K49" t="str">
        <f>V49&amp;"_0_1_"&amp;ROUNDDOWN([1]关卡!Q54*$C49,0)</f>
        <v>4005092_0_1_84</v>
      </c>
      <c r="L49" t="str">
        <f>W49&amp;"_0_1_"&amp;ROUNDDOWN([1]关卡!M54*$E49,0)</f>
        <v>4001094_0_1_79</v>
      </c>
      <c r="M49" t="str">
        <f>X49&amp;"_0_1_"&amp;ROUNDDOWN([1]关卡!N54*$E49,0)</f>
        <v>4002094_0_1_65</v>
      </c>
      <c r="N49" t="str">
        <f>Y49&amp;"_0_1_"&amp;ROUNDDOWN([1]关卡!O54*$E49,0)</f>
        <v>4003094_0_1_53</v>
      </c>
      <c r="O49" t="str">
        <f>Z49&amp;"_0_1_"&amp;ROUNDDOWN([1]关卡!P54*$E49,0)</f>
        <v>4004094_0_1_26</v>
      </c>
      <c r="P49" t="str">
        <f>AA49&amp;"_0_1_"&amp;ROUNDDOWN([1]关卡!Q54*$E49,0)</f>
        <v>4005094_0_1_9</v>
      </c>
      <c r="R49" t="str">
        <f t="shared" si="34"/>
        <v>4001092</v>
      </c>
      <c r="S49" t="str">
        <f t="shared" si="35"/>
        <v>4002092</v>
      </c>
      <c r="T49" t="str">
        <f t="shared" si="36"/>
        <v>4003092</v>
      </c>
      <c r="U49" t="str">
        <f t="shared" si="37"/>
        <v>4004092</v>
      </c>
      <c r="V49" t="str">
        <f t="shared" si="38"/>
        <v>4005092</v>
      </c>
      <c r="W49" t="str">
        <f t="shared" si="29"/>
        <v>4001094</v>
      </c>
      <c r="X49" t="str">
        <f t="shared" si="30"/>
        <v>4002094</v>
      </c>
      <c r="Y49" t="str">
        <f t="shared" si="31"/>
        <v>4003094</v>
      </c>
      <c r="Z49" t="str">
        <f t="shared" si="32"/>
        <v>4004094</v>
      </c>
      <c r="AA49" t="str">
        <f t="shared" si="33"/>
        <v>4005094</v>
      </c>
    </row>
    <row r="50" spans="1:27">
      <c r="A50" s="10">
        <v>94</v>
      </c>
      <c r="B50">
        <v>94</v>
      </c>
      <c r="C50">
        <f t="shared" si="11"/>
        <v>0.9</v>
      </c>
      <c r="D50">
        <v>96</v>
      </c>
      <c r="E50">
        <v>0.1</v>
      </c>
      <c r="G50" t="str">
        <f>R50&amp;"_0_1_"&amp;ROUNDDOWN([1]关卡!M55*$C50,0)</f>
        <v>4001094_0_1_719</v>
      </c>
      <c r="H50" t="str">
        <f>S50&amp;"_0_1_"&amp;ROUNDDOWN([1]关卡!N55*$C50,0)</f>
        <v>4002094_0_1_597</v>
      </c>
      <c r="I50" t="str">
        <f>T50&amp;"_0_1_"&amp;ROUNDDOWN([1]关卡!O55*$C50,0)</f>
        <v>4003094_0_1_487</v>
      </c>
      <c r="J50" t="str">
        <f>U50&amp;"_0_1_"&amp;ROUNDDOWN([1]关卡!P55*$C50,0)</f>
        <v>4004094_0_1_243</v>
      </c>
      <c r="K50" t="str">
        <f>V50&amp;"_0_1_"&amp;ROUNDDOWN([1]关卡!Q55*$C50,0)</f>
        <v>4005094_0_1_85</v>
      </c>
      <c r="L50" t="str">
        <f>W50&amp;"_0_1_"&amp;ROUNDDOWN([1]关卡!M55*$E50,0)</f>
        <v>4001096_0_1_79</v>
      </c>
      <c r="M50" t="str">
        <f>X50&amp;"_0_1_"&amp;ROUNDDOWN([1]关卡!N55*$E50,0)</f>
        <v>4002096_0_1_66</v>
      </c>
      <c r="N50" t="str">
        <f>Y50&amp;"_0_1_"&amp;ROUNDDOWN([1]关卡!O55*$E50,0)</f>
        <v>4003096_0_1_54</v>
      </c>
      <c r="O50" t="str">
        <f>Z50&amp;"_0_1_"&amp;ROUNDDOWN([1]关卡!P55*$E50,0)</f>
        <v>4004096_0_1_27</v>
      </c>
      <c r="P50" t="str">
        <f>AA50&amp;"_0_1_"&amp;ROUNDDOWN([1]关卡!Q55*$E50,0)</f>
        <v>4005096_0_1_9</v>
      </c>
      <c r="R50" t="str">
        <f t="shared" si="34"/>
        <v>4001094</v>
      </c>
      <c r="S50" t="str">
        <f t="shared" si="35"/>
        <v>4002094</v>
      </c>
      <c r="T50" t="str">
        <f t="shared" si="36"/>
        <v>4003094</v>
      </c>
      <c r="U50" t="str">
        <f t="shared" si="37"/>
        <v>4004094</v>
      </c>
      <c r="V50" t="str">
        <f t="shared" si="38"/>
        <v>4005094</v>
      </c>
      <c r="W50" t="str">
        <f t="shared" si="29"/>
        <v>4001096</v>
      </c>
      <c r="X50" t="str">
        <f t="shared" si="30"/>
        <v>4002096</v>
      </c>
      <c r="Y50" t="str">
        <f t="shared" si="31"/>
        <v>4003096</v>
      </c>
      <c r="Z50" t="str">
        <f t="shared" si="32"/>
        <v>4004096</v>
      </c>
      <c r="AA50" t="str">
        <f t="shared" si="33"/>
        <v>4005096</v>
      </c>
    </row>
    <row r="51" spans="1:27">
      <c r="A51" s="10">
        <v>96</v>
      </c>
      <c r="B51">
        <v>96</v>
      </c>
      <c r="C51">
        <f t="shared" si="11"/>
        <v>0.9</v>
      </c>
      <c r="D51">
        <v>98</v>
      </c>
      <c r="E51">
        <v>0.1</v>
      </c>
      <c r="F51" s="10"/>
      <c r="G51" t="str">
        <f>R51&amp;"_0_1_"&amp;ROUNDDOWN([1]关卡!M56*$C51,0)</f>
        <v>4001096_0_1_725</v>
      </c>
      <c r="H51" t="str">
        <f>S51&amp;"_0_1_"&amp;ROUNDDOWN([1]关卡!N56*$C51,0)</f>
        <v>4002096_0_1_602</v>
      </c>
      <c r="I51" t="str">
        <f>T51&amp;"_0_1_"&amp;ROUNDDOWN([1]关卡!O56*$C51,0)</f>
        <v>4003096_0_1_491</v>
      </c>
      <c r="J51" t="str">
        <f>U51&amp;"_0_1_"&amp;ROUNDDOWN([1]关卡!P56*$C51,0)</f>
        <v>4004096_0_1_245</v>
      </c>
      <c r="K51" t="str">
        <f>V51&amp;"_0_1_"&amp;ROUNDDOWN([1]关卡!Q56*$C51,0)</f>
        <v>4005096_0_1_86</v>
      </c>
      <c r="L51" t="str">
        <f>W51&amp;"_0_1_"&amp;ROUNDDOWN([1]关卡!M56*$E51,0)</f>
        <v>4001098_0_1_80</v>
      </c>
      <c r="M51" t="str">
        <f>X51&amp;"_0_1_"&amp;ROUNDDOWN([1]关卡!N56*$E51,0)</f>
        <v>4002098_0_1_66</v>
      </c>
      <c r="N51" t="str">
        <f>Y51&amp;"_0_1_"&amp;ROUNDDOWN([1]关卡!O56*$E51,0)</f>
        <v>4003098_0_1_54</v>
      </c>
      <c r="O51" t="str">
        <f>Z51&amp;"_0_1_"&amp;ROUNDDOWN([1]关卡!P56*$E51,0)</f>
        <v>4004098_0_1_27</v>
      </c>
      <c r="P51" t="str">
        <f>AA51&amp;"_0_1_"&amp;ROUNDDOWN([1]关卡!Q56*$E51,0)</f>
        <v>4005098_0_1_9</v>
      </c>
      <c r="R51" t="str">
        <f t="shared" si="34"/>
        <v>4001096</v>
      </c>
      <c r="S51" t="str">
        <f t="shared" si="35"/>
        <v>4002096</v>
      </c>
      <c r="T51" t="str">
        <f t="shared" si="36"/>
        <v>4003096</v>
      </c>
      <c r="U51" t="str">
        <f t="shared" si="37"/>
        <v>4004096</v>
      </c>
      <c r="V51" t="str">
        <f t="shared" si="38"/>
        <v>4005096</v>
      </c>
      <c r="W51" t="str">
        <f t="shared" si="29"/>
        <v>4001098</v>
      </c>
      <c r="X51" t="str">
        <f t="shared" si="30"/>
        <v>4002098</v>
      </c>
      <c r="Y51" t="str">
        <f t="shared" si="31"/>
        <v>4003098</v>
      </c>
      <c r="Z51" t="str">
        <f t="shared" si="32"/>
        <v>4004098</v>
      </c>
      <c r="AA51" t="str">
        <f t="shared" si="33"/>
        <v>4005098</v>
      </c>
    </row>
    <row r="52" spans="1:27" s="10" customFormat="1">
      <c r="A52" s="10">
        <v>98</v>
      </c>
      <c r="B52">
        <v>98</v>
      </c>
      <c r="C52">
        <f t="shared" si="11"/>
        <v>0.9</v>
      </c>
      <c r="D52">
        <v>98</v>
      </c>
      <c r="E52">
        <v>0.1</v>
      </c>
      <c r="G52" t="str">
        <f>R52&amp;"_0_1_"&amp;ROUNDDOWN([1]关卡!M57*$C52,0)</f>
        <v>4001098_0_1_731</v>
      </c>
      <c r="H52" t="str">
        <f>S52&amp;"_0_1_"&amp;ROUNDDOWN([1]关卡!N57*$C52,0)</f>
        <v>4002098_0_1_607</v>
      </c>
      <c r="I52" t="str">
        <f>T52&amp;"_0_1_"&amp;ROUNDDOWN([1]关卡!O57*$C52,0)</f>
        <v>4003098_0_1_495</v>
      </c>
      <c r="J52" t="str">
        <f>U52&amp;"_0_1_"&amp;ROUNDDOWN([1]关卡!P57*$C52,0)</f>
        <v>4004098_0_1_247</v>
      </c>
      <c r="K52" t="str">
        <f>V52&amp;"_0_1_"&amp;ROUNDDOWN([1]关卡!Q57*$C52,0)</f>
        <v>4005098_0_1_86</v>
      </c>
      <c r="L52" t="str">
        <f>W52&amp;"_0_1_"&amp;ROUNDDOWN([1]关卡!M57*$E52,0)</f>
        <v>4001098_0_1_81</v>
      </c>
      <c r="M52" t="str">
        <f>X52&amp;"_0_1_"&amp;ROUNDDOWN([1]关卡!N57*$E52,0)</f>
        <v>4002098_0_1_67</v>
      </c>
      <c r="N52" t="str">
        <f>Y52&amp;"_0_1_"&amp;ROUNDDOWN([1]关卡!O57*$E52,0)</f>
        <v>4003098_0_1_55</v>
      </c>
      <c r="O52" t="str">
        <f>Z52&amp;"_0_1_"&amp;ROUNDDOWN([1]关卡!P57*$E52,0)</f>
        <v>4004098_0_1_27</v>
      </c>
      <c r="P52" t="str">
        <f>AA52&amp;"_0_1_"&amp;ROUNDDOWN([1]关卡!Q57*$E52,0)</f>
        <v>4005098_0_1_9</v>
      </c>
      <c r="R52" t="str">
        <f t="shared" si="34"/>
        <v>4001098</v>
      </c>
      <c r="S52" t="str">
        <f t="shared" si="35"/>
        <v>4002098</v>
      </c>
      <c r="T52" t="str">
        <f t="shared" si="36"/>
        <v>4003098</v>
      </c>
      <c r="U52" t="str">
        <f t="shared" si="37"/>
        <v>4004098</v>
      </c>
      <c r="V52" t="str">
        <f t="shared" si="38"/>
        <v>4005098</v>
      </c>
      <c r="W52" t="str">
        <f t="shared" si="29"/>
        <v>4001098</v>
      </c>
      <c r="X52" t="str">
        <f t="shared" si="30"/>
        <v>4002098</v>
      </c>
      <c r="Y52" t="str">
        <f t="shared" si="31"/>
        <v>4003098</v>
      </c>
      <c r="Z52" t="str">
        <f t="shared" si="32"/>
        <v>4004098</v>
      </c>
      <c r="AA52" t="str">
        <f t="shared" si="33"/>
        <v>4005098</v>
      </c>
    </row>
    <row r="53" spans="1:27" s="10" customFormat="1">
      <c r="A53" s="10">
        <v>100</v>
      </c>
      <c r="B53">
        <v>98</v>
      </c>
      <c r="C53">
        <f t="shared" si="11"/>
        <v>0.9</v>
      </c>
      <c r="D53">
        <v>100</v>
      </c>
      <c r="E53">
        <v>0.1</v>
      </c>
      <c r="G53" t="str">
        <f>R53&amp;"_0_1_"&amp;ROUNDDOWN([1]关卡!M58*$C53,0)</f>
        <v>4001098_0_1_737</v>
      </c>
      <c r="H53" t="str">
        <f>S53&amp;"_0_1_"&amp;ROUNDDOWN([1]关卡!N58*$C53,0)</f>
        <v>4002098_0_1_612</v>
      </c>
      <c r="I53" t="str">
        <f>T53&amp;"_0_1_"&amp;ROUNDDOWN([1]关卡!O58*$C53,0)</f>
        <v>4003098_0_1_499</v>
      </c>
      <c r="J53" t="str">
        <f>U53&amp;"_0_1_"&amp;ROUNDDOWN([1]关卡!P58*$C53,0)</f>
        <v>4004098_0_1_250</v>
      </c>
      <c r="K53" t="str">
        <f>V53&amp;"_0_1_"&amp;ROUNDDOWN([1]关卡!Q58*$C53,0)</f>
        <v>4005098_0_1_87</v>
      </c>
      <c r="L53" t="str">
        <f>W53&amp;"_0_1_"&amp;ROUNDDOWN([1]关卡!M58*$E53,0)</f>
        <v>4001100_0_1_81</v>
      </c>
      <c r="M53" t="str">
        <f>X53&amp;"_0_1_"&amp;ROUNDDOWN([1]关卡!N58*$E53,0)</f>
        <v>4002100_0_1_68</v>
      </c>
      <c r="N53" t="str">
        <f>Y53&amp;"_0_1_"&amp;ROUNDDOWN([1]关卡!O58*$E53,0)</f>
        <v>4003100_0_1_55</v>
      </c>
      <c r="O53" t="str">
        <f>Z53&amp;"_0_1_"&amp;ROUNDDOWN([1]关卡!P58*$E53,0)</f>
        <v>4004100_0_1_27</v>
      </c>
      <c r="P53" t="str">
        <f>AA53&amp;"_0_1_"&amp;ROUNDDOWN([1]关卡!Q58*$E53,0)</f>
        <v>4005100_0_1_9</v>
      </c>
      <c r="R53" t="str">
        <f t="shared" si="34"/>
        <v>4001098</v>
      </c>
      <c r="S53" t="str">
        <f t="shared" si="35"/>
        <v>4002098</v>
      </c>
      <c r="T53" t="str">
        <f t="shared" si="36"/>
        <v>4003098</v>
      </c>
      <c r="U53" t="str">
        <f t="shared" si="37"/>
        <v>4004098</v>
      </c>
      <c r="V53" t="str">
        <f t="shared" si="38"/>
        <v>4005098</v>
      </c>
      <c r="W53" t="str">
        <f>AC$46&amp;$D53</f>
        <v>4001100</v>
      </c>
      <c r="X53" t="str">
        <f t="shared" ref="X53:AA53" si="39">AD$46&amp;$D53</f>
        <v>4002100</v>
      </c>
      <c r="Y53" t="str">
        <f t="shared" si="39"/>
        <v>4003100</v>
      </c>
      <c r="Z53" t="str">
        <f t="shared" si="39"/>
        <v>4004100</v>
      </c>
      <c r="AA53" t="str">
        <f t="shared" si="39"/>
        <v>4005100</v>
      </c>
    </row>
    <row r="54" spans="1:27" s="10" customFormat="1"/>
    <row r="55" spans="1:27" s="10" customFormat="1">
      <c r="A55" s="10" t="str">
        <f t="shared" ref="A55:A85" si="40">G2&amp;","&amp;H2&amp;","&amp;I2&amp;","&amp;J2&amp;","&amp;K2&amp;","&amp;L2&amp;","&amp;M2&amp;","&amp;N2&amp;","&amp;O2&amp;","&amp;P2</f>
        <v>4000101_0_1_400,4000201_0_1_360,4000301_0_1_160,4000401_0_1_0,4000501_0_1_0,4000105_0_1_0,4000205_0_1_0,4000305_0_1_0,4000405_0_1_0,4000505_0_1_0</v>
      </c>
    </row>
    <row r="56" spans="1:27" s="10" customFormat="1">
      <c r="A56" s="10" t="str">
        <f t="shared" si="40"/>
        <v>4000101_0_1_199,4000201_0_1_179,4000301_0_1_81,4000401_0_1_0,4000501_0_1_0,4000105_0_1_199,4000205_0_1_179,4000305_0_1_81,4000405_0_1_0,4000505_0_1_0</v>
      </c>
    </row>
    <row r="57" spans="1:27" s="10" customFormat="1">
      <c r="A57" s="10" t="str">
        <f t="shared" si="40"/>
        <v>4000101_0_1_79,4000201_0_1_71,4000301_0_1_33,4000401_0_1_0,4000501_0_1_0,4000105_0_1_318,4000205_0_1_284,4000305_0_1_132,4000405_0_1_0,4000505_0_1_0</v>
      </c>
    </row>
    <row r="58" spans="1:27" s="10" customFormat="1">
      <c r="A58" s="10" t="str">
        <f t="shared" si="40"/>
        <v>4000105_0_1_397,4000205_0_1_354,4000305_0_1_169,4000405_0_1_0,4000505_0_1_0,4000110_0_1_0,4000210_0_1_0,4000310_0_1_0,4000410_0_1_0,4000510_0_1_0</v>
      </c>
    </row>
    <row r="59" spans="1:27" s="10" customFormat="1">
      <c r="A59" s="10" t="str">
        <f t="shared" si="40"/>
        <v>4000105_0_1_291,4000205_0_1_259,4000305_0_1_126,4000405_0_1_0,4000505_0_1_0,4000110_0_1_194,4000210_0_1_172,4000310_0_1_84,4000410_0_1_0,4000510_0_1_0</v>
      </c>
    </row>
    <row r="60" spans="1:27" s="10" customFormat="1">
      <c r="A60" s="10" t="str">
        <f t="shared" si="40"/>
        <v>4000105_0_1_96,4000205_0_1_85,4000305_0_1_43,4000405_0_1_0,4000505_0_1_0,4000110_0_1_386,4000210_0_1_343,4000310_0_1_172,4000410_0_1_0,4000510_0_1_0</v>
      </c>
    </row>
    <row r="61" spans="1:27" s="10" customFormat="1">
      <c r="A61" s="10" t="str">
        <f t="shared" si="40"/>
        <v>4000110_0_1_384,4000210_0_1_341,4000310_0_1_175,4000410_0_1_0,4000510_0_1_0,4000115_0_1_96,4000215_0_1_85,4000315_0_1_43,4000415_0_1_0,4000515_0_1_0</v>
      </c>
    </row>
    <row r="62" spans="1:27" s="10" customFormat="1">
      <c r="A62" s="10" t="str">
        <f t="shared" si="40"/>
        <v>4000110_0_1_197,4000210_0_1_174,4000310_0_1_92,4000410_0_1_0,4000510_0_1_0,4000115_0_1_296,4000215_0_1_261,4000315_0_1_138,4000415_0_1_0,4000515_0_1_0</v>
      </c>
    </row>
    <row r="63" spans="1:27" s="10" customFormat="1">
      <c r="A63" s="10" t="str">
        <f t="shared" si="40"/>
        <v>4000115_0_1_501,4000215_0_1_441,4000315_0_1_238,4000415_0_1_12,4000515_0_1_0,4000120_0_1_0,4000220_0_1_0,4000320_0_1_0,4000420_0_1_0,4000520_0_1_0</v>
      </c>
    </row>
    <row r="64" spans="1:27" s="10" customFormat="1">
      <c r="A64" s="10" t="str">
        <f t="shared" si="40"/>
        <v>4000115_0_1_304,4000215_0_1_267,4000315_0_1_148,4000415_0_1_15,4000515_0_1_0,4000120_0_1_202,4000220_0_1_178,4000320_0_1_98,4000420_0_1_10,4000520_0_1_0</v>
      </c>
    </row>
    <row r="65" spans="1:1" s="10" customFormat="1">
      <c r="A65" s="10" t="str">
        <f t="shared" si="40"/>
        <v>4000115_0_1_99,4000215_0_1_86,4000315_0_1_49,4000415_0_1_7,4000515_0_1_0,4000120_0_1_397,4000220_0_1_347,4000320_0_1_198,4000420_0_1_29,4000520_0_1_0</v>
      </c>
    </row>
    <row r="66" spans="1:1" s="10" customFormat="1">
      <c r="A66" s="10" t="str">
        <f t="shared" si="40"/>
        <v>4000120_0_1_401,4000220_0_1_349,4000320_0_1_205,4000420_0_1_40,4000520_0_1_0,4000125_0_1_100,4000225_0_1_87,4000325_0_1_51,4000425_0_1_10,4000525_0_1_0</v>
      </c>
    </row>
    <row r="67" spans="1:1" s="10" customFormat="1">
      <c r="A67" s="10" t="str">
        <f t="shared" si="40"/>
        <v>4000120_0_1_256,4000220_0_1_222,4000320_0_1_135,4000420_0_1_33,4000520_0_1_0,4000125_0_1_384,4000225_0_1_334,4000325_0_1_202,4000425_0_1_50,4000525_0_1_0</v>
      </c>
    </row>
    <row r="68" spans="1:1" s="10" customFormat="1">
      <c r="A68" s="10" t="str">
        <f t="shared" si="40"/>
        <v>4000125_0_1_630,4000225_0_1_545,4000325_0_1_341,4000425_0_1_94,4000525_0_1_0,4000130_0_1_0,4000230_0_1_0,4000330_0_1_0,4000430_0_1_0,4000530_0_1_0</v>
      </c>
    </row>
    <row r="69" spans="1:1" s="10" customFormat="1">
      <c r="A69" s="10" t="str">
        <f t="shared" si="40"/>
        <v>4000125_0_1_371,4000225_0_1_319,4000325_0_1_206,4000425_0_1_61,4000525_0_1_0,4000130_0_1_247,4000230_0_1_213,4000330_0_1_137,4000430_0_1_41,4000530_0_1_0</v>
      </c>
    </row>
    <row r="70" spans="1:1" s="10" customFormat="1">
      <c r="A70" s="10" t="str">
        <f t="shared" si="40"/>
        <v>4000125_0_1_133,4000225_0_1_114,4000325_0_1_76,4000425_0_1_24,4000525_0_1_0,4000130_0_1_532,4000230_0_1_456,4000330_0_1_304,4000430_0_1_99,4000530_0_1_0</v>
      </c>
    </row>
    <row r="71" spans="1:1" s="10" customFormat="1">
      <c r="A71" s="10" t="str">
        <f t="shared" si="40"/>
        <v>4000130_0_1_533,4000230_0_1_455,4000330_0_1_313,4000430_0_1_109,4000530_0_1_0,4000135_0_1_133,4000235_0_1_113,4000335_0_1_78,4000435_0_1_27,4000535_0_1_0</v>
      </c>
    </row>
    <row r="72" spans="1:1" s="10" customFormat="1">
      <c r="A72" s="10" t="str">
        <f t="shared" si="40"/>
        <v>4000130_0_1_264,4000230_0_1_224,4000330_0_1_160,4000430_0_1_60,4000530_0_1_8,4000135_0_1_396,4000235_0_1_336,4000335_0_1_240,4000435_0_1_90,4000535_0_1_12</v>
      </c>
    </row>
    <row r="73" spans="1:1" s="10" customFormat="1">
      <c r="A73" s="10" t="str">
        <f t="shared" si="40"/>
        <v>4000135_0_1_656,4000235_0_1_554,4000335_0_1_410,4000435_0_1_164,4000535_0_1_31,4000140_0_1_0,4000240_0_1_0,4000340_0_1_0,4000440_0_1_0,4000540_0_1_0</v>
      </c>
    </row>
    <row r="74" spans="1:1">
      <c r="A74" s="10" t="str">
        <f t="shared" si="40"/>
        <v>4000135_0_1_391,4000235_0_1_328,4000335_0_1_252,4000435_0_1_107,4000535_0_1_25,4000140_0_1_260,4000240_0_1_218,4000340_0_1_168,4000440_0_1_71,4000540_0_1_16</v>
      </c>
    </row>
    <row r="75" spans="1:1">
      <c r="A75" s="10" t="str">
        <f t="shared" si="40"/>
        <v>4000135_0_1_239,4000235_0_1_199,4000335_0_1_159,4000435_0_1_71,4000535_0_1_19,4000140_0_1_406,4000240_0_1_339,4000340_0_1_271,4000440_0_1_122,4000540_0_1_34</v>
      </c>
    </row>
    <row r="76" spans="1:1">
      <c r="A76" s="10" t="str">
        <f t="shared" si="40"/>
        <v>4000140_0_1_379,4000240_0_1_315,4000340_0_1_257,4000440_0_1_122,4000540_0_1_38,4000143_0_1_264,4000243_0_1_219,4000343_0_1_178,4000443_0_1_84,4000543_0_1_26</v>
      </c>
    </row>
    <row r="77" spans="1:1">
      <c r="A77" s="10" t="str">
        <f t="shared" si="40"/>
        <v>4000143_0_1_439,4000243_0_1_365,4000343_0_1_298,4000443_0_1_148,4000543_0_1_52,4000145_0_1_216,4000245_0_1_179,4000345_0_1_146,4000445_0_1_73,4000545_0_1_25</v>
      </c>
    </row>
    <row r="78" spans="1:1">
      <c r="A78" s="10" t="str">
        <f t="shared" si="40"/>
        <v>4000145_0_1_351,4000245_0_1_291,4000345_0_1_238,4000445_0_1_119,4000545_0_1_41,4000145_0_1_324,4000245_0_1_269,4000345_0_1_219,4000445_0_1_109,4000545_0_1_38</v>
      </c>
    </row>
    <row r="79" spans="1:1">
      <c r="A79" s="10" t="str">
        <f t="shared" si="40"/>
        <v>4000145_0_1_366,4000245_0_1_304,4000345_0_1_248,4000445_0_1_124,4000545_0_1_43,4000147_0_1_308,4000247_0_1_256,4000347_0_1_209,4000447_0_1_104,4000547_0_1_36</v>
      </c>
    </row>
    <row r="80" spans="1:1">
      <c r="A80" s="10" t="str">
        <f t="shared" si="40"/>
        <v>4000147_0_1_377,4000247_0_1_313,4000347_0_1_256,4000447_0_1_128,4000547_0_1_44,4000150_0_1_297,4000250_0_1_247,4000350_0_1_201,4000450_0_1_100,4000550_0_1_35</v>
      </c>
    </row>
    <row r="81" spans="1:1">
      <c r="A81" s="10" t="str">
        <f t="shared" si="40"/>
        <v>4000150_0_1_406,4000250_0_1_337,4000350_0_1_275,4000450_0_1_137,4000550_0_1_48,4000153_0_1_285,4000253_0_1_237,4000353_0_1_193,4000453_0_1_97,4000553_0_1_33</v>
      </c>
    </row>
    <row r="82" spans="1:1">
      <c r="A82" s="10" t="str">
        <f t="shared" si="40"/>
        <v>4000153_0_1_423,4000253_0_1_351,4000353_0_1_287,4000453_0_1_143,4000553_0_1_50,4000153_0_1_268,4000253_0_1_223,4000353_0_1_181,4000453_0_1_91,4000553_0_1_31</v>
      </c>
    </row>
    <row r="83" spans="1:1">
      <c r="A83" s="10" t="str">
        <f t="shared" si="40"/>
        <v>4000153_0_1_439,4000253_0_1_365,4000353_0_1_297,4000453_0_1_149,4000553_0_1_52,4000155_0_1_252,4000255_0_1_209,4000355_0_1_171,4000455_0_1_85,4000555_0_1_29</v>
      </c>
    </row>
    <row r="84" spans="1:1">
      <c r="A84" s="10" t="str">
        <f t="shared" si="40"/>
        <v>4000155_0_1_453,4000255_0_1_377,4000355_0_1_307,4000455_0_1_154,4000555_0_1_53,4000157_0_1_238,4000257_0_1_197,4000357_0_1_161,4000457_0_1_80,4000557_0_1_28</v>
      </c>
    </row>
    <row r="85" spans="1:1">
      <c r="A85" s="10" t="str">
        <f t="shared" si="40"/>
        <v>4000157_0_1_467,4000257_0_1_388,4000357_0_1_316,4000457_0_1_158,4000557_0_1_55,4000157_0_1_224,4000257_0_1_186,4000357_0_1_152,4000457_0_1_76,4000557_0_1_26</v>
      </c>
    </row>
    <row r="86" spans="1:1">
      <c r="A86" s="10" t="str">
        <f t="shared" ref="A86:A105" si="41">G33&amp;","&amp;H33&amp;","&amp;I33&amp;","&amp;J33&amp;","&amp;K33&amp;","&amp;L33&amp;","&amp;M33&amp;","&amp;N33&amp;","&amp;O33&amp;","&amp;P33</f>
        <v>4000157_0_1_479,4000257_0_1_398,4000357_0_1_325,4000457_0_1_162,4000557_0_1_56,4000160_0_1_212,4000260_0_1_176,4000360_0_1_143,4000460_0_1_72,4000560_0_1_25</v>
      </c>
    </row>
    <row r="87" spans="1:1">
      <c r="A87" s="10" t="str">
        <f t="shared" si="41"/>
        <v>4000160_0_1_489,4000260_0_1_406,4000360_0_1_331,4000460_0_1_166,4000560_0_1_57,4000163_0_1_202,4000263_0_1_168,4000363_0_1_137,4000463_0_1_68,4000563_0_1_24</v>
      </c>
    </row>
    <row r="88" spans="1:1">
      <c r="A88" s="10" t="str">
        <f t="shared" si="41"/>
        <v>4000163_0_1_498,4000263_0_1_414,4000363_0_1_337,4000463_0_1_169,4000563_0_1_59,4000163_0_1_193,4000263_0_1_161,4000363_0_1_131,4000463_0_1_65,4000563_0_1_22</v>
      </c>
    </row>
    <row r="89" spans="1:1">
      <c r="A89" s="10" t="str">
        <f t="shared" si="41"/>
        <v>4000163_0_1_506,4000263_0_1_420,4000363_0_1_343,4000463_0_1_172,4000563_0_1_60,4000165_0_1_185,4000265_0_1_154,4000365_0_1_125,4000465_0_1_62,4000565_0_1_21</v>
      </c>
    </row>
    <row r="90" spans="1:1">
      <c r="A90" s="10" t="str">
        <f t="shared" si="41"/>
        <v>4000167_0_1_522,4000267_0_1_434,4000367_0_1_354,4000467_0_1_177,4000567_0_1_61,4000170_0_1_169,4000270_0_1_140,4000370_0_1_114,4000470_0_1_57,4000570_0_1_20</v>
      </c>
    </row>
    <row r="91" spans="1:1">
      <c r="A91" s="10" t="str">
        <f t="shared" si="41"/>
        <v>4000167_0_1_362,4000267_0_1_301,4000367_0_1_245,4000467_0_1_123,4000567_0_1_43,4000170_0_1_346,4000270_0_1_287,4000370_0_1_234,4000470_0_1_117,4000570_0_1_41</v>
      </c>
    </row>
    <row r="92" spans="1:1">
      <c r="A92" s="10" t="str">
        <f t="shared" si="41"/>
        <v>4001072_0_1_560,4002072_0_1_465,4003072_0_1_379,4004072_0_1_190,4005072_0_1_66,4001074_0_1_164,4002074_0_1_136,4003074_0_1_111,4004074_0_1_55,4005074_0_1_19</v>
      </c>
    </row>
    <row r="93" spans="1:1">
      <c r="A93" s="10" t="str">
        <f t="shared" si="41"/>
        <v>4001074_0_1_598,4002074_0_1_496,4003074_0_1_405,4004074_0_1_202,4005074_0_1_71,4001076_0_1_133,4002076_0_1_111,4003076_0_1_90,4004076_0_1_45,4005076_0_1_15</v>
      </c>
    </row>
    <row r="94" spans="1:1">
      <c r="A94" s="10" t="str">
        <f t="shared" si="41"/>
        <v>4001076_0_1_627,4002076_0_1_521,4003076_0_1_425,4004076_0_1_212,4005076_0_1_74,4001078_0_1_110,4002078_0_1_91,4003078_0_1_75,4004078_0_1_37,4005078_0_1_13</v>
      </c>
    </row>
    <row r="95" spans="1:1">
      <c r="A95" s="10" t="str">
        <f t="shared" si="41"/>
        <v>4001078_0_1_651,4002078_0_1_541,4003078_0_1_441,4004078_0_1_221,4005078_0_1_77,4001080_0_1_93,4002080_0_1_77,4003080_0_1_63,4004080_0_1_31,4005080_0_1_11</v>
      </c>
    </row>
    <row r="96" spans="1:1">
      <c r="A96" s="10" t="str">
        <f t="shared" si="41"/>
        <v>4001080_0_1_676,4002080_0_1_561,4003080_0_1_459,4004080_0_1_229,4005080_0_1_80,4001082_0_1_75,4002082_0_1_62,4003082_0_1_51,4004082_0_1_25,4005082_0_1_8</v>
      </c>
    </row>
    <row r="97" spans="1:7">
      <c r="A97" s="10" t="str">
        <f t="shared" si="41"/>
        <v>4001082_0_1_683,4002082_0_1_567,4003082_0_1_462,4004082_0_1_231,4005082_0_1_81,4001084_0_1_75,4002084_0_1_63,4003084_0_1_51,4004084_0_1_25,4005084_0_1_9</v>
      </c>
    </row>
    <row r="98" spans="1:7">
      <c r="A98" s="10" t="str">
        <f t="shared" si="41"/>
        <v>4001084_0_1_688,4002084_0_1_572,4003084_0_1_467,4004084_0_1_233,4005084_0_1_81,4001086_0_1_76,4002086_0_1_63,4003086_0_1_51,4004086_0_1_25,4005086_0_1_9</v>
      </c>
    </row>
    <row r="99" spans="1:7">
      <c r="A99" s="10" t="str">
        <f t="shared" si="41"/>
        <v>4001086_0_1_694,4002086_0_1_576,4003086_0_1_470,4004086_0_1_235,4005086_0_1_82,4001088_0_1_77,4002088_0_1_64,4003088_0_1_52,4004088_0_1_26,4005088_0_1_9</v>
      </c>
    </row>
    <row r="100" spans="1:7">
      <c r="A100" s="10" t="str">
        <f t="shared" si="41"/>
        <v>4001088_0_1_701,4002088_0_1_582,4003088_0_1_475,4004088_0_1_237,4005088_0_1_82,4001090_0_1_77,4002090_0_1_64,4003090_0_1_52,4004090_0_1_26,4005090_0_1_9</v>
      </c>
    </row>
    <row r="101" spans="1:7">
      <c r="A101" s="10" t="str">
        <f t="shared" si="41"/>
        <v>4001090_0_1_707,4002090_0_1_586,4003090_0_1_479,4004090_0_1_239,4005090_0_1_83,4001092_0_1_78,4002092_0_1_65,4003092_0_1_53,4004092_0_1_26,4005092_0_1_9</v>
      </c>
    </row>
    <row r="102" spans="1:7">
      <c r="A102" s="10" t="str">
        <f t="shared" si="41"/>
        <v>4001092_0_1_712,4002092_0_1_592,4003092_0_1_483,4004092_0_1_242,4005092_0_1_84,4001094_0_1_79,4002094_0_1_65,4003094_0_1_53,4004094_0_1_26,4005094_0_1_9</v>
      </c>
    </row>
    <row r="103" spans="1:7">
      <c r="A103" s="10" t="str">
        <f t="shared" si="41"/>
        <v>4001094_0_1_719,4002094_0_1_597,4003094_0_1_487,4004094_0_1_243,4005094_0_1_85,4001096_0_1_79,4002096_0_1_66,4003096_0_1_54,4004096_0_1_27,4005096_0_1_9</v>
      </c>
    </row>
    <row r="104" spans="1:7">
      <c r="A104" s="10" t="str">
        <f t="shared" si="41"/>
        <v>4001096_0_1_725,4002096_0_1_602,4003096_0_1_491,4004096_0_1_245,4005096_0_1_86,4001098_0_1_80,4002098_0_1_66,4003098_0_1_54,4004098_0_1_27,4005098_0_1_9</v>
      </c>
    </row>
    <row r="105" spans="1:7">
      <c r="A105" s="10" t="str">
        <f t="shared" si="41"/>
        <v>4001098_0_1_731,4002098_0_1_607,4003098_0_1_495,4004098_0_1_247,4005098_0_1_86,4001098_0_1_81,4002098_0_1_67,4003098_0_1_55,4004098_0_1_27,4005098_0_1_9</v>
      </c>
    </row>
    <row r="106" spans="1:7">
      <c r="A106" s="10" t="str">
        <f>G53&amp;","&amp;H53&amp;","&amp;I53&amp;","&amp;J53&amp;","&amp;K53&amp;","&amp;L53&amp;","&amp;M53&amp;","&amp;N53&amp;","&amp;O53&amp;","&amp;P53</f>
        <v>4001098_0_1_737,4002098_0_1_612,4003098_0_1_499,4004098_0_1_250,4005098_0_1_87,4001100_0_1_81,4002100_0_1_68,4003100_0_1_55,4004100_0_1_27,4005100_0_1_9</v>
      </c>
    </row>
    <row r="107" spans="1:7">
      <c r="A107" s="10"/>
    </row>
    <row r="108" spans="1:7">
      <c r="B108" t="s">
        <v>593</v>
      </c>
      <c r="C108" t="s">
        <v>630</v>
      </c>
      <c r="D108" t="s">
        <v>631</v>
      </c>
      <c r="G108" t="s">
        <v>594</v>
      </c>
    </row>
    <row r="109" spans="1:7">
      <c r="A109" s="10">
        <v>1</v>
      </c>
      <c r="B109" t="s">
        <v>629</v>
      </c>
      <c r="C109" t="s">
        <v>612</v>
      </c>
      <c r="D109" t="s">
        <v>596</v>
      </c>
      <c r="E109" t="str">
        <f t="shared" ref="E109:E140" si="42">A55&amp;","&amp;B109&amp;","&amp;C109&amp;","&amp;D109</f>
        <v>4000101_0_1_400,4000201_0_1_360,4000301_0_1_160,4000401_0_1_0,4000501_0_1_0,4000105_0_1_0,4000205_0_1_0,4000305_0_1_0,4000405_0_1_0,4000505_0_1_0,30000_40001_1_0,30000_40002_1_0,30000_40003_1_0</v>
      </c>
    </row>
    <row r="110" spans="1:7">
      <c r="A110" s="10">
        <v>2</v>
      </c>
      <c r="B110" t="s">
        <v>629</v>
      </c>
      <c r="C110" t="s">
        <v>612</v>
      </c>
      <c r="D110" t="s">
        <v>596</v>
      </c>
      <c r="E110" t="str">
        <f t="shared" si="42"/>
        <v>4000101_0_1_199,4000201_0_1_179,4000301_0_1_81,4000401_0_1_0,4000501_0_1_0,4000105_0_1_199,4000205_0_1_179,4000305_0_1_81,4000405_0_1_0,4000505_0_1_0,30000_40001_1_0,30000_40002_1_0,30000_40003_1_0</v>
      </c>
    </row>
    <row r="111" spans="1:7">
      <c r="A111" s="10">
        <v>3</v>
      </c>
      <c r="B111" t="s">
        <v>613</v>
      </c>
      <c r="C111" t="s">
        <v>611</v>
      </c>
      <c r="D111" t="s">
        <v>595</v>
      </c>
      <c r="E111" t="str">
        <f t="shared" si="42"/>
        <v>4000101_0_1_79,4000201_0_1_71,4000301_0_1_33,4000401_0_1_0,4000501_0_1_0,4000105_0_1_318,4000205_0_1_284,4000305_0_1_132,4000405_0_1_0,4000505_0_1_0,30000_40001_1_0,30000_40002_1_0,30000_40003_1_0</v>
      </c>
    </row>
    <row r="112" spans="1:7">
      <c r="A112" s="10">
        <v>5</v>
      </c>
      <c r="B112" t="s">
        <v>633</v>
      </c>
      <c r="C112" t="s">
        <v>659</v>
      </c>
      <c r="D112" t="s">
        <v>662</v>
      </c>
      <c r="E112" t="str">
        <f t="shared" si="42"/>
        <v>4000105_0_1_397,4000205_0_1_354,4000305_0_1_169,4000405_0_1_0,4000505_0_1_0,4000110_0_1_0,4000210_0_1_0,4000310_0_1_0,4000410_0_1_0,4000510_0_1_0,30000_40001_1_300,30000_40002_1_200,30000_40003_1_100</v>
      </c>
    </row>
    <row r="113" spans="1:5">
      <c r="A113" s="10">
        <v>7</v>
      </c>
      <c r="B113" t="s">
        <v>635</v>
      </c>
      <c r="C113" t="s">
        <v>659</v>
      </c>
      <c r="D113" t="s">
        <v>663</v>
      </c>
      <c r="E113" t="str">
        <f t="shared" si="42"/>
        <v>4000105_0_1_291,4000205_0_1_259,4000305_0_1_126,4000405_0_1_0,4000505_0_1_0,4000110_0_1_194,4000210_0_1_172,4000310_0_1_84,4000410_0_1_0,4000510_0_1_0,30000_40001_1_310,30000_40002_1_200,30000_40003_1_105</v>
      </c>
    </row>
    <row r="114" spans="1:5">
      <c r="A114" s="10">
        <v>9</v>
      </c>
      <c r="B114" t="s">
        <v>636</v>
      </c>
      <c r="C114" t="s">
        <v>614</v>
      </c>
      <c r="D114" t="s">
        <v>610</v>
      </c>
      <c r="E114" t="str">
        <f t="shared" si="42"/>
        <v>4000105_0_1_96,4000205_0_1_85,4000305_0_1_43,4000405_0_1_0,4000505_0_1_0,4000110_0_1_386,4000210_0_1_343,4000310_0_1_172,4000410_0_1_0,4000510_0_1_0,30000_40001_1_320,30000_40002_1_200,30000_40003_1_110</v>
      </c>
    </row>
    <row r="115" spans="1:5">
      <c r="A115" s="10">
        <v>11</v>
      </c>
      <c r="B115" t="s">
        <v>637</v>
      </c>
      <c r="C115" t="s">
        <v>614</v>
      </c>
      <c r="D115" t="s">
        <v>664</v>
      </c>
      <c r="E115" t="str">
        <f t="shared" si="42"/>
        <v>4000110_0_1_384,4000210_0_1_341,4000310_0_1_175,4000410_0_1_0,4000510_0_1_0,4000115_0_1_96,4000215_0_1_85,4000315_0_1_43,4000415_0_1_0,4000515_0_1_0,30000_40001_1_330,30000_40002_1_200,30000_40003_1_115</v>
      </c>
    </row>
    <row r="116" spans="1:5">
      <c r="A116" s="10">
        <v>13</v>
      </c>
      <c r="B116" t="s">
        <v>638</v>
      </c>
      <c r="C116" t="s">
        <v>614</v>
      </c>
      <c r="D116" t="s">
        <v>609</v>
      </c>
      <c r="E116" t="str">
        <f t="shared" si="42"/>
        <v>4000110_0_1_197,4000210_0_1_174,4000310_0_1_92,4000410_0_1_0,4000510_0_1_0,4000115_0_1_296,4000215_0_1_261,4000315_0_1_138,4000415_0_1_0,4000515_0_1_0,30000_40001_1_340,30000_40002_1_200,30000_40003_1_120</v>
      </c>
    </row>
    <row r="117" spans="1:5">
      <c r="A117" s="10">
        <v>15</v>
      </c>
      <c r="B117" t="s">
        <v>639</v>
      </c>
      <c r="C117" t="s">
        <v>614</v>
      </c>
      <c r="D117" t="s">
        <v>665</v>
      </c>
      <c r="E117" t="str">
        <f t="shared" si="42"/>
        <v>4000115_0_1_501,4000215_0_1_441,4000315_0_1_238,4000415_0_1_12,4000515_0_1_0,4000120_0_1_0,4000220_0_1_0,4000320_0_1_0,4000420_0_1_0,4000520_0_1_0,30000_40001_1_350,30000_40002_1_200,30000_40003_1_125</v>
      </c>
    </row>
    <row r="118" spans="1:5">
      <c r="A118" s="10">
        <v>17</v>
      </c>
      <c r="B118" t="s">
        <v>640</v>
      </c>
      <c r="C118" t="s">
        <v>660</v>
      </c>
      <c r="D118" t="s">
        <v>608</v>
      </c>
      <c r="E118" t="str">
        <f t="shared" si="42"/>
        <v>4000115_0_1_304,4000215_0_1_267,4000315_0_1_148,4000415_0_1_15,4000515_0_1_0,4000120_0_1_202,4000220_0_1_178,4000320_0_1_98,4000420_0_1_10,4000520_0_1_0,30000_40001_1_340,30000_40002_1_210,30000_40003_1_130</v>
      </c>
    </row>
    <row r="119" spans="1:5">
      <c r="A119" s="10">
        <v>19</v>
      </c>
      <c r="B119" t="s">
        <v>637</v>
      </c>
      <c r="C119" t="s">
        <v>615</v>
      </c>
      <c r="D119" t="s">
        <v>666</v>
      </c>
      <c r="E119" t="str">
        <f t="shared" si="42"/>
        <v>4000115_0_1_99,4000215_0_1_86,4000315_0_1_49,4000415_0_1_7,4000515_0_1_0,4000120_0_1_397,4000220_0_1_347,4000320_0_1_198,4000420_0_1_29,4000520_0_1_0,30000_40001_1_330,30000_40002_1_220,30000_40003_1_135</v>
      </c>
    </row>
    <row r="120" spans="1:5">
      <c r="A120" s="10">
        <v>21</v>
      </c>
      <c r="B120" t="s">
        <v>636</v>
      </c>
      <c r="C120" t="s">
        <v>616</v>
      </c>
      <c r="D120" t="s">
        <v>607</v>
      </c>
      <c r="E120" t="str">
        <f t="shared" si="42"/>
        <v>4000120_0_1_401,4000220_0_1_349,4000320_0_1_205,4000420_0_1_40,4000520_0_1_0,4000125_0_1_100,4000225_0_1_87,4000325_0_1_51,4000425_0_1_10,4000525_0_1_0,30000_40001_1_320,30000_40002_1_230,30000_40003_1_140</v>
      </c>
    </row>
    <row r="121" spans="1:5">
      <c r="A121" s="10">
        <v>23</v>
      </c>
      <c r="B121" t="s">
        <v>634</v>
      </c>
      <c r="C121" t="s">
        <v>661</v>
      </c>
      <c r="D121" t="s">
        <v>667</v>
      </c>
      <c r="E121" t="str">
        <f t="shared" si="42"/>
        <v>4000120_0_1_256,4000220_0_1_222,4000320_0_1_135,4000420_0_1_33,4000520_0_1_0,4000125_0_1_384,4000225_0_1_334,4000325_0_1_202,4000425_0_1_50,4000525_0_1_0,30000_40001_1_310,30000_40002_1_240,30000_40003_1_145</v>
      </c>
    </row>
    <row r="122" spans="1:5">
      <c r="A122" s="10">
        <v>25</v>
      </c>
      <c r="B122" t="s">
        <v>632</v>
      </c>
      <c r="C122" t="s">
        <v>617</v>
      </c>
      <c r="D122" t="s">
        <v>606</v>
      </c>
      <c r="E122" t="str">
        <f t="shared" si="42"/>
        <v>4000125_0_1_630,4000225_0_1_545,4000325_0_1_341,4000425_0_1_94,4000525_0_1_0,4000130_0_1_0,4000230_0_1_0,4000330_0_1_0,4000430_0_1_0,4000530_0_1_0,30000_40001_1_300,30000_40002_1_250,30000_40003_1_150</v>
      </c>
    </row>
    <row r="123" spans="1:5">
      <c r="A123" s="10">
        <v>27</v>
      </c>
      <c r="B123" t="s">
        <v>641</v>
      </c>
      <c r="C123" t="s">
        <v>618</v>
      </c>
      <c r="D123" t="s">
        <v>668</v>
      </c>
      <c r="E123" t="str">
        <f t="shared" si="42"/>
        <v>4000125_0_1_371,4000225_0_1_319,4000325_0_1_206,4000425_0_1_61,4000525_0_1_0,4000130_0_1_247,4000230_0_1_213,4000330_0_1_137,4000430_0_1_41,4000530_0_1_0,30000_40001_1_290,30000_40002_1_260,30000_40003_1_155</v>
      </c>
    </row>
    <row r="124" spans="1:5">
      <c r="A124" s="10">
        <v>29</v>
      </c>
      <c r="B124" t="s">
        <v>642</v>
      </c>
      <c r="C124" t="s">
        <v>619</v>
      </c>
      <c r="D124" t="s">
        <v>605</v>
      </c>
      <c r="E124" t="str">
        <f t="shared" si="42"/>
        <v>4000125_0_1_133,4000225_0_1_114,4000325_0_1_76,4000425_0_1_24,4000525_0_1_0,4000130_0_1_532,4000230_0_1_456,4000330_0_1_304,4000430_0_1_99,4000530_0_1_0,30000_40001_1_280,30000_40002_1_270,30000_40003_1_160</v>
      </c>
    </row>
    <row r="125" spans="1:5">
      <c r="A125" s="10">
        <v>31</v>
      </c>
      <c r="B125" t="s">
        <v>643</v>
      </c>
      <c r="C125" t="s">
        <v>620</v>
      </c>
      <c r="D125" t="s">
        <v>669</v>
      </c>
      <c r="E125" t="str">
        <f t="shared" si="42"/>
        <v>4000130_0_1_533,4000230_0_1_455,4000330_0_1_313,4000430_0_1_109,4000530_0_1_0,4000135_0_1_133,4000235_0_1_113,4000335_0_1_78,4000435_0_1_27,4000535_0_1_0,30000_40001_1_270,30000_40002_1_280,30000_40003_1_165</v>
      </c>
    </row>
    <row r="126" spans="1:5">
      <c r="A126" s="10">
        <v>33</v>
      </c>
      <c r="B126" t="s">
        <v>644</v>
      </c>
      <c r="C126" t="s">
        <v>621</v>
      </c>
      <c r="D126" t="s">
        <v>604</v>
      </c>
      <c r="E126" t="str">
        <f t="shared" si="42"/>
        <v>4000130_0_1_264,4000230_0_1_224,4000330_0_1_160,4000430_0_1_60,4000530_0_1_8,4000135_0_1_396,4000235_0_1_336,4000335_0_1_240,4000435_0_1_90,4000535_0_1_12,30000_40001_1_260,30000_40002_1_290,30000_40003_1_170</v>
      </c>
    </row>
    <row r="127" spans="1:5">
      <c r="A127" s="10">
        <v>35</v>
      </c>
      <c r="B127" t="s">
        <v>645</v>
      </c>
      <c r="C127" t="s">
        <v>622</v>
      </c>
      <c r="D127" t="s">
        <v>670</v>
      </c>
      <c r="E127" t="str">
        <f t="shared" si="42"/>
        <v>4000135_0_1_656,4000235_0_1_554,4000335_0_1_410,4000435_0_1_164,4000535_0_1_31,4000140_0_1_0,4000240_0_1_0,4000340_0_1_0,4000440_0_1_0,4000540_0_1_0,30000_40001_1_250,30000_40002_1_300,30000_40003_1_175</v>
      </c>
    </row>
    <row r="128" spans="1:5">
      <c r="A128" s="10">
        <v>37</v>
      </c>
      <c r="B128" t="s">
        <v>646</v>
      </c>
      <c r="C128" t="s">
        <v>625</v>
      </c>
      <c r="D128" t="s">
        <v>603</v>
      </c>
      <c r="E128" t="str">
        <f t="shared" si="42"/>
        <v>4000135_0_1_391,4000235_0_1_328,4000335_0_1_252,4000435_0_1_107,4000535_0_1_25,4000140_0_1_260,4000240_0_1_218,4000340_0_1_168,4000440_0_1_71,4000540_0_1_16,30000_40001_1_240,30000_40002_1_310,30000_40003_1_180</v>
      </c>
    </row>
    <row r="129" spans="1:5">
      <c r="A129" s="10">
        <v>39</v>
      </c>
      <c r="B129" t="s">
        <v>647</v>
      </c>
      <c r="C129" t="s">
        <v>677</v>
      </c>
      <c r="D129" t="s">
        <v>671</v>
      </c>
      <c r="E129" t="str">
        <f t="shared" si="42"/>
        <v>4000135_0_1_239,4000235_0_1_199,4000335_0_1_159,4000435_0_1_71,4000535_0_1_19,4000140_0_1_406,4000240_0_1_339,4000340_0_1_271,4000440_0_1_122,4000540_0_1_34,30000_40001_1_230,30000_40002_1_305,30000_40003_1_185</v>
      </c>
    </row>
    <row r="130" spans="1:5">
      <c r="A130" s="10">
        <v>41</v>
      </c>
      <c r="B130" t="s">
        <v>648</v>
      </c>
      <c r="C130" t="s">
        <v>622</v>
      </c>
      <c r="D130" t="s">
        <v>602</v>
      </c>
      <c r="E130" t="str">
        <f t="shared" si="42"/>
        <v>4000140_0_1_379,4000240_0_1_315,4000340_0_1_257,4000440_0_1_122,4000540_0_1_38,4000143_0_1_264,4000243_0_1_219,4000343_0_1_178,4000443_0_1_84,4000543_0_1_26,30000_40001_1_220,30000_40002_1_300,30000_40003_1_190</v>
      </c>
    </row>
    <row r="131" spans="1:5">
      <c r="A131" s="10">
        <v>43</v>
      </c>
      <c r="B131" t="s">
        <v>649</v>
      </c>
      <c r="C131" t="s">
        <v>624</v>
      </c>
      <c r="D131" t="s">
        <v>672</v>
      </c>
      <c r="E131" t="str">
        <f t="shared" si="42"/>
        <v>4000143_0_1_439,4000243_0_1_365,4000343_0_1_298,4000443_0_1_148,4000543_0_1_52,4000145_0_1_216,4000245_0_1_179,4000345_0_1_146,4000445_0_1_73,4000545_0_1_25,30000_40001_1_210,30000_40002_1_295,30000_40003_1_195</v>
      </c>
    </row>
    <row r="132" spans="1:5">
      <c r="A132" s="10">
        <v>45</v>
      </c>
      <c r="B132" t="s">
        <v>650</v>
      </c>
      <c r="C132" t="s">
        <v>621</v>
      </c>
      <c r="D132" t="s">
        <v>601</v>
      </c>
      <c r="E132" t="str">
        <f t="shared" si="42"/>
        <v>4000145_0_1_351,4000245_0_1_291,4000345_0_1_238,4000445_0_1_119,4000545_0_1_41,4000145_0_1_324,4000245_0_1_269,4000345_0_1_219,4000445_0_1_109,4000545_0_1_38,30000_40001_1_200,30000_40002_1_290,30000_40003_1_200</v>
      </c>
    </row>
    <row r="133" spans="1:5">
      <c r="A133" s="10">
        <v>47</v>
      </c>
      <c r="B133" t="s">
        <v>651</v>
      </c>
      <c r="C133" t="s">
        <v>628</v>
      </c>
      <c r="D133" t="s">
        <v>188</v>
      </c>
      <c r="E133" t="str">
        <f t="shared" si="42"/>
        <v>4000145_0_1_366,4000245_0_1_304,4000345_0_1_248,4000445_0_1_124,4000545_0_1_43,4000147_0_1_308,4000247_0_1_256,4000347_0_1_209,4000447_0_1_104,4000547_0_1_36,30000_40001_1_190,30000_40002_1_285,30000_40003_1_205</v>
      </c>
    </row>
    <row r="134" spans="1:5">
      <c r="A134" s="10">
        <v>49</v>
      </c>
      <c r="B134" t="s">
        <v>652</v>
      </c>
      <c r="C134" t="s">
        <v>620</v>
      </c>
      <c r="D134" t="s">
        <v>600</v>
      </c>
      <c r="E134" t="str">
        <f t="shared" si="42"/>
        <v>4000147_0_1_377,4000247_0_1_313,4000347_0_1_256,4000447_0_1_128,4000547_0_1_44,4000150_0_1_297,4000250_0_1_247,4000350_0_1_201,4000450_0_1_100,4000550_0_1_35,30000_40001_1_180,30000_40002_1_280,30000_40003_1_210</v>
      </c>
    </row>
    <row r="135" spans="1:5">
      <c r="A135" s="10">
        <v>51</v>
      </c>
      <c r="B135" t="s">
        <v>653</v>
      </c>
      <c r="C135" t="s">
        <v>627</v>
      </c>
      <c r="D135" t="s">
        <v>673</v>
      </c>
      <c r="E135" t="str">
        <f t="shared" si="42"/>
        <v>4000150_0_1_406,4000250_0_1_337,4000350_0_1_275,4000450_0_1_137,4000550_0_1_48,4000153_0_1_285,4000253_0_1_237,4000353_0_1_193,4000453_0_1_97,4000553_0_1_33,30000_40001_1_170,30000_40002_1_275,30000_40003_1_215</v>
      </c>
    </row>
    <row r="136" spans="1:5">
      <c r="A136" s="10">
        <v>53</v>
      </c>
      <c r="B136" t="s">
        <v>654</v>
      </c>
      <c r="C136" t="s">
        <v>619</v>
      </c>
      <c r="D136" t="s">
        <v>194</v>
      </c>
      <c r="E136" t="str">
        <f t="shared" si="42"/>
        <v>4000153_0_1_423,4000253_0_1_351,4000353_0_1_287,4000453_0_1_143,4000553_0_1_50,4000153_0_1_268,4000253_0_1_223,4000353_0_1_181,4000453_0_1_91,4000553_0_1_31,30000_40001_1_160,30000_40002_1_270,30000_40003_1_220</v>
      </c>
    </row>
    <row r="137" spans="1:5">
      <c r="A137" s="10">
        <v>55</v>
      </c>
      <c r="B137" t="s">
        <v>655</v>
      </c>
      <c r="C137" t="s">
        <v>623</v>
      </c>
      <c r="D137" t="s">
        <v>674</v>
      </c>
      <c r="E137" t="str">
        <f t="shared" si="42"/>
        <v>4000153_0_1_439,4000253_0_1_365,4000353_0_1_297,4000453_0_1_149,4000553_0_1_52,4000155_0_1_252,4000255_0_1_209,4000355_0_1_171,4000455_0_1_85,4000555_0_1_29,30000_40001_1_150,30000_40002_1_265,30000_40003_1_225</v>
      </c>
    </row>
    <row r="138" spans="1:5">
      <c r="A138" s="10">
        <v>57</v>
      </c>
      <c r="B138" t="s">
        <v>656</v>
      </c>
      <c r="C138" t="s">
        <v>618</v>
      </c>
      <c r="D138" t="s">
        <v>599</v>
      </c>
      <c r="E138" t="str">
        <f t="shared" si="42"/>
        <v>4000155_0_1_453,4000255_0_1_377,4000355_0_1_307,4000455_0_1_154,4000555_0_1_53,4000157_0_1_238,4000257_0_1_197,4000357_0_1_161,4000457_0_1_80,4000557_0_1_28,30000_40001_1_140,30000_40002_1_260,30000_40003_1_230</v>
      </c>
    </row>
    <row r="139" spans="1:5">
      <c r="A139" s="10">
        <v>59</v>
      </c>
      <c r="B139" t="s">
        <v>657</v>
      </c>
      <c r="C139" t="s">
        <v>626</v>
      </c>
      <c r="D139" t="s">
        <v>200</v>
      </c>
      <c r="E139" t="str">
        <f t="shared" si="42"/>
        <v>4000157_0_1_467,4000257_0_1_388,4000357_0_1_316,4000457_0_1_158,4000557_0_1_55,4000157_0_1_224,4000257_0_1_186,4000357_0_1_152,4000457_0_1_76,4000557_0_1_26,30000_40001_1_130,30000_40002_1_255,30000_40003_1_235</v>
      </c>
    </row>
    <row r="140" spans="1:5">
      <c r="A140" s="10">
        <v>61</v>
      </c>
      <c r="B140" t="s">
        <v>658</v>
      </c>
      <c r="C140" t="s">
        <v>617</v>
      </c>
      <c r="D140" t="s">
        <v>598</v>
      </c>
      <c r="E140" t="str">
        <f t="shared" si="42"/>
        <v>4000157_0_1_479,4000257_0_1_398,4000357_0_1_325,4000457_0_1_162,4000557_0_1_56,4000160_0_1_212,4000260_0_1_176,4000360_0_1_143,4000460_0_1_72,4000560_0_1_25,30000_40001_1_120,30000_40002_1_250,30000_40003_1_240</v>
      </c>
    </row>
    <row r="141" spans="1:5">
      <c r="A141" s="10">
        <v>63</v>
      </c>
      <c r="B141" t="s">
        <v>802</v>
      </c>
      <c r="C141" t="s">
        <v>803</v>
      </c>
      <c r="D141" t="s">
        <v>675</v>
      </c>
      <c r="E141" t="str">
        <f t="shared" ref="E141:E160" si="43">A87&amp;","&amp;B141&amp;","&amp;C141&amp;","&amp;D141</f>
        <v>4000160_0_1_489,4000260_0_1_406,4000360_0_1_331,4000460_0_1_166,4000560_0_1_57,4000163_0_1_202,4000263_0_1_168,4000363_0_1_137,4000463_0_1_68,4000563_0_1_24,30000_40001_1_120,30000_40002_1_250,30000_40003_1_245</v>
      </c>
    </row>
    <row r="142" spans="1:5">
      <c r="A142" s="10">
        <v>65</v>
      </c>
      <c r="B142" t="s">
        <v>658</v>
      </c>
      <c r="C142" t="s">
        <v>617</v>
      </c>
      <c r="D142" t="s">
        <v>597</v>
      </c>
      <c r="E142" t="str">
        <f t="shared" si="43"/>
        <v>4000163_0_1_498,4000263_0_1_414,4000363_0_1_337,4000463_0_1_169,4000563_0_1_59,4000163_0_1_193,4000263_0_1_161,4000363_0_1_131,4000463_0_1_65,4000563_0_1_22,30000_40001_1_120,30000_40002_1_250,30000_40003_1_250</v>
      </c>
    </row>
    <row r="143" spans="1:5">
      <c r="A143" s="10">
        <v>67</v>
      </c>
      <c r="B143" t="s">
        <v>658</v>
      </c>
      <c r="C143" t="s">
        <v>617</v>
      </c>
      <c r="D143" t="s">
        <v>676</v>
      </c>
      <c r="E143" t="str">
        <f t="shared" si="43"/>
        <v>4000163_0_1_506,4000263_0_1_420,4000363_0_1_343,4000463_0_1_172,4000563_0_1_60,4000165_0_1_185,4000265_0_1_154,4000365_0_1_125,4000465_0_1_62,4000565_0_1_21,30000_40001_1_120,30000_40002_1_250,30000_40003_1_255</v>
      </c>
    </row>
    <row r="144" spans="1:5">
      <c r="A144" s="10">
        <v>69</v>
      </c>
      <c r="B144" t="s">
        <v>658</v>
      </c>
      <c r="C144" t="s">
        <v>617</v>
      </c>
      <c r="D144" t="s">
        <v>790</v>
      </c>
      <c r="E144" t="str">
        <f t="shared" si="43"/>
        <v>4000167_0_1_522,4000267_0_1_434,4000367_0_1_354,4000467_0_1_177,4000567_0_1_61,4000170_0_1_169,4000270_0_1_140,4000370_0_1_114,4000470_0_1_57,4000570_0_1_20,30000_40001_1_120,30000_40002_1_250,30000_40003_1_260</v>
      </c>
    </row>
    <row r="145" spans="1:5">
      <c r="A145" s="10">
        <v>71</v>
      </c>
      <c r="B145" t="s">
        <v>658</v>
      </c>
      <c r="C145" t="s">
        <v>617</v>
      </c>
      <c r="D145" t="s">
        <v>791</v>
      </c>
      <c r="E145" t="str">
        <f t="shared" si="43"/>
        <v>4000167_0_1_362,4000267_0_1_301,4000367_0_1_245,4000467_0_1_123,4000567_0_1_43,4000170_0_1_346,4000270_0_1_287,4000370_0_1_234,4000470_0_1_117,4000570_0_1_41,30000_40001_1_120,30000_40002_1_250,30000_40003_1_265</v>
      </c>
    </row>
    <row r="146" spans="1:5">
      <c r="A146" s="10">
        <v>73</v>
      </c>
      <c r="B146" t="s">
        <v>658</v>
      </c>
      <c r="C146" t="s">
        <v>617</v>
      </c>
      <c r="D146" t="s">
        <v>792</v>
      </c>
      <c r="E146" t="str">
        <f t="shared" si="43"/>
        <v>4001072_0_1_560,4002072_0_1_465,4003072_0_1_379,4004072_0_1_190,4005072_0_1_66,4001074_0_1_164,4002074_0_1_136,4003074_0_1_111,4004074_0_1_55,4005074_0_1_19,30000_40001_1_120,30000_40002_1_250,30000_40003_1_270</v>
      </c>
    </row>
    <row r="147" spans="1:5">
      <c r="A147" s="10">
        <v>75</v>
      </c>
      <c r="B147" t="s">
        <v>658</v>
      </c>
      <c r="C147" t="s">
        <v>617</v>
      </c>
      <c r="D147" t="s">
        <v>793</v>
      </c>
      <c r="E147" t="str">
        <f t="shared" si="43"/>
        <v>4001074_0_1_598,4002074_0_1_496,4003074_0_1_405,4004074_0_1_202,4005074_0_1_71,4001076_0_1_133,4002076_0_1_111,4003076_0_1_90,4004076_0_1_45,4005076_0_1_15,30000_40001_1_120,30000_40002_1_250,30000_40003_1_275</v>
      </c>
    </row>
    <row r="148" spans="1:5">
      <c r="A148" s="10">
        <v>77</v>
      </c>
      <c r="B148" t="s">
        <v>658</v>
      </c>
      <c r="C148" t="s">
        <v>617</v>
      </c>
      <c r="D148" t="s">
        <v>794</v>
      </c>
      <c r="E148" t="str">
        <f t="shared" si="43"/>
        <v>4001076_0_1_627,4002076_0_1_521,4003076_0_1_425,4004076_0_1_212,4005076_0_1_74,4001078_0_1_110,4002078_0_1_91,4003078_0_1_75,4004078_0_1_37,4005078_0_1_13,30000_40001_1_120,30000_40002_1_250,30000_40003_1_280</v>
      </c>
    </row>
    <row r="149" spans="1:5">
      <c r="A149" s="10">
        <v>79</v>
      </c>
      <c r="B149" t="s">
        <v>658</v>
      </c>
      <c r="C149" t="s">
        <v>617</v>
      </c>
      <c r="D149" t="s">
        <v>795</v>
      </c>
      <c r="E149" t="str">
        <f t="shared" si="43"/>
        <v>4001078_0_1_651,4002078_0_1_541,4003078_0_1_441,4004078_0_1_221,4005078_0_1_77,4001080_0_1_93,4002080_0_1_77,4003080_0_1_63,4004080_0_1_31,4005080_0_1_11,30000_40001_1_120,30000_40002_1_250,30000_40003_1_285</v>
      </c>
    </row>
    <row r="150" spans="1:5">
      <c r="A150" s="10">
        <v>81</v>
      </c>
      <c r="B150" t="s">
        <v>658</v>
      </c>
      <c r="C150" t="s">
        <v>617</v>
      </c>
      <c r="D150" t="s">
        <v>796</v>
      </c>
      <c r="E150" t="str">
        <f t="shared" si="43"/>
        <v>4001080_0_1_676,4002080_0_1_561,4003080_0_1_459,4004080_0_1_229,4005080_0_1_80,4001082_0_1_75,4002082_0_1_62,4003082_0_1_51,4004082_0_1_25,4005082_0_1_8,30000_40001_1_120,30000_40002_1_250,30000_40003_1_290</v>
      </c>
    </row>
    <row r="151" spans="1:5">
      <c r="A151" s="10">
        <v>83</v>
      </c>
      <c r="B151" t="s">
        <v>658</v>
      </c>
      <c r="C151" t="s">
        <v>617</v>
      </c>
      <c r="D151" t="s">
        <v>797</v>
      </c>
      <c r="E151" t="str">
        <f t="shared" si="43"/>
        <v>4001082_0_1_683,4002082_0_1_567,4003082_0_1_462,4004082_0_1_231,4005082_0_1_81,4001084_0_1_75,4002084_0_1_63,4003084_0_1_51,4004084_0_1_25,4005084_0_1_9,30000_40001_1_120,30000_40002_1_250,30000_40003_1_295</v>
      </c>
    </row>
    <row r="152" spans="1:5">
      <c r="A152" s="10">
        <v>85</v>
      </c>
      <c r="B152" t="s">
        <v>658</v>
      </c>
      <c r="C152" t="s">
        <v>617</v>
      </c>
      <c r="D152" t="s">
        <v>798</v>
      </c>
      <c r="E152" t="str">
        <f t="shared" si="43"/>
        <v>4001084_0_1_688,4002084_0_1_572,4003084_0_1_467,4004084_0_1_233,4005084_0_1_81,4001086_0_1_76,4002086_0_1_63,4003086_0_1_51,4004086_0_1_25,4005086_0_1_9,30000_40001_1_120,30000_40002_1_250,30000_40003_1_300</v>
      </c>
    </row>
    <row r="153" spans="1:5">
      <c r="A153" s="10">
        <v>87</v>
      </c>
      <c r="B153" t="s">
        <v>658</v>
      </c>
      <c r="C153" t="s">
        <v>617</v>
      </c>
      <c r="D153" t="s">
        <v>799</v>
      </c>
      <c r="E153" t="str">
        <f t="shared" si="43"/>
        <v>4001086_0_1_694,4002086_0_1_576,4003086_0_1_470,4004086_0_1_235,4005086_0_1_82,4001088_0_1_77,4002088_0_1_64,4003088_0_1_52,4004088_0_1_26,4005088_0_1_9,30000_40001_1_120,30000_40002_1_250,30000_40003_1_305</v>
      </c>
    </row>
    <row r="154" spans="1:5">
      <c r="A154" s="10">
        <v>89</v>
      </c>
      <c r="B154" t="s">
        <v>658</v>
      </c>
      <c r="C154" t="s">
        <v>617</v>
      </c>
      <c r="D154" t="s">
        <v>800</v>
      </c>
      <c r="E154" t="str">
        <f t="shared" si="43"/>
        <v>4001088_0_1_701,4002088_0_1_582,4003088_0_1_475,4004088_0_1_237,4005088_0_1_82,4001090_0_1_77,4002090_0_1_64,4003090_0_1_52,4004090_0_1_26,4005090_0_1_9,30000_40001_1_120,30000_40002_1_250,30000_40003_1_310</v>
      </c>
    </row>
    <row r="155" spans="1:5">
      <c r="A155" s="10">
        <v>91</v>
      </c>
      <c r="B155" t="s">
        <v>658</v>
      </c>
      <c r="C155" t="s">
        <v>617</v>
      </c>
      <c r="D155" t="s">
        <v>801</v>
      </c>
      <c r="E155" t="str">
        <f t="shared" si="43"/>
        <v>4001090_0_1_707,4002090_0_1_586,4003090_0_1_479,4004090_0_1_239,4005090_0_1_83,4001092_0_1_78,4002092_0_1_65,4003092_0_1_53,4004092_0_1_26,4005092_0_1_9,30000_40001_1_120,30000_40002_1_250,30000_40003_1_315</v>
      </c>
    </row>
    <row r="156" spans="1:5">
      <c r="A156" s="10">
        <v>93</v>
      </c>
      <c r="B156" t="s">
        <v>658</v>
      </c>
      <c r="C156" t="s">
        <v>617</v>
      </c>
      <c r="D156" t="s">
        <v>804</v>
      </c>
      <c r="E156" t="str">
        <f t="shared" si="43"/>
        <v>4001092_0_1_712,4002092_0_1_592,4003092_0_1_483,4004092_0_1_242,4005092_0_1_84,4001094_0_1_79,4002094_0_1_65,4003094_0_1_53,4004094_0_1_26,4005094_0_1_9,30000_40001_1_120,30000_40002_1_250,30000_40003_1_320</v>
      </c>
    </row>
    <row r="157" spans="1:5">
      <c r="A157" s="10">
        <v>95</v>
      </c>
      <c r="B157" t="s">
        <v>658</v>
      </c>
      <c r="C157" t="s">
        <v>617</v>
      </c>
      <c r="D157" t="s">
        <v>805</v>
      </c>
      <c r="E157" t="str">
        <f t="shared" si="43"/>
        <v>4001094_0_1_719,4002094_0_1_597,4003094_0_1_487,4004094_0_1_243,4005094_0_1_85,4001096_0_1_79,4002096_0_1_66,4003096_0_1_54,4004096_0_1_27,4005096_0_1_9,30000_40001_1_120,30000_40002_1_250,30000_40003_1_325</v>
      </c>
    </row>
    <row r="158" spans="1:5">
      <c r="A158" s="10">
        <v>97</v>
      </c>
      <c r="B158" t="s">
        <v>658</v>
      </c>
      <c r="C158" t="s">
        <v>617</v>
      </c>
      <c r="D158" t="s">
        <v>806</v>
      </c>
      <c r="E158" t="str">
        <f t="shared" si="43"/>
        <v>4001096_0_1_725,4002096_0_1_602,4003096_0_1_491,4004096_0_1_245,4005096_0_1_86,4001098_0_1_80,4002098_0_1_66,4003098_0_1_54,4004098_0_1_27,4005098_0_1_9,30000_40001_1_120,30000_40002_1_250,30000_40003_1_330</v>
      </c>
    </row>
    <row r="159" spans="1:5">
      <c r="A159" s="10">
        <v>99</v>
      </c>
      <c r="B159" t="s">
        <v>658</v>
      </c>
      <c r="C159" t="s">
        <v>617</v>
      </c>
      <c r="D159" t="s">
        <v>807</v>
      </c>
      <c r="E159" t="str">
        <f t="shared" si="43"/>
        <v>4001098_0_1_731,4002098_0_1_607,4003098_0_1_495,4004098_0_1_247,4005098_0_1_86,4001098_0_1_81,4002098_0_1_67,4003098_0_1_55,4004098_0_1_27,4005098_0_1_9,30000_40001_1_120,30000_40002_1_250,30000_40003_1_335</v>
      </c>
    </row>
    <row r="160" spans="1:5">
      <c r="A160" s="10">
        <v>100</v>
      </c>
      <c r="B160" t="s">
        <v>808</v>
      </c>
      <c r="C160" t="s">
        <v>809</v>
      </c>
      <c r="D160" t="s">
        <v>810</v>
      </c>
      <c r="E160" t="str">
        <f t="shared" si="43"/>
        <v>4001098_0_1_737,4002098_0_1_612,4003098_0_1_499,4004098_0_1_250,4005098_0_1_87,4001100_0_1_81,4002100_0_1_68,4003100_0_1_55,4004100_0_1_27,4005100_0_1_9,30000_40001_1_121,30000_40002_1_251,30000_40003_1_336</v>
      </c>
    </row>
    <row r="161" spans="1:11">
      <c r="A161" s="10"/>
    </row>
    <row r="163" spans="1:11">
      <c r="B163" t="s">
        <v>683</v>
      </c>
      <c r="E163" t="s">
        <v>684</v>
      </c>
      <c r="H163" t="s">
        <v>686</v>
      </c>
      <c r="I163" t="s">
        <v>685</v>
      </c>
    </row>
    <row r="164" spans="1:11">
      <c r="B164" t="str">
        <f>"30000_10008_1_"&amp;ROUND(28*Sheet3!$K82,0)&amp;",30000_10009_1_"&amp;ROUND(28*Sheet3!$K82,0)&amp;",30000_10010_1_"&amp;ROUND(15*Sheet3!$K82,0)</f>
        <v>30000_10008_1_28,30000_10009_1_28,30000_10010_1_15</v>
      </c>
      <c r="E164" t="s">
        <v>118</v>
      </c>
      <c r="H164" t="str">
        <f>E164&amp;","&amp;I164</f>
        <v>30000_60001_1_10000,7000001_0_1_10000,30000_10011_1_36,30000_10012_1_30</v>
      </c>
      <c r="I164" t="str">
        <f>"30000_10011_1_"&amp;36*K164&amp;",30000_10012_1_"&amp;30*K164</f>
        <v>30000_10011_1_36,30000_10012_1_30</v>
      </c>
      <c r="K164">
        <v>1</v>
      </c>
    </row>
    <row r="165" spans="1:11">
      <c r="B165" t="str">
        <f>"30000_10008_1_"&amp;ROUND(28*Sheet3!$K83,0)&amp;",30000_10009_1_"&amp;ROUND(28*Sheet3!$K83,0)&amp;",30000_10010_1_"&amp;ROUND(15*Sheet3!$K83,0)</f>
        <v>30000_10008_1_28,30000_10009_1_28,30000_10010_1_15</v>
      </c>
      <c r="E165" t="s">
        <v>119</v>
      </c>
      <c r="H165" t="str">
        <f t="shared" ref="H165:H198" si="44">E165&amp;","&amp;I165</f>
        <v>30000_60001_2_10000,7000001_0_1_10000,30000_10011_1_180,30000_10012_1_150</v>
      </c>
      <c r="I165" t="str">
        <f t="shared" ref="I165:I198" si="45">"30000_10011_1_"&amp;36*K165&amp;",30000_10012_1_"&amp;30*K165</f>
        <v>30000_10011_1_180,30000_10012_1_150</v>
      </c>
      <c r="K165">
        <v>5</v>
      </c>
    </row>
    <row r="166" spans="1:11">
      <c r="B166" t="str">
        <f>"30000_10008_1_"&amp;ROUND(28*Sheet3!$K84,0)&amp;",30000_10009_1_"&amp;ROUND(28*Sheet3!$K84,0)&amp;",30000_10010_1_"&amp;ROUND(15*Sheet3!$K84,0)</f>
        <v>30000_10008_1_28,30000_10009_1_28,30000_10010_1_15</v>
      </c>
      <c r="E166" t="s">
        <v>120</v>
      </c>
      <c r="H166" t="str">
        <f t="shared" si="44"/>
        <v>30000_60001_3_10000,7000001_0_1_10000,30000_10011_1_324,30000_10012_1_270</v>
      </c>
      <c r="I166" t="str">
        <f t="shared" si="45"/>
        <v>30000_10011_1_324,30000_10012_1_270</v>
      </c>
      <c r="K166">
        <v>9</v>
      </c>
    </row>
    <row r="167" spans="1:11">
      <c r="B167" t="str">
        <f>"30000_10008_1_"&amp;ROUND(28*Sheet3!$K85,0)&amp;",30000_10009_1_"&amp;ROUND(28*Sheet3!$K85,0)&amp;",30000_10010_1_"&amp;ROUND(15*Sheet3!$K85,0)</f>
        <v>30000_10008_1_28,30000_10009_1_28,30000_10010_1_15</v>
      </c>
      <c r="E167" t="s">
        <v>121</v>
      </c>
      <c r="H167" t="str">
        <f t="shared" si="44"/>
        <v>30000_60001_4_10000,7000002_0_1_10000,30000_10011_1_468,30000_10012_1_390</v>
      </c>
      <c r="I167" t="str">
        <f t="shared" si="45"/>
        <v>30000_10011_1_468,30000_10012_1_390</v>
      </c>
      <c r="K167">
        <v>13</v>
      </c>
    </row>
    <row r="168" spans="1:11">
      <c r="B168" t="str">
        <f>"30000_10008_1_"&amp;ROUND(28*Sheet3!$K86,0)&amp;",30000_10009_1_"&amp;ROUND(28*Sheet3!$K86,0)&amp;",30000_10010_1_"&amp;ROUND(15*Sheet3!$K86,0)</f>
        <v>30000_10008_1_28,30000_10009_1_28,30000_10010_1_15</v>
      </c>
      <c r="E168" t="s">
        <v>122</v>
      </c>
      <c r="H168" t="str">
        <f t="shared" si="44"/>
        <v>30000_60001_5_10000,7000002_0_1_10000,30000_10011_1_612,30000_10012_1_510</v>
      </c>
      <c r="I168" t="str">
        <f t="shared" si="45"/>
        <v>30000_10011_1_612,30000_10012_1_510</v>
      </c>
      <c r="K168">
        <v>17</v>
      </c>
    </row>
    <row r="169" spans="1:11">
      <c r="B169" t="str">
        <f>"30000_10008_1_"&amp;ROUND(28*Sheet3!$K87,0)&amp;",30000_10009_1_"&amp;ROUND(28*Sheet3!$K87,0)&amp;",30000_10010_1_"&amp;ROUND(15*Sheet3!$K87,0)</f>
        <v>30000_10008_1_28,30000_10009_1_28,30000_10010_1_15</v>
      </c>
      <c r="E169" t="s">
        <v>123</v>
      </c>
      <c r="H169" t="str">
        <f t="shared" si="44"/>
        <v>30000_60001_6_10000,7000002_0_1_10000,30000_10011_1_756,30000_10012_1_630</v>
      </c>
      <c r="I169" t="str">
        <f t="shared" si="45"/>
        <v>30000_10011_1_756,30000_10012_1_630</v>
      </c>
      <c r="K169">
        <v>21</v>
      </c>
    </row>
    <row r="170" spans="1:11">
      <c r="B170" t="str">
        <f>"30000_10008_1_"&amp;ROUND(28*Sheet3!$K88,0)&amp;",30000_10009_1_"&amp;ROUND(28*Sheet3!$K88,0)&amp;",30000_10010_1_"&amp;ROUND(15*Sheet3!$K88,0)</f>
        <v>30000_10008_1_36,30000_10009_1_36,30000_10010_1_20</v>
      </c>
      <c r="E170" t="s">
        <v>124</v>
      </c>
      <c r="H170" t="str">
        <f t="shared" si="44"/>
        <v>30000_60001_7_10000,7000003_0_1_10000,30000_10011_1_900,30000_10012_1_750</v>
      </c>
      <c r="I170" t="str">
        <f t="shared" si="45"/>
        <v>30000_10011_1_900,30000_10012_1_750</v>
      </c>
      <c r="K170">
        <v>25</v>
      </c>
    </row>
    <row r="171" spans="1:11">
      <c r="B171" t="str">
        <f>"30000_10008_1_"&amp;ROUND(28*Sheet3!$K89,0)&amp;",30000_10009_1_"&amp;ROUND(28*Sheet3!$K89,0)&amp;",30000_10010_1_"&amp;ROUND(15*Sheet3!$K89,0)</f>
        <v>30000_10008_1_38,30000_10009_1_38,30000_10010_1_20</v>
      </c>
      <c r="E171" t="s">
        <v>125</v>
      </c>
      <c r="H171" t="str">
        <f t="shared" si="44"/>
        <v>30000_60001_8_10000,7000003_0_1_10000,30000_10011_1_1044,30000_10012_1_870</v>
      </c>
      <c r="I171" t="str">
        <f t="shared" si="45"/>
        <v>30000_10011_1_1044,30000_10012_1_870</v>
      </c>
      <c r="K171">
        <v>29</v>
      </c>
    </row>
    <row r="172" spans="1:11">
      <c r="B172" t="str">
        <f>"30000_10008_1_"&amp;ROUND(28*Sheet3!$K90,0)&amp;",30000_10009_1_"&amp;ROUND(28*Sheet3!$K90,0)&amp;",30000_10010_1_"&amp;ROUND(15*Sheet3!$K90,0)</f>
        <v>30000_10008_1_39,30000_10009_1_39,30000_10010_1_21</v>
      </c>
      <c r="E172" t="s">
        <v>126</v>
      </c>
      <c r="H172" t="str">
        <f t="shared" si="44"/>
        <v>30000_60001_9_10000,7000004_0_1_10000,30000_10011_1_1188,30000_10012_1_990</v>
      </c>
      <c r="I172" t="str">
        <f t="shared" si="45"/>
        <v>30000_10011_1_1188,30000_10012_1_990</v>
      </c>
      <c r="K172">
        <v>33</v>
      </c>
    </row>
    <row r="173" spans="1:11">
      <c r="B173" t="str">
        <f>"30000_10008_1_"&amp;ROUND(28*Sheet3!$K91,0)&amp;",30000_10009_1_"&amp;ROUND(28*Sheet3!$K91,0)&amp;",30000_10010_1_"&amp;ROUND(15*Sheet3!$K91,0)</f>
        <v>30000_10008_1_41,30000_10009_1_41,30000_10010_1_22</v>
      </c>
      <c r="E173" s="3" t="s">
        <v>127</v>
      </c>
      <c r="H173" t="str">
        <f t="shared" si="44"/>
        <v>30000_60001_10_10000,7000004_0_1_10000,30000_10011_1_1332,30000_10012_1_1110</v>
      </c>
      <c r="I173" t="str">
        <f t="shared" si="45"/>
        <v>30000_10011_1_1332,30000_10012_1_1110</v>
      </c>
      <c r="K173">
        <v>37</v>
      </c>
    </row>
    <row r="174" spans="1:11">
      <c r="B174" t="str">
        <f>"30000_10008_1_"&amp;ROUND(28*Sheet3!$K92,0)&amp;",30000_10009_1_"&amp;ROUND(28*Sheet3!$K92,0)&amp;",30000_10010_1_"&amp;ROUND(15*Sheet3!$K92,0)</f>
        <v>30000_10008_1_41,30000_10009_1_41,30000_10010_1_22</v>
      </c>
      <c r="E174" t="s">
        <v>128</v>
      </c>
      <c r="H174" t="str">
        <f t="shared" si="44"/>
        <v>30000_60001_11_10000,7000004_0_1_10000,30000_10011_1_1476,30000_10012_1_1230</v>
      </c>
      <c r="I174" t="str">
        <f t="shared" si="45"/>
        <v>30000_10011_1_1476,30000_10012_1_1230</v>
      </c>
      <c r="K174">
        <v>41</v>
      </c>
    </row>
    <row r="175" spans="1:11">
      <c r="B175" t="str">
        <f>"30000_10008_1_"&amp;ROUND(28*Sheet3!$K93,0)&amp;",30000_10009_1_"&amp;ROUND(28*Sheet3!$K93,0)&amp;",30000_10010_1_"&amp;ROUND(15*Sheet3!$K93,0)</f>
        <v>30000_10008_1_42,30000_10009_1_42,30000_10010_1_23</v>
      </c>
      <c r="E175" t="s">
        <v>129</v>
      </c>
      <c r="H175" t="str">
        <f t="shared" si="44"/>
        <v>30000_60001_12_10000,7000005_0_1_10000,30000_10011_1_1620,30000_10012_1_1350</v>
      </c>
      <c r="I175" t="str">
        <f t="shared" si="45"/>
        <v>30000_10011_1_1620,30000_10012_1_1350</v>
      </c>
      <c r="K175">
        <v>45</v>
      </c>
    </row>
    <row r="176" spans="1:11">
      <c r="B176" t="str">
        <f>"30000_10008_1_"&amp;ROUND(28*Sheet3!$K94,0)&amp;",30000_10009_1_"&amp;ROUND(28*Sheet3!$K94,0)&amp;",30000_10010_1_"&amp;ROUND(15*Sheet3!$K94,0)</f>
        <v>30000_10008_1_56,30000_10009_1_56,30000_10010_1_30</v>
      </c>
      <c r="E176" t="s">
        <v>130</v>
      </c>
      <c r="H176" t="str">
        <f t="shared" si="44"/>
        <v>30000_60001_13_10000,7000005_0_1_10000,30000_10011_1_1620,30000_10012_1_1350</v>
      </c>
      <c r="I176" t="str">
        <f t="shared" si="45"/>
        <v>30000_10011_1_1620,30000_10012_1_1350</v>
      </c>
      <c r="K176">
        <v>45</v>
      </c>
    </row>
    <row r="177" spans="2:11">
      <c r="B177" t="str">
        <f>"30000_10008_1_"&amp;ROUND(28*Sheet3!$K95,0)&amp;",30000_10009_1_"&amp;ROUND(28*Sheet3!$K95,0)&amp;",30000_10010_1_"&amp;ROUND(15*Sheet3!$K95,0)</f>
        <v>30000_10008_1_56,30000_10009_1_56,30000_10010_1_30</v>
      </c>
      <c r="E177" t="s">
        <v>131</v>
      </c>
      <c r="H177" t="str">
        <f t="shared" si="44"/>
        <v>30000_60001_14_10000,7000006_0_1_10000,30000_10011_1_1620,30000_10012_1_1350</v>
      </c>
      <c r="I177" t="str">
        <f t="shared" si="45"/>
        <v>30000_10011_1_1620,30000_10012_1_1350</v>
      </c>
      <c r="K177">
        <v>45</v>
      </c>
    </row>
    <row r="178" spans="2:11">
      <c r="B178" t="str">
        <f>"30000_10008_1_"&amp;ROUND(28*Sheet3!$K96,0)&amp;",30000_10009_1_"&amp;ROUND(28*Sheet3!$K96,0)&amp;",30000_10010_1_"&amp;ROUND(15*Sheet3!$K96,0)</f>
        <v>30000_10008_1_56,30000_10009_1_56,30000_10010_1_30</v>
      </c>
      <c r="E178" t="s">
        <v>132</v>
      </c>
      <c r="H178" t="str">
        <f t="shared" si="44"/>
        <v>30000_60001_15_10000,7000006_0_1_10000,30000_10011_1_1800,30000_10012_1_1500</v>
      </c>
      <c r="I178" t="str">
        <f t="shared" si="45"/>
        <v>30000_10011_1_1800,30000_10012_1_1500</v>
      </c>
      <c r="K178">
        <v>50</v>
      </c>
    </row>
    <row r="179" spans="2:11">
      <c r="B179" t="str">
        <f>"30000_10008_1_"&amp;ROUND(28*Sheet3!$K97,0)&amp;",30000_10009_1_"&amp;ROUND(28*Sheet3!$K97,0)&amp;",30000_10010_1_"&amp;ROUND(15*Sheet3!$K97,0)</f>
        <v>30000_10008_1_62,30000_10009_1_62,30000_10010_1_33</v>
      </c>
      <c r="E179" t="s">
        <v>133</v>
      </c>
      <c r="H179" t="str">
        <f t="shared" si="44"/>
        <v>30000_60001_16_10000,7000006_0_1_10000,30000_10011_1_1800,30000_10012_1_1500</v>
      </c>
      <c r="I179" t="str">
        <f t="shared" si="45"/>
        <v>30000_10011_1_1800,30000_10012_1_1500</v>
      </c>
      <c r="K179">
        <v>50</v>
      </c>
    </row>
    <row r="180" spans="2:11">
      <c r="B180" t="str">
        <f>"30000_10008_1_"&amp;ROUND(28*Sheet3!$K98,0)&amp;",30000_10009_1_"&amp;ROUND(28*Sheet3!$K98,0)&amp;",30000_10010_1_"&amp;ROUND(15*Sheet3!$K98,0)</f>
        <v>30000_10008_1_63,30000_10009_1_63,30000_10010_1_34</v>
      </c>
      <c r="E180" t="s">
        <v>134</v>
      </c>
      <c r="H180" t="str">
        <f t="shared" si="44"/>
        <v>30000_60001_17_10000,7000007_0_1_10000,30000_10011_1_1800,30000_10012_1_1500</v>
      </c>
      <c r="I180" t="str">
        <f t="shared" si="45"/>
        <v>30000_10011_1_1800,30000_10012_1_1500</v>
      </c>
      <c r="K180">
        <v>50</v>
      </c>
    </row>
    <row r="181" spans="2:11">
      <c r="B181" t="str">
        <f>"30000_10008_1_"&amp;ROUND(28*Sheet3!$K99,0)&amp;",30000_10009_1_"&amp;ROUND(28*Sheet3!$K99,0)&amp;",30000_10010_1_"&amp;ROUND(15*Sheet3!$K99,0)</f>
        <v>30000_10008_1_64,30000_10009_1_64,30000_10010_1_35</v>
      </c>
      <c r="E181" t="s">
        <v>135</v>
      </c>
      <c r="H181" t="str">
        <f t="shared" si="44"/>
        <v>30000_60001_18_10000,7000007_0_1_10000,30000_10011_1_1800,30000_10012_1_1500</v>
      </c>
      <c r="I181" t="str">
        <f t="shared" si="45"/>
        <v>30000_10011_1_1800,30000_10012_1_1500</v>
      </c>
      <c r="K181">
        <v>50</v>
      </c>
    </row>
    <row r="182" spans="2:11">
      <c r="B182" t="str">
        <f>"30000_10008_1_"&amp;ROUND(28*Sheet3!$K100,0)&amp;",30000_10009_1_"&amp;ROUND(28*Sheet3!$K100,0)&amp;",30000_10010_1_"&amp;ROUND(15*Sheet3!$K100,0)</f>
        <v>30000_10008_1_66,30000_10009_1_66,30000_10010_1_35</v>
      </c>
      <c r="E182" s="4" t="s">
        <v>136</v>
      </c>
      <c r="H182" t="str">
        <f t="shared" si="44"/>
        <v>30000_60001_19_10000,7000008_0_1_10000,30000_10011_1_1800,30000_10012_1_1500</v>
      </c>
      <c r="I182" t="str">
        <f t="shared" si="45"/>
        <v>30000_10011_1_1800,30000_10012_1_1500</v>
      </c>
      <c r="K182">
        <v>50</v>
      </c>
    </row>
    <row r="183" spans="2:11">
      <c r="B183" t="str">
        <f>"30000_10008_1_"&amp;ROUND(28*Sheet3!$K101,0)&amp;",30000_10009_1_"&amp;ROUND(28*Sheet3!$K101,0)&amp;",30000_10010_1_"&amp;ROUND(15*Sheet3!$K101,0)</f>
        <v>30000_10008_1_67,30000_10009_1_67,30000_10010_1_36</v>
      </c>
      <c r="E183" t="s">
        <v>137</v>
      </c>
      <c r="H183" t="str">
        <f t="shared" si="44"/>
        <v>30000_60001_20_10000,7000008_0_1_10000,30000_10011_1_1800,30000_10012_1_1500</v>
      </c>
      <c r="I183" t="str">
        <f t="shared" si="45"/>
        <v>30000_10011_1_1800,30000_10012_1_1500</v>
      </c>
      <c r="K183">
        <v>50</v>
      </c>
    </row>
    <row r="184" spans="2:11">
      <c r="B184" t="str">
        <f>"30000_10008_1_"&amp;ROUND(28*Sheet3!$K102,0)&amp;",30000_10009_1_"&amp;ROUND(28*Sheet3!$K102,0)&amp;",30000_10010_1_"&amp;ROUND(15*Sheet3!$K102,0)</f>
        <v>30000_10008_1_69,30000_10009_1_69,30000_10010_1_37</v>
      </c>
      <c r="E184" t="s">
        <v>138</v>
      </c>
      <c r="H184" t="str">
        <f t="shared" si="44"/>
        <v>30000_60001_21_10000,7000008_0_1_10000,30000_10011_1_1800,30000_10012_1_1500</v>
      </c>
      <c r="I184" t="str">
        <f t="shared" si="45"/>
        <v>30000_10011_1_1800,30000_10012_1_1500</v>
      </c>
      <c r="K184">
        <v>50</v>
      </c>
    </row>
    <row r="185" spans="2:11">
      <c r="B185" t="str">
        <f>"30000_10008_1_"&amp;ROUND(28*Sheet3!$K103,0)&amp;",30000_10009_1_"&amp;ROUND(28*Sheet3!$K103,0)&amp;",30000_10010_1_"&amp;ROUND(15*Sheet3!$K103,0)</f>
        <v>30000_10008_1_70,30000_10009_1_70,30000_10010_1_38</v>
      </c>
      <c r="E185" t="s">
        <v>139</v>
      </c>
      <c r="H185" t="str">
        <f t="shared" si="44"/>
        <v>30000_60001_22_10000,7000009_0_1_10000,30000_10011_1_1800,30000_10012_1_1500</v>
      </c>
      <c r="I185" t="str">
        <f t="shared" si="45"/>
        <v>30000_10011_1_1800,30000_10012_1_1500</v>
      </c>
      <c r="K185">
        <v>50</v>
      </c>
    </row>
    <row r="186" spans="2:11">
      <c r="B186" t="str">
        <f>"30000_10008_1_"&amp;ROUND(28*Sheet3!$K104,0)&amp;",30000_10009_1_"&amp;ROUND(28*Sheet3!$K104,0)&amp;",30000_10010_1_"&amp;ROUND(15*Sheet3!$K104,0)</f>
        <v>30000_10008_1_73,30000_10009_1_73,30000_10010_1_39</v>
      </c>
      <c r="E186" t="s">
        <v>140</v>
      </c>
      <c r="H186" t="str">
        <f t="shared" si="44"/>
        <v>30000_60001_23_10000,7000009_0_1_10000,30000_10011_1_1800,30000_10012_1_1500</v>
      </c>
      <c r="I186" t="str">
        <f t="shared" si="45"/>
        <v>30000_10011_1_1800,30000_10012_1_1500</v>
      </c>
      <c r="K186">
        <v>50</v>
      </c>
    </row>
    <row r="187" spans="2:11">
      <c r="B187" t="str">
        <f>"30000_10008_1_"&amp;ROUND(28*Sheet3!$K105,0)&amp;",30000_10009_1_"&amp;ROUND(28*Sheet3!$K105,0)&amp;",30000_10010_1_"&amp;ROUND(15*Sheet3!$K105,0)</f>
        <v>30000_10008_1_76,30000_10009_1_76,30000_10010_1_41</v>
      </c>
      <c r="E187" t="s">
        <v>141</v>
      </c>
      <c r="H187" t="str">
        <f t="shared" si="44"/>
        <v>30000_60001_24_10000,7000010_0_1_10000,30000_10011_1_1800,30000_10012_1_1500</v>
      </c>
      <c r="I187" t="str">
        <f t="shared" si="45"/>
        <v>30000_10011_1_1800,30000_10012_1_1500</v>
      </c>
      <c r="K187">
        <v>50</v>
      </c>
    </row>
    <row r="188" spans="2:11">
      <c r="B188" t="str">
        <f>"30000_10008_1_"&amp;ROUND(28*Sheet3!$K106,0)&amp;",30000_10009_1_"&amp;ROUND(28*Sheet3!$K106,0)&amp;",30000_10010_1_"&amp;ROUND(15*Sheet3!$K106,0)</f>
        <v>30000_10008_1_77,30000_10009_1_77,30000_10010_1_41</v>
      </c>
      <c r="E188" t="s">
        <v>142</v>
      </c>
      <c r="H188" t="str">
        <f t="shared" si="44"/>
        <v>30000_60001_25_10000,7000010_0_1_10000,30000_10011_1_1800,30000_10012_1_1500</v>
      </c>
      <c r="I188" t="str">
        <f t="shared" si="45"/>
        <v>30000_10011_1_1800,30000_10012_1_1500</v>
      </c>
      <c r="K188">
        <v>50</v>
      </c>
    </row>
    <row r="189" spans="2:11">
      <c r="B189" t="str">
        <f>"30000_10008_1_"&amp;ROUND(28*Sheet3!$K107,0)&amp;",30000_10009_1_"&amp;ROUND(28*Sheet3!$K107,0)&amp;",30000_10010_1_"&amp;ROUND(15*Sheet3!$K107,0)</f>
        <v>30000_10008_1_78,30000_10009_1_78,30000_10010_1_42</v>
      </c>
      <c r="E189" t="s">
        <v>143</v>
      </c>
      <c r="H189" t="str">
        <f t="shared" si="44"/>
        <v>30000_60001_26_10000,7000010_0_1_10000,30000_10011_1_1800,30000_10012_1_1500</v>
      </c>
      <c r="I189" t="str">
        <f t="shared" si="45"/>
        <v>30000_10011_1_1800,30000_10012_1_1500</v>
      </c>
      <c r="K189">
        <v>50</v>
      </c>
    </row>
    <row r="190" spans="2:11">
      <c r="B190" t="str">
        <f>"30000_10008_1_"&amp;ROUND(28*Sheet3!$K108,0)&amp;",30000_10009_1_"&amp;ROUND(28*Sheet3!$K108,0)&amp;",30000_10010_1_"&amp;ROUND(15*Sheet3!$K108,0)</f>
        <v>30000_10008_1_84,30000_10009_1_84,30000_10010_1_45</v>
      </c>
      <c r="E190" t="s">
        <v>144</v>
      </c>
      <c r="H190" t="str">
        <f t="shared" si="44"/>
        <v>30000_60001_27_10000,7000011_0_1_10000,30000_10011_1_1800,30000_10012_1_1500</v>
      </c>
      <c r="I190" t="str">
        <f t="shared" si="45"/>
        <v>30000_10011_1_1800,30000_10012_1_1500</v>
      </c>
      <c r="K190">
        <v>50</v>
      </c>
    </row>
    <row r="191" spans="2:11">
      <c r="B191" t="str">
        <f>"30000_10008_1_"&amp;ROUND(28*Sheet3!$K109,0)&amp;",30000_10009_1_"&amp;ROUND(28*Sheet3!$K109,0)&amp;",30000_10010_1_"&amp;ROUND(15*Sheet3!$K109,0)</f>
        <v>30000_10008_1_84,30000_10009_1_84,30000_10010_1_45</v>
      </c>
      <c r="E191" t="s">
        <v>145</v>
      </c>
      <c r="H191" t="str">
        <f t="shared" si="44"/>
        <v>30000_60001_28_10000,7000011_0_1_10000,30000_10011_1_1800,30000_10012_1_1500</v>
      </c>
      <c r="I191" t="str">
        <f t="shared" si="45"/>
        <v>30000_10011_1_1800,30000_10012_1_1500</v>
      </c>
      <c r="K191">
        <v>50</v>
      </c>
    </row>
    <row r="192" spans="2:11">
      <c r="B192" t="str">
        <f>"30000_10008_1_"&amp;ROUND(28*Sheet3!$K110,0)&amp;",30000_10009_1_"&amp;ROUND(28*Sheet3!$K110,0)&amp;",30000_10010_1_"&amp;ROUND(15*Sheet3!$K110,0)</f>
        <v>30000_10008_1_84,30000_10009_1_84,30000_10010_1_45</v>
      </c>
      <c r="E192" t="s">
        <v>148</v>
      </c>
      <c r="H192" t="str">
        <f t="shared" si="44"/>
        <v>30000_60001_29_10000,7000012_0_1_10000,30000_10011_1_1800,30000_10012_1_1500</v>
      </c>
      <c r="I192" t="str">
        <f t="shared" si="45"/>
        <v>30000_10011_1_1800,30000_10012_1_1500</v>
      </c>
      <c r="K192">
        <v>50</v>
      </c>
    </row>
    <row r="193" spans="2:11">
      <c r="B193" t="str">
        <f>"30000_10008_1_"&amp;ROUND(28*Sheet3!$K111,0)&amp;",30000_10009_1_"&amp;ROUND(28*Sheet3!$K111,0)&amp;",30000_10010_1_"&amp;ROUND(15*Sheet3!$K111,0)</f>
        <v>30000_10008_1_84,30000_10009_1_84,30000_10010_1_45</v>
      </c>
      <c r="E193" t="s">
        <v>149</v>
      </c>
      <c r="H193" t="str">
        <f t="shared" si="44"/>
        <v>30000_60001_30_10000,7000012_0_1_10000,30000_10011_1_1800,30000_10012_1_1500</v>
      </c>
      <c r="I193" t="str">
        <f t="shared" si="45"/>
        <v>30000_10011_1_1800,30000_10012_1_1500</v>
      </c>
      <c r="K193">
        <v>50</v>
      </c>
    </row>
    <row r="194" spans="2:11">
      <c r="B194" t="str">
        <f>"30000_10008_1_"&amp;ROUND(28*Sheet3!$K112,0)&amp;",30000_10009_1_"&amp;ROUND(28*Sheet3!$K112,0)&amp;",30000_10010_1_"&amp;ROUND(15*Sheet3!$K112,0)</f>
        <v>30000_10008_1_84,30000_10009_1_84,30000_10010_1_45</v>
      </c>
      <c r="E194" t="s">
        <v>150</v>
      </c>
      <c r="H194" t="str">
        <f t="shared" si="44"/>
        <v>30000_60001_31_10000,7000012_0_1_10000,30000_10011_1_1800,30000_10012_1_1500</v>
      </c>
      <c r="I194" t="str">
        <f t="shared" si="45"/>
        <v>30000_10011_1_1800,30000_10012_1_1500</v>
      </c>
      <c r="K194">
        <v>50</v>
      </c>
    </row>
    <row r="195" spans="2:11">
      <c r="B195" t="str">
        <f>"30000_10008_1_"&amp;ROUND(28*Sheet3!$K113,0)&amp;",30000_10009_1_"&amp;ROUND(28*Sheet3!$K113,0)&amp;",30000_10010_1_"&amp;ROUND(15*Sheet3!$K113,0)</f>
        <v>30000_10008_1_84,30000_10009_1_84,30000_10010_1_45</v>
      </c>
      <c r="E195" t="s">
        <v>151</v>
      </c>
      <c r="H195" t="str">
        <f t="shared" si="44"/>
        <v>30000_60001_32_10000,7000013_0_1_10000,30000_10011_1_1800,30000_10012_1_1500</v>
      </c>
      <c r="I195" t="str">
        <f t="shared" si="45"/>
        <v>30000_10011_1_1800,30000_10012_1_1500</v>
      </c>
      <c r="K195">
        <v>50</v>
      </c>
    </row>
    <row r="196" spans="2:11">
      <c r="B196" t="str">
        <f>"30000_10008_1_"&amp;ROUND(28*Sheet3!$K114,0)&amp;",30000_10009_1_"&amp;ROUND(28*Sheet3!$K114,0)&amp;",30000_10010_1_"&amp;ROUND(15*Sheet3!$K114,0)</f>
        <v>30000_10008_1_84,30000_10009_1_84,30000_10010_1_45</v>
      </c>
      <c r="E196" t="s">
        <v>152</v>
      </c>
      <c r="H196" t="str">
        <f t="shared" si="44"/>
        <v>30000_60001_33_10000,7000013_0_1_10000,30000_10011_1_1800,30000_10012_1_1500</v>
      </c>
      <c r="I196" t="str">
        <f t="shared" si="45"/>
        <v>30000_10011_1_1800,30000_10012_1_1500</v>
      </c>
      <c r="K196">
        <v>50</v>
      </c>
    </row>
    <row r="197" spans="2:11">
      <c r="B197" t="str">
        <f>"30000_10008_1_"&amp;ROUND(28*Sheet3!$K115,0)&amp;",30000_10009_1_"&amp;ROUND(28*Sheet3!$K115,0)&amp;",30000_10010_1_"&amp;ROUND(15*Sheet3!$K115,0)</f>
        <v>30000_10008_1_84,30000_10009_1_84,30000_10010_1_45</v>
      </c>
      <c r="E197" t="s">
        <v>682</v>
      </c>
      <c r="H197" t="str">
        <f t="shared" si="44"/>
        <v>30000_60001_34_10000,7000013_0_1_10000,30000_10011_1_1800,30000_10012_1_1500</v>
      </c>
      <c r="I197" t="str">
        <f t="shared" si="45"/>
        <v>30000_10011_1_1800,30000_10012_1_1500</v>
      </c>
      <c r="K197">
        <v>50</v>
      </c>
    </row>
    <row r="198" spans="2:11">
      <c r="B198" t="str">
        <f>"30000_10008_1_"&amp;ROUND(28*Sheet3!$K116,0)&amp;",30000_10009_1_"&amp;ROUND(28*Sheet3!$K116,0)&amp;",30000_10010_1_"&amp;ROUND(15*Sheet3!$K116,0)</f>
        <v>30000_10008_1_84,30000_10009_1_84,30000_10010_1_45</v>
      </c>
      <c r="E198" t="s">
        <v>153</v>
      </c>
      <c r="H198" t="str">
        <f t="shared" si="44"/>
        <v>30000_60001_35_10000,7000014_0_1_10000,30000_10011_1_1800,30000_10012_1_1500</v>
      </c>
      <c r="I198" t="str">
        <f t="shared" si="45"/>
        <v>30000_10011_1_1800,30000_10012_1_1500</v>
      </c>
      <c r="K198">
        <v>50</v>
      </c>
    </row>
    <row r="201" spans="2:11">
      <c r="B201" t="s">
        <v>811</v>
      </c>
      <c r="C201" t="s">
        <v>812</v>
      </c>
      <c r="D201" t="s">
        <v>813</v>
      </c>
    </row>
    <row r="202" spans="2:11">
      <c r="B202" t="str">
        <f>C202&amp;"_10000,"&amp;D202&amp;E202</f>
        <v>30000_60001_36_10000,7000014_0_1_10000</v>
      </c>
      <c r="C202" t="s">
        <v>814</v>
      </c>
      <c r="D202">
        <v>7000014</v>
      </c>
      <c r="E202" t="s">
        <v>831</v>
      </c>
    </row>
    <row r="203" spans="2:11">
      <c r="B203" t="str">
        <f t="shared" ref="B203:B218" si="46">C203&amp;"_10000,"&amp;D203&amp;E203</f>
        <v>30000_60001_37_10000,7000015_0_1_10000</v>
      </c>
      <c r="C203" t="s">
        <v>815</v>
      </c>
      <c r="D203">
        <v>7000015</v>
      </c>
      <c r="E203" t="s">
        <v>831</v>
      </c>
    </row>
    <row r="204" spans="2:11">
      <c r="B204" t="str">
        <f t="shared" si="46"/>
        <v>30000_60001_38_10000,7000016_0_1_10000</v>
      </c>
      <c r="C204" t="s">
        <v>816</v>
      </c>
      <c r="D204">
        <v>7000016</v>
      </c>
      <c r="E204" t="s">
        <v>831</v>
      </c>
    </row>
    <row r="205" spans="2:11">
      <c r="B205" t="str">
        <f t="shared" si="46"/>
        <v>30000_60001_39_10000,7000017_0_1_10000</v>
      </c>
      <c r="C205" t="s">
        <v>817</v>
      </c>
      <c r="D205">
        <v>7000017</v>
      </c>
      <c r="E205" t="s">
        <v>831</v>
      </c>
    </row>
    <row r="206" spans="2:11">
      <c r="B206" t="str">
        <f t="shared" si="46"/>
        <v>30000_60001_40_10000,7000018_0_1_10000</v>
      </c>
      <c r="C206" t="s">
        <v>818</v>
      </c>
      <c r="D206">
        <v>7000018</v>
      </c>
      <c r="E206" t="s">
        <v>831</v>
      </c>
    </row>
    <row r="207" spans="2:11">
      <c r="B207" t="str">
        <f t="shared" si="46"/>
        <v>30000_60001_41_10000,7000019_0_1_10000</v>
      </c>
      <c r="C207" t="s">
        <v>819</v>
      </c>
      <c r="D207">
        <v>7000019</v>
      </c>
      <c r="E207" t="s">
        <v>831</v>
      </c>
    </row>
    <row r="208" spans="2:11">
      <c r="B208" t="str">
        <f t="shared" si="46"/>
        <v>30000_60001_42_10000,7000020_0_1_10000</v>
      </c>
      <c r="C208" t="s">
        <v>820</v>
      </c>
      <c r="D208">
        <v>7000020</v>
      </c>
      <c r="E208" t="s">
        <v>831</v>
      </c>
    </row>
    <row r="209" spans="2:5">
      <c r="B209" t="str">
        <f t="shared" si="46"/>
        <v>30000_60001_43_10000,7000021_0_1_10000</v>
      </c>
      <c r="C209" t="s">
        <v>821</v>
      </c>
      <c r="D209">
        <v>7000021</v>
      </c>
      <c r="E209" t="s">
        <v>831</v>
      </c>
    </row>
    <row r="210" spans="2:5">
      <c r="B210" t="str">
        <f t="shared" si="46"/>
        <v>30000_60001_44_10000,7000022_0_1_10000</v>
      </c>
      <c r="C210" t="s">
        <v>822</v>
      </c>
      <c r="D210">
        <v>7000022</v>
      </c>
      <c r="E210" t="s">
        <v>831</v>
      </c>
    </row>
    <row r="211" spans="2:5">
      <c r="B211" t="str">
        <f t="shared" si="46"/>
        <v>30000_60001_45_10000,7000023_0_1_10000</v>
      </c>
      <c r="C211" t="s">
        <v>823</v>
      </c>
      <c r="D211">
        <v>7000023</v>
      </c>
      <c r="E211" t="s">
        <v>831</v>
      </c>
    </row>
    <row r="212" spans="2:5">
      <c r="B212" t="str">
        <f t="shared" si="46"/>
        <v>30000_60001_46_10000,7000024_0_1_10000</v>
      </c>
      <c r="C212" t="s">
        <v>824</v>
      </c>
      <c r="D212">
        <v>7000024</v>
      </c>
      <c r="E212" t="s">
        <v>831</v>
      </c>
    </row>
    <row r="213" spans="2:5">
      <c r="B213" t="str">
        <f t="shared" si="46"/>
        <v>30000_60001_47_10000,7000025_0_1_10000</v>
      </c>
      <c r="C213" t="s">
        <v>825</v>
      </c>
      <c r="D213">
        <v>7000025</v>
      </c>
      <c r="E213" t="s">
        <v>831</v>
      </c>
    </row>
    <row r="214" spans="2:5">
      <c r="B214" t="str">
        <f t="shared" si="46"/>
        <v>30000_60001_48_10000,7000026_0_1_10000</v>
      </c>
      <c r="C214" t="s">
        <v>826</v>
      </c>
      <c r="D214">
        <v>7000026</v>
      </c>
      <c r="E214" t="s">
        <v>831</v>
      </c>
    </row>
    <row r="215" spans="2:5">
      <c r="B215" t="str">
        <f t="shared" si="46"/>
        <v>30000_60001_49_10000,7000027_0_1_10000</v>
      </c>
      <c r="C215" t="s">
        <v>827</v>
      </c>
      <c r="D215">
        <v>7000027</v>
      </c>
      <c r="E215" t="s">
        <v>831</v>
      </c>
    </row>
    <row r="216" spans="2:5">
      <c r="B216" t="str">
        <f t="shared" si="46"/>
        <v>30000_60001_50_10000,7000028_0_1_10000</v>
      </c>
      <c r="C216" t="s">
        <v>828</v>
      </c>
      <c r="D216">
        <v>7000028</v>
      </c>
      <c r="E216" t="s">
        <v>831</v>
      </c>
    </row>
    <row r="217" spans="2:5">
      <c r="B217" t="str">
        <f t="shared" si="46"/>
        <v>30000_60001_51_10000,7000029_0_1_10000</v>
      </c>
      <c r="C217" t="s">
        <v>829</v>
      </c>
      <c r="D217">
        <v>7000029</v>
      </c>
      <c r="E217" t="s">
        <v>831</v>
      </c>
    </row>
    <row r="218" spans="2:5">
      <c r="B218" t="str">
        <f t="shared" si="46"/>
        <v>30000_60001_52_10000,7000030_0_1_10000</v>
      </c>
      <c r="C218" t="s">
        <v>830</v>
      </c>
      <c r="D218">
        <v>7000030</v>
      </c>
      <c r="E218" t="s">
        <v>831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map.xml</vt:lpstr>
      <vt:lpstr>map-客户端</vt:lpstr>
      <vt:lpstr>Sheet3</vt:lpstr>
      <vt:lpstr>掉落权重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2014-10-10T03:16:42Z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