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equipForge.xml" sheetId="1" r:id="rId1"/>
    <sheet name="Sheet2" sheetId="2" r:id="rId2"/>
    <sheet name="Sheet3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A26" i="1"/>
  <c r="B26"/>
  <c r="B27" s="1"/>
  <c r="B28" s="1"/>
  <c r="B29" s="1"/>
  <c r="B30" s="1"/>
  <c r="B31" s="1"/>
  <c r="B32" s="1"/>
  <c r="B33" s="1"/>
  <c r="B34" s="1"/>
  <c r="A27"/>
  <c r="A28" s="1"/>
  <c r="A29" s="1"/>
  <c r="A30" s="1"/>
  <c r="A31" s="1"/>
  <c r="A32" s="1"/>
  <c r="A33" s="1"/>
  <c r="A34" s="1"/>
  <c r="A22"/>
  <c r="B22"/>
  <c r="B23" s="1"/>
  <c r="B24" s="1"/>
  <c r="B25" s="1"/>
  <c r="A23"/>
  <c r="A24" s="1"/>
  <c r="A25" s="1"/>
  <c r="B21"/>
  <c r="A21"/>
  <c r="G3" i="2"/>
  <c r="G4"/>
  <c r="G5"/>
  <c r="G6"/>
  <c r="G7"/>
  <c r="G8"/>
  <c r="G9"/>
  <c r="G10"/>
  <c r="G11"/>
  <c r="G12"/>
  <c r="G13"/>
  <c r="G14"/>
  <c r="G15"/>
  <c r="G16"/>
  <c r="G17"/>
  <c r="G2"/>
  <c r="C3"/>
  <c r="C4"/>
  <c r="C5"/>
  <c r="C6"/>
  <c r="C7"/>
  <c r="C8"/>
  <c r="C9"/>
  <c r="C10"/>
  <c r="C11"/>
  <c r="C12"/>
  <c r="C13"/>
  <c r="C14"/>
  <c r="C15"/>
  <c r="C16"/>
  <c r="C2"/>
  <c r="B17"/>
  <c r="D17"/>
  <c r="D4"/>
  <c r="D5"/>
  <c r="D6"/>
  <c r="D7"/>
  <c r="D8"/>
  <c r="D9"/>
  <c r="D10"/>
  <c r="D11"/>
  <c r="D12"/>
  <c r="D13"/>
  <c r="D14"/>
  <c r="D15"/>
  <c r="D16"/>
  <c r="D3"/>
  <c r="B4"/>
  <c r="B5"/>
  <c r="B6"/>
  <c r="B7"/>
  <c r="B8"/>
  <c r="B9"/>
  <c r="B10"/>
  <c r="B11"/>
  <c r="B12"/>
  <c r="B13"/>
  <c r="B14"/>
  <c r="B15"/>
  <c r="B16"/>
  <c r="B3"/>
  <c r="A18" i="1" l="1"/>
  <c r="B18"/>
  <c r="A19"/>
  <c r="B19"/>
  <c r="B9"/>
  <c r="B10" s="1"/>
  <c r="B11" s="1"/>
  <c r="B12" s="1"/>
  <c r="B13" s="1"/>
  <c r="B14" s="1"/>
  <c r="B15" s="1"/>
  <c r="B16" s="1"/>
  <c r="B17" s="1"/>
  <c r="B8"/>
  <c r="A9"/>
  <c r="A10"/>
  <c r="A11" s="1"/>
  <c r="A12" s="1"/>
  <c r="A13" s="1"/>
  <c r="A14" s="1"/>
  <c r="A15" s="1"/>
  <c r="A16" s="1"/>
  <c r="A17" s="1"/>
  <c r="A8"/>
</calcChain>
</file>

<file path=xl/sharedStrings.xml><?xml version="1.0" encoding="utf-8"?>
<sst xmlns="http://schemas.openxmlformats.org/spreadsheetml/2006/main" count="40" uniqueCount="40">
  <si>
    <t>最小等级(minLevel)</t>
    <phoneticPr fontId="1" type="noConversion"/>
  </si>
  <si>
    <t>minLevel</t>
  </si>
  <si>
    <t>最大等级(maxLevel)</t>
    <phoneticPr fontId="1" type="noConversion"/>
  </si>
  <si>
    <t>maxLevel</t>
  </si>
  <si>
    <t>装备列表(equips)</t>
    <phoneticPr fontId="1" type="noConversion"/>
  </si>
  <si>
    <t>equips</t>
  </si>
  <si>
    <t>data</t>
    <phoneticPr fontId="1" type="noConversion"/>
  </si>
  <si>
    <t>godlyRatio</t>
  </si>
  <si>
    <t>橙装熔炼成神器的万分比</t>
    <phoneticPr fontId="1" type="noConversion"/>
  </si>
  <si>
    <t>3000001_1,4000401_41,4000405_40,4000501_10,4000505_10</t>
    <phoneticPr fontId="1" type="noConversion"/>
  </si>
  <si>
    <t>3000001_1,4000405_41,4000410_40,4000505_10,4000510_10</t>
    <phoneticPr fontId="1" type="noConversion"/>
  </si>
  <si>
    <t>3000001_1,4000415_41,4000410_40,4000510_10,4000515_10</t>
    <phoneticPr fontId="1" type="noConversion"/>
  </si>
  <si>
    <t>3000001_1,4000415_41,4000420_40,4000515_10,4000520_10</t>
    <phoneticPr fontId="1" type="noConversion"/>
  </si>
  <si>
    <t>3000001_1,4000420_41,4000425_40,4000520_10,4000525_10</t>
    <phoneticPr fontId="1" type="noConversion"/>
  </si>
  <si>
    <t>3000001_1,4000425_41,4000430_40,4000525_10,4000530_10</t>
    <phoneticPr fontId="1" type="noConversion"/>
  </si>
  <si>
    <t>3000001_1,4000430_41,4000435_40,4000530_10,4000535_10</t>
    <phoneticPr fontId="1" type="noConversion"/>
  </si>
  <si>
    <t>3000001_1,4000435_41,4000440_40,4000535_10,4000540_10</t>
    <phoneticPr fontId="1" type="noConversion"/>
  </si>
  <si>
    <t>3000001_1,4000440_41,4000445_40,4000540_14,4000545_6</t>
    <phoneticPr fontId="1" type="noConversion"/>
  </si>
  <si>
    <t>3000001_1,4000455_61,4000460_20,4000555_14,4000560_6</t>
    <phoneticPr fontId="1" type="noConversion"/>
  </si>
  <si>
    <t>3000001_1,4000450_61,4000455_20,4000550_14,4000555_6</t>
    <phoneticPr fontId="1" type="noConversion"/>
  </si>
  <si>
    <t>3000001_1,4000445_61,4000450_20,4000545_14,4000550_6</t>
    <phoneticPr fontId="1" type="noConversion"/>
  </si>
  <si>
    <t>3000001_1,4000460_65,4000465_10,4000560_20,4000565_4</t>
    <phoneticPr fontId="1" type="noConversion"/>
  </si>
  <si>
    <t>3000001_1,4000460_41,4000560_20,4000465_30,4000565_8</t>
    <phoneticPr fontId="1" type="noConversion"/>
  </si>
  <si>
    <t>3000001_1,4000460_41,4000560_20,4000465_30,4000565_8</t>
    <phoneticPr fontId="1" type="noConversion"/>
  </si>
  <si>
    <t>3000001_1</t>
  </si>
  <si>
    <t>3000001_1,4000470_64,4004072_16,4000570_15,4005072_4</t>
  </si>
  <si>
    <t>3000001_1,4004072_64,4004074_16,4005072_15,4005074_4</t>
  </si>
  <si>
    <t>3000001_1,4004074_64,4004076_16,4005074_15,4005076_4</t>
  </si>
  <si>
    <t>3000001_1,4004076_64,4004078_16,4005076_15,4005078_4</t>
  </si>
  <si>
    <t>3000001_1,4004078_64,4004080_16,4005078_15,4005080_4</t>
  </si>
  <si>
    <t>3000001_1,4004080_64,4004082_16,4005080_15,4005082_4</t>
  </si>
  <si>
    <t>3000001_1,4004082_64,4004084_16,4005082_15,4005084_4</t>
  </si>
  <si>
    <t>3000001_1,4004084_64,4004086_16,4005084_15,4005086_4</t>
  </si>
  <si>
    <t>3000001_1,4004086_64,4004088_16,4005086_15,4005088_4</t>
  </si>
  <si>
    <t>3000001_1,4004088_64,4004090_16,4005088_15,4005090_4</t>
  </si>
  <si>
    <t>3000001_1,4004090_64,4004092_16,4005090_15,4005092_4</t>
  </si>
  <si>
    <t>3000001_1,4004092_64,4004094_16,4005092_15,4005094_4</t>
  </si>
  <si>
    <t>3000001_1,4004094_64,4004096_16,4005094_15,4005096_4</t>
  </si>
  <si>
    <t>3000001_1,4004096_64,4004098_16,4005096_15,4005098_4</t>
  </si>
  <si>
    <t>3000001_1,4004098_64,4004100_16,4005098_15,4005100_4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</si>
</sst>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8543;&#26426;&#27744;/2.3/&#22870;&#21169;&#3245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ward.xml"/>
      <sheetName val="关卡掉落组"/>
      <sheetName val="BOSS掉落组"/>
      <sheetName val="宝箱"/>
      <sheetName val="辅助列"/>
    </sheetNames>
    <sheetDataSet>
      <sheetData sheetId="0">
        <row r="176">
          <cell r="A176">
            <v>4004072</v>
          </cell>
        </row>
        <row r="177">
          <cell r="A177">
            <v>4004074</v>
          </cell>
        </row>
        <row r="178">
          <cell r="A178">
            <v>4004076</v>
          </cell>
        </row>
        <row r="179">
          <cell r="A179">
            <v>4004078</v>
          </cell>
        </row>
        <row r="180">
          <cell r="A180">
            <v>4004080</v>
          </cell>
        </row>
        <row r="181">
          <cell r="A181">
            <v>4004082</v>
          </cell>
        </row>
        <row r="182">
          <cell r="A182">
            <v>4004084</v>
          </cell>
        </row>
        <row r="183">
          <cell r="A183">
            <v>4004086</v>
          </cell>
        </row>
        <row r="184">
          <cell r="A184">
            <v>4004088</v>
          </cell>
        </row>
        <row r="185">
          <cell r="A185">
            <v>4004090</v>
          </cell>
        </row>
        <row r="186">
          <cell r="A186">
            <v>4004092</v>
          </cell>
        </row>
        <row r="187">
          <cell r="A187">
            <v>4004094</v>
          </cell>
        </row>
        <row r="188">
          <cell r="A188">
            <v>4004096</v>
          </cell>
        </row>
        <row r="189">
          <cell r="A189">
            <v>4004098</v>
          </cell>
        </row>
        <row r="190">
          <cell r="A190">
            <v>4004100</v>
          </cell>
        </row>
        <row r="191">
          <cell r="A191">
            <v>4005072</v>
          </cell>
        </row>
        <row r="192">
          <cell r="A192">
            <v>4005074</v>
          </cell>
        </row>
        <row r="193">
          <cell r="A193">
            <v>4005076</v>
          </cell>
        </row>
        <row r="194">
          <cell r="A194">
            <v>4005078</v>
          </cell>
        </row>
        <row r="195">
          <cell r="A195">
            <v>4005080</v>
          </cell>
        </row>
        <row r="196">
          <cell r="A196">
            <v>4005082</v>
          </cell>
        </row>
        <row r="197">
          <cell r="A197">
            <v>4005084</v>
          </cell>
        </row>
        <row r="198">
          <cell r="A198">
            <v>4005086</v>
          </cell>
        </row>
        <row r="199">
          <cell r="A199">
            <v>4005088</v>
          </cell>
        </row>
        <row r="200">
          <cell r="A200">
            <v>4005090</v>
          </cell>
        </row>
        <row r="201">
          <cell r="A201">
            <v>4005092</v>
          </cell>
        </row>
        <row r="202">
          <cell r="A202">
            <v>4005094</v>
          </cell>
        </row>
        <row r="203">
          <cell r="A203">
            <v>4005096</v>
          </cell>
        </row>
        <row r="204">
          <cell r="A204">
            <v>4005098</v>
          </cell>
        </row>
        <row r="205">
          <cell r="A205">
            <v>4005100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4"/>
  <sheetViews>
    <sheetView tabSelected="1" topLeftCell="A19" workbookViewId="0">
      <selection activeCell="D10" sqref="D10"/>
    </sheetView>
  </sheetViews>
  <sheetFormatPr defaultRowHeight="13.5"/>
  <cols>
    <col min="1" max="2" width="20" bestFit="1" customWidth="1"/>
    <col min="3" max="3" width="59.375" bestFit="1" customWidth="1"/>
    <col min="4" max="4" width="15" customWidth="1"/>
  </cols>
  <sheetData>
    <row r="1" spans="1:4">
      <c r="A1" t="s">
        <v>6</v>
      </c>
    </row>
    <row r="3" spans="1:4">
      <c r="A3" t="s">
        <v>0</v>
      </c>
      <c r="B3" t="s">
        <v>2</v>
      </c>
      <c r="C3" t="s">
        <v>4</v>
      </c>
      <c r="D3" t="s">
        <v>8</v>
      </c>
    </row>
    <row r="4" spans="1:4">
      <c r="A4" t="s">
        <v>1</v>
      </c>
      <c r="B4" t="s">
        <v>3</v>
      </c>
      <c r="C4" t="s">
        <v>5</v>
      </c>
      <c r="D4" t="s">
        <v>7</v>
      </c>
    </row>
    <row r="6" spans="1:4">
      <c r="A6">
        <v>1</v>
      </c>
      <c r="B6">
        <v>5</v>
      </c>
      <c r="C6" t="s">
        <v>9</v>
      </c>
      <c r="D6">
        <v>1000</v>
      </c>
    </row>
    <row r="7" spans="1:4">
      <c r="A7">
        <v>6</v>
      </c>
      <c r="B7">
        <v>10</v>
      </c>
      <c r="C7" t="s">
        <v>10</v>
      </c>
      <c r="D7">
        <v>950</v>
      </c>
    </row>
    <row r="8" spans="1:4">
      <c r="A8">
        <f>A7+5</f>
        <v>11</v>
      </c>
      <c r="B8">
        <f>B7+5</f>
        <v>15</v>
      </c>
      <c r="C8" t="s">
        <v>11</v>
      </c>
      <c r="D8">
        <v>900</v>
      </c>
    </row>
    <row r="9" spans="1:4">
      <c r="A9">
        <f t="shared" ref="A9:A28" si="0">A8+5</f>
        <v>16</v>
      </c>
      <c r="B9">
        <f t="shared" ref="B9:B28" si="1">B8+5</f>
        <v>20</v>
      </c>
      <c r="C9" t="s">
        <v>12</v>
      </c>
      <c r="D9">
        <v>850</v>
      </c>
    </row>
    <row r="10" spans="1:4">
      <c r="A10">
        <f t="shared" si="0"/>
        <v>21</v>
      </c>
      <c r="B10">
        <f t="shared" si="1"/>
        <v>25</v>
      </c>
      <c r="C10" t="s">
        <v>13</v>
      </c>
      <c r="D10">
        <v>800</v>
      </c>
    </row>
    <row r="11" spans="1:4">
      <c r="A11">
        <f t="shared" si="0"/>
        <v>26</v>
      </c>
      <c r="B11">
        <f t="shared" si="1"/>
        <v>30</v>
      </c>
      <c r="C11" t="s">
        <v>14</v>
      </c>
      <c r="D11">
        <v>750</v>
      </c>
    </row>
    <row r="12" spans="1:4">
      <c r="A12">
        <f t="shared" si="0"/>
        <v>31</v>
      </c>
      <c r="B12">
        <f t="shared" si="1"/>
        <v>35</v>
      </c>
      <c r="C12" t="s">
        <v>15</v>
      </c>
      <c r="D12">
        <v>750</v>
      </c>
    </row>
    <row r="13" spans="1:4">
      <c r="A13">
        <f t="shared" si="0"/>
        <v>36</v>
      </c>
      <c r="B13">
        <f t="shared" si="1"/>
        <v>40</v>
      </c>
      <c r="C13" t="s">
        <v>16</v>
      </c>
      <c r="D13">
        <v>750</v>
      </c>
    </row>
    <row r="14" spans="1:4">
      <c r="A14">
        <f t="shared" si="0"/>
        <v>41</v>
      </c>
      <c r="B14">
        <f t="shared" si="1"/>
        <v>45</v>
      </c>
      <c r="C14" t="s">
        <v>17</v>
      </c>
      <c r="D14">
        <v>750</v>
      </c>
    </row>
    <row r="15" spans="1:4">
      <c r="A15">
        <f t="shared" si="0"/>
        <v>46</v>
      </c>
      <c r="B15">
        <f t="shared" si="1"/>
        <v>50</v>
      </c>
      <c r="C15" t="s">
        <v>20</v>
      </c>
      <c r="D15">
        <v>750</v>
      </c>
    </row>
    <row r="16" spans="1:4">
      <c r="A16">
        <f t="shared" si="0"/>
        <v>51</v>
      </c>
      <c r="B16">
        <f t="shared" si="1"/>
        <v>55</v>
      </c>
      <c r="C16" t="s">
        <v>19</v>
      </c>
      <c r="D16">
        <v>750</v>
      </c>
    </row>
    <row r="17" spans="1:4">
      <c r="A17">
        <f t="shared" si="0"/>
        <v>56</v>
      </c>
      <c r="B17">
        <f t="shared" si="1"/>
        <v>60</v>
      </c>
      <c r="C17" t="s">
        <v>18</v>
      </c>
      <c r="D17">
        <v>750</v>
      </c>
    </row>
    <row r="18" spans="1:4">
      <c r="A18">
        <f t="shared" si="0"/>
        <v>61</v>
      </c>
      <c r="B18">
        <f t="shared" si="1"/>
        <v>65</v>
      </c>
      <c r="C18" t="s">
        <v>21</v>
      </c>
      <c r="D18">
        <v>750</v>
      </c>
    </row>
    <row r="19" spans="1:4">
      <c r="A19">
        <f t="shared" si="0"/>
        <v>66</v>
      </c>
      <c r="B19">
        <f t="shared" si="1"/>
        <v>70</v>
      </c>
      <c r="C19" t="s">
        <v>22</v>
      </c>
      <c r="D19">
        <v>750</v>
      </c>
    </row>
    <row r="20" spans="1:4">
      <c r="A20">
        <v>71</v>
      </c>
      <c r="B20">
        <v>72</v>
      </c>
      <c r="C20" t="s">
        <v>25</v>
      </c>
      <c r="D20">
        <v>750</v>
      </c>
    </row>
    <row r="21" spans="1:4">
      <c r="A21">
        <f>A20+2</f>
        <v>73</v>
      </c>
      <c r="B21">
        <f>+B20+2</f>
        <v>74</v>
      </c>
      <c r="C21" t="s">
        <v>26</v>
      </c>
      <c r="D21">
        <v>750</v>
      </c>
    </row>
    <row r="22" spans="1:4">
      <c r="A22">
        <f t="shared" ref="A22:A26" si="2">A21+2</f>
        <v>75</v>
      </c>
      <c r="B22">
        <f t="shared" ref="B22:B26" si="3">+B21+2</f>
        <v>76</v>
      </c>
      <c r="C22" t="s">
        <v>27</v>
      </c>
      <c r="D22">
        <v>750</v>
      </c>
    </row>
    <row r="23" spans="1:4">
      <c r="A23">
        <f t="shared" si="2"/>
        <v>77</v>
      </c>
      <c r="B23">
        <f t="shared" si="3"/>
        <v>78</v>
      </c>
      <c r="C23" t="s">
        <v>28</v>
      </c>
      <c r="D23">
        <v>750</v>
      </c>
    </row>
    <row r="24" spans="1:4">
      <c r="A24">
        <f t="shared" si="2"/>
        <v>79</v>
      </c>
      <c r="B24">
        <f t="shared" si="3"/>
        <v>80</v>
      </c>
      <c r="C24" t="s">
        <v>29</v>
      </c>
      <c r="D24">
        <v>750</v>
      </c>
    </row>
    <row r="25" spans="1:4">
      <c r="A25">
        <f t="shared" si="2"/>
        <v>81</v>
      </c>
      <c r="B25">
        <f t="shared" si="3"/>
        <v>82</v>
      </c>
      <c r="C25" t="s">
        <v>30</v>
      </c>
      <c r="D25">
        <v>750</v>
      </c>
    </row>
    <row r="26" spans="1:4">
      <c r="A26">
        <f t="shared" si="2"/>
        <v>83</v>
      </c>
      <c r="B26">
        <f t="shared" si="3"/>
        <v>84</v>
      </c>
      <c r="C26" t="s">
        <v>31</v>
      </c>
      <c r="D26">
        <v>750</v>
      </c>
    </row>
    <row r="27" spans="1:4">
      <c r="A27">
        <f t="shared" ref="A27:A34" si="4">A26+2</f>
        <v>85</v>
      </c>
      <c r="B27">
        <f t="shared" ref="B27:B34" si="5">+B26+2</f>
        <v>86</v>
      </c>
      <c r="C27" t="s">
        <v>32</v>
      </c>
      <c r="D27">
        <v>750</v>
      </c>
    </row>
    <row r="28" spans="1:4">
      <c r="A28">
        <f t="shared" si="4"/>
        <v>87</v>
      </c>
      <c r="B28">
        <f t="shared" si="5"/>
        <v>88</v>
      </c>
      <c r="C28" t="s">
        <v>33</v>
      </c>
      <c r="D28">
        <v>750</v>
      </c>
    </row>
    <row r="29" spans="1:4">
      <c r="A29">
        <f t="shared" si="4"/>
        <v>89</v>
      </c>
      <c r="B29">
        <f t="shared" si="5"/>
        <v>90</v>
      </c>
      <c r="C29" t="s">
        <v>34</v>
      </c>
      <c r="D29">
        <v>750</v>
      </c>
    </row>
    <row r="30" spans="1:4">
      <c r="A30">
        <f t="shared" si="4"/>
        <v>91</v>
      </c>
      <c r="B30">
        <f t="shared" si="5"/>
        <v>92</v>
      </c>
      <c r="C30" t="s">
        <v>35</v>
      </c>
      <c r="D30">
        <v>750</v>
      </c>
    </row>
    <row r="31" spans="1:4">
      <c r="A31">
        <f t="shared" si="4"/>
        <v>93</v>
      </c>
      <c r="B31">
        <f t="shared" si="5"/>
        <v>94</v>
      </c>
      <c r="C31" t="s">
        <v>36</v>
      </c>
      <c r="D31">
        <v>750</v>
      </c>
    </row>
    <row r="32" spans="1:4">
      <c r="A32">
        <f t="shared" si="4"/>
        <v>95</v>
      </c>
      <c r="B32">
        <f t="shared" si="5"/>
        <v>96</v>
      </c>
      <c r="C32" t="s">
        <v>37</v>
      </c>
      <c r="D32">
        <v>750</v>
      </c>
    </row>
    <row r="33" spans="1:4">
      <c r="A33">
        <f t="shared" si="4"/>
        <v>97</v>
      </c>
      <c r="B33">
        <f t="shared" si="5"/>
        <v>98</v>
      </c>
      <c r="C33" t="s">
        <v>38</v>
      </c>
      <c r="D33">
        <v>750</v>
      </c>
    </row>
    <row r="34" spans="1:4">
      <c r="A34">
        <f t="shared" si="4"/>
        <v>99</v>
      </c>
      <c r="B34">
        <f t="shared" si="5"/>
        <v>100</v>
      </c>
      <c r="C34" t="s">
        <v>39</v>
      </c>
      <c r="D34">
        <v>750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M17"/>
  <sheetViews>
    <sheetView topLeftCell="D1" workbookViewId="0">
      <selection activeCell="G2" sqref="G2:G16"/>
    </sheetView>
  </sheetViews>
  <sheetFormatPr defaultRowHeight="13.5"/>
  <cols>
    <col min="7" max="7" width="22.625" customWidth="1"/>
    <col min="8" max="8" width="10.125" customWidth="1"/>
    <col min="9" max="9" width="47.375" customWidth="1"/>
  </cols>
  <sheetData>
    <row r="2" spans="1:13">
      <c r="A2" t="s">
        <v>24</v>
      </c>
      <c r="B2">
        <v>4000470</v>
      </c>
      <c r="C2">
        <f>B3</f>
        <v>4004072</v>
      </c>
      <c r="D2">
        <v>4000570</v>
      </c>
      <c r="E2">
        <v>4005072</v>
      </c>
      <c r="G2" t="str">
        <f>A$2&amp;","&amp;B2&amp;"_"&amp;J2&amp;","&amp;C2&amp;"_"&amp;K2&amp;","&amp;D2&amp;"_"&amp;L2&amp;","&amp;E2&amp;"_"&amp;M2</f>
        <v>3000001_1,4000470_64,4004072_16,4000570_15,4005072_4</v>
      </c>
      <c r="J2">
        <v>64</v>
      </c>
      <c r="K2">
        <v>16</v>
      </c>
      <c r="L2">
        <v>15</v>
      </c>
      <c r="M2">
        <v>4</v>
      </c>
    </row>
    <row r="3" spans="1:13">
      <c r="B3">
        <f>[1]award.xml!$A176</f>
        <v>4004072</v>
      </c>
      <c r="C3">
        <f t="shared" ref="C3:C16" si="0">B4</f>
        <v>4004074</v>
      </c>
      <c r="D3">
        <f>[1]award.xml!$A191</f>
        <v>4005072</v>
      </c>
      <c r="E3">
        <v>4005074</v>
      </c>
      <c r="G3" t="str">
        <f t="shared" ref="G3:G17" si="1">A$2&amp;","&amp;B3&amp;"_"&amp;J3&amp;","&amp;C3&amp;"_"&amp;K3&amp;","&amp;D3&amp;"_"&amp;L3&amp;","&amp;E3&amp;"_"&amp;M3</f>
        <v>3000001_1,4004072_64,4004074_16,4005072_15,4005074_4</v>
      </c>
      <c r="J3">
        <v>64</v>
      </c>
      <c r="K3">
        <v>16</v>
      </c>
      <c r="L3">
        <v>15</v>
      </c>
      <c r="M3">
        <v>4</v>
      </c>
    </row>
    <row r="4" spans="1:13">
      <c r="B4">
        <f>[1]award.xml!$A177</f>
        <v>4004074</v>
      </c>
      <c r="C4">
        <f t="shared" si="0"/>
        <v>4004076</v>
      </c>
      <c r="D4">
        <f>[1]award.xml!$A192</f>
        <v>4005074</v>
      </c>
      <c r="E4">
        <v>4005076</v>
      </c>
      <c r="G4" t="str">
        <f t="shared" si="1"/>
        <v>3000001_1,4004074_64,4004076_16,4005074_15,4005076_4</v>
      </c>
      <c r="J4">
        <v>64</v>
      </c>
      <c r="K4">
        <v>16</v>
      </c>
      <c r="L4">
        <v>15</v>
      </c>
      <c r="M4">
        <v>4</v>
      </c>
    </row>
    <row r="5" spans="1:13">
      <c r="B5">
        <f>[1]award.xml!$A178</f>
        <v>4004076</v>
      </c>
      <c r="C5">
        <f t="shared" si="0"/>
        <v>4004078</v>
      </c>
      <c r="D5">
        <f>[1]award.xml!$A193</f>
        <v>4005076</v>
      </c>
      <c r="E5">
        <v>4005078</v>
      </c>
      <c r="G5" t="str">
        <f t="shared" si="1"/>
        <v>3000001_1,4004076_64,4004078_16,4005076_15,4005078_4</v>
      </c>
      <c r="J5">
        <v>64</v>
      </c>
      <c r="K5">
        <v>16</v>
      </c>
      <c r="L5">
        <v>15</v>
      </c>
      <c r="M5">
        <v>4</v>
      </c>
    </row>
    <row r="6" spans="1:13">
      <c r="B6">
        <f>[1]award.xml!$A179</f>
        <v>4004078</v>
      </c>
      <c r="C6">
        <f t="shared" si="0"/>
        <v>4004080</v>
      </c>
      <c r="D6">
        <f>[1]award.xml!$A194</f>
        <v>4005078</v>
      </c>
      <c r="E6">
        <v>4005080</v>
      </c>
      <c r="G6" t="str">
        <f t="shared" si="1"/>
        <v>3000001_1,4004078_64,4004080_16,4005078_15,4005080_4</v>
      </c>
      <c r="J6">
        <v>64</v>
      </c>
      <c r="K6">
        <v>16</v>
      </c>
      <c r="L6">
        <v>15</v>
      </c>
      <c r="M6">
        <v>4</v>
      </c>
    </row>
    <row r="7" spans="1:13">
      <c r="B7">
        <f>[1]award.xml!$A180</f>
        <v>4004080</v>
      </c>
      <c r="C7">
        <f t="shared" si="0"/>
        <v>4004082</v>
      </c>
      <c r="D7">
        <f>[1]award.xml!$A195</f>
        <v>4005080</v>
      </c>
      <c r="E7">
        <v>4005082</v>
      </c>
      <c r="G7" t="str">
        <f t="shared" si="1"/>
        <v>3000001_1,4004080_64,4004082_16,4005080_15,4005082_4</v>
      </c>
      <c r="J7">
        <v>64</v>
      </c>
      <c r="K7">
        <v>16</v>
      </c>
      <c r="L7">
        <v>15</v>
      </c>
      <c r="M7">
        <v>4</v>
      </c>
    </row>
    <row r="8" spans="1:13">
      <c r="B8">
        <f>[1]award.xml!$A181</f>
        <v>4004082</v>
      </c>
      <c r="C8">
        <f t="shared" si="0"/>
        <v>4004084</v>
      </c>
      <c r="D8">
        <f>[1]award.xml!$A196</f>
        <v>4005082</v>
      </c>
      <c r="E8">
        <v>4005084</v>
      </c>
      <c r="G8" t="str">
        <f t="shared" si="1"/>
        <v>3000001_1,4004082_64,4004084_16,4005082_15,4005084_4</v>
      </c>
      <c r="J8">
        <v>64</v>
      </c>
      <c r="K8">
        <v>16</v>
      </c>
      <c r="L8">
        <v>15</v>
      </c>
      <c r="M8">
        <v>4</v>
      </c>
    </row>
    <row r="9" spans="1:13">
      <c r="B9">
        <f>[1]award.xml!$A182</f>
        <v>4004084</v>
      </c>
      <c r="C9">
        <f t="shared" si="0"/>
        <v>4004086</v>
      </c>
      <c r="D9">
        <f>[1]award.xml!$A197</f>
        <v>4005084</v>
      </c>
      <c r="E9">
        <v>4005086</v>
      </c>
      <c r="G9" t="str">
        <f t="shared" si="1"/>
        <v>3000001_1,4004084_64,4004086_16,4005084_15,4005086_4</v>
      </c>
      <c r="J9">
        <v>64</v>
      </c>
      <c r="K9">
        <v>16</v>
      </c>
      <c r="L9">
        <v>15</v>
      </c>
      <c r="M9">
        <v>4</v>
      </c>
    </row>
    <row r="10" spans="1:13">
      <c r="A10" t="s">
        <v>23</v>
      </c>
      <c r="B10">
        <f>[1]award.xml!$A183</f>
        <v>4004086</v>
      </c>
      <c r="C10">
        <f t="shared" si="0"/>
        <v>4004088</v>
      </c>
      <c r="D10">
        <f>[1]award.xml!$A198</f>
        <v>4005086</v>
      </c>
      <c r="E10">
        <v>4005088</v>
      </c>
      <c r="G10" t="str">
        <f t="shared" si="1"/>
        <v>3000001_1,4004086_64,4004088_16,4005086_15,4005088_4</v>
      </c>
      <c r="J10">
        <v>64</v>
      </c>
      <c r="K10">
        <v>16</v>
      </c>
      <c r="L10">
        <v>15</v>
      </c>
      <c r="M10">
        <v>4</v>
      </c>
    </row>
    <row r="11" spans="1:13">
      <c r="B11">
        <f>[1]award.xml!$A184</f>
        <v>4004088</v>
      </c>
      <c r="C11">
        <f t="shared" si="0"/>
        <v>4004090</v>
      </c>
      <c r="D11">
        <f>[1]award.xml!$A199</f>
        <v>4005088</v>
      </c>
      <c r="E11">
        <v>4005090</v>
      </c>
      <c r="G11" t="str">
        <f t="shared" si="1"/>
        <v>3000001_1,4004088_64,4004090_16,4005088_15,4005090_4</v>
      </c>
      <c r="J11">
        <v>64</v>
      </c>
      <c r="K11">
        <v>16</v>
      </c>
      <c r="L11">
        <v>15</v>
      </c>
      <c r="M11">
        <v>4</v>
      </c>
    </row>
    <row r="12" spans="1:13">
      <c r="B12">
        <f>[1]award.xml!$A185</f>
        <v>4004090</v>
      </c>
      <c r="C12">
        <f t="shared" si="0"/>
        <v>4004092</v>
      </c>
      <c r="D12">
        <f>[1]award.xml!$A200</f>
        <v>4005090</v>
      </c>
      <c r="E12">
        <v>4005092</v>
      </c>
      <c r="G12" t="str">
        <f t="shared" si="1"/>
        <v>3000001_1,4004090_64,4004092_16,4005090_15,4005092_4</v>
      </c>
      <c r="J12">
        <v>64</v>
      </c>
      <c r="K12">
        <v>16</v>
      </c>
      <c r="L12">
        <v>15</v>
      </c>
      <c r="M12">
        <v>4</v>
      </c>
    </row>
    <row r="13" spans="1:13">
      <c r="B13">
        <f>[1]award.xml!$A186</f>
        <v>4004092</v>
      </c>
      <c r="C13">
        <f t="shared" si="0"/>
        <v>4004094</v>
      </c>
      <c r="D13">
        <f>[1]award.xml!$A201</f>
        <v>4005092</v>
      </c>
      <c r="E13">
        <v>4005094</v>
      </c>
      <c r="G13" t="str">
        <f t="shared" si="1"/>
        <v>3000001_1,4004092_64,4004094_16,4005092_15,4005094_4</v>
      </c>
      <c r="J13">
        <v>64</v>
      </c>
      <c r="K13">
        <v>16</v>
      </c>
      <c r="L13">
        <v>15</v>
      </c>
      <c r="M13">
        <v>4</v>
      </c>
    </row>
    <row r="14" spans="1:13">
      <c r="B14">
        <f>[1]award.xml!$A187</f>
        <v>4004094</v>
      </c>
      <c r="C14">
        <f t="shared" si="0"/>
        <v>4004096</v>
      </c>
      <c r="D14">
        <f>[1]award.xml!$A202</f>
        <v>4005094</v>
      </c>
      <c r="E14">
        <v>4005096</v>
      </c>
      <c r="G14" t="str">
        <f t="shared" si="1"/>
        <v>3000001_1,4004094_64,4004096_16,4005094_15,4005096_4</v>
      </c>
      <c r="J14">
        <v>64</v>
      </c>
      <c r="K14">
        <v>16</v>
      </c>
      <c r="L14">
        <v>15</v>
      </c>
      <c r="M14">
        <v>4</v>
      </c>
    </row>
    <row r="15" spans="1:13">
      <c r="B15">
        <f>[1]award.xml!$A188</f>
        <v>4004096</v>
      </c>
      <c r="C15">
        <f t="shared" si="0"/>
        <v>4004098</v>
      </c>
      <c r="D15">
        <f>[1]award.xml!$A203</f>
        <v>4005096</v>
      </c>
      <c r="E15">
        <v>4005098</v>
      </c>
      <c r="G15" t="str">
        <f t="shared" si="1"/>
        <v>3000001_1,4004096_64,4004098_16,4005096_15,4005098_4</v>
      </c>
      <c r="J15">
        <v>64</v>
      </c>
      <c r="K15">
        <v>16</v>
      </c>
      <c r="L15">
        <v>15</v>
      </c>
      <c r="M15">
        <v>4</v>
      </c>
    </row>
    <row r="16" spans="1:13">
      <c r="B16">
        <f>[1]award.xml!$A189</f>
        <v>4004098</v>
      </c>
      <c r="C16">
        <f t="shared" si="0"/>
        <v>4004100</v>
      </c>
      <c r="D16">
        <f>[1]award.xml!$A204</f>
        <v>4005098</v>
      </c>
      <c r="E16">
        <v>4005100</v>
      </c>
      <c r="G16" t="str">
        <f t="shared" si="1"/>
        <v>3000001_1,4004098_64,4004100_16,4005098_15,4005100_4</v>
      </c>
      <c r="J16">
        <v>64</v>
      </c>
      <c r="K16">
        <v>16</v>
      </c>
      <c r="L16">
        <v>15</v>
      </c>
      <c r="M16">
        <v>4</v>
      </c>
    </row>
    <row r="17" spans="2:13">
      <c r="B17">
        <f>[1]award.xml!$A190</f>
        <v>4004100</v>
      </c>
      <c r="D17">
        <f>[1]award.xml!$A205</f>
        <v>4005100</v>
      </c>
      <c r="G17" t="str">
        <f t="shared" si="1"/>
        <v>3000001_1,4004100_64,_16,4005100_15,_4</v>
      </c>
      <c r="J17">
        <v>64</v>
      </c>
      <c r="K17">
        <v>16</v>
      </c>
      <c r="L17">
        <v>15</v>
      </c>
      <c r="M17">
        <v>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equipForge.xml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2014-09-19T13:58:02Z</dcterms:modified>
</cp:coreProperties>
</file>